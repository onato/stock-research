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<sst xmlns="http://schemas.openxmlformats.org/spreadsheetml/2006/main" count="390" uniqueCount="175">
  <si>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</si>
  <si>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PFE</t>
  </si>
  <si>
    <t xml:space="preserve">Company</t>
  </si>
  <si>
    <t xml:space="preserve">Pfizer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</si>
  <si>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</si>
  <si>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</si>
  <si>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</si>
  <si>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</si>
  <si>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2026-10-01T20:02:35Z regular close (NYSE)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</si>
  <si>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</si>
  <si>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</si>
  <si>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</si>
  <si>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</si>
  <si>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</si>
  <si>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</si>
  <si>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</si>
  <si>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</si>
  <si>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</si>
  <si>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</si>
  <si>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</si>
  <si>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</si>
  <si>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2026-10-02T06:54:27Z</t>
  </si>
  <si>
    <t xml:space="preserve">Drivers file</t>
  </si>
  <si>
    <t xml:space="preserve">PFE_Drivers.json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</si>
  <si>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</si>
  <si>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</si>
  <si>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</si>
  <si>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Pfizer is valued as a mature pharmaceutical owner-FCF stream through a known patent cliff, at a 7% USD WACC with a 15x terminal cap. The COVID boom and its unwind are excluded from every anchor. The house basis charges acquired IPR&amp;D, restructuring and legal costs as recurring, charges SBC in the flows with a flat share count, strips interest income against a net-debt figure that nets the short-term investment pile, and models cash tax on EBIT after non-deductible Seagen amortisation. Terminal value is capped at 15x year-10 FCF because a buyer at exit faces the same LOE treadmill. No credit is given for unannounced M&amp;A or for an obesity blockbuster outside the bull case.
key_risks_to_valuation: Eliquis US generic entry April 2028 and Ibrance/Xtandi LOE 2027-28: ~13-14B of high-margin alliance/oncology revenue with the exact erosion curve uncertain; Vyndaqel/Vyndamax (~6B+) US exclusivity contested; erosion timing 2028-2029 swings the trough by several billion; US drug pricing: IRA negotiated prices (Eliquis 2026 at ~62% below list, Ibrance/Xtandi 2027), Most-Favored-Nation terms spreading beyond the Sept-2025 Medicaid/TrumpRx agreement, and Section 232 pharmaceutical tariffs (up to 100%) once that agreement's three-year deferral lapses in 2028; Pipeline execution after the sigvotatug Phase 3 failure: Metsera obesity (7.9B IPR&amp;D at risk), PD-1xVEGF (3SBio/Innovent), atirmociclib, vepdegestrant; Treatment of acquired IPR&amp;D, restructuring and legal (~3.5B/yr) as recurring: moving them to one-offs lifts the normalised margin ~6pp and the base IV materially; Terminal cap 15x binds over Gordon; the valuation is sensitive to that choice and to the 7% WACC on a long-duration dividend stream; Net debt 51.5B against ~13B unlevered FCF: no refinancing risk at A-grade, but no capacity for a large acquisition without equity or dividend pressure</t>
  </si>
  <si>
    <t xml:space="preserve">Data sources</t>
  </si>
  <si>
    <t xml:space="preserve">price: Yahoo Finance chart API at inputs.price_as_of (regular close); 52-week range 23.62-29.21
financials: SEC XBRL companyfacts (CIK 78003) via research/PFE/Reports/PFE_Metrics.csv and DuckDB kpis; FY2025 10-K (acc 0000078003-26-000026, filed 2026-02-26); Q2 2026 10-Q (acc 0000078003-26-000095, filed 2026-08-04) for the 2026-06-28 balance sheet, impairment footnote, restructuring, Metsera CVR, LOE outlook and capital-allocation statements; intangible amortisation schedule from FY2025 10-K XBRL
qualitative: Q2 2026 earnings release Exhibit 99 (acc 0000078003-26-000094): revised FY2026 guidance, adjusted income, product-level operational growth, $2.5B additional productivity savings 2027-29; Q2 2026 10-Q MD&amp;A on IRA/MFN/tariffs and exclusivity expiries; research/PFE/Reports/PFE_Analysis.json (2026-10-02) for the bull/bear axes (Seagen ADC offset, Metsera obesity, cost programme, MFN agreement's 3-year tariff deferral, LOE headwind ~1.5B 2026 -&gt; ~4.5B 2027, impairment-signalled pipeline risk, debt load), which agree with the scenario construction here.</t>
  </si>
  <si>
    <t xml:space="preserve">Scenario narrative: bear</t>
  </si>
  <si>
    <t xml:space="preserve">LOEs land as scheduled while policy and pipeline both go wrong: MFN pricing spreads beyond Medicaid, the Section 232 tariff deferral lapses into a 2028-29 cost hit, Metsera's obesity programme fails or is late, and PD-1xVEGF underwhelms. Revenue falls to ~49B by 2030 and barely grows after; the normalised margin drops to ~26%; the $7.9B Metsera IPR&amp;D joins the $4.9B (FY2025) and $4.3B (Q2-26) of impairments. The dividend is maintained from a shrinking cash base with leverage drifting up. No solvency event: Pfizer still generates ~7-8B of unlevered FCF at the trough, so this is a value-destruction case, not a going-concern case.</t>
  </si>
  <si>
    <t xml:space="preserve">Scenario narrative: base</t>
  </si>
  <si>
    <t xml:space="preserve">Pfizer works through the 2026-2030 patent cliff as management describes it: ~$1.1B of LOE drag in 2026 accelerating sharply as Ibrance/Xtandi Medicare negotiated prices start in 2027, Eliquis US generics arrive in April 2028 and Vyndaqel erodes in 2028-29, taking revenue from ~62B to a ~55B trough in 2029-30. Launched and acquired products (growing 18% operationally in Q2-26: Padcev, Vyndaqel, Nurtec, Abrysvo, Lorbrena, Elrexfio, Hympavzi) and the first in-licensed/Metsera contributions bring revenue back to ~62B by 2035, but the house does not credit an obesity blockbuster or unannounced M&amp;A. Normalised EBITDA margin compresses from 32% to 30% through the trough (fixed R&amp;D of 10.5-11.5B against falling high-margin alliance revenue, partly offset by the $6.7B cost programme) and recovers to 31%. Acquired IPR&amp;D, restructuring and legal costs (~3.5B/yr) are treated as recurring operating costs, which is why the house margin sits ~6pp below Pfizer's adjusted basis. The dividend (~9.9B) is roughly covered by levered FCF through the trough with no buybacks and flat leverage, exactly as guided.</t>
  </si>
  <si>
    <t xml:space="preserve">Scenario narrative: bull</t>
  </si>
  <si>
    <t xml:space="preserve">The pipeline converts: Metsera's monthly GLP-1 and amylin combination succeed in Phase 3 and launch in 2029, PD-1xVEGF and the next-generation oncology assets (atirmociclib, vepdegestrant, mevrometostat) backfill the Ibrance/Xtandi/Eliquis losses, Padcev passes $5B, and the LOE trough is shallower (~59B in 2029). Margins expand to 34% on productivity savings. Revenue reaches ~72B by 2035. This requires several independent clinical and regulatory outcomes to go right within three years of a $3.8B Phase 3 failure, so it is weighted below the house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</si>
  <si>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</si>
  <si>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</si>
  <si>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</si>
  <si>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</si>
  <si>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</si>
  <si>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</si>
  <si>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</si>
  <si>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</si>
  <si>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</si>
  <si>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</si>
  <si>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</si>
  <si>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</si>
  <si>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</si>
  <si>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</si>
  <si>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</si>
  <si>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</si>
  <si>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</si>
  <si>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</si>
  <si>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</si>
  <si>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</si>
  <si>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</si>
  <si>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</si>
  <si>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</si>
  <si>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</si>
  <si>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</si>
  <si>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</si>
  <si>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</si>
  <si>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</si>
  <si>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</si>
  <si>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</si>
  <si>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</si>
  <si>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</si>
  <si>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</si>
  <si>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</si>
  <si>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</si>
  <si>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</si>
  <si>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</si>
  <si>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</si>
  <si>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</si>
  <si>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</si>
  <si>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</si>
  <si>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</si>
  <si>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</si>
  <si>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</si>
  <si>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</si>
  <si>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</si>
  <si>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</si>
  <si>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</si>
  <si>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</si>
  <si>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</si>
  <si>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</si>
  <si>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</si>
  <si>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</si>
  <si>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</si>
  <si>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</si>
  <si>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</si>
  <si>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</si>
  <si>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</si>
  <si>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</si>
  <si>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</si>
  <si>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</si>
  <si>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</si>
  <si>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</si>
  <si>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</si>
  <si>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</si>
  <si>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</si>
  <si>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</si>
  <si>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</si>
  <si>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</si>
  <si>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</si>
  <si>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</si>
  <si>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</si>
  <si>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</si>
  <si>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</si>
  <si>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</si>
  <si>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</si>
  <si>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</si>
  <si>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</si>
  <si>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</si>
  <si>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</si>
  <si>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</si>
  <si>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</si>
  <si>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</si>
  <si>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</si>
  <si>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PFE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</si>
  <si>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</si>
  <si>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</si>
  <si>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</si>
  <si>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</si>
  <si>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</si>
  <si>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</si>
  <si>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</si>
  <si>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</si>
  <si>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</si>
  <si>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</si>
  <si>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</si>
  <si>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</si>
  <si>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</si>
  <si>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</si>
  <si>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</si>
  <si>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</si>
  <si>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</si>
  <si>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</si>
  <si>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</si>
  <si>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</si>
  <si>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</si>
  <si>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</si>
  <si>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</si>
  <si>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</si>
  <si>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</si>
  <si>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</si>
  <si>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</si>
  <si>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</si>
  <si>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</si>
  <si>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</si>
  <si>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PFE owner-FCF component DCF: base case (millions, USD)</t>
  </si>
  <si>
    <t xml:space="preserve">PFE owner-FCF component DCF: bull case (millions, USD)</t>
  </si>
  <si>
    <t xml:space="preserve">PFE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</si>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</sst>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71432</v>
      </c>
      <c r="S2" s="0" t="n">
        <v>1827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48418</v>
      </c>
      <c r="C3" s="0" t="n">
        <v>11239</v>
      </c>
      <c r="I3" s="0" t="n">
        <v>8186</v>
      </c>
      <c r="J3" s="0" t="n">
        <v>16.9069354372341</v>
      </c>
      <c r="K3" s="0" t="n">
        <v>1.18</v>
      </c>
      <c r="L3" s="0" t="n">
        <v>13353</v>
      </c>
      <c r="M3" s="0" t="n">
        <v>1880</v>
      </c>
      <c r="N3" s="0" t="n">
        <v>11473</v>
      </c>
      <c r="O3" s="0" t="n">
        <v>65124</v>
      </c>
      <c r="S3" s="0" t="n">
        <v>3406</v>
      </c>
      <c r="T3" s="0" t="n">
        <v>6939</v>
      </c>
      <c r="U3" s="0" t="n">
        <v>437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48296</v>
      </c>
      <c r="C4" s="0" t="n">
        <v>8112</v>
      </c>
      <c r="I4" s="0" t="n">
        <v>8127</v>
      </c>
      <c r="J4" s="0" t="n">
        <v>16.8274805366904</v>
      </c>
      <c r="K4" s="0" t="n">
        <v>1.2</v>
      </c>
      <c r="L4" s="0" t="n">
        <v>18238</v>
      </c>
      <c r="M4" s="0" t="n">
        <v>1701</v>
      </c>
      <c r="N4" s="0" t="n">
        <v>16537</v>
      </c>
      <c r="O4" s="0" t="n">
        <v>57740</v>
      </c>
      <c r="P4" s="0" t="n">
        <v>111148</v>
      </c>
      <c r="Q4" s="0" t="n">
        <v>53408</v>
      </c>
      <c r="R4" s="0" t="n">
        <v>17283</v>
      </c>
      <c r="S4" s="0" t="n">
        <v>2122</v>
      </c>
      <c r="T4" s="0" t="n">
        <v>6750</v>
      </c>
      <c r="U4" s="0" t="n">
        <v>384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49269</v>
      </c>
      <c r="C5" s="0" t="n">
        <v>8459</v>
      </c>
      <c r="I5" s="0" t="n">
        <v>8643</v>
      </c>
      <c r="J5" s="0" t="n">
        <v>17.5424709249224</v>
      </c>
      <c r="K5" s="0" t="n">
        <v>1.23</v>
      </c>
      <c r="L5" s="0" t="n">
        <v>16587</v>
      </c>
      <c r="M5" s="0" t="n">
        <v>1205</v>
      </c>
      <c r="N5" s="0" t="n">
        <v>15382</v>
      </c>
      <c r="O5" s="0" t="n">
        <v>90446</v>
      </c>
      <c r="P5" s="0" t="n">
        <v>212949</v>
      </c>
      <c r="Q5" s="0" t="n">
        <v>122503</v>
      </c>
      <c r="R5" s="0" t="n">
        <v>48662</v>
      </c>
      <c r="S5" s="0" t="n">
        <v>1978</v>
      </c>
      <c r="T5" s="0" t="n">
        <v>7045</v>
      </c>
      <c r="U5" s="0" t="n">
        <v>349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65165</v>
      </c>
      <c r="C6" s="0" t="n">
        <v>14788</v>
      </c>
      <c r="I6" s="0" t="n">
        <v>8288</v>
      </c>
      <c r="J6" s="0" t="n">
        <v>12.7184838486918</v>
      </c>
      <c r="K6" s="0" t="n">
        <v>1.03</v>
      </c>
      <c r="L6" s="0" t="n">
        <v>11454</v>
      </c>
      <c r="M6" s="0" t="n">
        <v>1513</v>
      </c>
      <c r="N6" s="0" t="n">
        <v>9941</v>
      </c>
      <c r="O6" s="0" t="n">
        <v>88265</v>
      </c>
      <c r="P6" s="0" t="n">
        <v>195014</v>
      </c>
      <c r="Q6" s="0" t="n">
        <v>106749</v>
      </c>
      <c r="R6" s="0" t="n">
        <v>44013</v>
      </c>
      <c r="S6" s="0" t="n">
        <v>1735</v>
      </c>
      <c r="T6" s="0" t="n">
        <v>8074</v>
      </c>
      <c r="U6" s="0" t="n">
        <v>405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61035</v>
      </c>
      <c r="C7" s="0" t="n">
        <v>12500</v>
      </c>
      <c r="I7" s="0" t="n">
        <v>10049</v>
      </c>
      <c r="J7" s="0" t="n">
        <v>16.4643237486688</v>
      </c>
      <c r="K7" s="0" t="n">
        <v>1.28</v>
      </c>
      <c r="L7" s="0" t="n">
        <v>20240</v>
      </c>
      <c r="M7" s="0" t="n">
        <v>1660</v>
      </c>
      <c r="N7" s="0" t="n">
        <v>18580</v>
      </c>
      <c r="O7" s="0" t="n">
        <v>82621</v>
      </c>
      <c r="P7" s="0" t="n">
        <v>188002</v>
      </c>
      <c r="Q7" s="0" t="n">
        <v>105381</v>
      </c>
      <c r="R7" s="0" t="n">
        <v>38942</v>
      </c>
      <c r="S7" s="0" t="n">
        <v>3182</v>
      </c>
      <c r="T7" s="0" t="n">
        <v>7870</v>
      </c>
      <c r="U7" s="0" t="n">
        <v>419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54657</v>
      </c>
      <c r="C8" s="0" t="n">
        <v>9821</v>
      </c>
      <c r="I8" s="0" t="n">
        <v>14598</v>
      </c>
      <c r="J8" s="0" t="n">
        <v>26.7083813601186</v>
      </c>
      <c r="K8" s="0" t="n">
        <v>1.96</v>
      </c>
      <c r="L8" s="0" t="n">
        <v>16746</v>
      </c>
      <c r="M8" s="0" t="n">
        <v>1327</v>
      </c>
      <c r="N8" s="0" t="n">
        <v>15419</v>
      </c>
      <c r="O8" s="0" t="n">
        <v>81678</v>
      </c>
      <c r="P8" s="0" t="n">
        <v>185798</v>
      </c>
      <c r="Q8" s="0" t="n">
        <v>104120</v>
      </c>
      <c r="R8" s="0" t="n">
        <v>37460</v>
      </c>
      <c r="S8" s="0" t="n">
        <v>10081</v>
      </c>
      <c r="T8" s="0" t="n">
        <v>7508</v>
      </c>
      <c r="U8" s="0" t="n">
        <v>481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51584</v>
      </c>
      <c r="C9" s="0" t="n">
        <v>9586</v>
      </c>
      <c r="I9" s="0" t="n">
        <v>22072</v>
      </c>
      <c r="J9" s="0" t="n">
        <v>42.7884615384615</v>
      </c>
      <c r="K9" s="0" t="n">
        <v>3.23</v>
      </c>
      <c r="L9" s="0" t="n">
        <v>17684</v>
      </c>
      <c r="M9" s="0" t="n">
        <v>1206</v>
      </c>
      <c r="N9" s="0" t="n">
        <v>16478</v>
      </c>
      <c r="O9" s="0" t="n">
        <v>76620</v>
      </c>
      <c r="P9" s="0" t="n">
        <v>172101</v>
      </c>
      <c r="Q9" s="0" t="n">
        <v>95481</v>
      </c>
      <c r="R9" s="0" t="n">
        <v>36489</v>
      </c>
      <c r="S9" s="0" t="n">
        <v>2183</v>
      </c>
      <c r="T9" s="0" t="n">
        <v>6895</v>
      </c>
      <c r="U9" s="0" t="n">
        <v>523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I10" s="0" t="n">
        <v>9168</v>
      </c>
      <c r="K10" s="0" t="n">
        <v>1.44</v>
      </c>
      <c r="L10" s="0" t="n">
        <v>17084</v>
      </c>
      <c r="M10" s="0" t="n">
        <v>1199</v>
      </c>
      <c r="N10" s="0" t="n">
        <v>15885</v>
      </c>
      <c r="O10" s="0" t="n">
        <v>71622</v>
      </c>
      <c r="P10" s="0" t="n">
        <v>167566</v>
      </c>
      <c r="Q10" s="0" t="n">
        <v>95944</v>
      </c>
      <c r="R10" s="0" t="n">
        <v>36682</v>
      </c>
      <c r="S10" s="0" t="n">
        <v>3343</v>
      </c>
      <c r="T10" s="0" t="n">
        <v>6424</v>
      </c>
      <c r="U10" s="0" t="n">
        <v>586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I11" s="0" t="n">
        <v>6986</v>
      </c>
      <c r="K11" s="0" t="n">
        <v>1.13</v>
      </c>
      <c r="L11" s="0" t="n">
        <v>14688</v>
      </c>
      <c r="M11" s="0" t="n">
        <v>1397</v>
      </c>
      <c r="N11" s="0" t="n">
        <v>13291</v>
      </c>
      <c r="O11" s="0" t="n">
        <v>64998</v>
      </c>
      <c r="P11" s="0" t="n">
        <v>167381</v>
      </c>
      <c r="Q11" s="0" t="n">
        <v>102384</v>
      </c>
      <c r="R11" s="0" t="n">
        <v>38899</v>
      </c>
      <c r="S11" s="0" t="n">
        <v>3641</v>
      </c>
      <c r="T11" s="0" t="n">
        <v>6257</v>
      </c>
      <c r="U11" s="0" t="n">
        <v>669</v>
      </c>
      <c r="V11" s="0" t="n">
        <v>0.3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52824</v>
      </c>
      <c r="C12" s="0" t="n">
        <v>12322</v>
      </c>
      <c r="I12" s="0" t="n">
        <v>7246</v>
      </c>
      <c r="J12" s="0" t="n">
        <v>13.717249734969</v>
      </c>
      <c r="K12" s="0" t="n">
        <v>1.18</v>
      </c>
      <c r="L12" s="0" t="n">
        <v>16192</v>
      </c>
      <c r="M12" s="0" t="n">
        <v>1823</v>
      </c>
      <c r="N12" s="0" t="n">
        <v>14369</v>
      </c>
      <c r="O12" s="0" t="n">
        <v>59840</v>
      </c>
      <c r="P12" s="0" t="n">
        <v>171615</v>
      </c>
      <c r="Q12" s="0" t="n">
        <v>111776</v>
      </c>
      <c r="R12" s="0" t="n">
        <v>42086</v>
      </c>
      <c r="S12" s="0" t="n">
        <v>2595</v>
      </c>
      <c r="T12" s="0" t="n">
        <v>6159</v>
      </c>
      <c r="U12" s="0" t="n">
        <v>691</v>
      </c>
      <c r="V12" s="0" t="n">
        <v>1.22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52546</v>
      </c>
      <c r="C13" s="0" t="n">
        <v>11228</v>
      </c>
      <c r="I13" s="0" t="n">
        <v>21355</v>
      </c>
      <c r="J13" s="0" t="n">
        <v>40.6405815856583</v>
      </c>
      <c r="K13" s="0" t="n">
        <v>3.57</v>
      </c>
      <c r="L13" s="0" t="n">
        <v>16802</v>
      </c>
      <c r="M13" s="0" t="n">
        <v>1956</v>
      </c>
      <c r="N13" s="0" t="n">
        <v>14846</v>
      </c>
      <c r="O13" s="0" t="n">
        <v>71656</v>
      </c>
      <c r="P13" s="0" t="n">
        <v>171797</v>
      </c>
      <c r="Q13" s="0" t="n">
        <v>100141</v>
      </c>
      <c r="R13" s="0" t="n">
        <v>43491</v>
      </c>
      <c r="S13" s="0" t="n">
        <v>1342</v>
      </c>
      <c r="T13" s="0" t="n">
        <v>6058</v>
      </c>
      <c r="U13" s="0" t="n">
        <v>840</v>
      </c>
      <c r="V13" s="0" t="n">
        <v>1.3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40825</v>
      </c>
      <c r="C14" s="0" t="n">
        <v>8987</v>
      </c>
      <c r="I14" s="0" t="n">
        <v>11188</v>
      </c>
      <c r="J14" s="0" t="n">
        <v>27.4047764849969</v>
      </c>
      <c r="K14" s="0" t="n">
        <v>1.9</v>
      </c>
      <c r="L14" s="0" t="n">
        <v>15827</v>
      </c>
      <c r="M14" s="0" t="n">
        <v>1984</v>
      </c>
      <c r="N14" s="0" t="n">
        <v>13843</v>
      </c>
      <c r="O14" s="0" t="n">
        <v>63758</v>
      </c>
      <c r="P14" s="0" t="n">
        <v>159422</v>
      </c>
      <c r="Q14" s="0" t="n">
        <v>95664</v>
      </c>
      <c r="R14" s="0" t="n">
        <v>41740</v>
      </c>
      <c r="S14" s="0" t="n">
        <v>1139</v>
      </c>
      <c r="T14" s="0" t="n">
        <v>5977</v>
      </c>
      <c r="U14" s="0" t="n">
        <v>949</v>
      </c>
      <c r="V14" s="0" t="n">
        <v>1.38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40905</v>
      </c>
      <c r="C15" s="0" t="n">
        <v>8054</v>
      </c>
      <c r="I15" s="0" t="n">
        <v>16056</v>
      </c>
      <c r="J15" s="0" t="n">
        <v>39.2519251925193</v>
      </c>
      <c r="K15" s="0" t="n">
        <v>2.88</v>
      </c>
      <c r="L15" s="0" t="n">
        <v>12588</v>
      </c>
      <c r="M15" s="0" t="n">
        <v>2046</v>
      </c>
      <c r="N15" s="0" t="n">
        <v>10542</v>
      </c>
      <c r="O15" s="0" t="n">
        <v>63447</v>
      </c>
      <c r="P15" s="0" t="n">
        <v>167594</v>
      </c>
      <c r="Q15" s="0" t="n">
        <v>104148</v>
      </c>
      <c r="R15" s="0" t="n">
        <v>52150</v>
      </c>
      <c r="S15" s="0" t="n">
        <v>1121</v>
      </c>
      <c r="T15" s="0" t="n">
        <v>5675</v>
      </c>
      <c r="U15" s="0" t="n">
        <v>718</v>
      </c>
      <c r="V15" s="0" t="n">
        <v>1.46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41651</v>
      </c>
      <c r="C16" s="0" t="n">
        <v>8484</v>
      </c>
      <c r="I16" s="0" t="n">
        <v>9195</v>
      </c>
      <c r="J16" s="0" t="n">
        <v>22.0763006890591</v>
      </c>
      <c r="K16" s="0" t="n">
        <v>1.65</v>
      </c>
      <c r="L16" s="0" t="n">
        <v>14403</v>
      </c>
      <c r="M16" s="0" t="n">
        <v>2226</v>
      </c>
      <c r="N16" s="0" t="n">
        <v>12177</v>
      </c>
      <c r="O16" s="0" t="n">
        <v>63473</v>
      </c>
      <c r="P16" s="0" t="n">
        <v>154229</v>
      </c>
      <c r="Q16" s="0" t="n">
        <v>90756</v>
      </c>
      <c r="R16" s="0" t="n">
        <v>39836</v>
      </c>
      <c r="S16" s="0" t="n">
        <v>1786</v>
      </c>
      <c r="T16" s="0" t="n">
        <v>5632</v>
      </c>
      <c r="U16" s="0" t="n">
        <v>780</v>
      </c>
      <c r="V16" s="0" t="n">
        <v>1.53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81288</v>
      </c>
      <c r="C17" s="0" t="n">
        <v>30821</v>
      </c>
      <c r="I17" s="0" t="n">
        <v>22025</v>
      </c>
      <c r="J17" s="0" t="n">
        <v>27.0950201751796</v>
      </c>
      <c r="K17" s="0" t="n">
        <v>3.92</v>
      </c>
      <c r="L17" s="0" t="n">
        <v>32580</v>
      </c>
      <c r="M17" s="0" t="n">
        <v>2711</v>
      </c>
      <c r="N17" s="0" t="n">
        <v>29869</v>
      </c>
      <c r="O17" s="0" t="n">
        <v>77462</v>
      </c>
      <c r="P17" s="0" t="n">
        <v>181476</v>
      </c>
      <c r="Q17" s="0" t="n">
        <v>104013</v>
      </c>
      <c r="R17" s="0" t="n">
        <v>38436</v>
      </c>
      <c r="S17" s="0" t="n">
        <v>1944</v>
      </c>
      <c r="T17" s="0" t="n">
        <v>5708</v>
      </c>
      <c r="U17" s="0" t="n">
        <v>1200</v>
      </c>
      <c r="V17" s="0" t="n">
        <v>1.57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101175</v>
      </c>
      <c r="C18" s="0" t="n">
        <v>34344</v>
      </c>
      <c r="I18" s="0" t="n">
        <v>31407</v>
      </c>
      <c r="J18" s="0" t="n">
        <v>31.0422535211268</v>
      </c>
      <c r="K18" s="0" t="n">
        <v>5.59</v>
      </c>
      <c r="L18" s="0" t="n">
        <v>29267</v>
      </c>
      <c r="M18" s="0" t="n">
        <v>3236</v>
      </c>
      <c r="N18" s="0" t="n">
        <v>26031</v>
      </c>
      <c r="O18" s="0" t="n">
        <v>95916</v>
      </c>
      <c r="P18" s="0" t="n">
        <v>197205</v>
      </c>
      <c r="Q18" s="0" t="n">
        <v>101288</v>
      </c>
      <c r="R18" s="0" t="n">
        <v>35829</v>
      </c>
      <c r="S18" s="0" t="n">
        <v>416</v>
      </c>
      <c r="T18" s="0" t="n">
        <v>5733</v>
      </c>
      <c r="U18" s="0" t="n">
        <v>872</v>
      </c>
      <c r="V18" s="0" t="n">
        <v>1.61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59553</v>
      </c>
      <c r="C19" s="0" t="n">
        <v>24954</v>
      </c>
      <c r="I19" s="0" t="n">
        <v>2158</v>
      </c>
      <c r="J19" s="0" t="n">
        <v>3.62366295568653</v>
      </c>
      <c r="K19" s="0" t="n">
        <v>0.38</v>
      </c>
      <c r="L19" s="0" t="n">
        <v>8700</v>
      </c>
      <c r="M19" s="0" t="n">
        <v>3907</v>
      </c>
      <c r="N19" s="0" t="n">
        <v>4793</v>
      </c>
      <c r="O19" s="0" t="n">
        <v>89288</v>
      </c>
      <c r="P19" s="0" t="n">
        <v>226501</v>
      </c>
      <c r="Q19" s="0" t="n">
        <v>137213</v>
      </c>
      <c r="R19" s="0" t="n">
        <v>71888</v>
      </c>
      <c r="S19" s="0" t="n">
        <v>2853</v>
      </c>
      <c r="T19" s="0" t="n">
        <v>5709</v>
      </c>
      <c r="U19" s="0" t="n">
        <v>525</v>
      </c>
      <c r="V19" s="0" t="n">
        <v>1.65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63627</v>
      </c>
      <c r="C20" s="0" t="n">
        <v>17851</v>
      </c>
      <c r="I20" s="0" t="n">
        <v>8062</v>
      </c>
      <c r="J20" s="0" t="n">
        <v>12.6707215490279</v>
      </c>
      <c r="K20" s="0" t="n">
        <v>1.42</v>
      </c>
      <c r="L20" s="0" t="n">
        <v>12744</v>
      </c>
      <c r="M20" s="0" t="n">
        <v>2909</v>
      </c>
      <c r="N20" s="0" t="n">
        <v>9835</v>
      </c>
      <c r="O20" s="0" t="n">
        <v>88497</v>
      </c>
      <c r="P20" s="0" t="n">
        <v>213396</v>
      </c>
      <c r="Q20" s="0" t="n">
        <v>124899</v>
      </c>
      <c r="R20" s="0" t="n">
        <v>64351</v>
      </c>
      <c r="S20" s="0" t="n">
        <v>1043</v>
      </c>
      <c r="T20" s="0" t="n">
        <v>5700</v>
      </c>
      <c r="U20" s="0" t="n">
        <v>877</v>
      </c>
      <c r="V20" s="0" t="n">
        <v>1.69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62579</v>
      </c>
      <c r="C21" s="0" t="n">
        <v>16067</v>
      </c>
      <c r="I21" s="0" t="n">
        <v>7812</v>
      </c>
      <c r="J21" s="0" t="n">
        <v>12.4834209559117</v>
      </c>
      <c r="K21" s="0" t="n">
        <v>1.37</v>
      </c>
      <c r="L21" s="0" t="n">
        <v>11704</v>
      </c>
      <c r="M21" s="0" t="n">
        <v>2629</v>
      </c>
      <c r="N21" s="0" t="n">
        <v>9075</v>
      </c>
      <c r="O21" s="0" t="n">
        <v>86775</v>
      </c>
      <c r="P21" s="0" t="n">
        <v>208160</v>
      </c>
      <c r="Q21" s="0" t="n">
        <v>121385</v>
      </c>
      <c r="R21" s="0" t="n">
        <v>64795</v>
      </c>
      <c r="S21" s="0" t="n">
        <v>1142</v>
      </c>
      <c r="T21" s="0" t="n">
        <v>5713</v>
      </c>
      <c r="U21" s="0" t="n">
        <v>799</v>
      </c>
      <c r="V21" s="0" t="n">
        <v>1.72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28.12</v>
      </c>
    </row>
    <row r="3" customFormat="false" ht="15" hidden="false" customHeight="false" outlineLevel="0" collapsed="false">
      <c r="A3" s="0" t="s">
        <v>86</v>
      </c>
      <c r="B3" s="3" t="n">
        <v>5735</v>
      </c>
    </row>
    <row r="4" customFormat="false" ht="15" hidden="false" customHeight="false" outlineLevel="0" collapsed="false">
      <c r="A4" s="0" t="s">
        <v>87</v>
      </c>
      <c r="B4" s="3" t="n">
        <v>51495</v>
      </c>
    </row>
    <row r="5" customFormat="false" ht="15" hidden="false" customHeight="false" outlineLevel="0" collapsed="false">
      <c r="A5" s="0" t="s">
        <v>88</v>
      </c>
      <c r="B5" s="3" t="n">
        <v>-18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62579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-2.5</v>
      </c>
      <c r="D13" s="3" t="n">
        <v>-5</v>
      </c>
      <c r="E13" s="3" t="n">
        <v>-8</v>
      </c>
      <c r="F13" s="3" t="n">
        <v>-6</v>
      </c>
      <c r="G13" s="3" t="n">
        <v>-3</v>
      </c>
      <c r="H13" s="3" t="n">
        <v>0</v>
      </c>
      <c r="I13" s="3" t="n">
        <v>1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31</v>
      </c>
      <c r="D14" s="3" t="n">
        <v>29.5</v>
      </c>
      <c r="E14" s="3" t="n">
        <v>27.5</v>
      </c>
      <c r="F14" s="3" t="n">
        <v>26</v>
      </c>
      <c r="G14" s="3" t="n">
        <v>25.5</v>
      </c>
      <c r="H14" s="3" t="n">
        <v>25.5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108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1.4</v>
      </c>
      <c r="H15" s="3" t="n">
        <v>1.4</v>
      </c>
      <c r="I15" s="3" t="n">
        <v>1.4</v>
      </c>
      <c r="J15" s="3" t="n">
        <v>1.4</v>
      </c>
      <c r="K15" s="3" t="n">
        <v>1.4</v>
      </c>
      <c r="L15" s="3" t="n">
        <v>1.4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10.6</v>
      </c>
      <c r="D17" s="3" t="n">
        <v>10.2</v>
      </c>
      <c r="E17" s="3" t="n">
        <v>10.3</v>
      </c>
      <c r="F17" s="3" t="n">
        <v>9.1</v>
      </c>
      <c r="G17" s="3" t="n">
        <v>9.3</v>
      </c>
      <c r="H17" s="3" t="n">
        <v>9</v>
      </c>
      <c r="I17" s="3" t="n">
        <v>8.5</v>
      </c>
      <c r="J17" s="3" t="n">
        <v>8</v>
      </c>
      <c r="K17" s="3" t="n">
        <v>7.5</v>
      </c>
      <c r="L17" s="3" t="n">
        <v>7</v>
      </c>
    </row>
    <row r="18" customFormat="false" ht="15" hidden="false" customHeight="false" outlineLevel="0" collapsed="false">
      <c r="A18" s="0" t="s">
        <v>111</v>
      </c>
      <c r="C18" s="3" t="n">
        <v>4.3</v>
      </c>
      <c r="D18" s="3" t="n">
        <v>4.5</v>
      </c>
      <c r="E18" s="3" t="n">
        <v>4.7</v>
      </c>
      <c r="F18" s="3" t="n">
        <v>4.7</v>
      </c>
      <c r="G18" s="3" t="n">
        <v>4.7</v>
      </c>
      <c r="H18" s="3" t="n">
        <v>4.7</v>
      </c>
      <c r="I18" s="3" t="n">
        <v>4.7</v>
      </c>
      <c r="J18" s="3" t="n">
        <v>4.7</v>
      </c>
      <c r="K18" s="3" t="n">
        <v>4.7</v>
      </c>
      <c r="L18" s="3" t="n">
        <v>4.7</v>
      </c>
    </row>
    <row r="19" customFormat="false" ht="15" hidden="false" customHeight="false" outlineLevel="0" collapsed="false">
      <c r="A19" s="0" t="s">
        <v>112</v>
      </c>
      <c r="C19" s="3" t="n">
        <v>26</v>
      </c>
      <c r="D19" s="3" t="n">
        <v>25</v>
      </c>
      <c r="E19" s="3" t="n">
        <v>25</v>
      </c>
      <c r="F19" s="3" t="n">
        <v>24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-8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-1</v>
      </c>
      <c r="D27" s="3" t="n">
        <v>-2.5</v>
      </c>
      <c r="E27" s="3" t="n">
        <v>-5</v>
      </c>
      <c r="F27" s="3" t="n">
        <v>-4</v>
      </c>
      <c r="G27" s="3" t="n">
        <v>0</v>
      </c>
      <c r="H27" s="3" t="n">
        <v>2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32</v>
      </c>
      <c r="D28" s="3" t="n">
        <v>31.5</v>
      </c>
      <c r="E28" s="3" t="n">
        <v>30.5</v>
      </c>
      <c r="F28" s="3" t="n">
        <v>30</v>
      </c>
      <c r="G28" s="3" t="n">
        <v>30</v>
      </c>
      <c r="H28" s="3" t="n">
        <v>30.5</v>
      </c>
      <c r="I28" s="3" t="n">
        <v>31</v>
      </c>
      <c r="J28" s="3" t="n">
        <v>31</v>
      </c>
      <c r="K28" s="3" t="n">
        <v>31</v>
      </c>
      <c r="L28" s="3" t="n">
        <v>31</v>
      </c>
    </row>
    <row r="29" customFormat="false" ht="15" hidden="false" customHeight="false" outlineLevel="0" collapsed="false">
      <c r="A29" s="0" t="s">
        <v>108</v>
      </c>
      <c r="C29" s="3" t="n">
        <v>1.5</v>
      </c>
      <c r="D29" s="3" t="n">
        <v>1.4</v>
      </c>
      <c r="E29" s="3" t="n">
        <v>1.4</v>
      </c>
      <c r="F29" s="3" t="n">
        <v>1.3</v>
      </c>
      <c r="G29" s="3" t="n">
        <v>1.3</v>
      </c>
      <c r="H29" s="3" t="n">
        <v>1.3</v>
      </c>
      <c r="I29" s="3" t="n">
        <v>1.3</v>
      </c>
      <c r="J29" s="3" t="n">
        <v>1.3</v>
      </c>
      <c r="K29" s="3" t="n">
        <v>1.3</v>
      </c>
      <c r="L29" s="3" t="n">
        <v>1.3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10.4</v>
      </c>
      <c r="D31" s="3" t="n">
        <v>9.7</v>
      </c>
      <c r="E31" s="3" t="n">
        <v>9.5</v>
      </c>
      <c r="F31" s="3" t="n">
        <v>8.2</v>
      </c>
      <c r="G31" s="3" t="n">
        <v>8.1</v>
      </c>
      <c r="H31" s="3" t="n">
        <v>8</v>
      </c>
      <c r="I31" s="3" t="n">
        <v>7.5</v>
      </c>
      <c r="J31" s="3" t="n">
        <v>7</v>
      </c>
      <c r="K31" s="3" t="n">
        <v>6.5</v>
      </c>
      <c r="L31" s="3" t="n">
        <v>6</v>
      </c>
    </row>
    <row r="32" customFormat="false" ht="15" hidden="false" customHeight="false" outlineLevel="0" collapsed="false">
      <c r="A32" s="0" t="s">
        <v>111</v>
      </c>
      <c r="C32" s="3" t="n">
        <v>4.3</v>
      </c>
      <c r="D32" s="3" t="n">
        <v>4.5</v>
      </c>
      <c r="E32" s="3" t="n">
        <v>4.5</v>
      </c>
      <c r="F32" s="3" t="n">
        <v>4.5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112</v>
      </c>
      <c r="C33" s="3" t="n">
        <v>26</v>
      </c>
      <c r="D33" s="3" t="n">
        <v>25</v>
      </c>
      <c r="E33" s="3" t="n">
        <v>24</v>
      </c>
      <c r="F33" s="3" t="n">
        <v>23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0.5</v>
      </c>
      <c r="D41" s="3" t="n">
        <v>0</v>
      </c>
      <c r="E41" s="3" t="n">
        <v>-2</v>
      </c>
      <c r="F41" s="3" t="n">
        <v>-1</v>
      </c>
      <c r="G41" s="3" t="n">
        <v>3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32.5</v>
      </c>
      <c r="D42" s="3" t="n">
        <v>32.5</v>
      </c>
      <c r="E42" s="3" t="n">
        <v>32</v>
      </c>
      <c r="F42" s="3" t="n">
        <v>32</v>
      </c>
      <c r="G42" s="3" t="n">
        <v>32.5</v>
      </c>
      <c r="H42" s="3" t="n">
        <v>33</v>
      </c>
      <c r="I42" s="3" t="n">
        <v>33.5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108</v>
      </c>
      <c r="C43" s="3" t="n">
        <v>1.5</v>
      </c>
      <c r="D43" s="3" t="n">
        <v>1.4</v>
      </c>
      <c r="E43" s="3" t="n">
        <v>1.4</v>
      </c>
      <c r="F43" s="3" t="n">
        <v>1.3</v>
      </c>
      <c r="G43" s="3" t="n">
        <v>1.3</v>
      </c>
      <c r="H43" s="3" t="n">
        <v>1.3</v>
      </c>
      <c r="I43" s="3" t="n">
        <v>1.3</v>
      </c>
      <c r="J43" s="3" t="n">
        <v>1.3</v>
      </c>
      <c r="K43" s="3" t="n">
        <v>1.3</v>
      </c>
      <c r="L43" s="3" t="n">
        <v>1.3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10.3</v>
      </c>
      <c r="D45" s="3" t="n">
        <v>9.5</v>
      </c>
      <c r="E45" s="3" t="n">
        <v>9.1</v>
      </c>
      <c r="F45" s="3" t="n">
        <v>7.8</v>
      </c>
      <c r="G45" s="3" t="n">
        <v>7.6</v>
      </c>
      <c r="H45" s="3" t="n">
        <v>7.5</v>
      </c>
      <c r="I45" s="3" t="n">
        <v>7</v>
      </c>
      <c r="J45" s="3" t="n">
        <v>6.5</v>
      </c>
      <c r="K45" s="3" t="n">
        <v>6</v>
      </c>
      <c r="L45" s="3" t="n">
        <v>5.5</v>
      </c>
    </row>
    <row r="46" customFormat="false" ht="15" hidden="false" customHeight="false" outlineLevel="0" collapsed="false">
      <c r="A46" s="0" t="s">
        <v>111</v>
      </c>
      <c r="C46" s="3" t="n">
        <v>4.3</v>
      </c>
      <c r="D46" s="3" t="n">
        <v>4.5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112</v>
      </c>
      <c r="C47" s="3" t="n">
        <v>26</v>
      </c>
      <c r="D47" s="3" t="n">
        <v>25</v>
      </c>
      <c r="E47" s="3" t="n">
        <v>24</v>
      </c>
      <c r="F47" s="3" t="n">
        <v>23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2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-8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-2.5</v>
      </c>
      <c r="D5" s="4" t="n">
        <f aca="false">Assumptions!D13</f>
        <v>-5</v>
      </c>
      <c r="E5" s="4" t="n">
        <f aca="false">Assumptions!E13</f>
        <v>-8</v>
      </c>
      <c r="F5" s="4" t="n">
        <f aca="false">Assumptions!F13</f>
        <v>-6</v>
      </c>
      <c r="G5" s="4" t="n">
        <f aca="false">Assumptions!G13</f>
        <v>-3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62579</v>
      </c>
      <c r="C6" s="0" t="n">
        <f aca="false">B6*(1+C5/100)</f>
        <v>61014.525</v>
      </c>
      <c r="D6" s="0" t="n">
        <f aca="false">C6*(1+D5/100)</f>
        <v>57963.79875</v>
      </c>
      <c r="E6" s="0" t="n">
        <f aca="false">D6*(1+E5/100)</f>
        <v>53326.69485</v>
      </c>
      <c r="F6" s="0" t="n">
        <f aca="false">E6*(1+F5/100)</f>
        <v>50127.093159</v>
      </c>
      <c r="G6" s="0" t="n">
        <f aca="false">F6*(1+G5/100)</f>
        <v>48623.28036423</v>
      </c>
      <c r="H6" s="0" t="n">
        <f aca="false">G6*(1+H5/100)</f>
        <v>48623.28036423</v>
      </c>
      <c r="I6" s="0" t="n">
        <f aca="false">H6*(1+I5/100)</f>
        <v>49109.5131678723</v>
      </c>
      <c r="J6" s="0" t="n">
        <f aca="false">I6*(1+J5/100)</f>
        <v>49846.1558653904</v>
      </c>
      <c r="K6" s="0" t="n">
        <f aca="false">J6*(1+K5/100)</f>
        <v>50593.8482033712</v>
      </c>
      <c r="L6" s="0" t="n">
        <f aca="false">K6*(1+L5/100)</f>
        <v>51352.7559264218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</v>
      </c>
      <c r="D7" s="4" t="n">
        <f aca="false">Assumptions!D14</f>
        <v>29.5</v>
      </c>
      <c r="E7" s="4" t="n">
        <f aca="false">Assumptions!E14</f>
        <v>27.5</v>
      </c>
      <c r="F7" s="4" t="n">
        <f aca="false">Assumptions!F14</f>
        <v>26</v>
      </c>
      <c r="G7" s="4" t="n">
        <f aca="false">Assumptions!G14</f>
        <v>25.5</v>
      </c>
      <c r="H7" s="4" t="n">
        <f aca="false">Assumptions!H14</f>
        <v>25.5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18914.50275</v>
      </c>
      <c r="D8" s="0" t="n">
        <f aca="false">D6*D7/100</f>
        <v>17099.32063125</v>
      </c>
      <c r="E8" s="0" t="n">
        <f aca="false">E6*E7/100</f>
        <v>14664.84108375</v>
      </c>
      <c r="F8" s="0" t="n">
        <f aca="false">F6*F7/100</f>
        <v>13033.04422134</v>
      </c>
      <c r="G8" s="0" t="n">
        <f aca="false">G6*G7/100</f>
        <v>12398.9364928787</v>
      </c>
      <c r="H8" s="0" t="n">
        <f aca="false">H6*H7/100</f>
        <v>12398.9364928787</v>
      </c>
      <c r="I8" s="0" t="n">
        <f aca="false">I6*I7/100</f>
        <v>12768.4734236468</v>
      </c>
      <c r="J8" s="0" t="n">
        <f aca="false">J6*J7/100</f>
        <v>12960.0005250015</v>
      </c>
      <c r="K8" s="0" t="n">
        <f aca="false">K6*K7/100</f>
        <v>13154.4005328765</v>
      </c>
      <c r="L8" s="0" t="n">
        <f aca="false">L6*L7/100</f>
        <v>13351.7165408697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1.4</v>
      </c>
      <c r="H9" s="4" t="n">
        <f aca="false">Assumptions!H15</f>
        <v>1.4</v>
      </c>
      <c r="I9" s="4" t="n">
        <f aca="false">Assumptions!I15</f>
        <v>1.4</v>
      </c>
      <c r="J9" s="4" t="n">
        <f aca="false">Assumptions!J15</f>
        <v>1.4</v>
      </c>
      <c r="K9" s="4" t="n">
        <f aca="false">Assumptions!K15</f>
        <v>1.4</v>
      </c>
      <c r="L9" s="4" t="n">
        <f aca="false">Assumptions!L15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-915.217875</v>
      </c>
      <c r="D10" s="0" t="n">
        <f aca="false">-D6*D9/100</f>
        <v>-869.45698125</v>
      </c>
      <c r="E10" s="0" t="n">
        <f aca="false">-E6*E9/100</f>
        <v>-799.90042275</v>
      </c>
      <c r="F10" s="0" t="n">
        <f aca="false">-F6*F9/100</f>
        <v>-751.906397385</v>
      </c>
      <c r="G10" s="0" t="n">
        <f aca="false">-G6*G9/100</f>
        <v>-680.72592509922</v>
      </c>
      <c r="H10" s="0" t="n">
        <f aca="false">-H6*H9/100</f>
        <v>-680.72592509922</v>
      </c>
      <c r="I10" s="0" t="n">
        <f aca="false">-I6*I9/100</f>
        <v>-687.533184350212</v>
      </c>
      <c r="J10" s="0" t="n">
        <f aca="false">-J6*J9/100</f>
        <v>-697.846182115465</v>
      </c>
      <c r="K10" s="0" t="n">
        <f aca="false">-K6*K9/100</f>
        <v>-708.313874847197</v>
      </c>
      <c r="L10" s="0" t="n">
        <f aca="false">-L6*L9/100</f>
        <v>-718.938582969905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17999.284875</v>
      </c>
      <c r="D11" s="0" t="n">
        <f aca="false">D8+D10+D24</f>
        <v>16229.86365</v>
      </c>
      <c r="E11" s="0" t="n">
        <f aca="false">E8+E10+E24</f>
        <v>13864.940661</v>
      </c>
      <c r="F11" s="0" t="n">
        <f aca="false">F8+F10+F24</f>
        <v>12281.137823955</v>
      </c>
      <c r="G11" s="0" t="n">
        <f aca="false">G8+G10+G24</f>
        <v>11718.2105677794</v>
      </c>
      <c r="H11" s="0" t="n">
        <f aca="false">H8+H10+H24</f>
        <v>11718.2105677794</v>
      </c>
      <c r="I11" s="0" t="n">
        <f aca="false">I8+I10+I24</f>
        <v>12080.9402392966</v>
      </c>
      <c r="J11" s="0" t="n">
        <f aca="false">J8+J10+J24</f>
        <v>12262.154342886</v>
      </c>
      <c r="K11" s="0" t="n">
        <f aca="false">K8+K10+K24</f>
        <v>12446.0866580293</v>
      </c>
      <c r="L11" s="0" t="n">
        <f aca="false">L8+L10+L24</f>
        <v>12632.7779578998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-6467.53965</v>
      </c>
      <c r="D12" s="4" t="n">
        <f aca="false">-D6*Assumptions!D17/100</f>
        <v>-5912.3074725</v>
      </c>
      <c r="E12" s="4" t="n">
        <f aca="false">-E6*Assumptions!E17/100</f>
        <v>-5492.64956955</v>
      </c>
      <c r="F12" s="4" t="n">
        <f aca="false">-F6*Assumptions!F17/100</f>
        <v>-4561.565477469</v>
      </c>
      <c r="G12" s="4" t="n">
        <f aca="false">-G6*Assumptions!G17/100</f>
        <v>-4521.96507387339</v>
      </c>
      <c r="H12" s="4" t="n">
        <f aca="false">-H6*Assumptions!H17/100</f>
        <v>-4376.0952327807</v>
      </c>
      <c r="I12" s="4" t="n">
        <f aca="false">-I6*Assumptions!I17/100</f>
        <v>-4174.30861926915</v>
      </c>
      <c r="J12" s="4" t="n">
        <f aca="false">-J6*Assumptions!J17/100</f>
        <v>-3987.69246923123</v>
      </c>
      <c r="K12" s="4" t="n">
        <f aca="false">-K6*Assumptions!K17/100</f>
        <v>-3794.53861525284</v>
      </c>
      <c r="L12" s="4" t="n">
        <f aca="false">-L6*Assumptions!L17/100</f>
        <v>-3594.69291484953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11531.745225</v>
      </c>
      <c r="D13" s="0" t="n">
        <f aca="false">D11+D12</f>
        <v>10317.5561775</v>
      </c>
      <c r="E13" s="0" t="n">
        <f aca="false">E11+E12</f>
        <v>8372.29109145</v>
      </c>
      <c r="F13" s="0" t="n">
        <f aca="false">F11+F12</f>
        <v>7719.572346486</v>
      </c>
      <c r="G13" s="0" t="n">
        <f aca="false">G11+G12</f>
        <v>7196.24549390604</v>
      </c>
      <c r="H13" s="0" t="n">
        <f aca="false">H11+H12</f>
        <v>7342.11533499873</v>
      </c>
      <c r="I13" s="0" t="n">
        <f aca="false">I11+I12</f>
        <v>7906.63162002744</v>
      </c>
      <c r="J13" s="0" t="n">
        <f aca="false">J11+J12</f>
        <v>8274.4618736548</v>
      </c>
      <c r="K13" s="0" t="n">
        <f aca="false">K11+K12</f>
        <v>8651.54804277648</v>
      </c>
      <c r="L13" s="0" t="n">
        <f aca="false">L11+L12</f>
        <v>9038.08504305023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26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24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8533.4914665</v>
      </c>
      <c r="D15" s="0" t="n">
        <f aca="false">D13-MAX(0,D13)*D14/100</f>
        <v>7738.167133125</v>
      </c>
      <c r="E15" s="0" t="n">
        <f aca="false">E13-MAX(0,E13)*E14/100</f>
        <v>6279.2183185875</v>
      </c>
      <c r="F15" s="0" t="n">
        <f aca="false">F13-MAX(0,F13)*F14/100</f>
        <v>5866.87498332936</v>
      </c>
      <c r="G15" s="0" t="n">
        <f aca="false">G13-MAX(0,G13)*G14/100</f>
        <v>5541.10903030765</v>
      </c>
      <c r="H15" s="0" t="n">
        <f aca="false">H13-MAX(0,H13)*H14/100</f>
        <v>5653.42880794902</v>
      </c>
      <c r="I15" s="0" t="n">
        <f aca="false">I13-MAX(0,I13)*I14/100</f>
        <v>6088.10634742113</v>
      </c>
      <c r="J15" s="0" t="n">
        <f aca="false">J13-MAX(0,J13)*J14/100</f>
        <v>6371.3356427142</v>
      </c>
      <c r="K15" s="0" t="n">
        <f aca="false">K13-MAX(0,K13)*K14/100</f>
        <v>6661.69199293789</v>
      </c>
      <c r="L15" s="0" t="n">
        <f aca="false">L13-MAX(0,L13)*L14/100</f>
        <v>6959.32548314868</v>
      </c>
    </row>
    <row r="16" customFormat="false" ht="15" hidden="false" customHeight="false" outlineLevel="0" collapsed="false">
      <c r="A16" s="0" t="s">
        <v>128</v>
      </c>
      <c r="C16" s="0" t="n">
        <f aca="false">-C12</f>
        <v>6467.53965</v>
      </c>
      <c r="D16" s="0" t="n">
        <f aca="false">-D12</f>
        <v>5912.3074725</v>
      </c>
      <c r="E16" s="0" t="n">
        <f aca="false">-E12</f>
        <v>5492.64956955</v>
      </c>
      <c r="F16" s="0" t="n">
        <f aca="false">-F12</f>
        <v>4561.565477469</v>
      </c>
      <c r="G16" s="0" t="n">
        <f aca="false">-G12</f>
        <v>4521.96507387339</v>
      </c>
      <c r="H16" s="0" t="n">
        <f aca="false">-H12</f>
        <v>4376.0952327807</v>
      </c>
      <c r="I16" s="0" t="n">
        <f aca="false">-I12</f>
        <v>4174.30861926915</v>
      </c>
      <c r="J16" s="0" t="n">
        <f aca="false">-J12</f>
        <v>3987.69246923123</v>
      </c>
      <c r="K16" s="0" t="n">
        <f aca="false">-K12</f>
        <v>3794.53861525284</v>
      </c>
      <c r="L16" s="0" t="n">
        <f aca="false">-L12</f>
        <v>3594.69291484953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-2623.624575</v>
      </c>
      <c r="D17" s="4" t="n">
        <f aca="false">-D6*Assumptions!D18/100</f>
        <v>-2608.37094375</v>
      </c>
      <c r="E17" s="4" t="n">
        <f aca="false">-E6*Assumptions!E18/100</f>
        <v>-2506.35465795</v>
      </c>
      <c r="F17" s="4" t="n">
        <f aca="false">-F6*Assumptions!F18/100</f>
        <v>-2355.973378473</v>
      </c>
      <c r="G17" s="4" t="n">
        <f aca="false">-G6*Assumptions!G18/100</f>
        <v>-2285.29417711881</v>
      </c>
      <c r="H17" s="4" t="n">
        <f aca="false">-H6*Assumptions!H18/100</f>
        <v>-2285.29417711881</v>
      </c>
      <c r="I17" s="4" t="n">
        <f aca="false">-I6*Assumptions!I18/100</f>
        <v>-2308.14711889</v>
      </c>
      <c r="J17" s="4" t="n">
        <f aca="false">-J6*Assumptions!J18/100</f>
        <v>-2342.76932567335</v>
      </c>
      <c r="K17" s="4" t="n">
        <f aca="false">-K6*Assumptions!K18/100</f>
        <v>-2377.91086555845</v>
      </c>
      <c r="L17" s="4" t="n">
        <f aca="false">-L6*Assumptions!L18/100</f>
        <v>-2413.57952854182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125.158</v>
      </c>
      <c r="D18" s="4" t="n">
        <f aca="false">(D6-C6)*Assumptions!$B$23/100</f>
        <v>244.0581</v>
      </c>
      <c r="E18" s="4" t="n">
        <f aca="false">(E6-D6)*Assumptions!$B$23/100</f>
        <v>370.968312</v>
      </c>
      <c r="F18" s="4" t="n">
        <f aca="false">(F6-E6)*Assumptions!$B$23/100</f>
        <v>255.96813528</v>
      </c>
      <c r="G18" s="4" t="n">
        <f aca="false">(G6-F6)*Assumptions!$B$23/100</f>
        <v>120.3050235816</v>
      </c>
      <c r="H18" s="4" t="n">
        <f aca="false">(H6-G6)*Assumptions!$B$23/100</f>
        <v>-0</v>
      </c>
      <c r="I18" s="4" t="n">
        <f aca="false">(I6-H6)*Assumptions!$B$23/100</f>
        <v>-38.8986242913839</v>
      </c>
      <c r="J18" s="4" t="n">
        <f aca="false">(J6-I6)*Assumptions!$B$23/100</f>
        <v>-58.9314158014464</v>
      </c>
      <c r="K18" s="4" t="n">
        <f aca="false">(K6-J6)*Assumptions!$B$23/100</f>
        <v>-59.815387038468</v>
      </c>
      <c r="L18" s="4" t="n">
        <f aca="false">(L6-K6)*Assumptions!$B$23/100</f>
        <v>-60.7126178440452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12502.5645415</v>
      </c>
      <c r="D19" s="0" t="n">
        <f aca="false">D15+D16+D17+D18</f>
        <v>11286.161761875</v>
      </c>
      <c r="E19" s="0" t="n">
        <f aca="false">E15+E16+E17+E18</f>
        <v>9636.4815421875</v>
      </c>
      <c r="F19" s="0" t="n">
        <f aca="false">F15+F16+F17+F18</f>
        <v>8328.43521760536</v>
      </c>
      <c r="G19" s="0" t="n">
        <f aca="false">G15+G16+G17+G18</f>
        <v>7898.08495064383</v>
      </c>
      <c r="H19" s="0" t="n">
        <f aca="false">H15+H16+H17+H18</f>
        <v>7744.22986361091</v>
      </c>
      <c r="I19" s="0" t="n">
        <f aca="false">I15+I16+I17+I18</f>
        <v>7915.36922350889</v>
      </c>
      <c r="J19" s="0" t="n">
        <f aca="false">J15+J16+J17+J18</f>
        <v>7957.32737047063</v>
      </c>
      <c r="K19" s="0" t="n">
        <f aca="false">K15+K16+K17+K18</f>
        <v>8018.50435559382</v>
      </c>
      <c r="L19" s="0" t="n">
        <f aca="false">L15+L16+L17+L18</f>
        <v>8079.72625161234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11684.6397584112</v>
      </c>
      <c r="D21" s="0" t="n">
        <f aca="false">D19*D20</f>
        <v>9857.77077637785</v>
      </c>
      <c r="E21" s="0" t="n">
        <f aca="false">E19*E20</f>
        <v>7866.23942358554</v>
      </c>
      <c r="F21" s="0" t="n">
        <f aca="false">F19*F20</f>
        <v>6353.72335135912</v>
      </c>
      <c r="G21" s="0" t="n">
        <f aca="false">G19*G20</f>
        <v>5631.225414197</v>
      </c>
      <c r="H21" s="0" t="n">
        <f aca="false">H19*H20</f>
        <v>5160.30734906474</v>
      </c>
      <c r="I21" s="0" t="n">
        <f aca="false">I19*I20</f>
        <v>4929.2941408614</v>
      </c>
      <c r="J21" s="0" t="n">
        <f aca="false">J19*J20</f>
        <v>4631.23697761848</v>
      </c>
      <c r="K21" s="0" t="n">
        <f aca="false">K19*K20</f>
        <v>4361.53508406544</v>
      </c>
      <c r="L21" s="0" t="n">
        <f aca="false">L19*L20</f>
        <v>4107.32312064943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64583.2953961902</v>
      </c>
    </row>
    <row r="31" customFormat="false" ht="15" hidden="false" customHeight="false" outlineLevel="0" collapsed="false">
      <c r="A31" s="0" t="s">
        <v>137</v>
      </c>
      <c r="B31" s="0" t="n">
        <f aca="false">L19</f>
        <v>8079.72625161234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164826.415532892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121195.893774185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121195.893774185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61609.8468097414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126193.142205932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74680.1422059316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13.0218207856899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-0.536919602215864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5365.35030032181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7455.6271627182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15.257387910893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63394.7752049583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2.05565897241247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-1</v>
      </c>
      <c r="D5" s="4" t="n">
        <f aca="false">Assumptions!D27</f>
        <v>-2.5</v>
      </c>
      <c r="E5" s="4" t="n">
        <f aca="false">Assumptions!E27</f>
        <v>-5</v>
      </c>
      <c r="F5" s="4" t="n">
        <f aca="false">Assumptions!F27</f>
        <v>-4</v>
      </c>
      <c r="G5" s="4" t="n">
        <f aca="false">Assumptions!G27</f>
        <v>0</v>
      </c>
      <c r="H5" s="4" t="n">
        <f aca="false">Assumptions!H27</f>
        <v>2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62579</v>
      </c>
      <c r="C6" s="0" t="n">
        <f aca="false">B6*(1+C5/100)</f>
        <v>61953.21</v>
      </c>
      <c r="D6" s="0" t="n">
        <f aca="false">C6*(1+D5/100)</f>
        <v>60404.37975</v>
      </c>
      <c r="E6" s="0" t="n">
        <f aca="false">D6*(1+E5/100)</f>
        <v>57384.1607625</v>
      </c>
      <c r="F6" s="0" t="n">
        <f aca="false">E6*(1+F5/100)</f>
        <v>55088.794332</v>
      </c>
      <c r="G6" s="0" t="n">
        <f aca="false">F6*(1+G5/100)</f>
        <v>55088.794332</v>
      </c>
      <c r="H6" s="0" t="n">
        <f aca="false">G6*(1+H5/100)</f>
        <v>56190.57021864</v>
      </c>
      <c r="I6" s="0" t="n">
        <f aca="false">H6*(1+I5/100)</f>
        <v>57595.334474106</v>
      </c>
      <c r="J6" s="0" t="n">
        <f aca="false">I6*(1+J5/100)</f>
        <v>59035.2178359587</v>
      </c>
      <c r="K6" s="0" t="n">
        <f aca="false">J6*(1+K5/100)</f>
        <v>60511.0982818576</v>
      </c>
      <c r="L6" s="0" t="n">
        <f aca="false">K6*(1+L5/100)</f>
        <v>62023.875738904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32</v>
      </c>
      <c r="D7" s="4" t="n">
        <f aca="false">Assumptions!D28</f>
        <v>31.5</v>
      </c>
      <c r="E7" s="4" t="n">
        <f aca="false">Assumptions!E28</f>
        <v>30.5</v>
      </c>
      <c r="F7" s="4" t="n">
        <f aca="false">Assumptions!F28</f>
        <v>30</v>
      </c>
      <c r="G7" s="4" t="n">
        <f aca="false">Assumptions!G28</f>
        <v>30</v>
      </c>
      <c r="H7" s="4" t="n">
        <f aca="false">Assumptions!H28</f>
        <v>30.5</v>
      </c>
      <c r="I7" s="4" t="n">
        <f aca="false">Assumptions!I28</f>
        <v>31</v>
      </c>
      <c r="J7" s="4" t="n">
        <f aca="false">Assumptions!J28</f>
        <v>31</v>
      </c>
      <c r="K7" s="4" t="n">
        <f aca="false">Assumptions!K28</f>
        <v>31</v>
      </c>
      <c r="L7" s="4" t="n">
        <f aca="false">Assumptions!L28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19825.0272</v>
      </c>
      <c r="D8" s="0" t="n">
        <f aca="false">D6*D7/100</f>
        <v>19027.37962125</v>
      </c>
      <c r="E8" s="0" t="n">
        <f aca="false">E6*E7/100</f>
        <v>17502.1690325625</v>
      </c>
      <c r="F8" s="0" t="n">
        <f aca="false">F6*F7/100</f>
        <v>16526.6382996</v>
      </c>
      <c r="G8" s="0" t="n">
        <f aca="false">G6*G7/100</f>
        <v>16526.6382996</v>
      </c>
      <c r="H8" s="0" t="n">
        <f aca="false">H6*H7/100</f>
        <v>17138.1239166852</v>
      </c>
      <c r="I8" s="0" t="n">
        <f aca="false">I6*I7/100</f>
        <v>17854.5536869729</v>
      </c>
      <c r="J8" s="0" t="n">
        <f aca="false">J6*J7/100</f>
        <v>18300.9175291472</v>
      </c>
      <c r="K8" s="0" t="n">
        <f aca="false">K6*K7/100</f>
        <v>18758.4404673759</v>
      </c>
      <c r="L8" s="0" t="n">
        <f aca="false">L6*L7/100</f>
        <v>19227.4014790603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1.5</v>
      </c>
      <c r="D9" s="4" t="n">
        <f aca="false">Assumptions!D29</f>
        <v>1.4</v>
      </c>
      <c r="E9" s="4" t="n">
        <f aca="false">Assumptions!E29</f>
        <v>1.4</v>
      </c>
      <c r="F9" s="4" t="n">
        <f aca="false">Assumptions!F29</f>
        <v>1.3</v>
      </c>
      <c r="G9" s="4" t="n">
        <f aca="false">Assumptions!G29</f>
        <v>1.3</v>
      </c>
      <c r="H9" s="4" t="n">
        <f aca="false">Assumptions!H29</f>
        <v>1.3</v>
      </c>
      <c r="I9" s="4" t="n">
        <f aca="false">Assumptions!I29</f>
        <v>1.3</v>
      </c>
      <c r="J9" s="4" t="n">
        <f aca="false">Assumptions!J29</f>
        <v>1.3</v>
      </c>
      <c r="K9" s="4" t="n">
        <f aca="false">Assumptions!K29</f>
        <v>1.3</v>
      </c>
      <c r="L9" s="4" t="n">
        <f aca="false">Assumptions!L29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-929.29815</v>
      </c>
      <c r="D10" s="0" t="n">
        <f aca="false">-D6*D9/100</f>
        <v>-845.6613165</v>
      </c>
      <c r="E10" s="0" t="n">
        <f aca="false">-E6*E9/100</f>
        <v>-803.378250675</v>
      </c>
      <c r="F10" s="0" t="n">
        <f aca="false">-F6*F9/100</f>
        <v>-716.154326316</v>
      </c>
      <c r="G10" s="0" t="n">
        <f aca="false">-G6*G9/100</f>
        <v>-716.154326316</v>
      </c>
      <c r="H10" s="0" t="n">
        <f aca="false">-H6*H9/100</f>
        <v>-730.47741284232</v>
      </c>
      <c r="I10" s="0" t="n">
        <f aca="false">-I6*I9/100</f>
        <v>-748.739348163378</v>
      </c>
      <c r="J10" s="0" t="n">
        <f aca="false">-J6*J9/100</f>
        <v>-767.457831867462</v>
      </c>
      <c r="K10" s="0" t="n">
        <f aca="false">-K6*K9/100</f>
        <v>-786.644277664149</v>
      </c>
      <c r="L10" s="0" t="n">
        <f aca="false">-L6*L9/100</f>
        <v>-806.310384605753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18895.72905</v>
      </c>
      <c r="D11" s="0" t="n">
        <f aca="false">D8+D10+D24</f>
        <v>18181.71830475</v>
      </c>
      <c r="E11" s="0" t="n">
        <f aca="false">E8+E10+E24</f>
        <v>16698.7907818875</v>
      </c>
      <c r="F11" s="0" t="n">
        <f aca="false">F8+F10+F24</f>
        <v>15810.483973284</v>
      </c>
      <c r="G11" s="0" t="n">
        <f aca="false">G8+G10+G24</f>
        <v>15810.483973284</v>
      </c>
      <c r="H11" s="0" t="n">
        <f aca="false">H8+H10+H24</f>
        <v>16407.6465038429</v>
      </c>
      <c r="I11" s="0" t="n">
        <f aca="false">I8+I10+I24</f>
        <v>17105.8143388095</v>
      </c>
      <c r="J11" s="0" t="n">
        <f aca="false">J8+J10+J24</f>
        <v>17533.4596972797</v>
      </c>
      <c r="K11" s="0" t="n">
        <f aca="false">K8+K10+K24</f>
        <v>17971.7961897117</v>
      </c>
      <c r="L11" s="0" t="n">
        <f aca="false">L8+L10+L24</f>
        <v>18421.0910944545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-6443.13384</v>
      </c>
      <c r="D12" s="4" t="n">
        <f aca="false">-D6*Assumptions!D31/100</f>
        <v>-5859.22483575</v>
      </c>
      <c r="E12" s="4" t="n">
        <f aca="false">-E6*Assumptions!E31/100</f>
        <v>-5451.4952724375</v>
      </c>
      <c r="F12" s="4" t="n">
        <f aca="false">-F6*Assumptions!F31/100</f>
        <v>-4517.281135224</v>
      </c>
      <c r="G12" s="4" t="n">
        <f aca="false">-G6*Assumptions!G31/100</f>
        <v>-4462.192340892</v>
      </c>
      <c r="H12" s="4" t="n">
        <f aca="false">-H6*Assumptions!H31/100</f>
        <v>-4495.2456174912</v>
      </c>
      <c r="I12" s="4" t="n">
        <f aca="false">-I6*Assumptions!I31/100</f>
        <v>-4319.65008555795</v>
      </c>
      <c r="J12" s="4" t="n">
        <f aca="false">-J6*Assumptions!J31/100</f>
        <v>-4132.46524851711</v>
      </c>
      <c r="K12" s="4" t="n">
        <f aca="false">-K6*Assumptions!K31/100</f>
        <v>-3933.22138832074</v>
      </c>
      <c r="L12" s="4" t="n">
        <f aca="false">-L6*Assumptions!L31/100</f>
        <v>-3721.43254433424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12452.59521</v>
      </c>
      <c r="D13" s="0" t="n">
        <f aca="false">D11+D12</f>
        <v>12322.493469</v>
      </c>
      <c r="E13" s="0" t="n">
        <f aca="false">E11+E12</f>
        <v>11247.29550945</v>
      </c>
      <c r="F13" s="0" t="n">
        <f aca="false">F11+F12</f>
        <v>11293.20283806</v>
      </c>
      <c r="G13" s="0" t="n">
        <f aca="false">G11+G12</f>
        <v>11348.291632392</v>
      </c>
      <c r="H13" s="0" t="n">
        <f aca="false">H11+H12</f>
        <v>11912.4008863517</v>
      </c>
      <c r="I13" s="0" t="n">
        <f aca="false">I11+I12</f>
        <v>12786.1642532515</v>
      </c>
      <c r="J13" s="0" t="n">
        <f aca="false">J11+J12</f>
        <v>13400.9944487626</v>
      </c>
      <c r="K13" s="0" t="n">
        <f aca="false">K11+K12</f>
        <v>14038.574801391</v>
      </c>
      <c r="L13" s="0" t="n">
        <f aca="false">L11+L12</f>
        <v>14699.6585501203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26</v>
      </c>
      <c r="D14" s="4" t="n">
        <f aca="false">Assumptions!D33</f>
        <v>25</v>
      </c>
      <c r="E14" s="4" t="n">
        <f aca="false">Assumptions!E33</f>
        <v>24</v>
      </c>
      <c r="F14" s="4" t="n">
        <f aca="false">Assumptions!F33</f>
        <v>23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9214.9204554</v>
      </c>
      <c r="D15" s="0" t="n">
        <f aca="false">D13-MAX(0,D13)*D14/100</f>
        <v>9241.87010175</v>
      </c>
      <c r="E15" s="0" t="n">
        <f aca="false">E13-MAX(0,E13)*E14/100</f>
        <v>8547.944587182</v>
      </c>
      <c r="F15" s="0" t="n">
        <f aca="false">F13-MAX(0,F13)*F14/100</f>
        <v>8695.7661853062</v>
      </c>
      <c r="G15" s="0" t="n">
        <f aca="false">G13-MAX(0,G13)*G14/100</f>
        <v>8851.66747326576</v>
      </c>
      <c r="H15" s="0" t="n">
        <f aca="false">H13-MAX(0,H13)*H14/100</f>
        <v>9291.67269135431</v>
      </c>
      <c r="I15" s="0" t="n">
        <f aca="false">I13-MAX(0,I13)*I14/100</f>
        <v>9973.2081175362</v>
      </c>
      <c r="J15" s="0" t="n">
        <f aca="false">J13-MAX(0,J13)*J14/100</f>
        <v>10452.7756700348</v>
      </c>
      <c r="K15" s="0" t="n">
        <f aca="false">K13-MAX(0,K13)*K14/100</f>
        <v>10950.088345085</v>
      </c>
      <c r="L15" s="0" t="n">
        <f aca="false">L13-MAX(0,L13)*L14/100</f>
        <v>11465.7336690938</v>
      </c>
    </row>
    <row r="16" customFormat="false" ht="15" hidden="false" customHeight="false" outlineLevel="0" collapsed="false">
      <c r="A16" s="0" t="s">
        <v>128</v>
      </c>
      <c r="C16" s="0" t="n">
        <f aca="false">-C12</f>
        <v>6443.13384</v>
      </c>
      <c r="D16" s="0" t="n">
        <f aca="false">-D12</f>
        <v>5859.22483575</v>
      </c>
      <c r="E16" s="0" t="n">
        <f aca="false">-E12</f>
        <v>5451.4952724375</v>
      </c>
      <c r="F16" s="0" t="n">
        <f aca="false">-F12</f>
        <v>4517.281135224</v>
      </c>
      <c r="G16" s="0" t="n">
        <f aca="false">-G12</f>
        <v>4462.192340892</v>
      </c>
      <c r="H16" s="0" t="n">
        <f aca="false">-H12</f>
        <v>4495.2456174912</v>
      </c>
      <c r="I16" s="0" t="n">
        <f aca="false">-I12</f>
        <v>4319.65008555795</v>
      </c>
      <c r="J16" s="0" t="n">
        <f aca="false">-J12</f>
        <v>4132.46524851711</v>
      </c>
      <c r="K16" s="0" t="n">
        <f aca="false">-K12</f>
        <v>3933.22138832074</v>
      </c>
      <c r="L16" s="0" t="n">
        <f aca="false">-L12</f>
        <v>3721.43254433424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-2663.98803</v>
      </c>
      <c r="D17" s="4" t="n">
        <f aca="false">-D6*Assumptions!D32/100</f>
        <v>-2718.19708875</v>
      </c>
      <c r="E17" s="4" t="n">
        <f aca="false">-E6*Assumptions!E32/100</f>
        <v>-2582.2872343125</v>
      </c>
      <c r="F17" s="4" t="n">
        <f aca="false">-F6*Assumptions!F32/100</f>
        <v>-2478.99574494</v>
      </c>
      <c r="G17" s="4" t="n">
        <f aca="false">-G6*Assumptions!G32/100</f>
        <v>-2478.99574494</v>
      </c>
      <c r="H17" s="4" t="n">
        <f aca="false">-H6*Assumptions!H32/100</f>
        <v>-2528.5756598388</v>
      </c>
      <c r="I17" s="4" t="n">
        <f aca="false">-I6*Assumptions!I32/100</f>
        <v>-2591.79005133477</v>
      </c>
      <c r="J17" s="4" t="n">
        <f aca="false">-J6*Assumptions!J32/100</f>
        <v>-2656.58480261814</v>
      </c>
      <c r="K17" s="4" t="n">
        <f aca="false">-K6*Assumptions!K32/100</f>
        <v>-2722.99942268359</v>
      </c>
      <c r="L17" s="4" t="n">
        <f aca="false">-L6*Assumptions!L32/100</f>
        <v>-2791.07440825068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50.0632000000001</v>
      </c>
      <c r="D18" s="4" t="n">
        <f aca="false">(D6-C6)*Assumptions!$B$37/100</f>
        <v>123.90642</v>
      </c>
      <c r="E18" s="4" t="n">
        <f aca="false">(E6-D6)*Assumptions!$B$37/100</f>
        <v>241.617519</v>
      </c>
      <c r="F18" s="4" t="n">
        <f aca="false">(F6-E6)*Assumptions!$B$37/100</f>
        <v>183.62931444</v>
      </c>
      <c r="G18" s="4" t="n">
        <f aca="false">(G6-F6)*Assumptions!$B$37/100</f>
        <v>-0</v>
      </c>
      <c r="H18" s="4" t="n">
        <f aca="false">(H6-G6)*Assumptions!$B$37/100</f>
        <v>-88.1420709312003</v>
      </c>
      <c r="I18" s="4" t="n">
        <f aca="false">(I6-H6)*Assumptions!$B$37/100</f>
        <v>-112.38114043728</v>
      </c>
      <c r="J18" s="4" t="n">
        <f aca="false">(J6-I6)*Assumptions!$B$37/100</f>
        <v>-115.190668948212</v>
      </c>
      <c r="K18" s="4" t="n">
        <f aca="false">(K6-J6)*Assumptions!$B$37/100</f>
        <v>-118.070435671917</v>
      </c>
      <c r="L18" s="4" t="n">
        <f aca="false">(L6-K6)*Assumptions!$B$37/100</f>
        <v>-121.022196563715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13044.1294654</v>
      </c>
      <c r="D19" s="0" t="n">
        <f aca="false">D15+D16+D17+D18</f>
        <v>12506.80426875</v>
      </c>
      <c r="E19" s="0" t="n">
        <f aca="false">E15+E16+E17+E18</f>
        <v>11658.770144307</v>
      </c>
      <c r="F19" s="0" t="n">
        <f aca="false">F15+F16+F17+F18</f>
        <v>10917.6808900302</v>
      </c>
      <c r="G19" s="0" t="n">
        <f aca="false">G15+G16+G17+G18</f>
        <v>10834.8640692178</v>
      </c>
      <c r="H19" s="0" t="n">
        <f aca="false">H15+H16+H17+H18</f>
        <v>11170.2005780755</v>
      </c>
      <c r="I19" s="0" t="n">
        <f aca="false">I15+I16+I17+I18</f>
        <v>11588.6870113221</v>
      </c>
      <c r="J19" s="0" t="n">
        <f aca="false">J15+J16+J17+J18</f>
        <v>11813.4654469856</v>
      </c>
      <c r="K19" s="0" t="n">
        <f aca="false">K15+K16+K17+K18</f>
        <v>12042.2398750502</v>
      </c>
      <c r="L19" s="0" t="n">
        <f aca="false">L15+L16+L17+L18</f>
        <v>12275.0696086136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12190.7752013084</v>
      </c>
      <c r="D21" s="0" t="n">
        <f aca="false">D19*D20</f>
        <v>10923.927215259</v>
      </c>
      <c r="E21" s="0" t="n">
        <f aca="false">E19*E20</f>
        <v>9517.02931595625</v>
      </c>
      <c r="F21" s="0" t="n">
        <f aca="false">F19*F20</f>
        <v>8329.0464776668</v>
      </c>
      <c r="G21" s="0" t="n">
        <f aca="false">G19*G20</f>
        <v>7725.10833793644</v>
      </c>
      <c r="H21" s="0" t="n">
        <f aca="false">H19*H20</f>
        <v>7443.17629367133</v>
      </c>
      <c r="I21" s="0" t="n">
        <f aca="false">I19*I20</f>
        <v>7216.85184508215</v>
      </c>
      <c r="J21" s="0" t="n">
        <f aca="false">J19*J20</f>
        <v>6875.5444466101</v>
      </c>
      <c r="K21" s="0" t="n">
        <f aca="false">K19*K20</f>
        <v>6550.18060433211</v>
      </c>
      <c r="L21" s="0" t="n">
        <f aca="false">L19*L20</f>
        <v>6240.02294644313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83011.6626842657</v>
      </c>
    </row>
    <row r="31" customFormat="false" ht="15" hidden="false" customHeight="false" outlineLevel="0" collapsed="false">
      <c r="A31" s="0" t="s">
        <v>137</v>
      </c>
      <c r="B31" s="0" t="n">
        <f aca="false">L19</f>
        <v>12275.0696086136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250411.420015718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184126.044129205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184126.044129205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93600.344196647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176612.006880913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125099.006880913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21.8132531614495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-0.224279759550161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5557.35339713222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8361.7011904062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24.2402897067918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96312.0846214302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5.56119267521044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0.5</v>
      </c>
      <c r="D5" s="4" t="n">
        <f aca="false">Assumptions!D41</f>
        <v>0</v>
      </c>
      <c r="E5" s="4" t="n">
        <f aca="false">Assumptions!E41</f>
        <v>-2</v>
      </c>
      <c r="F5" s="4" t="n">
        <f aca="false">Assumptions!F41</f>
        <v>-1</v>
      </c>
      <c r="G5" s="4" t="n">
        <f aca="false">Assumptions!G41</f>
        <v>3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62579</v>
      </c>
      <c r="C6" s="0" t="n">
        <f aca="false">B6*(1+C5/100)</f>
        <v>62891.895</v>
      </c>
      <c r="D6" s="0" t="n">
        <f aca="false">C6*(1+D5/100)</f>
        <v>62891.895</v>
      </c>
      <c r="E6" s="0" t="n">
        <f aca="false">D6*(1+E5/100)</f>
        <v>61634.0571</v>
      </c>
      <c r="F6" s="0" t="n">
        <f aca="false">E6*(1+F5/100)</f>
        <v>61017.716529</v>
      </c>
      <c r="G6" s="0" t="n">
        <f aca="false">F6*(1+G5/100)</f>
        <v>62848.24802487</v>
      </c>
      <c r="H6" s="0" t="n">
        <f aca="false">G6*(1+H5/100)</f>
        <v>65362.1779458648</v>
      </c>
      <c r="I6" s="0" t="n">
        <f aca="false">H6*(1+I5/100)</f>
        <v>67976.6650636994</v>
      </c>
      <c r="J6" s="0" t="n">
        <f aca="false">I6*(1+J5/100)</f>
        <v>70355.8483409289</v>
      </c>
      <c r="K6" s="0" t="n">
        <f aca="false">J6*(1+K5/100)</f>
        <v>72466.5237911567</v>
      </c>
      <c r="L6" s="0" t="n">
        <f aca="false">K6*(1+L5/100)</f>
        <v>74640.5195048915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32.5</v>
      </c>
      <c r="D7" s="4" t="n">
        <f aca="false">Assumptions!D42</f>
        <v>32.5</v>
      </c>
      <c r="E7" s="4" t="n">
        <f aca="false">Assumptions!E42</f>
        <v>32</v>
      </c>
      <c r="F7" s="4" t="n">
        <f aca="false">Assumptions!F42</f>
        <v>32</v>
      </c>
      <c r="G7" s="4" t="n">
        <f aca="false">Assumptions!G42</f>
        <v>32.5</v>
      </c>
      <c r="H7" s="4" t="n">
        <f aca="false">Assumptions!H42</f>
        <v>33</v>
      </c>
      <c r="I7" s="4" t="n">
        <f aca="false">Assumptions!I42</f>
        <v>33.5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20439.865875</v>
      </c>
      <c r="D8" s="0" t="n">
        <f aca="false">D6*D7/100</f>
        <v>20439.865875</v>
      </c>
      <c r="E8" s="0" t="n">
        <f aca="false">E6*E7/100</f>
        <v>19722.898272</v>
      </c>
      <c r="F8" s="0" t="n">
        <f aca="false">F6*F7/100</f>
        <v>19525.66928928</v>
      </c>
      <c r="G8" s="0" t="n">
        <f aca="false">G6*G7/100</f>
        <v>20425.6806080828</v>
      </c>
      <c r="H8" s="0" t="n">
        <f aca="false">H6*H7/100</f>
        <v>21569.5187221354</v>
      </c>
      <c r="I8" s="0" t="n">
        <f aca="false">I6*I7/100</f>
        <v>22772.1827963393</v>
      </c>
      <c r="J8" s="0" t="n">
        <f aca="false">J6*J7/100</f>
        <v>23920.9884359158</v>
      </c>
      <c r="K8" s="0" t="n">
        <f aca="false">K6*K7/100</f>
        <v>24638.6180889933</v>
      </c>
      <c r="L8" s="0" t="n">
        <f aca="false">L6*L7/100</f>
        <v>25377.7766316631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1.5</v>
      </c>
      <c r="D9" s="4" t="n">
        <f aca="false">Assumptions!D43</f>
        <v>1.4</v>
      </c>
      <c r="E9" s="4" t="n">
        <f aca="false">Assumptions!E43</f>
        <v>1.4</v>
      </c>
      <c r="F9" s="4" t="n">
        <f aca="false">Assumptions!F43</f>
        <v>1.3</v>
      </c>
      <c r="G9" s="4" t="n">
        <f aca="false">Assumptions!G43</f>
        <v>1.3</v>
      </c>
      <c r="H9" s="4" t="n">
        <f aca="false">Assumptions!H43</f>
        <v>1.3</v>
      </c>
      <c r="I9" s="4" t="n">
        <f aca="false">Assumptions!I43</f>
        <v>1.3</v>
      </c>
      <c r="J9" s="4" t="n">
        <f aca="false">Assumptions!J43</f>
        <v>1.3</v>
      </c>
      <c r="K9" s="4" t="n">
        <f aca="false">Assumptions!K43</f>
        <v>1.3</v>
      </c>
      <c r="L9" s="4" t="n">
        <f aca="false">Assumptions!L43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-943.378425</v>
      </c>
      <c r="D10" s="0" t="n">
        <f aca="false">-D6*D9/100</f>
        <v>-880.48653</v>
      </c>
      <c r="E10" s="0" t="n">
        <f aca="false">-E6*E9/100</f>
        <v>-862.8767994</v>
      </c>
      <c r="F10" s="0" t="n">
        <f aca="false">-F6*F9/100</f>
        <v>-793.230314877</v>
      </c>
      <c r="G10" s="0" t="n">
        <f aca="false">-G6*G9/100</f>
        <v>-817.02722432331</v>
      </c>
      <c r="H10" s="0" t="n">
        <f aca="false">-H6*H9/100</f>
        <v>-849.708313296242</v>
      </c>
      <c r="I10" s="0" t="n">
        <f aca="false">-I6*I9/100</f>
        <v>-883.696645828092</v>
      </c>
      <c r="J10" s="0" t="n">
        <f aca="false">-J6*J9/100</f>
        <v>-914.626028432075</v>
      </c>
      <c r="K10" s="0" t="n">
        <f aca="false">-K6*K9/100</f>
        <v>-942.064809285038</v>
      </c>
      <c r="L10" s="0" t="n">
        <f aca="false">-L6*L9/100</f>
        <v>-970.326753563589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19496.48745</v>
      </c>
      <c r="D11" s="0" t="n">
        <f aca="false">D8+D10+D24</f>
        <v>19559.379345</v>
      </c>
      <c r="E11" s="0" t="n">
        <f aca="false">E8+E10+E24</f>
        <v>18860.0214726</v>
      </c>
      <c r="F11" s="0" t="n">
        <f aca="false">F8+F10+F24</f>
        <v>18732.438974403</v>
      </c>
      <c r="G11" s="0" t="n">
        <f aca="false">G8+G10+G24</f>
        <v>19608.6533837594</v>
      </c>
      <c r="H11" s="0" t="n">
        <f aca="false">H8+H10+H24</f>
        <v>20719.8104088391</v>
      </c>
      <c r="I11" s="0" t="n">
        <f aca="false">I8+I10+I24</f>
        <v>21888.4861505112</v>
      </c>
      <c r="J11" s="0" t="n">
        <f aca="false">J8+J10+J24</f>
        <v>23006.3624074837</v>
      </c>
      <c r="K11" s="0" t="n">
        <f aca="false">K8+K10+K24</f>
        <v>23696.5532797083</v>
      </c>
      <c r="L11" s="0" t="n">
        <f aca="false">L8+L10+L24</f>
        <v>24407.4498780995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-6477.865185</v>
      </c>
      <c r="D12" s="4" t="n">
        <f aca="false">-D6*Assumptions!D45/100</f>
        <v>-5974.730025</v>
      </c>
      <c r="E12" s="4" t="n">
        <f aca="false">-E6*Assumptions!E45/100</f>
        <v>-5608.6991961</v>
      </c>
      <c r="F12" s="4" t="n">
        <f aca="false">-F6*Assumptions!F45/100</f>
        <v>-4759.381889262</v>
      </c>
      <c r="G12" s="4" t="n">
        <f aca="false">-G6*Assumptions!G45/100</f>
        <v>-4776.46684989012</v>
      </c>
      <c r="H12" s="4" t="n">
        <f aca="false">-H6*Assumptions!H45/100</f>
        <v>-4902.16334593986</v>
      </c>
      <c r="I12" s="4" t="n">
        <f aca="false">-I6*Assumptions!I45/100</f>
        <v>-4758.36655445896</v>
      </c>
      <c r="J12" s="4" t="n">
        <f aca="false">-J6*Assumptions!J45/100</f>
        <v>-4573.13014216038</v>
      </c>
      <c r="K12" s="4" t="n">
        <f aca="false">-K6*Assumptions!K45/100</f>
        <v>-4347.99142746941</v>
      </c>
      <c r="L12" s="4" t="n">
        <f aca="false">-L6*Assumptions!L45/100</f>
        <v>-4105.22857276903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13018.622265</v>
      </c>
      <c r="D13" s="0" t="n">
        <f aca="false">D11+D12</f>
        <v>13584.64932</v>
      </c>
      <c r="E13" s="0" t="n">
        <f aca="false">E11+E12</f>
        <v>13251.3222765</v>
      </c>
      <c r="F13" s="0" t="n">
        <f aca="false">F11+F12</f>
        <v>13973.057085141</v>
      </c>
      <c r="G13" s="0" t="n">
        <f aca="false">G11+G12</f>
        <v>14832.1865338693</v>
      </c>
      <c r="H13" s="0" t="n">
        <f aca="false">H11+H12</f>
        <v>15817.6470628993</v>
      </c>
      <c r="I13" s="0" t="n">
        <f aca="false">I11+I12</f>
        <v>17130.1195960523</v>
      </c>
      <c r="J13" s="0" t="n">
        <f aca="false">J11+J12</f>
        <v>18433.2322653234</v>
      </c>
      <c r="K13" s="0" t="n">
        <f aca="false">K11+K12</f>
        <v>19348.5618522388</v>
      </c>
      <c r="L13" s="0" t="n">
        <f aca="false">L11+L12</f>
        <v>20302.2213053305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26</v>
      </c>
      <c r="D14" s="4" t="n">
        <f aca="false">Assumptions!D47</f>
        <v>25</v>
      </c>
      <c r="E14" s="4" t="n">
        <f aca="false">Assumptions!E47</f>
        <v>24</v>
      </c>
      <c r="F14" s="4" t="n">
        <f aca="false">Assumptions!F47</f>
        <v>23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9633.7804761</v>
      </c>
      <c r="D15" s="0" t="n">
        <f aca="false">D13-MAX(0,D13)*D14/100</f>
        <v>10188.48699</v>
      </c>
      <c r="E15" s="0" t="n">
        <f aca="false">E13-MAX(0,E13)*E14/100</f>
        <v>10071.00493014</v>
      </c>
      <c r="F15" s="0" t="n">
        <f aca="false">F13-MAX(0,F13)*F14/100</f>
        <v>10759.2539555586</v>
      </c>
      <c r="G15" s="0" t="n">
        <f aca="false">G13-MAX(0,G13)*G14/100</f>
        <v>11569.1054964181</v>
      </c>
      <c r="H15" s="0" t="n">
        <f aca="false">H13-MAX(0,H13)*H14/100</f>
        <v>12337.7647090614</v>
      </c>
      <c r="I15" s="0" t="n">
        <f aca="false">I13-MAX(0,I13)*I14/100</f>
        <v>13361.4932849208</v>
      </c>
      <c r="J15" s="0" t="n">
        <f aca="false">J13-MAX(0,J13)*J14/100</f>
        <v>14377.9211669522</v>
      </c>
      <c r="K15" s="0" t="n">
        <f aca="false">K13-MAX(0,K13)*K14/100</f>
        <v>15091.8782447463</v>
      </c>
      <c r="L15" s="0" t="n">
        <f aca="false">L13-MAX(0,L13)*L14/100</f>
        <v>15835.7326181578</v>
      </c>
    </row>
    <row r="16" customFormat="false" ht="15" hidden="false" customHeight="false" outlineLevel="0" collapsed="false">
      <c r="A16" s="0" t="s">
        <v>128</v>
      </c>
      <c r="C16" s="0" t="n">
        <f aca="false">-C12</f>
        <v>6477.865185</v>
      </c>
      <c r="D16" s="0" t="n">
        <f aca="false">-D12</f>
        <v>5974.730025</v>
      </c>
      <c r="E16" s="0" t="n">
        <f aca="false">-E12</f>
        <v>5608.6991961</v>
      </c>
      <c r="F16" s="0" t="n">
        <f aca="false">-F12</f>
        <v>4759.381889262</v>
      </c>
      <c r="G16" s="0" t="n">
        <f aca="false">-G12</f>
        <v>4776.46684989012</v>
      </c>
      <c r="H16" s="0" t="n">
        <f aca="false">-H12</f>
        <v>4902.16334593986</v>
      </c>
      <c r="I16" s="0" t="n">
        <f aca="false">-I12</f>
        <v>4758.36655445896</v>
      </c>
      <c r="J16" s="0" t="n">
        <f aca="false">-J12</f>
        <v>4573.13014216038</v>
      </c>
      <c r="K16" s="0" t="n">
        <f aca="false">-K12</f>
        <v>4347.99142746941</v>
      </c>
      <c r="L16" s="0" t="n">
        <f aca="false">-L12</f>
        <v>4105.22857276903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-2704.351485</v>
      </c>
      <c r="D17" s="4" t="n">
        <f aca="false">-D6*Assumptions!D46/100</f>
        <v>-2830.135275</v>
      </c>
      <c r="E17" s="4" t="n">
        <f aca="false">-E6*Assumptions!E46/100</f>
        <v>-2773.5325695</v>
      </c>
      <c r="F17" s="4" t="n">
        <f aca="false">-F6*Assumptions!F46/100</f>
        <v>-2745.797243805</v>
      </c>
      <c r="G17" s="4" t="n">
        <f aca="false">-G6*Assumptions!G46/100</f>
        <v>-2828.17116111915</v>
      </c>
      <c r="H17" s="4" t="n">
        <f aca="false">-H6*Assumptions!H46/100</f>
        <v>-2941.29800756392</v>
      </c>
      <c r="I17" s="4" t="n">
        <f aca="false">-I6*Assumptions!I46/100</f>
        <v>-3058.94992786647</v>
      </c>
      <c r="J17" s="4" t="n">
        <f aca="false">-J6*Assumptions!J46/100</f>
        <v>-3166.0131753418</v>
      </c>
      <c r="K17" s="4" t="n">
        <f aca="false">-K6*Assumptions!K46/100</f>
        <v>-3260.99357060205</v>
      </c>
      <c r="L17" s="4" t="n">
        <f aca="false">-L6*Assumptions!L46/100</f>
        <v>-3358.82337772012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-25.0315999999997</v>
      </c>
      <c r="D18" s="4" t="n">
        <f aca="false">(D6-C6)*Assumptions!$B$51/100</f>
        <v>-0</v>
      </c>
      <c r="E18" s="4" t="n">
        <f aca="false">(E6-D6)*Assumptions!$B$51/100</f>
        <v>100.627032</v>
      </c>
      <c r="F18" s="4" t="n">
        <f aca="false">(F6-E6)*Assumptions!$B$51/100</f>
        <v>49.3072456800001</v>
      </c>
      <c r="G18" s="4" t="n">
        <f aca="false">(G6-F6)*Assumptions!$B$51/100</f>
        <v>-146.4425196696</v>
      </c>
      <c r="H18" s="4" t="n">
        <f aca="false">(H6-G6)*Assumptions!$B$51/100</f>
        <v>-201.114393679584</v>
      </c>
      <c r="I18" s="4" t="n">
        <f aca="false">(I6-H6)*Assumptions!$B$51/100</f>
        <v>-209.158969426768</v>
      </c>
      <c r="J18" s="4" t="n">
        <f aca="false">(J6-I6)*Assumptions!$B$51/100</f>
        <v>-190.334662178358</v>
      </c>
      <c r="K18" s="4" t="n">
        <f aca="false">(K6-J6)*Assumptions!$B$51/100</f>
        <v>-168.854036018229</v>
      </c>
      <c r="L18" s="4" t="n">
        <f aca="false">(L6-K6)*Assumptions!$B$51/100</f>
        <v>-173.919657098777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13382.2625761</v>
      </c>
      <c r="D19" s="0" t="n">
        <f aca="false">D15+D16+D17+D18</f>
        <v>13333.08174</v>
      </c>
      <c r="E19" s="0" t="n">
        <f aca="false">E15+E16+E17+E18</f>
        <v>13006.79858874</v>
      </c>
      <c r="F19" s="0" t="n">
        <f aca="false">F15+F16+F17+F18</f>
        <v>12822.1458466956</v>
      </c>
      <c r="G19" s="0" t="n">
        <f aca="false">G15+G16+G17+G18</f>
        <v>13370.9586655194</v>
      </c>
      <c r="H19" s="0" t="n">
        <f aca="false">H15+H16+H17+H18</f>
        <v>14097.5156537578</v>
      </c>
      <c r="I19" s="0" t="n">
        <f aca="false">I15+I16+I17+I18</f>
        <v>14851.7509420865</v>
      </c>
      <c r="J19" s="0" t="n">
        <f aca="false">J15+J16+J17+J18</f>
        <v>15594.7034715924</v>
      </c>
      <c r="K19" s="0" t="n">
        <f aca="false">K15+K16+K17+K18</f>
        <v>16010.0220655954</v>
      </c>
      <c r="L19" s="0" t="n">
        <f aca="false">L15+L16+L17+L18</f>
        <v>16408.2181561079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12506.7874542991</v>
      </c>
      <c r="D21" s="0" t="n">
        <f aca="false">D19*D20</f>
        <v>11645.6299589484</v>
      </c>
      <c r="E21" s="0" t="n">
        <f aca="false">E19*E20</f>
        <v>10617.4220731354</v>
      </c>
      <c r="F21" s="0" t="n">
        <f aca="false">F19*F20</f>
        <v>9781.95367461911</v>
      </c>
      <c r="G21" s="0" t="n">
        <f aca="false">G19*G20</f>
        <v>9533.30873496276</v>
      </c>
      <c r="H21" s="0" t="n">
        <f aca="false">H19*H20</f>
        <v>9393.76993101307</v>
      </c>
      <c r="I21" s="0" t="n">
        <f aca="false">I19*I20</f>
        <v>9248.92406571858</v>
      </c>
      <c r="J21" s="0" t="n">
        <f aca="false">J19*J20</f>
        <v>9076.25940345881</v>
      </c>
      <c r="K21" s="0" t="n">
        <f aca="false">K19*K20</f>
        <v>8708.39122099411</v>
      </c>
      <c r="L21" s="0" t="n">
        <f aca="false">L19*L20</f>
        <v>8341.10608484947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98853.5526019987</v>
      </c>
    </row>
    <row r="31" customFormat="false" ht="15" hidden="false" customHeight="false" outlineLevel="0" collapsed="false">
      <c r="A31" s="0" t="s">
        <v>137</v>
      </c>
      <c r="B31" s="0" t="n">
        <f aca="false">L19</f>
        <v>16408.2181561079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334727.650384601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246123.272341619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246123.272341619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125116.591272742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223970.143874741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172457.143874741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30.0709928290743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0.0693809683170075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6197.28315908299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10062.604333594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32.9061955305001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128741.403994077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8.70833625514278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13.0218207856899</v>
      </c>
      <c r="C4" s="0" t="n">
        <f aca="false">B4/Assumptions!$B$2-1</f>
        <v>-0.536919602215864</v>
      </c>
      <c r="D4" s="4" t="n">
        <f aca="false">Assumptions!$B$24</f>
        <v>0.3</v>
      </c>
      <c r="E4" s="4" t="n">
        <f aca="false">DCF_Bear!$B$43</f>
        <v>15.257387910893</v>
      </c>
      <c r="F4" s="4" t="n">
        <f aca="false">DCF_Bear!$B$47</f>
        <v>2.05565897241247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21.8132531614495</v>
      </c>
      <c r="C5" s="0" t="n">
        <f aca="false">B5/Assumptions!$B$2-1</f>
        <v>-0.224279759550161</v>
      </c>
      <c r="D5" s="4" t="n">
        <f aca="false">Assumptions!$B$38</f>
        <v>0.5</v>
      </c>
      <c r="E5" s="4" t="n">
        <f aca="false">DCF_Base!$B$43</f>
        <v>24.2402897067918</v>
      </c>
      <c r="F5" s="4" t="n">
        <f aca="false">DCF_Base!$B$47</f>
        <v>5.56119267521044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30.0709928290743</v>
      </c>
      <c r="C6" s="0" t="n">
        <f aca="false">B6/Assumptions!$B$2-1</f>
        <v>0.0693809683170075</v>
      </c>
      <c r="D6" s="4" t="n">
        <f aca="false">Assumptions!$B$52</f>
        <v>0.2</v>
      </c>
      <c r="E6" s="4" t="n">
        <f aca="false">DCF_Bull!$B$43</f>
        <v>32.9061955305001</v>
      </c>
      <c r="F6" s="4" t="n">
        <f aca="false">DCF_Bull!$B$47</f>
        <v>8.70833625514278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20.8273713822466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23.2786003327638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-0.350146376319469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297.509076670072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5.13896128035752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21.8132531614495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17.432041895582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14.2229374503372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11.7247705738739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9.72432431931787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5.56119267521044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26.6259017776289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26.6259017776289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26.6259017776289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26.6259017776289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26.6259017776289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24.1059689117294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24.1059689117294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24.1059689117294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24.1059689117294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24.1059689117294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21.8132531614495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21.8132531614495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21.8132531614495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21.8132531614495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21.8132531614495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19.1581034884476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19.7246230857569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19.7246230857569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19.7246230857569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19.7246230857569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15.6722389801187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16.4934803406682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17.432041895582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17.8195214366015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17.8195214366015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2026-10-02T06:54:27Z</dcterms:created>
  <dc:creator>openpyxl</dc:creator>
  <dc:description/>
  <dc:language>en-NZ</dc:language>
  <cp:lastModifiedBy/>
  <dcterms:modified xsi:type="dcterms:W3CDTF">2026-10-02T06:54:27Z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