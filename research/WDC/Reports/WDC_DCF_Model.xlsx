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<sst xmlns="http://schemas.openxmlformats.org/spreadsheetml/2006/main" count="390" uniqueCount="175">
  <si>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</si>
  <si>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WDC</t>
  </si>
  <si>
    <t xml:space="preserve">Company</t>
  </si>
  <si>
    <t xml:space="preserve">Western Digital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</si>
  <si>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</si>
  <si>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</si>
  <si>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</si>
  <si>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</si>
  <si>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2026-10-02T20:00:00Z regular close (Yahoo chart API)</t>
  </si>
  <si>
    <t xml:space="preserve">Balance sheet date</t>
  </si>
  <si>
    <t xml:space="preserve">2026-07-03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</si>
  <si>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</si>
  <si>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</si>
  <si>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</si>
  <si>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</si>
  <si>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</si>
  <si>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</si>
  <si>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</si>
  <si>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</si>
  <si>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</si>
  <si>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</si>
  <si>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2026-10-02T21:50:20Z</t>
  </si>
  <si>
    <t xml:space="preserve">Drivers file</t>
  </si>
  <si>
    <t xml:space="preserve">WDC_Drivers.json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</si>
  <si>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</si>
  <si>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</si>
  <si>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</si>
  <si>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valuation of a pure-play HDD duopolist at a cyclical peak. GAAP earnings are ignored because the SanDisk mark-to-market gains dominate them. The flows start from operating EBITDA, carry the upcycle through FY2027-FY2028, and normalize to a mid-cycle margin. Cyclicality is priced in the scenarios and weights, not the discount rate.
key_risks_to_valuation: Mid-cycle margin judgment: each 1pp of terminal pre-SBC EBITDA margin moves base value by roughly 3-4%; 32% is above all pre-2025 HDD history; Q1 FY2027 guidance (August 2026) not in the research corpus; year-1 path is extrapolated from the Q4 FY2026 exit rate; Convertible notes ($1,060M, deep in the money): the diluted count may understate shares by a few million if principal is equity-settled; Equity-award withholding taxes are undisclosed in XBRL and approximated by lifting forward SBC to 2.0% of revenue; Customer concentration: three hyperscalers are ~45% of revenue</t>
  </si>
  <si>
    <t xml:space="preserve">Data sources</t>
  </si>
  <si>
    <t xml:space="preserve">price: Yahoo Finance chart API at inputs.price_as_of; 52-week range 112.52-799.87
financials: WDC_Metrics.csv (SEC XBRL) and SEC companyfacts FY2026 10-K tags (ShareBasedCompensation, EquitySecuritiesFvNi, EquitySecuritiesFvNiUnrealizedGainLoss, GainsLossesOnExtinguishmentOfDebt, LongTermDebt, WeightedAverageNumberOfDilutedSharesOutstanding, IncomeTaxesPaidNet, PaymentsForRepurchaseOfCommonStock)
qualitative: WDC_Analysis.json (2026-10-03)</t>
  </si>
  <si>
    <t xml:space="preserve">Scenario narrative: bear</t>
  </si>
  <si>
    <t xml:space="preserve">Classic storage-cycle reversal. AI capex digestion in 2027 coincides with Toshiba's new Philippine capacity and Seagate's HAMR yield improvements; the three hyperscalers that are ~45% of revenue push back on pricing, and the single-product, post-spin WDC has no flash business to offset. Revenue falls ~30% from the FY2027 peak and margins revert to ~22% (still better than the FY2023-FY2024 losses). Exit at 10x.</t>
  </si>
  <si>
    <t xml:space="preserve">Scenario narrative: base</t>
  </si>
  <si>
    <t xml:space="preserve">The AI-driven nearline shortage is real and contracted into 2028, so FY2027 grows ~28% at ~46% pre-SBC EBITDA (the Q4 FY2026 exit rate). The HDD industry has never sustained peak pricing, though: Toshiba is doubling AI-datacenter capacity by its fiscal 2027, and the HAMR ramps at both WDC and Seagate add exabytes per unit of capex. The base therefore has a normal down-leg in FY2029-FY2030 (revenue -12% peak to trough) and settles at a 32% mid-cycle margin, above anything this industry earned before 2025 because the market is now two players plus a distant third. Exit at 13x owner FCF.</t>
  </si>
  <si>
    <t xml:space="preserve">Scenario narrative: bull</t>
  </si>
  <si>
    <t xml:space="preserve">Management is right that 'disciplined capacity' has ended boom-bust. Nearline exabyte demand keeps growing 40-50%/yr against ~30% supply growth into 2029, multi-year hyperscaler agreements lock in pricing, and HAMR (100TB by 2029) keeps cost per TB falling faster than price, so margins stay near 40% and revenue roughly triples over the decade. The market then pays a quasi-non-cyclical 16x for the cash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</si>
  <si>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</si>
  <si>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</si>
  <si>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</si>
  <si>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</si>
  <si>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</si>
  <si>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</si>
  <si>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</si>
  <si>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</si>
  <si>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</si>
  <si>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</si>
  <si>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</si>
  <si>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</si>
  <si>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</si>
  <si>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</si>
  <si>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</si>
  <si>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</si>
  <si>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</si>
  <si>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</si>
  <si>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</si>
  <si>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</si>
  <si>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</si>
  <si>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</si>
  <si>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</si>
  <si>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</si>
  <si>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</si>
  <si>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</si>
  <si>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</si>
  <si>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</si>
  <si>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</si>
  <si>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</si>
  <si>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</si>
  <si>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</si>
  <si>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</si>
  <si>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</si>
  <si>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</si>
  <si>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</si>
  <si>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</si>
  <si>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</si>
  <si>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</si>
  <si>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</si>
  <si>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</si>
  <si>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</si>
  <si>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</si>
  <si>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</si>
  <si>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</si>
  <si>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</si>
  <si>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</si>
  <si>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</si>
  <si>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</si>
  <si>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</si>
  <si>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</si>
  <si>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</si>
  <si>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</si>
  <si>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</si>
  <si>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</si>
  <si>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</si>
  <si>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</si>
  <si>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</si>
  <si>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</si>
  <si>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</si>
  <si>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</si>
  <si>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</si>
  <si>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</si>
  <si>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</si>
  <si>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</si>
  <si>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</si>
  <si>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</si>
  <si>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</si>
  <si>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</si>
  <si>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</si>
  <si>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</si>
  <si>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</si>
  <si>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</si>
  <si>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</si>
  <si>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</si>
  <si>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</si>
  <si>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</si>
  <si>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</si>
  <si>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</si>
  <si>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</si>
  <si>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</si>
  <si>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</si>
  <si>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</si>
  <si>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</si>
  <si>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WDC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</si>
  <si>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</si>
  <si>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</si>
  <si>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</si>
  <si>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</si>
  <si>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</si>
  <si>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</si>
  <si>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</si>
  <si>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</si>
  <si>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</si>
  <si>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</si>
  <si>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</si>
  <si>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</si>
  <si>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</si>
  <si>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</si>
  <si>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</si>
  <si>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</si>
  <si>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</si>
  <si>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</si>
  <si>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</si>
  <si>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</si>
  <si>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</si>
  <si>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</si>
  <si>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</si>
  <si>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</si>
  <si>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</si>
  <si>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</si>
  <si>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</si>
  <si>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</si>
  <si>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</si>
  <si>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</si>
  <si>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WDC owner-FCF component DCF: base case (millions, USD)</t>
  </si>
  <si>
    <t xml:space="preserve">WDC owner-FCF component DCF: bull case (millions, USD)</t>
  </si>
  <si>
    <t xml:space="preserve">WDC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</si>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</sst>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415.29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1716</v>
      </c>
      <c r="S2" s="0" t="n">
        <v>700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D3" s="0" t="n">
        <v>1739</v>
      </c>
      <c r="F3" s="0" t="n">
        <v>1006</v>
      </c>
      <c r="H3" s="0" t="n">
        <v>1419</v>
      </c>
      <c r="I3" s="0" t="n">
        <v>867</v>
      </c>
      <c r="K3" s="0" t="n">
        <v>3.92</v>
      </c>
      <c r="L3" s="0" t="n">
        <v>1399</v>
      </c>
      <c r="M3" s="0" t="n">
        <v>615</v>
      </c>
      <c r="N3" s="0" t="n">
        <v>784</v>
      </c>
      <c r="O3" s="0" t="n">
        <v>2696</v>
      </c>
      <c r="S3" s="0" t="n">
        <v>1104</v>
      </c>
      <c r="T3" s="0" t="n">
        <v>226</v>
      </c>
      <c r="U3" s="0" t="n">
        <v>37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D4" s="0" t="n">
        <v>1337</v>
      </c>
      <c r="F4" s="0" t="n">
        <v>519</v>
      </c>
      <c r="H4" s="0" t="n">
        <v>998</v>
      </c>
      <c r="I4" s="0" t="n">
        <v>470</v>
      </c>
      <c r="K4" s="0" t="n">
        <v>2.12</v>
      </c>
      <c r="L4" s="0" t="n">
        <v>1305</v>
      </c>
      <c r="M4" s="0" t="n">
        <v>519</v>
      </c>
      <c r="N4" s="0" t="n">
        <v>786</v>
      </c>
      <c r="O4" s="0" t="n">
        <v>3192</v>
      </c>
      <c r="P4" s="0" t="n">
        <v>5291</v>
      </c>
      <c r="Q4" s="0" t="n">
        <v>2099</v>
      </c>
      <c r="R4" s="0" t="n">
        <v>482</v>
      </c>
      <c r="S4" s="0" t="n">
        <v>1794</v>
      </c>
      <c r="T4" s="0" t="n">
        <v>226</v>
      </c>
      <c r="U4" s="0" t="n">
        <v>47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D5" s="0" t="n">
        <v>2401</v>
      </c>
      <c r="F5" s="0" t="n">
        <v>1525</v>
      </c>
      <c r="H5" s="0" t="n">
        <v>2035</v>
      </c>
      <c r="I5" s="0" t="n">
        <v>1382</v>
      </c>
      <c r="K5" s="0" t="n">
        <v>6.06</v>
      </c>
      <c r="L5" s="0" t="n">
        <v>1942</v>
      </c>
      <c r="M5" s="0" t="n">
        <v>737</v>
      </c>
      <c r="N5" s="0" t="n">
        <v>1205</v>
      </c>
      <c r="O5" s="0" t="n">
        <v>4709</v>
      </c>
      <c r="P5" s="0" t="n">
        <v>7328</v>
      </c>
      <c r="Q5" s="0" t="n">
        <v>2619</v>
      </c>
      <c r="R5" s="0" t="n">
        <v>400</v>
      </c>
      <c r="S5" s="0" t="n">
        <v>2734</v>
      </c>
      <c r="T5" s="0" t="n">
        <v>233</v>
      </c>
      <c r="U5" s="0" t="n">
        <v>60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D6" s="0" t="n">
        <v>1791</v>
      </c>
      <c r="F6" s="0" t="n">
        <v>781</v>
      </c>
      <c r="H6" s="0" t="n">
        <v>1383</v>
      </c>
      <c r="I6" s="0" t="n">
        <v>726</v>
      </c>
      <c r="K6" s="0" t="n">
        <v>3.14</v>
      </c>
      <c r="L6" s="0" t="n">
        <v>1655</v>
      </c>
      <c r="M6" s="0" t="n">
        <v>778</v>
      </c>
      <c r="N6" s="0" t="n">
        <v>877</v>
      </c>
      <c r="O6" s="0" t="n">
        <v>5488</v>
      </c>
      <c r="P6" s="0" t="n">
        <v>8118</v>
      </c>
      <c r="Q6" s="0" t="n">
        <v>2630</v>
      </c>
      <c r="R6" s="0" t="n">
        <v>294</v>
      </c>
      <c r="S6" s="0" t="n">
        <v>3490</v>
      </c>
      <c r="T6" s="0" t="n">
        <v>235</v>
      </c>
      <c r="U6" s="0" t="n">
        <v>69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D7" s="0" t="n">
        <v>3638</v>
      </c>
      <c r="F7" s="0" t="n">
        <v>1771</v>
      </c>
      <c r="H7" s="0" t="n">
        <v>2596</v>
      </c>
      <c r="I7" s="0" t="n">
        <v>1612</v>
      </c>
      <c r="K7" s="0" t="n">
        <v>6.69</v>
      </c>
      <c r="L7" s="0" t="n">
        <v>3067</v>
      </c>
      <c r="M7" s="0" t="n">
        <v>717</v>
      </c>
      <c r="N7" s="0" t="n">
        <v>2350</v>
      </c>
      <c r="O7" s="0" t="n">
        <v>7669</v>
      </c>
      <c r="P7" s="0" t="n">
        <v>14206</v>
      </c>
      <c r="Q7" s="0" t="n">
        <v>6537</v>
      </c>
      <c r="R7" s="0" t="n">
        <v>2185</v>
      </c>
      <c r="S7" s="0" t="n">
        <v>3208</v>
      </c>
      <c r="T7" s="0" t="n">
        <v>246</v>
      </c>
      <c r="U7" s="0" t="n">
        <v>92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D8" s="0" t="n">
        <v>4363</v>
      </c>
      <c r="F8" s="0" t="n">
        <v>1266</v>
      </c>
      <c r="H8" s="0" t="n">
        <v>2499</v>
      </c>
      <c r="I8" s="0" t="n">
        <v>980</v>
      </c>
      <c r="K8" s="0" t="n">
        <v>4.07</v>
      </c>
      <c r="L8" s="0" t="n">
        <v>3119</v>
      </c>
      <c r="M8" s="0" t="n">
        <v>952</v>
      </c>
      <c r="N8" s="0" t="n">
        <v>2167</v>
      </c>
      <c r="O8" s="0" t="n">
        <v>7893</v>
      </c>
      <c r="P8" s="0" t="n">
        <v>14036</v>
      </c>
      <c r="Q8" s="0" t="n">
        <v>6143</v>
      </c>
      <c r="R8" s="0" t="n">
        <v>1955</v>
      </c>
      <c r="S8" s="0" t="n">
        <v>4309</v>
      </c>
      <c r="T8" s="0" t="n">
        <v>246</v>
      </c>
      <c r="U8" s="0" t="n">
        <v>137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D9" s="0" t="n">
        <v>4360</v>
      </c>
      <c r="F9" s="0" t="n">
        <v>1791</v>
      </c>
      <c r="H9" s="0" t="n">
        <v>3035</v>
      </c>
      <c r="I9" s="0" t="n">
        <v>1617</v>
      </c>
      <c r="K9" s="0" t="n">
        <v>6.88</v>
      </c>
      <c r="L9" s="0" t="n">
        <v>2816</v>
      </c>
      <c r="M9" s="0" t="n">
        <v>628</v>
      </c>
      <c r="N9" s="0" t="n">
        <v>2188</v>
      </c>
      <c r="O9" s="0" t="n">
        <v>8842</v>
      </c>
      <c r="P9" s="0" t="n">
        <v>15499</v>
      </c>
      <c r="Q9" s="0" t="n">
        <v>6657</v>
      </c>
      <c r="R9" s="0" t="n">
        <v>2438</v>
      </c>
      <c r="S9" s="0" t="n">
        <v>4804</v>
      </c>
      <c r="T9" s="0" t="n">
        <v>242</v>
      </c>
      <c r="U9" s="0" t="n">
        <v>156</v>
      </c>
      <c r="V9" s="0" t="n">
        <v>1.25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D10" s="0" t="n">
        <v>4221</v>
      </c>
      <c r="F10" s="0" t="n">
        <v>1611</v>
      </c>
      <c r="H10" s="0" t="n">
        <v>2725</v>
      </c>
      <c r="I10" s="0" t="n">
        <v>1465</v>
      </c>
      <c r="K10" s="0" t="n">
        <v>6.31</v>
      </c>
      <c r="L10" s="0" t="n">
        <v>2242</v>
      </c>
      <c r="M10" s="0" t="n">
        <v>612</v>
      </c>
      <c r="N10" s="0" t="n">
        <v>1630</v>
      </c>
      <c r="O10" s="0" t="n">
        <v>9219</v>
      </c>
      <c r="P10" s="0" t="n">
        <v>15170</v>
      </c>
      <c r="Q10" s="0" t="n">
        <v>5951</v>
      </c>
      <c r="R10" s="0" t="n">
        <v>2301</v>
      </c>
      <c r="S10" s="0" t="n">
        <v>5024</v>
      </c>
      <c r="T10" s="0" t="n">
        <v>237</v>
      </c>
      <c r="U10" s="0" t="n">
        <v>162</v>
      </c>
      <c r="V10" s="0" t="n">
        <v>1.8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D11" s="0" t="n">
        <v>3435</v>
      </c>
      <c r="F11" s="0" t="n">
        <v>466</v>
      </c>
      <c r="H11" s="0" t="n">
        <v>1620</v>
      </c>
      <c r="I11" s="0" t="n">
        <v>242</v>
      </c>
      <c r="K11" s="0" t="n">
        <v>1.01</v>
      </c>
      <c r="L11" s="0" t="n">
        <v>1983</v>
      </c>
      <c r="M11" s="0" t="n">
        <v>584</v>
      </c>
      <c r="N11" s="0" t="n">
        <v>1399</v>
      </c>
      <c r="O11" s="0" t="n">
        <v>11145</v>
      </c>
      <c r="P11" s="0" t="n">
        <v>32862</v>
      </c>
      <c r="Q11" s="0" t="n">
        <v>21717</v>
      </c>
      <c r="R11" s="0" t="n">
        <v>13999</v>
      </c>
      <c r="S11" s="0" t="n">
        <v>8151</v>
      </c>
      <c r="T11" s="0" t="n">
        <v>284</v>
      </c>
      <c r="U11" s="0" t="n">
        <v>191</v>
      </c>
      <c r="V11" s="0" t="n">
        <v>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19093</v>
      </c>
      <c r="C12" s="0" t="n">
        <v>13021</v>
      </c>
      <c r="D12" s="0" t="n">
        <v>6072</v>
      </c>
      <c r="E12" s="0" t="n">
        <v>31.8022311842036</v>
      </c>
      <c r="F12" s="0" t="n">
        <v>1954</v>
      </c>
      <c r="G12" s="0" t="n">
        <v>10.2341172157335</v>
      </c>
      <c r="H12" s="0" t="n">
        <v>4082</v>
      </c>
      <c r="I12" s="0" t="n">
        <v>397</v>
      </c>
      <c r="J12" s="0" t="n">
        <v>2.07929607709632</v>
      </c>
      <c r="K12" s="0" t="n">
        <v>1.38</v>
      </c>
      <c r="L12" s="0" t="n">
        <v>3437</v>
      </c>
      <c r="M12" s="0" t="n">
        <v>578</v>
      </c>
      <c r="N12" s="0" t="n">
        <v>2859</v>
      </c>
      <c r="O12" s="0" t="n">
        <v>11418</v>
      </c>
      <c r="P12" s="0" t="n">
        <v>29860</v>
      </c>
      <c r="Q12" s="0" t="n">
        <v>18442</v>
      </c>
      <c r="R12" s="0" t="n">
        <v>13151</v>
      </c>
      <c r="S12" s="0" t="n">
        <v>6354</v>
      </c>
      <c r="T12" s="0" t="n">
        <v>296</v>
      </c>
      <c r="U12" s="0" t="n">
        <v>394</v>
      </c>
      <c r="V12" s="0" t="n">
        <v>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20647</v>
      </c>
      <c r="C13" s="0" t="n">
        <v>12942</v>
      </c>
      <c r="D13" s="0" t="n">
        <v>7705</v>
      </c>
      <c r="E13" s="0" t="n">
        <v>37.3177701360973</v>
      </c>
      <c r="F13" s="0" t="n">
        <v>3617</v>
      </c>
      <c r="G13" s="0" t="n">
        <v>17.5182835278733</v>
      </c>
      <c r="H13" s="0" t="n">
        <v>5673</v>
      </c>
      <c r="I13" s="0" t="n">
        <v>675</v>
      </c>
      <c r="J13" s="0" t="n">
        <v>3.26924008330508</v>
      </c>
      <c r="K13" s="0" t="n">
        <v>2.27</v>
      </c>
      <c r="L13" s="0" t="n">
        <v>4205</v>
      </c>
      <c r="M13" s="0" t="n">
        <v>835</v>
      </c>
      <c r="N13" s="0" t="n">
        <v>3370</v>
      </c>
      <c r="O13" s="0" t="n">
        <v>11531</v>
      </c>
      <c r="P13" s="0" t="n">
        <v>29235</v>
      </c>
      <c r="Q13" s="0" t="n">
        <v>17704</v>
      </c>
      <c r="R13" s="0" t="n">
        <v>11172</v>
      </c>
      <c r="S13" s="0" t="n">
        <v>5005</v>
      </c>
      <c r="T13" s="0" t="n">
        <v>307</v>
      </c>
      <c r="U13" s="0" t="n">
        <v>377</v>
      </c>
      <c r="V13" s="0" t="n">
        <v>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16569</v>
      </c>
      <c r="C14" s="0" t="n">
        <v>12817</v>
      </c>
      <c r="D14" s="0" t="n">
        <v>3752</v>
      </c>
      <c r="E14" s="0" t="n">
        <v>22.644697929869</v>
      </c>
      <c r="F14" s="0" t="n">
        <v>87</v>
      </c>
      <c r="G14" s="0" t="n">
        <v>0.525076950932464</v>
      </c>
      <c r="H14" s="0" t="n">
        <v>1899</v>
      </c>
      <c r="I14" s="0" t="n">
        <v>-754</v>
      </c>
      <c r="J14" s="0" t="n">
        <v>-4.55066690808136</v>
      </c>
      <c r="K14" s="0" t="n">
        <v>-2.58</v>
      </c>
      <c r="L14" s="0" t="n">
        <v>1547</v>
      </c>
      <c r="M14" s="0" t="n">
        <v>876</v>
      </c>
      <c r="N14" s="0" t="n">
        <v>671</v>
      </c>
      <c r="O14" s="0" t="n">
        <v>9967</v>
      </c>
      <c r="P14" s="0" t="n">
        <v>26370</v>
      </c>
      <c r="Q14" s="0" t="n">
        <v>16403</v>
      </c>
      <c r="R14" s="0" t="n">
        <v>10522</v>
      </c>
      <c r="S14" s="0" t="n">
        <v>3455</v>
      </c>
      <c r="T14" s="0" t="n">
        <v>295</v>
      </c>
      <c r="U14" s="0" t="n">
        <v>306</v>
      </c>
      <c r="V14" s="0" t="n">
        <v>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16736</v>
      </c>
      <c r="C15" s="0" t="n">
        <v>12955</v>
      </c>
      <c r="D15" s="0" t="n">
        <v>3781</v>
      </c>
      <c r="E15" s="0" t="n">
        <v>22.592017208413</v>
      </c>
      <c r="F15" s="0" t="n">
        <v>335</v>
      </c>
      <c r="G15" s="0" t="n">
        <v>2.00167304015296</v>
      </c>
      <c r="H15" s="0" t="n">
        <v>1901</v>
      </c>
      <c r="I15" s="0" t="n">
        <v>-250</v>
      </c>
      <c r="J15" s="0" t="n">
        <v>-1.49378585086042</v>
      </c>
      <c r="K15" s="0" t="n">
        <v>-0.84</v>
      </c>
      <c r="L15" s="0" t="n">
        <v>824</v>
      </c>
      <c r="M15" s="0" t="n">
        <v>647</v>
      </c>
      <c r="N15" s="0" t="n">
        <v>177</v>
      </c>
      <c r="O15" s="0" t="n">
        <v>9551</v>
      </c>
      <c r="P15" s="0" t="n">
        <v>25662</v>
      </c>
      <c r="Q15" s="0" t="n">
        <v>16111</v>
      </c>
      <c r="R15" s="0" t="n">
        <v>9575</v>
      </c>
      <c r="S15" s="0" t="n">
        <v>3048</v>
      </c>
      <c r="T15" s="0" t="n">
        <v>302</v>
      </c>
      <c r="U15" s="0" t="n">
        <v>308</v>
      </c>
      <c r="V15" s="0" t="n">
        <v>1.5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16922</v>
      </c>
      <c r="C16" s="0" t="n">
        <v>12401</v>
      </c>
      <c r="D16" s="0" t="n">
        <v>4521</v>
      </c>
      <c r="E16" s="0" t="n">
        <v>26.7167001536461</v>
      </c>
      <c r="F16" s="0" t="n">
        <v>1220</v>
      </c>
      <c r="G16" s="0" t="n">
        <v>7.20954969861719</v>
      </c>
      <c r="H16" s="0" t="n">
        <v>2432</v>
      </c>
      <c r="I16" s="0" t="n">
        <v>821</v>
      </c>
      <c r="J16" s="0" t="n">
        <v>4.8516723791514</v>
      </c>
      <c r="K16" s="0" t="n">
        <v>2.69</v>
      </c>
      <c r="L16" s="0" t="n">
        <v>1898</v>
      </c>
      <c r="M16" s="0" t="n">
        <v>1146</v>
      </c>
      <c r="N16" s="0" t="n">
        <v>752</v>
      </c>
      <c r="O16" s="0" t="n">
        <v>10800</v>
      </c>
      <c r="P16" s="0" t="n">
        <v>26132</v>
      </c>
      <c r="Q16" s="0" t="n">
        <v>15411</v>
      </c>
      <c r="R16" s="0" t="n">
        <v>8725</v>
      </c>
      <c r="S16" s="0" t="n">
        <v>3370</v>
      </c>
      <c r="T16" s="0" t="n">
        <v>309</v>
      </c>
      <c r="U16" s="0" t="n">
        <v>318</v>
      </c>
      <c r="V16" s="0" t="n">
        <v>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18793</v>
      </c>
      <c r="C17" s="0" t="n">
        <v>12919</v>
      </c>
      <c r="D17" s="0" t="n">
        <v>5874</v>
      </c>
      <c r="E17" s="0" t="n">
        <v>31.2563188421221</v>
      </c>
      <c r="F17" s="0" t="n">
        <v>2391</v>
      </c>
      <c r="G17" s="0" t="n">
        <v>12.7228223274624</v>
      </c>
      <c r="H17" s="0" t="n">
        <v>3320</v>
      </c>
      <c r="I17" s="0" t="n">
        <v>1546</v>
      </c>
      <c r="J17" s="0" t="n">
        <v>8.22646730165487</v>
      </c>
      <c r="K17" s="0" t="n">
        <v>4.96</v>
      </c>
      <c r="L17" s="0" t="n">
        <v>1880</v>
      </c>
      <c r="M17" s="0" t="n">
        <v>1122</v>
      </c>
      <c r="N17" s="0" t="n">
        <v>758</v>
      </c>
      <c r="O17" s="0" t="n">
        <v>12323</v>
      </c>
      <c r="P17" s="0" t="n">
        <v>26259</v>
      </c>
      <c r="Q17" s="0" t="n">
        <v>14038</v>
      </c>
      <c r="R17" s="0" t="n">
        <v>7022</v>
      </c>
      <c r="S17" s="0" t="n">
        <v>2327</v>
      </c>
      <c r="T17" s="0" t="n">
        <v>316</v>
      </c>
      <c r="U17" s="0" t="n">
        <v>326</v>
      </c>
      <c r="V17" s="0" t="n">
        <v>0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6255</v>
      </c>
      <c r="C18" s="0" t="n">
        <v>4864</v>
      </c>
      <c r="D18" s="0" t="n">
        <v>1391</v>
      </c>
      <c r="E18" s="0" t="n">
        <v>22.238209432454</v>
      </c>
      <c r="F18" s="0" t="n">
        <v>-548</v>
      </c>
      <c r="G18" s="0" t="n">
        <v>-8.76099120703437</v>
      </c>
      <c r="H18" s="0" t="n">
        <v>280</v>
      </c>
      <c r="I18" s="0" t="n">
        <v>-1684</v>
      </c>
      <c r="J18" s="0" t="n">
        <v>-26.9224620303757</v>
      </c>
      <c r="K18" s="0" t="n">
        <v>-5.37</v>
      </c>
      <c r="L18" s="0" t="n">
        <v>-408</v>
      </c>
      <c r="M18" s="0" t="n">
        <v>821</v>
      </c>
      <c r="N18" s="0" t="n">
        <v>-1229</v>
      </c>
      <c r="O18" s="0" t="n">
        <v>10964</v>
      </c>
      <c r="P18" s="0" t="n">
        <v>24546</v>
      </c>
      <c r="Q18" s="0" t="n">
        <v>12706</v>
      </c>
      <c r="R18" s="0" t="n">
        <v>7070</v>
      </c>
      <c r="S18" s="0" t="n">
        <v>2023</v>
      </c>
      <c r="T18" s="0" t="n">
        <v>322</v>
      </c>
      <c r="U18" s="0" t="n">
        <v>318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6317</v>
      </c>
      <c r="C19" s="0" t="n">
        <v>4544</v>
      </c>
      <c r="D19" s="0" t="n">
        <v>1773</v>
      </c>
      <c r="E19" s="0" t="n">
        <v>28.0671204685769</v>
      </c>
      <c r="F19" s="0" t="n">
        <v>-403</v>
      </c>
      <c r="G19" s="0" t="n">
        <v>-6.37961057463986</v>
      </c>
      <c r="H19" s="0" t="n">
        <v>165</v>
      </c>
      <c r="I19" s="0" t="n">
        <v>-798</v>
      </c>
      <c r="J19" s="0" t="n">
        <v>-12.6325787557385</v>
      </c>
      <c r="K19" s="0" t="n">
        <v>-2.61</v>
      </c>
      <c r="L19" s="0" t="n">
        <v>-294</v>
      </c>
      <c r="M19" s="0" t="n">
        <v>487</v>
      </c>
      <c r="N19" s="0" t="n">
        <v>-781</v>
      </c>
      <c r="O19" s="0" t="n">
        <v>10818</v>
      </c>
      <c r="P19" s="0" t="n">
        <v>24188</v>
      </c>
      <c r="Q19" s="0" t="n">
        <v>13141</v>
      </c>
      <c r="R19" s="0" t="n">
        <v>7434</v>
      </c>
      <c r="S19" s="0" t="n">
        <v>1551</v>
      </c>
      <c r="T19" s="0" t="n">
        <v>343</v>
      </c>
      <c r="U19" s="0" t="n">
        <v>295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9520</v>
      </c>
      <c r="C20" s="0" t="n">
        <v>5828</v>
      </c>
      <c r="D20" s="0" t="n">
        <v>3692</v>
      </c>
      <c r="E20" s="0" t="n">
        <v>38.781512605042</v>
      </c>
      <c r="F20" s="0" t="n">
        <v>2334</v>
      </c>
      <c r="G20" s="0" t="n">
        <v>24.5168067226891</v>
      </c>
      <c r="H20" s="0" t="n">
        <v>2785</v>
      </c>
      <c r="I20" s="0" t="n">
        <v>1889</v>
      </c>
      <c r="J20" s="0" t="n">
        <v>19.8424369747899</v>
      </c>
      <c r="K20" s="0" t="n">
        <v>5.31</v>
      </c>
      <c r="L20" s="0" t="n">
        <v>1691</v>
      </c>
      <c r="M20" s="0" t="n">
        <v>412</v>
      </c>
      <c r="N20" s="0" t="n">
        <v>1279</v>
      </c>
      <c r="O20" s="0" t="n">
        <v>5311</v>
      </c>
      <c r="P20" s="0" t="n">
        <v>14002</v>
      </c>
      <c r="Q20" s="0" t="n">
        <v>8462</v>
      </c>
      <c r="R20" s="0" t="n">
        <v>4711</v>
      </c>
      <c r="S20" s="0" t="n">
        <v>2114</v>
      </c>
      <c r="T20" s="0" t="n">
        <v>359</v>
      </c>
      <c r="U20" s="0" t="n">
        <v>265</v>
      </c>
      <c r="V20" s="0" t="n">
        <v>0.1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12919</v>
      </c>
      <c r="C21" s="0" t="n">
        <v>6608</v>
      </c>
      <c r="D21" s="0" t="n">
        <v>6311</v>
      </c>
      <c r="E21" s="0" t="n">
        <v>48.8505302267977</v>
      </c>
      <c r="F21" s="0" t="n">
        <v>4453</v>
      </c>
      <c r="G21" s="0" t="n">
        <v>34.4686121216813</v>
      </c>
      <c r="H21" s="0" t="n">
        <v>4828</v>
      </c>
      <c r="I21" s="0" t="n">
        <v>9424</v>
      </c>
      <c r="J21" s="0" t="n">
        <v>72.9468225094822</v>
      </c>
      <c r="K21" s="0" t="n">
        <v>26.92</v>
      </c>
      <c r="L21" s="0" t="n">
        <v>3929</v>
      </c>
      <c r="M21" s="0" t="n">
        <v>418</v>
      </c>
      <c r="N21" s="0" t="n">
        <v>3511</v>
      </c>
      <c r="O21" s="0" t="n">
        <v>8864</v>
      </c>
      <c r="P21" s="0" t="n">
        <v>13861</v>
      </c>
      <c r="Q21" s="0" t="n">
        <v>4997</v>
      </c>
      <c r="R21" s="0" t="n">
        <v>1052</v>
      </c>
      <c r="S21" s="0" t="n">
        <v>1579</v>
      </c>
      <c r="T21" s="0" t="n">
        <v>383</v>
      </c>
      <c r="U21" s="0" t="n">
        <v>204</v>
      </c>
      <c r="V21" s="0" t="n">
        <v>0.5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415.29</v>
      </c>
    </row>
    <row r="3" customFormat="false" ht="15" hidden="false" customHeight="false" outlineLevel="0" collapsed="false">
      <c r="A3" s="0" t="s">
        <v>86</v>
      </c>
      <c r="B3" s="3" t="n">
        <v>383</v>
      </c>
    </row>
    <row r="4" customFormat="false" ht="15" hidden="false" customHeight="false" outlineLevel="0" collapsed="false">
      <c r="A4" s="0" t="s">
        <v>87</v>
      </c>
      <c r="B4" s="3" t="n">
        <v>-527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12919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15</v>
      </c>
      <c r="D13" s="3" t="n">
        <v>-12</v>
      </c>
      <c r="E13" s="3" t="n">
        <v>-18</v>
      </c>
      <c r="F13" s="3" t="n">
        <v>-2</v>
      </c>
      <c r="G13" s="3" t="n">
        <v>4</v>
      </c>
      <c r="H13" s="3" t="n">
        <v>4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43</v>
      </c>
      <c r="D14" s="3" t="n">
        <v>32</v>
      </c>
      <c r="E14" s="3" t="n">
        <v>22</v>
      </c>
      <c r="F14" s="3" t="n">
        <v>20</v>
      </c>
      <c r="G14" s="3" t="n">
        <v>21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108</v>
      </c>
      <c r="C15" s="3" t="n">
        <v>2</v>
      </c>
      <c r="D15" s="3" t="n">
        <v>2</v>
      </c>
      <c r="E15" s="3" t="n">
        <v>2</v>
      </c>
      <c r="F15" s="3" t="n">
        <v>1.9</v>
      </c>
      <c r="G15" s="3" t="n">
        <v>1.9</v>
      </c>
      <c r="H15" s="3" t="n">
        <v>1.9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</v>
      </c>
      <c r="D17" s="3" t="n">
        <v>3.4</v>
      </c>
      <c r="E17" s="3" t="n">
        <v>4</v>
      </c>
      <c r="F17" s="3" t="n">
        <v>4.2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111</v>
      </c>
      <c r="C18" s="3" t="n">
        <v>4</v>
      </c>
      <c r="D18" s="3" t="n">
        <v>3.5</v>
      </c>
      <c r="E18" s="3" t="n">
        <v>3.5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17</v>
      </c>
      <c r="E19" s="3" t="n">
        <v>17</v>
      </c>
      <c r="F19" s="3" t="n">
        <v>17</v>
      </c>
      <c r="G19" s="3" t="n">
        <v>17</v>
      </c>
      <c r="H19" s="3" t="n">
        <v>17</v>
      </c>
      <c r="I19" s="3" t="n">
        <v>17</v>
      </c>
      <c r="J19" s="3" t="n">
        <v>17</v>
      </c>
      <c r="K19" s="3" t="n">
        <v>17</v>
      </c>
      <c r="L19" s="3" t="n">
        <v>17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0.3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28</v>
      </c>
      <c r="D27" s="3" t="n">
        <v>10</v>
      </c>
      <c r="E27" s="3" t="n">
        <v>-4</v>
      </c>
      <c r="F27" s="3" t="n">
        <v>-8</v>
      </c>
      <c r="G27" s="3" t="n">
        <v>5</v>
      </c>
      <c r="H27" s="3" t="n">
        <v>6</v>
      </c>
      <c r="I27" s="3" t="n">
        <v>5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107</v>
      </c>
      <c r="C28" s="3" t="n">
        <v>46</v>
      </c>
      <c r="D28" s="3" t="n">
        <v>44</v>
      </c>
      <c r="E28" s="3" t="n">
        <v>38</v>
      </c>
      <c r="F28" s="3" t="n">
        <v>33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108</v>
      </c>
      <c r="C29" s="3" t="n">
        <v>2</v>
      </c>
      <c r="D29" s="3" t="n">
        <v>2</v>
      </c>
      <c r="E29" s="3" t="n">
        <v>2</v>
      </c>
      <c r="F29" s="3" t="n">
        <v>1.9</v>
      </c>
      <c r="G29" s="3" t="n">
        <v>1.9</v>
      </c>
      <c r="H29" s="3" t="n">
        <v>1.9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</v>
      </c>
      <c r="D31" s="3" t="n">
        <v>3.1</v>
      </c>
      <c r="E31" s="3" t="n">
        <v>3.3</v>
      </c>
      <c r="F31" s="3" t="n">
        <v>3.5</v>
      </c>
      <c r="G31" s="3" t="n">
        <v>3.5</v>
      </c>
      <c r="H31" s="3" t="n">
        <v>3.5</v>
      </c>
      <c r="I31" s="3" t="n">
        <v>3.5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111</v>
      </c>
      <c r="C32" s="3" t="n">
        <v>4.5</v>
      </c>
      <c r="D32" s="3" t="n">
        <v>4.5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17</v>
      </c>
      <c r="E33" s="3" t="n">
        <v>17</v>
      </c>
      <c r="F33" s="3" t="n">
        <v>17</v>
      </c>
      <c r="G33" s="3" t="n">
        <v>17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113</v>
      </c>
      <c r="B34" s="3" t="n">
        <v>10.5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36</v>
      </c>
      <c r="D41" s="3" t="n">
        <v>18</v>
      </c>
      <c r="E41" s="3" t="n">
        <v>8</v>
      </c>
      <c r="F41" s="3" t="n">
        <v>2</v>
      </c>
      <c r="G41" s="3" t="n">
        <v>8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48</v>
      </c>
      <c r="D42" s="3" t="n">
        <v>48</v>
      </c>
      <c r="E42" s="3" t="n">
        <v>46</v>
      </c>
      <c r="F42" s="3" t="n">
        <v>42</v>
      </c>
      <c r="G42" s="3" t="n">
        <v>40</v>
      </c>
      <c r="H42" s="3" t="n">
        <v>39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108</v>
      </c>
      <c r="C43" s="3" t="n">
        <v>2</v>
      </c>
      <c r="D43" s="3" t="n">
        <v>2</v>
      </c>
      <c r="E43" s="3" t="n">
        <v>2</v>
      </c>
      <c r="F43" s="3" t="n">
        <v>1.9</v>
      </c>
      <c r="G43" s="3" t="n">
        <v>1.9</v>
      </c>
      <c r="H43" s="3" t="n">
        <v>1.9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</v>
      </c>
      <c r="D45" s="3" t="n">
        <v>3</v>
      </c>
      <c r="E45" s="3" t="n">
        <v>3.1</v>
      </c>
      <c r="F45" s="3" t="n">
        <v>3.2</v>
      </c>
      <c r="G45" s="3" t="n">
        <v>3.3</v>
      </c>
      <c r="H45" s="3" t="n">
        <v>3.4</v>
      </c>
      <c r="I45" s="3" t="n">
        <v>3.5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111</v>
      </c>
      <c r="C46" s="3" t="n">
        <v>4.5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113</v>
      </c>
      <c r="B48" s="3" t="n">
        <v>10.5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15</v>
      </c>
      <c r="D5" s="4" t="n">
        <f aca="false">Assumptions!D13</f>
        <v>-12</v>
      </c>
      <c r="E5" s="4" t="n">
        <f aca="false">Assumptions!E13</f>
        <v>-18</v>
      </c>
      <c r="F5" s="4" t="n">
        <f aca="false">Assumptions!F13</f>
        <v>-2</v>
      </c>
      <c r="G5" s="4" t="n">
        <f aca="false">Assumptions!G13</f>
        <v>4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12919</v>
      </c>
      <c r="C6" s="0" t="n">
        <f aca="false">B6*(1+C5/100)</f>
        <v>14856.85</v>
      </c>
      <c r="D6" s="0" t="n">
        <f aca="false">C6*(1+D5/100)</f>
        <v>13074.028</v>
      </c>
      <c r="E6" s="0" t="n">
        <f aca="false">D6*(1+E5/100)</f>
        <v>10720.70296</v>
      </c>
      <c r="F6" s="0" t="n">
        <f aca="false">E6*(1+F5/100)</f>
        <v>10506.2889008</v>
      </c>
      <c r="G6" s="0" t="n">
        <f aca="false">F6*(1+G5/100)</f>
        <v>10926.540456832</v>
      </c>
      <c r="H6" s="0" t="n">
        <f aca="false">G6*(1+H5/100)</f>
        <v>11363.6020751053</v>
      </c>
      <c r="I6" s="0" t="n">
        <f aca="false">H6*(1+I5/100)</f>
        <v>11704.5101373584</v>
      </c>
      <c r="J6" s="0" t="n">
        <f aca="false">I6*(1+J5/100)</f>
        <v>12055.6454414792</v>
      </c>
      <c r="K6" s="0" t="n">
        <f aca="false">J6*(1+K5/100)</f>
        <v>12417.3148047236</v>
      </c>
      <c r="L6" s="0" t="n">
        <f aca="false">K6*(1+L5/100)</f>
        <v>12789.8342488653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43</v>
      </c>
      <c r="D7" s="4" t="n">
        <f aca="false">Assumptions!D14</f>
        <v>32</v>
      </c>
      <c r="E7" s="4" t="n">
        <f aca="false">Assumptions!E14</f>
        <v>22</v>
      </c>
      <c r="F7" s="4" t="n">
        <f aca="false">Assumptions!F14</f>
        <v>20</v>
      </c>
      <c r="G7" s="4" t="n">
        <f aca="false">Assumptions!G14</f>
        <v>21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6388.4455</v>
      </c>
      <c r="D8" s="0" t="n">
        <f aca="false">D6*D7/100</f>
        <v>4183.68896</v>
      </c>
      <c r="E8" s="0" t="n">
        <f aca="false">E6*E7/100</f>
        <v>2358.5546512</v>
      </c>
      <c r="F8" s="0" t="n">
        <f aca="false">F6*F7/100</f>
        <v>2101.25778016</v>
      </c>
      <c r="G8" s="0" t="n">
        <f aca="false">G6*G7/100</f>
        <v>2294.57349593472</v>
      </c>
      <c r="H8" s="0" t="n">
        <f aca="false">H6*H7/100</f>
        <v>2499.99245652316</v>
      </c>
      <c r="I8" s="0" t="n">
        <f aca="false">I6*I7/100</f>
        <v>2574.99223021886</v>
      </c>
      <c r="J8" s="0" t="n">
        <f aca="false">J6*J7/100</f>
        <v>2652.24199712542</v>
      </c>
      <c r="K8" s="0" t="n">
        <f aca="false">K6*K7/100</f>
        <v>2731.80925703919</v>
      </c>
      <c r="L8" s="0" t="n">
        <f aca="false">L6*L7/100</f>
        <v>2813.76353475036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2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1.9</v>
      </c>
      <c r="G9" s="4" t="n">
        <f aca="false">Assumptions!G15</f>
        <v>1.9</v>
      </c>
      <c r="H9" s="4" t="n">
        <f aca="false">Assumptions!H15</f>
        <v>1.9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-297.137</v>
      </c>
      <c r="D10" s="0" t="n">
        <f aca="false">-D6*D9/100</f>
        <v>-261.48056</v>
      </c>
      <c r="E10" s="0" t="n">
        <f aca="false">-E6*E9/100</f>
        <v>-214.4140592</v>
      </c>
      <c r="F10" s="0" t="n">
        <f aca="false">-F6*F9/100</f>
        <v>-199.6194891152</v>
      </c>
      <c r="G10" s="0" t="n">
        <f aca="false">-G6*G9/100</f>
        <v>-207.604268679808</v>
      </c>
      <c r="H10" s="0" t="n">
        <f aca="false">-H6*H9/100</f>
        <v>-215.908439427</v>
      </c>
      <c r="I10" s="0" t="n">
        <f aca="false">-I6*I9/100</f>
        <v>-210.681182472452</v>
      </c>
      <c r="J10" s="0" t="n">
        <f aca="false">-J6*J9/100</f>
        <v>-217.001617946625</v>
      </c>
      <c r="K10" s="0" t="n">
        <f aca="false">-K6*K9/100</f>
        <v>-223.511666485024</v>
      </c>
      <c r="L10" s="0" t="n">
        <f aca="false">-L6*L9/100</f>
        <v>-230.217016479575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6091.3085</v>
      </c>
      <c r="D11" s="0" t="n">
        <f aca="false">D8+D10+D24</f>
        <v>3922.2084</v>
      </c>
      <c r="E11" s="0" t="n">
        <f aca="false">E8+E10+E24</f>
        <v>2144.140592</v>
      </c>
      <c r="F11" s="0" t="n">
        <f aca="false">F8+F10+F24</f>
        <v>1901.6382910448</v>
      </c>
      <c r="G11" s="0" t="n">
        <f aca="false">G8+G10+G24</f>
        <v>2086.96922725491</v>
      </c>
      <c r="H11" s="0" t="n">
        <f aca="false">H8+H10+H24</f>
        <v>2284.08401709616</v>
      </c>
      <c r="I11" s="0" t="n">
        <f aca="false">I8+I10+I24</f>
        <v>2364.3110477464</v>
      </c>
      <c r="J11" s="0" t="n">
        <f aca="false">J8+J10+J24</f>
        <v>2435.2403791788</v>
      </c>
      <c r="K11" s="0" t="n">
        <f aca="false">K8+K10+K24</f>
        <v>2508.29759055416</v>
      </c>
      <c r="L11" s="0" t="n">
        <f aca="false">L8+L10+L24</f>
        <v>2583.54651827079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-445.7055</v>
      </c>
      <c r="D12" s="4" t="n">
        <f aca="false">-D6*Assumptions!D17/100</f>
        <v>-444.516952</v>
      </c>
      <c r="E12" s="4" t="n">
        <f aca="false">-E6*Assumptions!E17/100</f>
        <v>-428.8281184</v>
      </c>
      <c r="F12" s="4" t="n">
        <f aca="false">-F6*Assumptions!F17/100</f>
        <v>-441.2641338336</v>
      </c>
      <c r="G12" s="4" t="n">
        <f aca="false">-G6*Assumptions!G17/100</f>
        <v>-437.06161827328</v>
      </c>
      <c r="H12" s="4" t="n">
        <f aca="false">-H6*Assumptions!H17/100</f>
        <v>-454.544083004211</v>
      </c>
      <c r="I12" s="4" t="n">
        <f aca="false">-I6*Assumptions!I17/100</f>
        <v>-468.180405494338</v>
      </c>
      <c r="J12" s="4" t="n">
        <f aca="false">-J6*Assumptions!J17/100</f>
        <v>-482.225817659168</v>
      </c>
      <c r="K12" s="4" t="n">
        <f aca="false">-K6*Assumptions!K17/100</f>
        <v>-496.692592188943</v>
      </c>
      <c r="L12" s="4" t="n">
        <f aca="false">-L6*Assumptions!L17/100</f>
        <v>-511.593369954611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5645.603</v>
      </c>
      <c r="D13" s="0" t="n">
        <f aca="false">D11+D12</f>
        <v>3477.691448</v>
      </c>
      <c r="E13" s="0" t="n">
        <f aca="false">E11+E12</f>
        <v>1715.3124736</v>
      </c>
      <c r="F13" s="0" t="n">
        <f aca="false">F11+F12</f>
        <v>1460.3741572112</v>
      </c>
      <c r="G13" s="0" t="n">
        <f aca="false">G11+G12</f>
        <v>1649.90760898163</v>
      </c>
      <c r="H13" s="0" t="n">
        <f aca="false">H11+H12</f>
        <v>1829.53993409195</v>
      </c>
      <c r="I13" s="0" t="n">
        <f aca="false">I11+I12</f>
        <v>1896.13064225207</v>
      </c>
      <c r="J13" s="0" t="n">
        <f aca="false">J11+J12</f>
        <v>1953.01456151963</v>
      </c>
      <c r="K13" s="0" t="n">
        <f aca="false">K11+K12</f>
        <v>2011.60499836522</v>
      </c>
      <c r="L13" s="0" t="n">
        <f aca="false">L11+L12</f>
        <v>2071.95314831618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17</v>
      </c>
      <c r="F14" s="4" t="n">
        <f aca="false">Assumptions!F19</f>
        <v>17</v>
      </c>
      <c r="G14" s="4" t="n">
        <f aca="false">Assumptions!G19</f>
        <v>17</v>
      </c>
      <c r="H14" s="4" t="n">
        <f aca="false">Assumptions!H19</f>
        <v>17</v>
      </c>
      <c r="I14" s="4" t="n">
        <f aca="false">Assumptions!I19</f>
        <v>17</v>
      </c>
      <c r="J14" s="4" t="n">
        <f aca="false">Assumptions!J19</f>
        <v>17</v>
      </c>
      <c r="K14" s="4" t="n">
        <f aca="false">Assumptions!K19</f>
        <v>17</v>
      </c>
      <c r="L14" s="4" t="n">
        <f aca="false">Assumptions!L19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4685.85049</v>
      </c>
      <c r="D15" s="0" t="n">
        <f aca="false">D13-MAX(0,D13)*D14/100</f>
        <v>2886.48390184</v>
      </c>
      <c r="E15" s="0" t="n">
        <f aca="false">E13-MAX(0,E13)*E14/100</f>
        <v>1423.709353088</v>
      </c>
      <c r="F15" s="0" t="n">
        <f aca="false">F13-MAX(0,F13)*F14/100</f>
        <v>1212.1105504853</v>
      </c>
      <c r="G15" s="0" t="n">
        <f aca="false">G13-MAX(0,G13)*G14/100</f>
        <v>1369.42331545475</v>
      </c>
      <c r="H15" s="0" t="n">
        <f aca="false">H13-MAX(0,H13)*H14/100</f>
        <v>1518.51814529632</v>
      </c>
      <c r="I15" s="0" t="n">
        <f aca="false">I13-MAX(0,I13)*I14/100</f>
        <v>1573.78843306922</v>
      </c>
      <c r="J15" s="0" t="n">
        <f aca="false">J13-MAX(0,J13)*J14/100</f>
        <v>1621.00208606129</v>
      </c>
      <c r="K15" s="0" t="n">
        <f aca="false">K13-MAX(0,K13)*K14/100</f>
        <v>1669.63214864313</v>
      </c>
      <c r="L15" s="0" t="n">
        <f aca="false">L13-MAX(0,L13)*L14/100</f>
        <v>1719.72111310243</v>
      </c>
    </row>
    <row r="16" customFormat="false" ht="15" hidden="false" customHeight="false" outlineLevel="0" collapsed="false">
      <c r="A16" s="0" t="s">
        <v>128</v>
      </c>
      <c r="C16" s="0" t="n">
        <f aca="false">-C12</f>
        <v>445.7055</v>
      </c>
      <c r="D16" s="0" t="n">
        <f aca="false">-D12</f>
        <v>444.516952</v>
      </c>
      <c r="E16" s="0" t="n">
        <f aca="false">-E12</f>
        <v>428.8281184</v>
      </c>
      <c r="F16" s="0" t="n">
        <f aca="false">-F12</f>
        <v>441.2641338336</v>
      </c>
      <c r="G16" s="0" t="n">
        <f aca="false">-G12</f>
        <v>437.06161827328</v>
      </c>
      <c r="H16" s="0" t="n">
        <f aca="false">-H12</f>
        <v>454.544083004211</v>
      </c>
      <c r="I16" s="0" t="n">
        <f aca="false">-I12</f>
        <v>468.180405494338</v>
      </c>
      <c r="J16" s="0" t="n">
        <f aca="false">-J12</f>
        <v>482.225817659168</v>
      </c>
      <c r="K16" s="0" t="n">
        <f aca="false">-K12</f>
        <v>496.692592188943</v>
      </c>
      <c r="L16" s="0" t="n">
        <f aca="false">-L12</f>
        <v>511.593369954611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-594.274</v>
      </c>
      <c r="D17" s="4" t="n">
        <f aca="false">-D6*Assumptions!D18/100</f>
        <v>-457.59098</v>
      </c>
      <c r="E17" s="4" t="n">
        <f aca="false">-E6*Assumptions!E18/100</f>
        <v>-375.2246036</v>
      </c>
      <c r="F17" s="4" t="n">
        <f aca="false">-F6*Assumptions!F18/100</f>
        <v>-420.251556032</v>
      </c>
      <c r="G17" s="4" t="n">
        <f aca="false">-G6*Assumptions!G18/100</f>
        <v>-437.06161827328</v>
      </c>
      <c r="H17" s="4" t="n">
        <f aca="false">-H6*Assumptions!H18/100</f>
        <v>-454.544083004211</v>
      </c>
      <c r="I17" s="4" t="n">
        <f aca="false">-I6*Assumptions!I18/100</f>
        <v>-468.180405494338</v>
      </c>
      <c r="J17" s="4" t="n">
        <f aca="false">-J6*Assumptions!J18/100</f>
        <v>-482.225817659168</v>
      </c>
      <c r="K17" s="4" t="n">
        <f aca="false">-K6*Assumptions!K18/100</f>
        <v>-496.692592188943</v>
      </c>
      <c r="L17" s="4" t="n">
        <f aca="false">-L6*Assumptions!L18/100</f>
        <v>-511.593369954611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-290.6775</v>
      </c>
      <c r="D18" s="4" t="n">
        <f aca="false">(D6-C6)*Assumptions!$B$23/100</f>
        <v>267.4233</v>
      </c>
      <c r="E18" s="4" t="n">
        <f aca="false">(E6-D6)*Assumptions!$B$23/100</f>
        <v>352.998756</v>
      </c>
      <c r="F18" s="4" t="n">
        <f aca="false">(F6-E6)*Assumptions!$B$23/100</f>
        <v>32.1621088800001</v>
      </c>
      <c r="G18" s="4" t="n">
        <f aca="false">(G6-F6)*Assumptions!$B$23/100</f>
        <v>-63.0377334048001</v>
      </c>
      <c r="H18" s="4" t="n">
        <f aca="false">(H6-G6)*Assumptions!$B$23/100</f>
        <v>-65.5592427409922</v>
      </c>
      <c r="I18" s="4" t="n">
        <f aca="false">(I6-H6)*Assumptions!$B$23/100</f>
        <v>-51.1362093379737</v>
      </c>
      <c r="J18" s="4" t="n">
        <f aca="false">(J6-I6)*Assumptions!$B$23/100</f>
        <v>-52.670295618113</v>
      </c>
      <c r="K18" s="4" t="n">
        <f aca="false">(K6-J6)*Assumptions!$B$23/100</f>
        <v>-54.2504044866565</v>
      </c>
      <c r="L18" s="4" t="n">
        <f aca="false">(L6-K6)*Assumptions!$B$23/100</f>
        <v>-55.8779166212562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4246.60449</v>
      </c>
      <c r="D19" s="0" t="n">
        <f aca="false">D15+D16+D17+D18</f>
        <v>3140.83317384</v>
      </c>
      <c r="E19" s="0" t="n">
        <f aca="false">E15+E16+E17+E18</f>
        <v>1830.311623888</v>
      </c>
      <c r="F19" s="0" t="n">
        <f aca="false">F15+F16+F17+F18</f>
        <v>1265.2852371669</v>
      </c>
      <c r="G19" s="0" t="n">
        <f aca="false">G15+G16+G17+G18</f>
        <v>1306.38558204995</v>
      </c>
      <c r="H19" s="0" t="n">
        <f aca="false">H15+H16+H17+H18</f>
        <v>1452.95890255533</v>
      </c>
      <c r="I19" s="0" t="n">
        <f aca="false">I15+I16+I17+I18</f>
        <v>1522.65222373124</v>
      </c>
      <c r="J19" s="0" t="n">
        <f aca="false">J15+J16+J17+J18</f>
        <v>1568.33179044318</v>
      </c>
      <c r="K19" s="0" t="n">
        <f aca="false">K15+K16+K17+K18</f>
        <v>1615.38174415647</v>
      </c>
      <c r="L19" s="0" t="n">
        <f aca="false">L15+L16+L17+L18</f>
        <v>1663.84319648117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3843.08098642534</v>
      </c>
      <c r="D21" s="0" t="n">
        <f aca="false">D19*D20</f>
        <v>2572.29227398292</v>
      </c>
      <c r="E21" s="0" t="n">
        <f aca="false">E19*E20</f>
        <v>1356.5574905128</v>
      </c>
      <c r="F21" s="0" t="n">
        <f aca="false">F19*F20</f>
        <v>848.670934912509</v>
      </c>
      <c r="G21" s="0" t="n">
        <f aca="false">G19*G20</f>
        <v>792.975900076542</v>
      </c>
      <c r="H21" s="0" t="n">
        <f aca="false">H19*H20</f>
        <v>798.141076011314</v>
      </c>
      <c r="I21" s="0" t="n">
        <f aca="false">I19*I20</f>
        <v>756.94578492545</v>
      </c>
      <c r="J21" s="0" t="n">
        <f aca="false">J19*J20</f>
        <v>705.569374183903</v>
      </c>
      <c r="K21" s="0" t="n">
        <f aca="false">K19*K20</f>
        <v>657.680050144272</v>
      </c>
      <c r="L21" s="0" t="n">
        <f aca="false">L19*L20</f>
        <v>613.041132713665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12944.9550038887</v>
      </c>
    </row>
    <row r="31" customFormat="false" ht="15" hidden="false" customHeight="false" outlineLevel="0" collapsed="false">
      <c r="A31" s="0" t="s">
        <v>137</v>
      </c>
      <c r="B31" s="0" t="n">
        <f aca="false">L19</f>
        <v>1663.84319648117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21317.990954915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16638.4319648117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16638.4319648117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6130.41132713665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19075.3663310254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19602.3663310254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51.1811131358365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-0.876758137359829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1398.66001012085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1086.79722173005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57.6705576054211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13643.5142111456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39.4966546485914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28</v>
      </c>
      <c r="D5" s="4" t="n">
        <f aca="false">Assumptions!D27</f>
        <v>10</v>
      </c>
      <c r="E5" s="4" t="n">
        <f aca="false">Assumptions!E27</f>
        <v>-4</v>
      </c>
      <c r="F5" s="4" t="n">
        <f aca="false">Assumptions!F27</f>
        <v>-8</v>
      </c>
      <c r="G5" s="4" t="n">
        <f aca="false">Assumptions!G27</f>
        <v>5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12919</v>
      </c>
      <c r="C6" s="0" t="n">
        <f aca="false">B6*(1+C5/100)</f>
        <v>16536.32</v>
      </c>
      <c r="D6" s="0" t="n">
        <f aca="false">C6*(1+D5/100)</f>
        <v>18189.952</v>
      </c>
      <c r="E6" s="0" t="n">
        <f aca="false">D6*(1+E5/100)</f>
        <v>17462.35392</v>
      </c>
      <c r="F6" s="0" t="n">
        <f aca="false">E6*(1+F5/100)</f>
        <v>16065.3656064</v>
      </c>
      <c r="G6" s="0" t="n">
        <f aca="false">F6*(1+G5/100)</f>
        <v>16868.63388672</v>
      </c>
      <c r="H6" s="0" t="n">
        <f aca="false">G6*(1+H5/100)</f>
        <v>17880.7519199232</v>
      </c>
      <c r="I6" s="0" t="n">
        <f aca="false">H6*(1+I5/100)</f>
        <v>18774.7895159194</v>
      </c>
      <c r="J6" s="0" t="n">
        <f aca="false">I6*(1+J5/100)</f>
        <v>19713.5289917153</v>
      </c>
      <c r="K6" s="0" t="n">
        <f aca="false">J6*(1+K5/100)</f>
        <v>20502.070151384</v>
      </c>
      <c r="L6" s="0" t="n">
        <f aca="false">K6*(1+L5/100)</f>
        <v>21219.6426066824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46</v>
      </c>
      <c r="D7" s="4" t="n">
        <f aca="false">Assumptions!D28</f>
        <v>44</v>
      </c>
      <c r="E7" s="4" t="n">
        <f aca="false">Assumptions!E28</f>
        <v>38</v>
      </c>
      <c r="F7" s="4" t="n">
        <f aca="false">Assumptions!F28</f>
        <v>33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7606.7072</v>
      </c>
      <c r="D8" s="0" t="n">
        <f aca="false">D6*D7/100</f>
        <v>8003.57888</v>
      </c>
      <c r="E8" s="0" t="n">
        <f aca="false">E6*E7/100</f>
        <v>6635.6944896</v>
      </c>
      <c r="F8" s="0" t="n">
        <f aca="false">F6*F7/100</f>
        <v>5301.570650112</v>
      </c>
      <c r="G8" s="0" t="n">
        <f aca="false">G6*G7/100</f>
        <v>5397.9628437504</v>
      </c>
      <c r="H8" s="0" t="n">
        <f aca="false">H6*H7/100</f>
        <v>5721.84061437543</v>
      </c>
      <c r="I8" s="0" t="n">
        <f aca="false">I6*I7/100</f>
        <v>6007.9326450942</v>
      </c>
      <c r="J8" s="0" t="n">
        <f aca="false">J6*J7/100</f>
        <v>6308.32927734891</v>
      </c>
      <c r="K8" s="0" t="n">
        <f aca="false">K6*K7/100</f>
        <v>6560.66244844286</v>
      </c>
      <c r="L8" s="0" t="n">
        <f aca="false">L6*L7/100</f>
        <v>6790.28563413836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2</v>
      </c>
      <c r="F9" s="4" t="n">
        <f aca="false">Assumptions!F29</f>
        <v>1.9</v>
      </c>
      <c r="G9" s="4" t="n">
        <f aca="false">Assumptions!G29</f>
        <v>1.9</v>
      </c>
      <c r="H9" s="4" t="n">
        <f aca="false">Assumptions!H29</f>
        <v>1.9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-330.7264</v>
      </c>
      <c r="D10" s="0" t="n">
        <f aca="false">-D6*D9/100</f>
        <v>-363.79904</v>
      </c>
      <c r="E10" s="0" t="n">
        <f aca="false">-E6*E9/100</f>
        <v>-349.2470784</v>
      </c>
      <c r="F10" s="0" t="n">
        <f aca="false">-F6*F9/100</f>
        <v>-305.2419465216</v>
      </c>
      <c r="G10" s="0" t="n">
        <f aca="false">-G6*G9/100</f>
        <v>-320.50404384768</v>
      </c>
      <c r="H10" s="0" t="n">
        <f aca="false">-H6*H9/100</f>
        <v>-339.734286478541</v>
      </c>
      <c r="I10" s="0" t="n">
        <f aca="false">-I6*I9/100</f>
        <v>-337.946211286549</v>
      </c>
      <c r="J10" s="0" t="n">
        <f aca="false">-J6*J9/100</f>
        <v>-354.843521850876</v>
      </c>
      <c r="K10" s="0" t="n">
        <f aca="false">-K6*K9/100</f>
        <v>-369.037262724911</v>
      </c>
      <c r="L10" s="0" t="n">
        <f aca="false">-L6*L9/100</f>
        <v>-381.953566920283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7275.9808</v>
      </c>
      <c r="D11" s="0" t="n">
        <f aca="false">D8+D10+D24</f>
        <v>7639.77984</v>
      </c>
      <c r="E11" s="0" t="n">
        <f aca="false">E8+E10+E24</f>
        <v>6286.4474112</v>
      </c>
      <c r="F11" s="0" t="n">
        <f aca="false">F8+F10+F24</f>
        <v>4996.3287035904</v>
      </c>
      <c r="G11" s="0" t="n">
        <f aca="false">G8+G10+G24</f>
        <v>5077.45879990272</v>
      </c>
      <c r="H11" s="0" t="n">
        <f aca="false">H8+H10+H24</f>
        <v>5382.10632789689</v>
      </c>
      <c r="I11" s="0" t="n">
        <f aca="false">I8+I10+I24</f>
        <v>5669.98643380765</v>
      </c>
      <c r="J11" s="0" t="n">
        <f aca="false">J8+J10+J24</f>
        <v>5953.48575549803</v>
      </c>
      <c r="K11" s="0" t="n">
        <f aca="false">K8+K10+K24</f>
        <v>6191.62518571795</v>
      </c>
      <c r="L11" s="0" t="n">
        <f aca="false">L8+L10+L24</f>
        <v>6408.33206721808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-496.0896</v>
      </c>
      <c r="D12" s="4" t="n">
        <f aca="false">-D6*Assumptions!D31/100</f>
        <v>-563.888512</v>
      </c>
      <c r="E12" s="4" t="n">
        <f aca="false">-E6*Assumptions!E31/100</f>
        <v>-576.25767936</v>
      </c>
      <c r="F12" s="4" t="n">
        <f aca="false">-F6*Assumptions!F31/100</f>
        <v>-562.287796224</v>
      </c>
      <c r="G12" s="4" t="n">
        <f aca="false">-G6*Assumptions!G31/100</f>
        <v>-590.4021860352</v>
      </c>
      <c r="H12" s="4" t="n">
        <f aca="false">-H6*Assumptions!H31/100</f>
        <v>-625.826317197312</v>
      </c>
      <c r="I12" s="4" t="n">
        <f aca="false">-I6*Assumptions!I31/100</f>
        <v>-657.117633057178</v>
      </c>
      <c r="J12" s="4" t="n">
        <f aca="false">-J6*Assumptions!J31/100</f>
        <v>-689.973514710037</v>
      </c>
      <c r="K12" s="4" t="n">
        <f aca="false">-K6*Assumptions!K31/100</f>
        <v>-717.572455298438</v>
      </c>
      <c r="L12" s="4" t="n">
        <f aca="false">-L6*Assumptions!L31/100</f>
        <v>-742.687491233884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6779.8912</v>
      </c>
      <c r="D13" s="0" t="n">
        <f aca="false">D11+D12</f>
        <v>7075.891328</v>
      </c>
      <c r="E13" s="0" t="n">
        <f aca="false">E11+E12</f>
        <v>5710.18973184</v>
      </c>
      <c r="F13" s="0" t="n">
        <f aca="false">F11+F12</f>
        <v>4434.0409073664</v>
      </c>
      <c r="G13" s="0" t="n">
        <f aca="false">G11+G12</f>
        <v>4487.05661386752</v>
      </c>
      <c r="H13" s="0" t="n">
        <f aca="false">H11+H12</f>
        <v>4756.28001069957</v>
      </c>
      <c r="I13" s="0" t="n">
        <f aca="false">I11+I12</f>
        <v>5012.86880075047</v>
      </c>
      <c r="J13" s="0" t="n">
        <f aca="false">J11+J12</f>
        <v>5263.512240788</v>
      </c>
      <c r="K13" s="0" t="n">
        <f aca="false">K11+K12</f>
        <v>5474.05273041952</v>
      </c>
      <c r="L13" s="0" t="n">
        <f aca="false">L11+L12</f>
        <v>5665.6445759842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17</v>
      </c>
      <c r="F14" s="4" t="n">
        <f aca="false">Assumptions!F33</f>
        <v>17</v>
      </c>
      <c r="G14" s="4" t="n">
        <f aca="false">Assumptions!G33</f>
        <v>17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5627.309696</v>
      </c>
      <c r="D15" s="0" t="n">
        <f aca="false">D13-MAX(0,D13)*D14/100</f>
        <v>5872.98980224</v>
      </c>
      <c r="E15" s="0" t="n">
        <f aca="false">E13-MAX(0,E13)*E14/100</f>
        <v>4739.4574774272</v>
      </c>
      <c r="F15" s="0" t="n">
        <f aca="false">F13-MAX(0,F13)*F14/100</f>
        <v>3680.25395311411</v>
      </c>
      <c r="G15" s="0" t="n">
        <f aca="false">G13-MAX(0,G13)*G14/100</f>
        <v>3724.25698951004</v>
      </c>
      <c r="H15" s="0" t="n">
        <f aca="false">H13-MAX(0,H13)*H14/100</f>
        <v>3947.71240888065</v>
      </c>
      <c r="I15" s="0" t="n">
        <f aca="false">I13-MAX(0,I13)*I14/100</f>
        <v>4160.68110462289</v>
      </c>
      <c r="J15" s="0" t="n">
        <f aca="false">J13-MAX(0,J13)*J14/100</f>
        <v>4368.71515985404</v>
      </c>
      <c r="K15" s="0" t="n">
        <f aca="false">K13-MAX(0,K13)*K14/100</f>
        <v>4543.4637662482</v>
      </c>
      <c r="L15" s="0" t="n">
        <f aca="false">L13-MAX(0,L13)*L14/100</f>
        <v>4702.48499806688</v>
      </c>
    </row>
    <row r="16" customFormat="false" ht="15" hidden="false" customHeight="false" outlineLevel="0" collapsed="false">
      <c r="A16" s="0" t="s">
        <v>128</v>
      </c>
      <c r="C16" s="0" t="n">
        <f aca="false">-C12</f>
        <v>496.0896</v>
      </c>
      <c r="D16" s="0" t="n">
        <f aca="false">-D12</f>
        <v>563.888512</v>
      </c>
      <c r="E16" s="0" t="n">
        <f aca="false">-E12</f>
        <v>576.25767936</v>
      </c>
      <c r="F16" s="0" t="n">
        <f aca="false">-F12</f>
        <v>562.287796224</v>
      </c>
      <c r="G16" s="0" t="n">
        <f aca="false">-G12</f>
        <v>590.4021860352</v>
      </c>
      <c r="H16" s="0" t="n">
        <f aca="false">-H12</f>
        <v>625.826317197312</v>
      </c>
      <c r="I16" s="0" t="n">
        <f aca="false">-I12</f>
        <v>657.117633057178</v>
      </c>
      <c r="J16" s="0" t="n">
        <f aca="false">-J12</f>
        <v>689.973514710037</v>
      </c>
      <c r="K16" s="0" t="n">
        <f aca="false">-K12</f>
        <v>717.572455298438</v>
      </c>
      <c r="L16" s="0" t="n">
        <f aca="false">-L12</f>
        <v>742.687491233884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-744.1344</v>
      </c>
      <c r="D17" s="4" t="n">
        <f aca="false">-D6*Assumptions!D32/100</f>
        <v>-818.54784</v>
      </c>
      <c r="E17" s="4" t="n">
        <f aca="false">-E6*Assumptions!E32/100</f>
        <v>-785.8059264</v>
      </c>
      <c r="F17" s="4" t="n">
        <f aca="false">-F6*Assumptions!F32/100</f>
        <v>-722.941452288</v>
      </c>
      <c r="G17" s="4" t="n">
        <f aca="false">-G6*Assumptions!G32/100</f>
        <v>-759.0885249024</v>
      </c>
      <c r="H17" s="4" t="n">
        <f aca="false">-H6*Assumptions!H32/100</f>
        <v>-804.633836396544</v>
      </c>
      <c r="I17" s="4" t="n">
        <f aca="false">-I6*Assumptions!I32/100</f>
        <v>-844.865528216371</v>
      </c>
      <c r="J17" s="4" t="n">
        <f aca="false">-J6*Assumptions!J32/100</f>
        <v>-887.10880462719</v>
      </c>
      <c r="K17" s="4" t="n">
        <f aca="false">-K6*Assumptions!K32/100</f>
        <v>-922.593156812278</v>
      </c>
      <c r="L17" s="4" t="n">
        <f aca="false">-L6*Assumptions!L32/100</f>
        <v>-954.883917300707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-542.598</v>
      </c>
      <c r="D18" s="4" t="n">
        <f aca="false">(D6-C6)*Assumptions!$B$37/100</f>
        <v>-248.0448</v>
      </c>
      <c r="E18" s="4" t="n">
        <f aca="false">(E6-D6)*Assumptions!$B$37/100</f>
        <v>109.139712</v>
      </c>
      <c r="F18" s="4" t="n">
        <f aca="false">(F6-E6)*Assumptions!$B$37/100</f>
        <v>209.54824704</v>
      </c>
      <c r="G18" s="4" t="n">
        <f aca="false">(G6-F6)*Assumptions!$B$37/100</f>
        <v>-120.490242048</v>
      </c>
      <c r="H18" s="4" t="n">
        <f aca="false">(H6-G6)*Assumptions!$B$37/100</f>
        <v>-151.81770498048</v>
      </c>
      <c r="I18" s="4" t="n">
        <f aca="false">(I6-H6)*Assumptions!$B$37/100</f>
        <v>-134.105639399424</v>
      </c>
      <c r="J18" s="4" t="n">
        <f aca="false">(J6-I6)*Assumptions!$B$37/100</f>
        <v>-140.810921369396</v>
      </c>
      <c r="K18" s="4" t="n">
        <f aca="false">(K6-J6)*Assumptions!$B$37/100</f>
        <v>-118.281173950292</v>
      </c>
      <c r="L18" s="4" t="n">
        <f aca="false">(L6-K6)*Assumptions!$B$37/100</f>
        <v>-107.635868294765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4836.666896</v>
      </c>
      <c r="D19" s="0" t="n">
        <f aca="false">D15+D16+D17+D18</f>
        <v>5370.28567424</v>
      </c>
      <c r="E19" s="0" t="n">
        <f aca="false">E15+E16+E17+E18</f>
        <v>4639.0489423872</v>
      </c>
      <c r="F19" s="0" t="n">
        <f aca="false">F15+F16+F17+F18</f>
        <v>3729.14854409011</v>
      </c>
      <c r="G19" s="0" t="n">
        <f aca="false">G15+G16+G17+G18</f>
        <v>3435.08040859484</v>
      </c>
      <c r="H19" s="0" t="n">
        <f aca="false">H15+H16+H17+H18</f>
        <v>3617.08718470093</v>
      </c>
      <c r="I19" s="0" t="n">
        <f aca="false">I15+I16+I17+I18</f>
        <v>3838.82757006427</v>
      </c>
      <c r="J19" s="0" t="n">
        <f aca="false">J15+J16+J17+J18</f>
        <v>4030.76894856749</v>
      </c>
      <c r="K19" s="0" t="n">
        <f aca="false">K15+K16+K17+K18</f>
        <v>4220.16189078407</v>
      </c>
      <c r="L19" s="0" t="n">
        <f aca="false">L15+L16+L17+L18</f>
        <v>4382.65270370529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4377.07411402715</v>
      </c>
      <c r="D21" s="0" t="n">
        <f aca="false">D19*D20</f>
        <v>4398.17831267992</v>
      </c>
      <c r="E21" s="0" t="n">
        <f aca="false">E19*E20</f>
        <v>3438.28696136606</v>
      </c>
      <c r="F21" s="0" t="n">
        <f aca="false">F19*F20</f>
        <v>2501.26998116799</v>
      </c>
      <c r="G21" s="0" t="n">
        <f aca="false">G19*G20</f>
        <v>2085.09341825898</v>
      </c>
      <c r="H21" s="0" t="n">
        <f aca="false">H19*H20</f>
        <v>1986.94254362367</v>
      </c>
      <c r="I21" s="0" t="n">
        <f aca="false">I19*I20</f>
        <v>1908.37034414541</v>
      </c>
      <c r="J21" s="0" t="n">
        <f aca="false">J19*J20</f>
        <v>1813.38358493455</v>
      </c>
      <c r="K21" s="0" t="n">
        <f aca="false">K19*K20</f>
        <v>1718.17980114486</v>
      </c>
      <c r="L21" s="0" t="n">
        <f aca="false">L19*L20</f>
        <v>1614.78340233758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25841.5624636862</v>
      </c>
    </row>
    <row r="31" customFormat="false" ht="15" hidden="false" customHeight="false" outlineLevel="0" collapsed="false">
      <c r="A31" s="0" t="s">
        <v>137</v>
      </c>
      <c r="B31" s="0" t="n">
        <f aca="false">L19</f>
        <v>4382.65270370529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60188.4304642194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56974.4851481688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56974.4851481688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20992.1842303886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46833.7466940747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47360.7466940747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123.657302073302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-0.702238671595025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2060.61826189443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1932.69690507826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134.083712430933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37617.7690401371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82.4799857378632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36</v>
      </c>
      <c r="D5" s="4" t="n">
        <f aca="false">Assumptions!D41</f>
        <v>18</v>
      </c>
      <c r="E5" s="4" t="n">
        <f aca="false">Assumptions!E41</f>
        <v>8</v>
      </c>
      <c r="F5" s="4" t="n">
        <f aca="false">Assumptions!F41</f>
        <v>2</v>
      </c>
      <c r="G5" s="4" t="n">
        <f aca="false">Assumptions!G41</f>
        <v>8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12919</v>
      </c>
      <c r="C6" s="0" t="n">
        <f aca="false">B6*(1+C5/100)</f>
        <v>17569.84</v>
      </c>
      <c r="D6" s="0" t="n">
        <f aca="false">C6*(1+D5/100)</f>
        <v>20732.4112</v>
      </c>
      <c r="E6" s="0" t="n">
        <f aca="false">D6*(1+E5/100)</f>
        <v>22391.004096</v>
      </c>
      <c r="F6" s="0" t="n">
        <f aca="false">E6*(1+F5/100)</f>
        <v>22838.82417792</v>
      </c>
      <c r="G6" s="0" t="n">
        <f aca="false">F6*(1+G5/100)</f>
        <v>24665.9301121536</v>
      </c>
      <c r="H6" s="0" t="n">
        <f aca="false">G6*(1+H5/100)</f>
        <v>26639.2045211259</v>
      </c>
      <c r="I6" s="0" t="n">
        <f aca="false">H6*(1+I5/100)</f>
        <v>28503.9488376047</v>
      </c>
      <c r="J6" s="0" t="n">
        <f aca="false">I6*(1+J5/100)</f>
        <v>30214.185767861</v>
      </c>
      <c r="K6" s="0" t="n">
        <f aca="false">J6*(1+K5/100)</f>
        <v>31724.895056254</v>
      </c>
      <c r="L6" s="0" t="n">
        <f aca="false">K6*(1+L5/100)</f>
        <v>32993.8908585042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48</v>
      </c>
      <c r="D7" s="4" t="n">
        <f aca="false">Assumptions!D42</f>
        <v>48</v>
      </c>
      <c r="E7" s="4" t="n">
        <f aca="false">Assumptions!E42</f>
        <v>46</v>
      </c>
      <c r="F7" s="4" t="n">
        <f aca="false">Assumptions!F42</f>
        <v>42</v>
      </c>
      <c r="G7" s="4" t="n">
        <f aca="false">Assumptions!G42</f>
        <v>40</v>
      </c>
      <c r="H7" s="4" t="n">
        <f aca="false">Assumptions!H42</f>
        <v>39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8433.5232</v>
      </c>
      <c r="D8" s="0" t="n">
        <f aca="false">D6*D7/100</f>
        <v>9951.557376</v>
      </c>
      <c r="E8" s="0" t="n">
        <f aca="false">E6*E7/100</f>
        <v>10299.86188416</v>
      </c>
      <c r="F8" s="0" t="n">
        <f aca="false">F6*F7/100</f>
        <v>9592.3061547264</v>
      </c>
      <c r="G8" s="0" t="n">
        <f aca="false">G6*G7/100</f>
        <v>9866.37204486144</v>
      </c>
      <c r="H8" s="0" t="n">
        <f aca="false">H6*H7/100</f>
        <v>10389.2897632391</v>
      </c>
      <c r="I8" s="0" t="n">
        <f aca="false">I6*I7/100</f>
        <v>10831.5005582898</v>
      </c>
      <c r="J8" s="0" t="n">
        <f aca="false">J6*J7/100</f>
        <v>11481.3905917872</v>
      </c>
      <c r="K8" s="0" t="n">
        <f aca="false">K6*K7/100</f>
        <v>12055.4601213765</v>
      </c>
      <c r="L8" s="0" t="n">
        <f aca="false">L6*L7/100</f>
        <v>12537.6785262316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2</v>
      </c>
      <c r="F9" s="4" t="n">
        <f aca="false">Assumptions!F43</f>
        <v>1.9</v>
      </c>
      <c r="G9" s="4" t="n">
        <f aca="false">Assumptions!G43</f>
        <v>1.9</v>
      </c>
      <c r="H9" s="4" t="n">
        <f aca="false">Assumptions!H43</f>
        <v>1.9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-351.3968</v>
      </c>
      <c r="D10" s="0" t="n">
        <f aca="false">-D6*D9/100</f>
        <v>-414.648224</v>
      </c>
      <c r="E10" s="0" t="n">
        <f aca="false">-E6*E9/100</f>
        <v>-447.82008192</v>
      </c>
      <c r="F10" s="0" t="n">
        <f aca="false">-F6*F9/100</f>
        <v>-433.93765938048</v>
      </c>
      <c r="G10" s="0" t="n">
        <f aca="false">-G6*G9/100</f>
        <v>-468.652672130918</v>
      </c>
      <c r="H10" s="0" t="n">
        <f aca="false">-H6*H9/100</f>
        <v>-506.144885901392</v>
      </c>
      <c r="I10" s="0" t="n">
        <f aca="false">-I6*I9/100</f>
        <v>-513.071079076885</v>
      </c>
      <c r="J10" s="0" t="n">
        <f aca="false">-J6*J9/100</f>
        <v>-543.855343821498</v>
      </c>
      <c r="K10" s="0" t="n">
        <f aca="false">-K6*K9/100</f>
        <v>-571.048111012573</v>
      </c>
      <c r="L10" s="0" t="n">
        <f aca="false">-L6*L9/100</f>
        <v>-593.890035453076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8082.1264</v>
      </c>
      <c r="D11" s="0" t="n">
        <f aca="false">D8+D10+D24</f>
        <v>9536.909152</v>
      </c>
      <c r="E11" s="0" t="n">
        <f aca="false">E8+E10+E24</f>
        <v>9852.04180224</v>
      </c>
      <c r="F11" s="0" t="n">
        <f aca="false">F8+F10+F24</f>
        <v>9158.36849534592</v>
      </c>
      <c r="G11" s="0" t="n">
        <f aca="false">G8+G10+G24</f>
        <v>9397.71937273052</v>
      </c>
      <c r="H11" s="0" t="n">
        <f aca="false">H8+H10+H24</f>
        <v>9883.14487733771</v>
      </c>
      <c r="I11" s="0" t="n">
        <f aca="false">I8+I10+I24</f>
        <v>10318.4294792129</v>
      </c>
      <c r="J11" s="0" t="n">
        <f aca="false">J8+J10+J24</f>
        <v>10937.5352479657</v>
      </c>
      <c r="K11" s="0" t="n">
        <f aca="false">K8+K10+K24</f>
        <v>11484.412010364</v>
      </c>
      <c r="L11" s="0" t="n">
        <f aca="false">L8+L10+L24</f>
        <v>11943.7884907785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-527.0952</v>
      </c>
      <c r="D12" s="4" t="n">
        <f aca="false">-D6*Assumptions!D45/100</f>
        <v>-621.972336</v>
      </c>
      <c r="E12" s="4" t="n">
        <f aca="false">-E6*Assumptions!E45/100</f>
        <v>-694.121126976</v>
      </c>
      <c r="F12" s="4" t="n">
        <f aca="false">-F6*Assumptions!F45/100</f>
        <v>-730.84237369344</v>
      </c>
      <c r="G12" s="4" t="n">
        <f aca="false">-G6*Assumptions!G45/100</f>
        <v>-813.975693701069</v>
      </c>
      <c r="H12" s="4" t="n">
        <f aca="false">-H6*Assumptions!H45/100</f>
        <v>-905.73295371828</v>
      </c>
      <c r="I12" s="4" t="n">
        <f aca="false">-I6*Assumptions!I45/100</f>
        <v>-997.638209316165</v>
      </c>
      <c r="J12" s="4" t="n">
        <f aca="false">-J6*Assumptions!J45/100</f>
        <v>-1057.49650187513</v>
      </c>
      <c r="K12" s="4" t="n">
        <f aca="false">-K6*Assumptions!K45/100</f>
        <v>-1110.37132696889</v>
      </c>
      <c r="L12" s="4" t="n">
        <f aca="false">-L6*Assumptions!L45/100</f>
        <v>-1154.78618004765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7555.0312</v>
      </c>
      <c r="D13" s="0" t="n">
        <f aca="false">D11+D12</f>
        <v>8914.936816</v>
      </c>
      <c r="E13" s="0" t="n">
        <f aca="false">E11+E12</f>
        <v>9157.920675264</v>
      </c>
      <c r="F13" s="0" t="n">
        <f aca="false">F11+F12</f>
        <v>8427.52612165248</v>
      </c>
      <c r="G13" s="0" t="n">
        <f aca="false">G11+G12</f>
        <v>8583.74367902945</v>
      </c>
      <c r="H13" s="0" t="n">
        <f aca="false">H11+H12</f>
        <v>8977.41192361943</v>
      </c>
      <c r="I13" s="0" t="n">
        <f aca="false">I11+I12</f>
        <v>9320.79126989674</v>
      </c>
      <c r="J13" s="0" t="n">
        <f aca="false">J11+J12</f>
        <v>9880.03874609054</v>
      </c>
      <c r="K13" s="0" t="n">
        <f aca="false">K11+K12</f>
        <v>10374.0406833951</v>
      </c>
      <c r="L13" s="0" t="n">
        <f aca="false">L11+L12</f>
        <v>10789.0023107309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6270.675896</v>
      </c>
      <c r="D15" s="0" t="n">
        <f aca="false">D13-MAX(0,D13)*D14/100</f>
        <v>7399.39755728</v>
      </c>
      <c r="E15" s="0" t="n">
        <f aca="false">E13-MAX(0,E13)*E14/100</f>
        <v>7601.07416046912</v>
      </c>
      <c r="F15" s="0" t="n">
        <f aca="false">F13-MAX(0,F13)*F14/100</f>
        <v>6994.84668097156</v>
      </c>
      <c r="G15" s="0" t="n">
        <f aca="false">G13-MAX(0,G13)*G14/100</f>
        <v>7124.50725359445</v>
      </c>
      <c r="H15" s="0" t="n">
        <f aca="false">H13-MAX(0,H13)*H14/100</f>
        <v>7451.25189660412</v>
      </c>
      <c r="I15" s="0" t="n">
        <f aca="false">I13-MAX(0,I13)*I14/100</f>
        <v>7736.25675401429</v>
      </c>
      <c r="J15" s="0" t="n">
        <f aca="false">J13-MAX(0,J13)*J14/100</f>
        <v>8200.43215925515</v>
      </c>
      <c r="K15" s="0" t="n">
        <f aca="false">K13-MAX(0,K13)*K14/100</f>
        <v>8610.45376721791</v>
      </c>
      <c r="L15" s="0" t="n">
        <f aca="false">L13-MAX(0,L13)*L14/100</f>
        <v>8954.87191790662</v>
      </c>
    </row>
    <row r="16" customFormat="false" ht="15" hidden="false" customHeight="false" outlineLevel="0" collapsed="false">
      <c r="A16" s="0" t="s">
        <v>128</v>
      </c>
      <c r="C16" s="0" t="n">
        <f aca="false">-C12</f>
        <v>527.0952</v>
      </c>
      <c r="D16" s="0" t="n">
        <f aca="false">-D12</f>
        <v>621.972336</v>
      </c>
      <c r="E16" s="0" t="n">
        <f aca="false">-E12</f>
        <v>694.121126976</v>
      </c>
      <c r="F16" s="0" t="n">
        <f aca="false">-F12</f>
        <v>730.84237369344</v>
      </c>
      <c r="G16" s="0" t="n">
        <f aca="false">-G12</f>
        <v>813.975693701069</v>
      </c>
      <c r="H16" s="0" t="n">
        <f aca="false">-H12</f>
        <v>905.73295371828</v>
      </c>
      <c r="I16" s="0" t="n">
        <f aca="false">-I12</f>
        <v>997.638209316165</v>
      </c>
      <c r="J16" s="0" t="n">
        <f aca="false">-J12</f>
        <v>1057.49650187513</v>
      </c>
      <c r="K16" s="0" t="n">
        <f aca="false">-K12</f>
        <v>1110.37132696889</v>
      </c>
      <c r="L16" s="0" t="n">
        <f aca="false">-L12</f>
        <v>1154.78618004765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-790.6428</v>
      </c>
      <c r="D17" s="4" t="n">
        <f aca="false">-D6*Assumptions!D46/100</f>
        <v>-932.958504</v>
      </c>
      <c r="E17" s="4" t="n">
        <f aca="false">-E6*Assumptions!E46/100</f>
        <v>-1007.59518432</v>
      </c>
      <c r="F17" s="4" t="n">
        <f aca="false">-F6*Assumptions!F46/100</f>
        <v>-1027.7470880064</v>
      </c>
      <c r="G17" s="4" t="n">
        <f aca="false">-G6*Assumptions!G46/100</f>
        <v>-1109.96685504691</v>
      </c>
      <c r="H17" s="4" t="n">
        <f aca="false">-H6*Assumptions!H46/100</f>
        <v>-1198.76420345067</v>
      </c>
      <c r="I17" s="4" t="n">
        <f aca="false">-I6*Assumptions!I46/100</f>
        <v>-1282.67769769221</v>
      </c>
      <c r="J17" s="4" t="n">
        <f aca="false">-J6*Assumptions!J46/100</f>
        <v>-1359.63835955374</v>
      </c>
      <c r="K17" s="4" t="n">
        <f aca="false">-K6*Assumptions!K46/100</f>
        <v>-1427.62027753143</v>
      </c>
      <c r="L17" s="4" t="n">
        <f aca="false">-L6*Assumptions!L46/100</f>
        <v>-1484.72508863269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-697.626</v>
      </c>
      <c r="D18" s="4" t="n">
        <f aca="false">(D6-C6)*Assumptions!$B$51/100</f>
        <v>-474.38568</v>
      </c>
      <c r="E18" s="4" t="n">
        <f aca="false">(E6-D6)*Assumptions!$B$51/100</f>
        <v>-248.7889344</v>
      </c>
      <c r="F18" s="4" t="n">
        <f aca="false">(F6-E6)*Assumptions!$B$51/100</f>
        <v>-67.1730122879999</v>
      </c>
      <c r="G18" s="4" t="n">
        <f aca="false">(G6-F6)*Assumptions!$B$51/100</f>
        <v>-274.06589013504</v>
      </c>
      <c r="H18" s="4" t="n">
        <f aca="false">(H6-G6)*Assumptions!$B$51/100</f>
        <v>-295.991161345844</v>
      </c>
      <c r="I18" s="4" t="n">
        <f aca="false">(I6-H6)*Assumptions!$B$51/100</f>
        <v>-279.711647471822</v>
      </c>
      <c r="J18" s="4" t="n">
        <f aca="false">(J6-I6)*Assumptions!$B$51/100</f>
        <v>-256.535539538443</v>
      </c>
      <c r="K18" s="4" t="n">
        <f aca="false">(K6-J6)*Assumptions!$B$51/100</f>
        <v>-226.606393258957</v>
      </c>
      <c r="L18" s="4" t="n">
        <f aca="false">(L6-K6)*Assumptions!$B$51/100</f>
        <v>-190.349370337524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5309.502296</v>
      </c>
      <c r="D19" s="0" t="n">
        <f aca="false">D15+D16+D17+D18</f>
        <v>6614.02570928</v>
      </c>
      <c r="E19" s="0" t="n">
        <f aca="false">E15+E16+E17+E18</f>
        <v>7038.81116872512</v>
      </c>
      <c r="F19" s="0" t="n">
        <f aca="false">F15+F16+F17+F18</f>
        <v>6630.7689543706</v>
      </c>
      <c r="G19" s="0" t="n">
        <f aca="false">G15+G16+G17+G18</f>
        <v>6554.45020211356</v>
      </c>
      <c r="H19" s="0" t="n">
        <f aca="false">H15+H16+H17+H18</f>
        <v>6862.2294855259</v>
      </c>
      <c r="I19" s="0" t="n">
        <f aca="false">I15+I16+I17+I18</f>
        <v>7171.50561816642</v>
      </c>
      <c r="J19" s="0" t="n">
        <f aca="false">J15+J16+J17+J18</f>
        <v>7641.7547620381</v>
      </c>
      <c r="K19" s="0" t="n">
        <f aca="false">K15+K16+K17+K18</f>
        <v>8066.59842339641</v>
      </c>
      <c r="L19" s="0" t="n">
        <f aca="false">L15+L16+L17+L18</f>
        <v>8434.58363898406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4804.97945339367</v>
      </c>
      <c r="D21" s="0" t="n">
        <f aca="false">D19*D20</f>
        <v>5416.78156407936</v>
      </c>
      <c r="E21" s="0" t="n">
        <f aca="false">E19*E20</f>
        <v>5216.89962005264</v>
      </c>
      <c r="F21" s="0" t="n">
        <f aca="false">F19*F20</f>
        <v>4447.48798325881</v>
      </c>
      <c r="G21" s="0" t="n">
        <f aca="false">G19*G20</f>
        <v>3978.55052898856</v>
      </c>
      <c r="H21" s="0" t="n">
        <f aca="false">H19*H20</f>
        <v>3769.56789058639</v>
      </c>
      <c r="I21" s="0" t="n">
        <f aca="false">I19*I20</f>
        <v>3565.12200529805</v>
      </c>
      <c r="J21" s="0" t="n">
        <f aca="false">J19*J20</f>
        <v>3437.91291994054</v>
      </c>
      <c r="K21" s="0" t="n">
        <f aca="false">K19*K20</f>
        <v>3284.20255755915</v>
      </c>
      <c r="L21" s="0" t="n">
        <f aca="false">L19*L20</f>
        <v>3107.71274537556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41029.2172685327</v>
      </c>
    </row>
    <row r="31" customFormat="false" ht="15" hidden="false" customHeight="false" outlineLevel="0" collapsed="false">
      <c r="A31" s="0" t="s">
        <v>137</v>
      </c>
      <c r="B31" s="0" t="n">
        <f aca="false">L19</f>
        <v>8434.58363898406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115834.948642048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134953.338223745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115834.948642048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42679.255036491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83708.4723050237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84235.4723050237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219.93595902095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-0.47040391287787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2794.11342462146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3005.1020147078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235.077513692828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72396.8429012798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136.442090585526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51.1811131358365</v>
      </c>
      <c r="C4" s="0" t="n">
        <f aca="false">B4/Assumptions!$B$2-1</f>
        <v>-0.876758137359829</v>
      </c>
      <c r="D4" s="4" t="n">
        <f aca="false">Assumptions!$B$24</f>
        <v>0.3</v>
      </c>
      <c r="E4" s="4" t="n">
        <f aca="false">DCF_Bear!$B$43</f>
        <v>57.6705576054211</v>
      </c>
      <c r="F4" s="4" t="n">
        <f aca="false">DCF_Bear!$B$47</f>
        <v>39.4966546485914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123.657302073302</v>
      </c>
      <c r="C5" s="0" t="n">
        <f aca="false">B5/Assumptions!$B$2-1</f>
        <v>-0.702238671595025</v>
      </c>
      <c r="D5" s="4" t="n">
        <f aca="false">Assumptions!$B$38</f>
        <v>0.5</v>
      </c>
      <c r="E5" s="4" t="n">
        <f aca="false">DCF_Base!$B$43</f>
        <v>134.083712430933</v>
      </c>
      <c r="F5" s="4" t="n">
        <f aca="false">DCF_Base!$B$47</f>
        <v>82.4799857378632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219.93595902095</v>
      </c>
      <c r="C6" s="0" t="n">
        <f aca="false">B6/Assumptions!$B$2-1</f>
        <v>-0.47040391287787</v>
      </c>
      <c r="D6" s="4" t="n">
        <f aca="false">Assumptions!$B$52</f>
        <v>0.2</v>
      </c>
      <c r="E6" s="4" t="n">
        <f aca="false">DCF_Bull!$B$43</f>
        <v>235.077513692828</v>
      </c>
      <c r="F6" s="4" t="n">
        <f aca="false">DCF_Bull!$B$47</f>
        <v>136.442090585526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121.170176781592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131.358526235658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-2.42732849807223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2886.82504015423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80.3774073806142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135.983246484072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127.585471915177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123.657302073302</v>
      </c>
      <c r="C17" s="3" t="n">
        <v>10.5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119.393880894521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107.119639570124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82.4799857378632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140.472146920296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140.472146920296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140.472146920296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140.472146920296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140.472146920296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131.690996259356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131.690996259356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131.690996259356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131.690996259356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131.690996259356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119.441157419679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122.866774950748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123.657302073302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123.657302073302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123.657302073302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107.578348198938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110.090630080369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112.898474536086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116.057299548768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116.29810683673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97.9700337025135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99.8577915586677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101.944260768101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104.262559889694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106.853600084416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2026-10-02T21:50:20Z</dcterms:created>
  <dc:creator>openpyxl</dc:creator>
  <dc:description/>
  <dc:language>en-NZ</dc:language>
  <cp:lastModifiedBy/>
  <dcterms:modified xsi:type="dcterms:W3CDTF">2026-10-02T21:50:20Z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