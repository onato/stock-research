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<sst xmlns="http://schemas.openxmlformats.org/spreadsheetml/2006/main" count="374" uniqueCount="183">
  <si>
    <t xml:space="preserve">Ticker</t>
  </si>
  <si>
    <t xml:space="preserve">3988.HK</t>
  </si>
  <si>
    <t xml:space="preserve">Company</t>
  </si>
  <si>
    <t xml:space="preserve">Bank of China Limited</t>
  </si>
  <si>
    <t xml:space="preserve">Valuation date</t>
  </si>
  <si>
    <t xml:space="preserve">2026-10-23</t>
  </si>
  <si>
    <t xml:space="preserve">Current price</t>
  </si>
  <si>
    <t xml:space="preserve">Price as of</t>
  </si>
  <si>
    <t xml:space="preserve">2026-10-23T08:08:08Z HKEX regular close (16:08 HKT)</t>
  </si>
  <si>
    <t xml:space="preserve">Balance sheet date</t>
  </si>
  <si>
    <t xml:space="preserve">2026-06-30</t>
  </si>
  <si>
    <t xml:space="preserve">Model</t>
  </si>
  <si>
    <t xml:space="preserve">Bank FCFE at cost of equity (engine route), net debt zero, CET1 retention on risk-weighted-asset growth, preference-share dividends, perpetual-bond coupons and NCI charged in the flow</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</si>
  <si>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</si>
  <si>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</si>
  <si>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</si>
  <si>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</si>
  <si>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</si>
  <si>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</si>
  <si>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</si>
  <si>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</si>
  <si>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</si>
  <si>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2026-10-23T09:25:54Z</t>
  </si>
  <si>
    <t xml:space="preserve">Drivers file</t>
  </si>
  <si>
    <t xml:space="preserve">3988.HK_Drivers.json</t>
  </si>
  <si>
    <t xml:space="preserve">Convention</t>
  </si>
  <si>
    <t xml:space="preserve">Percents stored as percents; formulas divide by 100. Blue = input, green = link, black = formula.</t>
  </si>
  <si>
    <t xml:space="preserve">Methodology</t>
  </si>
  <si>
    <t xml:space="preserve">summary: A Chinese state bank is a regulated capital-allocation vehicle: value is the stream of profit to ordinary shareholders after tax, minorities and AT1 coupons, less the equity the regulator and the state require it to retain to carry a growing risk-weighted balance sheet, discounted at a CNY cost of equity. Deposits and bonds are funding, not debt; reported OCF is meaningless; the share count is flat because SBC is zero, but the state's willingness to place shares below book (June 2025) is the dilution to watch. The CET1 target and RWA growth are the levers that matter more than NIM: a 0.5pt change in the long-run CET1 target is worth ~RMB115bn of equity, about RMB0.36/share.
key_risks_to_valuation: CET1 target: if the state keeps the ratio at 12%+ (bear) rather than letting it glide to 11.5% (base), ~RMB115bn of FCFE never reaches shareholders; RWA growth above revenue growth: policy-directed lending into low-yield sectors grows the capital requirement faster than earnings; NIM: every 10bp on ~RMB35tn of interest-earning assets is ~RMB35bn of operating income (5%), ~RMB27bn of ordinary profit; Credit cost: property and LGFV losses crystallising takes credit cost from 0.48% toward 0.8% (bear), ~RMB75bn of impairment on a RMB24.7tn loan book; Dilutive state placements at a discount to book (June 2025: RMB5.93 vs BVPS 8.18) if the dividend keeps exceeding FCFE; Sanctions/compliance on the largest cross-border and correspondent book of the Big Four (Russia-linked transactions); CNY/HKD: the valuation is in CNY; a 5% RMB depreciation against HKD is ~5% off the HKD value with no change in the business; Cost of equity: 9.5% assumes a ~1.8% CGB yield and a 6.5% ERP; at 10.5% (the joint-stock precedent rate) the base value falls ~15%</t>
  </si>
  <si>
    <t xml:space="preserve">Data sources</t>
  </si>
  <si>
    <t xml:space="preserve">price: Yahoo Finance chart API at inputs.price_as_of (HKEX regular close); 52-week range 4.30-6.29 HKD
fx: Yahoo Finance CNYHKD=X at inputs.fx_note timestamp
financials: 3988.HK_Metrics.csv and kpis (core_metrics) from the FY2018-FY2025 annual reports and the H1 2024-H1 2026 interim reports; RWA, net CET1, AT1 distributions and profit to ordinary shareholders read directly from 3988.HK_Annual_FY2025.txt (lines 573-605, 1950-1957, 5769-5773, 12083-12094, 18330-18332) and 3988.HK_HalfYear_H1-2026.txt (lines 447-483, 1186-1192, 4892-4894, 6186-6200)
qualitative: 3988.HK_Analysis.json (2026-10-23): business model, overseas mix, MOF recapitalisation, risks, guidance</t>
  </si>
  <si>
    <t xml:space="preserve">Scenario narrative: bear</t>
  </si>
  <si>
    <t xml:space="preserve">Another easing leg takes NIM to ~1.1%, property/LGFV losses crystallise (credit cost 0.8%, margin 41%), policy lending grows RWA 8% while revenue stalls, and CET1 is held at 12% so the dividend exceeds FCFE for two years and is funded by another discounted state placement.</t>
  </si>
  <si>
    <t xml:space="preserve">Scenario narrative: base</t>
  </si>
  <si>
    <t xml:space="preserve">Steady-state G-SIB. Operating income +4% fading to +3% on a NIM that has bottomed at ~1.27%, pre-tax margin eases to 44% as credit cost normalises from 0.48%, RWA growth slows from 7% to 3.5% and the CET1 ratio glides from 12.0% to 11.5% as the June 2025 MOF injection is deployed. FCFE covers the ~30% ordinary payout from FY2027. Terminal P/B on CET1 ~0.65x at a 7.6% ROE on CET1.</t>
  </si>
  <si>
    <t xml:space="preserve">Scenario narrative: bull</t>
  </si>
  <si>
    <t xml:space="preserve">NIM recovers toward 1.4% as deposit repricing catches up, overseas (BOCHK, RMB clearing, Belt and Road) keeps growing double digit, credit cost stays ~0.5% with NPL still improving; margin back to 47.5% and capital run down to 11.25% CET1. Operating income +6% fading to +3.5%.</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</si>
  <si>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</si>
  <si>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</si>
  <si>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</si>
  <si>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</si>
  <si>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</si>
  <si>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</si>
  <si>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</si>
  <si>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</si>
  <si>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</si>
  <si>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</si>
  <si>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</si>
  <si>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</si>
  <si>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</si>
  <si>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</si>
  <si>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</si>
  <si>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</si>
  <si>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</si>
  <si>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</si>
  <si>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</si>
  <si>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</si>
  <si>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</si>
  <si>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</si>
  <si>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</si>
  <si>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</si>
  <si>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</si>
  <si>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</si>
  <si>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</si>
  <si>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AllowanceCoverageRatio</t>
  </si>
  <si>
    <t xml:space="preserve">BookValuePerShare</t>
  </si>
  <si>
    <t xml:space="preserve">CET1Ratio</t>
  </si>
  <si>
    <t xml:space="preserve">CostToIncomeRatio</t>
  </si>
  <si>
    <t xml:space="preserve">CreditCost</t>
  </si>
  <si>
    <t xml:space="preserve">CustomerDeposits</t>
  </si>
  <si>
    <t xml:space="preserve">GrossInterestIncome</t>
  </si>
  <si>
    <t xml:space="preserve">GrossLoansAndAdvances</t>
  </si>
  <si>
    <t xml:space="preserve">NIM</t>
  </si>
  <si>
    <t xml:space="preserve">NPLRatio</t>
  </si>
  <si>
    <t xml:space="preserve">NetFeeAndCommissionIncome</t>
  </si>
  <si>
    <t xml:space="preserve">NetIncomeInclNCI</t>
  </si>
  <si>
    <t xml:space="preserve">NetInterestIncome</t>
  </si>
  <si>
    <t xml:space="preserve">ROAA</t>
  </si>
  <si>
    <t xml:space="preserve">ROE</t>
  </si>
  <si>
    <t xml:space="preserve">Tier1Ratio</t>
  </si>
  <si>
    <t xml:space="preserve">TotalCapitalRatio</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</si>
  <si>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</si>
  <si>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</si>
  <si>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</si>
  <si>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</si>
  <si>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</si>
  <si>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</si>
  <si>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</si>
  <si>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</si>
  <si>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</si>
  <si>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</si>
  <si>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</si>
  <si>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</si>
  <si>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</si>
  <si>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</si>
  <si>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</si>
  <si>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</si>
  <si>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</si>
  <si>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</si>
  <si>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 (year ending 2026-12-31, unreported: H1 2026 actual + H2 estimate)</t>
  </si>
  <si>
    <t xml:space="preserve">Currency / units</t>
  </si>
  <si>
    <t xml:space="preserve">CNY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</si>
  <si>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</si>
  <si>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</si>
  <si>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</si>
  <si>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</si>
  <si>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</si>
  <si>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</si>
  <si>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</si>
  <si>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</si>
  <si>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</si>
  <si>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</si>
  <si>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</si>
  <si>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</si>
  <si>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</si>
  <si>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</si>
  <si>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</si>
  <si>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</si>
  <si>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</si>
  <si>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</si>
  <si>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</si>
  <si>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</si>
  <si>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</si>
  <si>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</si>
  <si>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</si>
  <si>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</si>
  <si>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</si>
  <si>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</si>
  <si>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3988.HK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</si>
  <si>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</si>
  <si>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</si>
  <si>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</si>
  <si>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</si>
  <si>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</si>
  <si>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</si>
  <si>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</si>
  <si>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</si>
  <si>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</si>
  <si>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</si>
  <si>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</si>
  <si>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</si>
  <si>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</si>
  <si>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</si>
  <si>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</si>
  <si>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</si>
  <si>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</si>
  <si>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</si>
  <si>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</si>
  <si>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</si>
  <si>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</si>
  <si>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</si>
  <si>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</si>
  <si>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</si>
  <si>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</si>
  <si>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</si>
  <si>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</si>
  <si>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</si>
  <si>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</si>
  <si>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</si>
  <si>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3988.HK owner-FCF component DCF: base case (millions, CNY)</t>
  </si>
  <si>
    <t xml:space="preserve">3988.HK owner-FCF component DCF: bull case (millions, CNY)</t>
  </si>
  <si>
    <t xml:space="preserve">3988.HK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</si>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</sst>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5.955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c r="AK1" s="2" t="s">
        <v>72</v>
      </c>
      <c r="AL1" s="2" t="s">
        <v>73</v>
      </c>
      <c r="AM1" s="2" t="s">
        <v>74</v>
      </c>
      <c r="AN1" s="2" t="s">
        <v>75</v>
      </c>
      <c r="AO1" s="2" t="s">
        <v>76</v>
      </c>
      <c r="AP1" s="2" t="s">
        <v>77</v>
      </c>
      <c r="AQ1" s="2" t="s">
        <v>78</v>
      </c>
      <c r="AR1" s="2" t="s">
        <v>79</v>
      </c>
      <c r="AS1" s="2" t="s">
        <v>80</v>
      </c>
    </row>
    <row r="2" customFormat="false" ht="15" hidden="false" customHeight="false" outlineLevel="0" collapsed="false">
      <c r="A2" s="0" t="s">
        <v>81</v>
      </c>
      <c r="B2" s="0" t="n">
        <v>483761</v>
      </c>
      <c r="F2" s="0" t="n">
        <v>221741</v>
      </c>
      <c r="G2" s="0" t="n">
        <v>45.8</v>
      </c>
      <c r="I2" s="0" t="n">
        <v>172407</v>
      </c>
      <c r="J2" s="0" t="n">
        <v>35.6</v>
      </c>
      <c r="K2" s="0" t="n">
        <v>0.56</v>
      </c>
      <c r="L2" s="0" t="n">
        <v>406136</v>
      </c>
      <c r="M2" s="0" t="n">
        <v>46011</v>
      </c>
      <c r="O2" s="0" t="n">
        <v>1496016</v>
      </c>
      <c r="P2" s="0" t="n">
        <v>19467424</v>
      </c>
      <c r="Q2" s="0" t="n">
        <v>17890745</v>
      </c>
      <c r="R2" s="0" t="n">
        <v>499128</v>
      </c>
      <c r="T2" s="0" t="n">
        <v>294388</v>
      </c>
      <c r="U2" s="0" t="n">
        <v>0</v>
      </c>
      <c r="V2" s="0" t="n">
        <v>0.176</v>
      </c>
      <c r="AA2" s="0" t="s">
        <v>18</v>
      </c>
      <c r="AB2" s="0" t="s">
        <v>14</v>
      </c>
      <c r="AC2" s="0" t="n">
        <v>159.18</v>
      </c>
      <c r="AD2" s="0" t="n">
        <v>4.74</v>
      </c>
      <c r="AE2" s="0" t="n">
        <v>11.15</v>
      </c>
      <c r="AG2" s="0" t="n">
        <v>0.81</v>
      </c>
      <c r="AH2" s="0" t="n">
        <v>13657924</v>
      </c>
      <c r="AJ2" s="0" t="n">
        <v>10896558</v>
      </c>
      <c r="AK2" s="0" t="n">
        <v>1.9</v>
      </c>
      <c r="AL2" s="0" t="n">
        <v>1.45</v>
      </c>
      <c r="AN2" s="0" t="n">
        <v>184986</v>
      </c>
      <c r="AO2" s="0" t="n">
        <v>349535</v>
      </c>
      <c r="AP2" s="0" t="n">
        <v>0.98</v>
      </c>
      <c r="AQ2" s="0" t="n">
        <v>12.24</v>
      </c>
      <c r="AR2" s="0" t="n">
        <v>12.02</v>
      </c>
      <c r="AS2" s="0" t="n">
        <v>14.19</v>
      </c>
    </row>
    <row r="3" customFormat="false" ht="15" hidden="false" customHeight="false" outlineLevel="0" collapsed="false">
      <c r="A3" s="0" t="s">
        <v>82</v>
      </c>
      <c r="B3" s="0" t="n">
        <v>503806</v>
      </c>
      <c r="F3" s="0" t="n">
        <v>227533</v>
      </c>
      <c r="G3" s="0" t="n">
        <v>45.2</v>
      </c>
      <c r="I3" s="0" t="n">
        <v>180086</v>
      </c>
      <c r="J3" s="0" t="n">
        <v>35.7</v>
      </c>
      <c r="K3" s="0" t="n">
        <v>0.59</v>
      </c>
      <c r="L3" s="0" t="n">
        <v>662358</v>
      </c>
      <c r="M3" s="0" t="n">
        <v>42149</v>
      </c>
      <c r="O3" s="0" t="n">
        <v>1612980</v>
      </c>
      <c r="P3" s="0" t="n">
        <v>21267275</v>
      </c>
      <c r="Q3" s="0" t="n">
        <v>19541878</v>
      </c>
      <c r="R3" s="0" t="n">
        <v>782127</v>
      </c>
      <c r="S3" s="0" t="n">
        <v>439931</v>
      </c>
      <c r="T3" s="0" t="n">
        <v>294388</v>
      </c>
      <c r="U3" s="0" t="n">
        <v>0</v>
      </c>
      <c r="V3" s="0" t="n">
        <v>0.184</v>
      </c>
      <c r="AA3" s="0" t="s">
        <v>18</v>
      </c>
      <c r="AB3" s="0" t="s">
        <v>14</v>
      </c>
      <c r="AC3" s="0" t="n">
        <v>181.97</v>
      </c>
      <c r="AD3" s="0" t="n">
        <v>5.14</v>
      </c>
      <c r="AE3" s="0" t="n">
        <v>11.41</v>
      </c>
      <c r="AG3" s="0" t="n">
        <v>0.95</v>
      </c>
      <c r="AH3" s="0" t="n">
        <v>14883596</v>
      </c>
      <c r="AJ3" s="0" t="n">
        <v>11819272</v>
      </c>
      <c r="AK3" s="0" t="n">
        <v>1.95</v>
      </c>
      <c r="AL3" s="0" t="n">
        <v>1.42</v>
      </c>
      <c r="AN3" s="0" t="n">
        <v>192435</v>
      </c>
      <c r="AO3" s="0" t="n">
        <v>372930</v>
      </c>
      <c r="AP3" s="0" t="n">
        <v>0.94</v>
      </c>
      <c r="AQ3" s="0" t="n">
        <v>12.06</v>
      </c>
      <c r="AR3" s="0" t="n">
        <v>12.27</v>
      </c>
      <c r="AS3" s="0" t="n">
        <v>14.97</v>
      </c>
    </row>
    <row r="4" customFormat="false" ht="15" hidden="false" customHeight="false" outlineLevel="0" collapsed="false">
      <c r="A4" s="0" t="s">
        <v>83</v>
      </c>
      <c r="B4" s="0" t="n">
        <v>550010</v>
      </c>
      <c r="F4" s="0" t="n">
        <v>249588</v>
      </c>
      <c r="G4" s="0" t="n">
        <v>45.4</v>
      </c>
      <c r="I4" s="0" t="n">
        <v>187405</v>
      </c>
      <c r="J4" s="0" t="n">
        <v>34.1</v>
      </c>
      <c r="K4" s="0" t="n">
        <v>0.61</v>
      </c>
      <c r="L4" s="0" t="n">
        <v>-484266</v>
      </c>
      <c r="M4" s="0" t="n">
        <v>39019</v>
      </c>
      <c r="O4" s="0" t="n">
        <v>1851701</v>
      </c>
      <c r="P4" s="0" t="n">
        <v>22769744</v>
      </c>
      <c r="Q4" s="0" t="n">
        <v>20793048</v>
      </c>
      <c r="R4" s="0" t="n">
        <v>1096087</v>
      </c>
      <c r="S4" s="0" t="n">
        <v>565467</v>
      </c>
      <c r="T4" s="0" t="n">
        <v>294388</v>
      </c>
      <c r="U4" s="0" t="n">
        <v>0</v>
      </c>
      <c r="V4" s="0" t="n">
        <v>0.191</v>
      </c>
      <c r="AA4" s="0" t="s">
        <v>18</v>
      </c>
      <c r="AB4" s="0" t="s">
        <v>14</v>
      </c>
      <c r="AC4" s="0" t="n">
        <v>182.86</v>
      </c>
      <c r="AD4" s="0" t="n">
        <v>5.61</v>
      </c>
      <c r="AE4" s="0" t="n">
        <v>11.3</v>
      </c>
      <c r="AG4" s="0" t="n">
        <v>0.8</v>
      </c>
      <c r="AH4" s="0" t="n">
        <v>15817548</v>
      </c>
      <c r="AJ4" s="0" t="n">
        <v>13068785</v>
      </c>
      <c r="AK4" s="0" t="n">
        <v>1.89</v>
      </c>
      <c r="AL4" s="0" t="n">
        <v>1.37</v>
      </c>
      <c r="AN4" s="0" t="n">
        <v>201891</v>
      </c>
      <c r="AO4" s="0" t="n">
        <v>390050</v>
      </c>
      <c r="AP4" s="0" t="n">
        <v>0.92</v>
      </c>
      <c r="AQ4" s="0" t="n">
        <v>11.45</v>
      </c>
      <c r="AR4" s="0" t="n">
        <v>12.79</v>
      </c>
      <c r="AS4" s="0" t="n">
        <v>15.59</v>
      </c>
    </row>
    <row r="5" customFormat="false" ht="15" hidden="false" customHeight="false" outlineLevel="0" collapsed="false">
      <c r="A5" s="0" t="s">
        <v>84</v>
      </c>
      <c r="B5" s="0" t="n">
        <v>567647</v>
      </c>
      <c r="F5" s="0" t="n">
        <v>246220</v>
      </c>
      <c r="G5" s="0" t="n">
        <v>43.4</v>
      </c>
      <c r="I5" s="0" t="n">
        <v>192870</v>
      </c>
      <c r="J5" s="0" t="n">
        <v>34</v>
      </c>
      <c r="K5" s="0" t="n">
        <v>0.61</v>
      </c>
      <c r="L5" s="0" t="n">
        <v>73028</v>
      </c>
      <c r="M5" s="0" t="n">
        <v>39622</v>
      </c>
      <c r="O5" s="0" t="n">
        <v>2038419</v>
      </c>
      <c r="P5" s="0" t="n">
        <v>24402659</v>
      </c>
      <c r="Q5" s="0" t="n">
        <v>22239822</v>
      </c>
      <c r="R5" s="0" t="n">
        <v>1244403</v>
      </c>
      <c r="S5" s="0" t="n">
        <v>803145</v>
      </c>
      <c r="T5" s="0" t="n">
        <v>294388</v>
      </c>
      <c r="U5" s="0" t="n">
        <v>0</v>
      </c>
      <c r="V5" s="0" t="n">
        <v>0.197</v>
      </c>
      <c r="AA5" s="0" t="s">
        <v>18</v>
      </c>
      <c r="AB5" s="0" t="s">
        <v>14</v>
      </c>
      <c r="AC5" s="0" t="n">
        <v>177.84</v>
      </c>
      <c r="AD5" s="0" t="n">
        <v>5.98</v>
      </c>
      <c r="AE5" s="0" t="n">
        <v>11.28</v>
      </c>
      <c r="AG5" s="0" t="n">
        <v>0.76</v>
      </c>
      <c r="AH5" s="0" t="n">
        <v>16879171</v>
      </c>
      <c r="AJ5" s="0" t="n">
        <v>14216477</v>
      </c>
      <c r="AK5" s="0" t="n">
        <v>1.85</v>
      </c>
      <c r="AL5" s="0" t="n">
        <v>1.46</v>
      </c>
      <c r="AN5" s="0" t="n">
        <v>205096</v>
      </c>
      <c r="AO5" s="0" t="n">
        <v>415918</v>
      </c>
      <c r="AP5" s="0" t="n">
        <v>0.87</v>
      </c>
      <c r="AQ5" s="0" t="n">
        <v>10.61</v>
      </c>
      <c r="AR5" s="0" t="n">
        <v>13.19</v>
      </c>
      <c r="AS5" s="0" t="n">
        <v>16.22</v>
      </c>
    </row>
    <row r="6" customFormat="false" ht="15" hidden="false" customHeight="false" outlineLevel="0" collapsed="false">
      <c r="A6" s="0" t="s">
        <v>85</v>
      </c>
      <c r="B6" s="0" t="n">
        <v>605717</v>
      </c>
      <c r="F6" s="0" t="n">
        <v>275142</v>
      </c>
      <c r="G6" s="0" t="n">
        <v>45.4</v>
      </c>
      <c r="I6" s="0" t="n">
        <v>216559</v>
      </c>
      <c r="J6" s="0" t="n">
        <v>35.8</v>
      </c>
      <c r="K6" s="0" t="n">
        <v>0.7</v>
      </c>
      <c r="L6" s="0" t="n">
        <v>843258</v>
      </c>
      <c r="M6" s="0" t="n">
        <v>30173</v>
      </c>
      <c r="O6" s="0" t="n">
        <v>2225153</v>
      </c>
      <c r="P6" s="0" t="n">
        <v>26722408</v>
      </c>
      <c r="Q6" s="0" t="n">
        <v>24371855</v>
      </c>
      <c r="R6" s="0" t="n">
        <v>1388678</v>
      </c>
      <c r="S6" s="0" t="n">
        <v>644816</v>
      </c>
      <c r="T6" s="0" t="n">
        <v>294388</v>
      </c>
      <c r="U6" s="0" t="n">
        <v>0</v>
      </c>
      <c r="V6" s="0" t="n">
        <v>0.221</v>
      </c>
      <c r="AA6" s="0" t="s">
        <v>18</v>
      </c>
      <c r="AB6" s="0" t="s">
        <v>14</v>
      </c>
      <c r="AC6" s="0" t="n">
        <v>187.05</v>
      </c>
      <c r="AD6" s="0" t="n">
        <v>6.47</v>
      </c>
      <c r="AE6" s="0" t="n">
        <v>11.3</v>
      </c>
      <c r="AF6" s="0" t="n">
        <v>28.17</v>
      </c>
      <c r="AG6" s="0" t="n">
        <v>0.66</v>
      </c>
      <c r="AH6" s="0" t="n">
        <v>18142887</v>
      </c>
      <c r="AJ6" s="0" t="n">
        <v>15712574</v>
      </c>
      <c r="AK6" s="0" t="n">
        <v>1.75</v>
      </c>
      <c r="AL6" s="0" t="n">
        <v>1.33</v>
      </c>
      <c r="AN6" s="0" t="n">
        <v>227339</v>
      </c>
      <c r="AO6" s="0" t="n">
        <v>425142</v>
      </c>
      <c r="AP6" s="0" t="n">
        <v>0.89</v>
      </c>
      <c r="AQ6" s="0" t="n">
        <v>11.28</v>
      </c>
      <c r="AR6" s="0" t="n">
        <v>13.32</v>
      </c>
      <c r="AS6" s="0" t="n">
        <v>16.53</v>
      </c>
    </row>
    <row r="7" customFormat="false" ht="15" hidden="false" customHeight="false" outlineLevel="0" collapsed="false">
      <c r="A7" s="0" t="s">
        <v>86</v>
      </c>
      <c r="B7" s="0" t="n">
        <v>586461</v>
      </c>
      <c r="F7" s="0" t="n">
        <v>282996</v>
      </c>
      <c r="G7" s="0" t="n">
        <v>48.3</v>
      </c>
      <c r="I7" s="0" t="n">
        <v>226522</v>
      </c>
      <c r="J7" s="0" t="n">
        <v>38.6</v>
      </c>
      <c r="K7" s="0" t="n">
        <v>0.72</v>
      </c>
      <c r="L7" s="0" t="n">
        <v>-21855</v>
      </c>
      <c r="M7" s="0" t="n">
        <v>27738</v>
      </c>
      <c r="O7" s="0" t="n">
        <v>2423973</v>
      </c>
      <c r="P7" s="0" t="n">
        <v>28893548</v>
      </c>
      <c r="Q7" s="0" t="n">
        <v>26330247</v>
      </c>
      <c r="R7" s="0" t="n">
        <v>1540935</v>
      </c>
      <c r="S7" s="0" t="n">
        <v>815063</v>
      </c>
      <c r="T7" s="0" t="n">
        <v>294388</v>
      </c>
      <c r="U7" s="0" t="n">
        <v>0</v>
      </c>
      <c r="V7" s="0" t="n">
        <v>0.232</v>
      </c>
      <c r="AA7" s="0" t="s">
        <v>18</v>
      </c>
      <c r="AB7" s="0" t="s">
        <v>14</v>
      </c>
      <c r="AC7" s="0" t="n">
        <v>188.73</v>
      </c>
      <c r="AD7" s="0" t="n">
        <v>6.98</v>
      </c>
      <c r="AE7" s="0" t="n">
        <v>11.84</v>
      </c>
      <c r="AF7" s="0" t="n">
        <v>28.92</v>
      </c>
      <c r="AG7" s="0" t="n">
        <v>0.56</v>
      </c>
      <c r="AH7" s="0" t="n">
        <v>20201825</v>
      </c>
      <c r="AI7" s="0" t="n">
        <v>880848</v>
      </c>
      <c r="AJ7" s="0" t="n">
        <v>17552761</v>
      </c>
      <c r="AK7" s="0" t="n">
        <v>1.75</v>
      </c>
      <c r="AL7" s="0" t="n">
        <v>1.32</v>
      </c>
      <c r="AM7" s="0" t="n">
        <v>74890</v>
      </c>
      <c r="AN7" s="0" t="n">
        <v>236725</v>
      </c>
      <c r="AO7" s="0" t="n">
        <v>459266</v>
      </c>
      <c r="AP7" s="0" t="n">
        <v>0.85</v>
      </c>
      <c r="AQ7" s="0" t="n">
        <v>10.77</v>
      </c>
      <c r="AR7" s="0" t="n">
        <v>14.11</v>
      </c>
      <c r="AS7" s="0" t="n">
        <v>17.52</v>
      </c>
    </row>
    <row r="8" customFormat="false" ht="15" hidden="false" customHeight="false" outlineLevel="0" collapsed="false">
      <c r="A8" s="0" t="s">
        <v>87</v>
      </c>
      <c r="B8" s="0" t="n">
        <v>624138</v>
      </c>
      <c r="F8" s="0" t="n">
        <v>294643</v>
      </c>
      <c r="G8" s="0" t="n">
        <v>47.2</v>
      </c>
      <c r="I8" s="0" t="n">
        <v>231904</v>
      </c>
      <c r="J8" s="0" t="n">
        <v>37.2</v>
      </c>
      <c r="K8" s="0" t="n">
        <v>0.74</v>
      </c>
      <c r="L8" s="0" t="n">
        <v>816446</v>
      </c>
      <c r="M8" s="0" t="n">
        <v>29148</v>
      </c>
      <c r="O8" s="0" t="n">
        <v>2629510</v>
      </c>
      <c r="P8" s="0" t="n">
        <v>32432166</v>
      </c>
      <c r="Q8" s="0" t="n">
        <v>29675351</v>
      </c>
      <c r="R8" s="0" t="n">
        <v>1802446</v>
      </c>
      <c r="S8" s="0" t="n">
        <v>568855</v>
      </c>
      <c r="T8" s="0" t="n">
        <v>294388</v>
      </c>
      <c r="U8" s="0" t="n">
        <v>0</v>
      </c>
      <c r="V8" s="0" t="n">
        <v>0.2364</v>
      </c>
      <c r="AA8" s="0" t="s">
        <v>18</v>
      </c>
      <c r="AB8" s="0" t="s">
        <v>14</v>
      </c>
      <c r="AC8" s="0" t="n">
        <v>191.66</v>
      </c>
      <c r="AD8" s="0" t="n">
        <v>7.58</v>
      </c>
      <c r="AE8" s="0" t="n">
        <v>11.63</v>
      </c>
      <c r="AF8" s="0" t="n">
        <v>28.5</v>
      </c>
      <c r="AG8" s="0" t="n">
        <v>0.57</v>
      </c>
      <c r="AH8" s="0" t="n">
        <v>22907050</v>
      </c>
      <c r="AI8" s="0" t="n">
        <v>1048851</v>
      </c>
      <c r="AJ8" s="0" t="n">
        <v>19961779</v>
      </c>
      <c r="AK8" s="0" t="n">
        <v>1.59</v>
      </c>
      <c r="AL8" s="0" t="n">
        <v>1.27</v>
      </c>
      <c r="AM8" s="0" t="n">
        <v>78865</v>
      </c>
      <c r="AN8" s="0" t="n">
        <v>246371</v>
      </c>
      <c r="AO8" s="0" t="n">
        <v>466545</v>
      </c>
      <c r="AP8" s="0" t="n">
        <v>0.8</v>
      </c>
      <c r="AQ8" s="0" t="n">
        <v>10.12</v>
      </c>
      <c r="AR8" s="0" t="n">
        <v>13.83</v>
      </c>
      <c r="AS8" s="0" t="n">
        <v>17.74</v>
      </c>
    </row>
    <row r="9" customFormat="false" ht="15" hidden="false" customHeight="false" outlineLevel="0" collapsed="false">
      <c r="A9" s="0" t="s">
        <v>88</v>
      </c>
      <c r="B9" s="0" t="n">
        <v>632771</v>
      </c>
      <c r="F9" s="0" t="n">
        <v>294279</v>
      </c>
      <c r="G9" s="0" t="n">
        <v>46.5</v>
      </c>
      <c r="I9" s="0" t="n">
        <v>237841</v>
      </c>
      <c r="J9" s="0" t="n">
        <v>37.6</v>
      </c>
      <c r="K9" s="0" t="n">
        <v>0.75</v>
      </c>
      <c r="L9" s="0" t="n">
        <v>550966</v>
      </c>
      <c r="M9" s="0" t="n">
        <v>27236</v>
      </c>
      <c r="O9" s="0" t="n">
        <v>2816231</v>
      </c>
      <c r="P9" s="0" t="n">
        <v>35061299</v>
      </c>
      <c r="Q9" s="0" t="n">
        <v>32108335</v>
      </c>
      <c r="R9" s="0" t="n">
        <v>2056549</v>
      </c>
      <c r="S9" s="0" t="n">
        <v>582448</v>
      </c>
      <c r="T9" s="0" t="n">
        <v>294388</v>
      </c>
      <c r="U9" s="0" t="n">
        <v>0</v>
      </c>
      <c r="V9" s="0" t="n">
        <v>0.2424</v>
      </c>
      <c r="AA9" s="0" t="s">
        <v>18</v>
      </c>
      <c r="AB9" s="0" t="s">
        <v>14</v>
      </c>
      <c r="AC9" s="0" t="n">
        <v>200.6</v>
      </c>
      <c r="AD9" s="0" t="n">
        <v>8.18</v>
      </c>
      <c r="AE9" s="0" t="n">
        <v>12.2</v>
      </c>
      <c r="AF9" s="0" t="n">
        <v>28.77</v>
      </c>
      <c r="AG9" s="0" t="n">
        <v>0.58</v>
      </c>
      <c r="AH9" s="0" t="n">
        <v>24202588</v>
      </c>
      <c r="AI9" s="0" t="n">
        <v>1071539</v>
      </c>
      <c r="AJ9" s="0" t="n">
        <v>21594068</v>
      </c>
      <c r="AK9" s="0" t="n">
        <v>1.4</v>
      </c>
      <c r="AL9" s="0" t="n">
        <v>1.25</v>
      </c>
      <c r="AM9" s="0" t="n">
        <v>76590</v>
      </c>
      <c r="AN9" s="0" t="n">
        <v>252719</v>
      </c>
      <c r="AO9" s="0" t="n">
        <v>448934</v>
      </c>
      <c r="AP9" s="0" t="n">
        <v>0.75</v>
      </c>
      <c r="AQ9" s="0" t="n">
        <v>9.5</v>
      </c>
      <c r="AR9" s="0" t="n">
        <v>14.38</v>
      </c>
      <c r="AS9" s="0" t="n">
        <v>18.76</v>
      </c>
    </row>
    <row r="10" customFormat="false" ht="15" hidden="false" customHeight="false" outlineLevel="0" collapsed="false">
      <c r="A10" s="0" t="s">
        <v>89</v>
      </c>
      <c r="B10" s="0" t="n">
        <v>659866</v>
      </c>
      <c r="F10" s="0" t="n">
        <v>300156</v>
      </c>
      <c r="G10" s="0" t="n">
        <v>45.5</v>
      </c>
      <c r="I10" s="0" t="n">
        <v>243021</v>
      </c>
      <c r="J10" s="0" t="n">
        <v>36.8</v>
      </c>
      <c r="K10" s="0" t="n">
        <v>0.74</v>
      </c>
      <c r="L10" s="0" t="n">
        <v>812030</v>
      </c>
      <c r="M10" s="0" t="n">
        <v>51273</v>
      </c>
      <c r="O10" s="0" t="n">
        <v>3064044</v>
      </c>
      <c r="P10" s="0" t="n">
        <v>38358076</v>
      </c>
      <c r="Q10" s="0" t="n">
        <v>35149952</v>
      </c>
      <c r="R10" s="0" t="n">
        <v>2294688</v>
      </c>
      <c r="S10" s="0" t="n">
        <v>577545</v>
      </c>
      <c r="T10" s="0" t="n">
        <v>322212</v>
      </c>
      <c r="U10" s="0" t="n">
        <v>0</v>
      </c>
      <c r="V10" s="0" t="n">
        <v>0.2263</v>
      </c>
      <c r="AA10" s="0" t="s">
        <v>18</v>
      </c>
      <c r="AB10" s="0" t="s">
        <v>14</v>
      </c>
      <c r="AC10" s="0" t="n">
        <v>200.37</v>
      </c>
      <c r="AD10" s="0" t="n">
        <v>8.36</v>
      </c>
      <c r="AE10" s="0" t="n">
        <v>12.53</v>
      </c>
      <c r="AF10" s="0" t="n">
        <v>27.84</v>
      </c>
      <c r="AG10" s="0" t="n">
        <v>0.48</v>
      </c>
      <c r="AH10" s="0" t="n">
        <v>26182431</v>
      </c>
      <c r="AI10" s="0" t="n">
        <v>1000907</v>
      </c>
      <c r="AJ10" s="0" t="n">
        <v>23453492</v>
      </c>
      <c r="AK10" s="0" t="n">
        <v>1.26</v>
      </c>
      <c r="AL10" s="0" t="n">
        <v>1.23</v>
      </c>
      <c r="AM10" s="0" t="n">
        <v>82237</v>
      </c>
      <c r="AN10" s="0" t="n">
        <v>257936</v>
      </c>
      <c r="AO10" s="0" t="n">
        <v>440705</v>
      </c>
      <c r="AP10" s="0" t="n">
        <v>0.7</v>
      </c>
      <c r="AQ10" s="0" t="n">
        <v>8.94</v>
      </c>
      <c r="AR10" s="0" t="n">
        <v>14.34</v>
      </c>
      <c r="AS10" s="0" t="n">
        <v>18.85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90</v>
      </c>
      <c r="B1" s="2" t="s">
        <v>91</v>
      </c>
    </row>
    <row r="2" customFormat="false" ht="15" hidden="false" customHeight="false" outlineLevel="0" collapsed="false">
      <c r="A2" s="0" t="s">
        <v>92</v>
      </c>
      <c r="B2" s="3" t="n">
        <v>5.955</v>
      </c>
    </row>
    <row r="3" customFormat="false" ht="15" hidden="false" customHeight="false" outlineLevel="0" collapsed="false">
      <c r="A3" s="0" t="s">
        <v>93</v>
      </c>
      <c r="B3" s="3" t="n">
        <v>322212</v>
      </c>
    </row>
    <row r="4" customFormat="false" ht="15" hidden="false" customHeight="false" outlineLevel="0" collapsed="false">
      <c r="A4" s="0" t="s">
        <v>94</v>
      </c>
      <c r="B4" s="3" t="n">
        <v>0</v>
      </c>
    </row>
    <row r="5" customFormat="false" ht="15" hidden="false" customHeight="false" outlineLevel="0" collapsed="false">
      <c r="A5" s="0" t="s">
        <v>95</v>
      </c>
      <c r="B5" s="3" t="n">
        <v>0</v>
      </c>
    </row>
    <row r="6" customFormat="false" ht="15" hidden="false" customHeight="false" outlineLevel="0" collapsed="false">
      <c r="A6" s="0" t="s">
        <v>96</v>
      </c>
      <c r="B6" s="3" t="n">
        <v>15</v>
      </c>
    </row>
    <row r="7" customFormat="false" ht="15" hidden="false" customHeight="false" outlineLevel="0" collapsed="false">
      <c r="A7" s="0" t="s">
        <v>97</v>
      </c>
      <c r="B7" s="3" t="n">
        <v>702400</v>
      </c>
    </row>
    <row r="8" customFormat="false" ht="15" hidden="false" customHeight="false" outlineLevel="0" collapsed="false">
      <c r="A8" s="0" t="s">
        <v>98</v>
      </c>
      <c r="B8" s="3" t="s">
        <v>99</v>
      </c>
    </row>
    <row r="9" customFormat="false" ht="15" hidden="false" customHeight="false" outlineLevel="0" collapsed="false">
      <c r="A9" s="0" t="s">
        <v>100</v>
      </c>
      <c r="B9" s="3" t="s">
        <v>101</v>
      </c>
    </row>
    <row r="10" customFormat="false" ht="15" hidden="false" customHeight="false" outlineLevel="0" collapsed="false">
      <c r="A10" s="0" t="s">
        <v>102</v>
      </c>
      <c r="B10" s="3" t="n">
        <v>1.1751</v>
      </c>
    </row>
    <row r="12" customFormat="false" ht="15" hidden="false" customHeight="false" outlineLevel="0" collapsed="false">
      <c r="A12" s="2" t="s">
        <v>103</v>
      </c>
      <c r="C12" s="2" t="s">
        <v>104</v>
      </c>
      <c r="D12" s="2" t="s">
        <v>105</v>
      </c>
      <c r="E12" s="2" t="s">
        <v>106</v>
      </c>
      <c r="F12" s="2" t="s">
        <v>107</v>
      </c>
      <c r="G12" s="2" t="s">
        <v>108</v>
      </c>
      <c r="H12" s="2" t="s">
        <v>109</v>
      </c>
      <c r="I12" s="2" t="s">
        <v>110</v>
      </c>
      <c r="J12" s="2" t="s">
        <v>111</v>
      </c>
      <c r="K12" s="2" t="s">
        <v>112</v>
      </c>
      <c r="L12" s="2" t="s">
        <v>113</v>
      </c>
    </row>
    <row r="13" customFormat="false" ht="15" hidden="false" customHeight="false" outlineLevel="0" collapsed="false">
      <c r="A13" s="0" t="s">
        <v>114</v>
      </c>
      <c r="C13" s="3" t="n">
        <v>1</v>
      </c>
      <c r="D13" s="3" t="n">
        <v>1</v>
      </c>
      <c r="E13" s="3" t="n">
        <v>1.5</v>
      </c>
      <c r="F13" s="3" t="n">
        <v>2</v>
      </c>
      <c r="G13" s="3" t="n">
        <v>2</v>
      </c>
      <c r="H13" s="3" t="n">
        <v>2</v>
      </c>
      <c r="I13" s="3" t="n">
        <v>2</v>
      </c>
      <c r="J13" s="3" t="n">
        <v>2</v>
      </c>
      <c r="K13" s="3" t="n">
        <v>2</v>
      </c>
      <c r="L13" s="3" t="n">
        <v>2</v>
      </c>
    </row>
    <row r="14" customFormat="false" ht="15" hidden="false" customHeight="false" outlineLevel="0" collapsed="false">
      <c r="A14" s="0" t="s">
        <v>115</v>
      </c>
      <c r="C14" s="3" t="n">
        <v>43.5</v>
      </c>
      <c r="D14" s="3" t="n">
        <v>42</v>
      </c>
      <c r="E14" s="3" t="n">
        <v>41</v>
      </c>
      <c r="F14" s="3" t="n">
        <v>41</v>
      </c>
      <c r="G14" s="3" t="n">
        <v>41</v>
      </c>
      <c r="H14" s="3" t="n">
        <v>41</v>
      </c>
      <c r="I14" s="3" t="n">
        <v>41</v>
      </c>
      <c r="J14" s="3" t="n">
        <v>41</v>
      </c>
      <c r="K14" s="3" t="n">
        <v>41</v>
      </c>
      <c r="L14" s="3" t="n">
        <v>41</v>
      </c>
    </row>
    <row r="15" customFormat="false" ht="15" hidden="false" customHeight="false" outlineLevel="0" collapsed="false">
      <c r="A15" s="0" t="s">
        <v>116</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117</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118</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119</v>
      </c>
      <c r="C18" s="3" t="n">
        <v>29.9</v>
      </c>
      <c r="D18" s="3" t="n">
        <v>29.12</v>
      </c>
      <c r="E18" s="3" t="n">
        <v>26.31</v>
      </c>
      <c r="F18" s="3" t="n">
        <v>22.79</v>
      </c>
      <c r="G18" s="3" t="n">
        <v>18.77</v>
      </c>
      <c r="H18" s="3" t="n">
        <v>19.13</v>
      </c>
      <c r="I18" s="3" t="n">
        <v>17.07</v>
      </c>
      <c r="J18" s="3" t="n">
        <v>14.85</v>
      </c>
      <c r="K18" s="3" t="n">
        <v>14.99</v>
      </c>
      <c r="L18" s="3" t="n">
        <v>15.14</v>
      </c>
    </row>
    <row r="19" customFormat="false" ht="15" hidden="false" customHeight="false" outlineLevel="0" collapsed="false">
      <c r="A19" s="0" t="s">
        <v>120</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121</v>
      </c>
      <c r="B20" s="3" t="n">
        <v>9.5</v>
      </c>
    </row>
    <row r="21" customFormat="false" ht="15" hidden="false" customHeight="false" outlineLevel="0" collapsed="false">
      <c r="A21" s="0" t="s">
        <v>122</v>
      </c>
      <c r="B21" s="3" t="n">
        <v>2.5</v>
      </c>
    </row>
    <row r="22" customFormat="false" ht="15" hidden="false" customHeight="false" outlineLevel="0" collapsed="false">
      <c r="A22" s="0" t="s">
        <v>123</v>
      </c>
      <c r="B22" s="3" t="n">
        <v>18</v>
      </c>
    </row>
    <row r="23" customFormat="false" ht="15" hidden="false" customHeight="false" outlineLevel="0" collapsed="false">
      <c r="A23" s="0" t="s">
        <v>124</v>
      </c>
      <c r="B23" s="3" t="n">
        <v>0</v>
      </c>
    </row>
    <row r="24" customFormat="false" ht="15" hidden="false" customHeight="false" outlineLevel="0" collapsed="false">
      <c r="A24" s="0" t="s">
        <v>125</v>
      </c>
      <c r="B24" s="3" t="n">
        <v>0.25</v>
      </c>
    </row>
    <row r="26" customFormat="false" ht="15" hidden="false" customHeight="false" outlineLevel="0" collapsed="false">
      <c r="A26" s="2" t="s">
        <v>126</v>
      </c>
      <c r="C26" s="2" t="s">
        <v>104</v>
      </c>
      <c r="D26" s="2" t="s">
        <v>105</v>
      </c>
      <c r="E26" s="2" t="s">
        <v>106</v>
      </c>
      <c r="F26" s="2" t="s">
        <v>107</v>
      </c>
      <c r="G26" s="2" t="s">
        <v>108</v>
      </c>
      <c r="H26" s="2" t="s">
        <v>109</v>
      </c>
      <c r="I26" s="2" t="s">
        <v>110</v>
      </c>
      <c r="J26" s="2" t="s">
        <v>111</v>
      </c>
      <c r="K26" s="2" t="s">
        <v>112</v>
      </c>
      <c r="L26" s="2" t="s">
        <v>113</v>
      </c>
    </row>
    <row r="27" customFormat="false" ht="15" hidden="false" customHeight="false" outlineLevel="0" collapsed="false">
      <c r="A27" s="0" t="s">
        <v>114</v>
      </c>
      <c r="C27" s="3" t="n">
        <v>4</v>
      </c>
      <c r="D27" s="3" t="n">
        <v>4</v>
      </c>
      <c r="E27" s="3" t="n">
        <v>3.5</v>
      </c>
      <c r="F27" s="3" t="n">
        <v>3.5</v>
      </c>
      <c r="G27" s="3" t="n">
        <v>3</v>
      </c>
      <c r="H27" s="3" t="n">
        <v>3</v>
      </c>
      <c r="I27" s="3" t="n">
        <v>3</v>
      </c>
      <c r="J27" s="3" t="n">
        <v>3</v>
      </c>
      <c r="K27" s="3" t="n">
        <v>3</v>
      </c>
      <c r="L27" s="3" t="n">
        <v>3</v>
      </c>
    </row>
    <row r="28" customFormat="false" ht="15" hidden="false" customHeight="false" outlineLevel="0" collapsed="false">
      <c r="A28" s="0" t="s">
        <v>115</v>
      </c>
      <c r="C28" s="3" t="n">
        <v>45</v>
      </c>
      <c r="D28" s="3" t="n">
        <v>44.5</v>
      </c>
      <c r="E28" s="3" t="n">
        <v>44</v>
      </c>
      <c r="F28" s="3" t="n">
        <v>44</v>
      </c>
      <c r="G28" s="3" t="n">
        <v>44</v>
      </c>
      <c r="H28" s="3" t="n">
        <v>44</v>
      </c>
      <c r="I28" s="3" t="n">
        <v>44</v>
      </c>
      <c r="J28" s="3" t="n">
        <v>44</v>
      </c>
      <c r="K28" s="3" t="n">
        <v>44</v>
      </c>
      <c r="L28" s="3" t="n">
        <v>44</v>
      </c>
    </row>
    <row r="29" customFormat="false" ht="15" hidden="false" customHeight="false" outlineLevel="0" collapsed="false">
      <c r="A29" s="0" t="s">
        <v>116</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117</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118</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119</v>
      </c>
      <c r="C32" s="3" t="n">
        <v>21.89</v>
      </c>
      <c r="D32" s="3" t="n">
        <v>21.61</v>
      </c>
      <c r="E32" s="3" t="n">
        <v>20.07</v>
      </c>
      <c r="F32" s="3" t="n">
        <v>18.37</v>
      </c>
      <c r="G32" s="3" t="n">
        <v>16.61</v>
      </c>
      <c r="H32" s="3" t="n">
        <v>18.45</v>
      </c>
      <c r="I32" s="3" t="n">
        <v>16.64</v>
      </c>
      <c r="J32" s="3" t="n">
        <v>14.7</v>
      </c>
      <c r="K32" s="3" t="n">
        <v>14.77</v>
      </c>
      <c r="L32" s="3" t="n">
        <v>14.84</v>
      </c>
    </row>
    <row r="33" customFormat="false" ht="15" hidden="false" customHeight="false" outlineLevel="0" collapsed="false">
      <c r="A33" s="0" t="s">
        <v>120</v>
      </c>
      <c r="C33" s="3" t="n">
        <v>24.5</v>
      </c>
      <c r="D33" s="3" t="n">
        <v>24.5</v>
      </c>
      <c r="E33" s="3" t="n">
        <v>24.5</v>
      </c>
      <c r="F33" s="3" t="n">
        <v>24.5</v>
      </c>
      <c r="G33" s="3" t="n">
        <v>24.5</v>
      </c>
      <c r="H33" s="3" t="n">
        <v>24.5</v>
      </c>
      <c r="I33" s="3" t="n">
        <v>24.5</v>
      </c>
      <c r="J33" s="3" t="n">
        <v>24.5</v>
      </c>
      <c r="K33" s="3" t="n">
        <v>24.5</v>
      </c>
      <c r="L33" s="3" t="n">
        <v>24.5</v>
      </c>
    </row>
    <row r="34" customFormat="false" ht="15" hidden="false" customHeight="false" outlineLevel="0" collapsed="false">
      <c r="A34" s="0" t="s">
        <v>121</v>
      </c>
      <c r="B34" s="3" t="n">
        <v>9.5</v>
      </c>
    </row>
    <row r="35" customFormat="false" ht="15" hidden="false" customHeight="false" outlineLevel="0" collapsed="false">
      <c r="A35" s="0" t="s">
        <v>122</v>
      </c>
      <c r="B35" s="3" t="n">
        <v>3</v>
      </c>
    </row>
    <row r="36" customFormat="false" ht="15" hidden="false" customHeight="false" outlineLevel="0" collapsed="false">
      <c r="A36" s="0" t="s">
        <v>123</v>
      </c>
      <c r="B36" s="3" t="n">
        <v>18</v>
      </c>
    </row>
    <row r="37" customFormat="false" ht="15" hidden="false" customHeight="false" outlineLevel="0" collapsed="false">
      <c r="A37" s="0" t="s">
        <v>124</v>
      </c>
      <c r="B37" s="3" t="n">
        <v>0</v>
      </c>
    </row>
    <row r="38" customFormat="false" ht="15" hidden="false" customHeight="false" outlineLevel="0" collapsed="false">
      <c r="A38" s="0" t="s">
        <v>125</v>
      </c>
      <c r="B38" s="3" t="n">
        <v>0.5</v>
      </c>
    </row>
    <row r="40" customFormat="false" ht="15" hidden="false" customHeight="false" outlineLevel="0" collapsed="false">
      <c r="A40" s="2" t="s">
        <v>127</v>
      </c>
      <c r="C40" s="2" t="s">
        <v>104</v>
      </c>
      <c r="D40" s="2" t="s">
        <v>105</v>
      </c>
      <c r="E40" s="2" t="s">
        <v>106</v>
      </c>
      <c r="F40" s="2" t="s">
        <v>107</v>
      </c>
      <c r="G40" s="2" t="s">
        <v>108</v>
      </c>
      <c r="H40" s="2" t="s">
        <v>109</v>
      </c>
      <c r="I40" s="2" t="s">
        <v>110</v>
      </c>
      <c r="J40" s="2" t="s">
        <v>111</v>
      </c>
      <c r="K40" s="2" t="s">
        <v>112</v>
      </c>
      <c r="L40" s="2" t="s">
        <v>113</v>
      </c>
    </row>
    <row r="41" customFormat="false" ht="15" hidden="false" customHeight="false" outlineLevel="0" collapsed="false">
      <c r="A41" s="0" t="s">
        <v>114</v>
      </c>
      <c r="C41" s="3" t="n">
        <v>6</v>
      </c>
      <c r="D41" s="3" t="n">
        <v>5.5</v>
      </c>
      <c r="E41" s="3" t="n">
        <v>5</v>
      </c>
      <c r="F41" s="3" t="n">
        <v>4.5</v>
      </c>
      <c r="G41" s="3" t="n">
        <v>4</v>
      </c>
      <c r="H41" s="3" t="n">
        <v>3.5</v>
      </c>
      <c r="I41" s="3" t="n">
        <v>3.5</v>
      </c>
      <c r="J41" s="3" t="n">
        <v>3.5</v>
      </c>
      <c r="K41" s="3" t="n">
        <v>3.5</v>
      </c>
      <c r="L41" s="3" t="n">
        <v>3.5</v>
      </c>
    </row>
    <row r="42" customFormat="false" ht="15" hidden="false" customHeight="false" outlineLevel="0" collapsed="false">
      <c r="A42" s="0" t="s">
        <v>115</v>
      </c>
      <c r="C42" s="3" t="n">
        <v>46.5</v>
      </c>
      <c r="D42" s="3" t="n">
        <v>47</v>
      </c>
      <c r="E42" s="3" t="n">
        <v>47.5</v>
      </c>
      <c r="F42" s="3" t="n">
        <v>47.5</v>
      </c>
      <c r="G42" s="3" t="n">
        <v>47.5</v>
      </c>
      <c r="H42" s="3" t="n">
        <v>47.5</v>
      </c>
      <c r="I42" s="3" t="n">
        <v>47.5</v>
      </c>
      <c r="J42" s="3" t="n">
        <v>47.5</v>
      </c>
      <c r="K42" s="3" t="n">
        <v>47.5</v>
      </c>
      <c r="L42" s="3" t="n">
        <v>47.5</v>
      </c>
    </row>
    <row r="43" customFormat="false" ht="15" hidden="false" customHeight="false" outlineLevel="0" collapsed="false">
      <c r="A43" s="0" t="s">
        <v>116</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117</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118</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119</v>
      </c>
      <c r="C46" s="3" t="n">
        <v>19.82</v>
      </c>
      <c r="D46" s="3" t="n">
        <v>17.29</v>
      </c>
      <c r="E46" s="3" t="n">
        <v>15.35</v>
      </c>
      <c r="F46" s="3" t="n">
        <v>13.41</v>
      </c>
      <c r="G46" s="3" t="n">
        <v>11.49</v>
      </c>
      <c r="H46" s="3" t="n">
        <v>14.65</v>
      </c>
      <c r="I46" s="3" t="n">
        <v>12.88</v>
      </c>
      <c r="J46" s="3" t="n">
        <v>12.88</v>
      </c>
      <c r="K46" s="3" t="n">
        <v>12.88</v>
      </c>
      <c r="L46" s="3" t="n">
        <v>12.88</v>
      </c>
    </row>
    <row r="47" customFormat="false" ht="15" hidden="false" customHeight="false" outlineLevel="0" collapsed="false">
      <c r="A47" s="0" t="s">
        <v>120</v>
      </c>
      <c r="C47" s="3" t="n">
        <v>24</v>
      </c>
      <c r="D47" s="3" t="n">
        <v>24</v>
      </c>
      <c r="E47" s="3" t="n">
        <v>24</v>
      </c>
      <c r="F47" s="3" t="n">
        <v>24</v>
      </c>
      <c r="G47" s="3" t="n">
        <v>24</v>
      </c>
      <c r="H47" s="3" t="n">
        <v>24</v>
      </c>
      <c r="I47" s="3" t="n">
        <v>24</v>
      </c>
      <c r="J47" s="3" t="n">
        <v>24</v>
      </c>
      <c r="K47" s="3" t="n">
        <v>24</v>
      </c>
      <c r="L47" s="3" t="n">
        <v>24</v>
      </c>
    </row>
    <row r="48" customFormat="false" ht="15" hidden="false" customHeight="false" outlineLevel="0" collapsed="false">
      <c r="A48" s="0" t="s">
        <v>121</v>
      </c>
      <c r="B48" s="3" t="n">
        <v>9.5</v>
      </c>
    </row>
    <row r="49" customFormat="false" ht="15" hidden="false" customHeight="false" outlineLevel="0" collapsed="false">
      <c r="A49" s="0" t="s">
        <v>122</v>
      </c>
      <c r="B49" s="3" t="n">
        <v>3</v>
      </c>
    </row>
    <row r="50" customFormat="false" ht="15" hidden="false" customHeight="false" outlineLevel="0" collapsed="false">
      <c r="A50" s="0" t="s">
        <v>123</v>
      </c>
      <c r="B50" s="3" t="n">
        <v>18</v>
      </c>
    </row>
    <row r="51" customFormat="false" ht="15" hidden="false" customHeight="false" outlineLevel="0" collapsed="false">
      <c r="A51" s="0" t="s">
        <v>124</v>
      </c>
      <c r="B51" s="3" t="n">
        <v>0</v>
      </c>
    </row>
    <row r="52" customFormat="false" ht="15" hidden="false" customHeight="false" outlineLevel="0" collapsed="false">
      <c r="A52" s="0" t="s">
        <v>125</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128</v>
      </c>
    </row>
    <row r="3" customFormat="false" ht="15" hidden="false" customHeight="false" outlineLevel="0" collapsed="false">
      <c r="A3" s="0" t="s">
        <v>129</v>
      </c>
      <c r="B3" s="0" t="s">
        <v>99</v>
      </c>
      <c r="C3" s="2" t="s">
        <v>104</v>
      </c>
      <c r="D3" s="2" t="s">
        <v>105</v>
      </c>
      <c r="E3" s="2" t="s">
        <v>106</v>
      </c>
      <c r="F3" s="2" t="s">
        <v>107</v>
      </c>
      <c r="G3" s="2" t="s">
        <v>108</v>
      </c>
      <c r="H3" s="2" t="s">
        <v>109</v>
      </c>
      <c r="I3" s="2" t="s">
        <v>110</v>
      </c>
      <c r="J3" s="2" t="s">
        <v>111</v>
      </c>
      <c r="K3" s="2" t="s">
        <v>112</v>
      </c>
      <c r="L3" s="2" t="s">
        <v>113</v>
      </c>
    </row>
    <row r="4" customFormat="false" ht="15" hidden="false" customHeight="false" outlineLevel="0" collapsed="false">
      <c r="A4" s="0" t="s">
        <v>130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114</v>
      </c>
      <c r="C5" s="4" t="n">
        <f aca="false">Assumptions!C13</f>
        <v>1</v>
      </c>
      <c r="D5" s="4" t="n">
        <f aca="false">Assumptions!D13</f>
        <v>1</v>
      </c>
      <c r="E5" s="4" t="n">
        <f aca="false">Assumptions!E13</f>
        <v>1.5</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702400</v>
      </c>
      <c r="C6" s="0" t="n">
        <f aca="false">B6*(1+C5/100)</f>
        <v>709424</v>
      </c>
      <c r="D6" s="0" t="n">
        <f aca="false">C6*(1+D5/100)</f>
        <v>716518.24</v>
      </c>
      <c r="E6" s="0" t="n">
        <f aca="false">D6*(1+E5/100)</f>
        <v>727266.0136</v>
      </c>
      <c r="F6" s="0" t="n">
        <f aca="false">E6*(1+F5/100)</f>
        <v>741811.333872</v>
      </c>
      <c r="G6" s="0" t="n">
        <f aca="false">F6*(1+G5/100)</f>
        <v>756647.56054944</v>
      </c>
      <c r="H6" s="0" t="n">
        <f aca="false">G6*(1+H5/100)</f>
        <v>771780.511760429</v>
      </c>
      <c r="I6" s="0" t="n">
        <f aca="false">H6*(1+I5/100)</f>
        <v>787216.121995637</v>
      </c>
      <c r="J6" s="0" t="n">
        <f aca="false">I6*(1+J5/100)</f>
        <v>802960.44443555</v>
      </c>
      <c r="K6" s="0" t="n">
        <f aca="false">J6*(1+K5/100)</f>
        <v>819019.653324261</v>
      </c>
      <c r="L6" s="0" t="n">
        <f aca="false">K6*(1+L5/100)</f>
        <v>835400.046390747</v>
      </c>
    </row>
    <row r="7" customFormat="false" ht="15" hidden="false" customHeight="false" outlineLevel="0" collapsed="false">
      <c r="A7" s="0" t="s">
        <v>115</v>
      </c>
      <c r="C7" s="4" t="n">
        <f aca="false">Assumptions!C14</f>
        <v>43.5</v>
      </c>
      <c r="D7" s="4" t="n">
        <f aca="false">Assumptions!D14</f>
        <v>42</v>
      </c>
      <c r="E7" s="4" t="n">
        <f aca="false">Assumptions!E14</f>
        <v>41</v>
      </c>
      <c r="F7" s="4" t="n">
        <f aca="false">Assumptions!F14</f>
        <v>41</v>
      </c>
      <c r="G7" s="4" t="n">
        <f aca="false">Assumptions!G14</f>
        <v>41</v>
      </c>
      <c r="H7" s="4" t="n">
        <f aca="false">Assumptions!H14</f>
        <v>41</v>
      </c>
      <c r="I7" s="4" t="n">
        <f aca="false">Assumptions!I14</f>
        <v>41</v>
      </c>
      <c r="J7" s="4" t="n">
        <f aca="false">Assumptions!J14</f>
        <v>41</v>
      </c>
      <c r="K7" s="4" t="n">
        <f aca="false">Assumptions!K14</f>
        <v>41</v>
      </c>
      <c r="L7" s="4" t="n">
        <f aca="false">Assumptions!L14</f>
        <v>41</v>
      </c>
    </row>
    <row r="8" customFormat="false" ht="15" hidden="false" customHeight="false" outlineLevel="0" collapsed="false">
      <c r="A8" s="0" t="s">
        <v>44</v>
      </c>
      <c r="C8" s="0" t="n">
        <f aca="false">C6*C7/100</f>
        <v>308599.44</v>
      </c>
      <c r="D8" s="0" t="n">
        <f aca="false">D6*D7/100</f>
        <v>300937.6608</v>
      </c>
      <c r="E8" s="0" t="n">
        <f aca="false">E6*E7/100</f>
        <v>298179.065576</v>
      </c>
      <c r="F8" s="0" t="n">
        <f aca="false">F6*F7/100</f>
        <v>304142.64688752</v>
      </c>
      <c r="G8" s="0" t="n">
        <f aca="false">G6*G7/100</f>
        <v>310225.49982527</v>
      </c>
      <c r="H8" s="0" t="n">
        <f aca="false">H6*H7/100</f>
        <v>316430.009821776</v>
      </c>
      <c r="I8" s="0" t="n">
        <f aca="false">I6*I7/100</f>
        <v>322758.610018211</v>
      </c>
      <c r="J8" s="0" t="n">
        <f aca="false">J6*J7/100</f>
        <v>329213.782218576</v>
      </c>
      <c r="K8" s="0" t="n">
        <f aca="false">K6*K7/100</f>
        <v>335798.057862947</v>
      </c>
      <c r="L8" s="0" t="n">
        <f aca="false">L6*L7/100</f>
        <v>342514.019020206</v>
      </c>
    </row>
    <row r="9" customFormat="false" ht="15" hidden="false" customHeight="false" outlineLevel="0" collapsed="false">
      <c r="A9" s="0" t="s">
        <v>116</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131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132</v>
      </c>
      <c r="C11" s="0" t="n">
        <f aca="false">C8+C10+C24</f>
        <v>308599.44</v>
      </c>
      <c r="D11" s="0" t="n">
        <f aca="false">D8+D10+D24</f>
        <v>300937.6608</v>
      </c>
      <c r="E11" s="0" t="n">
        <f aca="false">E8+E10+E24</f>
        <v>298179.065576</v>
      </c>
      <c r="F11" s="0" t="n">
        <f aca="false">F8+F10+F24</f>
        <v>304142.64688752</v>
      </c>
      <c r="G11" s="0" t="n">
        <f aca="false">G8+G10+G24</f>
        <v>310225.49982527</v>
      </c>
      <c r="H11" s="0" t="n">
        <f aca="false">H8+H10+H24</f>
        <v>316430.009821776</v>
      </c>
      <c r="I11" s="0" t="n">
        <f aca="false">I8+I10+I24</f>
        <v>322758.610018211</v>
      </c>
      <c r="J11" s="0" t="n">
        <f aca="false">J8+J10+J24</f>
        <v>329213.782218576</v>
      </c>
      <c r="K11" s="0" t="n">
        <f aca="false">K8+K10+K24</f>
        <v>335798.057862947</v>
      </c>
      <c r="L11" s="0" t="n">
        <f aca="false">L8+L10+L24</f>
        <v>342514.019020206</v>
      </c>
    </row>
    <row r="12" customFormat="false" ht="15" hidden="false" customHeight="false" outlineLevel="0" collapsed="false">
      <c r="A12" s="0" t="s">
        <v>133</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134</v>
      </c>
      <c r="C13" s="0" t="n">
        <f aca="false">C11+C12</f>
        <v>308599.44</v>
      </c>
      <c r="D13" s="0" t="n">
        <f aca="false">D11+D12</f>
        <v>300937.6608</v>
      </c>
      <c r="E13" s="0" t="n">
        <f aca="false">E11+E12</f>
        <v>298179.065576</v>
      </c>
      <c r="F13" s="0" t="n">
        <f aca="false">F11+F12</f>
        <v>304142.64688752</v>
      </c>
      <c r="G13" s="0" t="n">
        <f aca="false">G11+G12</f>
        <v>310225.49982527</v>
      </c>
      <c r="H13" s="0" t="n">
        <f aca="false">H11+H12</f>
        <v>316430.009821776</v>
      </c>
      <c r="I13" s="0" t="n">
        <f aca="false">I11+I12</f>
        <v>322758.610018211</v>
      </c>
      <c r="J13" s="0" t="n">
        <f aca="false">J11+J12</f>
        <v>329213.782218576</v>
      </c>
      <c r="K13" s="0" t="n">
        <f aca="false">K11+K12</f>
        <v>335798.057862947</v>
      </c>
      <c r="L13" s="0" t="n">
        <f aca="false">L11+L12</f>
        <v>342514.019020206</v>
      </c>
    </row>
    <row r="14" customFormat="false" ht="15" hidden="false" customHeight="false" outlineLevel="0" collapsed="false">
      <c r="A14" s="0" t="s">
        <v>120</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135</v>
      </c>
      <c r="C15" s="0" t="n">
        <f aca="false">C13-MAX(0,C13)*C14/100</f>
        <v>231449.58</v>
      </c>
      <c r="D15" s="0" t="n">
        <f aca="false">D13-MAX(0,D13)*D14/100</f>
        <v>225703.2456</v>
      </c>
      <c r="E15" s="0" t="n">
        <f aca="false">E13-MAX(0,E13)*E14/100</f>
        <v>223634.299182</v>
      </c>
      <c r="F15" s="0" t="n">
        <f aca="false">F13-MAX(0,F13)*F14/100</f>
        <v>228106.98516564</v>
      </c>
      <c r="G15" s="0" t="n">
        <f aca="false">G13-MAX(0,G13)*G14/100</f>
        <v>232669.124868953</v>
      </c>
      <c r="H15" s="0" t="n">
        <f aca="false">H13-MAX(0,H13)*H14/100</f>
        <v>237322.507366332</v>
      </c>
      <c r="I15" s="0" t="n">
        <f aca="false">I13-MAX(0,I13)*I14/100</f>
        <v>242068.957513659</v>
      </c>
      <c r="J15" s="0" t="n">
        <f aca="false">J13-MAX(0,J13)*J14/100</f>
        <v>246910.336663932</v>
      </c>
      <c r="K15" s="0" t="n">
        <f aca="false">K13-MAX(0,K13)*K14/100</f>
        <v>251848.54339721</v>
      </c>
      <c r="L15" s="0" t="n">
        <f aca="false">L13-MAX(0,L13)*L14/100</f>
        <v>256885.514265155</v>
      </c>
    </row>
    <row r="16" customFormat="false" ht="15" hidden="false" customHeight="false" outlineLevel="0" collapsed="false">
      <c r="A16" s="0" t="s">
        <v>136</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137</v>
      </c>
      <c r="C17" s="4" t="n">
        <f aca="false">-C6*Assumptions!C18/100</f>
        <v>-212117.776</v>
      </c>
      <c r="D17" s="4" t="n">
        <f aca="false">-D6*Assumptions!D18/100</f>
        <v>-208650.111488</v>
      </c>
      <c r="E17" s="4" t="n">
        <f aca="false">-E6*Assumptions!E18/100</f>
        <v>-191343.68817816</v>
      </c>
      <c r="F17" s="4" t="n">
        <f aca="false">-F6*Assumptions!F18/100</f>
        <v>-169058.802989429</v>
      </c>
      <c r="G17" s="4" t="n">
        <f aca="false">-G6*Assumptions!G18/100</f>
        <v>-142022.74711513</v>
      </c>
      <c r="H17" s="4" t="n">
        <f aca="false">-H6*Assumptions!H18/100</f>
        <v>-147641.61189977</v>
      </c>
      <c r="I17" s="4" t="n">
        <f aca="false">-I6*Assumptions!I18/100</f>
        <v>-134377.792024655</v>
      </c>
      <c r="J17" s="4" t="n">
        <f aca="false">-J6*Assumptions!J18/100</f>
        <v>-119239.625998679</v>
      </c>
      <c r="K17" s="4" t="n">
        <f aca="false">-K6*Assumptions!K18/100</f>
        <v>-122771.046033307</v>
      </c>
      <c r="L17" s="4" t="n">
        <f aca="false">-L6*Assumptions!L18/100</f>
        <v>-126479.567023559</v>
      </c>
    </row>
    <row r="18" customFormat="false" ht="15" hidden="false" customHeight="false" outlineLevel="0" collapsed="false">
      <c r="A18" s="0" t="s">
        <v>138</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139</v>
      </c>
      <c r="C19" s="0" t="n">
        <f aca="false">C15+C16+C17+C18</f>
        <v>19331.804</v>
      </c>
      <c r="D19" s="0" t="n">
        <f aca="false">D15+D16+D17+D18</f>
        <v>17053.134112</v>
      </c>
      <c r="E19" s="0" t="n">
        <f aca="false">E15+E16+E17+E18</f>
        <v>32290.61100384</v>
      </c>
      <c r="F19" s="0" t="n">
        <f aca="false">F15+F16+F17+F18</f>
        <v>59048.1821762112</v>
      </c>
      <c r="G19" s="0" t="n">
        <f aca="false">G15+G16+G17+G18</f>
        <v>90646.3777538229</v>
      </c>
      <c r="H19" s="0" t="n">
        <f aca="false">H15+H16+H17+H18</f>
        <v>89680.8954665619</v>
      </c>
      <c r="I19" s="0" t="n">
        <f aca="false">I15+I16+I17+I18</f>
        <v>107691.165489003</v>
      </c>
      <c r="J19" s="0" t="n">
        <f aca="false">J15+J16+J17+J18</f>
        <v>127670.710665252</v>
      </c>
      <c r="K19" s="0" t="n">
        <f aca="false">K15+K16+K17+K18</f>
        <v>129077.497363904</v>
      </c>
      <c r="L19" s="0" t="n">
        <f aca="false">L15+L16+L17+L18</f>
        <v>130405.947241596</v>
      </c>
    </row>
    <row r="20" customFormat="false" ht="15" hidden="false" customHeight="false" outlineLevel="0" collapsed="false">
      <c r="A20" s="0" t="s">
        <v>140</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141</v>
      </c>
      <c r="C21" s="0" t="n">
        <f aca="false">C19*C20</f>
        <v>17654.6155251142</v>
      </c>
      <c r="D21" s="0" t="n">
        <f aca="false">D19*D20</f>
        <v>14222.5008752945</v>
      </c>
      <c r="E21" s="0" t="n">
        <f aca="false">E19*E20</f>
        <v>24594.2682339904</v>
      </c>
      <c r="F21" s="0" t="n">
        <f aca="false">F19*F20</f>
        <v>41072.3975987113</v>
      </c>
      <c r="G21" s="0" t="n">
        <f aca="false">G19*G20</f>
        <v>57581.0869068186</v>
      </c>
      <c r="H21" s="0" t="n">
        <f aca="false">H19*H20</f>
        <v>52025.3752032975</v>
      </c>
      <c r="I21" s="0" t="n">
        <f aca="false">I19*I20</f>
        <v>57053.3622110149</v>
      </c>
      <c r="J21" s="0" t="n">
        <f aca="false">J19*J20</f>
        <v>61770.1025620336</v>
      </c>
      <c r="K21" s="0" t="n">
        <f aca="false">K19*K20</f>
        <v>57032.6385057984</v>
      </c>
      <c r="L21" s="0" t="n">
        <f aca="false">L19*L20</f>
        <v>52620.6497471793</v>
      </c>
    </row>
    <row r="23" customFormat="false" ht="15" hidden="false" customHeight="false" outlineLevel="0" collapsed="false">
      <c r="A23" s="0" t="s">
        <v>117</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142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143</v>
      </c>
    </row>
    <row r="27" customFormat="false" ht="15" hidden="false" customHeight="false" outlineLevel="0" collapsed="false">
      <c r="A27" s="0" t="s">
        <v>121</v>
      </c>
      <c r="B27" s="4" t="n">
        <f aca="false">Assumptions!$B$20</f>
        <v>9.5</v>
      </c>
    </row>
    <row r="28" customFormat="false" ht="15" hidden="false" customHeight="false" outlineLevel="0" collapsed="false">
      <c r="A28" s="0" t="s">
        <v>122</v>
      </c>
      <c r="B28" s="4" t="n">
        <f aca="false">Assumptions!$B$21</f>
        <v>2.5</v>
      </c>
    </row>
    <row r="29" customFormat="false" ht="15" hidden="false" customHeight="false" outlineLevel="0" collapsed="false">
      <c r="A29" s="0" t="s">
        <v>123</v>
      </c>
      <c r="B29" s="4" t="n">
        <f aca="false">Assumptions!$B$22</f>
        <v>18</v>
      </c>
    </row>
    <row r="30" customFormat="false" ht="15" hidden="false" customHeight="false" outlineLevel="0" collapsed="false">
      <c r="A30" s="0" t="s">
        <v>144</v>
      </c>
      <c r="B30" s="0" t="n">
        <f aca="false">SUM(C21:L21)</f>
        <v>435626.997369253</v>
      </c>
    </row>
    <row r="31" customFormat="false" ht="15" hidden="false" customHeight="false" outlineLevel="0" collapsed="false">
      <c r="A31" s="0" t="s">
        <v>145</v>
      </c>
      <c r="B31" s="0" t="n">
        <f aca="false">L19</f>
        <v>130405.947241596</v>
      </c>
    </row>
    <row r="32" customFormat="false" ht="15" hidden="false" customHeight="false" outlineLevel="0" collapsed="false">
      <c r="A32" s="0" t="s">
        <v>146</v>
      </c>
      <c r="B32" s="0" t="n">
        <f aca="false">IF(B27&gt;B28,B31*(1+B28/100)/((B27-B28)/100),B31*B29)</f>
        <v>1909515.65603765</v>
      </c>
    </row>
    <row r="33" customFormat="false" ht="15" hidden="false" customHeight="false" outlineLevel="0" collapsed="false">
      <c r="A33" s="0" t="s">
        <v>147</v>
      </c>
      <c r="B33" s="0" t="n">
        <f aca="false">B31*B29</f>
        <v>2347307.05034872</v>
      </c>
    </row>
    <row r="34" customFormat="false" ht="15" hidden="false" customHeight="false" outlineLevel="0" collapsed="false">
      <c r="A34" s="0" t="s">
        <v>148</v>
      </c>
      <c r="B34" s="0" t="n">
        <f aca="false">MAX(0,MIN(B32,B33))</f>
        <v>1909515.65603765</v>
      </c>
    </row>
    <row r="35" customFormat="false" ht="15" hidden="false" customHeight="false" outlineLevel="0" collapsed="false">
      <c r="A35" s="0" t="s">
        <v>149</v>
      </c>
      <c r="B35" s="0" t="n">
        <f aca="false">B34/(1+B27/100)^L4</f>
        <v>770516.657012269</v>
      </c>
    </row>
    <row r="36" customFormat="false" ht="15" hidden="false" customHeight="false" outlineLevel="0" collapsed="false">
      <c r="A36" s="0" t="s">
        <v>150</v>
      </c>
      <c r="B36" s="0" t="n">
        <f aca="false">B30+B35</f>
        <v>1206143.65438152</v>
      </c>
    </row>
    <row r="37" customFormat="false" ht="15" hidden="false" customHeight="false" outlineLevel="0" collapsed="false">
      <c r="A37" s="0" t="s">
        <v>151</v>
      </c>
      <c r="B37" s="0" t="n">
        <f aca="false">B36+Assumptions!$B$5-Assumptions!$B$4</f>
        <v>1206143.65438152</v>
      </c>
    </row>
    <row r="38" customFormat="false" ht="15" hidden="false" customHeight="false" outlineLevel="0" collapsed="false">
      <c r="A38" s="0" t="s">
        <v>152</v>
      </c>
      <c r="B38" s="0" t="n">
        <f aca="false">B37/Assumptions!$B$3*Assumptions!$B$10</f>
        <v>4.39877909036202</v>
      </c>
    </row>
    <row r="39" customFormat="false" ht="15" hidden="false" customHeight="false" outlineLevel="0" collapsed="false">
      <c r="A39" s="0" t="s">
        <v>153</v>
      </c>
      <c r="B39" s="4" t="n">
        <f aca="false">B38/Assumptions!$B$2-1</f>
        <v>-0.261330127563054</v>
      </c>
    </row>
    <row r="41" customFormat="false" ht="15" hidden="false" customHeight="false" outlineLevel="0" collapsed="false">
      <c r="A41" s="0" t="s">
        <v>154</v>
      </c>
      <c r="B41" s="0" t="n">
        <f aca="false">SUMPRODUCT(-C10:L10/(1+$B$27/100)^C4:L4)</f>
        <v>0</v>
      </c>
    </row>
    <row r="42" customFormat="false" ht="15" hidden="false" customHeight="false" outlineLevel="0" collapsed="false">
      <c r="A42" s="0" t="s">
        <v>155</v>
      </c>
      <c r="B42" s="0" t="n">
        <f aca="false">IF(B27&gt;B28,-L10*(1+B28/100)/((B27-B28)/100),-L10*20)/(1+B27/100)^L4</f>
        <v>0</v>
      </c>
    </row>
    <row r="43" customFormat="false" ht="15" hidden="false" customHeight="false" outlineLevel="0" collapsed="false">
      <c r="A43" s="0" t="s">
        <v>156</v>
      </c>
      <c r="B43" s="0" t="n">
        <f aca="false">(B37+B41+B42)/Assumptions!$B$3*Assumptions!$B$10</f>
        <v>4.39877909036202</v>
      </c>
    </row>
    <row r="45" customFormat="false" ht="15" hidden="false" customHeight="false" outlineLevel="0" collapsed="false">
      <c r="A45" s="0" t="s">
        <v>96</v>
      </c>
      <c r="B45" s="4" t="n">
        <f aca="false">Assumptions!$B$6</f>
        <v>15</v>
      </c>
    </row>
    <row r="46" customFormat="false" ht="15" hidden="false" customHeight="false" outlineLevel="0" collapsed="false">
      <c r="A46" s="0" t="s">
        <v>157</v>
      </c>
      <c r="B46" s="0" t="n">
        <f aca="false">MAX(0,MIN(IF(B45&gt;B28,B31*(1+B28/100)/((B45-B28)/100),B31*B29),B31*B29))</f>
        <v>1069328.76738108</v>
      </c>
    </row>
    <row r="47" customFormat="false" ht="15" hidden="false" customHeight="false" outlineLevel="0" collapsed="false">
      <c r="A47" s="0" t="s">
        <v>158</v>
      </c>
      <c r="B47" s="0" t="n">
        <f aca="false">(SUMPRODUCT(C19:L19/(1+B45/100)^C4:L4)+B46/(1+B45/100)^L4+Assumptions!$B$5-Assumptions!$B$4)/Assumptions!$B$3*Assumptions!$B$10</f>
        <v>2.12985362914854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159</v>
      </c>
    </row>
    <row r="3" customFormat="false" ht="15" hidden="false" customHeight="false" outlineLevel="0" collapsed="false">
      <c r="A3" s="0" t="s">
        <v>129</v>
      </c>
      <c r="B3" s="0" t="s">
        <v>99</v>
      </c>
      <c r="C3" s="2" t="s">
        <v>104</v>
      </c>
      <c r="D3" s="2" t="s">
        <v>105</v>
      </c>
      <c r="E3" s="2" t="s">
        <v>106</v>
      </c>
      <c r="F3" s="2" t="s">
        <v>107</v>
      </c>
      <c r="G3" s="2" t="s">
        <v>108</v>
      </c>
      <c r="H3" s="2" t="s">
        <v>109</v>
      </c>
      <c r="I3" s="2" t="s">
        <v>110</v>
      </c>
      <c r="J3" s="2" t="s">
        <v>111</v>
      </c>
      <c r="K3" s="2" t="s">
        <v>112</v>
      </c>
      <c r="L3" s="2" t="s">
        <v>113</v>
      </c>
    </row>
    <row r="4" customFormat="false" ht="15" hidden="false" customHeight="false" outlineLevel="0" collapsed="false">
      <c r="A4" s="0" t="s">
        <v>130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114</v>
      </c>
      <c r="C5" s="4" t="n">
        <f aca="false">Assumptions!C27</f>
        <v>4</v>
      </c>
      <c r="D5" s="4" t="n">
        <f aca="false">Assumptions!D27</f>
        <v>4</v>
      </c>
      <c r="E5" s="4" t="n">
        <f aca="false">Assumptions!E27</f>
        <v>3.5</v>
      </c>
      <c r="F5" s="4" t="n">
        <f aca="false">Assumptions!F27</f>
        <v>3.5</v>
      </c>
      <c r="G5" s="4" t="n">
        <f aca="false">Assumptions!G27</f>
        <v>3</v>
      </c>
      <c r="H5" s="4" t="n">
        <f aca="false">Assumptions!H27</f>
        <v>3</v>
      </c>
      <c r="I5" s="4" t="n">
        <f aca="false">Assumptions!I27</f>
        <v>3</v>
      </c>
      <c r="J5" s="4" t="n">
        <f aca="false">Assumptions!J27</f>
        <v>3</v>
      </c>
      <c r="K5" s="4" t="n">
        <f aca="false">Assumptions!K27</f>
        <v>3</v>
      </c>
      <c r="L5" s="4" t="n">
        <f aca="false">Assumptions!L27</f>
        <v>3</v>
      </c>
    </row>
    <row r="6" customFormat="false" ht="15" hidden="false" customHeight="false" outlineLevel="0" collapsed="false">
      <c r="A6" s="0" t="s">
        <v>38</v>
      </c>
      <c r="B6" s="3" t="n">
        <v>702400</v>
      </c>
      <c r="C6" s="0" t="n">
        <f aca="false">B6*(1+C5/100)</f>
        <v>730496</v>
      </c>
      <c r="D6" s="0" t="n">
        <f aca="false">C6*(1+D5/100)</f>
        <v>759715.84</v>
      </c>
      <c r="E6" s="0" t="n">
        <f aca="false">D6*(1+E5/100)</f>
        <v>786305.8944</v>
      </c>
      <c r="F6" s="0" t="n">
        <f aca="false">E6*(1+F5/100)</f>
        <v>813826.600704</v>
      </c>
      <c r="G6" s="0" t="n">
        <f aca="false">F6*(1+G5/100)</f>
        <v>838241.39872512</v>
      </c>
      <c r="H6" s="0" t="n">
        <f aca="false">G6*(1+H5/100)</f>
        <v>863388.640686874</v>
      </c>
      <c r="I6" s="0" t="n">
        <f aca="false">H6*(1+I5/100)</f>
        <v>889290.29990748</v>
      </c>
      <c r="J6" s="0" t="n">
        <f aca="false">I6*(1+J5/100)</f>
        <v>915969.008904704</v>
      </c>
      <c r="K6" s="0" t="n">
        <f aca="false">J6*(1+K5/100)</f>
        <v>943448.079171845</v>
      </c>
      <c r="L6" s="0" t="n">
        <f aca="false">K6*(1+L5/100)</f>
        <v>971751.521547001</v>
      </c>
    </row>
    <row r="7" customFormat="false" ht="15" hidden="false" customHeight="false" outlineLevel="0" collapsed="false">
      <c r="A7" s="0" t="s">
        <v>115</v>
      </c>
      <c r="C7" s="4" t="n">
        <f aca="false">Assumptions!C28</f>
        <v>45</v>
      </c>
      <c r="D7" s="4" t="n">
        <f aca="false">Assumptions!D28</f>
        <v>44.5</v>
      </c>
      <c r="E7" s="4" t="n">
        <f aca="false">Assumptions!E28</f>
        <v>44</v>
      </c>
      <c r="F7" s="4" t="n">
        <f aca="false">Assumptions!F28</f>
        <v>44</v>
      </c>
      <c r="G7" s="4" t="n">
        <f aca="false">Assumptions!G28</f>
        <v>44</v>
      </c>
      <c r="H7" s="4" t="n">
        <f aca="false">Assumptions!H28</f>
        <v>44</v>
      </c>
      <c r="I7" s="4" t="n">
        <f aca="false">Assumptions!I28</f>
        <v>44</v>
      </c>
      <c r="J7" s="4" t="n">
        <f aca="false">Assumptions!J28</f>
        <v>44</v>
      </c>
      <c r="K7" s="4" t="n">
        <f aca="false">Assumptions!K28</f>
        <v>44</v>
      </c>
      <c r="L7" s="4" t="n">
        <f aca="false">Assumptions!L28</f>
        <v>44</v>
      </c>
    </row>
    <row r="8" customFormat="false" ht="15" hidden="false" customHeight="false" outlineLevel="0" collapsed="false">
      <c r="A8" s="0" t="s">
        <v>44</v>
      </c>
      <c r="C8" s="0" t="n">
        <f aca="false">C6*C7/100</f>
        <v>328723.2</v>
      </c>
      <c r="D8" s="0" t="n">
        <f aca="false">D6*D7/100</f>
        <v>338073.5488</v>
      </c>
      <c r="E8" s="0" t="n">
        <f aca="false">E6*E7/100</f>
        <v>345974.593536</v>
      </c>
      <c r="F8" s="0" t="n">
        <f aca="false">F6*F7/100</f>
        <v>358083.70430976</v>
      </c>
      <c r="G8" s="0" t="n">
        <f aca="false">G6*G7/100</f>
        <v>368826.215439053</v>
      </c>
      <c r="H8" s="0" t="n">
        <f aca="false">H6*H7/100</f>
        <v>379891.001902224</v>
      </c>
      <c r="I8" s="0" t="n">
        <f aca="false">I6*I7/100</f>
        <v>391287.731959291</v>
      </c>
      <c r="J8" s="0" t="n">
        <f aca="false">J6*J7/100</f>
        <v>403026.36391807</v>
      </c>
      <c r="K8" s="0" t="n">
        <f aca="false">K6*K7/100</f>
        <v>415117.154835612</v>
      </c>
      <c r="L8" s="0" t="n">
        <f aca="false">L6*L7/100</f>
        <v>427570.66948068</v>
      </c>
    </row>
    <row r="9" customFormat="false" ht="15" hidden="false" customHeight="false" outlineLevel="0" collapsed="false">
      <c r="A9" s="0" t="s">
        <v>116</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131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132</v>
      </c>
      <c r="C11" s="0" t="n">
        <f aca="false">C8+C10+C24</f>
        <v>328723.2</v>
      </c>
      <c r="D11" s="0" t="n">
        <f aca="false">D8+D10+D24</f>
        <v>338073.5488</v>
      </c>
      <c r="E11" s="0" t="n">
        <f aca="false">E8+E10+E24</f>
        <v>345974.593536</v>
      </c>
      <c r="F11" s="0" t="n">
        <f aca="false">F8+F10+F24</f>
        <v>358083.70430976</v>
      </c>
      <c r="G11" s="0" t="n">
        <f aca="false">G8+G10+G24</f>
        <v>368826.215439053</v>
      </c>
      <c r="H11" s="0" t="n">
        <f aca="false">H8+H10+H24</f>
        <v>379891.001902224</v>
      </c>
      <c r="I11" s="0" t="n">
        <f aca="false">I8+I10+I24</f>
        <v>391287.731959291</v>
      </c>
      <c r="J11" s="0" t="n">
        <f aca="false">J8+J10+J24</f>
        <v>403026.36391807</v>
      </c>
      <c r="K11" s="0" t="n">
        <f aca="false">K8+K10+K24</f>
        <v>415117.154835612</v>
      </c>
      <c r="L11" s="0" t="n">
        <f aca="false">L8+L10+L24</f>
        <v>427570.66948068</v>
      </c>
    </row>
    <row r="12" customFormat="false" ht="15" hidden="false" customHeight="false" outlineLevel="0" collapsed="false">
      <c r="A12" s="0" t="s">
        <v>133</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134</v>
      </c>
      <c r="C13" s="0" t="n">
        <f aca="false">C11+C12</f>
        <v>328723.2</v>
      </c>
      <c r="D13" s="0" t="n">
        <f aca="false">D11+D12</f>
        <v>338073.5488</v>
      </c>
      <c r="E13" s="0" t="n">
        <f aca="false">E11+E12</f>
        <v>345974.593536</v>
      </c>
      <c r="F13" s="0" t="n">
        <f aca="false">F11+F12</f>
        <v>358083.70430976</v>
      </c>
      <c r="G13" s="0" t="n">
        <f aca="false">G11+G12</f>
        <v>368826.215439053</v>
      </c>
      <c r="H13" s="0" t="n">
        <f aca="false">H11+H12</f>
        <v>379891.001902224</v>
      </c>
      <c r="I13" s="0" t="n">
        <f aca="false">I11+I12</f>
        <v>391287.731959291</v>
      </c>
      <c r="J13" s="0" t="n">
        <f aca="false">J11+J12</f>
        <v>403026.36391807</v>
      </c>
      <c r="K13" s="0" t="n">
        <f aca="false">K11+K12</f>
        <v>415117.154835612</v>
      </c>
      <c r="L13" s="0" t="n">
        <f aca="false">L11+L12</f>
        <v>427570.66948068</v>
      </c>
    </row>
    <row r="14" customFormat="false" ht="15" hidden="false" customHeight="false" outlineLevel="0" collapsed="false">
      <c r="A14" s="0" t="s">
        <v>120</v>
      </c>
      <c r="C14" s="4" t="n">
        <f aca="false">Assumptions!C33</f>
        <v>24.5</v>
      </c>
      <c r="D14" s="4" t="n">
        <f aca="false">Assumptions!D33</f>
        <v>24.5</v>
      </c>
      <c r="E14" s="4" t="n">
        <f aca="false">Assumptions!E33</f>
        <v>24.5</v>
      </c>
      <c r="F14" s="4" t="n">
        <f aca="false">Assumptions!F33</f>
        <v>24.5</v>
      </c>
      <c r="G14" s="4" t="n">
        <f aca="false">Assumptions!G33</f>
        <v>24.5</v>
      </c>
      <c r="H14" s="4" t="n">
        <f aca="false">Assumptions!H33</f>
        <v>24.5</v>
      </c>
      <c r="I14" s="4" t="n">
        <f aca="false">Assumptions!I33</f>
        <v>24.5</v>
      </c>
      <c r="J14" s="4" t="n">
        <f aca="false">Assumptions!J33</f>
        <v>24.5</v>
      </c>
      <c r="K14" s="4" t="n">
        <f aca="false">Assumptions!K33</f>
        <v>24.5</v>
      </c>
      <c r="L14" s="4" t="n">
        <f aca="false">Assumptions!L33</f>
        <v>24.5</v>
      </c>
    </row>
    <row r="15" customFormat="false" ht="15" hidden="false" customHeight="false" outlineLevel="0" collapsed="false">
      <c r="A15" s="0" t="s">
        <v>135</v>
      </c>
      <c r="C15" s="0" t="n">
        <f aca="false">C13-MAX(0,C13)*C14/100</f>
        <v>248186.016</v>
      </c>
      <c r="D15" s="0" t="n">
        <f aca="false">D13-MAX(0,D13)*D14/100</f>
        <v>255245.529344</v>
      </c>
      <c r="E15" s="0" t="n">
        <f aca="false">E13-MAX(0,E13)*E14/100</f>
        <v>261210.81811968</v>
      </c>
      <c r="F15" s="0" t="n">
        <f aca="false">F13-MAX(0,F13)*F14/100</f>
        <v>270353.196753869</v>
      </c>
      <c r="G15" s="0" t="n">
        <f aca="false">G13-MAX(0,G13)*G14/100</f>
        <v>278463.792656485</v>
      </c>
      <c r="H15" s="0" t="n">
        <f aca="false">H13-MAX(0,H13)*H14/100</f>
        <v>286817.706436179</v>
      </c>
      <c r="I15" s="0" t="n">
        <f aca="false">I13-MAX(0,I13)*I14/100</f>
        <v>295422.237629265</v>
      </c>
      <c r="J15" s="0" t="n">
        <f aca="false">J13-MAX(0,J13)*J14/100</f>
        <v>304284.904758143</v>
      </c>
      <c r="K15" s="0" t="n">
        <f aca="false">K13-MAX(0,K13)*K14/100</f>
        <v>313413.451900887</v>
      </c>
      <c r="L15" s="0" t="n">
        <f aca="false">L13-MAX(0,L13)*L14/100</f>
        <v>322815.855457914</v>
      </c>
    </row>
    <row r="16" customFormat="false" ht="15" hidden="false" customHeight="false" outlineLevel="0" collapsed="false">
      <c r="A16" s="0" t="s">
        <v>136</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137</v>
      </c>
      <c r="C17" s="4" t="n">
        <f aca="false">-C6*Assumptions!C32/100</f>
        <v>-159905.5744</v>
      </c>
      <c r="D17" s="4" t="n">
        <f aca="false">-D6*Assumptions!D32/100</f>
        <v>-164174.593024</v>
      </c>
      <c r="E17" s="4" t="n">
        <f aca="false">-E6*Assumptions!E32/100</f>
        <v>-157811.59300608</v>
      </c>
      <c r="F17" s="4" t="n">
        <f aca="false">-F6*Assumptions!F32/100</f>
        <v>-149499.946549325</v>
      </c>
      <c r="G17" s="4" t="n">
        <f aca="false">-G6*Assumptions!G32/100</f>
        <v>-139231.896328242</v>
      </c>
      <c r="H17" s="4" t="n">
        <f aca="false">-H6*Assumptions!H32/100</f>
        <v>-159295.204206728</v>
      </c>
      <c r="I17" s="4" t="n">
        <f aca="false">-I6*Assumptions!I32/100</f>
        <v>-147977.905904605</v>
      </c>
      <c r="J17" s="4" t="n">
        <f aca="false">-J6*Assumptions!J32/100</f>
        <v>-134647.444308992</v>
      </c>
      <c r="K17" s="4" t="n">
        <f aca="false">-K6*Assumptions!K32/100</f>
        <v>-139347.281293682</v>
      </c>
      <c r="L17" s="4" t="n">
        <f aca="false">-L6*Assumptions!L32/100</f>
        <v>-144207.925797575</v>
      </c>
    </row>
    <row r="18" customFormat="false" ht="15" hidden="false" customHeight="false" outlineLevel="0" collapsed="false">
      <c r="A18" s="0" t="s">
        <v>138</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139</v>
      </c>
      <c r="C19" s="0" t="n">
        <f aca="false">C15+C16+C17+C18</f>
        <v>88280.4416</v>
      </c>
      <c r="D19" s="0" t="n">
        <f aca="false">D15+D16+D17+D18</f>
        <v>91070.93632</v>
      </c>
      <c r="E19" s="0" t="n">
        <f aca="false">E15+E16+E17+E18</f>
        <v>103399.2251136</v>
      </c>
      <c r="F19" s="0" t="n">
        <f aca="false">F15+F16+F17+F18</f>
        <v>120853.250204544</v>
      </c>
      <c r="G19" s="0" t="n">
        <f aca="false">G15+G16+G17+G18</f>
        <v>139231.896328242</v>
      </c>
      <c r="H19" s="0" t="n">
        <f aca="false">H15+H16+H17+H18</f>
        <v>127522.502229451</v>
      </c>
      <c r="I19" s="0" t="n">
        <f aca="false">I15+I16+I17+I18</f>
        <v>147444.33172466</v>
      </c>
      <c r="J19" s="0" t="n">
        <f aca="false">J15+J16+J17+J18</f>
        <v>169637.460449151</v>
      </c>
      <c r="K19" s="0" t="n">
        <f aca="false">K15+K16+K17+K18</f>
        <v>174066.170607205</v>
      </c>
      <c r="L19" s="0" t="n">
        <f aca="false">L15+L16+L17+L18</f>
        <v>178607.929660339</v>
      </c>
    </row>
    <row r="20" customFormat="false" ht="15" hidden="false" customHeight="false" outlineLevel="0" collapsed="false">
      <c r="A20" s="0" t="s">
        <v>140</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141</v>
      </c>
      <c r="C21" s="0" t="n">
        <f aca="false">C19*C20</f>
        <v>80621.4078538813</v>
      </c>
      <c r="D21" s="0" t="n">
        <f aca="false">D19*D20</f>
        <v>75954.1596880799</v>
      </c>
      <c r="E21" s="0" t="n">
        <f aca="false">E19*E20</f>
        <v>78754.418035887</v>
      </c>
      <c r="F21" s="0" t="n">
        <f aca="false">F19*F20</f>
        <v>84062.414126227</v>
      </c>
      <c r="G21" s="0" t="n">
        <f aca="false">G19*G20</f>
        <v>88443.9524373557</v>
      </c>
      <c r="H21" s="0" t="n">
        <f aca="false">H19*H20</f>
        <v>73977.91905216</v>
      </c>
      <c r="I21" s="0" t="n">
        <f aca="false">I19*I20</f>
        <v>78114.0665127918</v>
      </c>
      <c r="J21" s="0" t="n">
        <f aca="false">J19*J20</f>
        <v>82074.6064285744</v>
      </c>
      <c r="K21" s="0" t="n">
        <f aca="false">K19*K20</f>
        <v>76910.7953522004</v>
      </c>
      <c r="L21" s="0" t="n">
        <f aca="false">L19*L20</f>
        <v>72070.8334821075</v>
      </c>
    </row>
    <row r="23" customFormat="false" ht="15" hidden="false" customHeight="false" outlineLevel="0" collapsed="false">
      <c r="A23" s="0" t="s">
        <v>117</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142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143</v>
      </c>
    </row>
    <row r="27" customFormat="false" ht="15" hidden="false" customHeight="false" outlineLevel="0" collapsed="false">
      <c r="A27" s="0" t="s">
        <v>121</v>
      </c>
      <c r="B27" s="4" t="n">
        <f aca="false">Assumptions!$B$34</f>
        <v>9.5</v>
      </c>
    </row>
    <row r="28" customFormat="false" ht="15" hidden="false" customHeight="false" outlineLevel="0" collapsed="false">
      <c r="A28" s="0" t="s">
        <v>122</v>
      </c>
      <c r="B28" s="4" t="n">
        <f aca="false">Assumptions!$B$35</f>
        <v>3</v>
      </c>
    </row>
    <row r="29" customFormat="false" ht="15" hidden="false" customHeight="false" outlineLevel="0" collapsed="false">
      <c r="A29" s="0" t="s">
        <v>123</v>
      </c>
      <c r="B29" s="4" t="n">
        <f aca="false">Assumptions!$B$36</f>
        <v>18</v>
      </c>
    </row>
    <row r="30" customFormat="false" ht="15" hidden="false" customHeight="false" outlineLevel="0" collapsed="false">
      <c r="A30" s="0" t="s">
        <v>144</v>
      </c>
      <c r="B30" s="0" t="n">
        <f aca="false">SUM(C21:L21)</f>
        <v>790984.572969265</v>
      </c>
    </row>
    <row r="31" customFormat="false" ht="15" hidden="false" customHeight="false" outlineLevel="0" collapsed="false">
      <c r="A31" s="0" t="s">
        <v>145</v>
      </c>
      <c r="B31" s="0" t="n">
        <f aca="false">L19</f>
        <v>178607.929660339</v>
      </c>
    </row>
    <row r="32" customFormat="false" ht="15" hidden="false" customHeight="false" outlineLevel="0" collapsed="false">
      <c r="A32" s="0" t="s">
        <v>146</v>
      </c>
      <c r="B32" s="0" t="n">
        <f aca="false">IF(B27&gt;B28,B31*(1+B28/100)/((B27-B28)/100),B31*B29)</f>
        <v>2830248.73154075</v>
      </c>
    </row>
    <row r="33" customFormat="false" ht="15" hidden="false" customHeight="false" outlineLevel="0" collapsed="false">
      <c r="A33" s="0" t="s">
        <v>147</v>
      </c>
      <c r="B33" s="0" t="n">
        <f aca="false">B31*B29</f>
        <v>3214942.7338861</v>
      </c>
    </row>
    <row r="34" customFormat="false" ht="15" hidden="false" customHeight="false" outlineLevel="0" collapsed="false">
      <c r="A34" s="0" t="s">
        <v>148</v>
      </c>
      <c r="B34" s="0" t="n">
        <f aca="false">MAX(0,MIN(B32,B33))</f>
        <v>2830248.73154075</v>
      </c>
    </row>
    <row r="35" customFormat="false" ht="15" hidden="false" customHeight="false" outlineLevel="0" collapsed="false">
      <c r="A35" s="0" t="s">
        <v>149</v>
      </c>
      <c r="B35" s="0" t="n">
        <f aca="false">B34/(1+B27/100)^L4</f>
        <v>1142045.51517801</v>
      </c>
    </row>
    <row r="36" customFormat="false" ht="15" hidden="false" customHeight="false" outlineLevel="0" collapsed="false">
      <c r="A36" s="0" t="s">
        <v>150</v>
      </c>
      <c r="B36" s="0" t="n">
        <f aca="false">B30+B35</f>
        <v>1933030.08814728</v>
      </c>
    </row>
    <row r="37" customFormat="false" ht="15" hidden="false" customHeight="false" outlineLevel="0" collapsed="false">
      <c r="A37" s="0" t="s">
        <v>151</v>
      </c>
      <c r="B37" s="0" t="n">
        <f aca="false">B36+Assumptions!$B$5-Assumptions!$B$4</f>
        <v>1933030.08814728</v>
      </c>
    </row>
    <row r="38" customFormat="false" ht="15" hidden="false" customHeight="false" outlineLevel="0" collapsed="false">
      <c r="A38" s="0" t="s">
        <v>152</v>
      </c>
      <c r="B38" s="0" t="n">
        <f aca="false">B37/Assumptions!$B$3*Assumptions!$B$10</f>
        <v>7.04971775285174</v>
      </c>
    </row>
    <row r="39" customFormat="false" ht="15" hidden="false" customHeight="false" outlineLevel="0" collapsed="false">
      <c r="A39" s="0" t="s">
        <v>153</v>
      </c>
      <c r="B39" s="4" t="n">
        <f aca="false">B38/Assumptions!$B$2-1</f>
        <v>0.183831696532618</v>
      </c>
    </row>
    <row r="41" customFormat="false" ht="15" hidden="false" customHeight="false" outlineLevel="0" collapsed="false">
      <c r="A41" s="0" t="s">
        <v>154</v>
      </c>
      <c r="B41" s="0" t="n">
        <f aca="false">SUMPRODUCT(-C10:L10/(1+$B$27/100)^C4:L4)</f>
        <v>0</v>
      </c>
    </row>
    <row r="42" customFormat="false" ht="15" hidden="false" customHeight="false" outlineLevel="0" collapsed="false">
      <c r="A42" s="0" t="s">
        <v>155</v>
      </c>
      <c r="B42" s="0" t="n">
        <f aca="false">IF(B27&gt;B28,-L10*(1+B28/100)/((B27-B28)/100),-L10*20)/(1+B27/100)^L4</f>
        <v>0</v>
      </c>
    </row>
    <row r="43" customFormat="false" ht="15" hidden="false" customHeight="false" outlineLevel="0" collapsed="false">
      <c r="A43" s="0" t="s">
        <v>156</v>
      </c>
      <c r="B43" s="0" t="n">
        <f aca="false">(B37+B41+B42)/Assumptions!$B$3*Assumptions!$B$10</f>
        <v>7.04971775285174</v>
      </c>
    </row>
    <row r="45" customFormat="false" ht="15" hidden="false" customHeight="false" outlineLevel="0" collapsed="false">
      <c r="A45" s="0" t="s">
        <v>96</v>
      </c>
      <c r="B45" s="4" t="n">
        <f aca="false">Assumptions!$B$6</f>
        <v>15</v>
      </c>
    </row>
    <row r="46" customFormat="false" ht="15" hidden="false" customHeight="false" outlineLevel="0" collapsed="false">
      <c r="A46" s="0" t="s">
        <v>157</v>
      </c>
      <c r="B46" s="0" t="n">
        <f aca="false">MAX(0,MIN(IF(B45&gt;B28,B31*(1+B28/100)/((B45-B28)/100),B31*B29),B31*B29))</f>
        <v>1533051.39625124</v>
      </c>
    </row>
    <row r="47" customFormat="false" ht="15" hidden="false" customHeight="false" outlineLevel="0" collapsed="false">
      <c r="A47" s="0" t="s">
        <v>158</v>
      </c>
      <c r="B47" s="0" t="n">
        <f aca="false">(SUMPRODUCT(C19:L19/(1+B45/100)^C4:L4)+B46/(1+B45/100)^L4+Assumptions!$B$5-Assumptions!$B$4)/Assumptions!$B$3*Assumptions!$B$10</f>
        <v>3.61243587559005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160</v>
      </c>
    </row>
    <row r="3" customFormat="false" ht="15" hidden="false" customHeight="false" outlineLevel="0" collapsed="false">
      <c r="A3" s="0" t="s">
        <v>129</v>
      </c>
      <c r="B3" s="0" t="s">
        <v>99</v>
      </c>
      <c r="C3" s="2" t="s">
        <v>104</v>
      </c>
      <c r="D3" s="2" t="s">
        <v>105</v>
      </c>
      <c r="E3" s="2" t="s">
        <v>106</v>
      </c>
      <c r="F3" s="2" t="s">
        <v>107</v>
      </c>
      <c r="G3" s="2" t="s">
        <v>108</v>
      </c>
      <c r="H3" s="2" t="s">
        <v>109</v>
      </c>
      <c r="I3" s="2" t="s">
        <v>110</v>
      </c>
      <c r="J3" s="2" t="s">
        <v>111</v>
      </c>
      <c r="K3" s="2" t="s">
        <v>112</v>
      </c>
      <c r="L3" s="2" t="s">
        <v>113</v>
      </c>
    </row>
    <row r="4" customFormat="false" ht="15" hidden="false" customHeight="false" outlineLevel="0" collapsed="false">
      <c r="A4" s="0" t="s">
        <v>130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114</v>
      </c>
      <c r="C5" s="4" t="n">
        <f aca="false">Assumptions!C41</f>
        <v>6</v>
      </c>
      <c r="D5" s="4" t="n">
        <f aca="false">Assumptions!D41</f>
        <v>5.5</v>
      </c>
      <c r="E5" s="4" t="n">
        <f aca="false">Assumptions!E41</f>
        <v>5</v>
      </c>
      <c r="F5" s="4" t="n">
        <f aca="false">Assumptions!F41</f>
        <v>4.5</v>
      </c>
      <c r="G5" s="4" t="n">
        <f aca="false">Assumptions!G41</f>
        <v>4</v>
      </c>
      <c r="H5" s="4" t="n">
        <f aca="false">Assumptions!H41</f>
        <v>3.5</v>
      </c>
      <c r="I5" s="4" t="n">
        <f aca="false">Assumptions!I41</f>
        <v>3.5</v>
      </c>
      <c r="J5" s="4" t="n">
        <f aca="false">Assumptions!J41</f>
        <v>3.5</v>
      </c>
      <c r="K5" s="4" t="n">
        <f aca="false">Assumptions!K41</f>
        <v>3.5</v>
      </c>
      <c r="L5" s="4" t="n">
        <f aca="false">Assumptions!L41</f>
        <v>3.5</v>
      </c>
    </row>
    <row r="6" customFormat="false" ht="15" hidden="false" customHeight="false" outlineLevel="0" collapsed="false">
      <c r="A6" s="0" t="s">
        <v>38</v>
      </c>
      <c r="B6" s="3" t="n">
        <v>702400</v>
      </c>
      <c r="C6" s="0" t="n">
        <f aca="false">B6*(1+C5/100)</f>
        <v>744544</v>
      </c>
      <c r="D6" s="0" t="n">
        <f aca="false">C6*(1+D5/100)</f>
        <v>785493.92</v>
      </c>
      <c r="E6" s="0" t="n">
        <f aca="false">D6*(1+E5/100)</f>
        <v>824768.616</v>
      </c>
      <c r="F6" s="0" t="n">
        <f aca="false">E6*(1+F5/100)</f>
        <v>861883.20372</v>
      </c>
      <c r="G6" s="0" t="n">
        <f aca="false">F6*(1+G5/100)</f>
        <v>896358.5318688</v>
      </c>
      <c r="H6" s="0" t="n">
        <f aca="false">G6*(1+H5/100)</f>
        <v>927731.080484208</v>
      </c>
      <c r="I6" s="0" t="n">
        <f aca="false">H6*(1+I5/100)</f>
        <v>960201.668301155</v>
      </c>
      <c r="J6" s="0" t="n">
        <f aca="false">I6*(1+J5/100)</f>
        <v>993808.726691695</v>
      </c>
      <c r="K6" s="0" t="n">
        <f aca="false">J6*(1+K5/100)</f>
        <v>1028592.0321259</v>
      </c>
      <c r="L6" s="0" t="n">
        <f aca="false">K6*(1+L5/100)</f>
        <v>1064592.75325031</v>
      </c>
    </row>
    <row r="7" customFormat="false" ht="15" hidden="false" customHeight="false" outlineLevel="0" collapsed="false">
      <c r="A7" s="0" t="s">
        <v>115</v>
      </c>
      <c r="C7" s="4" t="n">
        <f aca="false">Assumptions!C42</f>
        <v>46.5</v>
      </c>
      <c r="D7" s="4" t="n">
        <f aca="false">Assumptions!D42</f>
        <v>47</v>
      </c>
      <c r="E7" s="4" t="n">
        <f aca="false">Assumptions!E42</f>
        <v>47.5</v>
      </c>
      <c r="F7" s="4" t="n">
        <f aca="false">Assumptions!F42</f>
        <v>47.5</v>
      </c>
      <c r="G7" s="4" t="n">
        <f aca="false">Assumptions!G42</f>
        <v>47.5</v>
      </c>
      <c r="H7" s="4" t="n">
        <f aca="false">Assumptions!H42</f>
        <v>47.5</v>
      </c>
      <c r="I7" s="4" t="n">
        <f aca="false">Assumptions!I42</f>
        <v>47.5</v>
      </c>
      <c r="J7" s="4" t="n">
        <f aca="false">Assumptions!J42</f>
        <v>47.5</v>
      </c>
      <c r="K7" s="4" t="n">
        <f aca="false">Assumptions!K42</f>
        <v>47.5</v>
      </c>
      <c r="L7" s="4" t="n">
        <f aca="false">Assumptions!L42</f>
        <v>47.5</v>
      </c>
    </row>
    <row r="8" customFormat="false" ht="15" hidden="false" customHeight="false" outlineLevel="0" collapsed="false">
      <c r="A8" s="0" t="s">
        <v>44</v>
      </c>
      <c r="C8" s="0" t="n">
        <f aca="false">C6*C7/100</f>
        <v>346212.96</v>
      </c>
      <c r="D8" s="0" t="n">
        <f aca="false">D6*D7/100</f>
        <v>369182.1424</v>
      </c>
      <c r="E8" s="0" t="n">
        <f aca="false">E6*E7/100</f>
        <v>391765.0926</v>
      </c>
      <c r="F8" s="0" t="n">
        <f aca="false">F6*F7/100</f>
        <v>409394.521767</v>
      </c>
      <c r="G8" s="0" t="n">
        <f aca="false">G6*G7/100</f>
        <v>425770.30263768</v>
      </c>
      <c r="H8" s="0" t="n">
        <f aca="false">H6*H7/100</f>
        <v>440672.263229999</v>
      </c>
      <c r="I8" s="0" t="n">
        <f aca="false">I6*I7/100</f>
        <v>456095.792443049</v>
      </c>
      <c r="J8" s="0" t="n">
        <f aca="false">J6*J7/100</f>
        <v>472059.145178555</v>
      </c>
      <c r="K8" s="0" t="n">
        <f aca="false">K6*K7/100</f>
        <v>488581.215259805</v>
      </c>
      <c r="L8" s="0" t="n">
        <f aca="false">L6*L7/100</f>
        <v>505681.557793898</v>
      </c>
    </row>
    <row r="9" customFormat="false" ht="15" hidden="false" customHeight="false" outlineLevel="0" collapsed="false">
      <c r="A9" s="0" t="s">
        <v>116</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131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132</v>
      </c>
      <c r="C11" s="0" t="n">
        <f aca="false">C8+C10+C24</f>
        <v>346212.96</v>
      </c>
      <c r="D11" s="0" t="n">
        <f aca="false">D8+D10+D24</f>
        <v>369182.1424</v>
      </c>
      <c r="E11" s="0" t="n">
        <f aca="false">E8+E10+E24</f>
        <v>391765.0926</v>
      </c>
      <c r="F11" s="0" t="n">
        <f aca="false">F8+F10+F24</f>
        <v>409394.521767</v>
      </c>
      <c r="G11" s="0" t="n">
        <f aca="false">G8+G10+G24</f>
        <v>425770.30263768</v>
      </c>
      <c r="H11" s="0" t="n">
        <f aca="false">H8+H10+H24</f>
        <v>440672.263229999</v>
      </c>
      <c r="I11" s="0" t="n">
        <f aca="false">I8+I10+I24</f>
        <v>456095.792443049</v>
      </c>
      <c r="J11" s="0" t="n">
        <f aca="false">J8+J10+J24</f>
        <v>472059.145178555</v>
      </c>
      <c r="K11" s="0" t="n">
        <f aca="false">K8+K10+K24</f>
        <v>488581.215259805</v>
      </c>
      <c r="L11" s="0" t="n">
        <f aca="false">L8+L10+L24</f>
        <v>505681.557793898</v>
      </c>
    </row>
    <row r="12" customFormat="false" ht="15" hidden="false" customHeight="false" outlineLevel="0" collapsed="false">
      <c r="A12" s="0" t="s">
        <v>133</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134</v>
      </c>
      <c r="C13" s="0" t="n">
        <f aca="false">C11+C12</f>
        <v>346212.96</v>
      </c>
      <c r="D13" s="0" t="n">
        <f aca="false">D11+D12</f>
        <v>369182.1424</v>
      </c>
      <c r="E13" s="0" t="n">
        <f aca="false">E11+E12</f>
        <v>391765.0926</v>
      </c>
      <c r="F13" s="0" t="n">
        <f aca="false">F11+F12</f>
        <v>409394.521767</v>
      </c>
      <c r="G13" s="0" t="n">
        <f aca="false">G11+G12</f>
        <v>425770.30263768</v>
      </c>
      <c r="H13" s="0" t="n">
        <f aca="false">H11+H12</f>
        <v>440672.263229999</v>
      </c>
      <c r="I13" s="0" t="n">
        <f aca="false">I11+I12</f>
        <v>456095.792443049</v>
      </c>
      <c r="J13" s="0" t="n">
        <f aca="false">J11+J12</f>
        <v>472059.145178555</v>
      </c>
      <c r="K13" s="0" t="n">
        <f aca="false">K11+K12</f>
        <v>488581.215259805</v>
      </c>
      <c r="L13" s="0" t="n">
        <f aca="false">L11+L12</f>
        <v>505681.557793898</v>
      </c>
    </row>
    <row r="14" customFormat="false" ht="15" hidden="false" customHeight="false" outlineLevel="0" collapsed="false">
      <c r="A14" s="0" t="s">
        <v>120</v>
      </c>
      <c r="C14" s="4" t="n">
        <f aca="false">Assumptions!C47</f>
        <v>24</v>
      </c>
      <c r="D14" s="4" t="n">
        <f aca="false">Assumptions!D47</f>
        <v>24</v>
      </c>
      <c r="E14" s="4" t="n">
        <f aca="false">Assumptions!E47</f>
        <v>24</v>
      </c>
      <c r="F14" s="4" t="n">
        <f aca="false">Assumptions!F47</f>
        <v>24</v>
      </c>
      <c r="G14" s="4" t="n">
        <f aca="false">Assumptions!G47</f>
        <v>24</v>
      </c>
      <c r="H14" s="4" t="n">
        <f aca="false">Assumptions!H47</f>
        <v>24</v>
      </c>
      <c r="I14" s="4" t="n">
        <f aca="false">Assumptions!I47</f>
        <v>24</v>
      </c>
      <c r="J14" s="4" t="n">
        <f aca="false">Assumptions!J47</f>
        <v>24</v>
      </c>
      <c r="K14" s="4" t="n">
        <f aca="false">Assumptions!K47</f>
        <v>24</v>
      </c>
      <c r="L14" s="4" t="n">
        <f aca="false">Assumptions!L47</f>
        <v>24</v>
      </c>
    </row>
    <row r="15" customFormat="false" ht="15" hidden="false" customHeight="false" outlineLevel="0" collapsed="false">
      <c r="A15" s="0" t="s">
        <v>135</v>
      </c>
      <c r="C15" s="0" t="n">
        <f aca="false">C13-MAX(0,C13)*C14/100</f>
        <v>263121.8496</v>
      </c>
      <c r="D15" s="0" t="n">
        <f aca="false">D13-MAX(0,D13)*D14/100</f>
        <v>280578.428224</v>
      </c>
      <c r="E15" s="0" t="n">
        <f aca="false">E13-MAX(0,E13)*E14/100</f>
        <v>297741.470376</v>
      </c>
      <c r="F15" s="0" t="n">
        <f aca="false">F13-MAX(0,F13)*F14/100</f>
        <v>311139.83654292</v>
      </c>
      <c r="G15" s="0" t="n">
        <f aca="false">G13-MAX(0,G13)*G14/100</f>
        <v>323585.430004637</v>
      </c>
      <c r="H15" s="0" t="n">
        <f aca="false">H13-MAX(0,H13)*H14/100</f>
        <v>334910.920054799</v>
      </c>
      <c r="I15" s="0" t="n">
        <f aca="false">I13-MAX(0,I13)*I14/100</f>
        <v>346632.802256717</v>
      </c>
      <c r="J15" s="0" t="n">
        <f aca="false">J13-MAX(0,J13)*J14/100</f>
        <v>358764.950335702</v>
      </c>
      <c r="K15" s="0" t="n">
        <f aca="false">K13-MAX(0,K13)*K14/100</f>
        <v>371321.723597452</v>
      </c>
      <c r="L15" s="0" t="n">
        <f aca="false">L13-MAX(0,L13)*L14/100</f>
        <v>384317.983923362</v>
      </c>
    </row>
    <row r="16" customFormat="false" ht="15" hidden="false" customHeight="false" outlineLevel="0" collapsed="false">
      <c r="A16" s="0" t="s">
        <v>136</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137</v>
      </c>
      <c r="C17" s="4" t="n">
        <f aca="false">-C6*Assumptions!C46/100</f>
        <v>-147568.6208</v>
      </c>
      <c r="D17" s="4" t="n">
        <f aca="false">-D6*Assumptions!D46/100</f>
        <v>-135811.898768</v>
      </c>
      <c r="E17" s="4" t="n">
        <f aca="false">-E6*Assumptions!E46/100</f>
        <v>-126601.982556</v>
      </c>
      <c r="F17" s="4" t="n">
        <f aca="false">-F6*Assumptions!F46/100</f>
        <v>-115578.537618852</v>
      </c>
      <c r="G17" s="4" t="n">
        <f aca="false">-G6*Assumptions!G46/100</f>
        <v>-102991.595311725</v>
      </c>
      <c r="H17" s="4" t="n">
        <f aca="false">-H6*Assumptions!H46/100</f>
        <v>-135912.603290936</v>
      </c>
      <c r="I17" s="4" t="n">
        <f aca="false">-I6*Assumptions!I46/100</f>
        <v>-123673.974877189</v>
      </c>
      <c r="J17" s="4" t="n">
        <f aca="false">-J6*Assumptions!J46/100</f>
        <v>-128002.56399789</v>
      </c>
      <c r="K17" s="4" t="n">
        <f aca="false">-K6*Assumptions!K46/100</f>
        <v>-132482.653737817</v>
      </c>
      <c r="L17" s="4" t="n">
        <f aca="false">-L6*Assumptions!L46/100</f>
        <v>-137119.54661864</v>
      </c>
    </row>
    <row r="18" customFormat="false" ht="15" hidden="false" customHeight="false" outlineLevel="0" collapsed="false">
      <c r="A18" s="0" t="s">
        <v>138</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139</v>
      </c>
      <c r="C19" s="0" t="n">
        <f aca="false">C15+C16+C17+C18</f>
        <v>115553.2288</v>
      </c>
      <c r="D19" s="0" t="n">
        <f aca="false">D15+D16+D17+D18</f>
        <v>144766.529456</v>
      </c>
      <c r="E19" s="0" t="n">
        <f aca="false">E15+E16+E17+E18</f>
        <v>171139.48782</v>
      </c>
      <c r="F19" s="0" t="n">
        <f aca="false">F15+F16+F17+F18</f>
        <v>195561.298924068</v>
      </c>
      <c r="G19" s="0" t="n">
        <f aca="false">G15+G16+G17+G18</f>
        <v>220593.834692912</v>
      </c>
      <c r="H19" s="0" t="n">
        <f aca="false">H15+H16+H17+H18</f>
        <v>198998.316763863</v>
      </c>
      <c r="I19" s="0" t="n">
        <f aca="false">I15+I16+I17+I18</f>
        <v>222958.827379528</v>
      </c>
      <c r="J19" s="0" t="n">
        <f aca="false">J15+J16+J17+J18</f>
        <v>230762.386337812</v>
      </c>
      <c r="K19" s="0" t="n">
        <f aca="false">K15+K16+K17+K18</f>
        <v>238839.069859635</v>
      </c>
      <c r="L19" s="0" t="n">
        <f aca="false">L15+L16+L17+L18</f>
        <v>247198.437304722</v>
      </c>
    </row>
    <row r="20" customFormat="false" ht="15" hidden="false" customHeight="false" outlineLevel="0" collapsed="false">
      <c r="A20" s="0" t="s">
        <v>140</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141</v>
      </c>
      <c r="C21" s="0" t="n">
        <f aca="false">C19*C20</f>
        <v>105528.06283105</v>
      </c>
      <c r="D21" s="0" t="n">
        <f aca="false">D19*D20</f>
        <v>120736.873256187</v>
      </c>
      <c r="E21" s="0" t="n">
        <f aca="false">E19*E20</f>
        <v>130349.050018665</v>
      </c>
      <c r="F21" s="0" t="n">
        <f aca="false">F19*F20</f>
        <v>136027.412331851</v>
      </c>
      <c r="G21" s="0" t="n">
        <f aca="false">G19*G20</f>
        <v>140127.306587551</v>
      </c>
      <c r="H21" s="0" t="n">
        <f aca="false">H19*H20</f>
        <v>115442.224797195</v>
      </c>
      <c r="I21" s="0" t="n">
        <f aca="false">I19*I20</f>
        <v>118120.652505393</v>
      </c>
      <c r="J21" s="0" t="n">
        <f aca="false">J19*J20</f>
        <v>111648.28798455</v>
      </c>
      <c r="K21" s="0" t="n">
        <f aca="false">K19*K20</f>
        <v>105530.573574438</v>
      </c>
      <c r="L21" s="0" t="n">
        <f aca="false">L19*L20</f>
        <v>99748.0763922766</v>
      </c>
    </row>
    <row r="23" customFormat="false" ht="15" hidden="false" customHeight="false" outlineLevel="0" collapsed="false">
      <c r="A23" s="0" t="s">
        <v>117</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142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143</v>
      </c>
    </row>
    <row r="27" customFormat="false" ht="15" hidden="false" customHeight="false" outlineLevel="0" collapsed="false">
      <c r="A27" s="0" t="s">
        <v>121</v>
      </c>
      <c r="B27" s="4" t="n">
        <f aca="false">Assumptions!$B$48</f>
        <v>9.5</v>
      </c>
    </row>
    <row r="28" customFormat="false" ht="15" hidden="false" customHeight="false" outlineLevel="0" collapsed="false">
      <c r="A28" s="0" t="s">
        <v>122</v>
      </c>
      <c r="B28" s="4" t="n">
        <f aca="false">Assumptions!$B$49</f>
        <v>3</v>
      </c>
    </row>
    <row r="29" customFormat="false" ht="15" hidden="false" customHeight="false" outlineLevel="0" collapsed="false">
      <c r="A29" s="0" t="s">
        <v>123</v>
      </c>
      <c r="B29" s="4" t="n">
        <f aca="false">Assumptions!$B$50</f>
        <v>18</v>
      </c>
    </row>
    <row r="30" customFormat="false" ht="15" hidden="false" customHeight="false" outlineLevel="0" collapsed="false">
      <c r="A30" s="0" t="s">
        <v>144</v>
      </c>
      <c r="B30" s="0" t="n">
        <f aca="false">SUM(C21:L21)</f>
        <v>1183258.52027916</v>
      </c>
    </row>
    <row r="31" customFormat="false" ht="15" hidden="false" customHeight="false" outlineLevel="0" collapsed="false">
      <c r="A31" s="0" t="s">
        <v>145</v>
      </c>
      <c r="B31" s="0" t="n">
        <f aca="false">L19</f>
        <v>247198.437304722</v>
      </c>
    </row>
    <row r="32" customFormat="false" ht="15" hidden="false" customHeight="false" outlineLevel="0" collapsed="false">
      <c r="A32" s="0" t="s">
        <v>146</v>
      </c>
      <c r="B32" s="0" t="n">
        <f aca="false">IF(B27&gt;B28,B31*(1+B28/100)/((B27-B28)/100),B31*B29)</f>
        <v>3917144.46805945</v>
      </c>
    </row>
    <row r="33" customFormat="false" ht="15" hidden="false" customHeight="false" outlineLevel="0" collapsed="false">
      <c r="A33" s="0" t="s">
        <v>147</v>
      </c>
      <c r="B33" s="0" t="n">
        <f aca="false">B31*B29</f>
        <v>4449571.871485</v>
      </c>
    </row>
    <row r="34" customFormat="false" ht="15" hidden="false" customHeight="false" outlineLevel="0" collapsed="false">
      <c r="A34" s="0" t="s">
        <v>148</v>
      </c>
      <c r="B34" s="0" t="n">
        <f aca="false">MAX(0,MIN(B32,B33))</f>
        <v>3917144.46805945</v>
      </c>
    </row>
    <row r="35" customFormat="false" ht="15" hidden="false" customHeight="false" outlineLevel="0" collapsed="false">
      <c r="A35" s="0" t="s">
        <v>149</v>
      </c>
      <c r="B35" s="0" t="n">
        <f aca="false">B34/(1+B27/100)^L4</f>
        <v>1580623.36436992</v>
      </c>
    </row>
    <row r="36" customFormat="false" ht="15" hidden="false" customHeight="false" outlineLevel="0" collapsed="false">
      <c r="A36" s="0" t="s">
        <v>150</v>
      </c>
      <c r="B36" s="0" t="n">
        <f aca="false">B30+B35</f>
        <v>2763881.88464908</v>
      </c>
    </row>
    <row r="37" customFormat="false" ht="15" hidden="false" customHeight="false" outlineLevel="0" collapsed="false">
      <c r="A37" s="0" t="s">
        <v>151</v>
      </c>
      <c r="B37" s="0" t="n">
        <f aca="false">B36+Assumptions!$B$5-Assumptions!$B$4</f>
        <v>2763881.88464908</v>
      </c>
    </row>
    <row r="38" customFormat="false" ht="15" hidden="false" customHeight="false" outlineLevel="0" collapsed="false">
      <c r="A38" s="0" t="s">
        <v>152</v>
      </c>
      <c r="B38" s="0" t="n">
        <f aca="false">B37/Assumptions!$B$3*Assumptions!$B$10</f>
        <v>10.0798157816938</v>
      </c>
    </row>
    <row r="39" customFormat="false" ht="15" hidden="false" customHeight="false" outlineLevel="0" collapsed="false">
      <c r="A39" s="0" t="s">
        <v>153</v>
      </c>
      <c r="B39" s="4" t="n">
        <f aca="false">B38/Assumptions!$B$2-1</f>
        <v>0.692664279041786</v>
      </c>
    </row>
    <row r="41" customFormat="false" ht="15" hidden="false" customHeight="false" outlineLevel="0" collapsed="false">
      <c r="A41" s="0" t="s">
        <v>154</v>
      </c>
      <c r="B41" s="0" t="n">
        <f aca="false">SUMPRODUCT(-C10:L10/(1+$B$27/100)^C4:L4)</f>
        <v>0</v>
      </c>
    </row>
    <row r="42" customFormat="false" ht="15" hidden="false" customHeight="false" outlineLevel="0" collapsed="false">
      <c r="A42" s="0" t="s">
        <v>155</v>
      </c>
      <c r="B42" s="0" t="n">
        <f aca="false">IF(B27&gt;B28,-L10*(1+B28/100)/((B27-B28)/100),-L10*20)/(1+B27/100)^L4</f>
        <v>0</v>
      </c>
    </row>
    <row r="43" customFormat="false" ht="15" hidden="false" customHeight="false" outlineLevel="0" collapsed="false">
      <c r="A43" s="0" t="s">
        <v>156</v>
      </c>
      <c r="B43" s="0" t="n">
        <f aca="false">(B37+B41+B42)/Assumptions!$B$3*Assumptions!$B$10</f>
        <v>10.0798157816938</v>
      </c>
    </row>
    <row r="45" customFormat="false" ht="15" hidden="false" customHeight="false" outlineLevel="0" collapsed="false">
      <c r="A45" s="0" t="s">
        <v>96</v>
      </c>
      <c r="B45" s="4" t="n">
        <f aca="false">Assumptions!$B$6</f>
        <v>15</v>
      </c>
    </row>
    <row r="46" customFormat="false" ht="15" hidden="false" customHeight="false" outlineLevel="0" collapsed="false">
      <c r="A46" s="0" t="s">
        <v>157</v>
      </c>
      <c r="B46" s="0" t="n">
        <f aca="false">MAX(0,MIN(IF(B45&gt;B28,B31*(1+B28/100)/((B45-B28)/100),B31*B29),B31*B29))</f>
        <v>2121786.58686553</v>
      </c>
    </row>
    <row r="47" customFormat="false" ht="15" hidden="false" customHeight="false" outlineLevel="0" collapsed="false">
      <c r="A47" s="0" t="s">
        <v>158</v>
      </c>
      <c r="B47" s="0" t="n">
        <f aca="false">(SUMPRODUCT(C19:L19/(1+B45/100)^C4:L4)+B46/(1+B45/100)^L4+Assumptions!$B$5-Assumptions!$B$4)/Assumptions!$B$3*Assumptions!$B$10</f>
        <v>5.26155572847598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161</v>
      </c>
    </row>
    <row r="3" customFormat="false" ht="15" hidden="false" customHeight="false" outlineLevel="0" collapsed="false">
      <c r="A3" s="2" t="s">
        <v>162</v>
      </c>
      <c r="B3" s="2" t="s">
        <v>163</v>
      </c>
      <c r="C3" s="2" t="s">
        <v>153</v>
      </c>
      <c r="D3" s="2" t="s">
        <v>164</v>
      </c>
      <c r="E3" s="2" t="s">
        <v>156</v>
      </c>
      <c r="F3" s="2" t="s">
        <v>165</v>
      </c>
    </row>
    <row r="4" customFormat="false" ht="15" hidden="false" customHeight="false" outlineLevel="0" collapsed="false">
      <c r="A4" s="0" t="s">
        <v>166</v>
      </c>
      <c r="B4" s="4" t="n">
        <f aca="false">DCF_Bear!$B$38</f>
        <v>4.39877909036202</v>
      </c>
      <c r="C4" s="0" t="n">
        <f aca="false">B4/Assumptions!$B$2-1</f>
        <v>-0.261330127563054</v>
      </c>
      <c r="D4" s="4" t="n">
        <f aca="false">Assumptions!$B$24</f>
        <v>0.25</v>
      </c>
      <c r="E4" s="4" t="n">
        <f aca="false">DCF_Bear!$B$43</f>
        <v>4.39877909036202</v>
      </c>
      <c r="F4" s="4" t="n">
        <f aca="false">DCF_Bear!$B$47</f>
        <v>2.12985362914854</v>
      </c>
    </row>
    <row r="5" customFormat="false" ht="15" hidden="false" customHeight="false" outlineLevel="0" collapsed="false">
      <c r="A5" s="0" t="s">
        <v>167</v>
      </c>
      <c r="B5" s="4" t="n">
        <f aca="false">DCF_Base!$B$38</f>
        <v>7.04971775285174</v>
      </c>
      <c r="C5" s="0" t="n">
        <f aca="false">B5/Assumptions!$B$2-1</f>
        <v>0.183831696532618</v>
      </c>
      <c r="D5" s="4" t="n">
        <f aca="false">Assumptions!$B$38</f>
        <v>0.5</v>
      </c>
      <c r="E5" s="4" t="n">
        <f aca="false">DCF_Base!$B$43</f>
        <v>7.04971775285174</v>
      </c>
      <c r="F5" s="4" t="n">
        <f aca="false">DCF_Base!$B$47</f>
        <v>3.61243587559005</v>
      </c>
    </row>
    <row r="6" customFormat="false" ht="15" hidden="false" customHeight="false" outlineLevel="0" collapsed="false">
      <c r="A6" s="0" t="s">
        <v>168</v>
      </c>
      <c r="B6" s="4" t="n">
        <f aca="false">DCF_Bull!$B$38</f>
        <v>10.0798157816938</v>
      </c>
      <c r="C6" s="0" t="n">
        <f aca="false">B6/Assumptions!$B$2-1</f>
        <v>0.692664279041786</v>
      </c>
      <c r="D6" s="4" t="n">
        <f aca="false">Assumptions!$B$52</f>
        <v>0.25</v>
      </c>
      <c r="E6" s="4" t="n">
        <f aca="false">DCF_Bull!$B$43</f>
        <v>10.0798157816938</v>
      </c>
      <c r="F6" s="4" t="n">
        <f aca="false">DCF_Bull!$B$47</f>
        <v>5.26155572847598</v>
      </c>
    </row>
    <row r="8" customFormat="false" ht="15" hidden="false" customHeight="false" outlineLevel="0" collapsed="false">
      <c r="A8" s="0" t="s">
        <v>169</v>
      </c>
      <c r="B8" s="0" t="n">
        <f aca="false">SUMPRODUCT(B4:B6,D4:D6)</f>
        <v>7.14450759443983</v>
      </c>
    </row>
    <row r="9" customFormat="false" ht="15" hidden="false" customHeight="false" outlineLevel="0" collapsed="false">
      <c r="A9" s="0" t="s">
        <v>170</v>
      </c>
      <c r="B9" s="0" t="n">
        <f aca="false">SUMPRODUCT(E4:E6,D4:D6)</f>
        <v>7.14450759443983</v>
      </c>
    </row>
    <row r="10" customFormat="false" ht="15" hidden="false" customHeight="false" outlineLevel="0" collapsed="false">
      <c r="A10" s="0" t="s">
        <v>171</v>
      </c>
      <c r="B10" s="0" t="n">
        <f aca="false">1-Assumptions!$B$2/B8</f>
        <v>0.166492592906691</v>
      </c>
    </row>
    <row r="11" customFormat="false" ht="15" hidden="false" customHeight="false" outlineLevel="0" collapsed="false">
      <c r="A11" s="0" t="s">
        <v>172</v>
      </c>
      <c r="B11" s="0" t="str">
        <f aca="false">IF(ABS(B9-B8)&gt;0.01*ABS(B8),(Assumptions!$B$2-B8)/(B9-B8)*100,"n/a")</f>
        <v>n/a</v>
      </c>
    </row>
    <row r="12" customFormat="false" ht="15" hidden="false" customHeight="false" outlineLevel="0" collapsed="false">
      <c r="A12" s="0" t="s">
        <v>173</v>
      </c>
      <c r="B12" s="0" t="n">
        <f aca="false">SUMPRODUCT(F4:F6,D4:D6)</f>
        <v>3.65407027720116</v>
      </c>
    </row>
    <row r="14" customFormat="false" ht="15" hidden="false" customHeight="false" outlineLevel="0" collapsed="false">
      <c r="A14" s="2" t="s">
        <v>174</v>
      </c>
      <c r="C14" s="0" t="s">
        <v>175</v>
      </c>
    </row>
    <row r="15" customFormat="false" ht="15" hidden="false" customHeight="false" outlineLevel="0" collapsed="false">
      <c r="A15" s="0" t="s">
        <v>176</v>
      </c>
      <c r="B15" s="0" t="n">
        <f aca="false">(SUMPRODUCT(DCF_Base!$C$19:$L$19/(1+$C$15/100)^DCF_Base!$C$4:$L$4)+MAX(0,MIN(IF($C$15&gt;DCF_Base!$B$28,DCF_Base!$L$19*(1+DCF_Base!$B$28/100)/(($C$15-DCF_Base!$B$28)/100),DCF_Base!$L$19*DCF_Base!$B$29),DCF_Base!$L$19*DCF_Base!$B$29))/(1+$C$15/100)^DCF_Base!$L$4+Assumptions!$B$5-Assumptions!$B$4)/Assumptions!$B$3*Assumptions!$B$10</f>
        <v>7.68115280632609</v>
      </c>
      <c r="C15" s="3" t="n">
        <v>9</v>
      </c>
    </row>
    <row r="16" customFormat="false" ht="15" hidden="false" customHeight="false" outlineLevel="0" collapsed="false">
      <c r="A16" s="0" t="s">
        <v>177</v>
      </c>
      <c r="B16" s="0" t="n">
        <f aca="false">(SUMPRODUCT(DCF_Base!$C$19:$L$19/(1+$C$16/100)^DCF_Base!$C$4:$L$4)+MAX(0,MIN(IF($C$16&gt;DCF_Base!$B$28,DCF_Base!$L$19*(1+DCF_Base!$B$28/100)/(($C$16-DCF_Base!$B$28)/100),DCF_Base!$L$19*DCF_Base!$B$29),DCF_Base!$L$19*DCF_Base!$B$29))/(1+$C$16/100)^DCF_Base!$L$4+Assumptions!$B$5-Assumptions!$B$4)/Assumptions!$B$3*Assumptions!$B$10</f>
        <v>7.04971775285174</v>
      </c>
      <c r="C16" s="3" t="n">
        <v>9.5</v>
      </c>
    </row>
    <row r="17" customFormat="false" ht="15" hidden="false" customHeight="false" outlineLevel="0" collapsed="false">
      <c r="A17" s="0" t="s">
        <v>178</v>
      </c>
      <c r="B17" s="0" t="n">
        <f aca="false">(SUMPRODUCT(DCF_Base!$C$19:$L$19/(1+$C$17/100)^DCF_Base!$C$4:$L$4)+MAX(0,MIN(IF($C$17&gt;DCF_Base!$B$28,DCF_Base!$L$19*(1+DCF_Base!$B$28/100)/(($C$17-DCF_Base!$B$28)/100),DCF_Base!$L$19*DCF_Base!$B$29),DCF_Base!$L$19*DCF_Base!$B$29))/(1+$C$17/100)^DCF_Base!$L$4+Assumptions!$B$5-Assumptions!$B$4)/Assumptions!$B$3*Assumptions!$B$10</f>
        <v>6.50952118845234</v>
      </c>
      <c r="C17" s="3" t="n">
        <v>10</v>
      </c>
    </row>
    <row r="18" customFormat="false" ht="15" hidden="false" customHeight="false" outlineLevel="0" collapsed="false">
      <c r="A18" s="0" t="s">
        <v>179</v>
      </c>
      <c r="B18" s="0" t="n">
        <f aca="false">(SUMPRODUCT(DCF_Base!$C$19:$L$19/(1+$C$18/100)^DCF_Base!$C$4:$L$4)+MAX(0,MIN(IF($C$18&gt;DCF_Base!$B$28,DCF_Base!$L$19*(1+DCF_Base!$B$28/100)/(($C$18-DCF_Base!$B$28)/100),DCF_Base!$L$19*DCF_Base!$B$29),DCF_Base!$L$19*DCF_Base!$B$29))/(1+$C$18/100)^DCF_Base!$L$4+Assumptions!$B$5-Assumptions!$B$4)/Assumptions!$B$3*Assumptions!$B$10</f>
        <v>5.63429146930636</v>
      </c>
      <c r="C18" s="3" t="n">
        <v>11</v>
      </c>
    </row>
    <row r="19" customFormat="false" ht="15" hidden="false" customHeight="false" outlineLevel="0" collapsed="false">
      <c r="A19" s="0" t="s">
        <v>180</v>
      </c>
      <c r="B19" s="0" t="n">
        <f aca="false">(SUMPRODUCT(DCF_Base!$C$19:$L$19/(1+$C$19/100)^DCF_Base!$C$4:$L$4)+MAX(0,MIN(IF($C$19&gt;DCF_Base!$B$28,DCF_Base!$L$19*(1+DCF_Base!$B$28/100)/(($C$19-DCF_Base!$B$28)/100),DCF_Base!$L$19*DCF_Base!$B$29),DCF_Base!$L$19*DCF_Base!$B$29))/(1+$C$19/100)^DCF_Base!$L$4+Assumptions!$B$5-Assumptions!$B$4)/Assumptions!$B$3*Assumptions!$B$10</f>
        <v>4.95645483645296</v>
      </c>
      <c r="C19" s="3" t="n">
        <v>12</v>
      </c>
    </row>
    <row r="20" customFormat="false" ht="15" hidden="false" customHeight="false" outlineLevel="0" collapsed="false">
      <c r="A20" s="0" t="s">
        <v>181</v>
      </c>
      <c r="B20" s="0" t="n">
        <f aca="false">(SUMPRODUCT(DCF_Base!$C$19:$L$19/(1+$C$20/100)^DCF_Base!$C$4:$L$4)+MAX(0,MIN(IF($C$20&gt;DCF_Base!$B$28,DCF_Base!$L$19*(1+DCF_Base!$B$28/100)/(($C$20-DCF_Base!$B$28)/100),DCF_Base!$L$19*DCF_Base!$B$29),DCF_Base!$L$19*DCF_Base!$B$29))/(1+$C$20/100)^DCF_Base!$L$4+Assumptions!$B$5-Assumptions!$B$4)/Assumptions!$B$3*Assumptions!$B$10</f>
        <v>3.61243587559005</v>
      </c>
      <c r="C20" s="3" t="n">
        <v>15</v>
      </c>
    </row>
    <row r="22" customFormat="false" ht="15" hidden="false" customHeight="false" outlineLevel="0" collapsed="false">
      <c r="A22" s="2" t="s">
        <v>182</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8.88249602113655</v>
      </c>
      <c r="C24" s="0" t="n">
        <f aca="false">(SUMPRODUCT(DCF_Base!$C$19:$L$19/(1+$A$24/100)^DCF_Base!$C$4:$L$4)+MAX(0,MIN(IF($A$24&gt;$C$23,DCF_Base!$L$19*(1+$C$23/100)/(($A$24-$C$23)/100),DCF_Base!$L$19*DCF_Base!$B$29),DCF_Base!$L$19*DCF_Base!$B$29))/(1+$A$24/100)^DCF_Base!$L$4+Assumptions!$B$5-Assumptions!$B$4)/Assumptions!$B$3*Assumptions!$B$10</f>
        <v>8.88249602113655</v>
      </c>
      <c r="D24" s="0" t="n">
        <f aca="false">(SUMPRODUCT(DCF_Base!$C$19:$L$19/(1+$A$24/100)^DCF_Base!$C$4:$L$4)+MAX(0,MIN(IF($A$24&gt;$D$23,DCF_Base!$L$19*(1+$D$23/100)/(($A$24-$D$23)/100),DCF_Base!$L$19*DCF_Base!$B$29),DCF_Base!$L$19*DCF_Base!$B$29))/(1+$A$24/100)^DCF_Base!$L$4+Assumptions!$B$5-Assumptions!$B$4)/Assumptions!$B$3*Assumptions!$B$10</f>
        <v>8.88249602113655</v>
      </c>
      <c r="E24" s="0" t="n">
        <f aca="false">(SUMPRODUCT(DCF_Base!$C$19:$L$19/(1+$A$24/100)^DCF_Base!$C$4:$L$4)+MAX(0,MIN(IF($A$24&gt;$E$23,DCF_Base!$L$19*(1+$E$23/100)/(($A$24-$E$23)/100),DCF_Base!$L$19*DCF_Base!$B$29),DCF_Base!$L$19*DCF_Base!$B$29))/(1+$A$24/100)^DCF_Base!$L$4+Assumptions!$B$5-Assumptions!$B$4)/Assumptions!$B$3*Assumptions!$B$10</f>
        <v>8.88249602113655</v>
      </c>
      <c r="F24" s="0" t="n">
        <f aca="false">(SUMPRODUCT(DCF_Base!$C$19:$L$19/(1+$A$24/100)^DCF_Base!$C$4:$L$4)+MAX(0,MIN(IF($A$24&gt;$F$23,DCF_Base!$L$19*(1+$F$23/100)/(($A$24-$F$23)/100),DCF_Base!$L$19*DCF_Base!$B$29),DCF_Base!$L$19*DCF_Base!$B$29))/(1+$A$24/100)^DCF_Base!$L$4+Assumptions!$B$5-Assumptions!$B$4)/Assumptions!$B$3*Assumptions!$B$10</f>
        <v>8.88249602113655</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7.55439697256109</v>
      </c>
      <c r="C25" s="0" t="n">
        <f aca="false">(SUMPRODUCT(DCF_Base!$C$19:$L$19/(1+$A$25/100)^DCF_Base!$C$4:$L$4)+MAX(0,MIN(IF($A$25&gt;$C$23,DCF_Base!$L$19*(1+$C$23/100)/(($A$25-$C$23)/100),DCF_Base!$L$19*DCF_Base!$B$29),DCF_Base!$L$19*DCF_Base!$B$29))/(1+$A$25/100)^DCF_Base!$L$4+Assumptions!$B$5-Assumptions!$B$4)/Assumptions!$B$3*Assumptions!$B$10</f>
        <v>7.95514519590826</v>
      </c>
      <c r="D25" s="0" t="n">
        <f aca="false">(SUMPRODUCT(DCF_Base!$C$19:$L$19/(1+$A$25/100)^DCF_Base!$C$4:$L$4)+MAX(0,MIN(IF($A$25&gt;$D$23,DCF_Base!$L$19*(1+$D$23/100)/(($A$25-$D$23)/100),DCF_Base!$L$19*DCF_Base!$B$29),DCF_Base!$L$19*DCF_Base!$B$29))/(1+$A$25/100)^DCF_Base!$L$4+Assumptions!$B$5-Assumptions!$B$4)/Assumptions!$B$3*Assumptions!$B$10</f>
        <v>8.21923273479603</v>
      </c>
      <c r="E25" s="0" t="n">
        <f aca="false">(SUMPRODUCT(DCF_Base!$C$19:$L$19/(1+$A$25/100)^DCF_Base!$C$4:$L$4)+MAX(0,MIN(IF($A$25&gt;$E$23,DCF_Base!$L$19*(1+$E$23/100)/(($A$25-$E$23)/100),DCF_Base!$L$19*DCF_Base!$B$29),DCF_Base!$L$19*DCF_Base!$B$29))/(1+$A$25/100)^DCF_Base!$L$4+Assumptions!$B$5-Assumptions!$B$4)/Assumptions!$B$3*Assumptions!$B$10</f>
        <v>8.21923273479603</v>
      </c>
      <c r="F25" s="0" t="n">
        <f aca="false">(SUMPRODUCT(DCF_Base!$C$19:$L$19/(1+$A$25/100)^DCF_Base!$C$4:$L$4)+MAX(0,MIN(IF($A$25&gt;$F$23,DCF_Base!$L$19*(1+$F$23/100)/(($A$25-$F$23)/100),DCF_Base!$L$19*DCF_Base!$B$29),DCF_Base!$L$19*DCF_Base!$B$29))/(1+$A$25/100)^DCF_Base!$L$4+Assumptions!$B$5-Assumptions!$B$4)/Assumptions!$B$3*Assumptions!$B$10</f>
        <v>8.21923273479603</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6.45933704230071</v>
      </c>
      <c r="C26" s="0" t="n">
        <f aca="false">(SUMPRODUCT(DCF_Base!$C$19:$L$19/(1+$A$26/100)^DCF_Base!$C$4:$L$4)+MAX(0,MIN(IF($A$26&gt;$C$23,DCF_Base!$L$19*(1+$C$23/100)/(($A$26-$C$23)/100),DCF_Base!$L$19*DCF_Base!$B$29),DCF_Base!$L$19*DCF_Base!$B$29))/(1+$A$26/100)^DCF_Base!$L$4+Assumptions!$B$5-Assumptions!$B$4)/Assumptions!$B$3*Assumptions!$B$10</f>
        <v>6.7334423721994</v>
      </c>
      <c r="D26" s="0" t="n">
        <f aca="false">(SUMPRODUCT(DCF_Base!$C$19:$L$19/(1+$A$26/100)^DCF_Base!$C$4:$L$4)+MAX(0,MIN(IF($A$26&gt;$D$23,DCF_Base!$L$19*(1+$D$23/100)/(($A$26-$D$23)/100),DCF_Base!$L$19*DCF_Base!$B$29),DCF_Base!$L$19*DCF_Base!$B$29))/(1+$A$26/100)^DCF_Base!$L$4+Assumptions!$B$5-Assumptions!$B$4)/Assumptions!$B$3*Assumptions!$B$10</f>
        <v>7.04971775285174</v>
      </c>
      <c r="E26" s="0" t="n">
        <f aca="false">(SUMPRODUCT(DCF_Base!$C$19:$L$19/(1+$A$26/100)^DCF_Base!$C$4:$L$4)+MAX(0,MIN(IF($A$26&gt;$E$23,DCF_Base!$L$19*(1+$E$23/100)/(($A$26-$E$23)/100),DCF_Base!$L$19*DCF_Base!$B$29),DCF_Base!$L$19*DCF_Base!$B$29))/(1+$A$26/100)^DCF_Base!$L$4+Assumptions!$B$5-Assumptions!$B$4)/Assumptions!$B$3*Assumptions!$B$10</f>
        <v>7.41870569694613</v>
      </c>
      <c r="F26" s="0" t="n">
        <f aca="false">(SUMPRODUCT(DCF_Base!$C$19:$L$19/(1+$A$26/100)^DCF_Base!$C$4:$L$4)+MAX(0,MIN(IF($A$26&gt;$F$23,DCF_Base!$L$19*(1+$F$23/100)/(($A$26-$F$23)/100),DCF_Base!$L$19*DCF_Base!$B$29),DCF_Base!$L$19*DCF_Base!$B$29))/(1+$A$26/100)^DCF_Base!$L$4+Assumptions!$B$5-Assumptions!$B$4)/Assumptions!$B$3*Assumptions!$B$10</f>
        <v>7.61583624242122</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5.62628239340687</v>
      </c>
      <c r="C27" s="0" t="n">
        <f aca="false">(SUMPRODUCT(DCF_Base!$C$19:$L$19/(1+$A$27/100)^DCF_Base!$C$4:$L$4)+MAX(0,MIN(IF($A$27&gt;$C$23,DCF_Base!$L$19*(1+$C$23/100)/(($A$27-$C$23)/100),DCF_Base!$L$19*DCF_Base!$B$29),DCF_Base!$L$19*DCF_Base!$B$29))/(1+$A$27/100)^DCF_Base!$L$4+Assumptions!$B$5-Assumptions!$B$4)/Assumptions!$B$3*Assumptions!$B$10</f>
        <v>5.82128231711399</v>
      </c>
      <c r="D27" s="0" t="n">
        <f aca="false">(SUMPRODUCT(DCF_Base!$C$19:$L$19/(1+$A$27/100)^DCF_Base!$C$4:$L$4)+MAX(0,MIN(IF($A$27&gt;$D$23,DCF_Base!$L$19*(1+$D$23/100)/(($A$27-$D$23)/100),DCF_Base!$L$19*DCF_Base!$B$29),DCF_Base!$L$19*DCF_Base!$B$29))/(1+$A$27/100)^DCF_Base!$L$4+Assumptions!$B$5-Assumptions!$B$4)/Assumptions!$B$3*Assumptions!$B$10</f>
        <v>6.04228223064873</v>
      </c>
      <c r="E27" s="0" t="n">
        <f aca="false">(SUMPRODUCT(DCF_Base!$C$19:$L$19/(1+$A$27/100)^DCF_Base!$C$4:$L$4)+MAX(0,MIN(IF($A$27&gt;$E$23,DCF_Base!$L$19*(1+$E$23/100)/(($A$27-$E$23)/100),DCF_Base!$L$19*DCF_Base!$B$29),DCF_Base!$L$19*DCF_Base!$B$29))/(1+$A$27/100)^DCF_Base!$L$4+Assumptions!$B$5-Assumptions!$B$4)/Assumptions!$B$3*Assumptions!$B$10</f>
        <v>6.29485356040272</v>
      </c>
      <c r="F27" s="0" t="n">
        <f aca="false">(SUMPRODUCT(DCF_Base!$C$19:$L$19/(1+$A$27/100)^DCF_Base!$C$4:$L$4)+MAX(0,MIN(IF($A$27&gt;$F$23,DCF_Base!$L$19*(1+$F$23/100)/(($A$27-$F$23)/100),DCF_Base!$L$19*DCF_Base!$B$29),DCF_Base!$L$19*DCF_Base!$B$29))/(1+$A$27/100)^DCF_Base!$L$4+Assumptions!$B$5-Assumptions!$B$4)/Assumptions!$B$3*Assumptions!$B$10</f>
        <v>6.58628201781117</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4.97222338007645</v>
      </c>
      <c r="C28" s="0" t="n">
        <f aca="false">(SUMPRODUCT(DCF_Base!$C$19:$L$19/(1+$A$28/100)^DCF_Base!$C$4:$L$4)+MAX(0,MIN(IF($A$28&gt;$C$23,DCF_Base!$L$19*(1+$C$23/100)/(($A$28-$C$23)/100),DCF_Base!$L$19*DCF_Base!$B$29),DCF_Base!$L$19*DCF_Base!$B$29))/(1+$A$28/100)^DCF_Base!$L$4+Assumptions!$B$5-Assumptions!$B$4)/Assumptions!$B$3*Assumptions!$B$10</f>
        <v>5.11523256623537</v>
      </c>
      <c r="D28" s="0" t="n">
        <f aca="false">(SUMPRODUCT(DCF_Base!$C$19:$L$19/(1+$A$28/100)^DCF_Base!$C$4:$L$4)+MAX(0,MIN(IF($A$28&gt;$D$23,DCF_Base!$L$19*(1+$D$23/100)/(($A$28-$D$23)/100),DCF_Base!$L$19*DCF_Base!$B$29),DCF_Base!$L$19*DCF_Base!$B$29))/(1+$A$28/100)^DCF_Base!$L$4+Assumptions!$B$5-Assumptions!$B$4)/Assumptions!$B$3*Assumptions!$B$10</f>
        <v>5.27506636253063</v>
      </c>
      <c r="E28" s="0" t="n">
        <f aca="false">(SUMPRODUCT(DCF_Base!$C$19:$L$19/(1+$A$28/100)^DCF_Base!$C$4:$L$4)+MAX(0,MIN(IF($A$28&gt;$E$23,DCF_Base!$L$19*(1+$E$23/100)/(($A$28-$E$23)/100),DCF_Base!$L$19*DCF_Base!$B$29),DCF_Base!$L$19*DCF_Base!$B$29))/(1+$A$28/100)^DCF_Base!$L$4+Assumptions!$B$5-Assumptions!$B$4)/Assumptions!$B$3*Assumptions!$B$10</f>
        <v>5.4548793833628</v>
      </c>
      <c r="F28" s="0" t="n">
        <f aca="false">(SUMPRODUCT(DCF_Base!$C$19:$L$19/(1+$A$28/100)^DCF_Base!$C$4:$L$4)+MAX(0,MIN(IF($A$28&gt;$F$23,DCF_Base!$L$19*(1+$F$23/100)/(($A$28-$F$23)/100),DCF_Base!$L$19*DCF_Base!$B$29),DCF_Base!$L$19*DCF_Base!$B$29))/(1+$A$28/100)^DCF_Base!$L$4+Assumptions!$B$5-Assumptions!$B$4)/Assumptions!$B$3*Assumptions!$B$10</f>
        <v>5.65866747363927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2026-10-23T09:25:54Z</dcterms:created>
  <dc:creator>openpyxl</dc:creator>
  <dc:description/>
  <dc:language>en-NZ</dc:language>
  <cp:lastModifiedBy/>
  <dcterms:modified xsi:type="dcterms:W3CDTF">2026-10-23T09:25:54Z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