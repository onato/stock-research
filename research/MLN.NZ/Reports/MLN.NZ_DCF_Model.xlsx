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Mode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#,##0.000"/>
    <numFmt numFmtId="166" formatCode="0.0%"/>
    <numFmt numFmtId="167" formatCode="$#,##0.0000"/>
    <numFmt numFmtId="168" formatCode="&quot;$&quot;#,##0.0000"/>
    <numFmt numFmtId="169" formatCode="&quot;$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FFFFFFFF"/>
    </font>
    <font>
      <i val="1"/>
      <color rgb="FF636E72"/>
      <sz val="9"/>
    </font>
  </fonts>
  <fills count="5">
    <fill>
      <patternFill/>
    </fill>
    <fill>
      <patternFill patternType="gray125"/>
    </fill>
    <fill>
      <patternFill patternType="solid">
        <fgColor rgb="FFDFE6E9"/>
        <bgColor rgb="FFDFE6E9"/>
      </patternFill>
    </fill>
    <fill>
      <patternFill patternType="solid">
        <fgColor rgb="FF2D3436"/>
        <bgColor rgb="FF2D3436"/>
      </patternFill>
    </fill>
    <fill>
      <patternFill patternType="solid">
        <fgColor rgb="FF00B894"/>
        <bgColor rgb="FF00B8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5" fontId="0" fillId="2" borderId="0" pivotButton="0" quotePrefix="0" xfId="0"/>
    <xf numFmtId="3" fontId="0" fillId="2" borderId="0" pivotButton="0" quotePrefix="0" xfId="0"/>
    <xf numFmtId="10" fontId="0" fillId="2" borderId="0" pivotButton="0" quotePrefix="0" xfId="0"/>
    <xf numFmtId="166" fontId="0" fillId="0" borderId="0" pivotButton="0" quotePrefix="0" xfId="0"/>
    <xf numFmtId="0" fontId="3" fillId="3" borderId="0" pivotButton="0" quotePrefix="0" xfId="0"/>
    <xf numFmtId="10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4" fillId="0" borderId="0" pivotButton="0" quotePrefix="0" xfId="0"/>
    <xf numFmtId="168" fontId="2" fillId="0" borderId="0" pivotButton="0" quotePrefix="0" xfId="0"/>
    <xf numFmtId="168" fontId="3" fillId="4" borderId="0" pivotButton="0" quotePrefix="0" xfId="0"/>
    <xf numFmtId="166" fontId="3" fillId="3" borderId="0" pivotButton="0" quotePrefix="0" xfId="0"/>
    <xf numFmtId="166" fontId="0" fillId="2" borderId="0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MLN.NZ — Marlin Global Limited — NAV Valuation Model</t>
        </is>
      </c>
    </row>
    <row r="2">
      <c r="A2" t="inlineStr">
        <is>
          <t>NOT an FCF DCF — this is a closed-end investment company (LIC). Gray cells are INPUTS.</t>
        </is>
      </c>
    </row>
    <row r="3">
      <c r="A3" t="inlineStr">
        <is>
          <t>All figures in NZD (single-currency ticker, no FX conversion needed).</t>
        </is>
      </c>
    </row>
    <row r="5">
      <c r="A5" s="2" t="inlineStr">
        <is>
          <t>KEY INPUTS</t>
        </is>
      </c>
    </row>
    <row r="6">
      <c r="A6" t="inlineStr">
        <is>
          <t>MLN.NZ Share Price (NZD)</t>
        </is>
      </c>
      <c r="B6" s="3" t="n">
        <v>0.779</v>
      </c>
    </row>
    <row r="7">
      <c r="A7" t="inlineStr">
        <is>
          <t>Current NAV/share, undiluted (NZD)</t>
        </is>
      </c>
      <c r="B7" s="3" t="n">
        <v>0.8547</v>
      </c>
    </row>
    <row r="8">
      <c r="A8" t="inlineStr">
        <is>
          <t>NAV as-of date memo (text)</t>
        </is>
      </c>
      <c r="B8" s="4" t="inlineStr">
        <is>
          <t>11-Aug-2026</t>
        </is>
      </c>
    </row>
    <row r="9">
      <c r="A9" t="inlineStr">
        <is>
          <t>Shares Outstanding (M)</t>
        </is>
      </c>
      <c r="B9" s="5" t="n">
        <v>227.281977</v>
      </c>
    </row>
    <row r="10">
      <c r="A10" t="inlineStr">
        <is>
          <t>Net Assets (NZD M)</t>
        </is>
      </c>
      <c r="B10" s="5" t="n">
        <v>213.343</v>
      </c>
    </row>
    <row r="11">
      <c r="A11" t="inlineStr">
        <is>
          <t>Total Debt (NZD M)</t>
        </is>
      </c>
      <c r="B11" s="5" t="n">
        <v>0</v>
      </c>
    </row>
    <row r="12">
      <c r="A12" t="inlineStr">
        <is>
          <t>Warrants on Issue (MLNWH, count)</t>
        </is>
      </c>
      <c r="B12" s="6" t="n">
        <v>57341670</v>
      </c>
    </row>
    <row r="13">
      <c r="A13" t="inlineStr">
        <is>
          <t>Management Fee % p.a.</t>
        </is>
      </c>
      <c r="B13" s="7" t="n">
        <v>0.0125</v>
      </c>
    </row>
    <row r="14">
      <c r="A14" t="inlineStr">
        <is>
          <t>Distribution Policy % of avg NAV p.a. (~4x2%/qtr)</t>
        </is>
      </c>
      <c r="B14" s="7" t="n">
        <v>0.08</v>
      </c>
    </row>
    <row r="15">
      <c r="A15" t="inlineStr">
        <is>
          <t>Current P/NAV (price vs current NAV)</t>
        </is>
      </c>
      <c r="B15" s="8">
        <f>B6/B7-1</f>
        <v/>
      </c>
    </row>
    <row r="17">
      <c r="A17" s="2" t="inlineStr">
        <is>
          <t>SCENARIO ASSUMPTIONS</t>
        </is>
      </c>
    </row>
    <row r="18">
      <c r="B18" s="9" t="inlineStr">
        <is>
          <t>Base</t>
        </is>
      </c>
      <c r="C18" s="9" t="inlineStr">
        <is>
          <t>Bull</t>
        </is>
      </c>
      <c r="D18" s="9" t="inlineStr">
        <is>
          <t>Bear</t>
        </is>
      </c>
    </row>
    <row r="19">
      <c r="A19" t="inlineStr">
        <is>
          <t>Total Return % p.a.</t>
        </is>
      </c>
      <c r="B19" s="7" t="n">
        <v>0.07000000000000001</v>
      </c>
      <c r="C19" s="7" t="n">
        <v>0.09</v>
      </c>
      <c r="D19" s="7" t="n">
        <v>0.03</v>
      </c>
    </row>
    <row r="20">
      <c r="A20" t="inlineStr">
        <is>
          <t>Dividend Yield % (of avg NAV)</t>
        </is>
      </c>
      <c r="B20" s="7" t="n">
        <v>0.08</v>
      </c>
      <c r="C20" s="7" t="n">
        <v>0.08</v>
      </c>
      <c r="D20" s="7" t="n">
        <v>0.08</v>
      </c>
    </row>
    <row r="21">
      <c r="A21" t="inlineStr">
        <is>
          <t>Implied NAV Growth %</t>
        </is>
      </c>
      <c r="B21" s="10">
        <f>B19-B20</f>
        <v/>
      </c>
      <c r="C21" s="10">
        <f>C19-C20</f>
        <v/>
      </c>
      <c r="D21" s="10">
        <f>D19-D20</f>
        <v/>
      </c>
    </row>
    <row r="22">
      <c r="A22" t="inlineStr">
        <is>
          <t>Exit Discount to NAV %</t>
        </is>
      </c>
      <c r="B22" s="7" t="n">
        <v>0.08</v>
      </c>
      <c r="C22" s="7" t="n">
        <v>0</v>
      </c>
      <c r="D22" s="7" t="n">
        <v>0.16</v>
      </c>
    </row>
    <row r="23">
      <c r="A23" t="inlineStr">
        <is>
          <t>Cost of Equity %</t>
        </is>
      </c>
      <c r="B23" s="7" t="n">
        <v>0.095</v>
      </c>
      <c r="C23" s="7" t="n">
        <v>0.09</v>
      </c>
      <c r="D23" s="7" t="n">
        <v>0.105</v>
      </c>
    </row>
    <row r="25">
      <c r="A25" s="2" t="inlineStr">
        <is>
          <t>PROJECTIONS (Base Case)</t>
        </is>
      </c>
    </row>
    <row r="26">
      <c r="B26" s="9" t="inlineStr">
        <is>
          <t>FY2027</t>
        </is>
      </c>
      <c r="C26" s="9" t="inlineStr">
        <is>
          <t>FY2028</t>
        </is>
      </c>
      <c r="D26" s="9" t="inlineStr">
        <is>
          <t>FY2029</t>
        </is>
      </c>
      <c r="E26" s="9" t="inlineStr">
        <is>
          <t>FY2030</t>
        </is>
      </c>
      <c r="F26" s="9" t="inlineStr">
        <is>
          <t>FY2031</t>
        </is>
      </c>
    </row>
    <row r="27">
      <c r="A27" t="inlineStr">
        <is>
          <t>NAV per Share (NZD)</t>
        </is>
      </c>
      <c r="B27" s="11">
        <f>$B$7*(1+$B$21)</f>
        <v/>
      </c>
      <c r="C27" s="11">
        <f>B27*(1+$B$21)</f>
        <v/>
      </c>
      <c r="D27" s="11">
        <f>C27*(1+$B$21)</f>
        <v/>
      </c>
      <c r="E27" s="11">
        <f>D27*(1+$B$21)</f>
        <v/>
      </c>
      <c r="F27" s="11">
        <f>E27*(1+$B$21)</f>
        <v/>
      </c>
    </row>
    <row r="28">
      <c r="A28" t="inlineStr">
        <is>
          <t>Dividend per Share (NZD, avg-NAV basis)</t>
        </is>
      </c>
      <c r="B28" s="11">
        <f>($B$7+B27)/2*$B$20</f>
        <v/>
      </c>
      <c r="C28" s="11">
        <f>(B27+C27)/2*$B$20</f>
        <v/>
      </c>
      <c r="D28" s="11">
        <f>(C27+D27)/2*$B$20</f>
        <v/>
      </c>
      <c r="E28" s="11">
        <f>(D27+E27)/2*$B$20</f>
        <v/>
      </c>
      <c r="F28" s="11">
        <f>(E27+F27)/2*$B$20</f>
        <v/>
      </c>
    </row>
    <row r="30">
      <c r="A30" s="2" t="inlineStr">
        <is>
          <t>VALUATION — Headline (current NAV x fair discount)</t>
        </is>
      </c>
    </row>
    <row r="31">
      <c r="B31" s="9" t="inlineStr">
        <is>
          <t>Base</t>
        </is>
      </c>
      <c r="C31" s="9" t="inlineStr">
        <is>
          <t>Bull</t>
        </is>
      </c>
      <c r="D31" s="9" t="inlineStr">
        <is>
          <t>Bear</t>
        </is>
      </c>
    </row>
    <row r="32">
      <c r="A32" t="inlineStr">
        <is>
          <t>Intrinsic Value (NZD)</t>
        </is>
      </c>
      <c r="B32" s="12">
        <f>$B$7*(1-B22)</f>
        <v/>
      </c>
      <c r="C32" s="12">
        <f>$B$7*(1-C22)</f>
        <v/>
      </c>
      <c r="D32" s="12">
        <f>$B$7*(1-D22)</f>
        <v/>
      </c>
    </row>
    <row r="33">
      <c r="A33" t="inlineStr">
        <is>
          <t>Upside/(Downside) vs MLN.NZ price</t>
        </is>
      </c>
      <c r="B33" s="10">
        <f>B32/$B$6-1</f>
        <v/>
      </c>
      <c r="C33" s="10">
        <f>C32/$B$6-1</f>
        <v/>
      </c>
      <c r="D33" s="10">
        <f>D32/$B$6-1</f>
        <v/>
      </c>
    </row>
    <row r="35">
      <c r="A35" s="2" t="inlineStr">
        <is>
          <t>5-YEAR IRR BUILD (memo cross-check)</t>
        </is>
      </c>
    </row>
    <row r="36">
      <c r="B36" s="9" t="inlineStr">
        <is>
          <t>Base</t>
        </is>
      </c>
      <c r="C36" s="9" t="inlineStr">
        <is>
          <t>Bull</t>
        </is>
      </c>
      <c r="D36" s="9" t="inlineStr">
        <is>
          <t>Bear</t>
        </is>
      </c>
    </row>
    <row r="37">
      <c r="A37" t="inlineStr">
        <is>
          <t>Year-5 NAV (NZD)</t>
        </is>
      </c>
      <c r="B37" s="12">
        <f>$B$7*(1+B21)^5</f>
        <v/>
      </c>
      <c r="C37" s="12">
        <f>$B$7*(1+C21)^5</f>
        <v/>
      </c>
      <c r="D37" s="12">
        <f>$B$7*(1+D21)^5</f>
        <v/>
      </c>
    </row>
    <row r="38">
      <c r="A38" t="inlineStr">
        <is>
          <t>Year-5 Exit Price (NZD)</t>
        </is>
      </c>
      <c r="B38" s="12">
        <f>B37*(1-B22)</f>
        <v/>
      </c>
      <c r="C38" s="12">
        <f>C37*(1-C22)</f>
        <v/>
      </c>
      <c r="D38" s="12">
        <f>D37*(1-D22)</f>
        <v/>
      </c>
    </row>
    <row r="39">
      <c r="A39" t="inlineStr">
        <is>
          <t>PV of Dividends @ CoE (NZD)</t>
        </is>
      </c>
      <c r="B39" s="12">
        <f t="array" ref="B39">SUMPRODUCT(B28:F28,1/(1+B23)^{1,2,3,4,5})</f>
        <v/>
      </c>
      <c r="C39" s="12">
        <f t="array" ref="C39">SUMPRODUCT(B42:F42,1/(1+C23)^{1,2,3,4,5})</f>
        <v/>
      </c>
      <c r="D39" s="12">
        <f t="array" ref="D39">SUMPRODUCT(B44:F44,1/(1+D23)^{1,2,3,4,5})</f>
        <v/>
      </c>
    </row>
    <row r="40">
      <c r="A40" t="inlineStr">
        <is>
          <t>PV of Exit Value @ CoE (NZD)</t>
        </is>
      </c>
      <c r="B40" s="12">
        <f>B38/(1+B23)^5</f>
        <v/>
      </c>
      <c r="C40" s="12">
        <f>C38/(1+C23)^5</f>
        <v/>
      </c>
      <c r="D40" s="12">
        <f>D38/(1+D23)^5</f>
        <v/>
      </c>
    </row>
    <row r="41">
      <c r="A41" t="inlineStr">
        <is>
          <t>Bull dividend stream (helper)</t>
        </is>
      </c>
      <c r="B41" s="13">
        <f>$B$7*(1+C21)</f>
        <v/>
      </c>
      <c r="C41" s="13">
        <f>B41*(1+C21)</f>
        <v/>
      </c>
      <c r="D41" s="13">
        <f>C41*(1+C21)</f>
        <v/>
      </c>
      <c r="E41" s="13">
        <f>D41*(1+C21)</f>
        <v/>
      </c>
      <c r="F41" s="13">
        <f>E41*(1+C21)</f>
        <v/>
      </c>
    </row>
    <row r="42">
      <c r="A42" t="inlineStr">
        <is>
          <t>Bull NAV path (helper)</t>
        </is>
      </c>
      <c r="B42" s="13">
        <f>($B$7+B41)/2*$C$20</f>
        <v/>
      </c>
      <c r="C42" s="13">
        <f>(B41+C41)/2*$C$20</f>
        <v/>
      </c>
      <c r="D42" s="13">
        <f>(C41+D41)/2*$C$20</f>
        <v/>
      </c>
      <c r="E42" s="13">
        <f>(D41+E41)/2*$C$20</f>
        <v/>
      </c>
      <c r="F42" s="13">
        <f>(E41+F41)/2*$C$20</f>
        <v/>
      </c>
    </row>
    <row r="43">
      <c r="A43" t="inlineStr">
        <is>
          <t>Bear NAV path (helper)</t>
        </is>
      </c>
      <c r="B43" s="13">
        <f>$B$7*(1+D21)</f>
        <v/>
      </c>
      <c r="C43" s="13">
        <f>B43*(1+D21)</f>
        <v/>
      </c>
      <c r="D43" s="13">
        <f>C43*(1+D21)</f>
        <v/>
      </c>
      <c r="E43" s="13">
        <f>D43*(1+D21)</f>
        <v/>
      </c>
      <c r="F43" s="13">
        <f>E43*(1+D21)</f>
        <v/>
      </c>
    </row>
    <row r="44">
      <c r="A44" t="inlineStr">
        <is>
          <t>Bear dividend stream (helper)</t>
        </is>
      </c>
      <c r="B44" s="13">
        <f>($B$7+B43)/2*$D$20</f>
        <v/>
      </c>
      <c r="C44" s="13">
        <f>(B43+C43)/2*$D$20</f>
        <v/>
      </c>
      <c r="D44" s="13">
        <f>(C43+D43)/2*$D$20</f>
        <v/>
      </c>
      <c r="E44" s="13">
        <f>(D43+E43)/2*$D$20</f>
        <v/>
      </c>
      <c r="F44" s="13">
        <f>(E43+F43)/2*$D$20</f>
        <v/>
      </c>
    </row>
    <row r="46">
      <c r="A46" t="inlineStr">
        <is>
          <t>Fair Value, 5yr IRR build (NZD)</t>
        </is>
      </c>
      <c r="B46" s="14">
        <f>B39+B40</f>
        <v/>
      </c>
      <c r="C46" s="14">
        <f>C39+C40</f>
        <v/>
      </c>
      <c r="D46" s="14">
        <f>D39+D40</f>
        <v/>
      </c>
    </row>
    <row r="48">
      <c r="A48" s="2" t="inlineStr">
        <is>
          <t>ENTRY PRICE (15% IRR Target, Base Case)</t>
        </is>
      </c>
    </row>
    <row r="49">
      <c r="A49" t="inlineStr">
        <is>
          <t>Hurdle Rate</t>
        </is>
      </c>
      <c r="B49" s="7" t="n">
        <v>0.15</v>
      </c>
    </row>
    <row r="50">
      <c r="A50" t="inlineStr">
        <is>
          <t>PV of Dividends @ 15% (NZD)</t>
        </is>
      </c>
      <c r="B50" s="12">
        <f t="array" ref="B50">SUMPRODUCT(B28:F28,1/(1+$B$49)^{1,2,3,4,5})</f>
        <v/>
      </c>
    </row>
    <row r="51">
      <c r="A51" t="inlineStr">
        <is>
          <t>PV of Exit Value @ 15% (NZD)</t>
        </is>
      </c>
      <c r="B51" s="12">
        <f>B38/(1+$B$49)^5</f>
        <v/>
      </c>
    </row>
    <row r="52">
      <c r="A52" t="inlineStr">
        <is>
          <t>Entry Price (NZD)</t>
        </is>
      </c>
      <c r="B52" s="15">
        <f>B50+B51</f>
        <v/>
      </c>
    </row>
    <row r="53">
      <c r="A53" t="inlineStr">
        <is>
          <t>Discount to Current Price</t>
        </is>
      </c>
      <c r="B53" s="10">
        <f>B52/$B$6-1</f>
        <v/>
      </c>
    </row>
    <row r="55">
      <c r="A55" t="inlineStr">
        <is>
          <t>NOTE: A 15% IRR hurdle implies buying at a much deeper discount to NAV than</t>
        </is>
      </c>
    </row>
    <row r="56">
      <c r="A56" t="inlineStr">
        <is>
          <t>Marlin has historically traded at outside the FY2021/22 growth-bubble premium era.</t>
        </is>
      </c>
    </row>
    <row r="57">
      <c r="A57" t="inlineStr">
        <is>
          <t>Judge this ticker on total return vs its ~9.5% cost of equity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Analysis — Fair Value (NZD)</t>
        </is>
      </c>
    </row>
    <row r="2">
      <c r="A2" t="inlineStr">
        <is>
          <t>5yr IRR-build fair value at base-case 9.5% cost of equity</t>
        </is>
      </c>
    </row>
    <row r="3">
      <c r="A3" t="inlineStr">
        <is>
          <t>Discount \ Return</t>
        </is>
      </c>
      <c r="B3" s="16" t="n">
        <v>0.03</v>
      </c>
      <c r="C3" s="16" t="n">
        <v>0.05</v>
      </c>
      <c r="D3" s="16" t="n">
        <v>0.07000000000000001</v>
      </c>
      <c r="E3" s="16" t="n">
        <v>0.09</v>
      </c>
      <c r="F3" s="16" t="n">
        <v>0.11</v>
      </c>
    </row>
    <row r="4">
      <c r="A4" s="17" t="n">
        <v>0.16</v>
      </c>
      <c r="B4" s="12" t="n">
        <v>0.5867</v>
      </c>
      <c r="C4" s="12" t="n">
        <v>0.6365</v>
      </c>
      <c r="D4" s="12" t="n">
        <v>0.6902</v>
      </c>
      <c r="E4" s="12" t="n">
        <v>0.748</v>
      </c>
      <c r="F4" s="12" t="n">
        <v>0.8101</v>
      </c>
    </row>
    <row r="5">
      <c r="A5" s="17" t="n">
        <v>0.12</v>
      </c>
      <c r="B5" s="12" t="n">
        <v>0.6035</v>
      </c>
      <c r="C5" s="12" t="n">
        <v>0.6552</v>
      </c>
      <c r="D5" s="12" t="n">
        <v>0.7109</v>
      </c>
      <c r="E5" s="12" t="n">
        <v>0.7709</v>
      </c>
      <c r="F5" s="12" t="n">
        <v>0.8353</v>
      </c>
    </row>
    <row r="6">
      <c r="A6" s="17" t="n">
        <v>0.08</v>
      </c>
      <c r="B6" s="12" t="n">
        <v>0.6203</v>
      </c>
      <c r="C6" s="12" t="n">
        <v>0.6738</v>
      </c>
      <c r="D6" s="12" t="n">
        <v>0.7315</v>
      </c>
      <c r="E6" s="12" t="n">
        <v>0.7937</v>
      </c>
      <c r="F6" s="12" t="n">
        <v>0.8605</v>
      </c>
    </row>
    <row r="7">
      <c r="A7" s="17" t="n">
        <v>0.04</v>
      </c>
      <c r="B7" s="12" t="n">
        <v>0.6371</v>
      </c>
      <c r="C7" s="12" t="n">
        <v>0.6925</v>
      </c>
      <c r="D7" s="12" t="n">
        <v>0.7522</v>
      </c>
      <c r="E7" s="12" t="n">
        <v>0.8165</v>
      </c>
      <c r="F7" s="12" t="n">
        <v>0.8857</v>
      </c>
    </row>
    <row r="8">
      <c r="A8" s="17" t="n">
        <v>0</v>
      </c>
      <c r="B8" s="12" t="n">
        <v>0.6539</v>
      </c>
      <c r="C8" s="12" t="n">
        <v>0.7111</v>
      </c>
      <c r="D8" s="12" t="n">
        <v>0.7728</v>
      </c>
      <c r="E8" s="12" t="n">
        <v>0.8393</v>
      </c>
      <c r="F8" s="12" t="n">
        <v>0.9109</v>
      </c>
    </row>
    <row r="10">
      <c r="A10" t="inlineStr">
        <is>
          <t>Values are the 5-year IRR-build fair value in NZD, not the headline current-NAV</t>
        </is>
      </c>
    </row>
    <row r="11">
      <c r="A11" t="inlineStr">
        <is>
          <t>intrinsic value — they capture NAV compounding (or decay) over the horizon.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Historical NAV, Price &amp; Discount</t>
        </is>
      </c>
    </row>
    <row r="2">
      <c r="A2" s="9" t="inlineStr">
        <is>
          <t>Fiscal Year</t>
        </is>
      </c>
      <c r="B2" s="9" t="inlineStr">
        <is>
          <t>NAV/share (NZD)</t>
        </is>
      </c>
      <c r="C2" s="9" t="inlineStr">
        <is>
          <t>Share Price (NZD)</t>
        </is>
      </c>
      <c r="D2" s="9" t="inlineStr">
        <is>
          <t>Discount to NAV %</t>
        </is>
      </c>
      <c r="E2" s="9" t="inlineStr">
        <is>
          <t>Adjusted NAV Return %</t>
        </is>
      </c>
      <c r="F2" s="9" t="inlineStr">
        <is>
          <t>Benchmark Return %</t>
        </is>
      </c>
    </row>
    <row r="3">
      <c r="A3" t="inlineStr">
        <is>
          <t>FY2017</t>
        </is>
      </c>
      <c r="B3" s="18" t="n">
        <v>0.89</v>
      </c>
      <c r="C3" s="18" t="n"/>
      <c r="D3" s="8" t="n"/>
      <c r="E3" s="8" t="n"/>
      <c r="F3" s="8" t="n"/>
    </row>
    <row r="4">
      <c r="A4" t="inlineStr">
        <is>
          <t>FY2018</t>
        </is>
      </c>
      <c r="B4" s="18" t="n">
        <v>1.02</v>
      </c>
      <c r="C4" s="18" t="n"/>
      <c r="D4" s="8" t="n"/>
      <c r="E4" s="8" t="n"/>
      <c r="F4" s="8" t="n"/>
    </row>
    <row r="5">
      <c r="A5" t="inlineStr">
        <is>
          <t>FY2019</t>
        </is>
      </c>
      <c r="B5" s="18" t="n">
        <v>0.96</v>
      </c>
      <c r="C5" s="18" t="n"/>
      <c r="D5" s="8" t="n"/>
      <c r="E5" s="8" t="n"/>
      <c r="F5" s="8" t="n"/>
    </row>
    <row r="6">
      <c r="A6" t="inlineStr">
        <is>
          <t>FY2020</t>
        </is>
      </c>
      <c r="B6" s="18" t="n">
        <v>1.03</v>
      </c>
      <c r="C6" s="18" t="n"/>
      <c r="D6" s="8" t="n"/>
      <c r="E6" s="8" t="n"/>
      <c r="F6" s="8" t="n"/>
    </row>
    <row r="7">
      <c r="A7" t="inlineStr">
        <is>
          <t>FY2021</t>
        </is>
      </c>
      <c r="B7" s="18" t="n">
        <v>1.28</v>
      </c>
      <c r="C7" s="18" t="n">
        <v>1.6</v>
      </c>
      <c r="D7" s="8" t="n">
        <v>-0.305</v>
      </c>
      <c r="E7" s="8" t="n">
        <v>0.403</v>
      </c>
      <c r="F7" s="8" t="n">
        <v>0.378</v>
      </c>
    </row>
    <row r="8">
      <c r="A8" t="inlineStr">
        <is>
          <t>FY2022</t>
        </is>
      </c>
      <c r="B8" s="18" t="n">
        <v>0.89</v>
      </c>
      <c r="C8" s="18" t="n">
        <v>1.12</v>
      </c>
      <c r="D8" s="8" t="n">
        <v>-0.258</v>
      </c>
      <c r="E8" s="8" t="n">
        <v>-0.256</v>
      </c>
      <c r="F8" s="8" t="n">
        <v>-0.128</v>
      </c>
    </row>
    <row r="9">
      <c r="A9" t="inlineStr">
        <is>
          <t>FY2023</t>
        </is>
      </c>
      <c r="B9" s="18" t="n">
        <v>0.93</v>
      </c>
      <c r="C9" s="18" t="n">
        <v>0.92</v>
      </c>
      <c r="D9" s="8" t="n">
        <v>0.011</v>
      </c>
      <c r="E9" s="8" t="n">
        <v>0.138</v>
      </c>
      <c r="F9" s="8" t="n">
        <v>0.153</v>
      </c>
    </row>
    <row r="10">
      <c r="A10" t="inlineStr">
        <is>
          <t>FY2024</t>
        </is>
      </c>
      <c r="B10" s="18" t="n">
        <v>1.03</v>
      </c>
      <c r="C10" s="18" t="n">
        <v>0.96</v>
      </c>
      <c r="D10" s="8" t="n">
        <v>0.058</v>
      </c>
      <c r="E10" s="8" t="n">
        <v>0.195</v>
      </c>
      <c r="F10" s="8" t="n">
        <v>0.152</v>
      </c>
    </row>
    <row r="11">
      <c r="A11" t="inlineStr">
        <is>
          <t>FY2025</t>
        </is>
      </c>
      <c r="B11" s="18" t="n">
        <v>0.95</v>
      </c>
      <c r="C11" s="18" t="n">
        <v>0.91</v>
      </c>
      <c r="D11" s="8" t="n">
        <v>0.042</v>
      </c>
      <c r="E11" s="8" t="n">
        <v>0.002</v>
      </c>
      <c r="F11" s="8" t="n">
        <v>0.149</v>
      </c>
    </row>
    <row r="13">
      <c r="A13" t="inlineStr">
        <is>
          <t>5-Year Average Discount (FY21-25):</t>
        </is>
      </c>
      <c r="B13" s="8" t="n">
        <v>-0.09039999999999999</v>
      </c>
    </row>
    <row r="14">
      <c r="A14" t="inlineStr">
        <is>
          <t>Ex-COVID-bubble average (FY23-25):</t>
        </is>
      </c>
      <c r="B14" s="8" t="n">
        <v>0.03700000000000001</v>
      </c>
    </row>
    <row r="15">
      <c r="A15" t="inlineStr">
        <is>
          <t>Current Discount (approx, 20-Aug-2026):</t>
        </is>
      </c>
      <c r="B15" s="8" t="n">
        <v>0.08856908856908852</v>
      </c>
    </row>
    <row r="16">
      <c r="A16" t="inlineStr">
        <is>
          <t>Discount range (widest disc / widest premium):</t>
        </is>
      </c>
      <c r="B16" t="inlineStr">
        <is>
          <t>+16.0% (Aug-2026) / -30.5% (FY2021)</t>
        </is>
      </c>
    </row>
    <row r="17">
      <c r="A17" t="inlineStr">
        <is>
          <t>Data as of 2026-08-20. FY2021-25 figures from FY2025 Annual Report 5-year performance table; FY2017-20 NAV-only from earlier annual reports.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Model Provenance &amp; Methodology</t>
        </is>
      </c>
    </row>
    <row r="2" ht="60" customHeight="1">
      <c r="A2" s="2" t="inlineStr">
        <is>
          <t>Ticker</t>
        </is>
      </c>
      <c r="B2" s="19" t="inlineStr">
        <is>
          <t>MLN.NZ (NZX Main Board, single listing)</t>
        </is>
      </c>
    </row>
    <row r="3" ht="60" customHeight="1">
      <c r="A3" s="2" t="inlineStr">
        <is>
          <t>Company</t>
        </is>
      </c>
      <c r="B3" s="19" t="inlineStr">
        <is>
          <t>Marlin Global Limited</t>
        </is>
      </c>
    </row>
    <row r="4" ht="60" customHeight="1">
      <c r="A4" s="2" t="inlineStr">
        <is>
          <t>Model type</t>
        </is>
      </c>
      <c r="B4" s="19" t="inlineStr">
        <is>
          <t>NAV-compounding + exit-discount model — NOT an FCF/WACC DCF. Marlin is an externally-managed (Fisher Funds), closed-end investment company with no debt, no SBC, no capex/working-capital cycle. See valuation_philosophy in the JSON.</t>
        </is>
      </c>
    </row>
    <row r="5" ht="60" customHeight="1">
      <c r="A5" s="2" t="inlineStr">
        <is>
          <t>Built by</t>
        </is>
      </c>
      <c r="B5" s="19" t="inlineStr">
        <is>
          <t>dcf-analyst agent, following the AFI.NZ / BIT.NZ NAV-compounding schema convention used across LIC tickers in this research folder.</t>
        </is>
      </c>
    </row>
    <row r="6" ht="60" customHeight="1">
      <c r="A6" s="2" t="inlineStr">
        <is>
          <t>Data vintage</t>
        </is>
      </c>
      <c r="B6" s="19" t="inlineStr">
        <is>
          <t>NAV $0.8547/share undiluted as at 11-Aug-2026 (web-sourced update per MLN.NZ_Analysis.json; last filing-grounded NAV print is $0.8003 at 21-Jul-2026 per MLN.NZ_Presentation_2026.txt). Share price NZD $0.779 as at 20-Aug-2026 (live Yahoo regularMarketPrice, regular NZX close). Shares outstanding 227,281,977 as at 31-Dec-2025 (H1 FY2026 interim report).</t>
        </is>
      </c>
    </row>
    <row r="7" ht="60" customHeight="1">
      <c r="A7" s="2" t="inlineStr">
        <is>
          <t>Key methodology choices</t>
        </is>
      </c>
      <c r="B7" s="19" t="inlineStr">
        <is>
          <t>(1) Marlin's 2%-of-average-NAV-per-quarter (~8%/yr) distribution policy is modelled explicitly — it is the primary total-return delivery mechanism, and NAV per share has been essentially flat over 8 years (+0.82%/yr FY2017-FY2025) as a direct consequence, so implied NAV growth in every scenario = total return less the 8% payout, which is negative in the base and bear cases. (2) Exit discount scenarios are anchored to Marlin's own actually-observed range: bull=0% (par, last seen ~30-Jun-2026), base=8% (between the FY2024/25 disclosed 4-6% and the Aug-2026 wide), bear=16% (the widest discount actually printed, 11-Aug-2026) — the FY2021/22 premium era (-30.5%/-25.8%) is treated as a non-repeating COVID-era growth-stock bubble, not a base case. (3) Cost of equity ~9-10.5%, appropriate for a liquid listed global-equity LIC, not a micro-cap stacked WACC. (4) Entry price uses the corrected formula (post 2026-07-21 fix): PV of interim dividends + PV of year-5 exit value, both at the 15% hurdle, not terminal value alone.</t>
        </is>
      </c>
    </row>
    <row r="8" ht="60" customHeight="1">
      <c r="A8" s="2" t="inlineStr">
        <is>
          <t>Warrant overhang</t>
        </is>
      </c>
      <c r="B8" s="19" t="inlineStr">
        <is>
          <t>57,341,670 MLNWH warrants on issue (~25% of shares), exercisable 23-Apr-2027 at $0.87 less dividends declared from 23-Apr-2026 (effective strike falling below $0.87 as more dividends are declared). Currently out-of-the-money vs the ~$0.80-0.85 NAV and not modelled as mechanically dilutive in the base/bull cases; the bear case narrative reflects the overhang as discount-widening market pressure, consistent with mid-2026 commentary, rather than a share-count mechanic.</t>
        </is>
      </c>
    </row>
    <row r="9" ht="60" customHeight="1">
      <c r="A9" s="2" t="inlineStr">
        <is>
          <t>What to refresh after next report</t>
        </is>
      </c>
      <c r="B9" s="19" t="inlineStr">
        <is>
          <t>FY2026 Annual Report (year to 30-Jun-2026, expected ~Sep-2026): update NAV/share, share price, discount, dividend total, shares outstanding (post any FY2026 buybacks/DRP/warrant conversions), management/performance fee actually charged, and re-check whether the post-FY2025 portfolio review narrowed the benchmark underperformance gap. Also refresh the live share price at each re-run — MLN.NZ has shown double-digit swings in the discount within weeks during 2026.</t>
        </is>
      </c>
    </row>
    <row r="10" ht="60" customHeight="1">
      <c r="A10" s="2" t="inlineStr">
        <is>
          <t>Cell colour conventions</t>
        </is>
      </c>
      <c r="B10" s="19" t="inlineStr">
        <is>
          <t>Gray-shaded cells = editable inputs. White cells with borders = formulas (do not hand-edit). Green cell = headline entry-price result. Small italic gray rows (41-44) are helper calculation paths for bull/bear dividend streams, not primary inputs.</t>
        </is>
      </c>
    </row>
    <row r="11" ht="60" customHeight="1">
      <c r="A11" s="2" t="inlineStr">
        <is>
          <t>Staleness warning</t>
        </is>
      </c>
      <c r="B11" s="19" t="inlineStr">
        <is>
          <t>All figures in this workbook were current as of 2026-08-20 and WILL go stale — NAV, discount, dividend yield, and share price all move continuously for a listed investment company, and MLN.NZ specifically has shown an unusually volatile discount (par to 16%+ within about six weeks in mid-2026). Re-verify before relying on any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2026-08-20T02:27:30Z</dcterms:created>
  <dcterms:modified xsi:type="dcterms:W3CDTF">2026-08-20T02:27:30Z</dcterms:modified>
</cp:coreProperties>
</file>