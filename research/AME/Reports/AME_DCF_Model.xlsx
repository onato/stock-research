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<sst xmlns="http://schemas.openxmlformats.org/spreadsheetml/2006/main" count="390" uniqueCount="176">
  <si>
    <t xml:space="preserve">Ticker</t>
  </si>
  <si>
    <t xml:space="preserve">AME</t>
  </si>
  <si>
    <t xml:space="preserve">Company</t>
  </si>
  <si>
    <t xml:space="preserve">AMETEK, Inc.</t>
  </si>
  <si>
    <t xml:space="preserve">Valuation date</t>
  </si>
  <si>
    <t xml:space="preserve">2026-09-25</t>
  </si>
  <si>
    <t xml:space="preserve">Current price</t>
  </si>
  <si>
    <t xml:space="preserve">Price as of</t>
  </si>
  <si>
    <t xml:space="preserve">2026-09-24T20:00:02Z regular close</t>
  </si>
  <si>
    <t xml:space="preserve">Balance sheet date</t>
  </si>
  <si>
    <t xml:space="preserve">2026-06-30 (pro forma for Indicor, closed 2026-08-26)</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</si>
  <si>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</si>
  <si>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</si>
  <si>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</si>
  <si>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</si>
  <si>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</si>
  <si>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</si>
  <si>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</si>
  <si>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</si>
  <si>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</si>
  <si>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</si>
  <si>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2026-09-25T09:55:15Z</t>
  </si>
  <si>
    <t xml:space="preserve">Drivers file</t>
  </si>
  <si>
    <t xml:space="preserve">AME_Drivers.json</t>
  </si>
  <si>
    <t xml:space="preserve">Convention</t>
  </si>
  <si>
    <t xml:space="preserve">Percents stored as percents; formulas divide by 100. Blue = input, green = link, black = formula.</t>
  </si>
  <si>
    <t xml:space="preserve">Methodology</t>
  </si>
  <si>
    <t xml:space="preserve">summary: AMETEK is valued as a mature, high-margin niche-instrument compounder on an owner-FCF basis, using organic growth only: the acquisition half of its historical growth algorithm is not credited, because the FCF that would fund future deals is already counted as distributable. Indicor is included from its closing (revenue and the ~$5bn of debt that paid for it).
key_risks_to_valuation: Indicor integration: ~$5bn, the largest deal in AMETEK's history, closed 26-Aug-2026; its margin and growth are assumed, not yet reported; Pro forma net debt is an estimate (June balance sheet + ~$5bn deal debt); the Q3 10-Q will fix it; Order surge may be pull-forward ahead of tariffs or aerospace restocking; Terminal value is roughly three-quarters of EV; the 18x cap binds in the base case; Excluding future M&amp;A is conservative relative to how the market values AMETEK's capital-deployment record</t>
  </si>
  <si>
    <t xml:space="preserve">Data sources</t>
  </si>
  <si>
    <t xml:space="preserve">price: Yahoo Finance chart API at inputs.price_as_of; 52-week range 179.24-261.16
financials: SEC XBRL via AME_Metrics.csv (FY2006-Q2 2026): revenue, EBITDA, D&amp;A, SBC, capex, cash taxes, buybacks, June-2026 balance sheet
qualitative: AME_Analysis.json: Indicor Instrumentation acquisition (~$5bn, ~$1.1bn sales, closed 2026-08-26), Q2 2026 results, FY2026 guidance (adj. EPS $8.20-8.30, sales ~+10%), ~2.3x leverage at close</t>
  </si>
  <si>
    <t xml:space="preserve">Scenario narrative: bear</t>
  </si>
  <si>
    <t xml:space="preserve">The 2026 order spike is pre-tariff pull-forward and aerospace restocking that reverses: organic sales fall ~1% next year and grow only 2-3% after, as China exposure and trade policy weigh on process and analytical instruments. Indicor, AMETEK's largest-ever deal, integrates poorly and dilutes margins; with leverage at ~2.3x the compounding M&amp;A engine stalls. Margins give back ~2pp to ~30% and the market re-rates the name to an industrial multiple (15x cap, 2.5% terminal growth).</t>
  </si>
  <si>
    <t xml:space="preserve">Scenario narrative: base</t>
  </si>
  <si>
    <t xml:space="preserve">Indicor Instrumentation (~$1.1bn sales, recurring consumables/aftermarket) is folded into EIG and EMG on AMETEK's usual Operational Excellence playbook; the record $4.1bn backlog and +25% organic orders support ~6% organic growth next year fading to ~3-4% as aerospace/defense and process-instrument cycles normalise. Tariff costs (~$70m in 2025) continue to be priced through. Blended EBITDA margin dips on Indicor in year 1 then recovers ~1pp. Free cash flow goes to deleveraging from ~2.3x rather than buybacks or new deals; no further acquisitions are credited.</t>
  </si>
  <si>
    <t xml:space="preserve">Scenario narrative: bull</t>
  </si>
  <si>
    <t xml:space="preserve">The order surge (+28%, EMG +35% organic) proves to be the front end of a multi-year aerospace, defense and automation upcycle, sustaining 7-9% organic growth for several years; AMETEK lifts Indicor's margins to group level as it has with prior deals, pushing pre-SBC EBITDA margin toward 34%. The market continues to pay a premium multiple for a compounder with this record (20x terminal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</si>
  <si>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</si>
  <si>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</si>
  <si>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</si>
  <si>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</si>
  <si>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</si>
  <si>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</si>
  <si>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</si>
  <si>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</si>
  <si>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</si>
  <si>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</si>
  <si>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</si>
  <si>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</si>
  <si>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</si>
  <si>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</si>
  <si>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</si>
  <si>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</si>
  <si>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</si>
  <si>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</si>
  <si>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</si>
  <si>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</si>
  <si>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</si>
  <si>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</si>
  <si>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</si>
  <si>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</si>
  <si>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</si>
  <si>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</si>
  <si>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</si>
  <si>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</si>
  <si>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</si>
  <si>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</si>
  <si>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</si>
  <si>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</si>
  <si>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</si>
  <si>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</si>
  <si>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</si>
  <si>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</si>
  <si>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</si>
  <si>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</si>
  <si>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</si>
  <si>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</si>
  <si>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</si>
  <si>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</si>
  <si>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</si>
  <si>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</si>
  <si>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</si>
  <si>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</si>
  <si>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</si>
  <si>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</si>
  <si>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</si>
  <si>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</si>
  <si>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</si>
  <si>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</si>
  <si>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</si>
  <si>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</si>
  <si>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</si>
  <si>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</si>
  <si>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30 Jun 2026</t>
  </si>
  <si>
    <t xml:space="preserve">Currency / units</t>
  </si>
  <si>
    <t xml:space="preserve">USD millions</t>
  </si>
  <si>
    <t xml:space="preserve">FX rate (model -&gt; quote)</t>
  </si>
  <si>
    <t xml:space="preserve">BEAR</t>
  </si>
  <si>
    <t xml:space="preserve">TTM to 30 Jun 2027</t>
  </si>
  <si>
    <t xml:space="preserve">TTM to 30 Jun 2028</t>
  </si>
  <si>
    <t xml:space="preserve">TTM to 30 Jun 2029</t>
  </si>
  <si>
    <t xml:space="preserve">TTM to 30 Jun 2030</t>
  </si>
  <si>
    <t xml:space="preserve">TTM to 30 Jun 2031</t>
  </si>
  <si>
    <t xml:space="preserve">TTM to 30 Jun 2032</t>
  </si>
  <si>
    <t xml:space="preserve">TTM to 30 Jun 2033</t>
  </si>
  <si>
    <t xml:space="preserve">TTM to 30 Jun 2034</t>
  </si>
  <si>
    <t xml:space="preserve">TTM to 30 Jun 2035</t>
  </si>
  <si>
    <t xml:space="preserve">TTM to 30 Jun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</si>
  <si>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</si>
  <si>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</si>
  <si>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</si>
  <si>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</si>
  <si>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</si>
  <si>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</si>
  <si>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</si>
  <si>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</si>
  <si>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</si>
  <si>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</si>
  <si>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</si>
  <si>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</si>
  <si>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</si>
  <si>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</si>
  <si>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AME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</si>
  <si>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</si>
  <si>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</si>
  <si>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</si>
  <si>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</si>
  <si>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</si>
  <si>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</si>
  <si>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</si>
  <si>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</si>
  <si>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</si>
  <si>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</si>
  <si>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</si>
  <si>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</si>
  <si>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</si>
  <si>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</si>
  <si>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</si>
  <si>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</si>
  <si>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</si>
  <si>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</si>
  <si>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</si>
  <si>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</si>
  <si>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</si>
  <si>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</si>
  <si>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</si>
  <si>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</si>
  <si>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</si>
  <si>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</si>
  <si>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</si>
  <si>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</si>
  <si>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</si>
  <si>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</si>
  <si>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AME owner-FCF component DCF: base case (millions, USD)</t>
  </si>
  <si>
    <t xml:space="preserve">AME owner-FCF component DCF: bull case (millions, USD)</t>
  </si>
  <si>
    <t xml:space="preserve">AME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</si>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</sst>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247.74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S2" s="0" t="n">
        <v>49.091</v>
      </c>
      <c r="AA2" s="0" t="s">
        <v>17</v>
      </c>
      <c r="AB2" s="0" t="s">
        <v>14</v>
      </c>
    </row>
    <row r="3" customFormat="false" ht="15" hidden="false" customHeight="false" outlineLevel="0" collapsed="false">
      <c r="A3" s="0" t="s">
        <v>64</v>
      </c>
      <c r="B3" s="0" t="n">
        <v>2136.85</v>
      </c>
      <c r="F3" s="0" t="n">
        <v>386.574</v>
      </c>
      <c r="G3" s="0" t="n">
        <v>18.0908346397735</v>
      </c>
      <c r="H3" s="0" t="n">
        <v>439.239</v>
      </c>
      <c r="I3" s="0" t="n">
        <v>228.02</v>
      </c>
      <c r="J3" s="0" t="n">
        <v>10.6708472751948</v>
      </c>
      <c r="K3" s="0" t="n">
        <v>2.12</v>
      </c>
      <c r="L3" s="0" t="n">
        <v>278.523</v>
      </c>
      <c r="M3" s="0" t="n">
        <v>37.62</v>
      </c>
      <c r="N3" s="0" t="n">
        <v>240.903</v>
      </c>
      <c r="O3" s="0" t="n">
        <v>1240.707</v>
      </c>
      <c r="S3" s="0" t="n">
        <v>170.139</v>
      </c>
      <c r="T3" s="0" t="n">
        <v>107.58</v>
      </c>
      <c r="U3" s="0" t="n">
        <v>15.53</v>
      </c>
      <c r="AA3" s="0" t="s">
        <v>17</v>
      </c>
      <c r="AB3" s="0" t="s">
        <v>14</v>
      </c>
    </row>
    <row r="4" customFormat="false" ht="15" hidden="false" customHeight="false" outlineLevel="0" collapsed="false">
      <c r="A4" s="0" t="s">
        <v>65</v>
      </c>
      <c r="B4" s="0" t="n">
        <v>2531.135</v>
      </c>
      <c r="F4" s="0" t="n">
        <v>432.654</v>
      </c>
      <c r="G4" s="0" t="n">
        <v>17.0932802873019</v>
      </c>
      <c r="H4" s="0" t="n">
        <v>495.915</v>
      </c>
      <c r="I4" s="0" t="n">
        <v>246.952</v>
      </c>
      <c r="J4" s="0" t="n">
        <v>9.75657165658884</v>
      </c>
      <c r="K4" s="0" t="n">
        <v>1.53</v>
      </c>
      <c r="L4" s="0" t="n">
        <v>247.265</v>
      </c>
      <c r="M4" s="0" t="n">
        <v>44.215</v>
      </c>
      <c r="N4" s="0" t="n">
        <v>203.05</v>
      </c>
      <c r="O4" s="0" t="n">
        <v>1287.772</v>
      </c>
      <c r="P4" s="0" t="n">
        <v>3055.542</v>
      </c>
      <c r="Q4" s="0" t="n">
        <v>1767.77</v>
      </c>
      <c r="R4" s="0" t="n">
        <v>1111.681</v>
      </c>
      <c r="S4" s="0" t="n">
        <v>86.98</v>
      </c>
      <c r="T4" s="0" t="n">
        <v>161.164</v>
      </c>
      <c r="U4" s="0" t="n">
        <v>20.186</v>
      </c>
      <c r="AA4" s="0" t="s">
        <v>17</v>
      </c>
      <c r="AB4" s="0" t="s">
        <v>14</v>
      </c>
    </row>
    <row r="5" customFormat="false" ht="15" hidden="false" customHeight="false" outlineLevel="0" collapsed="false">
      <c r="A5" s="0" t="s">
        <v>66</v>
      </c>
      <c r="B5" s="0" t="n">
        <v>2098.355</v>
      </c>
      <c r="F5" s="0" t="n">
        <v>366.05</v>
      </c>
      <c r="G5" s="0" t="n">
        <v>17.4446173311952</v>
      </c>
      <c r="H5" s="0" t="n">
        <v>431.55</v>
      </c>
      <c r="I5" s="0" t="n">
        <v>205.77</v>
      </c>
      <c r="J5" s="0" t="n">
        <v>9.80625299341627</v>
      </c>
      <c r="K5" s="0" t="n">
        <v>1.27</v>
      </c>
      <c r="L5" s="0" t="n">
        <v>364.671</v>
      </c>
      <c r="M5" s="0" t="n">
        <v>33.062</v>
      </c>
      <c r="N5" s="0" t="n">
        <v>331.609</v>
      </c>
      <c r="O5" s="0" t="n">
        <v>1567.024</v>
      </c>
      <c r="P5" s="0" t="n">
        <v>3246.032</v>
      </c>
      <c r="Q5" s="0" t="n">
        <v>1679.008</v>
      </c>
      <c r="R5" s="0" t="n">
        <v>1127.482</v>
      </c>
      <c r="S5" s="0" t="n">
        <v>246.356</v>
      </c>
      <c r="T5" s="0" t="n">
        <v>161.775</v>
      </c>
      <c r="U5" s="0" t="n">
        <v>13.502</v>
      </c>
      <c r="AA5" s="0" t="s">
        <v>17</v>
      </c>
      <c r="AB5" s="0" t="s">
        <v>14</v>
      </c>
    </row>
    <row r="6" customFormat="false" ht="15" hidden="false" customHeight="false" outlineLevel="0" collapsed="false">
      <c r="A6" s="0" t="s">
        <v>67</v>
      </c>
      <c r="B6" s="0" t="n">
        <v>2470.952</v>
      </c>
      <c r="F6" s="0" t="n">
        <v>482.158</v>
      </c>
      <c r="G6" s="0" t="n">
        <v>19.5130459838961</v>
      </c>
      <c r="H6" s="0" t="n">
        <v>555.054</v>
      </c>
      <c r="I6" s="0" t="n">
        <v>283.932</v>
      </c>
      <c r="J6" s="0" t="n">
        <v>11.4907938316892</v>
      </c>
      <c r="K6" s="0" t="n">
        <v>1.18</v>
      </c>
      <c r="L6" s="0" t="n">
        <v>423.013</v>
      </c>
      <c r="M6" s="0" t="n">
        <v>39.183</v>
      </c>
      <c r="N6" s="0" t="n">
        <v>383.83</v>
      </c>
      <c r="O6" s="0" t="n">
        <v>1775.204</v>
      </c>
      <c r="P6" s="0" t="n">
        <v>3818.915</v>
      </c>
      <c r="Q6" s="0" t="n">
        <v>2043.711</v>
      </c>
      <c r="R6" s="0" t="n">
        <v>1265.664</v>
      </c>
      <c r="S6" s="0" t="n">
        <v>163.208</v>
      </c>
      <c r="T6" s="0" t="n">
        <v>241.326</v>
      </c>
      <c r="U6" s="0" t="n">
        <v>16.596</v>
      </c>
      <c r="AA6" s="0" t="s">
        <v>17</v>
      </c>
      <c r="AB6" s="0" t="s">
        <v>14</v>
      </c>
    </row>
    <row r="7" customFormat="false" ht="15" hidden="false" customHeight="false" outlineLevel="0" collapsed="false">
      <c r="A7" s="0" t="s">
        <v>68</v>
      </c>
      <c r="B7" s="0" t="n">
        <v>2989.914</v>
      </c>
      <c r="F7" s="0" t="n">
        <v>635.941</v>
      </c>
      <c r="G7" s="0" t="n">
        <v>21.2695415319638</v>
      </c>
      <c r="H7" s="0" t="n">
        <v>722.473</v>
      </c>
      <c r="I7" s="0" t="n">
        <v>384.464</v>
      </c>
      <c r="J7" s="0" t="n">
        <v>12.8586976080248</v>
      </c>
      <c r="K7" s="0" t="n">
        <v>1.58</v>
      </c>
      <c r="L7" s="0" t="n">
        <v>508.565</v>
      </c>
      <c r="M7" s="0" t="n">
        <v>50.816</v>
      </c>
      <c r="N7" s="0" t="n">
        <v>457.749</v>
      </c>
      <c r="O7" s="0" t="n">
        <v>2052.805</v>
      </c>
      <c r="P7" s="0" t="n">
        <v>4319.49</v>
      </c>
      <c r="Q7" s="0" t="n">
        <v>2266.685</v>
      </c>
      <c r="R7" s="0" t="n">
        <v>1404.432</v>
      </c>
      <c r="S7" s="0" t="n">
        <v>170.392</v>
      </c>
      <c r="T7" s="0" t="n">
        <v>243.161</v>
      </c>
      <c r="U7" s="0" t="n">
        <v>22.147</v>
      </c>
      <c r="AA7" s="0" t="s">
        <v>17</v>
      </c>
      <c r="AB7" s="0" t="s">
        <v>14</v>
      </c>
    </row>
    <row r="8" customFormat="false" ht="15" hidden="false" customHeight="false" outlineLevel="0" collapsed="false">
      <c r="A8" s="0" t="s">
        <v>69</v>
      </c>
      <c r="B8" s="0" t="n">
        <v>3334.213</v>
      </c>
      <c r="F8" s="0" t="n">
        <v>745.872</v>
      </c>
      <c r="G8" s="0" t="n">
        <v>22.3702564893125</v>
      </c>
      <c r="H8" s="0" t="n">
        <v>851.343</v>
      </c>
      <c r="I8" s="0" t="n">
        <v>459.132</v>
      </c>
      <c r="J8" s="0" t="n">
        <v>13.7703260109657</v>
      </c>
      <c r="K8" s="0" t="n">
        <v>1.88</v>
      </c>
      <c r="L8" s="0" t="n">
        <v>612.464</v>
      </c>
      <c r="M8" s="0" t="n">
        <v>57.427</v>
      </c>
      <c r="N8" s="0" t="n">
        <v>555.037</v>
      </c>
      <c r="O8" s="0" t="n">
        <v>2535.151</v>
      </c>
      <c r="P8" s="0" t="n">
        <v>5190.056</v>
      </c>
      <c r="Q8" s="0" t="n">
        <v>2654.905</v>
      </c>
      <c r="R8" s="0" t="n">
        <v>1774.429</v>
      </c>
      <c r="S8" s="0" t="n">
        <v>157.984</v>
      </c>
      <c r="T8" s="0" t="n">
        <v>243.986</v>
      </c>
      <c r="U8" s="0" t="n">
        <v>19.384</v>
      </c>
      <c r="AA8" s="0" t="s">
        <v>17</v>
      </c>
      <c r="AB8" s="0" t="s">
        <v>14</v>
      </c>
    </row>
    <row r="9" customFormat="false" ht="15" hidden="false" customHeight="false" outlineLevel="0" collapsed="false">
      <c r="A9" s="0" t="s">
        <v>70</v>
      </c>
      <c r="B9" s="0" t="n">
        <v>3594.136</v>
      </c>
      <c r="F9" s="0" t="n">
        <v>815.079</v>
      </c>
      <c r="G9" s="0" t="n">
        <v>22.6780233135307</v>
      </c>
      <c r="H9" s="0" t="n">
        <v>933.736</v>
      </c>
      <c r="I9" s="0" t="n">
        <v>516.999</v>
      </c>
      <c r="J9" s="0" t="n">
        <v>14.3845141085368</v>
      </c>
      <c r="K9" s="0" t="n">
        <v>2.1</v>
      </c>
      <c r="L9" s="0" t="n">
        <v>660.659</v>
      </c>
      <c r="M9" s="0" t="n">
        <v>63.314</v>
      </c>
      <c r="N9" s="0" t="n">
        <v>597.345</v>
      </c>
      <c r="O9" s="0" t="n">
        <v>3136.121</v>
      </c>
      <c r="P9" s="0" t="n">
        <v>5877.902</v>
      </c>
      <c r="Q9" s="0" t="n">
        <v>2741.781</v>
      </c>
      <c r="R9" s="0" t="n">
        <v>1688.38</v>
      </c>
      <c r="S9" s="0" t="n">
        <v>295.203</v>
      </c>
      <c r="T9" s="0" t="n">
        <v>246.065</v>
      </c>
      <c r="U9" s="0" t="n">
        <v>21.591</v>
      </c>
      <c r="AA9" s="0" t="s">
        <v>17</v>
      </c>
      <c r="AB9" s="0" t="s">
        <v>14</v>
      </c>
    </row>
    <row r="10" customFormat="false" ht="15" hidden="false" customHeight="false" outlineLevel="0" collapsed="false">
      <c r="A10" s="0" t="s">
        <v>71</v>
      </c>
      <c r="B10" s="0" t="n">
        <v>4021.964</v>
      </c>
      <c r="F10" s="0" t="n">
        <v>898.586</v>
      </c>
      <c r="G10" s="0" t="n">
        <v>22.3419702414045</v>
      </c>
      <c r="H10" s="0" t="n">
        <v>1037.17</v>
      </c>
      <c r="I10" s="0" t="n">
        <v>584.46</v>
      </c>
      <c r="J10" s="0" t="n">
        <v>14.5317064001567</v>
      </c>
      <c r="K10" s="0" t="n">
        <v>2.37</v>
      </c>
      <c r="M10" s="0" t="n">
        <v>71.327</v>
      </c>
      <c r="O10" s="0" t="n">
        <v>3239.561</v>
      </c>
      <c r="P10" s="0" t="n">
        <v>6420.963</v>
      </c>
      <c r="Q10" s="0" t="n">
        <v>3181.402</v>
      </c>
      <c r="R10" s="0" t="n">
        <v>2000.227</v>
      </c>
      <c r="S10" s="0" t="n">
        <v>377.615</v>
      </c>
      <c r="T10" s="0" t="n">
        <v>247.102</v>
      </c>
      <c r="U10" s="0" t="n">
        <v>19.871</v>
      </c>
      <c r="AA10" s="0" t="s">
        <v>17</v>
      </c>
      <c r="AB10" s="0" t="s">
        <v>14</v>
      </c>
    </row>
    <row r="11" customFormat="false" ht="15" hidden="false" customHeight="false" outlineLevel="0" collapsed="false">
      <c r="A11" s="0" t="s">
        <v>72</v>
      </c>
      <c r="B11" s="0" t="n">
        <v>3974.295</v>
      </c>
      <c r="F11" s="0" t="n">
        <v>907.716</v>
      </c>
      <c r="G11" s="0" t="n">
        <v>22.8396734515178</v>
      </c>
      <c r="H11" s="0" t="n">
        <v>1057.176</v>
      </c>
      <c r="I11" s="0" t="n">
        <v>590.859</v>
      </c>
      <c r="J11" s="0" t="n">
        <v>14.8670141496794</v>
      </c>
      <c r="K11" s="0" t="n">
        <v>2.45</v>
      </c>
      <c r="M11" s="0" t="n">
        <v>69.083</v>
      </c>
      <c r="O11" s="0" t="n">
        <v>3254.626</v>
      </c>
      <c r="P11" s="0" t="n">
        <v>6660.45</v>
      </c>
      <c r="Q11" s="0" t="n">
        <v>3405.824</v>
      </c>
      <c r="R11" s="0" t="n">
        <v>2322.964</v>
      </c>
      <c r="S11" s="0" t="n">
        <v>381.005</v>
      </c>
      <c r="T11" s="0" t="n">
        <v>241.586</v>
      </c>
      <c r="U11" s="0" t="n">
        <v>23.762</v>
      </c>
      <c r="AA11" s="0" t="s">
        <v>17</v>
      </c>
      <c r="AB11" s="0" t="s">
        <v>14</v>
      </c>
    </row>
    <row r="12" customFormat="false" ht="15" hidden="false" customHeight="false" outlineLevel="0" collapsed="false">
      <c r="A12" s="0" t="s">
        <v>73</v>
      </c>
      <c r="B12" s="0" t="n">
        <v>3840.087</v>
      </c>
      <c r="C12" s="0" t="n">
        <v>2585.499</v>
      </c>
      <c r="F12" s="0" t="n">
        <v>790.979</v>
      </c>
      <c r="G12" s="0" t="n">
        <v>20.5979447861468</v>
      </c>
      <c r="H12" s="0" t="n">
        <v>970.695</v>
      </c>
      <c r="I12" s="0" t="n">
        <v>512.158</v>
      </c>
      <c r="J12" s="0" t="n">
        <v>13.3371457469583</v>
      </c>
      <c r="K12" s="0" t="n">
        <v>2.19</v>
      </c>
      <c r="L12" s="0" t="n">
        <v>756.835</v>
      </c>
      <c r="M12" s="0" t="n">
        <v>63.28</v>
      </c>
      <c r="N12" s="0" t="n">
        <v>693.555</v>
      </c>
      <c r="O12" s="0" t="n">
        <v>3256.513</v>
      </c>
      <c r="P12" s="0" t="n">
        <v>7100.674</v>
      </c>
      <c r="Q12" s="0" t="n">
        <v>3844.161</v>
      </c>
      <c r="R12" s="0" t="n">
        <v>2620.486</v>
      </c>
      <c r="S12" s="0" t="n">
        <v>717.259</v>
      </c>
      <c r="T12" s="0" t="n">
        <v>233.73</v>
      </c>
      <c r="U12" s="0" t="n">
        <v>22.03</v>
      </c>
      <c r="AA12" s="0" t="s">
        <v>17</v>
      </c>
      <c r="AB12" s="0" t="s">
        <v>14</v>
      </c>
    </row>
    <row r="13" customFormat="false" ht="15" hidden="false" customHeight="false" outlineLevel="0" collapsed="false">
      <c r="A13" s="0" t="s">
        <v>74</v>
      </c>
      <c r="B13" s="0" t="n">
        <v>4300.17</v>
      </c>
      <c r="C13" s="0" t="n">
        <v>2861.37</v>
      </c>
      <c r="F13" s="0" t="n">
        <v>903.62</v>
      </c>
      <c r="G13" s="0" t="n">
        <v>21.0135878348996</v>
      </c>
      <c r="H13" s="0" t="n">
        <v>1086.847</v>
      </c>
      <c r="I13" s="0" t="n">
        <v>681.47</v>
      </c>
      <c r="J13" s="0" t="n">
        <v>15.8475130052998</v>
      </c>
      <c r="K13" s="0" t="n">
        <v>2.94</v>
      </c>
      <c r="L13" s="0" t="n">
        <v>833.259</v>
      </c>
      <c r="M13" s="0" t="n">
        <v>75.074</v>
      </c>
      <c r="N13" s="0" t="n">
        <v>758.185</v>
      </c>
      <c r="O13" s="0" t="n">
        <v>4027.633</v>
      </c>
      <c r="P13" s="0" t="n">
        <v>7796.064</v>
      </c>
      <c r="Q13" s="0" t="n">
        <v>3768.431</v>
      </c>
      <c r="R13" s="0" t="n">
        <v>2482.412</v>
      </c>
      <c r="S13" s="0" t="n">
        <v>646.3</v>
      </c>
      <c r="T13" s="0" t="n">
        <v>231.845</v>
      </c>
      <c r="U13" s="0" t="n">
        <v>25.091</v>
      </c>
      <c r="AA13" s="0" t="s">
        <v>17</v>
      </c>
      <c r="AB13" s="0" t="s">
        <v>14</v>
      </c>
    </row>
    <row r="14" customFormat="false" ht="15" hidden="false" customHeight="false" outlineLevel="0" collapsed="false">
      <c r="A14" s="0" t="s">
        <v>75</v>
      </c>
      <c r="C14" s="0" t="n">
        <v>3186.31</v>
      </c>
      <c r="F14" s="0" t="n">
        <v>1075.54</v>
      </c>
      <c r="H14" s="0" t="n">
        <v>1275.03</v>
      </c>
      <c r="I14" s="0" t="n">
        <v>777.933</v>
      </c>
      <c r="K14" s="0" t="n">
        <v>3.34</v>
      </c>
      <c r="L14" s="0" t="n">
        <v>925.518</v>
      </c>
      <c r="M14" s="0" t="n">
        <v>82.076</v>
      </c>
      <c r="N14" s="0" t="n">
        <v>843.442</v>
      </c>
      <c r="O14" s="0" t="n">
        <v>4241.922</v>
      </c>
      <c r="P14" s="0" t="n">
        <v>8662.288</v>
      </c>
      <c r="Q14" s="0" t="n">
        <v>4420.366</v>
      </c>
      <c r="R14" s="0" t="n">
        <v>2991.589</v>
      </c>
      <c r="S14" s="0" t="n">
        <v>353.975</v>
      </c>
      <c r="T14" s="0" t="n">
        <v>232.712</v>
      </c>
      <c r="U14" s="0" t="n">
        <v>27.315</v>
      </c>
      <c r="AA14" s="0" t="s">
        <v>17</v>
      </c>
      <c r="AB14" s="0" t="s">
        <v>14</v>
      </c>
    </row>
    <row r="15" customFormat="false" ht="15" hidden="false" customHeight="false" outlineLevel="0" collapsed="false">
      <c r="A15" s="0" t="s">
        <v>76</v>
      </c>
      <c r="C15" s="0" t="n">
        <v>3370.897</v>
      </c>
      <c r="F15" s="0" t="n">
        <v>1177.38</v>
      </c>
      <c r="H15" s="0" t="n">
        <v>1411.422</v>
      </c>
      <c r="I15" s="0" t="n">
        <v>861.297</v>
      </c>
      <c r="K15" s="0" t="n">
        <v>3.75</v>
      </c>
      <c r="L15" s="0" t="n">
        <v>1114.422</v>
      </c>
      <c r="M15" s="0" t="n">
        <v>102.346</v>
      </c>
      <c r="N15" s="0" t="n">
        <v>1012.076</v>
      </c>
      <c r="O15" s="0" t="n">
        <v>5115.492</v>
      </c>
      <c r="P15" s="0" t="n">
        <v>9844.559</v>
      </c>
      <c r="Q15" s="0" t="n">
        <v>4729.067</v>
      </c>
      <c r="R15" s="0" t="n">
        <v>3266.19</v>
      </c>
      <c r="S15" s="0" t="n">
        <v>393.03</v>
      </c>
      <c r="T15" s="0" t="n">
        <v>229.395</v>
      </c>
      <c r="U15" s="0" t="n">
        <v>40.394</v>
      </c>
      <c r="AA15" s="0" t="s">
        <v>17</v>
      </c>
      <c r="AB15" s="0" t="s">
        <v>14</v>
      </c>
    </row>
    <row r="16" customFormat="false" ht="15" hidden="false" customHeight="false" outlineLevel="0" collapsed="false">
      <c r="A16" s="0" t="s">
        <v>77</v>
      </c>
      <c r="C16" s="0" t="n">
        <v>2996.515</v>
      </c>
      <c r="F16" s="0" t="n">
        <v>1027.884</v>
      </c>
      <c r="H16" s="0" t="n">
        <v>1283.159</v>
      </c>
      <c r="I16" s="0" t="n">
        <v>872.439</v>
      </c>
      <c r="K16" s="0" t="n">
        <v>3.77</v>
      </c>
      <c r="L16" s="0" t="n">
        <v>1280.98</v>
      </c>
      <c r="M16" s="0" t="n">
        <v>74.199</v>
      </c>
      <c r="N16" s="0" t="n">
        <v>1206.781</v>
      </c>
      <c r="O16" s="0" t="n">
        <v>5949.346</v>
      </c>
      <c r="P16" s="0" t="n">
        <v>10357.483</v>
      </c>
      <c r="Q16" s="0" t="n">
        <v>4408.137</v>
      </c>
      <c r="R16" s="0" t="n">
        <v>2546.009</v>
      </c>
      <c r="S16" s="0" t="n">
        <v>1212.822</v>
      </c>
      <c r="T16" s="0" t="n">
        <v>231.15</v>
      </c>
      <c r="U16" s="0" t="n">
        <v>41.565</v>
      </c>
      <c r="AA16" s="0" t="s">
        <v>17</v>
      </c>
      <c r="AB16" s="0" t="s">
        <v>14</v>
      </c>
    </row>
    <row r="17" customFormat="false" ht="15" hidden="false" customHeight="false" outlineLevel="0" collapsed="false">
      <c r="A17" s="0" t="s">
        <v>78</v>
      </c>
      <c r="C17" s="0" t="n">
        <v>3633.9</v>
      </c>
      <c r="F17" s="0" t="n">
        <v>1308.67</v>
      </c>
      <c r="H17" s="0" t="n">
        <v>1600.782</v>
      </c>
      <c r="I17" s="0" t="n">
        <v>990.053</v>
      </c>
      <c r="K17" s="0" t="n">
        <v>4.25</v>
      </c>
      <c r="L17" s="0" t="n">
        <v>1160.457</v>
      </c>
      <c r="M17" s="0" t="n">
        <v>110.671</v>
      </c>
      <c r="N17" s="0" t="n">
        <v>1049.786</v>
      </c>
      <c r="O17" s="0" t="n">
        <v>6871.884</v>
      </c>
      <c r="P17" s="0" t="n">
        <v>11898.187</v>
      </c>
      <c r="Q17" s="0" t="n">
        <v>5026.303</v>
      </c>
      <c r="R17" s="0" t="n">
        <v>2859.334</v>
      </c>
      <c r="S17" s="0" t="n">
        <v>346.772</v>
      </c>
      <c r="T17" s="0" t="n">
        <v>232.813</v>
      </c>
      <c r="U17" s="0" t="n">
        <v>46.103</v>
      </c>
      <c r="AA17" s="0" t="s">
        <v>17</v>
      </c>
      <c r="AB17" s="0" t="s">
        <v>14</v>
      </c>
    </row>
    <row r="18" customFormat="false" ht="15" hidden="false" customHeight="false" outlineLevel="0" collapsed="false">
      <c r="A18" s="0" t="s">
        <v>79</v>
      </c>
      <c r="B18" s="0" t="n">
        <v>6150.53</v>
      </c>
      <c r="C18" s="0" t="n">
        <v>4005.261</v>
      </c>
      <c r="F18" s="0" t="n">
        <v>1500.692</v>
      </c>
      <c r="G18" s="0" t="n">
        <v>24.3993932230231</v>
      </c>
      <c r="H18" s="0" t="n">
        <v>1820.119</v>
      </c>
      <c r="I18" s="0" t="n">
        <v>1159.542</v>
      </c>
      <c r="J18" s="0" t="n">
        <v>18.8527167577428</v>
      </c>
      <c r="K18" s="0" t="n">
        <v>5.01</v>
      </c>
      <c r="L18" s="0" t="n">
        <v>1149.373</v>
      </c>
      <c r="M18" s="0" t="n">
        <v>139.005</v>
      </c>
      <c r="N18" s="0" t="n">
        <v>1010.368</v>
      </c>
      <c r="O18" s="0" t="n">
        <v>7476.512</v>
      </c>
      <c r="P18" s="0" t="n">
        <v>12431.12</v>
      </c>
      <c r="Q18" s="0" t="n">
        <v>4954.608</v>
      </c>
      <c r="R18" s="0" t="n">
        <v>2611.086</v>
      </c>
      <c r="S18" s="0" t="n">
        <v>345.386</v>
      </c>
      <c r="T18" s="0" t="n">
        <v>231.536</v>
      </c>
      <c r="U18" s="0" t="n">
        <v>47.375</v>
      </c>
      <c r="AA18" s="0" t="s">
        <v>17</v>
      </c>
      <c r="AB18" s="0" t="s">
        <v>14</v>
      </c>
    </row>
    <row r="19" customFormat="false" ht="15" hidden="false" customHeight="false" outlineLevel="0" collapsed="false">
      <c r="A19" s="0" t="s">
        <v>80</v>
      </c>
      <c r="B19" s="0" t="n">
        <v>6596.95</v>
      </c>
      <c r="C19" s="0" t="n">
        <v>4212.485</v>
      </c>
      <c r="F19" s="0" t="n">
        <v>1707.459</v>
      </c>
      <c r="G19" s="0" t="n">
        <v>25.8825517852947</v>
      </c>
      <c r="H19" s="0" t="n">
        <v>2045.095</v>
      </c>
      <c r="I19" s="0" t="n">
        <v>1313.188</v>
      </c>
      <c r="J19" s="0" t="n">
        <v>19.905986857563</v>
      </c>
      <c r="K19" s="0" t="n">
        <v>5.67</v>
      </c>
      <c r="L19" s="0" t="n">
        <v>1735.296</v>
      </c>
      <c r="M19" s="0" t="n">
        <v>136.249</v>
      </c>
      <c r="N19" s="0" t="n">
        <v>1599.047</v>
      </c>
      <c r="O19" s="0" t="n">
        <v>8730.191</v>
      </c>
      <c r="P19" s="0" t="n">
        <v>15023.533</v>
      </c>
      <c r="Q19" s="0" t="n">
        <v>6293.342</v>
      </c>
      <c r="R19" s="0" t="n">
        <v>4731.262</v>
      </c>
      <c r="S19" s="0" t="n">
        <v>409.804</v>
      </c>
      <c r="T19" s="0" t="n">
        <v>231.509</v>
      </c>
      <c r="U19" s="0" t="n">
        <v>46.199</v>
      </c>
      <c r="AA19" s="0" t="s">
        <v>17</v>
      </c>
      <c r="AB19" s="0" t="s">
        <v>14</v>
      </c>
    </row>
    <row r="20" customFormat="false" ht="15" hidden="false" customHeight="false" outlineLevel="0" collapsed="false">
      <c r="A20" s="0" t="s">
        <v>81</v>
      </c>
      <c r="B20" s="0" t="n">
        <v>6941.18</v>
      </c>
      <c r="C20" s="0" t="n">
        <v>4464.713</v>
      </c>
      <c r="F20" s="0" t="n">
        <v>1779.562</v>
      </c>
      <c r="G20" s="0" t="n">
        <v>25.6377445909773</v>
      </c>
      <c r="H20" s="0" t="n">
        <v>2162.489</v>
      </c>
      <c r="I20" s="0" t="n">
        <v>1376.124</v>
      </c>
      <c r="J20" s="0" t="n">
        <v>19.8255051734719</v>
      </c>
      <c r="K20" s="0" t="n">
        <v>5.93</v>
      </c>
      <c r="L20" s="0" t="n">
        <v>1828.848</v>
      </c>
      <c r="M20" s="0" t="n">
        <v>127.075</v>
      </c>
      <c r="N20" s="0" t="n">
        <v>1701.773</v>
      </c>
      <c r="O20" s="0" t="n">
        <v>9655.304</v>
      </c>
      <c r="P20" s="0" t="n">
        <v>14631.169</v>
      </c>
      <c r="Q20" s="0" t="n">
        <v>4975.865</v>
      </c>
      <c r="R20" s="0" t="n">
        <v>2734.067</v>
      </c>
      <c r="S20" s="0" t="n">
        <v>373.999</v>
      </c>
      <c r="T20" s="0" t="n">
        <v>232.168</v>
      </c>
      <c r="U20" s="0" t="n">
        <v>47.863</v>
      </c>
      <c r="AA20" s="0" t="s">
        <v>17</v>
      </c>
      <c r="AB20" s="0" t="s">
        <v>14</v>
      </c>
    </row>
    <row r="21" customFormat="false" ht="15" hidden="false" customHeight="false" outlineLevel="0" collapsed="false">
      <c r="A21" s="0" t="s">
        <v>82</v>
      </c>
      <c r="B21" s="0" t="n">
        <v>7401.116</v>
      </c>
      <c r="C21" s="0" t="n">
        <v>4733.677</v>
      </c>
      <c r="F21" s="0" t="n">
        <v>1910.317</v>
      </c>
      <c r="G21" s="0" t="n">
        <v>25.811201986295</v>
      </c>
      <c r="H21" s="0" t="n">
        <v>2333.121</v>
      </c>
      <c r="I21" s="0" t="n">
        <v>1480.142</v>
      </c>
      <c r="J21" s="0" t="n">
        <v>19.9989028681621</v>
      </c>
      <c r="K21" s="0" t="n">
        <v>6.4</v>
      </c>
      <c r="L21" s="0" t="n">
        <v>1801.763</v>
      </c>
      <c r="M21" s="0" t="n">
        <v>130.248</v>
      </c>
      <c r="N21" s="0" t="n">
        <v>1671.515</v>
      </c>
      <c r="O21" s="0" t="n">
        <v>10628.786</v>
      </c>
      <c r="P21" s="0" t="n">
        <v>16067.543</v>
      </c>
      <c r="Q21" s="0" t="n">
        <v>5438.757</v>
      </c>
      <c r="R21" s="0" t="n">
        <v>3492.284</v>
      </c>
      <c r="S21" s="0" t="n">
        <v>457.951</v>
      </c>
      <c r="T21" s="0" t="n">
        <v>231.259</v>
      </c>
      <c r="U21" s="0" t="n">
        <v>47.767</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247.74</v>
      </c>
    </row>
    <row r="3" customFormat="false" ht="15" hidden="false" customHeight="false" outlineLevel="0" collapsed="false">
      <c r="A3" s="0" t="s">
        <v>86</v>
      </c>
      <c r="B3" s="3" t="n">
        <v>231</v>
      </c>
    </row>
    <row r="4" customFormat="false" ht="15" hidden="false" customHeight="false" outlineLevel="0" collapsed="false">
      <c r="A4" s="0" t="s">
        <v>87</v>
      </c>
      <c r="B4" s="3" t="n">
        <v>6541</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7864</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11</v>
      </c>
      <c r="D13" s="3" t="n">
        <v>3</v>
      </c>
      <c r="E13" s="3" t="n">
        <v>2</v>
      </c>
      <c r="F13" s="3" t="n">
        <v>3</v>
      </c>
      <c r="G13" s="3" t="n">
        <v>3.5</v>
      </c>
      <c r="H13" s="3" t="n">
        <v>3.5</v>
      </c>
      <c r="I13" s="3" t="n">
        <v>3</v>
      </c>
      <c r="J13" s="3" t="n">
        <v>3</v>
      </c>
      <c r="K13" s="3" t="n">
        <v>2.5</v>
      </c>
      <c r="L13" s="3" t="n">
        <v>2.5</v>
      </c>
    </row>
    <row r="14" customFormat="false" ht="15" hidden="false" customHeight="false" outlineLevel="0" collapsed="false">
      <c r="A14" s="0" t="s">
        <v>108</v>
      </c>
      <c r="C14" s="3" t="n">
        <v>30</v>
      </c>
      <c r="D14" s="3" t="n">
        <v>29.5</v>
      </c>
      <c r="E14" s="3" t="n">
        <v>29.5</v>
      </c>
      <c r="F14" s="3" t="n">
        <v>30</v>
      </c>
      <c r="G14" s="3" t="n">
        <v>30</v>
      </c>
      <c r="H14" s="3" t="n">
        <v>30</v>
      </c>
      <c r="I14" s="3" t="n">
        <v>30</v>
      </c>
      <c r="J14" s="3" t="n">
        <v>30</v>
      </c>
      <c r="K14" s="3" t="n">
        <v>30</v>
      </c>
      <c r="L14" s="3" t="n">
        <v>30</v>
      </c>
    </row>
    <row r="15" customFormat="false" ht="15" hidden="false" customHeight="false" outlineLevel="0" collapsed="false">
      <c r="A15" s="0" t="s">
        <v>109</v>
      </c>
      <c r="C15" s="3" t="n">
        <v>0.65</v>
      </c>
      <c r="D15" s="3" t="n">
        <v>0.65</v>
      </c>
      <c r="E15" s="3" t="n">
        <v>0.65</v>
      </c>
      <c r="F15" s="3" t="n">
        <v>0.65</v>
      </c>
      <c r="G15" s="3" t="n">
        <v>0.65</v>
      </c>
      <c r="H15" s="3" t="n">
        <v>0.65</v>
      </c>
      <c r="I15" s="3" t="n">
        <v>0.65</v>
      </c>
      <c r="J15" s="3" t="n">
        <v>0.65</v>
      </c>
      <c r="K15" s="3" t="n">
        <v>0.65</v>
      </c>
      <c r="L15" s="3" t="n">
        <v>0.65</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5.8</v>
      </c>
      <c r="D17" s="3" t="n">
        <v>5.6</v>
      </c>
      <c r="E17" s="3" t="n">
        <v>5.3</v>
      </c>
      <c r="F17" s="3" t="n">
        <v>5</v>
      </c>
      <c r="G17" s="3" t="n">
        <v>4.6</v>
      </c>
      <c r="H17" s="3" t="n">
        <v>4.2</v>
      </c>
      <c r="I17" s="3" t="n">
        <v>3.8</v>
      </c>
      <c r="J17" s="3" t="n">
        <v>3.4</v>
      </c>
      <c r="K17" s="3" t="n">
        <v>3</v>
      </c>
      <c r="L17" s="3" t="n">
        <v>2.6</v>
      </c>
    </row>
    <row r="18" customFormat="false" ht="15" hidden="false" customHeight="false" outlineLevel="0" collapsed="false">
      <c r="A18" s="0" t="s">
        <v>112</v>
      </c>
      <c r="C18" s="3" t="n">
        <v>1.8</v>
      </c>
      <c r="D18" s="3" t="n">
        <v>1.8</v>
      </c>
      <c r="E18" s="3" t="n">
        <v>1.9</v>
      </c>
      <c r="F18" s="3" t="n">
        <v>1.9</v>
      </c>
      <c r="G18" s="3" t="n">
        <v>2</v>
      </c>
      <c r="H18" s="3" t="n">
        <v>2</v>
      </c>
      <c r="I18" s="3" t="n">
        <v>2</v>
      </c>
      <c r="J18" s="3" t="n">
        <v>2</v>
      </c>
      <c r="K18" s="3" t="n">
        <v>2</v>
      </c>
      <c r="L18" s="3" t="n">
        <v>2</v>
      </c>
    </row>
    <row r="19" customFormat="false" ht="15" hidden="false" customHeight="false" outlineLevel="0" collapsed="false">
      <c r="A19" s="0" t="s">
        <v>113</v>
      </c>
      <c r="C19" s="3" t="n">
        <v>21</v>
      </c>
      <c r="D19" s="3" t="n">
        <v>21</v>
      </c>
      <c r="E19" s="3" t="n">
        <v>21</v>
      </c>
      <c r="F19" s="3" t="n">
        <v>22</v>
      </c>
      <c r="G19" s="3" t="n">
        <v>22</v>
      </c>
      <c r="H19" s="3" t="n">
        <v>22</v>
      </c>
      <c r="I19" s="3" t="n">
        <v>22</v>
      </c>
      <c r="J19" s="3" t="n">
        <v>22</v>
      </c>
      <c r="K19" s="3" t="n">
        <v>22</v>
      </c>
      <c r="L19" s="3" t="n">
        <v>22</v>
      </c>
    </row>
    <row r="20" customFormat="false" ht="15" hidden="false" customHeight="false" outlineLevel="0" collapsed="false">
      <c r="A20" s="0" t="s">
        <v>114</v>
      </c>
      <c r="B20" s="3" t="n">
        <v>8.5</v>
      </c>
    </row>
    <row r="21" customFormat="false" ht="15" hidden="false" customHeight="false" outlineLevel="0" collapsed="false">
      <c r="A21" s="0" t="s">
        <v>115</v>
      </c>
      <c r="B21" s="3" t="n">
        <v>2.5</v>
      </c>
    </row>
    <row r="22" customFormat="false" ht="15" hidden="false" customHeight="false" outlineLevel="0" collapsed="false">
      <c r="A22" s="0" t="s">
        <v>116</v>
      </c>
      <c r="B22" s="3" t="n">
        <v>15</v>
      </c>
    </row>
    <row r="23" customFormat="false" ht="15" hidden="false" customHeight="false" outlineLevel="0" collapsed="false">
      <c r="A23" s="0" t="s">
        <v>117</v>
      </c>
      <c r="B23" s="3" t="n">
        <v>-10</v>
      </c>
    </row>
    <row r="24" customFormat="false" ht="15" hidden="false" customHeight="false" outlineLevel="0" collapsed="false">
      <c r="A24" s="0" t="s">
        <v>118</v>
      </c>
      <c r="B24" s="3" t="n">
        <v>0.2</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17.7</v>
      </c>
      <c r="D27" s="3" t="n">
        <v>7</v>
      </c>
      <c r="E27" s="3" t="n">
        <v>5.5</v>
      </c>
      <c r="F27" s="3" t="n">
        <v>5.5</v>
      </c>
      <c r="G27" s="3" t="n">
        <v>5</v>
      </c>
      <c r="H27" s="3" t="n">
        <v>5</v>
      </c>
      <c r="I27" s="3" t="n">
        <v>4.5</v>
      </c>
      <c r="J27" s="3" t="n">
        <v>4</v>
      </c>
      <c r="K27" s="3" t="n">
        <v>3.5</v>
      </c>
      <c r="L27" s="3" t="n">
        <v>3</v>
      </c>
    </row>
    <row r="28" customFormat="false" ht="15" hidden="false" customHeight="false" outlineLevel="0" collapsed="false">
      <c r="A28" s="0" t="s">
        <v>108</v>
      </c>
      <c r="C28" s="3" t="n">
        <v>31.5</v>
      </c>
      <c r="D28" s="3" t="n">
        <v>31.8</v>
      </c>
      <c r="E28" s="3" t="n">
        <v>32</v>
      </c>
      <c r="F28" s="3" t="n">
        <v>32.2</v>
      </c>
      <c r="G28" s="3" t="n">
        <v>32.4</v>
      </c>
      <c r="H28" s="3" t="n">
        <v>32.5</v>
      </c>
      <c r="I28" s="3" t="n">
        <v>32.5</v>
      </c>
      <c r="J28" s="3" t="n">
        <v>32.5</v>
      </c>
      <c r="K28" s="3" t="n">
        <v>32.5</v>
      </c>
      <c r="L28" s="3" t="n">
        <v>32.5</v>
      </c>
    </row>
    <row r="29" customFormat="false" ht="15" hidden="false" customHeight="false" outlineLevel="0" collapsed="false">
      <c r="A29" s="0" t="s">
        <v>109</v>
      </c>
      <c r="C29" s="3" t="n">
        <v>0.65</v>
      </c>
      <c r="D29" s="3" t="n">
        <v>0.65</v>
      </c>
      <c r="E29" s="3" t="n">
        <v>0.65</v>
      </c>
      <c r="F29" s="3" t="n">
        <v>0.65</v>
      </c>
      <c r="G29" s="3" t="n">
        <v>0.65</v>
      </c>
      <c r="H29" s="3" t="n">
        <v>0.65</v>
      </c>
      <c r="I29" s="3" t="n">
        <v>0.65</v>
      </c>
      <c r="J29" s="3" t="n">
        <v>0.65</v>
      </c>
      <c r="K29" s="3" t="n">
        <v>0.65</v>
      </c>
      <c r="L29" s="3" t="n">
        <v>0.65</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5.8</v>
      </c>
      <c r="D31" s="3" t="n">
        <v>5.6</v>
      </c>
      <c r="E31" s="3" t="n">
        <v>5.3</v>
      </c>
      <c r="F31" s="3" t="n">
        <v>5</v>
      </c>
      <c r="G31" s="3" t="n">
        <v>4.6</v>
      </c>
      <c r="H31" s="3" t="n">
        <v>4.2</v>
      </c>
      <c r="I31" s="3" t="n">
        <v>3.8</v>
      </c>
      <c r="J31" s="3" t="n">
        <v>3.4</v>
      </c>
      <c r="K31" s="3" t="n">
        <v>3</v>
      </c>
      <c r="L31" s="3" t="n">
        <v>2.6</v>
      </c>
    </row>
    <row r="32" customFormat="false" ht="15" hidden="false" customHeight="false" outlineLevel="0" collapsed="false">
      <c r="A32" s="0" t="s">
        <v>112</v>
      </c>
      <c r="C32" s="3" t="n">
        <v>1.8</v>
      </c>
      <c r="D32" s="3" t="n">
        <v>1.8</v>
      </c>
      <c r="E32" s="3" t="n">
        <v>1.9</v>
      </c>
      <c r="F32" s="3" t="n">
        <v>1.9</v>
      </c>
      <c r="G32" s="3" t="n">
        <v>2</v>
      </c>
      <c r="H32" s="3" t="n">
        <v>2</v>
      </c>
      <c r="I32" s="3" t="n">
        <v>2</v>
      </c>
      <c r="J32" s="3" t="n">
        <v>2</v>
      </c>
      <c r="K32" s="3" t="n">
        <v>2</v>
      </c>
      <c r="L32" s="3" t="n">
        <v>2</v>
      </c>
    </row>
    <row r="33" customFormat="false" ht="15" hidden="false" customHeight="false" outlineLevel="0" collapsed="false">
      <c r="A33" s="0" t="s">
        <v>113</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114</v>
      </c>
      <c r="B34" s="3" t="n">
        <v>8.5</v>
      </c>
    </row>
    <row r="35" customFormat="false" ht="15" hidden="false" customHeight="false" outlineLevel="0" collapsed="false">
      <c r="A35" s="0" t="s">
        <v>115</v>
      </c>
      <c r="B35" s="3" t="n">
        <v>3</v>
      </c>
    </row>
    <row r="36" customFormat="false" ht="15" hidden="false" customHeight="false" outlineLevel="0" collapsed="false">
      <c r="A36" s="0" t="s">
        <v>116</v>
      </c>
      <c r="B36" s="3" t="n">
        <v>18</v>
      </c>
    </row>
    <row r="37" customFormat="false" ht="15" hidden="false" customHeight="false" outlineLevel="0" collapsed="false">
      <c r="A37" s="0" t="s">
        <v>117</v>
      </c>
      <c r="B37" s="3" t="n">
        <v>-10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19</v>
      </c>
      <c r="D41" s="3" t="n">
        <v>9</v>
      </c>
      <c r="E41" s="3" t="n">
        <v>7.5</v>
      </c>
      <c r="F41" s="3" t="n">
        <v>7</v>
      </c>
      <c r="G41" s="3" t="n">
        <v>6.5</v>
      </c>
      <c r="H41" s="3" t="n">
        <v>6</v>
      </c>
      <c r="I41" s="3" t="n">
        <v>5.5</v>
      </c>
      <c r="J41" s="3" t="n">
        <v>5</v>
      </c>
      <c r="K41" s="3" t="n">
        <v>4.5</v>
      </c>
      <c r="L41" s="3" t="n">
        <v>4</v>
      </c>
    </row>
    <row r="42" customFormat="false" ht="15" hidden="false" customHeight="false" outlineLevel="0" collapsed="false">
      <c r="A42" s="0" t="s">
        <v>108</v>
      </c>
      <c r="C42" s="3" t="n">
        <v>32</v>
      </c>
      <c r="D42" s="3" t="n">
        <v>32.6</v>
      </c>
      <c r="E42" s="3" t="n">
        <v>33.1</v>
      </c>
      <c r="F42" s="3" t="n">
        <v>33.5</v>
      </c>
      <c r="G42" s="3" t="n">
        <v>33.8</v>
      </c>
      <c r="H42" s="3" t="n">
        <v>34</v>
      </c>
      <c r="I42" s="3" t="n">
        <v>34</v>
      </c>
      <c r="J42" s="3" t="n">
        <v>34</v>
      </c>
      <c r="K42" s="3" t="n">
        <v>34</v>
      </c>
      <c r="L42" s="3" t="n">
        <v>34</v>
      </c>
    </row>
    <row r="43" customFormat="false" ht="15" hidden="false" customHeight="false" outlineLevel="0" collapsed="false">
      <c r="A43" s="0" t="s">
        <v>109</v>
      </c>
      <c r="C43" s="3" t="n">
        <v>0.65</v>
      </c>
      <c r="D43" s="3" t="n">
        <v>0.65</v>
      </c>
      <c r="E43" s="3" t="n">
        <v>0.65</v>
      </c>
      <c r="F43" s="3" t="n">
        <v>0.65</v>
      </c>
      <c r="G43" s="3" t="n">
        <v>0.65</v>
      </c>
      <c r="H43" s="3" t="n">
        <v>0.65</v>
      </c>
      <c r="I43" s="3" t="n">
        <v>0.65</v>
      </c>
      <c r="J43" s="3" t="n">
        <v>0.65</v>
      </c>
      <c r="K43" s="3" t="n">
        <v>0.65</v>
      </c>
      <c r="L43" s="3" t="n">
        <v>0.65</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5.8</v>
      </c>
      <c r="D45" s="3" t="n">
        <v>5.6</v>
      </c>
      <c r="E45" s="3" t="n">
        <v>5.3</v>
      </c>
      <c r="F45" s="3" t="n">
        <v>5</v>
      </c>
      <c r="G45" s="3" t="n">
        <v>4.6</v>
      </c>
      <c r="H45" s="3" t="n">
        <v>4.2</v>
      </c>
      <c r="I45" s="3" t="n">
        <v>3.8</v>
      </c>
      <c r="J45" s="3" t="n">
        <v>3.4</v>
      </c>
      <c r="K45" s="3" t="n">
        <v>3</v>
      </c>
      <c r="L45" s="3" t="n">
        <v>2.6</v>
      </c>
    </row>
    <row r="46" customFormat="false" ht="15" hidden="false" customHeight="false" outlineLevel="0" collapsed="false">
      <c r="A46" s="0" t="s">
        <v>112</v>
      </c>
      <c r="C46" s="3" t="n">
        <v>1.8</v>
      </c>
      <c r="D46" s="3" t="n">
        <v>1.8</v>
      </c>
      <c r="E46" s="3" t="n">
        <v>1.9</v>
      </c>
      <c r="F46" s="3" t="n">
        <v>1.9</v>
      </c>
      <c r="G46" s="3" t="n">
        <v>2</v>
      </c>
      <c r="H46" s="3" t="n">
        <v>2</v>
      </c>
      <c r="I46" s="3" t="n">
        <v>2</v>
      </c>
      <c r="J46" s="3" t="n">
        <v>2</v>
      </c>
      <c r="K46" s="3" t="n">
        <v>2</v>
      </c>
      <c r="L46" s="3" t="n">
        <v>2</v>
      </c>
    </row>
    <row r="47" customFormat="false" ht="15" hidden="false" customHeight="false" outlineLevel="0" collapsed="false">
      <c r="A47" s="0" t="s">
        <v>113</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114</v>
      </c>
      <c r="B48" s="3" t="n">
        <v>8.5</v>
      </c>
    </row>
    <row r="49" customFormat="false" ht="15" hidden="false" customHeight="false" outlineLevel="0" collapsed="false">
      <c r="A49" s="0" t="s">
        <v>115</v>
      </c>
      <c r="B49" s="3" t="n">
        <v>3</v>
      </c>
    </row>
    <row r="50" customFormat="false" ht="15" hidden="false" customHeight="false" outlineLevel="0" collapsed="false">
      <c r="A50" s="0" t="s">
        <v>116</v>
      </c>
      <c r="B50" s="3" t="n">
        <v>20</v>
      </c>
    </row>
    <row r="51" customFormat="false" ht="15" hidden="false" customHeight="false" outlineLevel="0" collapsed="false">
      <c r="A51" s="0" t="s">
        <v>117</v>
      </c>
      <c r="B51" s="3" t="n">
        <v>-10</v>
      </c>
    </row>
    <row r="52" customFormat="false" ht="15" hidden="false" customHeight="false" outlineLevel="0" collapsed="false">
      <c r="A52" s="0" t="s">
        <v>118</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11</v>
      </c>
      <c r="D5" s="4" t="n">
        <f aca="false">Assumptions!D13</f>
        <v>3</v>
      </c>
      <c r="E5" s="4" t="n">
        <f aca="false">Assumptions!E13</f>
        <v>2</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7864</v>
      </c>
      <c r="C6" s="0" t="n">
        <f aca="false">B6*(1+C5/100)</f>
        <v>8729.04</v>
      </c>
      <c r="D6" s="0" t="n">
        <f aca="false">C6*(1+D5/100)</f>
        <v>8990.9112</v>
      </c>
      <c r="E6" s="0" t="n">
        <f aca="false">D6*(1+E5/100)</f>
        <v>9170.729424</v>
      </c>
      <c r="F6" s="0" t="n">
        <f aca="false">E6*(1+F5/100)</f>
        <v>9445.85130672</v>
      </c>
      <c r="G6" s="0" t="n">
        <f aca="false">F6*(1+G5/100)</f>
        <v>9776.4561024552</v>
      </c>
      <c r="H6" s="0" t="n">
        <f aca="false">G6*(1+H5/100)</f>
        <v>10118.6320660411</v>
      </c>
      <c r="I6" s="0" t="n">
        <f aca="false">H6*(1+I5/100)</f>
        <v>10422.1910280224</v>
      </c>
      <c r="J6" s="0" t="n">
        <f aca="false">I6*(1+J5/100)</f>
        <v>10734.856758863</v>
      </c>
      <c r="K6" s="0" t="n">
        <f aca="false">J6*(1+K5/100)</f>
        <v>11003.2281778346</v>
      </c>
      <c r="L6" s="0" t="n">
        <f aca="false">K6*(1+L5/100)</f>
        <v>11278.3088822805</v>
      </c>
    </row>
    <row r="7" customFormat="false" ht="15" hidden="false" customHeight="false" outlineLevel="0" collapsed="false">
      <c r="A7" s="0" t="s">
        <v>108</v>
      </c>
      <c r="C7" s="4" t="n">
        <f aca="false">Assumptions!C14</f>
        <v>30</v>
      </c>
      <c r="D7" s="4" t="n">
        <f aca="false">Assumptions!D14</f>
        <v>29.5</v>
      </c>
      <c r="E7" s="4" t="n">
        <f aca="false">Assumptions!E14</f>
        <v>29.5</v>
      </c>
      <c r="F7" s="4" t="n">
        <f aca="false">Assumptions!F14</f>
        <v>30</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43</v>
      </c>
      <c r="C8" s="0" t="n">
        <f aca="false">C6*C7/100</f>
        <v>2618.712</v>
      </c>
      <c r="D8" s="0" t="n">
        <f aca="false">D6*D7/100</f>
        <v>2652.318804</v>
      </c>
      <c r="E8" s="0" t="n">
        <f aca="false">E6*E7/100</f>
        <v>2705.36518008</v>
      </c>
      <c r="F8" s="0" t="n">
        <f aca="false">F6*F7/100</f>
        <v>2833.755392016</v>
      </c>
      <c r="G8" s="0" t="n">
        <f aca="false">G6*G7/100</f>
        <v>2932.93683073656</v>
      </c>
      <c r="H8" s="0" t="n">
        <f aca="false">H6*H7/100</f>
        <v>3035.58961981234</v>
      </c>
      <c r="I8" s="0" t="n">
        <f aca="false">I6*I7/100</f>
        <v>3126.65730840671</v>
      </c>
      <c r="J8" s="0" t="n">
        <f aca="false">J6*J7/100</f>
        <v>3220.45702765891</v>
      </c>
      <c r="K8" s="0" t="n">
        <f aca="false">K6*K7/100</f>
        <v>3300.96845335038</v>
      </c>
      <c r="L8" s="0" t="n">
        <f aca="false">L6*L7/100</f>
        <v>3383.49266468414</v>
      </c>
    </row>
    <row r="9" customFormat="false" ht="15" hidden="false" customHeight="false" outlineLevel="0" collapsed="false">
      <c r="A9" s="0" t="s">
        <v>109</v>
      </c>
      <c r="C9" s="4" t="n">
        <f aca="false">Assumptions!C15</f>
        <v>0.65</v>
      </c>
      <c r="D9" s="4" t="n">
        <f aca="false">Assumptions!D15</f>
        <v>0.65</v>
      </c>
      <c r="E9" s="4" t="n">
        <f aca="false">Assumptions!E15</f>
        <v>0.65</v>
      </c>
      <c r="F9" s="4" t="n">
        <f aca="false">Assumptions!F15</f>
        <v>0.65</v>
      </c>
      <c r="G9" s="4" t="n">
        <f aca="false">Assumptions!G15</f>
        <v>0.65</v>
      </c>
      <c r="H9" s="4" t="n">
        <f aca="false">Assumptions!H15</f>
        <v>0.65</v>
      </c>
      <c r="I9" s="4" t="n">
        <f aca="false">Assumptions!I15</f>
        <v>0.65</v>
      </c>
      <c r="J9" s="4" t="n">
        <f aca="false">Assumptions!J15</f>
        <v>0.65</v>
      </c>
      <c r="K9" s="4" t="n">
        <f aca="false">Assumptions!K15</f>
        <v>0.65</v>
      </c>
      <c r="L9" s="4" t="n">
        <f aca="false">Assumptions!L15</f>
        <v>0.65</v>
      </c>
    </row>
    <row r="10" customFormat="false" ht="15" hidden="false" customHeight="false" outlineLevel="0" collapsed="false">
      <c r="A10" s="0" t="s">
        <v>124</v>
      </c>
      <c r="C10" s="0" t="n">
        <f aca="false">-C6*C9/100</f>
        <v>-56.73876</v>
      </c>
      <c r="D10" s="0" t="n">
        <f aca="false">-D6*D9/100</f>
        <v>-58.4409228</v>
      </c>
      <c r="E10" s="0" t="n">
        <f aca="false">-E6*E9/100</f>
        <v>-59.609741256</v>
      </c>
      <c r="F10" s="0" t="n">
        <f aca="false">-F6*F9/100</f>
        <v>-61.39803349368</v>
      </c>
      <c r="G10" s="0" t="n">
        <f aca="false">-G6*G9/100</f>
        <v>-63.5469646659588</v>
      </c>
      <c r="H10" s="0" t="n">
        <f aca="false">-H6*H9/100</f>
        <v>-65.7711084292674</v>
      </c>
      <c r="I10" s="0" t="n">
        <f aca="false">-I6*I9/100</f>
        <v>-67.7442416821454</v>
      </c>
      <c r="J10" s="0" t="n">
        <f aca="false">-J6*J9/100</f>
        <v>-69.7765689326098</v>
      </c>
      <c r="K10" s="0" t="n">
        <f aca="false">-K6*K9/100</f>
        <v>-71.520983155925</v>
      </c>
      <c r="L10" s="0" t="n">
        <f aca="false">-L6*L9/100</f>
        <v>-73.3090077348231</v>
      </c>
    </row>
    <row r="11" customFormat="false" ht="15" hidden="false" customHeight="false" outlineLevel="0" collapsed="false">
      <c r="A11" s="0" t="s">
        <v>125</v>
      </c>
      <c r="C11" s="0" t="n">
        <f aca="false">C8+C10+C24</f>
        <v>2561.97324</v>
      </c>
      <c r="D11" s="0" t="n">
        <f aca="false">D8+D10+D24</f>
        <v>2593.8778812</v>
      </c>
      <c r="E11" s="0" t="n">
        <f aca="false">E8+E10+E24</f>
        <v>2645.755438824</v>
      </c>
      <c r="F11" s="0" t="n">
        <f aca="false">F8+F10+F24</f>
        <v>2772.35735852232</v>
      </c>
      <c r="G11" s="0" t="n">
        <f aca="false">G8+G10+G24</f>
        <v>2869.3898660706</v>
      </c>
      <c r="H11" s="0" t="n">
        <f aca="false">H8+H10+H24</f>
        <v>2969.81851138307</v>
      </c>
      <c r="I11" s="0" t="n">
        <f aca="false">I8+I10+I24</f>
        <v>3058.91306672456</v>
      </c>
      <c r="J11" s="0" t="n">
        <f aca="false">J8+J10+J24</f>
        <v>3150.6804587263</v>
      </c>
      <c r="K11" s="0" t="n">
        <f aca="false">K8+K10+K24</f>
        <v>3229.44747019446</v>
      </c>
      <c r="L11" s="0" t="n">
        <f aca="false">L8+L10+L24</f>
        <v>3310.18365694932</v>
      </c>
    </row>
    <row r="12" customFormat="false" ht="15" hidden="false" customHeight="false" outlineLevel="0" collapsed="false">
      <c r="A12" s="0" t="s">
        <v>126</v>
      </c>
      <c r="C12" s="4" t="n">
        <f aca="false">-C6*Assumptions!C17/100</f>
        <v>-506.28432</v>
      </c>
      <c r="D12" s="4" t="n">
        <f aca="false">-D6*Assumptions!D17/100</f>
        <v>-503.4910272</v>
      </c>
      <c r="E12" s="4" t="n">
        <f aca="false">-E6*Assumptions!E17/100</f>
        <v>-486.048659472</v>
      </c>
      <c r="F12" s="4" t="n">
        <f aca="false">-F6*Assumptions!F17/100</f>
        <v>-472.292565336</v>
      </c>
      <c r="G12" s="4" t="n">
        <f aca="false">-G6*Assumptions!G17/100</f>
        <v>-449.716980712939</v>
      </c>
      <c r="H12" s="4" t="n">
        <f aca="false">-H6*Assumptions!H17/100</f>
        <v>-424.982546773728</v>
      </c>
      <c r="I12" s="4" t="n">
        <f aca="false">-I6*Assumptions!I17/100</f>
        <v>-396.04325906485</v>
      </c>
      <c r="J12" s="4" t="n">
        <f aca="false">-J6*Assumptions!J17/100</f>
        <v>-364.985129801343</v>
      </c>
      <c r="K12" s="4" t="n">
        <f aca="false">-K6*Assumptions!K17/100</f>
        <v>-330.096845335038</v>
      </c>
      <c r="L12" s="4" t="n">
        <f aca="false">-L6*Assumptions!L17/100</f>
        <v>-293.236030939292</v>
      </c>
    </row>
    <row r="13" customFormat="false" ht="15" hidden="false" customHeight="false" outlineLevel="0" collapsed="false">
      <c r="A13" s="0" t="s">
        <v>127</v>
      </c>
      <c r="C13" s="0" t="n">
        <f aca="false">C11+C12</f>
        <v>2055.68892</v>
      </c>
      <c r="D13" s="0" t="n">
        <f aca="false">D11+D12</f>
        <v>2090.386854</v>
      </c>
      <c r="E13" s="0" t="n">
        <f aca="false">E11+E12</f>
        <v>2159.706779352</v>
      </c>
      <c r="F13" s="0" t="n">
        <f aca="false">F11+F12</f>
        <v>2300.06479318632</v>
      </c>
      <c r="G13" s="0" t="n">
        <f aca="false">G11+G12</f>
        <v>2419.67288535766</v>
      </c>
      <c r="H13" s="0" t="n">
        <f aca="false">H11+H12</f>
        <v>2544.83596460934</v>
      </c>
      <c r="I13" s="0" t="n">
        <f aca="false">I11+I12</f>
        <v>2662.86980765971</v>
      </c>
      <c r="J13" s="0" t="n">
        <f aca="false">J11+J12</f>
        <v>2785.69532892496</v>
      </c>
      <c r="K13" s="0" t="n">
        <f aca="false">K11+K12</f>
        <v>2899.35062485942</v>
      </c>
      <c r="L13" s="0" t="n">
        <f aca="false">L11+L12</f>
        <v>3016.94762601003</v>
      </c>
    </row>
    <row r="14" customFormat="false" ht="15" hidden="false" customHeight="false" outlineLevel="0" collapsed="false">
      <c r="A14" s="0" t="s">
        <v>113</v>
      </c>
      <c r="C14" s="4" t="n">
        <f aca="false">Assumptions!C19</f>
        <v>21</v>
      </c>
      <c r="D14" s="4" t="n">
        <f aca="false">Assumptions!D19</f>
        <v>21</v>
      </c>
      <c r="E14" s="4" t="n">
        <f aca="false">Assumptions!E19</f>
        <v>21</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128</v>
      </c>
      <c r="C15" s="0" t="n">
        <f aca="false">C13-MAX(0,C13)*C14/100</f>
        <v>1623.9942468</v>
      </c>
      <c r="D15" s="0" t="n">
        <f aca="false">D13-MAX(0,D13)*D14/100</f>
        <v>1651.40561466</v>
      </c>
      <c r="E15" s="0" t="n">
        <f aca="false">E13-MAX(0,E13)*E14/100</f>
        <v>1706.16835568808</v>
      </c>
      <c r="F15" s="0" t="n">
        <f aca="false">F13-MAX(0,F13)*F14/100</f>
        <v>1794.05053868533</v>
      </c>
      <c r="G15" s="0" t="n">
        <f aca="false">G13-MAX(0,G13)*G14/100</f>
        <v>1887.34485057898</v>
      </c>
      <c r="H15" s="0" t="n">
        <f aca="false">H13-MAX(0,H13)*H14/100</f>
        <v>1984.97205239529</v>
      </c>
      <c r="I15" s="0" t="n">
        <f aca="false">I13-MAX(0,I13)*I14/100</f>
        <v>2077.03844997458</v>
      </c>
      <c r="J15" s="0" t="n">
        <f aca="false">J13-MAX(0,J13)*J14/100</f>
        <v>2172.84235656147</v>
      </c>
      <c r="K15" s="0" t="n">
        <f aca="false">K13-MAX(0,K13)*K14/100</f>
        <v>2261.49348739035</v>
      </c>
      <c r="L15" s="0" t="n">
        <f aca="false">L13-MAX(0,L13)*L14/100</f>
        <v>2353.21914828782</v>
      </c>
    </row>
    <row r="16" customFormat="false" ht="15" hidden="false" customHeight="false" outlineLevel="0" collapsed="false">
      <c r="A16" s="0" t="s">
        <v>129</v>
      </c>
      <c r="C16" s="0" t="n">
        <f aca="false">-C12</f>
        <v>506.28432</v>
      </c>
      <c r="D16" s="0" t="n">
        <f aca="false">-D12</f>
        <v>503.4910272</v>
      </c>
      <c r="E16" s="0" t="n">
        <f aca="false">-E12</f>
        <v>486.048659472</v>
      </c>
      <c r="F16" s="0" t="n">
        <f aca="false">-F12</f>
        <v>472.292565336</v>
      </c>
      <c r="G16" s="0" t="n">
        <f aca="false">-G12</f>
        <v>449.716980712939</v>
      </c>
      <c r="H16" s="0" t="n">
        <f aca="false">-H12</f>
        <v>424.982546773728</v>
      </c>
      <c r="I16" s="0" t="n">
        <f aca="false">-I12</f>
        <v>396.04325906485</v>
      </c>
      <c r="J16" s="0" t="n">
        <f aca="false">-J12</f>
        <v>364.985129801343</v>
      </c>
      <c r="K16" s="0" t="n">
        <f aca="false">-K12</f>
        <v>330.096845335038</v>
      </c>
      <c r="L16" s="0" t="n">
        <f aca="false">-L12</f>
        <v>293.236030939292</v>
      </c>
    </row>
    <row r="17" customFormat="false" ht="15" hidden="false" customHeight="false" outlineLevel="0" collapsed="false">
      <c r="A17" s="0" t="s">
        <v>130</v>
      </c>
      <c r="C17" s="4" t="n">
        <f aca="false">-C6*Assumptions!C18/100</f>
        <v>-157.12272</v>
      </c>
      <c r="D17" s="4" t="n">
        <f aca="false">-D6*Assumptions!D18/100</f>
        <v>-161.8364016</v>
      </c>
      <c r="E17" s="4" t="n">
        <f aca="false">-E6*Assumptions!E18/100</f>
        <v>-174.243859056</v>
      </c>
      <c r="F17" s="4" t="n">
        <f aca="false">-F6*Assumptions!F18/100</f>
        <v>-179.47117482768</v>
      </c>
      <c r="G17" s="4" t="n">
        <f aca="false">-G6*Assumptions!G18/100</f>
        <v>-195.529122049104</v>
      </c>
      <c r="H17" s="4" t="n">
        <f aca="false">-H6*Assumptions!H18/100</f>
        <v>-202.372641320823</v>
      </c>
      <c r="I17" s="4" t="n">
        <f aca="false">-I6*Assumptions!I18/100</f>
        <v>-208.443820560447</v>
      </c>
      <c r="J17" s="4" t="n">
        <f aca="false">-J6*Assumptions!J18/100</f>
        <v>-214.697135177261</v>
      </c>
      <c r="K17" s="4" t="n">
        <f aca="false">-K6*Assumptions!K18/100</f>
        <v>-220.064563556692</v>
      </c>
      <c r="L17" s="4" t="n">
        <f aca="false">-L6*Assumptions!L18/100</f>
        <v>-225.56617764561</v>
      </c>
    </row>
    <row r="18" customFormat="false" ht="15" hidden="false" customHeight="false" outlineLevel="0" collapsed="false">
      <c r="A18" s="0" t="s">
        <v>131</v>
      </c>
      <c r="C18" s="4" t="n">
        <f aca="false">(C6-B6)*Assumptions!$B$23/100</f>
        <v>-86.5040000000001</v>
      </c>
      <c r="D18" s="4" t="n">
        <f aca="false">(D6-C6)*Assumptions!$B$23/100</f>
        <v>-26.18712</v>
      </c>
      <c r="E18" s="4" t="n">
        <f aca="false">(E6-D6)*Assumptions!$B$23/100</f>
        <v>-17.9818224000001</v>
      </c>
      <c r="F18" s="4" t="n">
        <f aca="false">(F6-E6)*Assumptions!$B$23/100</f>
        <v>-27.5121882720001</v>
      </c>
      <c r="G18" s="4" t="n">
        <f aca="false">(G6-F6)*Assumptions!$B$23/100</f>
        <v>-33.0604795735198</v>
      </c>
      <c r="H18" s="4" t="n">
        <f aca="false">(H6-G6)*Assumptions!$B$23/100</f>
        <v>-34.2175963585931</v>
      </c>
      <c r="I18" s="4" t="n">
        <f aca="false">(I6-H6)*Assumptions!$B$23/100</f>
        <v>-30.3558961981234</v>
      </c>
      <c r="J18" s="4" t="n">
        <f aca="false">(J6-I6)*Assumptions!$B$23/100</f>
        <v>-31.2665730840672</v>
      </c>
      <c r="K18" s="4" t="n">
        <f aca="false">(K6-J6)*Assumptions!$B$23/100</f>
        <v>-26.8371418971576</v>
      </c>
      <c r="L18" s="4" t="n">
        <f aca="false">(L6-K6)*Assumptions!$B$23/100</f>
        <v>-27.5080704445865</v>
      </c>
    </row>
    <row r="19" customFormat="false" ht="15" hidden="false" customHeight="false" outlineLevel="0" collapsed="false">
      <c r="A19" s="0" t="s">
        <v>132</v>
      </c>
      <c r="C19" s="0" t="n">
        <f aca="false">C15+C16+C17+C18</f>
        <v>1886.6518468</v>
      </c>
      <c r="D19" s="0" t="n">
        <f aca="false">D15+D16+D17+D18</f>
        <v>1966.87312026</v>
      </c>
      <c r="E19" s="0" t="n">
        <f aca="false">E15+E16+E17+E18</f>
        <v>1999.99133370408</v>
      </c>
      <c r="F19" s="0" t="n">
        <f aca="false">F15+F16+F17+F18</f>
        <v>2059.35974092165</v>
      </c>
      <c r="G19" s="0" t="n">
        <f aca="false">G15+G16+G17+G18</f>
        <v>2108.47222966929</v>
      </c>
      <c r="H19" s="0" t="n">
        <f aca="false">H15+H16+H17+H18</f>
        <v>2173.3643614896</v>
      </c>
      <c r="I19" s="0" t="n">
        <f aca="false">I15+I16+I17+I18</f>
        <v>2234.28199228086</v>
      </c>
      <c r="J19" s="0" t="n">
        <f aca="false">J15+J16+J17+J18</f>
        <v>2291.86377810148</v>
      </c>
      <c r="K19" s="0" t="n">
        <f aca="false">K15+K16+K17+K18</f>
        <v>2344.68862727154</v>
      </c>
      <c r="L19" s="0" t="n">
        <f aca="false">L15+L16+L17+L18</f>
        <v>2393.38093113692</v>
      </c>
    </row>
    <row r="20" customFormat="false" ht="15" hidden="false" customHeight="false" outlineLevel="0" collapsed="false">
      <c r="A20" s="0" t="s">
        <v>133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134</v>
      </c>
      <c r="C21" s="0" t="n">
        <f aca="false">C19*C20</f>
        <v>1738.8496283871</v>
      </c>
      <c r="D21" s="0" t="n">
        <f aca="false">D19*D20</f>
        <v>1670.77077046444</v>
      </c>
      <c r="E21" s="0" t="n">
        <f aca="false">E19*E20</f>
        <v>1565.8094119482</v>
      </c>
      <c r="F21" s="0" t="n">
        <f aca="false">F19*F20</f>
        <v>1485.98103110578</v>
      </c>
      <c r="G21" s="0" t="n">
        <f aca="false">G19*G20</f>
        <v>1402.22980647233</v>
      </c>
      <c r="H21" s="0" t="n">
        <f aca="false">H19*H20</f>
        <v>1332.15301543489</v>
      </c>
      <c r="I21" s="0" t="n">
        <f aca="false">I19*I20</f>
        <v>1262.20477249647</v>
      </c>
      <c r="J21" s="0" t="n">
        <f aca="false">J19*J20</f>
        <v>1193.30344758626</v>
      </c>
      <c r="K21" s="0" t="n">
        <f aca="false">K19*K20</f>
        <v>1125.16841716991</v>
      </c>
      <c r="L21" s="0" t="n">
        <f aca="false">L19*L20</f>
        <v>1058.55747846928</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8.5</v>
      </c>
    </row>
    <row r="28" customFormat="false" ht="15" hidden="false" customHeight="false" outlineLevel="0" collapsed="false">
      <c r="A28" s="0" t="s">
        <v>115</v>
      </c>
      <c r="B28" s="4" t="n">
        <f aca="false">Assumptions!$B$21</f>
        <v>2.5</v>
      </c>
    </row>
    <row r="29" customFormat="false" ht="15" hidden="false" customHeight="false" outlineLevel="0" collapsed="false">
      <c r="A29" s="0" t="s">
        <v>116</v>
      </c>
      <c r="B29" s="4" t="n">
        <f aca="false">Assumptions!$B$22</f>
        <v>15</v>
      </c>
    </row>
    <row r="30" customFormat="false" ht="15" hidden="false" customHeight="false" outlineLevel="0" collapsed="false">
      <c r="A30" s="0" t="s">
        <v>137</v>
      </c>
      <c r="B30" s="0" t="n">
        <f aca="false">SUM(C21:L21)</f>
        <v>13835.0277795346</v>
      </c>
    </row>
    <row r="31" customFormat="false" ht="15" hidden="false" customHeight="false" outlineLevel="0" collapsed="false">
      <c r="A31" s="0" t="s">
        <v>138</v>
      </c>
      <c r="B31" s="0" t="n">
        <f aca="false">L19</f>
        <v>2393.38093113692</v>
      </c>
    </row>
    <row r="32" customFormat="false" ht="15" hidden="false" customHeight="false" outlineLevel="0" collapsed="false">
      <c r="A32" s="0" t="s">
        <v>139</v>
      </c>
      <c r="B32" s="0" t="n">
        <f aca="false">IF(B27&gt;B28,B31*(1+B28/100)/((B27-B28)/100),B31*B29)</f>
        <v>40886.9242402557</v>
      </c>
    </row>
    <row r="33" customFormat="false" ht="15" hidden="false" customHeight="false" outlineLevel="0" collapsed="false">
      <c r="A33" s="0" t="s">
        <v>140</v>
      </c>
      <c r="B33" s="0" t="n">
        <f aca="false">B31*B29</f>
        <v>35900.7139670538</v>
      </c>
    </row>
    <row r="34" customFormat="false" ht="15" hidden="false" customHeight="false" outlineLevel="0" collapsed="false">
      <c r="A34" s="0" t="s">
        <v>141</v>
      </c>
      <c r="B34" s="0" t="n">
        <f aca="false">MAX(0,MIN(B32,B33))</f>
        <v>35900.7139670538</v>
      </c>
    </row>
    <row r="35" customFormat="false" ht="15" hidden="false" customHeight="false" outlineLevel="0" collapsed="false">
      <c r="A35" s="0" t="s">
        <v>142</v>
      </c>
      <c r="B35" s="0" t="n">
        <f aca="false">B34/(1+B27/100)^L4</f>
        <v>15878.3621770392</v>
      </c>
    </row>
    <row r="36" customFormat="false" ht="15" hidden="false" customHeight="false" outlineLevel="0" collapsed="false">
      <c r="A36" s="0" t="s">
        <v>143</v>
      </c>
      <c r="B36" s="0" t="n">
        <f aca="false">B30+B35</f>
        <v>29713.3899565739</v>
      </c>
    </row>
    <row r="37" customFormat="false" ht="15" hidden="false" customHeight="false" outlineLevel="0" collapsed="false">
      <c r="A37" s="0" t="s">
        <v>144</v>
      </c>
      <c r="B37" s="0" t="n">
        <f aca="false">B36+Assumptions!$B$5-Assumptions!$B$4</f>
        <v>23172.3899565739</v>
      </c>
    </row>
    <row r="38" customFormat="false" ht="15" hidden="false" customHeight="false" outlineLevel="0" collapsed="false">
      <c r="A38" s="0" t="s">
        <v>145</v>
      </c>
      <c r="B38" s="0" t="n">
        <f aca="false">B37/Assumptions!$B$3*Assumptions!$B$10</f>
        <v>100.313376435385</v>
      </c>
    </row>
    <row r="39" customFormat="false" ht="15" hidden="false" customHeight="false" outlineLevel="0" collapsed="false">
      <c r="A39" s="0" t="s">
        <v>146</v>
      </c>
      <c r="B39" s="4" t="n">
        <f aca="false">B38/Assumptions!$B$2-1</f>
        <v>-0.595086072352528</v>
      </c>
    </row>
    <row r="41" customFormat="false" ht="15" hidden="false" customHeight="false" outlineLevel="0" collapsed="false">
      <c r="A41" s="0" t="s">
        <v>147</v>
      </c>
      <c r="B41" s="0" t="n">
        <f aca="false">SUMPRODUCT(-C10:L10/(1+$B$27/100)^C4:L4)</f>
        <v>416.830632069892</v>
      </c>
    </row>
    <row r="42" customFormat="false" ht="15" hidden="false" customHeight="false" outlineLevel="0" collapsed="false">
      <c r="A42" s="0" t="s">
        <v>148</v>
      </c>
      <c r="B42" s="0" t="n">
        <f aca="false">IF(B27&gt;B28,-L10*(1+B28/100)/((B27-B28)/100),-L10*20)/(1+B27/100)^L4</f>
        <v>553.901542245628</v>
      </c>
    </row>
    <row r="43" customFormat="false" ht="15" hidden="false" customHeight="false" outlineLevel="0" collapsed="false">
      <c r="A43" s="0" t="s">
        <v>149</v>
      </c>
      <c r="B43" s="0" t="n">
        <f aca="false">(B37+B41+B42)/Assumptions!$B$3*Assumptions!$B$10</f>
        <v>104.5156802203</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19625.7236353227</v>
      </c>
    </row>
    <row r="47" customFormat="false" ht="15" hidden="false" customHeight="false" outlineLevel="0" collapsed="false">
      <c r="A47" s="0" t="s">
        <v>151</v>
      </c>
      <c r="B47" s="0" t="n">
        <f aca="false">(SUMPRODUCT(C19:L19/(1+B45/100)^C4:L4)+B46/(1+B45/100)^L4+Assumptions!$B$5-Assumptions!$B$4)/Assumptions!$B$3*Assumptions!$B$10</f>
        <v>37.9464199912391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17.7</v>
      </c>
      <c r="D5" s="4" t="n">
        <f aca="false">Assumptions!D27</f>
        <v>7</v>
      </c>
      <c r="E5" s="4" t="n">
        <f aca="false">Assumptions!E27</f>
        <v>5.5</v>
      </c>
      <c r="F5" s="4" t="n">
        <f aca="false">Assumptions!F27</f>
        <v>5.5</v>
      </c>
      <c r="G5" s="4" t="n">
        <f aca="false">Assumptions!G27</f>
        <v>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37</v>
      </c>
      <c r="B6" s="3" t="n">
        <v>7864</v>
      </c>
      <c r="C6" s="0" t="n">
        <f aca="false">B6*(1+C5/100)</f>
        <v>9255.928</v>
      </c>
      <c r="D6" s="0" t="n">
        <f aca="false">C6*(1+D5/100)</f>
        <v>9903.84296</v>
      </c>
      <c r="E6" s="0" t="n">
        <f aca="false">D6*(1+E5/100)</f>
        <v>10448.5543228</v>
      </c>
      <c r="F6" s="0" t="n">
        <f aca="false">E6*(1+F5/100)</f>
        <v>11023.224810554</v>
      </c>
      <c r="G6" s="0" t="n">
        <f aca="false">F6*(1+G5/100)</f>
        <v>11574.3860510817</v>
      </c>
      <c r="H6" s="0" t="n">
        <f aca="false">G6*(1+H5/100)</f>
        <v>12153.1053536358</v>
      </c>
      <c r="I6" s="0" t="n">
        <f aca="false">H6*(1+I5/100)</f>
        <v>12699.9950945494</v>
      </c>
      <c r="J6" s="0" t="n">
        <f aca="false">I6*(1+J5/100)</f>
        <v>13207.9948983314</v>
      </c>
      <c r="K6" s="0" t="n">
        <f aca="false">J6*(1+K5/100)</f>
        <v>13670.274719773</v>
      </c>
      <c r="L6" s="0" t="n">
        <f aca="false">K6*(1+L5/100)</f>
        <v>14080.3829613662</v>
      </c>
    </row>
    <row r="7" customFormat="false" ht="15" hidden="false" customHeight="false" outlineLevel="0" collapsed="false">
      <c r="A7" s="0" t="s">
        <v>108</v>
      </c>
      <c r="C7" s="4" t="n">
        <f aca="false">Assumptions!C28</f>
        <v>31.5</v>
      </c>
      <c r="D7" s="4" t="n">
        <f aca="false">Assumptions!D28</f>
        <v>31.8</v>
      </c>
      <c r="E7" s="4" t="n">
        <f aca="false">Assumptions!E28</f>
        <v>32</v>
      </c>
      <c r="F7" s="4" t="n">
        <f aca="false">Assumptions!F28</f>
        <v>32.2</v>
      </c>
      <c r="G7" s="4" t="n">
        <f aca="false">Assumptions!G28</f>
        <v>32.4</v>
      </c>
      <c r="H7" s="4" t="n">
        <f aca="false">Assumptions!H28</f>
        <v>32.5</v>
      </c>
      <c r="I7" s="4" t="n">
        <f aca="false">Assumptions!I28</f>
        <v>32.5</v>
      </c>
      <c r="J7" s="4" t="n">
        <f aca="false">Assumptions!J28</f>
        <v>32.5</v>
      </c>
      <c r="K7" s="4" t="n">
        <f aca="false">Assumptions!K28</f>
        <v>32.5</v>
      </c>
      <c r="L7" s="4" t="n">
        <f aca="false">Assumptions!L28</f>
        <v>32.5</v>
      </c>
    </row>
    <row r="8" customFormat="false" ht="15" hidden="false" customHeight="false" outlineLevel="0" collapsed="false">
      <c r="A8" s="0" t="s">
        <v>43</v>
      </c>
      <c r="C8" s="0" t="n">
        <f aca="false">C6*C7/100</f>
        <v>2915.61732</v>
      </c>
      <c r="D8" s="0" t="n">
        <f aca="false">D6*D7/100</f>
        <v>3149.42206128</v>
      </c>
      <c r="E8" s="0" t="n">
        <f aca="false">E6*E7/100</f>
        <v>3343.537383296</v>
      </c>
      <c r="F8" s="0" t="n">
        <f aca="false">F6*F7/100</f>
        <v>3549.47838899839</v>
      </c>
      <c r="G8" s="0" t="n">
        <f aca="false">G6*G7/100</f>
        <v>3750.10108055047</v>
      </c>
      <c r="H8" s="0" t="n">
        <f aca="false">H6*H7/100</f>
        <v>3949.75923993163</v>
      </c>
      <c r="I8" s="0" t="n">
        <f aca="false">I6*I7/100</f>
        <v>4127.49840572855</v>
      </c>
      <c r="J8" s="0" t="n">
        <f aca="false">J6*J7/100</f>
        <v>4292.5983419577</v>
      </c>
      <c r="K8" s="0" t="n">
        <f aca="false">K6*K7/100</f>
        <v>4442.83928392621</v>
      </c>
      <c r="L8" s="0" t="n">
        <f aca="false">L6*L7/100</f>
        <v>4576.124462444</v>
      </c>
    </row>
    <row r="9" customFormat="false" ht="15" hidden="false" customHeight="false" outlineLevel="0" collapsed="false">
      <c r="A9" s="0" t="s">
        <v>109</v>
      </c>
      <c r="C9" s="4" t="n">
        <f aca="false">Assumptions!C29</f>
        <v>0.65</v>
      </c>
      <c r="D9" s="4" t="n">
        <f aca="false">Assumptions!D29</f>
        <v>0.65</v>
      </c>
      <c r="E9" s="4" t="n">
        <f aca="false">Assumptions!E29</f>
        <v>0.65</v>
      </c>
      <c r="F9" s="4" t="n">
        <f aca="false">Assumptions!F29</f>
        <v>0.65</v>
      </c>
      <c r="G9" s="4" t="n">
        <f aca="false">Assumptions!G29</f>
        <v>0.65</v>
      </c>
      <c r="H9" s="4" t="n">
        <f aca="false">Assumptions!H29</f>
        <v>0.65</v>
      </c>
      <c r="I9" s="4" t="n">
        <f aca="false">Assumptions!I29</f>
        <v>0.65</v>
      </c>
      <c r="J9" s="4" t="n">
        <f aca="false">Assumptions!J29</f>
        <v>0.65</v>
      </c>
      <c r="K9" s="4" t="n">
        <f aca="false">Assumptions!K29</f>
        <v>0.65</v>
      </c>
      <c r="L9" s="4" t="n">
        <f aca="false">Assumptions!L29</f>
        <v>0.65</v>
      </c>
    </row>
    <row r="10" customFormat="false" ht="15" hidden="false" customHeight="false" outlineLevel="0" collapsed="false">
      <c r="A10" s="0" t="s">
        <v>124</v>
      </c>
      <c r="C10" s="0" t="n">
        <f aca="false">-C6*C9/100</f>
        <v>-60.163532</v>
      </c>
      <c r="D10" s="0" t="n">
        <f aca="false">-D6*D9/100</f>
        <v>-64.37497924</v>
      </c>
      <c r="E10" s="0" t="n">
        <f aca="false">-E6*E9/100</f>
        <v>-67.9156030982</v>
      </c>
      <c r="F10" s="0" t="n">
        <f aca="false">-F6*F9/100</f>
        <v>-71.650961268601</v>
      </c>
      <c r="G10" s="0" t="n">
        <f aca="false">-G6*G9/100</f>
        <v>-75.2335093320311</v>
      </c>
      <c r="H10" s="0" t="n">
        <f aca="false">-H6*H9/100</f>
        <v>-78.9951847986326</v>
      </c>
      <c r="I10" s="0" t="n">
        <f aca="false">-I6*I9/100</f>
        <v>-82.5499681145711</v>
      </c>
      <c r="J10" s="0" t="n">
        <f aca="false">-J6*J9/100</f>
        <v>-85.8519668391539</v>
      </c>
      <c r="K10" s="0" t="n">
        <f aca="false">-K6*K9/100</f>
        <v>-88.8567856785243</v>
      </c>
      <c r="L10" s="0" t="n">
        <f aca="false">-L6*L9/100</f>
        <v>-91.52248924888</v>
      </c>
    </row>
    <row r="11" customFormat="false" ht="15" hidden="false" customHeight="false" outlineLevel="0" collapsed="false">
      <c r="A11" s="0" t="s">
        <v>125</v>
      </c>
      <c r="C11" s="0" t="n">
        <f aca="false">C8+C10+C24</f>
        <v>2855.453788</v>
      </c>
      <c r="D11" s="0" t="n">
        <f aca="false">D8+D10+D24</f>
        <v>3085.04708204</v>
      </c>
      <c r="E11" s="0" t="n">
        <f aca="false">E8+E10+E24</f>
        <v>3275.6217801978</v>
      </c>
      <c r="F11" s="0" t="n">
        <f aca="false">F8+F10+F24</f>
        <v>3477.82742772979</v>
      </c>
      <c r="G11" s="0" t="n">
        <f aca="false">G8+G10+G24</f>
        <v>3674.86757121844</v>
      </c>
      <c r="H11" s="0" t="n">
        <f aca="false">H8+H10+H24</f>
        <v>3870.764055133</v>
      </c>
      <c r="I11" s="0" t="n">
        <f aca="false">I8+I10+I24</f>
        <v>4044.94843761398</v>
      </c>
      <c r="J11" s="0" t="n">
        <f aca="false">J8+J10+J24</f>
        <v>4206.74637511854</v>
      </c>
      <c r="K11" s="0" t="n">
        <f aca="false">K8+K10+K24</f>
        <v>4353.98249824769</v>
      </c>
      <c r="L11" s="0" t="n">
        <f aca="false">L8+L10+L24</f>
        <v>4484.60197319512</v>
      </c>
    </row>
    <row r="12" customFormat="false" ht="15" hidden="false" customHeight="false" outlineLevel="0" collapsed="false">
      <c r="A12" s="0" t="s">
        <v>126</v>
      </c>
      <c r="C12" s="4" t="n">
        <f aca="false">-C6*Assumptions!C31/100</f>
        <v>-536.843824</v>
      </c>
      <c r="D12" s="4" t="n">
        <f aca="false">-D6*Assumptions!D31/100</f>
        <v>-554.61520576</v>
      </c>
      <c r="E12" s="4" t="n">
        <f aca="false">-E6*Assumptions!E31/100</f>
        <v>-553.7733791084</v>
      </c>
      <c r="F12" s="4" t="n">
        <f aca="false">-F6*Assumptions!F31/100</f>
        <v>-551.1612405277</v>
      </c>
      <c r="G12" s="4" t="n">
        <f aca="false">-G6*Assumptions!G31/100</f>
        <v>-532.421758349758</v>
      </c>
      <c r="H12" s="4" t="n">
        <f aca="false">-H6*Assumptions!H31/100</f>
        <v>-510.430424852703</v>
      </c>
      <c r="I12" s="4" t="n">
        <f aca="false">-I6*Assumptions!I31/100</f>
        <v>-482.599813592877</v>
      </c>
      <c r="J12" s="4" t="n">
        <f aca="false">-J6*Assumptions!J31/100</f>
        <v>-449.071826543267</v>
      </c>
      <c r="K12" s="4" t="n">
        <f aca="false">-K6*Assumptions!K31/100</f>
        <v>-410.108241593189</v>
      </c>
      <c r="L12" s="4" t="n">
        <f aca="false">-L6*Assumptions!L31/100</f>
        <v>-366.08995699552</v>
      </c>
    </row>
    <row r="13" customFormat="false" ht="15" hidden="false" customHeight="false" outlineLevel="0" collapsed="false">
      <c r="A13" s="0" t="s">
        <v>127</v>
      </c>
      <c r="C13" s="0" t="n">
        <f aca="false">C11+C12</f>
        <v>2318.609964</v>
      </c>
      <c r="D13" s="0" t="n">
        <f aca="false">D11+D12</f>
        <v>2530.43187628</v>
      </c>
      <c r="E13" s="0" t="n">
        <f aca="false">E11+E12</f>
        <v>2721.8484010894</v>
      </c>
      <c r="F13" s="0" t="n">
        <f aca="false">F11+F12</f>
        <v>2926.66618720209</v>
      </c>
      <c r="G13" s="0" t="n">
        <f aca="false">G11+G12</f>
        <v>3142.44581286868</v>
      </c>
      <c r="H13" s="0" t="n">
        <f aca="false">H11+H12</f>
        <v>3360.33363028029</v>
      </c>
      <c r="I13" s="0" t="n">
        <f aca="false">I11+I12</f>
        <v>3562.3486240211</v>
      </c>
      <c r="J13" s="0" t="n">
        <f aca="false">J11+J12</f>
        <v>3757.67454857528</v>
      </c>
      <c r="K13" s="0" t="n">
        <f aca="false">K11+K12</f>
        <v>3943.8742566545</v>
      </c>
      <c r="L13" s="0" t="n">
        <f aca="false">L11+L12</f>
        <v>4118.5120161996</v>
      </c>
    </row>
    <row r="14" customFormat="false" ht="15" hidden="false" customHeight="false" outlineLevel="0" collapsed="false">
      <c r="A14" s="0" t="s">
        <v>113</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128</v>
      </c>
      <c r="C15" s="0" t="n">
        <f aca="false">C13-MAX(0,C13)*C14/100</f>
        <v>1831.70187156</v>
      </c>
      <c r="D15" s="0" t="n">
        <f aca="false">D13-MAX(0,D13)*D14/100</f>
        <v>1999.0411822612</v>
      </c>
      <c r="E15" s="0" t="n">
        <f aca="false">E13-MAX(0,E13)*E14/100</f>
        <v>2150.26023686063</v>
      </c>
      <c r="F15" s="0" t="n">
        <f aca="false">F13-MAX(0,F13)*F14/100</f>
        <v>2312.06628788965</v>
      </c>
      <c r="G15" s="0" t="n">
        <f aca="false">G13-MAX(0,G13)*G14/100</f>
        <v>2482.53219216626</v>
      </c>
      <c r="H15" s="0" t="n">
        <f aca="false">H13-MAX(0,H13)*H14/100</f>
        <v>2654.66356792143</v>
      </c>
      <c r="I15" s="0" t="n">
        <f aca="false">I13-MAX(0,I13)*I14/100</f>
        <v>2814.25541297667</v>
      </c>
      <c r="J15" s="0" t="n">
        <f aca="false">J13-MAX(0,J13)*J14/100</f>
        <v>2968.56289337447</v>
      </c>
      <c r="K15" s="0" t="n">
        <f aca="false">K13-MAX(0,K13)*K14/100</f>
        <v>3115.66066275706</v>
      </c>
      <c r="L15" s="0" t="n">
        <f aca="false">L13-MAX(0,L13)*L14/100</f>
        <v>3253.62449279769</v>
      </c>
    </row>
    <row r="16" customFormat="false" ht="15" hidden="false" customHeight="false" outlineLevel="0" collapsed="false">
      <c r="A16" s="0" t="s">
        <v>129</v>
      </c>
      <c r="C16" s="0" t="n">
        <f aca="false">-C12</f>
        <v>536.843824</v>
      </c>
      <c r="D16" s="0" t="n">
        <f aca="false">-D12</f>
        <v>554.61520576</v>
      </c>
      <c r="E16" s="0" t="n">
        <f aca="false">-E12</f>
        <v>553.7733791084</v>
      </c>
      <c r="F16" s="0" t="n">
        <f aca="false">-F12</f>
        <v>551.1612405277</v>
      </c>
      <c r="G16" s="0" t="n">
        <f aca="false">-G12</f>
        <v>532.421758349758</v>
      </c>
      <c r="H16" s="0" t="n">
        <f aca="false">-H12</f>
        <v>510.430424852703</v>
      </c>
      <c r="I16" s="0" t="n">
        <f aca="false">-I12</f>
        <v>482.599813592877</v>
      </c>
      <c r="J16" s="0" t="n">
        <f aca="false">-J12</f>
        <v>449.071826543267</v>
      </c>
      <c r="K16" s="0" t="n">
        <f aca="false">-K12</f>
        <v>410.108241593189</v>
      </c>
      <c r="L16" s="0" t="n">
        <f aca="false">-L12</f>
        <v>366.08995699552</v>
      </c>
    </row>
    <row r="17" customFormat="false" ht="15" hidden="false" customHeight="false" outlineLevel="0" collapsed="false">
      <c r="A17" s="0" t="s">
        <v>130</v>
      </c>
      <c r="C17" s="4" t="n">
        <f aca="false">-C6*Assumptions!C32/100</f>
        <v>-166.606704</v>
      </c>
      <c r="D17" s="4" t="n">
        <f aca="false">-D6*Assumptions!D32/100</f>
        <v>-178.26917328</v>
      </c>
      <c r="E17" s="4" t="n">
        <f aca="false">-E6*Assumptions!E32/100</f>
        <v>-198.5225321332</v>
      </c>
      <c r="F17" s="4" t="n">
        <f aca="false">-F6*Assumptions!F32/100</f>
        <v>-209.441271400526</v>
      </c>
      <c r="G17" s="4" t="n">
        <f aca="false">-G6*Assumptions!G32/100</f>
        <v>-231.487721021634</v>
      </c>
      <c r="H17" s="4" t="n">
        <f aca="false">-H6*Assumptions!H32/100</f>
        <v>-243.062107072716</v>
      </c>
      <c r="I17" s="4" t="n">
        <f aca="false">-I6*Assumptions!I32/100</f>
        <v>-253.999901890988</v>
      </c>
      <c r="J17" s="4" t="n">
        <f aca="false">-J6*Assumptions!J32/100</f>
        <v>-264.159897966627</v>
      </c>
      <c r="K17" s="4" t="n">
        <f aca="false">-K6*Assumptions!K32/100</f>
        <v>-273.405494395459</v>
      </c>
      <c r="L17" s="4" t="n">
        <f aca="false">-L6*Assumptions!L32/100</f>
        <v>-281.607659227323</v>
      </c>
    </row>
    <row r="18" customFormat="false" ht="15" hidden="false" customHeight="false" outlineLevel="0" collapsed="false">
      <c r="A18" s="0" t="s">
        <v>131</v>
      </c>
      <c r="C18" s="4" t="n">
        <f aca="false">(C6-B6)*Assumptions!$B$37/100</f>
        <v>-139.1928</v>
      </c>
      <c r="D18" s="4" t="n">
        <f aca="false">(D6-C6)*Assumptions!$B$37/100</f>
        <v>-64.791496</v>
      </c>
      <c r="E18" s="4" t="n">
        <f aca="false">(E6-D6)*Assumptions!$B$37/100</f>
        <v>-54.4711362799999</v>
      </c>
      <c r="F18" s="4" t="n">
        <f aca="false">(F6-E6)*Assumptions!$B$37/100</f>
        <v>-57.4670487754</v>
      </c>
      <c r="G18" s="4" t="n">
        <f aca="false">(G6-F6)*Assumptions!$B$37/100</f>
        <v>-55.1161240527701</v>
      </c>
      <c r="H18" s="4" t="n">
        <f aca="false">(H6-G6)*Assumptions!$B$37/100</f>
        <v>-57.8719302554086</v>
      </c>
      <c r="I18" s="4" t="n">
        <f aca="false">(I6-H6)*Assumptions!$B$37/100</f>
        <v>-54.688974091361</v>
      </c>
      <c r="J18" s="4" t="n">
        <f aca="false">(J6-I6)*Assumptions!$B$37/100</f>
        <v>-50.7999803781977</v>
      </c>
      <c r="K18" s="4" t="n">
        <f aca="false">(K6-J6)*Assumptions!$B$37/100</f>
        <v>-46.2279821441596</v>
      </c>
      <c r="L18" s="4" t="n">
        <f aca="false">(L6-K6)*Assumptions!$B$37/100</f>
        <v>-41.0108241593189</v>
      </c>
    </row>
    <row r="19" customFormat="false" ht="15" hidden="false" customHeight="false" outlineLevel="0" collapsed="false">
      <c r="A19" s="0" t="s">
        <v>132</v>
      </c>
      <c r="C19" s="0" t="n">
        <f aca="false">C15+C16+C17+C18</f>
        <v>2062.74619156</v>
      </c>
      <c r="D19" s="0" t="n">
        <f aca="false">D15+D16+D17+D18</f>
        <v>2310.5957187412</v>
      </c>
      <c r="E19" s="0" t="n">
        <f aca="false">E15+E16+E17+E18</f>
        <v>2451.03994755583</v>
      </c>
      <c r="F19" s="0" t="n">
        <f aca="false">F15+F16+F17+F18</f>
        <v>2596.31920824142</v>
      </c>
      <c r="G19" s="0" t="n">
        <f aca="false">G15+G16+G17+G18</f>
        <v>2728.35010544161</v>
      </c>
      <c r="H19" s="0" t="n">
        <f aca="false">H15+H16+H17+H18</f>
        <v>2864.15995544601</v>
      </c>
      <c r="I19" s="0" t="n">
        <f aca="false">I15+I16+I17+I18</f>
        <v>2988.1663505872</v>
      </c>
      <c r="J19" s="0" t="n">
        <f aca="false">J15+J16+J17+J18</f>
        <v>3102.67484157291</v>
      </c>
      <c r="K19" s="0" t="n">
        <f aca="false">K15+K16+K17+K18</f>
        <v>3206.13542781063</v>
      </c>
      <c r="L19" s="0" t="n">
        <f aca="false">L15+L16+L17+L18</f>
        <v>3297.09596640656</v>
      </c>
    </row>
    <row r="20" customFormat="false" ht="15" hidden="false" customHeight="false" outlineLevel="0" collapsed="false">
      <c r="A20" s="0" t="s">
        <v>133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134</v>
      </c>
      <c r="C21" s="0" t="n">
        <f aca="false">C19*C20</f>
        <v>1901.14856364977</v>
      </c>
      <c r="D21" s="0" t="n">
        <f aca="false">D19*D20</f>
        <v>1962.74774893602</v>
      </c>
      <c r="E21" s="0" t="n">
        <f aca="false">E19*E20</f>
        <v>1918.93902451869</v>
      </c>
      <c r="F21" s="0" t="n">
        <f aca="false">F19*F20</f>
        <v>1873.43717441794</v>
      </c>
      <c r="G21" s="0" t="n">
        <f aca="false">G19*G20</f>
        <v>1814.47675075247</v>
      </c>
      <c r="H21" s="0" t="n">
        <f aca="false">H19*H20</f>
        <v>1755.57278335058</v>
      </c>
      <c r="I21" s="0" t="n">
        <f aca="false">I19*I20</f>
        <v>1688.09391193912</v>
      </c>
      <c r="J21" s="0" t="n">
        <f aca="false">J19*J20</f>
        <v>1615.4679962066</v>
      </c>
      <c r="K21" s="0" t="n">
        <f aca="false">K19*K20</f>
        <v>1538.55922811378</v>
      </c>
      <c r="L21" s="0" t="n">
        <f aca="false">L19*L20</f>
        <v>1458.2574579186</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8.5</v>
      </c>
    </row>
    <row r="28" customFormat="false" ht="15" hidden="false" customHeight="false" outlineLevel="0" collapsed="false">
      <c r="A28" s="0" t="s">
        <v>115</v>
      </c>
      <c r="B28" s="4" t="n">
        <f aca="false">Assumptions!$B$35</f>
        <v>3</v>
      </c>
    </row>
    <row r="29" customFormat="false" ht="15" hidden="false" customHeight="false" outlineLevel="0" collapsed="false">
      <c r="A29" s="0" t="s">
        <v>116</v>
      </c>
      <c r="B29" s="4" t="n">
        <f aca="false">Assumptions!$B$36</f>
        <v>18</v>
      </c>
    </row>
    <row r="30" customFormat="false" ht="15" hidden="false" customHeight="false" outlineLevel="0" collapsed="false">
      <c r="A30" s="0" t="s">
        <v>137</v>
      </c>
      <c r="B30" s="0" t="n">
        <f aca="false">SUM(C21:L21)</f>
        <v>17526.7006398036</v>
      </c>
    </row>
    <row r="31" customFormat="false" ht="15" hidden="false" customHeight="false" outlineLevel="0" collapsed="false">
      <c r="A31" s="0" t="s">
        <v>138</v>
      </c>
      <c r="B31" s="0" t="n">
        <f aca="false">L19</f>
        <v>3297.09596640656</v>
      </c>
    </row>
    <row r="32" customFormat="false" ht="15" hidden="false" customHeight="false" outlineLevel="0" collapsed="false">
      <c r="A32" s="0" t="s">
        <v>139</v>
      </c>
      <c r="B32" s="0" t="n">
        <f aca="false">IF(B27&gt;B28,B31*(1+B28/100)/((B27-B28)/100),B31*B29)</f>
        <v>61745.6153708865</v>
      </c>
    </row>
    <row r="33" customFormat="false" ht="15" hidden="false" customHeight="false" outlineLevel="0" collapsed="false">
      <c r="A33" s="0" t="s">
        <v>140</v>
      </c>
      <c r="B33" s="0" t="n">
        <f aca="false">B31*B29</f>
        <v>59347.7273953181</v>
      </c>
    </row>
    <row r="34" customFormat="false" ht="15" hidden="false" customHeight="false" outlineLevel="0" collapsed="false">
      <c r="A34" s="0" t="s">
        <v>141</v>
      </c>
      <c r="B34" s="0" t="n">
        <f aca="false">MAX(0,MIN(B32,B33))</f>
        <v>59347.7273953181</v>
      </c>
    </row>
    <row r="35" customFormat="false" ht="15" hidden="false" customHeight="false" outlineLevel="0" collapsed="false">
      <c r="A35" s="0" t="s">
        <v>142</v>
      </c>
      <c r="B35" s="0" t="n">
        <f aca="false">B34/(1+B27/100)^L4</f>
        <v>26248.6342425348</v>
      </c>
    </row>
    <row r="36" customFormat="false" ht="15" hidden="false" customHeight="false" outlineLevel="0" collapsed="false">
      <c r="A36" s="0" t="s">
        <v>143</v>
      </c>
      <c r="B36" s="0" t="n">
        <f aca="false">B30+B35</f>
        <v>43775.3348823384</v>
      </c>
    </row>
    <row r="37" customFormat="false" ht="15" hidden="false" customHeight="false" outlineLevel="0" collapsed="false">
      <c r="A37" s="0" t="s">
        <v>144</v>
      </c>
      <c r="B37" s="0" t="n">
        <f aca="false">B36+Assumptions!$B$5-Assumptions!$B$4</f>
        <v>37234.3348823384</v>
      </c>
    </row>
    <row r="38" customFormat="false" ht="15" hidden="false" customHeight="false" outlineLevel="0" collapsed="false">
      <c r="A38" s="0" t="s">
        <v>145</v>
      </c>
      <c r="B38" s="0" t="n">
        <f aca="false">B37/Assumptions!$B$3*Assumptions!$B$10</f>
        <v>161.18759689324</v>
      </c>
    </row>
    <row r="39" customFormat="false" ht="15" hidden="false" customHeight="false" outlineLevel="0" collapsed="false">
      <c r="A39" s="0" t="s">
        <v>146</v>
      </c>
      <c r="B39" s="4" t="n">
        <f aca="false">B38/Assumptions!$B$2-1</f>
        <v>-0.349367898227013</v>
      </c>
    </row>
    <row r="41" customFormat="false" ht="15" hidden="false" customHeight="false" outlineLevel="0" collapsed="false">
      <c r="A41" s="0" t="s">
        <v>147</v>
      </c>
      <c r="B41" s="0" t="n">
        <f aca="false">SUMPRODUCT(-C10:L10/(1+$B$27/100)^C4:L4)</f>
        <v>487.915280898766</v>
      </c>
    </row>
    <row r="42" customFormat="false" ht="15" hidden="false" customHeight="false" outlineLevel="0" collapsed="false">
      <c r="A42" s="0" t="s">
        <v>148</v>
      </c>
      <c r="B42" s="0" t="n">
        <f aca="false">IF(B27&gt;B28,-L10*(1+B28/100)/((B27-B28)/100),-L10*20)/(1+B27/100)^L4</f>
        <v>758.06243648964</v>
      </c>
    </row>
    <row r="43" customFormat="false" ht="15" hidden="false" customHeight="false" outlineLevel="0" collapsed="false">
      <c r="A43" s="0" t="s">
        <v>149</v>
      </c>
      <c r="B43" s="0" t="n">
        <f aca="false">(B37+B41+B42)/Assumptions!$B$3*Assumptions!$B$10</f>
        <v>166.581439825657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28300.0737116563</v>
      </c>
    </row>
    <row r="47" customFormat="false" ht="15" hidden="false" customHeight="false" outlineLevel="0" collapsed="false">
      <c r="A47" s="0" t="s">
        <v>151</v>
      </c>
      <c r="B47" s="0" t="n">
        <f aca="false">(SUMPRODUCT(C19:L19/(1+B45/100)^C4:L4)+B46/(1+B45/100)^L4+Assumptions!$B$5-Assumptions!$B$4)/Assumptions!$B$3*Assumptions!$B$10</f>
        <v>58.6578698956122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19</v>
      </c>
      <c r="D5" s="4" t="n">
        <f aca="false">Assumptions!D41</f>
        <v>9</v>
      </c>
      <c r="E5" s="4" t="n">
        <f aca="false">Assumptions!E41</f>
        <v>7.5</v>
      </c>
      <c r="F5" s="4" t="n">
        <f aca="false">Assumptions!F41</f>
        <v>7</v>
      </c>
      <c r="G5" s="4" t="n">
        <f aca="false">Assumptions!G41</f>
        <v>6.5</v>
      </c>
      <c r="H5" s="4" t="n">
        <f aca="false">Assumptions!H41</f>
        <v>6</v>
      </c>
      <c r="I5" s="4" t="n">
        <f aca="false">Assumptions!I41</f>
        <v>5.5</v>
      </c>
      <c r="J5" s="4" t="n">
        <f aca="false">Assumptions!J41</f>
        <v>5</v>
      </c>
      <c r="K5" s="4" t="n">
        <f aca="false">Assumptions!K41</f>
        <v>4.5</v>
      </c>
      <c r="L5" s="4" t="n">
        <f aca="false">Assumptions!L41</f>
        <v>4</v>
      </c>
    </row>
    <row r="6" customFormat="false" ht="15" hidden="false" customHeight="false" outlineLevel="0" collapsed="false">
      <c r="A6" s="0" t="s">
        <v>37</v>
      </c>
      <c r="B6" s="3" t="n">
        <v>7864</v>
      </c>
      <c r="C6" s="0" t="n">
        <f aca="false">B6*(1+C5/100)</f>
        <v>9358.16</v>
      </c>
      <c r="D6" s="0" t="n">
        <f aca="false">C6*(1+D5/100)</f>
        <v>10200.3944</v>
      </c>
      <c r="E6" s="0" t="n">
        <f aca="false">D6*(1+E5/100)</f>
        <v>10965.42398</v>
      </c>
      <c r="F6" s="0" t="n">
        <f aca="false">E6*(1+F5/100)</f>
        <v>11733.0036586</v>
      </c>
      <c r="G6" s="0" t="n">
        <f aca="false">F6*(1+G5/100)</f>
        <v>12495.648896409</v>
      </c>
      <c r="H6" s="0" t="n">
        <f aca="false">G6*(1+H5/100)</f>
        <v>13245.3878301935</v>
      </c>
      <c r="I6" s="0" t="n">
        <f aca="false">H6*(1+I5/100)</f>
        <v>13973.8841608542</v>
      </c>
      <c r="J6" s="0" t="n">
        <f aca="false">I6*(1+J5/100)</f>
        <v>14672.5783688969</v>
      </c>
      <c r="K6" s="0" t="n">
        <f aca="false">J6*(1+K5/100)</f>
        <v>15332.8443954973</v>
      </c>
      <c r="L6" s="0" t="n">
        <f aca="false">K6*(1+L5/100)</f>
        <v>15946.1581713171</v>
      </c>
    </row>
    <row r="7" customFormat="false" ht="15" hidden="false" customHeight="false" outlineLevel="0" collapsed="false">
      <c r="A7" s="0" t="s">
        <v>108</v>
      </c>
      <c r="C7" s="4" t="n">
        <f aca="false">Assumptions!C42</f>
        <v>32</v>
      </c>
      <c r="D7" s="4" t="n">
        <f aca="false">Assumptions!D42</f>
        <v>32.6</v>
      </c>
      <c r="E7" s="4" t="n">
        <f aca="false">Assumptions!E42</f>
        <v>33.1</v>
      </c>
      <c r="F7" s="4" t="n">
        <f aca="false">Assumptions!F42</f>
        <v>33.5</v>
      </c>
      <c r="G7" s="4" t="n">
        <f aca="false">Assumptions!G42</f>
        <v>33.8</v>
      </c>
      <c r="H7" s="4" t="n">
        <f aca="false">Assumptions!H42</f>
        <v>34</v>
      </c>
      <c r="I7" s="4" t="n">
        <f aca="false">Assumptions!I42</f>
        <v>34</v>
      </c>
      <c r="J7" s="4" t="n">
        <f aca="false">Assumptions!J42</f>
        <v>34</v>
      </c>
      <c r="K7" s="4" t="n">
        <f aca="false">Assumptions!K42</f>
        <v>34</v>
      </c>
      <c r="L7" s="4" t="n">
        <f aca="false">Assumptions!L42</f>
        <v>34</v>
      </c>
    </row>
    <row r="8" customFormat="false" ht="15" hidden="false" customHeight="false" outlineLevel="0" collapsed="false">
      <c r="A8" s="0" t="s">
        <v>43</v>
      </c>
      <c r="C8" s="0" t="n">
        <f aca="false">C6*C7/100</f>
        <v>2994.6112</v>
      </c>
      <c r="D8" s="0" t="n">
        <f aca="false">D6*D7/100</f>
        <v>3325.3285744</v>
      </c>
      <c r="E8" s="0" t="n">
        <f aca="false">E6*E7/100</f>
        <v>3629.55533738</v>
      </c>
      <c r="F8" s="0" t="n">
        <f aca="false">F6*F7/100</f>
        <v>3930.556225631</v>
      </c>
      <c r="G8" s="0" t="n">
        <f aca="false">G6*G7/100</f>
        <v>4223.52932698624</v>
      </c>
      <c r="H8" s="0" t="n">
        <f aca="false">H6*H7/100</f>
        <v>4503.43186226581</v>
      </c>
      <c r="I8" s="0" t="n">
        <f aca="false">I6*I7/100</f>
        <v>4751.12061469042</v>
      </c>
      <c r="J8" s="0" t="n">
        <f aca="false">J6*J7/100</f>
        <v>4988.67664542495</v>
      </c>
      <c r="K8" s="0" t="n">
        <f aca="false">K6*K7/100</f>
        <v>5213.16709446907</v>
      </c>
      <c r="L8" s="0" t="n">
        <f aca="false">L6*L7/100</f>
        <v>5421.69377824783</v>
      </c>
    </row>
    <row r="9" customFormat="false" ht="15" hidden="false" customHeight="false" outlineLevel="0" collapsed="false">
      <c r="A9" s="0" t="s">
        <v>109</v>
      </c>
      <c r="C9" s="4" t="n">
        <f aca="false">Assumptions!C43</f>
        <v>0.65</v>
      </c>
      <c r="D9" s="4" t="n">
        <f aca="false">Assumptions!D43</f>
        <v>0.65</v>
      </c>
      <c r="E9" s="4" t="n">
        <f aca="false">Assumptions!E43</f>
        <v>0.65</v>
      </c>
      <c r="F9" s="4" t="n">
        <f aca="false">Assumptions!F43</f>
        <v>0.65</v>
      </c>
      <c r="G9" s="4" t="n">
        <f aca="false">Assumptions!G43</f>
        <v>0.65</v>
      </c>
      <c r="H9" s="4" t="n">
        <f aca="false">Assumptions!H43</f>
        <v>0.65</v>
      </c>
      <c r="I9" s="4" t="n">
        <f aca="false">Assumptions!I43</f>
        <v>0.65</v>
      </c>
      <c r="J9" s="4" t="n">
        <f aca="false">Assumptions!J43</f>
        <v>0.65</v>
      </c>
      <c r="K9" s="4" t="n">
        <f aca="false">Assumptions!K43</f>
        <v>0.65</v>
      </c>
      <c r="L9" s="4" t="n">
        <f aca="false">Assumptions!L43</f>
        <v>0.65</v>
      </c>
    </row>
    <row r="10" customFormat="false" ht="15" hidden="false" customHeight="false" outlineLevel="0" collapsed="false">
      <c r="A10" s="0" t="s">
        <v>124</v>
      </c>
      <c r="C10" s="0" t="n">
        <f aca="false">-C6*C9/100</f>
        <v>-60.82804</v>
      </c>
      <c r="D10" s="0" t="n">
        <f aca="false">-D6*D9/100</f>
        <v>-66.3025636</v>
      </c>
      <c r="E10" s="0" t="n">
        <f aca="false">-E6*E9/100</f>
        <v>-71.27525587</v>
      </c>
      <c r="F10" s="0" t="n">
        <f aca="false">-F6*F9/100</f>
        <v>-76.2645237809</v>
      </c>
      <c r="G10" s="0" t="n">
        <f aca="false">-G6*G9/100</f>
        <v>-81.2217178266585</v>
      </c>
      <c r="H10" s="0" t="n">
        <f aca="false">-H6*H9/100</f>
        <v>-86.095020896258</v>
      </c>
      <c r="I10" s="0" t="n">
        <f aca="false">-I6*I9/100</f>
        <v>-90.8302470455522</v>
      </c>
      <c r="J10" s="0" t="n">
        <f aca="false">-J6*J9/100</f>
        <v>-95.3717593978299</v>
      </c>
      <c r="K10" s="0" t="n">
        <f aca="false">-K6*K9/100</f>
        <v>-99.6634885707322</v>
      </c>
      <c r="L10" s="0" t="n">
        <f aca="false">-L6*L9/100</f>
        <v>-103.650028113561</v>
      </c>
    </row>
    <row r="11" customFormat="false" ht="15" hidden="false" customHeight="false" outlineLevel="0" collapsed="false">
      <c r="A11" s="0" t="s">
        <v>125</v>
      </c>
      <c r="C11" s="0" t="n">
        <f aca="false">C8+C10+C24</f>
        <v>2933.78316</v>
      </c>
      <c r="D11" s="0" t="n">
        <f aca="false">D8+D10+D24</f>
        <v>3259.0260108</v>
      </c>
      <c r="E11" s="0" t="n">
        <f aca="false">E8+E10+E24</f>
        <v>3558.28008151</v>
      </c>
      <c r="F11" s="0" t="n">
        <f aca="false">F8+F10+F24</f>
        <v>3854.2917018501</v>
      </c>
      <c r="G11" s="0" t="n">
        <f aca="false">G8+G10+G24</f>
        <v>4142.30760915958</v>
      </c>
      <c r="H11" s="0" t="n">
        <f aca="false">H8+H10+H24</f>
        <v>4417.33684136955</v>
      </c>
      <c r="I11" s="0" t="n">
        <f aca="false">I8+I10+I24</f>
        <v>4660.29036764487</v>
      </c>
      <c r="J11" s="0" t="n">
        <f aca="false">J8+J10+J24</f>
        <v>4893.30488602712</v>
      </c>
      <c r="K11" s="0" t="n">
        <f aca="false">K8+K10+K24</f>
        <v>5113.50360589834</v>
      </c>
      <c r="L11" s="0" t="n">
        <f aca="false">L8+L10+L24</f>
        <v>5318.04375013427</v>
      </c>
    </row>
    <row r="12" customFormat="false" ht="15" hidden="false" customHeight="false" outlineLevel="0" collapsed="false">
      <c r="A12" s="0" t="s">
        <v>126</v>
      </c>
      <c r="C12" s="4" t="n">
        <f aca="false">-C6*Assumptions!C45/100</f>
        <v>-542.77328</v>
      </c>
      <c r="D12" s="4" t="n">
        <f aca="false">-D6*Assumptions!D45/100</f>
        <v>-571.2220864</v>
      </c>
      <c r="E12" s="4" t="n">
        <f aca="false">-E6*Assumptions!E45/100</f>
        <v>-581.16747094</v>
      </c>
      <c r="F12" s="4" t="n">
        <f aca="false">-F6*Assumptions!F45/100</f>
        <v>-586.65018293</v>
      </c>
      <c r="G12" s="4" t="n">
        <f aca="false">-G6*Assumptions!G45/100</f>
        <v>-574.799849234814</v>
      </c>
      <c r="H12" s="4" t="n">
        <f aca="false">-H6*Assumptions!H45/100</f>
        <v>-556.306288868129</v>
      </c>
      <c r="I12" s="4" t="n">
        <f aca="false">-I6*Assumptions!I45/100</f>
        <v>-531.007598112459</v>
      </c>
      <c r="J12" s="4" t="n">
        <f aca="false">-J6*Assumptions!J45/100</f>
        <v>-498.867664542495</v>
      </c>
      <c r="K12" s="4" t="n">
        <f aca="false">-K6*Assumptions!K45/100</f>
        <v>-459.985331864918</v>
      </c>
      <c r="L12" s="4" t="n">
        <f aca="false">-L6*Assumptions!L45/100</f>
        <v>-414.600112454246</v>
      </c>
    </row>
    <row r="13" customFormat="false" ht="15" hidden="false" customHeight="false" outlineLevel="0" collapsed="false">
      <c r="A13" s="0" t="s">
        <v>127</v>
      </c>
      <c r="C13" s="0" t="n">
        <f aca="false">C11+C12</f>
        <v>2391.00988</v>
      </c>
      <c r="D13" s="0" t="n">
        <f aca="false">D11+D12</f>
        <v>2687.8039244</v>
      </c>
      <c r="E13" s="0" t="n">
        <f aca="false">E11+E12</f>
        <v>2977.11261057</v>
      </c>
      <c r="F13" s="0" t="n">
        <f aca="false">F11+F12</f>
        <v>3267.6415189201</v>
      </c>
      <c r="G13" s="0" t="n">
        <f aca="false">G11+G12</f>
        <v>3567.50775992477</v>
      </c>
      <c r="H13" s="0" t="n">
        <f aca="false">H11+H12</f>
        <v>3861.03055250142</v>
      </c>
      <c r="I13" s="0" t="n">
        <f aca="false">I11+I12</f>
        <v>4129.28276953241</v>
      </c>
      <c r="J13" s="0" t="n">
        <f aca="false">J11+J12</f>
        <v>4394.43722148462</v>
      </c>
      <c r="K13" s="0" t="n">
        <f aca="false">K11+K12</f>
        <v>4653.51827403342</v>
      </c>
      <c r="L13" s="0" t="n">
        <f aca="false">L11+L12</f>
        <v>4903.44363768002</v>
      </c>
    </row>
    <row r="14" customFormat="false" ht="15" hidden="false" customHeight="false" outlineLevel="0" collapsed="false">
      <c r="A14" s="0" t="s">
        <v>113</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128</v>
      </c>
      <c r="C15" s="0" t="n">
        <f aca="false">C13-MAX(0,C13)*C14/100</f>
        <v>1888.8978052</v>
      </c>
      <c r="D15" s="0" t="n">
        <f aca="false">D13-MAX(0,D13)*D14/100</f>
        <v>2123.365100276</v>
      </c>
      <c r="E15" s="0" t="n">
        <f aca="false">E13-MAX(0,E13)*E14/100</f>
        <v>2351.9189623503</v>
      </c>
      <c r="F15" s="0" t="n">
        <f aca="false">F13-MAX(0,F13)*F14/100</f>
        <v>2581.43679994688</v>
      </c>
      <c r="G15" s="0" t="n">
        <f aca="false">G13-MAX(0,G13)*G14/100</f>
        <v>2818.33113034057</v>
      </c>
      <c r="H15" s="0" t="n">
        <f aca="false">H13-MAX(0,H13)*H14/100</f>
        <v>3050.21413647612</v>
      </c>
      <c r="I15" s="0" t="n">
        <f aca="false">I13-MAX(0,I13)*I14/100</f>
        <v>3262.13338793061</v>
      </c>
      <c r="J15" s="0" t="n">
        <f aca="false">J13-MAX(0,J13)*J14/100</f>
        <v>3471.60540497285</v>
      </c>
      <c r="K15" s="0" t="n">
        <f aca="false">K13-MAX(0,K13)*K14/100</f>
        <v>3676.2794364864</v>
      </c>
      <c r="L15" s="0" t="n">
        <f aca="false">L13-MAX(0,L13)*L14/100</f>
        <v>3873.72047376722</v>
      </c>
    </row>
    <row r="16" customFormat="false" ht="15" hidden="false" customHeight="false" outlineLevel="0" collapsed="false">
      <c r="A16" s="0" t="s">
        <v>129</v>
      </c>
      <c r="C16" s="0" t="n">
        <f aca="false">-C12</f>
        <v>542.77328</v>
      </c>
      <c r="D16" s="0" t="n">
        <f aca="false">-D12</f>
        <v>571.2220864</v>
      </c>
      <c r="E16" s="0" t="n">
        <f aca="false">-E12</f>
        <v>581.16747094</v>
      </c>
      <c r="F16" s="0" t="n">
        <f aca="false">-F12</f>
        <v>586.65018293</v>
      </c>
      <c r="G16" s="0" t="n">
        <f aca="false">-G12</f>
        <v>574.799849234814</v>
      </c>
      <c r="H16" s="0" t="n">
        <f aca="false">-H12</f>
        <v>556.306288868129</v>
      </c>
      <c r="I16" s="0" t="n">
        <f aca="false">-I12</f>
        <v>531.007598112459</v>
      </c>
      <c r="J16" s="0" t="n">
        <f aca="false">-J12</f>
        <v>498.867664542495</v>
      </c>
      <c r="K16" s="0" t="n">
        <f aca="false">-K12</f>
        <v>459.985331864918</v>
      </c>
      <c r="L16" s="0" t="n">
        <f aca="false">-L12</f>
        <v>414.600112454246</v>
      </c>
    </row>
    <row r="17" customFormat="false" ht="15" hidden="false" customHeight="false" outlineLevel="0" collapsed="false">
      <c r="A17" s="0" t="s">
        <v>130</v>
      </c>
      <c r="C17" s="4" t="n">
        <f aca="false">-C6*Assumptions!C46/100</f>
        <v>-168.44688</v>
      </c>
      <c r="D17" s="4" t="n">
        <f aca="false">-D6*Assumptions!D46/100</f>
        <v>-183.6070992</v>
      </c>
      <c r="E17" s="4" t="n">
        <f aca="false">-E6*Assumptions!E46/100</f>
        <v>-208.34305562</v>
      </c>
      <c r="F17" s="4" t="n">
        <f aca="false">-F6*Assumptions!F46/100</f>
        <v>-222.9270695134</v>
      </c>
      <c r="G17" s="4" t="n">
        <f aca="false">-G6*Assumptions!G46/100</f>
        <v>-249.91297792818</v>
      </c>
      <c r="H17" s="4" t="n">
        <f aca="false">-H6*Assumptions!H46/100</f>
        <v>-264.907756603871</v>
      </c>
      <c r="I17" s="4" t="n">
        <f aca="false">-I6*Assumptions!I46/100</f>
        <v>-279.477683217084</v>
      </c>
      <c r="J17" s="4" t="n">
        <f aca="false">-J6*Assumptions!J46/100</f>
        <v>-293.451567377938</v>
      </c>
      <c r="K17" s="4" t="n">
        <f aca="false">-K6*Assumptions!K46/100</f>
        <v>-306.656887909945</v>
      </c>
      <c r="L17" s="4" t="n">
        <f aca="false">-L6*Assumptions!L46/100</f>
        <v>-318.923163426343</v>
      </c>
    </row>
    <row r="18" customFormat="false" ht="15" hidden="false" customHeight="false" outlineLevel="0" collapsed="false">
      <c r="A18" s="0" t="s">
        <v>131</v>
      </c>
      <c r="C18" s="4" t="n">
        <f aca="false">(C6-B6)*Assumptions!$B$51/100</f>
        <v>-149.416</v>
      </c>
      <c r="D18" s="4" t="n">
        <f aca="false">(D6-C6)*Assumptions!$B$51/100</f>
        <v>-84.2234400000001</v>
      </c>
      <c r="E18" s="4" t="n">
        <f aca="false">(E6-D6)*Assumptions!$B$51/100</f>
        <v>-76.502958</v>
      </c>
      <c r="F18" s="4" t="n">
        <f aca="false">(F6-E6)*Assumptions!$B$51/100</f>
        <v>-76.7579678600001</v>
      </c>
      <c r="G18" s="4" t="n">
        <f aca="false">(G6-F6)*Assumptions!$B$51/100</f>
        <v>-76.2645237809</v>
      </c>
      <c r="H18" s="4" t="n">
        <f aca="false">(H6-G6)*Assumptions!$B$51/100</f>
        <v>-74.9738933784542</v>
      </c>
      <c r="I18" s="4" t="n">
        <f aca="false">(I6-H6)*Assumptions!$B$51/100</f>
        <v>-72.8496330660644</v>
      </c>
      <c r="J18" s="4" t="n">
        <f aca="false">(J6-I6)*Assumptions!$B$51/100</f>
        <v>-69.8694208042711</v>
      </c>
      <c r="K18" s="4" t="n">
        <f aca="false">(K6-J6)*Assumptions!$B$51/100</f>
        <v>-66.0266026600359</v>
      </c>
      <c r="L18" s="4" t="n">
        <f aca="false">(L6-K6)*Assumptions!$B$51/100</f>
        <v>-61.331377581989</v>
      </c>
    </row>
    <row r="19" customFormat="false" ht="15" hidden="false" customHeight="false" outlineLevel="0" collapsed="false">
      <c r="A19" s="0" t="s">
        <v>132</v>
      </c>
      <c r="C19" s="0" t="n">
        <f aca="false">C15+C16+C17+C18</f>
        <v>2113.8082052</v>
      </c>
      <c r="D19" s="0" t="n">
        <f aca="false">D15+D16+D17+D18</f>
        <v>2426.756647476</v>
      </c>
      <c r="E19" s="0" t="n">
        <f aca="false">E15+E16+E17+E18</f>
        <v>2648.2404196703</v>
      </c>
      <c r="F19" s="0" t="n">
        <f aca="false">F15+F16+F17+F18</f>
        <v>2868.40194550348</v>
      </c>
      <c r="G19" s="0" t="n">
        <f aca="false">G15+G16+G17+G18</f>
        <v>3066.9534778663</v>
      </c>
      <c r="H19" s="0" t="n">
        <f aca="false">H15+H16+H17+H18</f>
        <v>3266.63877536192</v>
      </c>
      <c r="I19" s="0" t="n">
        <f aca="false">I15+I16+I17+I18</f>
        <v>3440.81366975992</v>
      </c>
      <c r="J19" s="0" t="n">
        <f aca="false">J15+J16+J17+J18</f>
        <v>3607.15208133314</v>
      </c>
      <c r="K19" s="0" t="n">
        <f aca="false">K15+K16+K17+K18</f>
        <v>3763.58127778134</v>
      </c>
      <c r="L19" s="0" t="n">
        <f aca="false">L15+L16+L17+L18</f>
        <v>3908.06604521313</v>
      </c>
    </row>
    <row r="20" customFormat="false" ht="15" hidden="false" customHeight="false" outlineLevel="0" collapsed="false">
      <c r="A20" s="0" t="s">
        <v>133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134</v>
      </c>
      <c r="C21" s="0" t="n">
        <f aca="false">C19*C20</f>
        <v>1948.21032737327</v>
      </c>
      <c r="D21" s="0" t="n">
        <f aca="false">D19*D20</f>
        <v>2061.42126396908</v>
      </c>
      <c r="E21" s="0" t="n">
        <f aca="false">E19*E20</f>
        <v>2073.32887115147</v>
      </c>
      <c r="F21" s="0" t="n">
        <f aca="false">F19*F20</f>
        <v>2069.76508081948</v>
      </c>
      <c r="G21" s="0" t="n">
        <f aca="false">G19*G20</f>
        <v>2039.66337389354</v>
      </c>
      <c r="H21" s="0" t="n">
        <f aca="false">H19*H20</f>
        <v>2002.27020008386</v>
      </c>
      <c r="I21" s="0" t="n">
        <f aca="false">I19*I20</f>
        <v>1943.80631014642</v>
      </c>
      <c r="J21" s="0" t="n">
        <f aca="false">J19*J20</f>
        <v>1878.13388201826</v>
      </c>
      <c r="K21" s="0" t="n">
        <f aca="false">K19*K20</f>
        <v>1806.06616160344</v>
      </c>
      <c r="L21" s="0" t="n">
        <f aca="false">L19*L20</f>
        <v>1728.48061279869</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8.5</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20</v>
      </c>
    </row>
    <row r="30" customFormat="false" ht="15" hidden="false" customHeight="false" outlineLevel="0" collapsed="false">
      <c r="A30" s="0" t="s">
        <v>137</v>
      </c>
      <c r="B30" s="0" t="n">
        <f aca="false">SUM(C21:L21)</f>
        <v>19551.1460838575</v>
      </c>
    </row>
    <row r="31" customFormat="false" ht="15" hidden="false" customHeight="false" outlineLevel="0" collapsed="false">
      <c r="A31" s="0" t="s">
        <v>138</v>
      </c>
      <c r="B31" s="0" t="n">
        <f aca="false">L19</f>
        <v>3908.06604521313</v>
      </c>
    </row>
    <row r="32" customFormat="false" ht="15" hidden="false" customHeight="false" outlineLevel="0" collapsed="false">
      <c r="A32" s="0" t="s">
        <v>139</v>
      </c>
      <c r="B32" s="0" t="n">
        <f aca="false">IF(B27&gt;B28,B31*(1+B28/100)/((B27-B28)/100),B31*B29)</f>
        <v>73187.4186649005</v>
      </c>
    </row>
    <row r="33" customFormat="false" ht="15" hidden="false" customHeight="false" outlineLevel="0" collapsed="false">
      <c r="A33" s="0" t="s">
        <v>140</v>
      </c>
      <c r="B33" s="0" t="n">
        <f aca="false">B31*B29</f>
        <v>78161.3209042626</v>
      </c>
    </row>
    <row r="34" customFormat="false" ht="15" hidden="false" customHeight="false" outlineLevel="0" collapsed="false">
      <c r="A34" s="0" t="s">
        <v>141</v>
      </c>
      <c r="B34" s="0" t="n">
        <f aca="false">MAX(0,MIN(B32,B33))</f>
        <v>73187.4186649005</v>
      </c>
    </row>
    <row r="35" customFormat="false" ht="15" hidden="false" customHeight="false" outlineLevel="0" collapsed="false">
      <c r="A35" s="0" t="s">
        <v>142</v>
      </c>
      <c r="B35" s="0" t="n">
        <f aca="false">B34/(1+B27/100)^L4</f>
        <v>32369.7278396845</v>
      </c>
    </row>
    <row r="36" customFormat="false" ht="15" hidden="false" customHeight="false" outlineLevel="0" collapsed="false">
      <c r="A36" s="0" t="s">
        <v>143</v>
      </c>
      <c r="B36" s="0" t="n">
        <f aca="false">B30+B35</f>
        <v>51920.873923542</v>
      </c>
    </row>
    <row r="37" customFormat="false" ht="15" hidden="false" customHeight="false" outlineLevel="0" collapsed="false">
      <c r="A37" s="0" t="s">
        <v>144</v>
      </c>
      <c r="B37" s="0" t="n">
        <f aca="false">B36+Assumptions!$B$5-Assumptions!$B$4</f>
        <v>45379.873923542</v>
      </c>
    </row>
    <row r="38" customFormat="false" ht="15" hidden="false" customHeight="false" outlineLevel="0" collapsed="false">
      <c r="A38" s="0" t="s">
        <v>145</v>
      </c>
      <c r="B38" s="0" t="n">
        <f aca="false">B37/Assumptions!$B$3*Assumptions!$B$10</f>
        <v>196.449670664684</v>
      </c>
    </row>
    <row r="39" customFormat="false" ht="15" hidden="false" customHeight="false" outlineLevel="0" collapsed="false">
      <c r="A39" s="0" t="s">
        <v>146</v>
      </c>
      <c r="B39" s="4" t="n">
        <f aca="false">B38/Assumptions!$B$2-1</f>
        <v>-0.207032894709437</v>
      </c>
    </row>
    <row r="41" customFormat="false" ht="15" hidden="false" customHeight="false" outlineLevel="0" collapsed="false">
      <c r="A41" s="0" t="s">
        <v>147</v>
      </c>
      <c r="B41" s="0" t="n">
        <f aca="false">SUMPRODUCT(-C10:L10/(1+$B$27/100)^C4:L4)</f>
        <v>524.642858686511</v>
      </c>
    </row>
    <row r="42" customFormat="false" ht="15" hidden="false" customHeight="false" outlineLevel="0" collapsed="false">
      <c r="A42" s="0" t="s">
        <v>148</v>
      </c>
      <c r="B42" s="0" t="n">
        <f aca="false">IF(B27&gt;B28,-L10*(1+B28/100)/((B27-B28)/100),-L10*20)/(1+B27/100)^L4</f>
        <v>858.512410434112</v>
      </c>
    </row>
    <row r="43" customFormat="false" ht="15" hidden="false" customHeight="false" outlineLevel="0" collapsed="false">
      <c r="A43" s="0" t="s">
        <v>149</v>
      </c>
      <c r="B43" s="0" t="n">
        <f aca="false">(B37+B41+B42)/Assumptions!$B$3*Assumptions!$B$10</f>
        <v>202.437355812392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33544.2335547461</v>
      </c>
    </row>
    <row r="47" customFormat="false" ht="15" hidden="false" customHeight="false" outlineLevel="0" collapsed="false">
      <c r="A47" s="0" t="s">
        <v>151</v>
      </c>
      <c r="B47" s="0" t="n">
        <f aca="false">(SUMPRODUCT(C19:L19/(1+B45/100)^C4:L4)+B46/(1+B45/100)^L4+Assumptions!$B$5-Assumptions!$B$4)/Assumptions!$B$3*Assumptions!$B$10</f>
        <v>70.3490044837823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100.313376435385</v>
      </c>
      <c r="C4" s="0" t="n">
        <f aca="false">B4/Assumptions!$B$2-1</f>
        <v>-0.595086072352528</v>
      </c>
      <c r="D4" s="4" t="n">
        <f aca="false">Assumptions!$B$24</f>
        <v>0.2</v>
      </c>
      <c r="E4" s="4" t="n">
        <f aca="false">DCF_Bear!$B$43</f>
        <v>104.5156802203</v>
      </c>
      <c r="F4" s="4" t="n">
        <f aca="false">DCF_Bear!$B$47</f>
        <v>37.9464199912391</v>
      </c>
    </row>
    <row r="5" customFormat="false" ht="15" hidden="false" customHeight="false" outlineLevel="0" collapsed="false">
      <c r="A5" s="0" t="s">
        <v>160</v>
      </c>
      <c r="B5" s="4" t="n">
        <f aca="false">DCF_Base!$B$38</f>
        <v>161.18759689324</v>
      </c>
      <c r="C5" s="0" t="n">
        <f aca="false">B5/Assumptions!$B$2-1</f>
        <v>-0.349367898227013</v>
      </c>
      <c r="D5" s="4" t="n">
        <f aca="false">Assumptions!$B$38</f>
        <v>0.5</v>
      </c>
      <c r="E5" s="4" t="n">
        <f aca="false">DCF_Base!$B$43</f>
        <v>166.581439825657</v>
      </c>
      <c r="F5" s="4" t="n">
        <f aca="false">DCF_Base!$B$47</f>
        <v>58.6578698956122</v>
      </c>
    </row>
    <row r="6" customFormat="false" ht="15" hidden="false" customHeight="false" outlineLevel="0" collapsed="false">
      <c r="A6" s="0" t="s">
        <v>161</v>
      </c>
      <c r="B6" s="4" t="n">
        <f aca="false">DCF_Bull!$B$38</f>
        <v>196.449670664684</v>
      </c>
      <c r="C6" s="0" t="n">
        <f aca="false">B6/Assumptions!$B$2-1</f>
        <v>-0.207032894709437</v>
      </c>
      <c r="D6" s="4" t="n">
        <f aca="false">Assumptions!$B$52</f>
        <v>0.3</v>
      </c>
      <c r="E6" s="4" t="n">
        <f aca="false">DCF_Bull!$B$43</f>
        <v>202.437355812392</v>
      </c>
      <c r="F6" s="4" t="n">
        <f aca="false">DCF_Bull!$B$47</f>
        <v>70.3490044837823</v>
      </c>
    </row>
    <row r="8" customFormat="false" ht="15" hidden="false" customHeight="false" outlineLevel="0" collapsed="false">
      <c r="A8" s="0" t="s">
        <v>162</v>
      </c>
      <c r="B8" s="0" t="n">
        <f aca="false">SUMPRODUCT(B4:B6,D4:D6)</f>
        <v>159.591374933102</v>
      </c>
    </row>
    <row r="9" customFormat="false" ht="15" hidden="false" customHeight="false" outlineLevel="0" collapsed="false">
      <c r="A9" s="0" t="s">
        <v>163</v>
      </c>
      <c r="B9" s="0" t="n">
        <f aca="false">SUMPRODUCT(E4:E6,D4:D6)</f>
        <v>164.925062700606</v>
      </c>
    </row>
    <row r="10" customFormat="false" ht="15" hidden="false" customHeight="false" outlineLevel="0" collapsed="false">
      <c r="A10" s="0" t="s">
        <v>164</v>
      </c>
      <c r="B10" s="0" t="n">
        <f aca="false">1-Assumptions!$B$2/B8</f>
        <v>-0.55233953027755</v>
      </c>
    </row>
    <row r="11" customFormat="false" ht="15" hidden="false" customHeight="false" outlineLevel="0" collapsed="false">
      <c r="A11" s="0" t="s">
        <v>165</v>
      </c>
      <c r="B11" s="0" t="n">
        <f aca="false">IF(ABS(B9-B8)&gt;0.01*ABS(B8),(Assumptions!$B$2-B8)/(B9-B8)*100,"n/a")</f>
        <v>1652.67688903627</v>
      </c>
    </row>
    <row r="12" customFormat="false" ht="15" hidden="false" customHeight="false" outlineLevel="0" collapsed="false">
      <c r="A12" s="0" t="s">
        <v>166</v>
      </c>
      <c r="B12" s="0" t="n">
        <f aca="false">SUMPRODUCT(F4:F6,D4:D6)</f>
        <v>58.0229202911886</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161.18759689324</v>
      </c>
      <c r="C15" s="3" t="n">
        <v>8.5</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149.257141661159</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123.314204114791</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103.878694292499</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88.7803511415141</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58.6578698956122</v>
      </c>
      <c r="C20" s="3" t="n">
        <v>15</v>
      </c>
    </row>
    <row r="22" customFormat="false" ht="15" hidden="false" customHeight="false" outlineLevel="0" collapsed="false">
      <c r="A22" s="2" t="s">
        <v>175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192.310529490469</v>
      </c>
      <c r="C24" s="0" t="n">
        <f aca="false">(SUMPRODUCT(DCF_Base!$C$19:$L$19/(1+$A$24/100)^DCF_Base!$C$4:$L$4)+MAX(0,MIN(IF($A$24&gt;$C$23,DCF_Base!$L$19*(1+$C$23/100)/(($A$24-$C$23)/100),DCF_Base!$L$19*DCF_Base!$B$29),DCF_Base!$L$19*DCF_Base!$B$29))/(1+$A$24/100)^DCF_Base!$L$4+Assumptions!$B$5-Assumptions!$B$4)/Assumptions!$B$3*Assumptions!$B$10</f>
        <v>192.310529490469</v>
      </c>
      <c r="D24" s="0" t="n">
        <f aca="false">(SUMPRODUCT(DCF_Base!$C$19:$L$19/(1+$A$24/100)^DCF_Base!$C$4:$L$4)+MAX(0,MIN(IF($A$24&gt;$D$23,DCF_Base!$L$19*(1+$D$23/100)/(($A$24-$D$23)/100),DCF_Base!$L$19*DCF_Base!$B$29),DCF_Base!$L$19*DCF_Base!$B$29))/(1+$A$24/100)^DCF_Base!$L$4+Assumptions!$B$5-Assumptions!$B$4)/Assumptions!$B$3*Assumptions!$B$10</f>
        <v>192.310529490469</v>
      </c>
      <c r="E24" s="0" t="n">
        <f aca="false">(SUMPRODUCT(DCF_Base!$C$19:$L$19/(1+$A$24/100)^DCF_Base!$C$4:$L$4)+MAX(0,MIN(IF($A$24&gt;$E$23,DCF_Base!$L$19*(1+$E$23/100)/(($A$24-$E$23)/100),DCF_Base!$L$19*DCF_Base!$B$29),DCF_Base!$L$19*DCF_Base!$B$29))/(1+$A$24/100)^DCF_Base!$L$4+Assumptions!$B$5-Assumptions!$B$4)/Assumptions!$B$3*Assumptions!$B$10</f>
        <v>192.310529490469</v>
      </c>
      <c r="F24" s="0" t="n">
        <f aca="false">(SUMPRODUCT(DCF_Base!$C$19:$L$19/(1+$A$24/100)^DCF_Base!$C$4:$L$4)+MAX(0,MIN(IF($A$24&gt;$F$23,DCF_Base!$L$19*(1+$F$23/100)/(($A$24-$F$23)/100),DCF_Base!$L$19*DCF_Base!$B$29),DCF_Base!$L$19*DCF_Base!$B$29))/(1+$A$24/100)^DCF_Base!$L$4+Assumptions!$B$5-Assumptions!$B$4)/Assumptions!$B$3*Assumptions!$B$10</f>
        <v>192.310529490469</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176.011550950716</v>
      </c>
      <c r="C25" s="0" t="n">
        <f aca="false">(SUMPRODUCT(DCF_Base!$C$19:$L$19/(1+$A$25/100)^DCF_Base!$C$4:$L$4)+MAX(0,MIN(IF($A$25&gt;$C$23,DCF_Base!$L$19*(1+$C$23/100)/(($A$25-$C$23)/100),DCF_Base!$L$19*DCF_Base!$B$29),DCF_Base!$L$19*DCF_Base!$B$29))/(1+$A$25/100)^DCF_Base!$L$4+Assumptions!$B$5-Assumptions!$B$4)/Assumptions!$B$3*Assumptions!$B$10</f>
        <v>176.011550950716</v>
      </c>
      <c r="D25" s="0" t="n">
        <f aca="false">(SUMPRODUCT(DCF_Base!$C$19:$L$19/(1+$A$25/100)^DCF_Base!$C$4:$L$4)+MAX(0,MIN(IF($A$25&gt;$D$23,DCF_Base!$L$19*(1+$D$23/100)/(($A$25-$D$23)/100),DCF_Base!$L$19*DCF_Base!$B$29),DCF_Base!$L$19*DCF_Base!$B$29))/(1+$A$25/100)^DCF_Base!$L$4+Assumptions!$B$5-Assumptions!$B$4)/Assumptions!$B$3*Assumptions!$B$10</f>
        <v>176.011550950716</v>
      </c>
      <c r="E25" s="0" t="n">
        <f aca="false">(SUMPRODUCT(DCF_Base!$C$19:$L$19/(1+$A$25/100)^DCF_Base!$C$4:$L$4)+MAX(0,MIN(IF($A$25&gt;$E$23,DCF_Base!$L$19*(1+$E$23/100)/(($A$25-$E$23)/100),DCF_Base!$L$19*DCF_Base!$B$29),DCF_Base!$L$19*DCF_Base!$B$29))/(1+$A$25/100)^DCF_Base!$L$4+Assumptions!$B$5-Assumptions!$B$4)/Assumptions!$B$3*Assumptions!$B$10</f>
        <v>176.011550950716</v>
      </c>
      <c r="F25" s="0" t="n">
        <f aca="false">(SUMPRODUCT(DCF_Base!$C$19:$L$19/(1+$A$25/100)^DCF_Base!$C$4:$L$4)+MAX(0,MIN(IF($A$25&gt;$F$23,DCF_Base!$L$19*(1+$F$23/100)/(($A$25-$F$23)/100),DCF_Base!$L$19*DCF_Base!$B$29),DCF_Base!$L$19*DCF_Base!$B$29))/(1+$A$25/100)^DCF_Base!$L$4+Assumptions!$B$5-Assumptions!$B$4)/Assumptions!$B$3*Assumptions!$B$10</f>
        <v>176.011550950716</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146.619590320626</v>
      </c>
      <c r="C26" s="0" t="n">
        <f aca="false">(SUMPRODUCT(DCF_Base!$C$19:$L$19/(1+$A$26/100)^DCF_Base!$C$4:$L$4)+MAX(0,MIN(IF($A$26&gt;$C$23,DCF_Base!$L$19*(1+$C$23/100)/(($A$26-$C$23)/100),DCF_Base!$L$19*DCF_Base!$B$29),DCF_Base!$L$19*DCF_Base!$B$29))/(1+$A$26/100)^DCF_Base!$L$4+Assumptions!$B$5-Assumptions!$B$4)/Assumptions!$B$3*Assumptions!$B$10</f>
        <v>155.400860949118</v>
      </c>
      <c r="D26" s="0" t="n">
        <f aca="false">(SUMPRODUCT(DCF_Base!$C$19:$L$19/(1+$A$26/100)^DCF_Base!$C$4:$L$4)+MAX(0,MIN(IF($A$26&gt;$D$23,DCF_Base!$L$19*(1+$D$23/100)/(($A$26-$D$23)/100),DCF_Base!$L$19*DCF_Base!$B$29),DCF_Base!$L$19*DCF_Base!$B$29))/(1+$A$26/100)^DCF_Base!$L$4+Assumptions!$B$5-Assumptions!$B$4)/Assumptions!$B$3*Assumptions!$B$10</f>
        <v>161.18759689324</v>
      </c>
      <c r="E26" s="0" t="n">
        <f aca="false">(SUMPRODUCT(DCF_Base!$C$19:$L$19/(1+$A$26/100)^DCF_Base!$C$4:$L$4)+MAX(0,MIN(IF($A$26&gt;$E$23,DCF_Base!$L$19*(1+$E$23/100)/(($A$26-$E$23)/100),DCF_Base!$L$19*DCF_Base!$B$29),DCF_Base!$L$19*DCF_Base!$B$29))/(1+$A$26/100)^DCF_Base!$L$4+Assumptions!$B$5-Assumptions!$B$4)/Assumptions!$B$3*Assumptions!$B$10</f>
        <v>161.18759689324</v>
      </c>
      <c r="F26" s="0" t="n">
        <f aca="false">(SUMPRODUCT(DCF_Base!$C$19:$L$19/(1+$A$26/100)^DCF_Base!$C$4:$L$4)+MAX(0,MIN(IF($A$26&gt;$F$23,DCF_Base!$L$19*(1+$F$23/100)/(($A$26-$F$23)/100),DCF_Base!$L$19*DCF_Base!$B$29),DCF_Base!$L$19*DCF_Base!$B$29))/(1+$A$26/100)^DCF_Base!$L$4+Assumptions!$B$5-Assumptions!$B$4)/Assumptions!$B$3*Assumptions!$B$10</f>
        <v>161.18759689324</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122.347895434315</v>
      </c>
      <c r="C27" s="0" t="n">
        <f aca="false">(SUMPRODUCT(DCF_Base!$C$19:$L$19/(1+$A$27/100)^DCF_Base!$C$4:$L$4)+MAX(0,MIN(IF($A$27&gt;$C$23,DCF_Base!$L$19*(1+$C$23/100)/(($A$27-$C$23)/100),DCF_Base!$L$19*DCF_Base!$B$29),DCF_Base!$L$19*DCF_Base!$B$29))/(1+$A$27/100)^DCF_Base!$L$4+Assumptions!$B$5-Assumptions!$B$4)/Assumptions!$B$3*Assumptions!$B$10</f>
        <v>128.354143103858</v>
      </c>
      <c r="D27" s="0" t="n">
        <f aca="false">(SUMPRODUCT(DCF_Base!$C$19:$L$19/(1+$A$27/100)^DCF_Base!$C$4:$L$4)+MAX(0,MIN(IF($A$27&gt;$D$23,DCF_Base!$L$19*(1+$D$23/100)/(($A$27-$D$23)/100),DCF_Base!$L$19*DCF_Base!$B$29),DCF_Base!$L$19*DCF_Base!$B$29))/(1+$A$27/100)^DCF_Base!$L$4+Assumptions!$B$5-Assumptions!$B$4)/Assumptions!$B$3*Assumptions!$B$10</f>
        <v>135.284428876408</v>
      </c>
      <c r="E27" s="0" t="n">
        <f aca="false">(SUMPRODUCT(DCF_Base!$C$19:$L$19/(1+$A$27/100)^DCF_Base!$C$4:$L$4)+MAX(0,MIN(IF($A$27&gt;$E$23,DCF_Base!$L$19*(1+$E$23/100)/(($A$27-$E$23)/100),DCF_Base!$L$19*DCF_Base!$B$29),DCF_Base!$L$19*DCF_Base!$B$29))/(1+$A$27/100)^DCF_Base!$L$4+Assumptions!$B$5-Assumptions!$B$4)/Assumptions!$B$3*Assumptions!$B$10</f>
        <v>143.369762277716</v>
      </c>
      <c r="F27" s="0" t="n">
        <f aca="false">(SUMPRODUCT(DCF_Base!$C$19:$L$19/(1+$A$27/100)^DCF_Base!$C$4:$L$4)+MAX(0,MIN(IF($A$27&gt;$F$23,DCF_Base!$L$19*(1+$F$23/100)/(($A$27-$F$23)/100),DCF_Base!$L$19*DCF_Base!$B$29),DCF_Base!$L$19*DCF_Base!$B$29))/(1+$A$27/100)^DCF_Base!$L$4+Assumptions!$B$5-Assumptions!$B$4)/Assumptions!$B$3*Assumptions!$B$10</f>
        <v>147.689323957867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103.830325746369</v>
      </c>
      <c r="C28" s="0" t="n">
        <f aca="false">(SUMPRODUCT(DCF_Base!$C$19:$L$19/(1+$A$28/100)^DCF_Base!$C$4:$L$4)+MAX(0,MIN(IF($A$28&gt;$C$23,DCF_Base!$L$19*(1+$C$23/100)/(($A$28-$C$23)/100),DCF_Base!$L$19*DCF_Base!$B$29),DCF_Base!$L$19*DCF_Base!$B$29))/(1+$A$28/100)^DCF_Base!$L$4+Assumptions!$B$5-Assumptions!$B$4)/Assumptions!$B$3*Assumptions!$B$10</f>
        <v>108.103200840625</v>
      </c>
      <c r="D28" s="0" t="n">
        <f aca="false">(SUMPRODUCT(DCF_Base!$C$19:$L$19/(1+$A$28/100)^DCF_Base!$C$4:$L$4)+MAX(0,MIN(IF($A$28&gt;$D$23,DCF_Base!$L$19*(1+$D$23/100)/(($A$28-$D$23)/100),DCF_Base!$L$19*DCF_Base!$B$29),DCF_Base!$L$19*DCF_Base!$B$29))/(1+$A$28/100)^DCF_Base!$L$4+Assumptions!$B$5-Assumptions!$B$4)/Assumptions!$B$3*Assumptions!$B$10</f>
        <v>112.945792614116</v>
      </c>
      <c r="E28" s="0" t="n">
        <f aca="false">(SUMPRODUCT(DCF_Base!$C$19:$L$19/(1+$A$28/100)^DCF_Base!$C$4:$L$4)+MAX(0,MIN(IF($A$28&gt;$E$23,DCF_Base!$L$19*(1+$E$23/100)/(($A$28-$E$23)/100),DCF_Base!$L$19*DCF_Base!$B$29),DCF_Base!$L$19*DCF_Base!$B$29))/(1+$A$28/100)^DCF_Base!$L$4+Assumptions!$B$5-Assumptions!$B$4)/Assumptions!$B$3*Assumptions!$B$10</f>
        <v>118.48018321239</v>
      </c>
      <c r="F28" s="0" t="n">
        <f aca="false">(SUMPRODUCT(DCF_Base!$C$19:$L$19/(1+$A$28/100)^DCF_Base!$C$4:$L$4)+MAX(0,MIN(IF($A$28&gt;$F$23,DCF_Base!$L$19*(1+$F$23/100)/(($A$28-$F$23)/100),DCF_Base!$L$19*DCF_Base!$B$29),DCF_Base!$L$19*DCF_Base!$B$29))/(1+$A$28/100)^DCF_Base!$L$4+Assumptions!$B$5-Assumptions!$B$4)/Assumptions!$B$3*Assumptions!$B$10</f>
        <v>124.866018518092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2026-09-25T09:55:15Z</dcterms:created>
  <dc:creator>openpyxl</dc:creator>
  <dc:description/>
  <dc:language>en-NZ</dc:language>
  <cp:lastModifiedBy/>
  <dcterms:modified xsi:type="dcterms:W3CDTF">2026-09-25T09:55:15Z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