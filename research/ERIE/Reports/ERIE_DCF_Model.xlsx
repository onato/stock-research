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<sst xmlns="http://schemas.openxmlformats.org/spreadsheetml/2006/main" count="387" uniqueCount="174">
  <si>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</si>
  <si>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ERIE</t>
  </si>
  <si>
    <t xml:space="preserve">Company</t>
  </si>
  <si>
    <t xml:space="preserve">Erie Indemnity Company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</si>
  <si>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</si>
  <si>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</si>
  <si>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</si>
  <si>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</si>
  <si>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2026-09-25T20:00:01Z regular close (Yahoo Finance chart API; 52-week range 204.63-330.54)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</si>
  <si>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</si>
  <si>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</si>
  <si>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</si>
  <si>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</si>
  <si>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</si>
  <si>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</si>
  <si>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</si>
  <si>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</si>
  <si>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</si>
  <si>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</si>
  <si>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</si>
  <si>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</si>
  <si>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2026-09-28T07:57:20Z</t>
  </si>
  <si>
    <t xml:space="preserve">Drivers file</t>
  </si>
  <si>
    <t xml:space="preserve">ERIE_Drivers.json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</si>
  <si>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</si>
  <si>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</si>
  <si>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</si>
  <si>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Erie Indemnity is valued as what it is: a capital-light management-fee franchise whose cash flows are a fixed 25% slice of a mutual-like insurer's written premium. The owner-FCF build strips the investment income on its $1.87B portfolio (added back once at the bridge), charges no SBC because there is none, holds the share count flat because Erie neither issues nor repurchases, and discounts at an 8% USD cost of equity with all business-specific risk carried in the scenario paths and a 30% bear weight rather than a WACC premium. Terminal value is capped at 20x FCF (base/bull) and 16x (bear) even though the market has historically paid 25-35x earnings for this stock, so the model does not rely on the historical premium multiple persisting.
key_risks_to_valuation: Fee-rate reset below 25%: each 1pt cut removes ~4% of revenue with no offsetting cost lever (bear case mechanism).; Subscriber fiduciary-duty litigation (Stephenson/Barnett, Third Circuit) could force damages or a change in how the fee is set.; Exchange premium growth: policies in force -2% YoY and retention 87.5% in Q2-2026 -- if rate increases fade before unit growth returns, FY2027-28 growth undershoots the 4-5% base path.; Catastrophe and social-inflation losses at the Exchange erode surplus and pressure the fee decision even though they never touch Indemnity's own P&amp;L.; Capex programme runs longer than modelled (3.8% of revenue in H1-2026 vs 2.2% terminal), compressing FCF conversion.; The Q4-2025 ~$102M non-operating charge is treated as one-off; if it recurs (e.g. a standing foundation commitment) base FCF is overstated by ~2%/yr.; CEO succession at year-end 2026 during simultaneous product and technology rollouts.</t>
  </si>
  <si>
    <t xml:space="preserve">Data sources</t>
  </si>
  <si>
    <t xml:space="preserve">price: Yahoo Finance chart API at inputs.price_as_of; 52-week range 204.63-330.54.
financials: SEC XBRL companyfacts (CIK 922621): FY2025 10-K (filed 2026-02-23) and Q2-2026 10-Q (filed 2026-07-30) for revenue, operating income, D&amp;A, investment income, capex, cash/investments, securities-lending obligation, dividends payable, treasury shares and tax; ERIE_Metrics.csv (FY2015-Q2 2026 Indemnity-standalone series) for the history.
qualitative: ERIE_Analysis.json (2026-09-28): business model, fee-rate mechanics, litigation, Q2-2026 operating metrics and management commentary.</t>
  </si>
  <si>
    <t xml:space="preserve">Scenario narrative: bear</t>
  </si>
  <si>
    <t xml:space="preserve">The single-lever risk materialises: after another record catastrophe year or an adverse Third Circuit outcome the board resets the fee to ~24% for FY2028 to protect Exchange surplus, taking ~4% off revenue in one step (-3% modelled for year 3) while the cost base does not shrink, so EBITDA margin drops to 16% and only partly recovers. Policies in force keep declining and retention stays below 88%, holding growth at ~2.5% thereafter. Terminal growth 2.5% and a 16x cap for a structurally slower franchise with an open governance question. Weighted at 30% -- above the 15% house default -- because the revenue stream depends on one customer and one discretionary board decision, and the litigation attacking exactly that decision is live.</t>
  </si>
  <si>
    <t xml:space="preserve">Scenario narrative: base</t>
  </si>
  <si>
    <t xml:space="preserve">The fee rate stays at the 25% ceiling (reset each December; held there every year since the mid-2000s) and the Stephenson/Barnett subscriber litigation grinds on without changing fee-setting governance. The Exchange's underwriting turnaround (combined ratio 103.9% in Q2-2026 vs 116.9% a year earlier) rebuilds surplus, so premium growth recovers from the current ~3% (rate increases of ~7% per policy against a 2% decline in policies in force) toward ~5% nominal as Erie Secure Auto, Business Auto 2.0 and the new quoting platform restore unit growth. Margins hold near 19-20%: the fee cannot outrun premium and costs scale with it, so operating leverage is limited to technology efficiencies. Ten-year horizon because the growth path is what is being judged, not a margin ramp; the year-1 owner-FCF margin (~12%) reconciles with the FY2025 component build (12.4%) and the interest-stripped actual (11.9%).</t>
  </si>
  <si>
    <t xml:space="preserve">Scenario narrative: bull</t>
  </si>
  <si>
    <t xml:space="preserve">The Exchange returns to sub-100% combined ratios, surplus growth lets it price for share again, retention recovers above 90% and the product rollouts lift policies in force -- premium growth re-accelerates to 6-7% in FY2028-29 as the P&amp;C cycle firms. AI-assisted subrogation, claims backlog reduction and the doubled quoting conversion push EBITDA margin to 21.5%. The litigation is resolved without a fee-rate change and the December fee resets keep 25%. Same 8% WACC and 20x cap as base: the upside is operational, not a cheaper discount 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</si>
  <si>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</si>
  <si>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</si>
  <si>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</si>
  <si>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</si>
  <si>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</si>
  <si>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</si>
  <si>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</si>
  <si>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</si>
  <si>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</si>
  <si>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</si>
  <si>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</si>
  <si>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</si>
  <si>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</si>
  <si>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</si>
  <si>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</si>
  <si>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</si>
  <si>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</si>
  <si>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</si>
  <si>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</si>
  <si>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</si>
  <si>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</si>
  <si>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</si>
  <si>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</si>
  <si>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</si>
  <si>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</si>
  <si>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</si>
  <si>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</si>
  <si>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</si>
  <si>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</si>
  <si>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</si>
  <si>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</si>
  <si>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</si>
  <si>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</si>
  <si>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</si>
  <si>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</si>
  <si>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</si>
  <si>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</si>
  <si>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</si>
  <si>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</si>
  <si>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</si>
  <si>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</si>
  <si>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</si>
  <si>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</si>
  <si>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</si>
  <si>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</si>
  <si>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</si>
  <si>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</si>
  <si>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</si>
  <si>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</si>
  <si>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</si>
  <si>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</si>
  <si>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</si>
  <si>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</si>
  <si>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</si>
  <si>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</si>
  <si>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</si>
  <si>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</si>
  <si>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</si>
  <si>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</si>
  <si>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</si>
  <si>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</si>
  <si>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</si>
  <si>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</si>
  <si>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</si>
  <si>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</si>
  <si>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</si>
  <si>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</si>
  <si>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</si>
  <si>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</si>
  <si>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</si>
  <si>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</si>
  <si>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</si>
  <si>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</si>
  <si>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</si>
  <si>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</si>
  <si>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</si>
  <si>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</si>
  <si>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</si>
  <si>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</si>
  <si>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</si>
  <si>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</si>
  <si>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</si>
  <si>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</si>
  <si>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ERIE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</si>
  <si>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</si>
  <si>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</si>
  <si>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</si>
  <si>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</si>
  <si>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</si>
  <si>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</si>
  <si>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</si>
  <si>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</si>
  <si>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</si>
  <si>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</si>
  <si>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</si>
  <si>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</si>
  <si>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</si>
  <si>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</si>
  <si>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</si>
  <si>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</si>
  <si>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</si>
  <si>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</si>
  <si>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</si>
  <si>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</si>
  <si>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</si>
  <si>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</si>
  <si>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</si>
  <si>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</si>
  <si>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</si>
  <si>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</si>
  <si>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</si>
  <si>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</si>
  <si>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</si>
  <si>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</si>
  <si>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ERIE owner-FCF component DCF: base case (millions, USD)</t>
  </si>
  <si>
    <t xml:space="preserve">ERIE owner-FCF component DCF: bull case (millions, USD)</t>
  </si>
  <si>
    <t xml:space="preserve">ERIE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</si>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</sst>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222.86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123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2651</v>
      </c>
      <c r="I3" s="0" t="n">
        <v>69</v>
      </c>
      <c r="J3" s="0" t="n">
        <v>-23.2365145228216</v>
      </c>
      <c r="L3" s="0" t="n">
        <v>720</v>
      </c>
      <c r="O3" s="0" t="n">
        <v>4759</v>
      </c>
      <c r="S3" s="0" t="n">
        <v>277</v>
      </c>
      <c r="T3" s="0" t="n">
        <v>57.967144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4255</v>
      </c>
      <c r="I4" s="0" t="n">
        <v>108</v>
      </c>
      <c r="J4" s="0" t="n">
        <v>10.4817861339601</v>
      </c>
      <c r="L4" s="0" t="n">
        <v>889</v>
      </c>
      <c r="O4" s="0" t="n">
        <v>5725</v>
      </c>
      <c r="P4" s="0" t="n">
        <v>13287</v>
      </c>
      <c r="Q4" s="0" t="n">
        <v>7562</v>
      </c>
      <c r="S4" s="0" t="n">
        <v>234</v>
      </c>
      <c r="T4" s="0" t="n">
        <v>57.385228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4890</v>
      </c>
      <c r="I5" s="0" t="n">
        <v>162</v>
      </c>
      <c r="J5" s="0" t="n">
        <v>13.4969325153374</v>
      </c>
      <c r="L5" s="0" t="n">
        <v>721</v>
      </c>
      <c r="O5" s="0" t="n">
        <v>6334</v>
      </c>
      <c r="P5" s="0" t="n">
        <v>14344</v>
      </c>
      <c r="Q5" s="0" t="n">
        <v>8010</v>
      </c>
      <c r="S5" s="0" t="n">
        <v>430</v>
      </c>
      <c r="T5" s="0" t="n">
        <v>56.884894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4824</v>
      </c>
      <c r="I6" s="0" t="n">
        <v>169</v>
      </c>
      <c r="J6" s="0" t="n">
        <v>5.55555555555556</v>
      </c>
      <c r="O6" s="0" t="n">
        <v>6293</v>
      </c>
      <c r="P6" s="0" t="n">
        <v>14348</v>
      </c>
      <c r="Q6" s="0" t="n">
        <v>8055</v>
      </c>
      <c r="S6" s="0" t="n">
        <v>185</v>
      </c>
      <c r="T6" s="0" t="n">
        <v>55.057437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5512</v>
      </c>
      <c r="I7" s="0" t="n">
        <v>160</v>
      </c>
      <c r="J7" s="0" t="n">
        <v>11.2300435413643</v>
      </c>
      <c r="O7" s="0" t="n">
        <v>6791</v>
      </c>
      <c r="P7" s="0" t="n">
        <v>15441</v>
      </c>
      <c r="Q7" s="0" t="n">
        <v>8650</v>
      </c>
      <c r="S7" s="0" t="n">
        <v>11.612</v>
      </c>
      <c r="T7" s="0" t="n">
        <v>53.547833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1297.331</v>
      </c>
      <c r="F8" s="0" t="n">
        <v>209.336</v>
      </c>
      <c r="G8" s="0" t="n">
        <v>16.135897469497</v>
      </c>
      <c r="H8" s="0" t="n">
        <v>224.334</v>
      </c>
      <c r="I8" s="0" t="n">
        <v>163</v>
      </c>
      <c r="J8" s="0" t="n">
        <v>80.7812347041734</v>
      </c>
      <c r="O8" s="0" t="n">
        <v>7550</v>
      </c>
      <c r="P8" s="0" t="n">
        <v>16676</v>
      </c>
      <c r="Q8" s="0" t="n">
        <v>9126</v>
      </c>
      <c r="S8" s="0" t="n">
        <v>49.049</v>
      </c>
      <c r="T8" s="0" t="n">
        <v>52.855757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1407.119</v>
      </c>
      <c r="F9" s="0" t="n">
        <v>222.847</v>
      </c>
      <c r="G9" s="0" t="n">
        <v>15.8371111469606</v>
      </c>
      <c r="H9" s="0" t="n">
        <v>238.547</v>
      </c>
      <c r="I9" s="0" t="n">
        <v>168</v>
      </c>
      <c r="J9" s="0" t="n">
        <v>40.7215025879119</v>
      </c>
      <c r="O9" s="0" t="n">
        <v>7983</v>
      </c>
      <c r="P9" s="0" t="n">
        <v>1319.198</v>
      </c>
      <c r="Q9" s="0" t="n">
        <v>616.064</v>
      </c>
      <c r="S9" s="0" t="n">
        <v>91.747</v>
      </c>
      <c r="T9" s="0" t="n">
        <v>52.616234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1505.508</v>
      </c>
      <c r="F10" s="0" t="n">
        <v>232.541</v>
      </c>
      <c r="G10" s="0" t="n">
        <v>15.4460155641817</v>
      </c>
      <c r="H10" s="0" t="n">
        <v>248.441</v>
      </c>
      <c r="I10" s="0" t="n">
        <v>174.678</v>
      </c>
      <c r="J10" s="0" t="n">
        <v>11.6025952701679</v>
      </c>
      <c r="L10" s="0" t="n">
        <v>217.378</v>
      </c>
      <c r="O10" s="0" t="n">
        <v>769.503</v>
      </c>
      <c r="P10" s="0" t="n">
        <v>1407.296</v>
      </c>
      <c r="Q10" s="0" t="n">
        <v>637.793</v>
      </c>
      <c r="S10" s="0" t="n">
        <v>182.889</v>
      </c>
      <c r="T10" s="0" t="n">
        <v>52.498811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1596.631</v>
      </c>
      <c r="F11" s="0" t="n">
        <v>293.517</v>
      </c>
      <c r="G11" s="0" t="n">
        <v>18.3835213020416</v>
      </c>
      <c r="H11" s="0" t="n">
        <v>308.617</v>
      </c>
      <c r="I11" s="0" t="n">
        <v>210.366</v>
      </c>
      <c r="J11" s="0" t="n">
        <v>13.1756179104627</v>
      </c>
      <c r="L11" s="0" t="n">
        <v>254.336</v>
      </c>
      <c r="M11" s="0" t="n">
        <v>25.208</v>
      </c>
      <c r="N11" s="0" t="n">
        <v>229.128</v>
      </c>
      <c r="O11" s="0" t="n">
        <v>816.91</v>
      </c>
      <c r="P11" s="0" t="n">
        <v>1548.955</v>
      </c>
      <c r="Q11" s="0" t="n">
        <v>732.045</v>
      </c>
      <c r="R11" s="0" t="n">
        <v>24.766</v>
      </c>
      <c r="S11" s="0" t="n">
        <v>189.072</v>
      </c>
      <c r="T11" s="0" t="n">
        <v>52.435303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1691.774</v>
      </c>
      <c r="F12" s="0" t="n">
        <v>290.252</v>
      </c>
      <c r="G12" s="0" t="n">
        <v>17.156665133759</v>
      </c>
      <c r="H12" s="0" t="n">
        <v>305.052</v>
      </c>
      <c r="I12" s="0" t="n">
        <v>196.999</v>
      </c>
      <c r="J12" s="0" t="n">
        <v>11.6445222588833</v>
      </c>
      <c r="L12" s="0" t="n">
        <v>197.126</v>
      </c>
      <c r="M12" s="0" t="n">
        <v>28.927</v>
      </c>
      <c r="N12" s="0" t="n">
        <v>168.199</v>
      </c>
      <c r="O12" s="0" t="n">
        <v>857.344</v>
      </c>
      <c r="P12" s="0" t="n">
        <v>1665.859</v>
      </c>
      <c r="Q12" s="0" t="n">
        <v>808.515</v>
      </c>
      <c r="R12" s="0" t="n">
        <v>74.728</v>
      </c>
      <c r="S12" s="0" t="n">
        <v>215.721</v>
      </c>
      <c r="T12" s="0" t="n">
        <v>52.337463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2382.212</v>
      </c>
      <c r="F13" s="0" t="n">
        <v>344.343</v>
      </c>
      <c r="G13" s="0" t="n">
        <v>14.4547588543757</v>
      </c>
      <c r="H13" s="0" t="n">
        <v>357.743</v>
      </c>
      <c r="I13" s="0" t="n">
        <v>288.224</v>
      </c>
      <c r="J13" s="0" t="n">
        <v>12.099007141262</v>
      </c>
      <c r="L13" s="0" t="n">
        <v>263.585</v>
      </c>
      <c r="M13" s="0" t="n">
        <v>56.297</v>
      </c>
      <c r="N13" s="0" t="n">
        <v>207.288</v>
      </c>
      <c r="O13" s="0" t="n">
        <v>973.672</v>
      </c>
      <c r="P13" s="0" t="n">
        <v>1778.327</v>
      </c>
      <c r="Q13" s="0" t="n">
        <v>804.655</v>
      </c>
      <c r="R13" s="0" t="n">
        <v>99.73</v>
      </c>
      <c r="S13" s="0" t="n">
        <v>266.417</v>
      </c>
      <c r="T13" s="0" t="n">
        <v>52.315213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2477.298</v>
      </c>
      <c r="F14" s="0" t="n">
        <v>357.339</v>
      </c>
      <c r="G14" s="0" t="n">
        <v>14.4245464211411</v>
      </c>
      <c r="H14" s="0" t="n">
        <v>374.139</v>
      </c>
      <c r="I14" s="0" t="n">
        <v>316.821</v>
      </c>
      <c r="J14" s="0" t="n">
        <v>12.788974116154</v>
      </c>
      <c r="L14" s="0" t="n">
        <v>364.527</v>
      </c>
      <c r="M14" s="0" t="n">
        <v>102.039</v>
      </c>
      <c r="N14" s="0" t="n">
        <v>262.488</v>
      </c>
      <c r="O14" s="0" t="n">
        <v>1133.253</v>
      </c>
      <c r="P14" s="0" t="n">
        <v>2016.24</v>
      </c>
      <c r="Q14" s="0" t="n">
        <v>882.987</v>
      </c>
      <c r="R14" s="0" t="n">
        <v>97.821</v>
      </c>
      <c r="T14" s="0" t="n">
        <v>52.31986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2536.489</v>
      </c>
      <c r="F15" s="0" t="n">
        <v>338.157</v>
      </c>
      <c r="G15" s="0" t="n">
        <v>13.3316958993317</v>
      </c>
      <c r="H15" s="0" t="n">
        <v>359.357</v>
      </c>
      <c r="I15" s="0" t="n">
        <v>293.304</v>
      </c>
      <c r="J15" s="0" t="n">
        <v>11.5633854513069</v>
      </c>
      <c r="L15" s="0" t="n">
        <v>342.595</v>
      </c>
      <c r="M15" s="0" t="n">
        <v>55.528</v>
      </c>
      <c r="N15" s="0" t="n">
        <v>287.067</v>
      </c>
      <c r="O15" s="0" t="n">
        <v>1188.048</v>
      </c>
      <c r="P15" s="0" t="n">
        <v>2117.122</v>
      </c>
      <c r="Q15" s="0" t="n">
        <v>929.074</v>
      </c>
      <c r="R15" s="0" t="n">
        <v>95.864</v>
      </c>
      <c r="T15" s="0" t="n">
        <v>52.31336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2633.977</v>
      </c>
      <c r="F16" s="0" t="n">
        <v>318.097</v>
      </c>
      <c r="G16" s="0" t="n">
        <v>12.0766810036686</v>
      </c>
      <c r="H16" s="0" t="n">
        <v>355.297</v>
      </c>
      <c r="I16" s="0" t="n">
        <v>297.86</v>
      </c>
      <c r="J16" s="0" t="n">
        <v>11.308375130079</v>
      </c>
      <c r="L16" s="0" t="n">
        <v>402.794</v>
      </c>
      <c r="M16" s="0" t="n">
        <v>148.8</v>
      </c>
      <c r="N16" s="0" t="n">
        <v>253.994</v>
      </c>
      <c r="O16" s="0" t="n">
        <v>1342.478</v>
      </c>
      <c r="P16" s="0" t="n">
        <v>2242.057</v>
      </c>
      <c r="Q16" s="0" t="n">
        <v>899.579</v>
      </c>
      <c r="R16" s="0" t="n">
        <v>93.832</v>
      </c>
      <c r="T16" s="0" t="n">
        <v>52.307302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2840.124</v>
      </c>
      <c r="F17" s="0" t="n">
        <v>376.214</v>
      </c>
      <c r="G17" s="0" t="n">
        <v>13.2463934673275</v>
      </c>
      <c r="H17" s="0" t="n">
        <v>422.114</v>
      </c>
      <c r="I17" s="0" t="n">
        <v>298.569</v>
      </c>
      <c r="J17" s="0" t="n">
        <v>10.5125339597849</v>
      </c>
      <c r="L17" s="0" t="n">
        <v>366.152</v>
      </c>
      <c r="M17" s="0" t="n">
        <v>67.204</v>
      </c>
      <c r="N17" s="0" t="n">
        <v>298.948</v>
      </c>
      <c r="O17" s="0" t="n">
        <v>1448.408</v>
      </c>
      <c r="P17" s="0" t="n">
        <v>2239.456</v>
      </c>
      <c r="Q17" s="0" t="n">
        <v>791.048</v>
      </c>
      <c r="R17" s="0" t="n">
        <v>0</v>
      </c>
      <c r="T17" s="0" t="n">
        <v>52.29799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3268.94</v>
      </c>
      <c r="F18" s="0" t="n">
        <v>520.256</v>
      </c>
      <c r="G18" s="0" t="n">
        <v>15.9151284514246</v>
      </c>
      <c r="H18" s="0" t="n">
        <v>567.671</v>
      </c>
      <c r="I18" s="0" t="n">
        <v>446.061</v>
      </c>
      <c r="J18" s="0" t="n">
        <v>13.6454324643462</v>
      </c>
      <c r="L18" s="0" t="n">
        <v>381.205</v>
      </c>
      <c r="M18" s="0" t="n">
        <v>92.647</v>
      </c>
      <c r="N18" s="0" t="n">
        <v>288.558</v>
      </c>
      <c r="O18" s="0" t="n">
        <v>1662.835</v>
      </c>
      <c r="P18" s="0" t="n">
        <v>2471.964</v>
      </c>
      <c r="Q18" s="0" t="n">
        <v>809.129</v>
      </c>
      <c r="T18" s="0" t="n">
        <v>52.299411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3795.115</v>
      </c>
      <c r="F19" s="0" t="n">
        <v>676.455</v>
      </c>
      <c r="G19" s="0" t="n">
        <v>17.8243610536176</v>
      </c>
      <c r="H19" s="0" t="n">
        <v>732.985</v>
      </c>
      <c r="I19" s="0" t="n">
        <v>600.314</v>
      </c>
      <c r="J19" s="0" t="n">
        <v>15.818071389141</v>
      </c>
      <c r="L19" s="0" t="n">
        <v>611.249</v>
      </c>
      <c r="M19" s="0" t="n">
        <v>124.845</v>
      </c>
      <c r="N19" s="0" t="n">
        <v>486.404</v>
      </c>
      <c r="O19" s="0" t="n">
        <v>1987.258</v>
      </c>
      <c r="P19" s="0" t="n">
        <v>2888.614</v>
      </c>
      <c r="Q19" s="0" t="n">
        <v>901.356</v>
      </c>
      <c r="T19" s="0" t="n">
        <v>52.306266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4067.258</v>
      </c>
      <c r="F20" s="0" t="n">
        <v>717.184</v>
      </c>
      <c r="G20" s="0" t="n">
        <v>17.6331081037888</v>
      </c>
      <c r="H20" s="0" t="n">
        <v>786.634</v>
      </c>
      <c r="I20" s="0" t="n">
        <v>559.335</v>
      </c>
      <c r="J20" s="0" t="n">
        <v>13.7521396478906</v>
      </c>
      <c r="L20" s="0" t="n">
        <v>686.657</v>
      </c>
      <c r="M20" s="0" t="n">
        <v>115.692</v>
      </c>
      <c r="N20" s="0" t="n">
        <v>570.965</v>
      </c>
      <c r="O20" s="0" t="n">
        <v>2283.374</v>
      </c>
      <c r="P20" s="0" t="n">
        <v>3355.481</v>
      </c>
      <c r="Q20" s="0" t="n">
        <v>1072.107</v>
      </c>
      <c r="T20" s="0" t="n">
        <v>52.305424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222.86</v>
      </c>
    </row>
    <row r="3" customFormat="false" ht="15" hidden="false" customHeight="false" outlineLevel="0" collapsed="false">
      <c r="A3" s="0" t="s">
        <v>85</v>
      </c>
      <c r="B3" s="3" t="n">
        <v>52.305</v>
      </c>
    </row>
    <row r="4" customFormat="false" ht="15" hidden="false" customHeight="false" outlineLevel="0" collapsed="false">
      <c r="A4" s="0" t="s">
        <v>86</v>
      </c>
      <c r="B4" s="3" t="n">
        <v>-1808.316</v>
      </c>
    </row>
    <row r="5" customFormat="false" ht="15" hidden="false" customHeight="false" outlineLevel="0" collapsed="false">
      <c r="A5" s="0" t="s">
        <v>87</v>
      </c>
      <c r="B5" s="3" t="n">
        <v>-68.109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4067.258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2</v>
      </c>
      <c r="D13" s="3" t="n">
        <v>1</v>
      </c>
      <c r="E13" s="3" t="n">
        <v>-3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19</v>
      </c>
      <c r="D14" s="3" t="n">
        <v>18.5</v>
      </c>
      <c r="E14" s="3" t="n">
        <v>16</v>
      </c>
      <c r="F14" s="3" t="n">
        <v>16</v>
      </c>
      <c r="G14" s="3" t="n">
        <v>16.5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107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1.7</v>
      </c>
      <c r="D17" s="3" t="n">
        <v>1.8</v>
      </c>
      <c r="E17" s="3" t="n">
        <v>1.9</v>
      </c>
      <c r="F17" s="3" t="n">
        <v>2</v>
      </c>
      <c r="G17" s="3" t="n">
        <v>2</v>
      </c>
      <c r="H17" s="3" t="n">
        <v>2.1</v>
      </c>
      <c r="I17" s="3" t="n">
        <v>2.1</v>
      </c>
      <c r="J17" s="3" t="n">
        <v>2.1</v>
      </c>
      <c r="K17" s="3" t="n">
        <v>2.1</v>
      </c>
      <c r="L17" s="3" t="n">
        <v>2.1</v>
      </c>
    </row>
    <row r="18" customFormat="false" ht="15" hidden="false" customHeight="false" outlineLevel="0" collapsed="false">
      <c r="A18" s="0" t="s">
        <v>110</v>
      </c>
      <c r="C18" s="3" t="n">
        <v>3.3</v>
      </c>
      <c r="D18" s="3" t="n">
        <v>3</v>
      </c>
      <c r="E18" s="3" t="n">
        <v>2.8</v>
      </c>
      <c r="F18" s="3" t="n">
        <v>2.6</v>
      </c>
      <c r="G18" s="3" t="n">
        <v>2.4</v>
      </c>
      <c r="H18" s="3" t="n">
        <v>2.3</v>
      </c>
      <c r="I18" s="3" t="n">
        <v>2.2</v>
      </c>
      <c r="J18" s="3" t="n">
        <v>2.2</v>
      </c>
      <c r="K18" s="3" t="n">
        <v>2.2</v>
      </c>
      <c r="L18" s="3" t="n">
        <v>2.2</v>
      </c>
    </row>
    <row r="19" customFormat="false" ht="15" hidden="false" customHeight="false" outlineLevel="0" collapsed="false">
      <c r="A19" s="0" t="s">
        <v>111</v>
      </c>
      <c r="C19" s="3" t="n">
        <v>21.5</v>
      </c>
      <c r="D19" s="3" t="n">
        <v>21.5</v>
      </c>
      <c r="E19" s="3" t="n">
        <v>21.5</v>
      </c>
      <c r="F19" s="3" t="n">
        <v>21.5</v>
      </c>
      <c r="G19" s="3" t="n">
        <v>21.5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16</v>
      </c>
    </row>
    <row r="23" customFormat="false" ht="15" hidden="false" customHeight="false" outlineLevel="0" collapsed="false">
      <c r="A23" s="0" t="s">
        <v>115</v>
      </c>
      <c r="B23" s="3" t="n">
        <v>-5</v>
      </c>
    </row>
    <row r="24" customFormat="false" ht="15" hidden="false" customHeight="false" outlineLevel="0" collapsed="false">
      <c r="A24" s="0" t="s">
        <v>116</v>
      </c>
      <c r="B24" s="3" t="n">
        <v>0.3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3</v>
      </c>
      <c r="D27" s="3" t="n">
        <v>4</v>
      </c>
      <c r="E27" s="3" t="n">
        <v>5</v>
      </c>
      <c r="F27" s="3" t="n">
        <v>5.5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19.3</v>
      </c>
      <c r="D28" s="3" t="n">
        <v>19.5</v>
      </c>
      <c r="E28" s="3" t="n">
        <v>19.7</v>
      </c>
      <c r="F28" s="3" t="n">
        <v>19.9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107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1.7</v>
      </c>
      <c r="D31" s="3" t="n">
        <v>1.8</v>
      </c>
      <c r="E31" s="3" t="n">
        <v>1.9</v>
      </c>
      <c r="F31" s="3" t="n">
        <v>2</v>
      </c>
      <c r="G31" s="3" t="n">
        <v>2</v>
      </c>
      <c r="H31" s="3" t="n">
        <v>2.1</v>
      </c>
      <c r="I31" s="3" t="n">
        <v>2.1</v>
      </c>
      <c r="J31" s="3" t="n">
        <v>2.1</v>
      </c>
      <c r="K31" s="3" t="n">
        <v>2.1</v>
      </c>
      <c r="L31" s="3" t="n">
        <v>2.1</v>
      </c>
    </row>
    <row r="32" customFormat="false" ht="15" hidden="false" customHeight="false" outlineLevel="0" collapsed="false">
      <c r="A32" s="0" t="s">
        <v>110</v>
      </c>
      <c r="C32" s="3" t="n">
        <v>3.3</v>
      </c>
      <c r="D32" s="3" t="n">
        <v>3</v>
      </c>
      <c r="E32" s="3" t="n">
        <v>2.8</v>
      </c>
      <c r="F32" s="3" t="n">
        <v>2.6</v>
      </c>
      <c r="G32" s="3" t="n">
        <v>2.4</v>
      </c>
      <c r="H32" s="3" t="n">
        <v>2.3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111</v>
      </c>
      <c r="C33" s="3" t="n">
        <v>21.5</v>
      </c>
      <c r="D33" s="3" t="n">
        <v>21.5</v>
      </c>
      <c r="E33" s="3" t="n">
        <v>21.5</v>
      </c>
      <c r="F33" s="3" t="n">
        <v>21.5</v>
      </c>
      <c r="G33" s="3" t="n">
        <v>21.5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-5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4</v>
      </c>
      <c r="D41" s="3" t="n">
        <v>6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19.5</v>
      </c>
      <c r="D42" s="3" t="n">
        <v>20</v>
      </c>
      <c r="E42" s="3" t="n">
        <v>20.5</v>
      </c>
      <c r="F42" s="3" t="n">
        <v>21</v>
      </c>
      <c r="G42" s="3" t="n">
        <v>21.5</v>
      </c>
      <c r="H42" s="3" t="n">
        <v>21.5</v>
      </c>
      <c r="I42" s="3" t="n">
        <v>21.5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107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1.7</v>
      </c>
      <c r="D45" s="3" t="n">
        <v>1.8</v>
      </c>
      <c r="E45" s="3" t="n">
        <v>1.9</v>
      </c>
      <c r="F45" s="3" t="n">
        <v>2</v>
      </c>
      <c r="G45" s="3" t="n">
        <v>2</v>
      </c>
      <c r="H45" s="3" t="n">
        <v>2.1</v>
      </c>
      <c r="I45" s="3" t="n">
        <v>2.1</v>
      </c>
      <c r="J45" s="3" t="n">
        <v>2.1</v>
      </c>
      <c r="K45" s="3" t="n">
        <v>2.1</v>
      </c>
      <c r="L45" s="3" t="n">
        <v>2.1</v>
      </c>
    </row>
    <row r="46" customFormat="false" ht="15" hidden="false" customHeight="false" outlineLevel="0" collapsed="false">
      <c r="A46" s="0" t="s">
        <v>110</v>
      </c>
      <c r="C46" s="3" t="n">
        <v>3.3</v>
      </c>
      <c r="D46" s="3" t="n">
        <v>3</v>
      </c>
      <c r="E46" s="3" t="n">
        <v>2.7</v>
      </c>
      <c r="F46" s="3" t="n">
        <v>2.5</v>
      </c>
      <c r="G46" s="3" t="n">
        <v>2.3</v>
      </c>
      <c r="H46" s="3" t="n">
        <v>2.2</v>
      </c>
      <c r="I46" s="3" t="n">
        <v>2.2</v>
      </c>
      <c r="J46" s="3" t="n">
        <v>2.2</v>
      </c>
      <c r="K46" s="3" t="n">
        <v>2.2</v>
      </c>
      <c r="L46" s="3" t="n">
        <v>2.2</v>
      </c>
    </row>
    <row r="47" customFormat="false" ht="15" hidden="false" customHeight="false" outlineLevel="0" collapsed="false">
      <c r="A47" s="0" t="s">
        <v>111</v>
      </c>
      <c r="C47" s="3" t="n">
        <v>21.5</v>
      </c>
      <c r="D47" s="3" t="n">
        <v>21.5</v>
      </c>
      <c r="E47" s="3" t="n">
        <v>21.5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-5</v>
      </c>
    </row>
    <row r="52" customFormat="false" ht="15" hidden="false" customHeight="false" outlineLevel="0" collapsed="false">
      <c r="A52" s="0" t="s">
        <v>116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2</v>
      </c>
      <c r="D5" s="4" t="n">
        <f aca="false">Assumptions!D13</f>
        <v>1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4067.258</v>
      </c>
      <c r="C6" s="0" t="n">
        <f aca="false">B6*(1+C5/100)</f>
        <v>4148.60316</v>
      </c>
      <c r="D6" s="0" t="n">
        <f aca="false">C6*(1+D5/100)</f>
        <v>4190.0891916</v>
      </c>
      <c r="E6" s="0" t="n">
        <f aca="false">D6*(1+E5/100)</f>
        <v>4064.386515852</v>
      </c>
      <c r="F6" s="0" t="n">
        <f aca="false">E6*(1+F5/100)</f>
        <v>4145.67424616904</v>
      </c>
      <c r="G6" s="0" t="n">
        <f aca="false">F6*(1+G5/100)</f>
        <v>4249.31610232327</v>
      </c>
      <c r="H6" s="0" t="n">
        <f aca="false">G6*(1+H5/100)</f>
        <v>4355.54900488135</v>
      </c>
      <c r="I6" s="0" t="n">
        <f aca="false">H6*(1+I5/100)</f>
        <v>4464.43773000338</v>
      </c>
      <c r="J6" s="0" t="n">
        <f aca="false">I6*(1+J5/100)</f>
        <v>4576.04867325347</v>
      </c>
      <c r="K6" s="0" t="n">
        <f aca="false">J6*(1+K5/100)</f>
        <v>4690.4498900848</v>
      </c>
      <c r="L6" s="0" t="n">
        <f aca="false">K6*(1+L5/100)</f>
        <v>4807.71113733692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19</v>
      </c>
      <c r="D7" s="4" t="n">
        <f aca="false">Assumptions!D14</f>
        <v>18.5</v>
      </c>
      <c r="E7" s="4" t="n">
        <f aca="false">Assumptions!E14</f>
        <v>16</v>
      </c>
      <c r="F7" s="4" t="n">
        <f aca="false">Assumptions!F14</f>
        <v>16</v>
      </c>
      <c r="G7" s="4" t="n">
        <f aca="false">Assumptions!G14</f>
        <v>16.5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788.2346004</v>
      </c>
      <c r="D8" s="0" t="n">
        <f aca="false">D6*D7/100</f>
        <v>775.166500446</v>
      </c>
      <c r="E8" s="0" t="n">
        <f aca="false">E6*E7/100</f>
        <v>650.30184253632</v>
      </c>
      <c r="F8" s="0" t="n">
        <f aca="false">F6*F7/100</f>
        <v>663.307879387047</v>
      </c>
      <c r="G8" s="0" t="n">
        <f aca="false">G6*G7/100</f>
        <v>701.137156883339</v>
      </c>
      <c r="H8" s="0" t="n">
        <f aca="false">H6*H7/100</f>
        <v>718.665585805422</v>
      </c>
      <c r="I8" s="0" t="n">
        <f aca="false">I6*I7/100</f>
        <v>736.632225450558</v>
      </c>
      <c r="J8" s="0" t="n">
        <f aca="false">J6*J7/100</f>
        <v>755.048031086822</v>
      </c>
      <c r="K8" s="0" t="n">
        <f aca="false">K6*K7/100</f>
        <v>773.924231863992</v>
      </c>
      <c r="L8" s="0" t="n">
        <f aca="false">L6*L7/100</f>
        <v>793.272337660592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788.2346004</v>
      </c>
      <c r="D11" s="0" t="n">
        <f aca="false">D8+D10+D24</f>
        <v>775.166500446</v>
      </c>
      <c r="E11" s="0" t="n">
        <f aca="false">E8+E10+E24</f>
        <v>650.30184253632</v>
      </c>
      <c r="F11" s="0" t="n">
        <f aca="false">F8+F10+F24</f>
        <v>663.307879387047</v>
      </c>
      <c r="G11" s="0" t="n">
        <f aca="false">G8+G10+G24</f>
        <v>701.137156883339</v>
      </c>
      <c r="H11" s="0" t="n">
        <f aca="false">H8+H10+H24</f>
        <v>718.665585805422</v>
      </c>
      <c r="I11" s="0" t="n">
        <f aca="false">I8+I10+I24</f>
        <v>736.632225450558</v>
      </c>
      <c r="J11" s="0" t="n">
        <f aca="false">J8+J10+J24</f>
        <v>755.048031086822</v>
      </c>
      <c r="K11" s="0" t="n">
        <f aca="false">K8+K10+K24</f>
        <v>773.924231863992</v>
      </c>
      <c r="L11" s="0" t="n">
        <f aca="false">L8+L10+L24</f>
        <v>793.272337660592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-70.52625372</v>
      </c>
      <c r="D12" s="4" t="n">
        <f aca="false">-D6*Assumptions!D17/100</f>
        <v>-75.4216054488</v>
      </c>
      <c r="E12" s="4" t="n">
        <f aca="false">-E6*Assumptions!E17/100</f>
        <v>-77.223343801188</v>
      </c>
      <c r="F12" s="4" t="n">
        <f aca="false">-F6*Assumptions!F17/100</f>
        <v>-82.9134849233808</v>
      </c>
      <c r="G12" s="4" t="n">
        <f aca="false">-G6*Assumptions!G17/100</f>
        <v>-84.9863220464653</v>
      </c>
      <c r="H12" s="4" t="n">
        <f aca="false">-H6*Assumptions!H17/100</f>
        <v>-91.4665291025083</v>
      </c>
      <c r="I12" s="4" t="n">
        <f aca="false">-I6*Assumptions!I17/100</f>
        <v>-93.753192330071</v>
      </c>
      <c r="J12" s="4" t="n">
        <f aca="false">-J6*Assumptions!J17/100</f>
        <v>-96.0970221383228</v>
      </c>
      <c r="K12" s="4" t="n">
        <f aca="false">-K6*Assumptions!K17/100</f>
        <v>-98.4994476917808</v>
      </c>
      <c r="L12" s="4" t="n">
        <f aca="false">-L6*Assumptions!L17/100</f>
        <v>-100.961933884075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717.70834668</v>
      </c>
      <c r="D13" s="0" t="n">
        <f aca="false">D11+D12</f>
        <v>699.7448949972</v>
      </c>
      <c r="E13" s="0" t="n">
        <f aca="false">E11+E12</f>
        <v>573.078498735132</v>
      </c>
      <c r="F13" s="0" t="n">
        <f aca="false">F11+F12</f>
        <v>580.394394463666</v>
      </c>
      <c r="G13" s="0" t="n">
        <f aca="false">G11+G12</f>
        <v>616.150834836874</v>
      </c>
      <c r="H13" s="0" t="n">
        <f aca="false">H11+H12</f>
        <v>627.199056702914</v>
      </c>
      <c r="I13" s="0" t="n">
        <f aca="false">I11+I12</f>
        <v>642.879033120487</v>
      </c>
      <c r="J13" s="0" t="n">
        <f aca="false">J11+J12</f>
        <v>658.951008948499</v>
      </c>
      <c r="K13" s="0" t="n">
        <f aca="false">K11+K12</f>
        <v>675.424784172211</v>
      </c>
      <c r="L13" s="0" t="n">
        <f aca="false">L11+L12</f>
        <v>692.310403776517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21.5</v>
      </c>
      <c r="D14" s="4" t="n">
        <f aca="false">Assumptions!D19</f>
        <v>21.5</v>
      </c>
      <c r="E14" s="4" t="n">
        <f aca="false">Assumptions!E19</f>
        <v>21.5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563.4010521438</v>
      </c>
      <c r="D15" s="0" t="n">
        <f aca="false">D13-MAX(0,D13)*D14/100</f>
        <v>549.299742572802</v>
      </c>
      <c r="E15" s="0" t="n">
        <f aca="false">E13-MAX(0,E13)*E14/100</f>
        <v>449.866621507079</v>
      </c>
      <c r="F15" s="0" t="n">
        <f aca="false">F13-MAX(0,F13)*F14/100</f>
        <v>455.609599653978</v>
      </c>
      <c r="G15" s="0" t="n">
        <f aca="false">G13-MAX(0,G13)*G14/100</f>
        <v>483.678405346946</v>
      </c>
      <c r="H15" s="0" t="n">
        <f aca="false">H13-MAX(0,H13)*H14/100</f>
        <v>492.351259511788</v>
      </c>
      <c r="I15" s="0" t="n">
        <f aca="false">I13-MAX(0,I13)*I14/100</f>
        <v>504.660040999582</v>
      </c>
      <c r="J15" s="0" t="n">
        <f aca="false">J13-MAX(0,J13)*J14/100</f>
        <v>517.276542024572</v>
      </c>
      <c r="K15" s="0" t="n">
        <f aca="false">K13-MAX(0,K13)*K14/100</f>
        <v>530.208455575186</v>
      </c>
      <c r="L15" s="0" t="n">
        <f aca="false">L13-MAX(0,L13)*L14/100</f>
        <v>543.463666964566</v>
      </c>
    </row>
    <row r="16" customFormat="false" ht="15" hidden="false" customHeight="false" outlineLevel="0" collapsed="false">
      <c r="A16" s="0" t="s">
        <v>127</v>
      </c>
      <c r="C16" s="0" t="n">
        <f aca="false">-C12</f>
        <v>70.52625372</v>
      </c>
      <c r="D16" s="0" t="n">
        <f aca="false">-D12</f>
        <v>75.4216054488</v>
      </c>
      <c r="E16" s="0" t="n">
        <f aca="false">-E12</f>
        <v>77.223343801188</v>
      </c>
      <c r="F16" s="0" t="n">
        <f aca="false">-F12</f>
        <v>82.9134849233808</v>
      </c>
      <c r="G16" s="0" t="n">
        <f aca="false">-G12</f>
        <v>84.9863220464653</v>
      </c>
      <c r="H16" s="0" t="n">
        <f aca="false">-H12</f>
        <v>91.4665291025083</v>
      </c>
      <c r="I16" s="0" t="n">
        <f aca="false">-I12</f>
        <v>93.753192330071</v>
      </c>
      <c r="J16" s="0" t="n">
        <f aca="false">-J12</f>
        <v>96.0970221383228</v>
      </c>
      <c r="K16" s="0" t="n">
        <f aca="false">-K12</f>
        <v>98.4994476917808</v>
      </c>
      <c r="L16" s="0" t="n">
        <f aca="false">-L12</f>
        <v>100.961933884075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-136.90390428</v>
      </c>
      <c r="D17" s="4" t="n">
        <f aca="false">-D6*Assumptions!D18/100</f>
        <v>-125.702675748</v>
      </c>
      <c r="E17" s="4" t="n">
        <f aca="false">-E6*Assumptions!E18/100</f>
        <v>-113.802822443856</v>
      </c>
      <c r="F17" s="4" t="n">
        <f aca="false">-F6*Assumptions!F18/100</f>
        <v>-107.787530400395</v>
      </c>
      <c r="G17" s="4" t="n">
        <f aca="false">-G6*Assumptions!G18/100</f>
        <v>-101.983586455758</v>
      </c>
      <c r="H17" s="4" t="n">
        <f aca="false">-H6*Assumptions!H18/100</f>
        <v>-100.177627112271</v>
      </c>
      <c r="I17" s="4" t="n">
        <f aca="false">-I6*Assumptions!I18/100</f>
        <v>-98.2176300600744</v>
      </c>
      <c r="J17" s="4" t="n">
        <f aca="false">-J6*Assumptions!J18/100</f>
        <v>-100.673070811576</v>
      </c>
      <c r="K17" s="4" t="n">
        <f aca="false">-K6*Assumptions!K18/100</f>
        <v>-103.189897581866</v>
      </c>
      <c r="L17" s="4" t="n">
        <f aca="false">-L6*Assumptions!L18/100</f>
        <v>-105.769645021412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-4.06725799999999</v>
      </c>
      <c r="D18" s="4" t="n">
        <f aca="false">(D6-C6)*Assumptions!$B$23/100</f>
        <v>-2.07430158000002</v>
      </c>
      <c r="E18" s="4" t="n">
        <f aca="false">(E6-D6)*Assumptions!$B$23/100</f>
        <v>6.28513378740001</v>
      </c>
      <c r="F18" s="4" t="n">
        <f aca="false">(F6-E6)*Assumptions!$B$23/100</f>
        <v>-4.06438651585202</v>
      </c>
      <c r="G18" s="4" t="n">
        <f aca="false">(G6-F6)*Assumptions!$B$23/100</f>
        <v>-5.1820928077113</v>
      </c>
      <c r="H18" s="4" t="n">
        <f aca="false">(H6-G6)*Assumptions!$B$23/100</f>
        <v>-5.31164512790406</v>
      </c>
      <c r="I18" s="4" t="n">
        <f aca="false">(I6-H6)*Assumptions!$B$23/100</f>
        <v>-5.44443625610165</v>
      </c>
      <c r="J18" s="4" t="n">
        <f aca="false">(J6-I6)*Assumptions!$B$23/100</f>
        <v>-5.58054716250422</v>
      </c>
      <c r="K18" s="4" t="n">
        <f aca="false">(K6-J6)*Assumptions!$B$23/100</f>
        <v>-5.72006084156683</v>
      </c>
      <c r="L18" s="4" t="n">
        <f aca="false">(L6-K6)*Assumptions!$B$23/100</f>
        <v>-5.86306236260598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492.9561435838</v>
      </c>
      <c r="D19" s="0" t="n">
        <f aca="false">D15+D16+D17+D18</f>
        <v>496.944370693602</v>
      </c>
      <c r="E19" s="0" t="n">
        <f aca="false">E15+E16+E17+E18</f>
        <v>419.572276651811</v>
      </c>
      <c r="F19" s="0" t="n">
        <f aca="false">F15+F16+F17+F18</f>
        <v>426.671167661111</v>
      </c>
      <c r="G19" s="0" t="n">
        <f aca="false">G15+G16+G17+G18</f>
        <v>461.499048129941</v>
      </c>
      <c r="H19" s="0" t="n">
        <f aca="false">H15+H16+H17+H18</f>
        <v>478.328516374121</v>
      </c>
      <c r="I19" s="0" t="n">
        <f aca="false">I15+I16+I17+I18</f>
        <v>494.751167013477</v>
      </c>
      <c r="J19" s="0" t="n">
        <f aca="false">J15+J16+J17+J18</f>
        <v>507.119946188814</v>
      </c>
      <c r="K19" s="0" t="n">
        <f aca="false">K15+K16+K17+K18</f>
        <v>519.797944843534</v>
      </c>
      <c r="L19" s="0" t="n">
        <f aca="false">L15+L16+L17+L18</f>
        <v>532.792893464623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456.440873688704</v>
      </c>
      <c r="D21" s="0" t="n">
        <f aca="false">D19*D20</f>
        <v>426.049700526065</v>
      </c>
      <c r="E21" s="0" t="n">
        <f aca="false">E19*E20</f>
        <v>333.070000644441</v>
      </c>
      <c r="F21" s="0" t="n">
        <f aca="false">F19*F20</f>
        <v>313.616045558437</v>
      </c>
      <c r="G21" s="0" t="n">
        <f aca="false">G19*G20</f>
        <v>314.088497604309</v>
      </c>
      <c r="H21" s="0" t="n">
        <f aca="false">H19*H20</f>
        <v>301.428102691029</v>
      </c>
      <c r="I21" s="0" t="n">
        <f aca="false">I19*I20</f>
        <v>288.682553997096</v>
      </c>
      <c r="J21" s="0" t="n">
        <f aca="false">J19*J20</f>
        <v>273.981127636133</v>
      </c>
      <c r="K21" s="0" t="n">
        <f aca="false">K19*K20</f>
        <v>260.028385025033</v>
      </c>
      <c r="L21" s="0" t="n">
        <f aca="false">L19*L20</f>
        <v>246.78619875061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3214.17148612186</v>
      </c>
    </row>
    <row r="31" customFormat="false" ht="15" hidden="false" customHeight="false" outlineLevel="0" collapsed="false">
      <c r="A31" s="0" t="s">
        <v>136</v>
      </c>
      <c r="B31" s="0" t="n">
        <f aca="false">L19</f>
        <v>532.792893464623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9929.32210547706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8524.68629543396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8524.68629543396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3948.57918000976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7162.75066613162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8902.95766613162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170.212363371219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-0.23623636645778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170.212363371219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4368.90172640991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99.6434362117248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4067.258</v>
      </c>
      <c r="C6" s="0" t="n">
        <f aca="false">B6*(1+C5/100)</f>
        <v>4189.27574</v>
      </c>
      <c r="D6" s="0" t="n">
        <f aca="false">C6*(1+D5/100)</f>
        <v>4356.8467696</v>
      </c>
      <c r="E6" s="0" t="n">
        <f aca="false">D6*(1+E5/100)</f>
        <v>4574.68910808</v>
      </c>
      <c r="F6" s="0" t="n">
        <f aca="false">E6*(1+F5/100)</f>
        <v>4826.2970090244</v>
      </c>
      <c r="G6" s="0" t="n">
        <f aca="false">F6*(1+G5/100)</f>
        <v>5091.74334452074</v>
      </c>
      <c r="H6" s="0" t="n">
        <f aca="false">G6*(1+H5/100)</f>
        <v>5346.33051174678</v>
      </c>
      <c r="I6" s="0" t="n">
        <f aca="false">H6*(1+I5/100)</f>
        <v>5586.91538477538</v>
      </c>
      <c r="J6" s="0" t="n">
        <f aca="false">I6*(1+J5/100)</f>
        <v>5810.3920001664</v>
      </c>
      <c r="K6" s="0" t="n">
        <f aca="false">J6*(1+K5/100)</f>
        <v>6013.75572017222</v>
      </c>
      <c r="L6" s="0" t="n">
        <f aca="false">K6*(1+L5/100)</f>
        <v>6194.16839177739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19.3</v>
      </c>
      <c r="D7" s="4" t="n">
        <f aca="false">Assumptions!D28</f>
        <v>19.5</v>
      </c>
      <c r="E7" s="4" t="n">
        <f aca="false">Assumptions!E28</f>
        <v>19.7</v>
      </c>
      <c r="F7" s="4" t="n">
        <f aca="false">Assumptions!F28</f>
        <v>19.9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808.53021782</v>
      </c>
      <c r="D8" s="0" t="n">
        <f aca="false">D6*D7/100</f>
        <v>849.585120072</v>
      </c>
      <c r="E8" s="0" t="n">
        <f aca="false">E6*E7/100</f>
        <v>901.21375429176</v>
      </c>
      <c r="F8" s="0" t="n">
        <f aca="false">F6*F7/100</f>
        <v>960.433104795855</v>
      </c>
      <c r="G8" s="0" t="n">
        <f aca="false">G6*G7/100</f>
        <v>1018.34866890415</v>
      </c>
      <c r="H8" s="0" t="n">
        <f aca="false">H6*H7/100</f>
        <v>1069.26610234936</v>
      </c>
      <c r="I8" s="0" t="n">
        <f aca="false">I6*I7/100</f>
        <v>1117.38307695508</v>
      </c>
      <c r="J8" s="0" t="n">
        <f aca="false">J6*J7/100</f>
        <v>1162.07840003328</v>
      </c>
      <c r="K8" s="0" t="n">
        <f aca="false">K6*K7/100</f>
        <v>1202.75114403444</v>
      </c>
      <c r="L8" s="0" t="n">
        <f aca="false">L6*L7/100</f>
        <v>1238.83367835548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808.53021782</v>
      </c>
      <c r="D11" s="0" t="n">
        <f aca="false">D8+D10+D24</f>
        <v>849.585120072</v>
      </c>
      <c r="E11" s="0" t="n">
        <f aca="false">E8+E10+E24</f>
        <v>901.21375429176</v>
      </c>
      <c r="F11" s="0" t="n">
        <f aca="false">F8+F10+F24</f>
        <v>960.433104795855</v>
      </c>
      <c r="G11" s="0" t="n">
        <f aca="false">G8+G10+G24</f>
        <v>1018.34866890415</v>
      </c>
      <c r="H11" s="0" t="n">
        <f aca="false">H8+H10+H24</f>
        <v>1069.26610234936</v>
      </c>
      <c r="I11" s="0" t="n">
        <f aca="false">I8+I10+I24</f>
        <v>1117.38307695508</v>
      </c>
      <c r="J11" s="0" t="n">
        <f aca="false">J8+J10+J24</f>
        <v>1162.07840003328</v>
      </c>
      <c r="K11" s="0" t="n">
        <f aca="false">K8+K10+K24</f>
        <v>1202.75114403444</v>
      </c>
      <c r="L11" s="0" t="n">
        <f aca="false">L8+L10+L24</f>
        <v>1238.83367835548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-71.21768758</v>
      </c>
      <c r="D12" s="4" t="n">
        <f aca="false">-D6*Assumptions!D31/100</f>
        <v>-78.4232418528</v>
      </c>
      <c r="E12" s="4" t="n">
        <f aca="false">-E6*Assumptions!E31/100</f>
        <v>-86.91909305352</v>
      </c>
      <c r="F12" s="4" t="n">
        <f aca="false">-F6*Assumptions!F31/100</f>
        <v>-96.525940180488</v>
      </c>
      <c r="G12" s="4" t="n">
        <f aca="false">-G6*Assumptions!G31/100</f>
        <v>-101.834866890415</v>
      </c>
      <c r="H12" s="4" t="n">
        <f aca="false">-H6*Assumptions!H31/100</f>
        <v>-112.272940746682</v>
      </c>
      <c r="I12" s="4" t="n">
        <f aca="false">-I6*Assumptions!I31/100</f>
        <v>-117.325223080283</v>
      </c>
      <c r="J12" s="4" t="n">
        <f aca="false">-J6*Assumptions!J31/100</f>
        <v>-122.018232003494</v>
      </c>
      <c r="K12" s="4" t="n">
        <f aca="false">-K6*Assumptions!K31/100</f>
        <v>-126.288870123617</v>
      </c>
      <c r="L12" s="4" t="n">
        <f aca="false">-L6*Assumptions!L31/100</f>
        <v>-130.077536227325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737.31253024</v>
      </c>
      <c r="D13" s="0" t="n">
        <f aca="false">D11+D12</f>
        <v>771.1618782192</v>
      </c>
      <c r="E13" s="0" t="n">
        <f aca="false">E11+E12</f>
        <v>814.29466123824</v>
      </c>
      <c r="F13" s="0" t="n">
        <f aca="false">F11+F12</f>
        <v>863.907164615367</v>
      </c>
      <c r="G13" s="0" t="n">
        <f aca="false">G11+G12</f>
        <v>916.513802013733</v>
      </c>
      <c r="H13" s="0" t="n">
        <f aca="false">H11+H12</f>
        <v>956.993161602673</v>
      </c>
      <c r="I13" s="0" t="n">
        <f aca="false">I11+I12</f>
        <v>1000.05785387479</v>
      </c>
      <c r="J13" s="0" t="n">
        <f aca="false">J11+J12</f>
        <v>1040.06016802979</v>
      </c>
      <c r="K13" s="0" t="n">
        <f aca="false">K11+K12</f>
        <v>1076.46227391083</v>
      </c>
      <c r="L13" s="0" t="n">
        <f aca="false">L11+L12</f>
        <v>1108.75614212815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21.5</v>
      </c>
      <c r="D14" s="4" t="n">
        <f aca="false">Assumptions!D33</f>
        <v>21.5</v>
      </c>
      <c r="E14" s="4" t="n">
        <f aca="false">Assumptions!E33</f>
        <v>21.5</v>
      </c>
      <c r="F14" s="4" t="n">
        <f aca="false">Assumptions!F33</f>
        <v>21.5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578.7903362384</v>
      </c>
      <c r="D15" s="0" t="n">
        <f aca="false">D13-MAX(0,D13)*D14/100</f>
        <v>605.362074402072</v>
      </c>
      <c r="E15" s="0" t="n">
        <f aca="false">E13-MAX(0,E13)*E14/100</f>
        <v>639.221309072018</v>
      </c>
      <c r="F15" s="0" t="n">
        <f aca="false">F13-MAX(0,F13)*F14/100</f>
        <v>678.167124223063</v>
      </c>
      <c r="G15" s="0" t="n">
        <f aca="false">G13-MAX(0,G13)*G14/100</f>
        <v>719.463334580781</v>
      </c>
      <c r="H15" s="0" t="n">
        <f aca="false">H13-MAX(0,H13)*H14/100</f>
        <v>751.239631858099</v>
      </c>
      <c r="I15" s="0" t="n">
        <f aca="false">I13-MAX(0,I13)*I14/100</f>
        <v>785.045415291713</v>
      </c>
      <c r="J15" s="0" t="n">
        <f aca="false">J13-MAX(0,J13)*J14/100</f>
        <v>816.447231903381</v>
      </c>
      <c r="K15" s="0" t="n">
        <f aca="false">K13-MAX(0,K13)*K14/100</f>
        <v>845.02288502</v>
      </c>
      <c r="L15" s="0" t="n">
        <f aca="false">L13-MAX(0,L13)*L14/100</f>
        <v>870.3735715706</v>
      </c>
    </row>
    <row r="16" customFormat="false" ht="15" hidden="false" customHeight="false" outlineLevel="0" collapsed="false">
      <c r="A16" s="0" t="s">
        <v>127</v>
      </c>
      <c r="C16" s="0" t="n">
        <f aca="false">-C12</f>
        <v>71.21768758</v>
      </c>
      <c r="D16" s="0" t="n">
        <f aca="false">-D12</f>
        <v>78.4232418528</v>
      </c>
      <c r="E16" s="0" t="n">
        <f aca="false">-E12</f>
        <v>86.91909305352</v>
      </c>
      <c r="F16" s="0" t="n">
        <f aca="false">-F12</f>
        <v>96.525940180488</v>
      </c>
      <c r="G16" s="0" t="n">
        <f aca="false">-G12</f>
        <v>101.834866890415</v>
      </c>
      <c r="H16" s="0" t="n">
        <f aca="false">-H12</f>
        <v>112.272940746682</v>
      </c>
      <c r="I16" s="0" t="n">
        <f aca="false">-I12</f>
        <v>117.325223080283</v>
      </c>
      <c r="J16" s="0" t="n">
        <f aca="false">-J12</f>
        <v>122.018232003494</v>
      </c>
      <c r="K16" s="0" t="n">
        <f aca="false">-K12</f>
        <v>126.288870123617</v>
      </c>
      <c r="L16" s="0" t="n">
        <f aca="false">-L12</f>
        <v>130.077536227325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-138.24609942</v>
      </c>
      <c r="D17" s="4" t="n">
        <f aca="false">-D6*Assumptions!D32/100</f>
        <v>-130.705403088</v>
      </c>
      <c r="E17" s="4" t="n">
        <f aca="false">-E6*Assumptions!E32/100</f>
        <v>-128.09129502624</v>
      </c>
      <c r="F17" s="4" t="n">
        <f aca="false">-F6*Assumptions!F32/100</f>
        <v>-125.483722234634</v>
      </c>
      <c r="G17" s="4" t="n">
        <f aca="false">-G6*Assumptions!G32/100</f>
        <v>-122.201840268498</v>
      </c>
      <c r="H17" s="4" t="n">
        <f aca="false">-H6*Assumptions!H32/100</f>
        <v>-122.965601770176</v>
      </c>
      <c r="I17" s="4" t="n">
        <f aca="false">-I6*Assumptions!I32/100</f>
        <v>-122.912138465058</v>
      </c>
      <c r="J17" s="4" t="n">
        <f aca="false">-J6*Assumptions!J32/100</f>
        <v>-127.828624003661</v>
      </c>
      <c r="K17" s="4" t="n">
        <f aca="false">-K6*Assumptions!K32/100</f>
        <v>-132.302625843789</v>
      </c>
      <c r="L17" s="4" t="n">
        <f aca="false">-L6*Assumptions!L32/100</f>
        <v>-136.271704619103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-6.10088700000001</v>
      </c>
      <c r="D18" s="4" t="n">
        <f aca="false">(D6-C6)*Assumptions!$B$37/100</f>
        <v>-8.37855147999999</v>
      </c>
      <c r="E18" s="4" t="n">
        <f aca="false">(E6-D6)*Assumptions!$B$37/100</f>
        <v>-10.892116924</v>
      </c>
      <c r="F18" s="4" t="n">
        <f aca="false">(F6-E6)*Assumptions!$B$37/100</f>
        <v>-12.58039504722</v>
      </c>
      <c r="G18" s="4" t="n">
        <f aca="false">(G6-F6)*Assumptions!$B$37/100</f>
        <v>-13.2723167748171</v>
      </c>
      <c r="H18" s="4" t="n">
        <f aca="false">(H6-G6)*Assumptions!$B$37/100</f>
        <v>-12.7293583613019</v>
      </c>
      <c r="I18" s="4" t="n">
        <f aca="false">(I6-H6)*Assumptions!$B$37/100</f>
        <v>-12.0292436514302</v>
      </c>
      <c r="J18" s="4" t="n">
        <f aca="false">(J6-I6)*Assumptions!$B$37/100</f>
        <v>-11.1738307695508</v>
      </c>
      <c r="K18" s="4" t="n">
        <f aca="false">(K6-J6)*Assumptions!$B$37/100</f>
        <v>-10.1681860002912</v>
      </c>
      <c r="L18" s="4" t="n">
        <f aca="false">(L6-K6)*Assumptions!$B$37/100</f>
        <v>-9.02063358025835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505.6610373984</v>
      </c>
      <c r="D19" s="0" t="n">
        <f aca="false">D15+D16+D17+D18</f>
        <v>544.701361686872</v>
      </c>
      <c r="E19" s="0" t="n">
        <f aca="false">E15+E16+E17+E18</f>
        <v>587.156990175298</v>
      </c>
      <c r="F19" s="0" t="n">
        <f aca="false">F15+F16+F17+F18</f>
        <v>636.628947121697</v>
      </c>
      <c r="G19" s="0" t="n">
        <f aca="false">G15+G16+G17+G18</f>
        <v>685.824044427881</v>
      </c>
      <c r="H19" s="0" t="n">
        <f aca="false">H15+H16+H17+H18</f>
        <v>727.817612473303</v>
      </c>
      <c r="I19" s="0" t="n">
        <f aca="false">I15+I16+I17+I18</f>
        <v>767.429256255507</v>
      </c>
      <c r="J19" s="0" t="n">
        <f aca="false">J15+J16+J17+J18</f>
        <v>799.463009133664</v>
      </c>
      <c r="K19" s="0" t="n">
        <f aca="false">K15+K16+K17+K18</f>
        <v>828.840943299536</v>
      </c>
      <c r="L19" s="0" t="n">
        <f aca="false">L15+L16+L17+L18</f>
        <v>855.158769598564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468.204664257778</v>
      </c>
      <c r="D21" s="0" t="n">
        <f aca="false">D19*D20</f>
        <v>466.993622845398</v>
      </c>
      <c r="E21" s="0" t="n">
        <f aca="false">E19*E20</f>
        <v>466.104149341515</v>
      </c>
      <c r="F21" s="0" t="n">
        <f aca="false">F19*F20</f>
        <v>467.941281288822</v>
      </c>
      <c r="G21" s="0" t="n">
        <f aca="false">G19*G20</f>
        <v>466.760320759346</v>
      </c>
      <c r="H21" s="0" t="n">
        <f aca="false">H19*H20</f>
        <v>458.648553291253</v>
      </c>
      <c r="I21" s="0" t="n">
        <f aca="false">I19*I20</f>
        <v>447.787600068251</v>
      </c>
      <c r="J21" s="0" t="n">
        <f aca="false">J19*J20</f>
        <v>431.924988145238</v>
      </c>
      <c r="K21" s="0" t="n">
        <f aca="false">K19*K20</f>
        <v>414.626825801857</v>
      </c>
      <c r="L21" s="0" t="n">
        <f aca="false">L19*L20</f>
        <v>396.103973356566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4485.09597915602</v>
      </c>
    </row>
    <row r="31" customFormat="false" ht="15" hidden="false" customHeight="false" outlineLevel="0" collapsed="false">
      <c r="A31" s="0" t="s">
        <v>136</v>
      </c>
      <c r="B31" s="0" t="n">
        <f aca="false">L19</f>
        <v>855.158769598564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17616.2706537304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17103.1753919713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17103.1753919713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7922.07946713131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12407.1754462873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14147.3824462873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270.478586106249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0.213670403420303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270.478586106249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7340.11277238767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130.172662731153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4067.258</v>
      </c>
      <c r="C6" s="0" t="n">
        <f aca="false">B6*(1+C5/100)</f>
        <v>4229.94832</v>
      </c>
      <c r="D6" s="0" t="n">
        <f aca="false">C6*(1+D5/100)</f>
        <v>4483.7452192</v>
      </c>
      <c r="E6" s="0" t="n">
        <f aca="false">D6*(1+E5/100)</f>
        <v>4797.607384544</v>
      </c>
      <c r="F6" s="0" t="n">
        <f aca="false">E6*(1+F5/100)</f>
        <v>5133.43990146208</v>
      </c>
      <c r="G6" s="0" t="n">
        <f aca="false">F6*(1+G5/100)</f>
        <v>5467.11349505712</v>
      </c>
      <c r="H6" s="0" t="n">
        <f aca="false">G6*(1+H5/100)</f>
        <v>5795.14030476054</v>
      </c>
      <c r="I6" s="0" t="n">
        <f aca="false">H6*(1+I5/100)</f>
        <v>6113.87302152237</v>
      </c>
      <c r="J6" s="0" t="n">
        <f aca="false">I6*(1+J5/100)</f>
        <v>6419.56667259849</v>
      </c>
      <c r="K6" s="0" t="n">
        <f aca="false">J6*(1+K5/100)</f>
        <v>6676.34933950243</v>
      </c>
      <c r="L6" s="0" t="n">
        <f aca="false">K6*(1+L5/100)</f>
        <v>6910.02156638502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19.5</v>
      </c>
      <c r="D7" s="4" t="n">
        <f aca="false">Assumptions!D42</f>
        <v>20</v>
      </c>
      <c r="E7" s="4" t="n">
        <f aca="false">Assumptions!E42</f>
        <v>20.5</v>
      </c>
      <c r="F7" s="4" t="n">
        <f aca="false">Assumptions!F42</f>
        <v>21</v>
      </c>
      <c r="G7" s="4" t="n">
        <f aca="false">Assumptions!G42</f>
        <v>21.5</v>
      </c>
      <c r="H7" s="4" t="n">
        <f aca="false">Assumptions!H42</f>
        <v>21.5</v>
      </c>
      <c r="I7" s="4" t="n">
        <f aca="false">Assumptions!I42</f>
        <v>21.5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824.8399224</v>
      </c>
      <c r="D8" s="0" t="n">
        <f aca="false">D6*D7/100</f>
        <v>896.74904384</v>
      </c>
      <c r="E8" s="0" t="n">
        <f aca="false">E6*E7/100</f>
        <v>983.50951383152</v>
      </c>
      <c r="F8" s="0" t="n">
        <f aca="false">F6*F7/100</f>
        <v>1078.02237930704</v>
      </c>
      <c r="G8" s="0" t="n">
        <f aca="false">G6*G7/100</f>
        <v>1175.42940143728</v>
      </c>
      <c r="H8" s="0" t="n">
        <f aca="false">H6*H7/100</f>
        <v>1245.95516552352</v>
      </c>
      <c r="I8" s="0" t="n">
        <f aca="false">I6*I7/100</f>
        <v>1314.48269962731</v>
      </c>
      <c r="J8" s="0" t="n">
        <f aca="false">J6*J7/100</f>
        <v>1380.20683460868</v>
      </c>
      <c r="K8" s="0" t="n">
        <f aca="false">K6*K7/100</f>
        <v>1435.41510799302</v>
      </c>
      <c r="L8" s="0" t="n">
        <f aca="false">L6*L7/100</f>
        <v>1485.65463677278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824.8399224</v>
      </c>
      <c r="D11" s="0" t="n">
        <f aca="false">D8+D10+D24</f>
        <v>896.74904384</v>
      </c>
      <c r="E11" s="0" t="n">
        <f aca="false">E8+E10+E24</f>
        <v>983.50951383152</v>
      </c>
      <c r="F11" s="0" t="n">
        <f aca="false">F8+F10+F24</f>
        <v>1078.02237930704</v>
      </c>
      <c r="G11" s="0" t="n">
        <f aca="false">G8+G10+G24</f>
        <v>1175.42940143728</v>
      </c>
      <c r="H11" s="0" t="n">
        <f aca="false">H8+H10+H24</f>
        <v>1245.95516552352</v>
      </c>
      <c r="I11" s="0" t="n">
        <f aca="false">I8+I10+I24</f>
        <v>1314.48269962731</v>
      </c>
      <c r="J11" s="0" t="n">
        <f aca="false">J8+J10+J24</f>
        <v>1380.20683460868</v>
      </c>
      <c r="K11" s="0" t="n">
        <f aca="false">K8+K10+K24</f>
        <v>1435.41510799302</v>
      </c>
      <c r="L11" s="0" t="n">
        <f aca="false">L8+L10+L24</f>
        <v>1485.65463677278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-71.90912144</v>
      </c>
      <c r="D12" s="4" t="n">
        <f aca="false">-D6*Assumptions!D45/100</f>
        <v>-80.7074139456</v>
      </c>
      <c r="E12" s="4" t="n">
        <f aca="false">-E6*Assumptions!E45/100</f>
        <v>-91.154540306336</v>
      </c>
      <c r="F12" s="4" t="n">
        <f aca="false">-F6*Assumptions!F45/100</f>
        <v>-102.668798029242</v>
      </c>
      <c r="G12" s="4" t="n">
        <f aca="false">-G6*Assumptions!G45/100</f>
        <v>-109.342269901142</v>
      </c>
      <c r="H12" s="4" t="n">
        <f aca="false">-H6*Assumptions!H45/100</f>
        <v>-121.697946399971</v>
      </c>
      <c r="I12" s="4" t="n">
        <f aca="false">-I6*Assumptions!I45/100</f>
        <v>-128.39133345197</v>
      </c>
      <c r="J12" s="4" t="n">
        <f aca="false">-J6*Assumptions!J45/100</f>
        <v>-134.810900124568</v>
      </c>
      <c r="K12" s="4" t="n">
        <f aca="false">-K6*Assumptions!K45/100</f>
        <v>-140.203336129551</v>
      </c>
      <c r="L12" s="4" t="n">
        <f aca="false">-L6*Assumptions!L45/100</f>
        <v>-145.110452894085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752.93080096</v>
      </c>
      <c r="D13" s="0" t="n">
        <f aca="false">D11+D12</f>
        <v>816.0416298944</v>
      </c>
      <c r="E13" s="0" t="n">
        <f aca="false">E11+E12</f>
        <v>892.354973525184</v>
      </c>
      <c r="F13" s="0" t="n">
        <f aca="false">F11+F12</f>
        <v>975.353581277795</v>
      </c>
      <c r="G13" s="0" t="n">
        <f aca="false">G11+G12</f>
        <v>1066.08713153614</v>
      </c>
      <c r="H13" s="0" t="n">
        <f aca="false">H11+H12</f>
        <v>1124.25721912355</v>
      </c>
      <c r="I13" s="0" t="n">
        <f aca="false">I11+I12</f>
        <v>1186.09136617534</v>
      </c>
      <c r="J13" s="0" t="n">
        <f aca="false">J11+J12</f>
        <v>1245.39593448411</v>
      </c>
      <c r="K13" s="0" t="n">
        <f aca="false">K11+K12</f>
        <v>1295.21177186347</v>
      </c>
      <c r="L13" s="0" t="n">
        <f aca="false">L11+L12</f>
        <v>1340.54418387869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21.5</v>
      </c>
      <c r="D14" s="4" t="n">
        <f aca="false">Assumptions!D47</f>
        <v>21.5</v>
      </c>
      <c r="E14" s="4" t="n">
        <f aca="false">Assumptions!E47</f>
        <v>21.5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591.0506787536</v>
      </c>
      <c r="D15" s="0" t="n">
        <f aca="false">D13-MAX(0,D13)*D14/100</f>
        <v>640.592679467104</v>
      </c>
      <c r="E15" s="0" t="n">
        <f aca="false">E13-MAX(0,E13)*E14/100</f>
        <v>700.49865421727</v>
      </c>
      <c r="F15" s="0" t="n">
        <f aca="false">F13-MAX(0,F13)*F14/100</f>
        <v>765.652561303069</v>
      </c>
      <c r="G15" s="0" t="n">
        <f aca="false">G13-MAX(0,G13)*G14/100</f>
        <v>836.878398255868</v>
      </c>
      <c r="H15" s="0" t="n">
        <f aca="false">H13-MAX(0,H13)*H14/100</f>
        <v>882.541917011983</v>
      </c>
      <c r="I15" s="0" t="n">
        <f aca="false">I13-MAX(0,I13)*I14/100</f>
        <v>931.081722447642</v>
      </c>
      <c r="J15" s="0" t="n">
        <f aca="false">J13-MAX(0,J13)*J14/100</f>
        <v>977.635808570024</v>
      </c>
      <c r="K15" s="0" t="n">
        <f aca="false">K13-MAX(0,K13)*K14/100</f>
        <v>1016.74124091283</v>
      </c>
      <c r="L15" s="0" t="n">
        <f aca="false">L13-MAX(0,L13)*L14/100</f>
        <v>1052.32718434477</v>
      </c>
    </row>
    <row r="16" customFormat="false" ht="15" hidden="false" customHeight="false" outlineLevel="0" collapsed="false">
      <c r="A16" s="0" t="s">
        <v>127</v>
      </c>
      <c r="C16" s="0" t="n">
        <f aca="false">-C12</f>
        <v>71.90912144</v>
      </c>
      <c r="D16" s="0" t="n">
        <f aca="false">-D12</f>
        <v>80.7074139456</v>
      </c>
      <c r="E16" s="0" t="n">
        <f aca="false">-E12</f>
        <v>91.154540306336</v>
      </c>
      <c r="F16" s="0" t="n">
        <f aca="false">-F12</f>
        <v>102.668798029242</v>
      </c>
      <c r="G16" s="0" t="n">
        <f aca="false">-G12</f>
        <v>109.342269901142</v>
      </c>
      <c r="H16" s="0" t="n">
        <f aca="false">-H12</f>
        <v>121.697946399971</v>
      </c>
      <c r="I16" s="0" t="n">
        <f aca="false">-I12</f>
        <v>128.39133345197</v>
      </c>
      <c r="J16" s="0" t="n">
        <f aca="false">-J12</f>
        <v>134.810900124568</v>
      </c>
      <c r="K16" s="0" t="n">
        <f aca="false">-K12</f>
        <v>140.203336129551</v>
      </c>
      <c r="L16" s="0" t="n">
        <f aca="false">-L12</f>
        <v>145.110452894085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-139.58829456</v>
      </c>
      <c r="D17" s="4" t="n">
        <f aca="false">-D6*Assumptions!D46/100</f>
        <v>-134.512356576</v>
      </c>
      <c r="E17" s="4" t="n">
        <f aca="false">-E6*Assumptions!E46/100</f>
        <v>-129.535399382688</v>
      </c>
      <c r="F17" s="4" t="n">
        <f aca="false">-F6*Assumptions!F46/100</f>
        <v>-128.335997536552</v>
      </c>
      <c r="G17" s="4" t="n">
        <f aca="false">-G6*Assumptions!G46/100</f>
        <v>-125.743610386314</v>
      </c>
      <c r="H17" s="4" t="n">
        <f aca="false">-H6*Assumptions!H46/100</f>
        <v>-127.493086704732</v>
      </c>
      <c r="I17" s="4" t="n">
        <f aca="false">-I6*Assumptions!I46/100</f>
        <v>-134.505206473492</v>
      </c>
      <c r="J17" s="4" t="n">
        <f aca="false">-J6*Assumptions!J46/100</f>
        <v>-141.230466797167</v>
      </c>
      <c r="K17" s="4" t="n">
        <f aca="false">-K6*Assumptions!K46/100</f>
        <v>-146.879685469054</v>
      </c>
      <c r="L17" s="4" t="n">
        <f aca="false">-L6*Assumptions!L46/100</f>
        <v>-152.02047446047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-8.13451599999999</v>
      </c>
      <c r="D18" s="4" t="n">
        <f aca="false">(D6-C6)*Assumptions!$B$51/100</f>
        <v>-12.68984496</v>
      </c>
      <c r="E18" s="4" t="n">
        <f aca="false">(E6-D6)*Assumptions!$B$51/100</f>
        <v>-15.6931082672</v>
      </c>
      <c r="F18" s="4" t="n">
        <f aca="false">(F6-E6)*Assumptions!$B$51/100</f>
        <v>-16.791625845904</v>
      </c>
      <c r="G18" s="4" t="n">
        <f aca="false">(G6-F6)*Assumptions!$B$51/100</f>
        <v>-16.6836796797517</v>
      </c>
      <c r="H18" s="4" t="n">
        <f aca="false">(H6-G6)*Assumptions!$B$51/100</f>
        <v>-16.4013404851713</v>
      </c>
      <c r="I18" s="4" t="n">
        <f aca="false">(I6-H6)*Assumptions!$B$51/100</f>
        <v>-15.9366358380915</v>
      </c>
      <c r="J18" s="4" t="n">
        <f aca="false">(J6-I6)*Assumptions!$B$51/100</f>
        <v>-15.2846825538059</v>
      </c>
      <c r="K18" s="4" t="n">
        <f aca="false">(K6-J6)*Assumptions!$B$51/100</f>
        <v>-12.839133345197</v>
      </c>
      <c r="L18" s="4" t="n">
        <f aca="false">(L6-K6)*Assumptions!$B$51/100</f>
        <v>-11.6836113441292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515.2369896336</v>
      </c>
      <c r="D19" s="0" t="n">
        <f aca="false">D15+D16+D17+D18</f>
        <v>574.097891876704</v>
      </c>
      <c r="E19" s="0" t="n">
        <f aca="false">E15+E16+E17+E18</f>
        <v>646.424686873718</v>
      </c>
      <c r="F19" s="0" t="n">
        <f aca="false">F15+F16+F17+F18</f>
        <v>723.193735949855</v>
      </c>
      <c r="G19" s="0" t="n">
        <f aca="false">G15+G16+G17+G18</f>
        <v>803.793378090945</v>
      </c>
      <c r="H19" s="0" t="n">
        <f aca="false">H15+H16+H17+H18</f>
        <v>860.345436222051</v>
      </c>
      <c r="I19" s="0" t="n">
        <f aca="false">I15+I16+I17+I18</f>
        <v>909.031213588028</v>
      </c>
      <c r="J19" s="0" t="n">
        <f aca="false">J15+J16+J17+J18</f>
        <v>955.93155934362</v>
      </c>
      <c r="K19" s="0" t="n">
        <f aca="false">K15+K16+K17+K18</f>
        <v>997.225758228126</v>
      </c>
      <c r="L19" s="0" t="n">
        <f aca="false">L15+L16+L17+L18</f>
        <v>1033.73355143426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477.071286697778</v>
      </c>
      <c r="D21" s="0" t="n">
        <f aca="false">D19*D20</f>
        <v>492.196409359314</v>
      </c>
      <c r="E21" s="0" t="n">
        <f aca="false">E19*E20</f>
        <v>513.152757831725</v>
      </c>
      <c r="F21" s="0" t="n">
        <f aca="false">F19*F20</f>
        <v>531.568985278539</v>
      </c>
      <c r="G21" s="0" t="n">
        <f aca="false">G19*G20</f>
        <v>547.048267015695</v>
      </c>
      <c r="H21" s="0" t="n">
        <f aca="false">H19*H20</f>
        <v>542.163562534632</v>
      </c>
      <c r="I21" s="0" t="n">
        <f aca="false">I19*I20</f>
        <v>530.410982122096</v>
      </c>
      <c r="J21" s="0" t="n">
        <f aca="false">J19*J20</f>
        <v>516.460077226812</v>
      </c>
      <c r="K21" s="0" t="n">
        <f aca="false">K19*K20</f>
        <v>498.861155550506</v>
      </c>
      <c r="L21" s="0" t="n">
        <f aca="false">L19*L20</f>
        <v>478.818649439003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5127.7521330561</v>
      </c>
    </row>
    <row r="31" customFormat="false" ht="15" hidden="false" customHeight="false" outlineLevel="0" collapsed="false">
      <c r="A31" s="0" t="s">
        <v>136</v>
      </c>
      <c r="B31" s="0" t="n">
        <f aca="false">L19</f>
        <v>1033.73355143426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21294.9111595457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20674.6710286852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20674.6710286852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9576.37298878006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14704.1251218362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16444.3321218362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314.393119622142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0.410720271121522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314.393119622142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8872.87964981073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145.663177144806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170.212363371219</v>
      </c>
      <c r="C4" s="0" t="n">
        <f aca="false">B4/Assumptions!$B$2-1</f>
        <v>-0.23623636645778</v>
      </c>
      <c r="D4" s="4" t="n">
        <f aca="false">Assumptions!$B$24</f>
        <v>0.3</v>
      </c>
      <c r="E4" s="4" t="n">
        <f aca="false">DCF_Bear!$B$43</f>
        <v>170.212363371219</v>
      </c>
      <c r="F4" s="4" t="n">
        <f aca="false">DCF_Bear!$B$47</f>
        <v>99.6434362117248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270.478586106249</v>
      </c>
      <c r="C5" s="0" t="n">
        <f aca="false">B5/Assumptions!$B$2-1</f>
        <v>0.213670403420303</v>
      </c>
      <c r="D5" s="4" t="n">
        <f aca="false">Assumptions!$B$38</f>
        <v>0.5</v>
      </c>
      <c r="E5" s="4" t="n">
        <f aca="false">DCF_Base!$B$43</f>
        <v>270.478586106249</v>
      </c>
      <c r="F5" s="4" t="n">
        <f aca="false">DCF_Base!$B$47</f>
        <v>130.172662731153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314.393119622142</v>
      </c>
      <c r="C6" s="0" t="n">
        <f aca="false">B6/Assumptions!$B$2-1</f>
        <v>0.410720271121522</v>
      </c>
      <c r="D6" s="4" t="n">
        <f aca="false">Assumptions!$B$52</f>
        <v>0.2</v>
      </c>
      <c r="E6" s="4" t="n">
        <f aca="false">DCF_Bull!$B$43</f>
        <v>314.393119622142</v>
      </c>
      <c r="F6" s="4" t="n">
        <f aca="false">DCF_Bull!$B$47</f>
        <v>145.663177144806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249.181625988919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249.181625988919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0.105632290841898</v>
      </c>
    </row>
    <row r="11" customFormat="false" ht="15" hidden="false" customHeight="false" outlineLevel="0" collapsed="false">
      <c r="A11" s="0" t="s">
        <v>163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124.111997658055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270.478586106249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233.470204264754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203.842783523571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181.665435416087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164.452425480857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130.172662731153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310.778383333254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310.778383333254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310.778383333254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310.778383333254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310.778383333254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289.659452475937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289.659452475937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289.659452475937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289.659452475937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289.659452475937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247.759688867558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260.151814634117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270.478586106249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270.478586106249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270.478586106249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215.546995001315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223.819245430595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233.470204264754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244.875882886943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253.037744653279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191.461052825976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197.239193818187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203.842783523571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211.462310106705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220.35175778703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2026-09-28T07:57:20Z</dcterms:created>
  <dc:creator>openpyxl</dc:creator>
  <dc:description/>
  <dc:language>en-NZ</dc:language>
  <cp:lastModifiedBy/>
  <dcterms:modified xsi:type="dcterms:W3CDTF">2026-09-28T07:57:20Z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