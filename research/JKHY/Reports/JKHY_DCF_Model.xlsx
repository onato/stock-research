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<sst xmlns="http://schemas.openxmlformats.org/spreadsheetml/2006/main" count="387" uniqueCount="174">
  <si>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</si>
  <si>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JKHY</t>
  </si>
  <si>
    <t xml:space="preserve">Company</t>
  </si>
  <si>
    <t xml:space="preserve">Jack Henry &amp; Associates,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</si>
  <si>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</si>
  <si>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</si>
  <si>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</si>
  <si>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</si>
  <si>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2026-09-28T20:00:01Z regular close (Yahoo Finance chart API); 52-week range 121.04-193.39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</si>
  <si>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</si>
  <si>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</si>
  <si>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</si>
  <si>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</si>
  <si>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</si>
  <si>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</si>
  <si>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</si>
  <si>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</si>
  <si>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</si>
  <si>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</si>
  <si>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</si>
  <si>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</si>
  <si>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2026-09-28T22:17:38Z</t>
  </si>
  <si>
    <t xml:space="preserve">Drivers file</t>
  </si>
  <si>
    <t xml:space="preserve">JKHY_Drivers.json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</si>
  <si>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</si>
  <si>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</si>
  <si>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</si>
  <si>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Jack Henry as a stream of owner free cash flow after fully expensing SBC and after treating capitalised software development ($184M, 7.2% of revenue) and deferred onboarding costs as the real reinvestment they are. The FY2026 base year must be normalised: strip the ~$111M Section 174 cash-tax timing benefit and the $32.8M asset-sale proceeds, which together turn the company's 108% FCF-to-net-income conversion into ~71% on an owner basis. The result is a low-risk compounder whose fair value rests on 6% growth compounding into 30bp/yr of margin expansion for a decade; at an 8% WACC and a 20x terminal cap the base case lands near the current price, and the 15% hurdle entry price sits well below it, as it should for a business the market discounts at ~8%.
key_risks_to_valuation: Bank/credit-union consolidation: ~3%/yr fewer institutions; client losses via M&amp;A are only partly offset by deconversion fees (FY26 $42.8M, guided down to $23M).; Competitive pricing on core renewals from Fiserv/FIS and digital-first entrants (Alkami, Q2, nCino); the record FY2026 win rate may be a cyclical peak.; JH Platform / public-cloud migration: capitalised software has risen from 5.5% to 7.2% of revenue; if the base case taper to 9% total capex does not occur, ~$25M/yr of owner FCF is lost by year 10.; Cash tax normalisation: FY2026 cash taxes were 6% of pre-tax income; the model assumes 22.5% from year 1. Any reader anchoring on FY2026 OCF ($762M) overstates the run-rate by ~$110M.; Margin expansion cadence: management guided FY2027 GAAP operating margin DOWN (24.5-24.7% vs 25.0%) on tough H1 comparisons; the base case assumes the 30bp/yr expansion resumes from year 2.; Deferred contract costs: the -40% working-capital capture is an average of three volatile years (-84%, -32%, -51% of the revenue increase); a return to FY2024's rate would cut owner FCF by ~$70M/yr.; Terminal value is ~65% of enterprise value at a 20x cap; at 15x the base value falls roughly a fifth.</t>
  </si>
  <si>
    <t xml:space="preserve">Data sources</t>
  </si>
  <si>
    <t xml:space="preserve">price: Yahoo Finance chart API regular close at inputs.price_as_of; 52-week range 121.04-193.39.
financials: FY2026 Form 10-K (filed 2026-08-28) via SEC XBRL companyfacts (CIK 779152): revenue, operating income, depreciation $42.1M, amortisation $171.1M, OCF $762.0M, PP&amp;E capex $67.1M, PaymentsToDevelopSoftware $184.2M, PaymentsToAcquireSoftware $4.1M, ShareBasedCompensation $32.5M, equity-award tax withholding $7.2M, IncomeTaxesPaidNet $38.9M vs expense $150.0M, cash $12.1M and $40.0M revolver at 2026-06-30, diluted weighted shares 72.04M, cover-page shares 70.11M at 2026-08-12, buybacks $448.2M, dividends $170.4M. History from research/JKHY/Reports/JKHY_Metrics.csv (core_metrics, XBRL-sourced). Q4 FY26 press release (8-K EX-99.1, 2026-08-18) for FY2027 guidance, the non-GAAP FCF definition and deconversion revenue.
qualitative: No JKHY_Analysis.json existed at build time (generated in parallel). Business context from the FY2026 10-K, the Q4 FY26 press release (58 competitive core wins, 14 above $1B assets; faster-payments revenue +47%; card +6%; Banno digital +8.6-11.6%), info.json business summary, and the analyst's knowledge of the US core-processing market (Fiserv, FIS, Finastra, Alkami, Q2, nCino).</t>
  </si>
  <si>
    <t xml:space="preserve">Scenario narrative: bear</t>
  </si>
  <si>
    <t xml:space="preserve">Consolidation is the axis: US bank and credit-union counts fall 3-4%/yr, and the acquirers are disproportionately on Fiserv/FIS/in-house cores, so deconversion income becomes attrition without replacement. Fiserv's post-2025 pricing aggression on renewals and neo-core entrants (Finxact/Fiserv, Alkami/Q2 on digital, nCino on lending) cap price. Growth fades to 2.5-3%, margin slips to 32% EBITDA as the public-cloud migration raises hosting cost without a price offset, capitalised software stays at 10% of revenue with capex above D&amp;A indefinitely, and the market re-rates the business as a low-growth processor (15x terminal cap). No solvency question -- net debt is $28M -- so the bear case is a value trap, not a distress case.</t>
  </si>
  <si>
    <t xml:space="preserve">Scenario narrative: base</t>
  </si>
  <si>
    <t xml:space="preserve">Jack Henry keeps doing what it has done for a decade: 6-7% underlying revenue growth from a ~7,500-institution base that is shrinking ~3%/yr by count but growing in assets per client, with wallet share rising through Banno digital, card and faster-payments (PayCenter/FedNow/RTP) attach, and private-to-public cloud hosting migration. Year 1 follows FY2027 guidance (GAAP +5.5-6.5%, operating margin 24.5-24.7%, EPS $7.33-7.38); years 2-4 lift to 6-6.5% as the record FY2026 core-win cohort (58 competitive wins, 14 above $1B in assets) goes live. EBITDA margin expands 30bp/yr to 35% by year 7 as hosting mix and scale offset personnel inflation; capitalised software eases from 7.2% toward 6% of revenue after the JH Platform build peaks; deferred onboarding costs keep absorbing ~40% of each incremental revenue dollar. Owner-FCF margin rises from ~14.5% to ~17.5%. Buybacks hold the count flat; the dividend (~$2.40/share, 34% payout) is inside the flows.</t>
  </si>
  <si>
    <t xml:space="preserve">Scenario narrative: bull</t>
  </si>
  <si>
    <t xml:space="preserve">The JH Platform (cloud-native, componentised core) becomes the default replacement core for $1-50B community and regional institutions that Fiserv and FIS are losing on service, and the FY2026 win rate is the start of a share-gain cycle rather than a peak. Growth runs 7-8% for four years (back to and above the 7.7% five-year CAGR), faster payments and card processing add Payments-segment mix (already the largest segment at ~37% of revenue, ~44% segment margin), Banno active users keep compounding at double digits, and public-cloud hosting lifts gross margin. EBITDA margin reaches 37% (operating margin ~28%) with capex falling to 8.5% of revenue as the platform build completes. Capital returns continue at the FY2026 pace ($448M buybacks on a stock the company itself judged cheap at $140-152).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</si>
  <si>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</si>
  <si>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</si>
  <si>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</si>
  <si>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</si>
  <si>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</si>
  <si>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</si>
  <si>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</si>
  <si>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</si>
  <si>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</si>
  <si>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</si>
  <si>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</si>
  <si>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</si>
  <si>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</si>
  <si>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</si>
  <si>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</si>
  <si>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</si>
  <si>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</si>
  <si>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</si>
  <si>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</si>
  <si>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</si>
  <si>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</si>
  <si>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</si>
  <si>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</si>
  <si>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</si>
  <si>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</si>
  <si>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</si>
  <si>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</si>
  <si>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</si>
  <si>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</si>
  <si>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</si>
  <si>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</si>
  <si>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</si>
  <si>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</si>
  <si>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</si>
  <si>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</si>
  <si>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</si>
  <si>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</si>
  <si>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</si>
  <si>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</si>
  <si>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</si>
  <si>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</si>
  <si>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</si>
  <si>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</si>
  <si>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</si>
  <si>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</si>
  <si>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</si>
  <si>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</si>
  <si>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</si>
  <si>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</si>
  <si>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</si>
  <si>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</si>
  <si>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</si>
  <si>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</si>
  <si>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</si>
  <si>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</si>
  <si>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</si>
  <si>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</si>
  <si>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</si>
  <si>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</si>
  <si>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</si>
  <si>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</si>
  <si>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</si>
  <si>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</si>
  <si>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</si>
  <si>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</si>
  <si>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</si>
  <si>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</si>
  <si>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</si>
  <si>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</si>
  <si>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</si>
  <si>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</si>
  <si>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</si>
  <si>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</si>
  <si>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</si>
  <si>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</si>
  <si>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</si>
  <si>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</si>
  <si>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</si>
  <si>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</si>
  <si>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</si>
  <si>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</si>
  <si>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</si>
  <si>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</si>
  <si>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JKHY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</si>
  <si>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</si>
  <si>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</si>
  <si>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</si>
  <si>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</si>
  <si>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</si>
  <si>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</si>
  <si>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</si>
  <si>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</si>
  <si>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</si>
  <si>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</si>
  <si>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</si>
  <si>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</si>
  <si>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</si>
  <si>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</si>
  <si>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</si>
  <si>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</si>
  <si>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</si>
  <si>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</si>
  <si>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</si>
  <si>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</si>
  <si>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</si>
  <si>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</si>
  <si>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</si>
  <si>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</si>
  <si>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</si>
  <si>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</si>
  <si>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</si>
  <si>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</si>
  <si>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</si>
  <si>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</si>
  <si>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JKHY owner-FCF component DCF: base case (millions, USD)</t>
  </si>
  <si>
    <t xml:space="preserve">JKHY owner-FCF component DCF: bull case (millions, USD)</t>
  </si>
  <si>
    <t xml:space="preserve">JKHY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</si>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</sst>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147.82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601.451</v>
      </c>
      <c r="S2" s="0" t="n">
        <v>65.565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745.593</v>
      </c>
      <c r="C3" s="0" t="n">
        <v>446.194</v>
      </c>
      <c r="D3" s="0" t="n">
        <v>299.399</v>
      </c>
      <c r="E3" s="0" t="n">
        <v>40.1558222783744</v>
      </c>
      <c r="F3" s="0" t="n">
        <v>157.886</v>
      </c>
      <c r="G3" s="0" t="n">
        <v>21.1758962329314</v>
      </c>
      <c r="I3" s="0" t="n">
        <v>103.102</v>
      </c>
      <c r="J3" s="0" t="n">
        <v>13.8281877646384</v>
      </c>
      <c r="K3" s="0" t="n">
        <v>1.23</v>
      </c>
      <c r="L3" s="0" t="n">
        <v>206.588</v>
      </c>
      <c r="M3" s="0" t="n">
        <v>31.562</v>
      </c>
      <c r="N3" s="0" t="n">
        <v>175.026</v>
      </c>
      <c r="O3" s="0" t="n">
        <v>626.506</v>
      </c>
      <c r="S3" s="0" t="n">
        <v>118.251</v>
      </c>
      <c r="T3" s="0" t="n">
        <v>84.83</v>
      </c>
      <c r="U3" s="0" t="n">
        <v>2.272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836.586</v>
      </c>
      <c r="C4" s="0" t="n">
        <v>491.466</v>
      </c>
      <c r="D4" s="0" t="n">
        <v>345.12</v>
      </c>
      <c r="E4" s="0" t="n">
        <v>41.2533798079337</v>
      </c>
      <c r="F4" s="0" t="n">
        <v>182.253</v>
      </c>
      <c r="G4" s="0" t="n">
        <v>21.7853275096643</v>
      </c>
      <c r="I4" s="0" t="n">
        <v>117.87</v>
      </c>
      <c r="J4" s="0" t="n">
        <v>14.0894062296046</v>
      </c>
      <c r="K4" s="0" t="n">
        <v>1.39</v>
      </c>
      <c r="L4" s="0" t="n">
        <v>218.698</v>
      </c>
      <c r="M4" s="0" t="n">
        <v>54.509</v>
      </c>
      <c r="N4" s="0" t="n">
        <v>164.189</v>
      </c>
      <c r="O4" s="0" t="n">
        <v>750.372</v>
      </c>
      <c r="P4" s="0" t="n">
        <v>1560.56</v>
      </c>
      <c r="Q4" s="0" t="n">
        <v>810.188</v>
      </c>
      <c r="R4" s="0" t="n">
        <v>105.963</v>
      </c>
      <c r="S4" s="0" t="n">
        <v>125.518</v>
      </c>
      <c r="T4" s="0" t="n">
        <v>85.381</v>
      </c>
      <c r="U4" s="0" t="n">
        <v>3.251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966.897</v>
      </c>
      <c r="C5" s="0" t="n">
        <v>567.563</v>
      </c>
      <c r="D5" s="0" t="n">
        <v>399.334</v>
      </c>
      <c r="E5" s="0" t="n">
        <v>41.3005728635005</v>
      </c>
      <c r="F5" s="0" t="n">
        <v>216.317</v>
      </c>
      <c r="G5" s="0" t="n">
        <v>22.3722899129897</v>
      </c>
      <c r="I5" s="0" t="n">
        <v>137.471</v>
      </c>
      <c r="J5" s="0" t="n">
        <v>14.2177501843526</v>
      </c>
      <c r="K5" s="0" t="n">
        <v>1.6</v>
      </c>
      <c r="L5" s="0" t="n">
        <v>240.132</v>
      </c>
      <c r="M5" s="0" t="n">
        <v>32.085</v>
      </c>
      <c r="N5" s="0" t="n">
        <v>208.047</v>
      </c>
      <c r="O5" s="0" t="n">
        <v>879.776</v>
      </c>
      <c r="P5" s="0" t="n">
        <v>1505.797</v>
      </c>
      <c r="Q5" s="0" t="n">
        <v>626.021</v>
      </c>
      <c r="R5" s="0" t="n">
        <v>177.107</v>
      </c>
      <c r="S5" s="0" t="n">
        <v>63.125</v>
      </c>
      <c r="T5" s="0" t="n">
        <v>86.687</v>
      </c>
      <c r="U5" s="0" t="n">
        <v>4.723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1027.109</v>
      </c>
      <c r="C6" s="0" t="n">
        <v>603.379</v>
      </c>
      <c r="D6" s="0" t="n">
        <v>423.73</v>
      </c>
      <c r="E6" s="0" t="n">
        <v>41.2546282819058</v>
      </c>
      <c r="F6" s="0" t="n">
        <v>236.235</v>
      </c>
      <c r="G6" s="0" t="n">
        <v>22.9999931847545</v>
      </c>
      <c r="I6" s="0" t="n">
        <v>154.984</v>
      </c>
      <c r="J6" s="0" t="n">
        <v>15.0893430005968</v>
      </c>
      <c r="K6" s="0" t="n">
        <v>1.79</v>
      </c>
      <c r="L6" s="0" t="n">
        <v>264.55</v>
      </c>
      <c r="M6" s="0" t="n">
        <v>41.441</v>
      </c>
      <c r="N6" s="0" t="n">
        <v>223.109</v>
      </c>
      <c r="O6" s="0" t="n">
        <v>983.056</v>
      </c>
      <c r="P6" s="0" t="n">
        <v>1619.492</v>
      </c>
      <c r="Q6" s="0" t="n">
        <v>636.436</v>
      </c>
      <c r="R6" s="0" t="n">
        <v>156.966</v>
      </c>
      <c r="S6" s="0" t="n">
        <v>157.313</v>
      </c>
      <c r="T6" s="0" t="n">
        <v>87.287</v>
      </c>
      <c r="U6" s="0" t="n">
        <v>6.95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1107.524</v>
      </c>
      <c r="C7" s="0" t="n">
        <v>646.13</v>
      </c>
      <c r="D7" s="0" t="n">
        <v>461.394</v>
      </c>
      <c r="E7" s="0" t="n">
        <v>41.6599549987179</v>
      </c>
      <c r="F7" s="0" t="n">
        <v>250.757</v>
      </c>
      <c r="G7" s="0" t="n">
        <v>22.6412249305658</v>
      </c>
      <c r="I7" s="0" t="n">
        <v>167.61</v>
      </c>
      <c r="J7" s="0" t="n">
        <v>15.1337578237582</v>
      </c>
      <c r="K7" s="0" t="n">
        <v>1.95</v>
      </c>
      <c r="L7" s="0" t="n">
        <v>309.174</v>
      </c>
      <c r="M7" s="0" t="n">
        <v>46.256</v>
      </c>
      <c r="N7" s="0" t="n">
        <v>262.918</v>
      </c>
      <c r="O7" s="0" t="n">
        <v>1015.816</v>
      </c>
      <c r="P7" s="0" t="n">
        <v>1629.155</v>
      </c>
      <c r="Q7" s="0" t="n">
        <v>556.986</v>
      </c>
      <c r="R7" s="0" t="n">
        <v>22.21</v>
      </c>
      <c r="S7" s="0" t="n">
        <v>127.905</v>
      </c>
      <c r="T7" s="0" t="n">
        <v>86.619</v>
      </c>
      <c r="U7" s="0" t="n">
        <v>8.615</v>
      </c>
      <c r="V7" s="0" t="n">
        <v>0.56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1173.173</v>
      </c>
      <c r="C8" s="0" t="n">
        <v>679.372</v>
      </c>
      <c r="D8" s="0" t="n">
        <v>493.801</v>
      </c>
      <c r="E8" s="0" t="n">
        <v>42.0910641482544</v>
      </c>
      <c r="F8" s="0" t="n">
        <v>288.298</v>
      </c>
      <c r="G8" s="0" t="n">
        <v>24.5742102827119</v>
      </c>
      <c r="I8" s="0" t="n">
        <v>186.715</v>
      </c>
      <c r="J8" s="0" t="n">
        <v>15.9153850284655</v>
      </c>
      <c r="K8" s="0" t="n">
        <v>2.2</v>
      </c>
      <c r="L8" s="0" t="n">
        <v>341.659</v>
      </c>
      <c r="M8" s="0" t="n">
        <v>33.185</v>
      </c>
      <c r="N8" s="0" t="n">
        <v>308.474</v>
      </c>
      <c r="O8" s="0" t="n">
        <v>967.387</v>
      </c>
      <c r="P8" s="0" t="n">
        <v>1680.703</v>
      </c>
      <c r="Q8" s="0" t="n">
        <v>713.316</v>
      </c>
      <c r="R8" s="0" t="n">
        <v>13.164</v>
      </c>
      <c r="S8" s="0" t="n">
        <v>70.377</v>
      </c>
      <c r="T8" s="0" t="n">
        <v>85.396</v>
      </c>
      <c r="U8" s="0" t="n">
        <v>10.091</v>
      </c>
      <c r="V8" s="0" t="n">
        <v>0.84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1256.19</v>
      </c>
      <c r="C9" s="0" t="n">
        <v>720.336</v>
      </c>
      <c r="D9" s="0" t="n">
        <v>535.854</v>
      </c>
      <c r="E9" s="0" t="n">
        <v>42.6570821292957</v>
      </c>
      <c r="F9" s="0" t="n">
        <v>317.865</v>
      </c>
      <c r="G9" s="0" t="n">
        <v>25.3038951114083</v>
      </c>
      <c r="I9" s="0" t="n">
        <v>211.221</v>
      </c>
      <c r="J9" s="0" t="n">
        <v>16.8144150168366</v>
      </c>
      <c r="K9" s="0" t="n">
        <v>2.6</v>
      </c>
      <c r="L9" s="0" t="n">
        <v>373.79</v>
      </c>
      <c r="M9" s="0" t="n">
        <v>54.409</v>
      </c>
      <c r="N9" s="0" t="n">
        <v>319.381</v>
      </c>
      <c r="O9" s="0" t="n">
        <v>991.534</v>
      </c>
      <c r="P9" s="0" t="n">
        <v>1836.835</v>
      </c>
      <c r="Q9" s="0" t="n">
        <v>845.301</v>
      </c>
      <c r="R9" s="0" t="n">
        <v>52.697</v>
      </c>
      <c r="S9" s="0" t="n">
        <v>148.313</v>
      </c>
      <c r="T9" s="0" t="n">
        <v>81.601</v>
      </c>
      <c r="U9" s="0" t="n">
        <v>10.112</v>
      </c>
      <c r="V9" s="0" t="n">
        <v>0.94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1354.646</v>
      </c>
      <c r="C10" s="0" t="n">
        <v>773.651</v>
      </c>
      <c r="D10" s="0" t="n">
        <v>580.995</v>
      </c>
      <c r="E10" s="0" t="n">
        <v>42.8890647445901</v>
      </c>
      <c r="F10" s="0" t="n">
        <v>361.659</v>
      </c>
      <c r="G10" s="0" t="n">
        <v>26.6976759980098</v>
      </c>
      <c r="I10" s="0" t="n">
        <v>248.867</v>
      </c>
      <c r="J10" s="0" t="n">
        <v>18.3713678702776</v>
      </c>
      <c r="K10" s="0" t="n">
        <v>3.13</v>
      </c>
      <c r="L10" s="0" t="n">
        <v>366.422</v>
      </c>
      <c r="M10" s="0" t="n">
        <v>56.325</v>
      </c>
      <c r="N10" s="0" t="n">
        <v>310.097</v>
      </c>
      <c r="O10" s="0" t="n">
        <v>996.21</v>
      </c>
      <c r="P10" s="0" t="n">
        <v>1815.512</v>
      </c>
      <c r="Q10" s="0" t="n">
        <v>819.302</v>
      </c>
      <c r="R10" s="0" t="n">
        <v>0.2</v>
      </c>
      <c r="S10" s="0" t="n">
        <v>70.31</v>
      </c>
      <c r="T10" s="0" t="n">
        <v>79.734</v>
      </c>
      <c r="U10" s="0" t="n">
        <v>10.72</v>
      </c>
      <c r="V10" s="0" t="n">
        <v>1.06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1388.29</v>
      </c>
      <c r="C11" s="0" t="n">
        <v>805.855</v>
      </c>
      <c r="D11" s="0" t="n">
        <v>612.083</v>
      </c>
      <c r="E11" s="0" t="n">
        <v>44.0889871712683</v>
      </c>
      <c r="F11" s="0" t="n">
        <v>341.717</v>
      </c>
      <c r="G11" s="0" t="n">
        <v>24.6142376592787</v>
      </c>
      <c r="I11" s="0" t="n">
        <v>229.561</v>
      </c>
      <c r="J11" s="0" t="n">
        <v>16.5355221171369</v>
      </c>
      <c r="K11" s="0" t="n">
        <v>2.95</v>
      </c>
      <c r="L11" s="0" t="n">
        <v>357.322</v>
      </c>
      <c r="M11" s="0" t="n">
        <v>41.947</v>
      </c>
      <c r="N11" s="0" t="n">
        <v>315.375</v>
      </c>
      <c r="O11" s="0" t="n">
        <v>1099.693</v>
      </c>
      <c r="P11" s="0" t="n">
        <v>1908.945</v>
      </c>
      <c r="Q11" s="0" t="n">
        <v>876.894</v>
      </c>
      <c r="R11" s="0" t="n">
        <v>50</v>
      </c>
      <c r="S11" s="0" t="n">
        <v>114.765</v>
      </c>
      <c r="T11" s="0" t="n">
        <v>78.255</v>
      </c>
      <c r="U11" s="0" t="n">
        <v>11.129</v>
      </c>
      <c r="V11" s="0" t="n">
        <v>1.18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1470.797</v>
      </c>
      <c r="C12" s="0" t="n">
        <v>853.138</v>
      </c>
      <c r="F12" s="0" t="n">
        <v>357.503</v>
      </c>
      <c r="G12" s="0" t="n">
        <v>24.3067534132855</v>
      </c>
      <c r="I12" s="0" t="n">
        <v>365.034</v>
      </c>
      <c r="J12" s="0" t="n">
        <v>24.8187887247526</v>
      </c>
      <c r="K12" s="0" t="n">
        <v>4.73</v>
      </c>
      <c r="L12" s="0" t="n">
        <v>412.142</v>
      </c>
      <c r="M12" s="0" t="n">
        <v>40.135</v>
      </c>
      <c r="N12" s="0" t="n">
        <v>372.007</v>
      </c>
      <c r="O12" s="0" t="n">
        <v>1322.844</v>
      </c>
      <c r="P12" s="0" t="n">
        <v>2033.058</v>
      </c>
      <c r="Q12" s="0" t="n">
        <v>710.214</v>
      </c>
      <c r="R12" s="0" t="n">
        <v>0</v>
      </c>
      <c r="S12" s="0" t="n">
        <v>31.44</v>
      </c>
      <c r="T12" s="0" t="n">
        <v>77.585</v>
      </c>
      <c r="U12" s="0" t="n">
        <v>11.758</v>
      </c>
      <c r="V12" s="0" t="n">
        <v>1.36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1552.691</v>
      </c>
      <c r="C13" s="0" t="n">
        <v>923.03</v>
      </c>
      <c r="F13" s="0" t="n">
        <v>347.285</v>
      </c>
      <c r="G13" s="0" t="n">
        <v>22.3666524762493</v>
      </c>
      <c r="I13" s="0" t="n">
        <v>271.885</v>
      </c>
      <c r="J13" s="0" t="n">
        <v>17.510567137956</v>
      </c>
      <c r="K13" s="0" t="n">
        <v>3.52</v>
      </c>
      <c r="L13" s="0" t="n">
        <v>431.128</v>
      </c>
      <c r="M13" s="0" t="n">
        <v>53.598</v>
      </c>
      <c r="N13" s="0" t="n">
        <v>377.53</v>
      </c>
      <c r="O13" s="0" t="n">
        <v>1429.013</v>
      </c>
      <c r="P13" s="0" t="n">
        <v>2184.829</v>
      </c>
      <c r="Q13" s="0" t="n">
        <v>755.816</v>
      </c>
      <c r="R13" s="0" t="n">
        <v>0</v>
      </c>
      <c r="S13" s="0" t="n">
        <v>93.628</v>
      </c>
      <c r="T13" s="0" t="n">
        <v>77.347</v>
      </c>
      <c r="U13" s="0" t="n">
        <v>12.589</v>
      </c>
      <c r="V13" s="0" t="n">
        <v>1.54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1697.067</v>
      </c>
      <c r="C14" s="0" t="n">
        <v>1008.464</v>
      </c>
      <c r="F14" s="0" t="n">
        <v>380.627</v>
      </c>
      <c r="G14" s="0" t="n">
        <v>22.4285193218653</v>
      </c>
      <c r="I14" s="0" t="n">
        <v>296.668</v>
      </c>
      <c r="J14" s="0" t="n">
        <v>17.4812190679567</v>
      </c>
      <c r="K14" s="0" t="n">
        <v>3.86</v>
      </c>
      <c r="L14" s="0" t="n">
        <v>510.532</v>
      </c>
      <c r="M14" s="0" t="n">
        <v>53.538</v>
      </c>
      <c r="N14" s="0" t="n">
        <v>456.994</v>
      </c>
      <c r="O14" s="0" t="n">
        <v>1549.688</v>
      </c>
      <c r="P14" s="0" t="n">
        <v>2428.474</v>
      </c>
      <c r="Q14" s="0" t="n">
        <v>878.786</v>
      </c>
      <c r="R14" s="0" t="n">
        <v>0.208</v>
      </c>
      <c r="S14" s="0" t="n">
        <v>213.345</v>
      </c>
      <c r="T14" s="0" t="n">
        <v>76.934</v>
      </c>
      <c r="U14" s="0" t="n">
        <v>16.883</v>
      </c>
      <c r="V14" s="0" t="n">
        <v>1.66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1758.225</v>
      </c>
      <c r="C15" s="0" t="n">
        <v>1063.399</v>
      </c>
      <c r="F15" s="0" t="n">
        <v>398.719</v>
      </c>
      <c r="G15" s="0" t="n">
        <v>22.6773592685805</v>
      </c>
      <c r="I15" s="0" t="n">
        <v>311.469</v>
      </c>
      <c r="J15" s="0" t="n">
        <v>17.7149682207909</v>
      </c>
      <c r="K15" s="0" t="n">
        <v>4.12</v>
      </c>
      <c r="L15" s="0" t="n">
        <v>462.129</v>
      </c>
      <c r="M15" s="0" t="n">
        <v>22.988</v>
      </c>
      <c r="N15" s="0" t="n">
        <v>439.141</v>
      </c>
      <c r="O15" s="0" t="n">
        <v>1319.292</v>
      </c>
      <c r="P15" s="0" t="n">
        <v>2336.156</v>
      </c>
      <c r="Q15" s="0" t="n">
        <v>1016.864</v>
      </c>
      <c r="R15" s="0" t="n">
        <v>100.083</v>
      </c>
      <c r="S15" s="0" t="n">
        <v>50.992</v>
      </c>
      <c r="T15" s="0" t="n">
        <v>75.658</v>
      </c>
      <c r="U15" s="0" t="n">
        <v>20.746</v>
      </c>
      <c r="V15" s="0" t="n">
        <v>1.78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1942.884</v>
      </c>
      <c r="C16" s="0" t="n">
        <v>1128.614</v>
      </c>
      <c r="F16" s="0" t="n">
        <v>474.619</v>
      </c>
      <c r="G16" s="0" t="n">
        <v>24.4285814284332</v>
      </c>
      <c r="I16" s="0" t="n">
        <v>362.916</v>
      </c>
      <c r="J16" s="0" t="n">
        <v>18.6792417869518</v>
      </c>
      <c r="K16" s="0" t="n">
        <v>4.95</v>
      </c>
      <c r="L16" s="0" t="n">
        <v>504.631</v>
      </c>
      <c r="M16" s="0" t="n">
        <v>34.659</v>
      </c>
      <c r="N16" s="0" t="n">
        <v>469.972</v>
      </c>
      <c r="O16" s="0" t="n">
        <v>1381.623</v>
      </c>
      <c r="P16" s="0" t="n">
        <v>2455.564</v>
      </c>
      <c r="Q16" s="0" t="n">
        <v>1073.941</v>
      </c>
      <c r="R16" s="0" t="n">
        <v>115</v>
      </c>
      <c r="S16" s="0" t="n">
        <v>48.787</v>
      </c>
      <c r="T16" s="0" t="n">
        <v>73.486</v>
      </c>
      <c r="U16" s="0" t="n">
        <v>24.78</v>
      </c>
      <c r="V16" s="0" t="n">
        <v>1.9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2077.702</v>
      </c>
      <c r="C17" s="0" t="n">
        <v>1219.062</v>
      </c>
      <c r="F17" s="0" t="n">
        <v>480.688</v>
      </c>
      <c r="G17" s="0" t="n">
        <v>23.135560345035</v>
      </c>
      <c r="I17" s="0" t="n">
        <v>366.646</v>
      </c>
      <c r="J17" s="0" t="n">
        <v>17.6467077569353</v>
      </c>
      <c r="K17" s="0" t="n">
        <v>5.03</v>
      </c>
      <c r="L17" s="0" t="n">
        <v>381.559</v>
      </c>
      <c r="M17" s="0" t="n">
        <v>39.179</v>
      </c>
      <c r="N17" s="0" t="n">
        <v>342.38</v>
      </c>
      <c r="O17" s="0" t="n">
        <v>1608.51</v>
      </c>
      <c r="P17" s="0" t="n">
        <v>2773.826</v>
      </c>
      <c r="Q17" s="0" t="n">
        <v>1165.316</v>
      </c>
      <c r="R17" s="0" t="n">
        <v>275</v>
      </c>
      <c r="S17" s="0" t="n">
        <v>12.243</v>
      </c>
      <c r="T17" s="0" t="n">
        <v>73.096</v>
      </c>
      <c r="U17" s="0" t="n">
        <v>28.611</v>
      </c>
      <c r="V17" s="0" t="n">
        <v>2.02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2215.543</v>
      </c>
      <c r="C18" s="0" t="n">
        <v>1299.477</v>
      </c>
      <c r="F18" s="0" t="n">
        <v>489.391</v>
      </c>
      <c r="G18" s="0" t="n">
        <v>22.0889867630644</v>
      </c>
      <c r="I18" s="0" t="n">
        <v>381.816</v>
      </c>
      <c r="J18" s="0" t="n">
        <v>17.2335179231457</v>
      </c>
      <c r="K18" s="0" t="n">
        <v>5.24</v>
      </c>
      <c r="L18" s="0" t="n">
        <v>568.041</v>
      </c>
      <c r="M18" s="0" t="n">
        <v>58.118</v>
      </c>
      <c r="N18" s="0" t="n">
        <v>509.923</v>
      </c>
      <c r="O18" s="0" t="n">
        <v>1842.364</v>
      </c>
      <c r="P18" s="0" t="n">
        <v>2924.481</v>
      </c>
      <c r="Q18" s="0" t="n">
        <v>1082.117</v>
      </c>
      <c r="R18" s="0" t="n">
        <v>150</v>
      </c>
      <c r="S18" s="0" t="n">
        <v>38.284</v>
      </c>
      <c r="T18" s="0" t="n">
        <v>73.025</v>
      </c>
      <c r="U18" s="0" t="n">
        <v>28.873</v>
      </c>
      <c r="V18" s="0" t="n">
        <v>2.14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2375.288</v>
      </c>
      <c r="C19" s="0" t="n">
        <v>1360.747</v>
      </c>
      <c r="F19" s="0" t="n">
        <v>568.715</v>
      </c>
      <c r="G19" s="0" t="n">
        <v>23.9429913341035</v>
      </c>
      <c r="I19" s="0" t="n">
        <v>455.748</v>
      </c>
      <c r="J19" s="0" t="n">
        <v>19.1870627898596</v>
      </c>
      <c r="K19" s="0" t="n">
        <v>6.25</v>
      </c>
      <c r="L19" s="0" t="n">
        <v>641.504</v>
      </c>
      <c r="M19" s="0" t="n">
        <v>53.358</v>
      </c>
      <c r="N19" s="0" t="n">
        <v>588.146</v>
      </c>
      <c r="O19" s="0" t="n">
        <v>2130.832</v>
      </c>
      <c r="P19" s="0" t="n">
        <v>3043.97</v>
      </c>
      <c r="Q19" s="0" t="n">
        <v>913.138</v>
      </c>
      <c r="R19" s="0" t="n">
        <v>0</v>
      </c>
      <c r="S19" s="0" t="n">
        <v>101.953</v>
      </c>
      <c r="T19" s="0" t="n">
        <v>73.045</v>
      </c>
      <c r="U19" s="0" t="n">
        <v>28.392</v>
      </c>
      <c r="V19" s="0" t="n">
        <v>2.26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2544.339</v>
      </c>
      <c r="C20" s="0" t="n">
        <v>1433.651</v>
      </c>
      <c r="F20" s="0" t="n">
        <v>635.033</v>
      </c>
      <c r="G20" s="0" t="n">
        <v>24.9586631341185</v>
      </c>
      <c r="I20" s="0" t="n">
        <v>502.776</v>
      </c>
      <c r="J20" s="0" t="n">
        <v>19.7605743574264</v>
      </c>
      <c r="K20" s="0" t="n">
        <v>7</v>
      </c>
      <c r="L20" s="0" t="n">
        <v>761.96</v>
      </c>
      <c r="M20" s="0" t="n">
        <v>67.103</v>
      </c>
      <c r="N20" s="0" t="n">
        <v>694.857</v>
      </c>
      <c r="O20" s="0" t="n">
        <v>2051.949</v>
      </c>
      <c r="P20" s="0" t="n">
        <v>3145.711</v>
      </c>
      <c r="Q20" s="0" t="n">
        <v>1093.762</v>
      </c>
      <c r="R20" s="0" t="n">
        <v>40</v>
      </c>
      <c r="T20" s="0" t="n">
        <v>72.043</v>
      </c>
      <c r="U20" s="0" t="n">
        <v>32.46</v>
      </c>
      <c r="V20" s="0" t="n">
        <v>2.38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147.82</v>
      </c>
    </row>
    <row r="3" customFormat="false" ht="15" hidden="false" customHeight="false" outlineLevel="0" collapsed="false">
      <c r="A3" s="0" t="s">
        <v>85</v>
      </c>
      <c r="B3" s="3" t="n">
        <v>70.3</v>
      </c>
    </row>
    <row r="4" customFormat="false" ht="15" hidden="false" customHeight="false" outlineLevel="0" collapsed="false">
      <c r="A4" s="0" t="s">
        <v>86</v>
      </c>
      <c r="B4" s="3" t="n">
        <v>27.9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2544.339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5</v>
      </c>
      <c r="D13" s="3" t="n">
        <v>4</v>
      </c>
      <c r="E13" s="3" t="n">
        <v>3.5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33</v>
      </c>
      <c r="D14" s="3" t="n">
        <v>32.5</v>
      </c>
      <c r="E14" s="3" t="n">
        <v>32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107</v>
      </c>
      <c r="C15" s="3" t="n">
        <v>1.6</v>
      </c>
      <c r="D15" s="3" t="n">
        <v>1.6</v>
      </c>
      <c r="E15" s="3" t="n">
        <v>1.6</v>
      </c>
      <c r="F15" s="3" t="n">
        <v>1.6</v>
      </c>
      <c r="G15" s="3" t="n">
        <v>1.6</v>
      </c>
      <c r="H15" s="3" t="n">
        <v>1.6</v>
      </c>
      <c r="I15" s="3" t="n">
        <v>1.6</v>
      </c>
      <c r="J15" s="3" t="n">
        <v>1.6</v>
      </c>
      <c r="K15" s="3" t="n">
        <v>1.6</v>
      </c>
      <c r="L15" s="3" t="n">
        <v>1.6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8.6</v>
      </c>
      <c r="D17" s="3" t="n">
        <v>8.7</v>
      </c>
      <c r="E17" s="3" t="n">
        <v>8.8</v>
      </c>
      <c r="F17" s="3" t="n">
        <v>8.8</v>
      </c>
      <c r="G17" s="3" t="n">
        <v>8.8</v>
      </c>
      <c r="H17" s="3" t="n">
        <v>8.8</v>
      </c>
      <c r="I17" s="3" t="n">
        <v>8.8</v>
      </c>
      <c r="J17" s="3" t="n">
        <v>8.8</v>
      </c>
      <c r="K17" s="3" t="n">
        <v>8.8</v>
      </c>
      <c r="L17" s="3" t="n">
        <v>8.8</v>
      </c>
    </row>
    <row r="18" customFormat="false" ht="15" hidden="false" customHeight="false" outlineLevel="0" collapsed="false">
      <c r="A18" s="0" t="s">
        <v>110</v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</v>
      </c>
      <c r="H18" s="3" t="n">
        <v>10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111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-40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</v>
      </c>
      <c r="D27" s="3" t="n">
        <v>6.5</v>
      </c>
      <c r="E27" s="3" t="n">
        <v>6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33.2</v>
      </c>
      <c r="D28" s="3" t="n">
        <v>33.5</v>
      </c>
      <c r="E28" s="3" t="n">
        <v>33.8</v>
      </c>
      <c r="F28" s="3" t="n">
        <v>34.1</v>
      </c>
      <c r="G28" s="3" t="n">
        <v>34.4</v>
      </c>
      <c r="H28" s="3" t="n">
        <v>34.7</v>
      </c>
      <c r="I28" s="3" t="n">
        <v>35</v>
      </c>
      <c r="J28" s="3" t="n">
        <v>35</v>
      </c>
      <c r="K28" s="3" t="n">
        <v>35</v>
      </c>
      <c r="L28" s="3" t="n">
        <v>35</v>
      </c>
    </row>
    <row r="29" customFormat="false" ht="15" hidden="false" customHeight="false" outlineLevel="0" collapsed="false">
      <c r="A29" s="0" t="s">
        <v>107</v>
      </c>
      <c r="C29" s="3" t="n">
        <v>1.55</v>
      </c>
      <c r="D29" s="3" t="n">
        <v>1.55</v>
      </c>
      <c r="E29" s="3" t="n">
        <v>1.55</v>
      </c>
      <c r="F29" s="3" t="n">
        <v>1.55</v>
      </c>
      <c r="G29" s="3" t="n">
        <v>1.55</v>
      </c>
      <c r="H29" s="3" t="n">
        <v>1.55</v>
      </c>
      <c r="I29" s="3" t="n">
        <v>1.55</v>
      </c>
      <c r="J29" s="3" t="n">
        <v>1.55</v>
      </c>
      <c r="K29" s="3" t="n">
        <v>1.55</v>
      </c>
      <c r="L29" s="3" t="n">
        <v>1.55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8.6</v>
      </c>
      <c r="D31" s="3" t="n">
        <v>8.6</v>
      </c>
      <c r="E31" s="3" t="n">
        <v>8.6</v>
      </c>
      <c r="F31" s="3" t="n">
        <v>8.6</v>
      </c>
      <c r="G31" s="3" t="n">
        <v>8.6</v>
      </c>
      <c r="H31" s="3" t="n">
        <v>8.6</v>
      </c>
      <c r="I31" s="3" t="n">
        <v>8.6</v>
      </c>
      <c r="J31" s="3" t="n">
        <v>8.6</v>
      </c>
      <c r="K31" s="3" t="n">
        <v>8.6</v>
      </c>
      <c r="L31" s="3" t="n">
        <v>8.6</v>
      </c>
    </row>
    <row r="32" customFormat="false" ht="15" hidden="false" customHeight="false" outlineLevel="0" collapsed="false">
      <c r="A32" s="0" t="s">
        <v>110</v>
      </c>
      <c r="C32" s="3" t="n">
        <v>10</v>
      </c>
      <c r="D32" s="3" t="n">
        <v>10</v>
      </c>
      <c r="E32" s="3" t="n">
        <v>9.8</v>
      </c>
      <c r="F32" s="3" t="n">
        <v>9.6</v>
      </c>
      <c r="G32" s="3" t="n">
        <v>9.5</v>
      </c>
      <c r="H32" s="3" t="n">
        <v>9.4</v>
      </c>
      <c r="I32" s="3" t="n">
        <v>9.3</v>
      </c>
      <c r="J32" s="3" t="n">
        <v>9.2</v>
      </c>
      <c r="K32" s="3" t="n">
        <v>9.1</v>
      </c>
      <c r="L32" s="3" t="n">
        <v>9</v>
      </c>
    </row>
    <row r="33" customFormat="false" ht="15" hidden="false" customHeight="false" outlineLevel="0" collapsed="false">
      <c r="A33" s="0" t="s">
        <v>111</v>
      </c>
      <c r="C33" s="3" t="n">
        <v>22.5</v>
      </c>
      <c r="D33" s="3" t="n">
        <v>22.5</v>
      </c>
      <c r="E33" s="3" t="n">
        <v>22.5</v>
      </c>
      <c r="F33" s="3" t="n">
        <v>22.5</v>
      </c>
      <c r="G33" s="3" t="n">
        <v>22.5</v>
      </c>
      <c r="H33" s="3" t="n">
        <v>22.5</v>
      </c>
      <c r="I33" s="3" t="n">
        <v>22.5</v>
      </c>
      <c r="J33" s="3" t="n">
        <v>22.5</v>
      </c>
      <c r="K33" s="3" t="n">
        <v>22.5</v>
      </c>
      <c r="L33" s="3" t="n">
        <v>22.5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-40</v>
      </c>
    </row>
    <row r="38" customFormat="false" ht="15" hidden="false" customHeight="false" outlineLevel="0" collapsed="false">
      <c r="A38" s="0" t="s">
        <v>116</v>
      </c>
      <c r="B38" s="3" t="n">
        <v>0.55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</v>
      </c>
      <c r="D41" s="3" t="n">
        <v>8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33.4</v>
      </c>
      <c r="D42" s="3" t="n">
        <v>34</v>
      </c>
      <c r="E42" s="3" t="n">
        <v>34.6</v>
      </c>
      <c r="F42" s="3" t="n">
        <v>35.2</v>
      </c>
      <c r="G42" s="3" t="n">
        <v>35.8</v>
      </c>
      <c r="H42" s="3" t="n">
        <v>36.4</v>
      </c>
      <c r="I42" s="3" t="n">
        <v>37</v>
      </c>
      <c r="J42" s="3" t="n">
        <v>37</v>
      </c>
      <c r="K42" s="3" t="n">
        <v>37</v>
      </c>
      <c r="L42" s="3" t="n">
        <v>37</v>
      </c>
    </row>
    <row r="43" customFormat="false" ht="15" hidden="false" customHeight="false" outlineLevel="0" collapsed="false">
      <c r="A43" s="0" t="s">
        <v>107</v>
      </c>
      <c r="C43" s="3" t="n">
        <v>1.55</v>
      </c>
      <c r="D43" s="3" t="n">
        <v>1.55</v>
      </c>
      <c r="E43" s="3" t="n">
        <v>1.55</v>
      </c>
      <c r="F43" s="3" t="n">
        <v>1.55</v>
      </c>
      <c r="G43" s="3" t="n">
        <v>1.55</v>
      </c>
      <c r="H43" s="3" t="n">
        <v>1.55</v>
      </c>
      <c r="I43" s="3" t="n">
        <v>1.55</v>
      </c>
      <c r="J43" s="3" t="n">
        <v>1.55</v>
      </c>
      <c r="K43" s="3" t="n">
        <v>1.55</v>
      </c>
      <c r="L43" s="3" t="n">
        <v>1.55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8.6</v>
      </c>
      <c r="D45" s="3" t="n">
        <v>8.6</v>
      </c>
      <c r="E45" s="3" t="n">
        <v>8.6</v>
      </c>
      <c r="F45" s="3" t="n">
        <v>8.6</v>
      </c>
      <c r="G45" s="3" t="n">
        <v>8.6</v>
      </c>
      <c r="H45" s="3" t="n">
        <v>8.6</v>
      </c>
      <c r="I45" s="3" t="n">
        <v>8.6</v>
      </c>
      <c r="J45" s="3" t="n">
        <v>8.6</v>
      </c>
      <c r="K45" s="3" t="n">
        <v>8.6</v>
      </c>
      <c r="L45" s="3" t="n">
        <v>8.6</v>
      </c>
    </row>
    <row r="46" customFormat="false" ht="15" hidden="false" customHeight="false" outlineLevel="0" collapsed="false">
      <c r="A46" s="0" t="s">
        <v>110</v>
      </c>
      <c r="C46" s="3" t="n">
        <v>10</v>
      </c>
      <c r="D46" s="3" t="n">
        <v>9.8</v>
      </c>
      <c r="E46" s="3" t="n">
        <v>9.5</v>
      </c>
      <c r="F46" s="3" t="n">
        <v>9.2</v>
      </c>
      <c r="G46" s="3" t="n">
        <v>9</v>
      </c>
      <c r="H46" s="3" t="n">
        <v>8.8</v>
      </c>
      <c r="I46" s="3" t="n">
        <v>8.6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111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-40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5</v>
      </c>
      <c r="D5" s="4" t="n">
        <f aca="false">Assumptions!D13</f>
        <v>4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2544.339</v>
      </c>
      <c r="C6" s="0" t="n">
        <f aca="false">B6*(1+C5/100)</f>
        <v>2671.55595</v>
      </c>
      <c r="D6" s="0" t="n">
        <f aca="false">C6*(1+D5/100)</f>
        <v>2778.418188</v>
      </c>
      <c r="E6" s="0" t="n">
        <f aca="false">D6*(1+E5/100)</f>
        <v>2875.66282458</v>
      </c>
      <c r="F6" s="0" t="n">
        <f aca="false">E6*(1+F5/100)</f>
        <v>2961.9327093174</v>
      </c>
      <c r="G6" s="0" t="n">
        <f aca="false">F6*(1+G5/100)</f>
        <v>3050.79069059692</v>
      </c>
      <c r="H6" s="0" t="n">
        <f aca="false">G6*(1+H5/100)</f>
        <v>3127.06045786184</v>
      </c>
      <c r="I6" s="0" t="n">
        <f aca="false">H6*(1+I5/100)</f>
        <v>3205.23696930839</v>
      </c>
      <c r="J6" s="0" t="n">
        <f aca="false">I6*(1+J5/100)</f>
        <v>3285.3678935411</v>
      </c>
      <c r="K6" s="0" t="n">
        <f aca="false">J6*(1+K5/100)</f>
        <v>3367.50209087963</v>
      </c>
      <c r="L6" s="0" t="n">
        <f aca="false">K6*(1+L5/100)</f>
        <v>3451.68964315162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33</v>
      </c>
      <c r="D7" s="4" t="n">
        <f aca="false">Assumptions!D14</f>
        <v>32.5</v>
      </c>
      <c r="E7" s="4" t="n">
        <f aca="false">Assumptions!E14</f>
        <v>32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881.6134635</v>
      </c>
      <c r="D8" s="0" t="n">
        <f aca="false">D6*D7/100</f>
        <v>902.9859111</v>
      </c>
      <c r="E8" s="0" t="n">
        <f aca="false">E6*E7/100</f>
        <v>920.2121038656</v>
      </c>
      <c r="F8" s="0" t="n">
        <f aca="false">F6*F7/100</f>
        <v>947.818466981568</v>
      </c>
      <c r="G8" s="0" t="n">
        <f aca="false">G6*G7/100</f>
        <v>976.253020991015</v>
      </c>
      <c r="H8" s="0" t="n">
        <f aca="false">H6*H7/100</f>
        <v>1000.65934651579</v>
      </c>
      <c r="I8" s="0" t="n">
        <f aca="false">I6*I7/100</f>
        <v>1025.67583017869</v>
      </c>
      <c r="J8" s="0" t="n">
        <f aca="false">J6*J7/100</f>
        <v>1051.31772593315</v>
      </c>
      <c r="K8" s="0" t="n">
        <f aca="false">K6*K7/100</f>
        <v>1077.60066908148</v>
      </c>
      <c r="L8" s="0" t="n">
        <f aca="false">L6*L7/100</f>
        <v>1104.54068580852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1.6</v>
      </c>
      <c r="D9" s="4" t="n">
        <f aca="false">Assumptions!D15</f>
        <v>1.6</v>
      </c>
      <c r="E9" s="4" t="n">
        <f aca="false">Assumptions!E15</f>
        <v>1.6</v>
      </c>
      <c r="F9" s="4" t="n">
        <f aca="false">Assumptions!F15</f>
        <v>1.6</v>
      </c>
      <c r="G9" s="4" t="n">
        <f aca="false">Assumptions!G15</f>
        <v>1.6</v>
      </c>
      <c r="H9" s="4" t="n">
        <f aca="false">Assumptions!H15</f>
        <v>1.6</v>
      </c>
      <c r="I9" s="4" t="n">
        <f aca="false">Assumptions!I15</f>
        <v>1.6</v>
      </c>
      <c r="J9" s="4" t="n">
        <f aca="false">Assumptions!J15</f>
        <v>1.6</v>
      </c>
      <c r="K9" s="4" t="n">
        <f aca="false">Assumptions!K15</f>
        <v>1.6</v>
      </c>
      <c r="L9" s="4" t="n">
        <f aca="false">Assumptions!L15</f>
        <v>1.6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-42.7448952</v>
      </c>
      <c r="D10" s="0" t="n">
        <f aca="false">-D6*D9/100</f>
        <v>-44.454691008</v>
      </c>
      <c r="E10" s="0" t="n">
        <f aca="false">-E6*E9/100</f>
        <v>-46.01060519328</v>
      </c>
      <c r="F10" s="0" t="n">
        <f aca="false">-F6*F9/100</f>
        <v>-47.3909233490784</v>
      </c>
      <c r="G10" s="0" t="n">
        <f aca="false">-G6*G9/100</f>
        <v>-48.8126510495508</v>
      </c>
      <c r="H10" s="0" t="n">
        <f aca="false">-H6*H9/100</f>
        <v>-50.0329673257895</v>
      </c>
      <c r="I10" s="0" t="n">
        <f aca="false">-I6*I9/100</f>
        <v>-51.2837915089342</v>
      </c>
      <c r="J10" s="0" t="n">
        <f aca="false">-J6*J9/100</f>
        <v>-52.5658862966576</v>
      </c>
      <c r="K10" s="0" t="n">
        <f aca="false">-K6*K9/100</f>
        <v>-53.880033454074</v>
      </c>
      <c r="L10" s="0" t="n">
        <f aca="false">-L6*L9/100</f>
        <v>-55.2270342904259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838.8685683</v>
      </c>
      <c r="D11" s="0" t="n">
        <f aca="false">D8+D10+D24</f>
        <v>858.531220092</v>
      </c>
      <c r="E11" s="0" t="n">
        <f aca="false">E8+E10+E24</f>
        <v>874.20149867232</v>
      </c>
      <c r="F11" s="0" t="n">
        <f aca="false">F8+F10+F24</f>
        <v>900.42754363249</v>
      </c>
      <c r="G11" s="0" t="n">
        <f aca="false">G8+G10+G24</f>
        <v>927.440369941464</v>
      </c>
      <c r="H11" s="0" t="n">
        <f aca="false">H8+H10+H24</f>
        <v>950.626379190001</v>
      </c>
      <c r="I11" s="0" t="n">
        <f aca="false">I8+I10+I24</f>
        <v>974.392038669751</v>
      </c>
      <c r="J11" s="0" t="n">
        <f aca="false">J8+J10+J24</f>
        <v>998.751839636494</v>
      </c>
      <c r="K11" s="0" t="n">
        <f aca="false">K8+K10+K24</f>
        <v>1023.72063562741</v>
      </c>
      <c r="L11" s="0" t="n">
        <f aca="false">L8+L10+L24</f>
        <v>1049.31365151809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-229.7538117</v>
      </c>
      <c r="D12" s="4" t="n">
        <f aca="false">-D6*Assumptions!D17/100</f>
        <v>-241.722382356</v>
      </c>
      <c r="E12" s="4" t="n">
        <f aca="false">-E6*Assumptions!E17/100</f>
        <v>-253.05832856304</v>
      </c>
      <c r="F12" s="4" t="n">
        <f aca="false">-F6*Assumptions!F17/100</f>
        <v>-260.650078419931</v>
      </c>
      <c r="G12" s="4" t="n">
        <f aca="false">-G6*Assumptions!G17/100</f>
        <v>-268.469580772529</v>
      </c>
      <c r="H12" s="4" t="n">
        <f aca="false">-H6*Assumptions!H17/100</f>
        <v>-275.181320291842</v>
      </c>
      <c r="I12" s="4" t="n">
        <f aca="false">-I6*Assumptions!I17/100</f>
        <v>-282.060853299138</v>
      </c>
      <c r="J12" s="4" t="n">
        <f aca="false">-J6*Assumptions!J17/100</f>
        <v>-289.112374631617</v>
      </c>
      <c r="K12" s="4" t="n">
        <f aca="false">-K6*Assumptions!K17/100</f>
        <v>-296.340183997407</v>
      </c>
      <c r="L12" s="4" t="n">
        <f aca="false">-L6*Assumptions!L17/100</f>
        <v>-303.748688597342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609.1147566</v>
      </c>
      <c r="D13" s="0" t="n">
        <f aca="false">D11+D12</f>
        <v>616.808837736</v>
      </c>
      <c r="E13" s="0" t="n">
        <f aca="false">E11+E12</f>
        <v>621.14317010928</v>
      </c>
      <c r="F13" s="0" t="n">
        <f aca="false">F11+F12</f>
        <v>639.777465212558</v>
      </c>
      <c r="G13" s="0" t="n">
        <f aca="false">G11+G12</f>
        <v>658.970789168935</v>
      </c>
      <c r="H13" s="0" t="n">
        <f aca="false">H11+H12</f>
        <v>675.445058898158</v>
      </c>
      <c r="I13" s="0" t="n">
        <f aca="false">I11+I12</f>
        <v>692.331185370612</v>
      </c>
      <c r="J13" s="0" t="n">
        <f aca="false">J11+J12</f>
        <v>709.639465004878</v>
      </c>
      <c r="K13" s="0" t="n">
        <f aca="false">K11+K12</f>
        <v>727.380451629999</v>
      </c>
      <c r="L13" s="0" t="n">
        <f aca="false">L11+L12</f>
        <v>745.564962920749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472.063936365</v>
      </c>
      <c r="D15" s="0" t="n">
        <f aca="false">D13-MAX(0,D13)*D14/100</f>
        <v>478.0268492454</v>
      </c>
      <c r="E15" s="0" t="n">
        <f aca="false">E13-MAX(0,E13)*E14/100</f>
        <v>481.385956834692</v>
      </c>
      <c r="F15" s="0" t="n">
        <f aca="false">F13-MAX(0,F13)*F14/100</f>
        <v>495.827535539733</v>
      </c>
      <c r="G15" s="0" t="n">
        <f aca="false">G13-MAX(0,G13)*G14/100</f>
        <v>510.702361605925</v>
      </c>
      <c r="H15" s="0" t="n">
        <f aca="false">H13-MAX(0,H13)*H14/100</f>
        <v>523.469920646073</v>
      </c>
      <c r="I15" s="0" t="n">
        <f aca="false">I13-MAX(0,I13)*I14/100</f>
        <v>536.556668662225</v>
      </c>
      <c r="J15" s="0" t="n">
        <f aca="false">J13-MAX(0,J13)*J14/100</f>
        <v>549.97058537878</v>
      </c>
      <c r="K15" s="0" t="n">
        <f aca="false">K13-MAX(0,K13)*K14/100</f>
        <v>563.71985001325</v>
      </c>
      <c r="L15" s="0" t="n">
        <f aca="false">L13-MAX(0,L13)*L14/100</f>
        <v>577.812846263581</v>
      </c>
    </row>
    <row r="16" customFormat="false" ht="15" hidden="false" customHeight="false" outlineLevel="0" collapsed="false">
      <c r="A16" s="0" t="s">
        <v>127</v>
      </c>
      <c r="C16" s="0" t="n">
        <f aca="false">-C12</f>
        <v>229.7538117</v>
      </c>
      <c r="D16" s="0" t="n">
        <f aca="false">-D12</f>
        <v>241.722382356</v>
      </c>
      <c r="E16" s="0" t="n">
        <f aca="false">-E12</f>
        <v>253.05832856304</v>
      </c>
      <c r="F16" s="0" t="n">
        <f aca="false">-F12</f>
        <v>260.650078419931</v>
      </c>
      <c r="G16" s="0" t="n">
        <f aca="false">-G12</f>
        <v>268.469580772529</v>
      </c>
      <c r="H16" s="0" t="n">
        <f aca="false">-H12</f>
        <v>275.181320291842</v>
      </c>
      <c r="I16" s="0" t="n">
        <f aca="false">-I12</f>
        <v>282.060853299138</v>
      </c>
      <c r="J16" s="0" t="n">
        <f aca="false">-J12</f>
        <v>289.112374631617</v>
      </c>
      <c r="K16" s="0" t="n">
        <f aca="false">-K12</f>
        <v>296.340183997407</v>
      </c>
      <c r="L16" s="0" t="n">
        <f aca="false">-L12</f>
        <v>303.748688597342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-267.155595</v>
      </c>
      <c r="D17" s="4" t="n">
        <f aca="false">-D6*Assumptions!D18/100</f>
        <v>-277.8418188</v>
      </c>
      <c r="E17" s="4" t="n">
        <f aca="false">-E6*Assumptions!E18/100</f>
        <v>-287.566282458</v>
      </c>
      <c r="F17" s="4" t="n">
        <f aca="false">-F6*Assumptions!F18/100</f>
        <v>-296.19327093174</v>
      </c>
      <c r="G17" s="4" t="n">
        <f aca="false">-G6*Assumptions!G18/100</f>
        <v>-305.079069059692</v>
      </c>
      <c r="H17" s="4" t="n">
        <f aca="false">-H6*Assumptions!H18/100</f>
        <v>-312.706045786184</v>
      </c>
      <c r="I17" s="4" t="n">
        <f aca="false">-I6*Assumptions!I18/100</f>
        <v>-320.523696930839</v>
      </c>
      <c r="J17" s="4" t="n">
        <f aca="false">-J6*Assumptions!J18/100</f>
        <v>-328.53678935411</v>
      </c>
      <c r="K17" s="4" t="n">
        <f aca="false">-K6*Assumptions!K18/100</f>
        <v>-336.750209087963</v>
      </c>
      <c r="L17" s="4" t="n">
        <f aca="false">-L6*Assumptions!L18/100</f>
        <v>-345.168964315162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-50.88678</v>
      </c>
      <c r="D18" s="4" t="n">
        <f aca="false">(D6-C6)*Assumptions!$B$23/100</f>
        <v>-42.7448952000001</v>
      </c>
      <c r="E18" s="4" t="n">
        <f aca="false">(E6-D6)*Assumptions!$B$23/100</f>
        <v>-38.8978546319999</v>
      </c>
      <c r="F18" s="4" t="n">
        <f aca="false">(F6-E6)*Assumptions!$B$23/100</f>
        <v>-34.50795389496</v>
      </c>
      <c r="G18" s="4" t="n">
        <f aca="false">(G6-F6)*Assumptions!$B$23/100</f>
        <v>-35.5431925118088</v>
      </c>
      <c r="H18" s="4" t="n">
        <f aca="false">(H6-G6)*Assumptions!$B$23/100</f>
        <v>-30.5079069059691</v>
      </c>
      <c r="I18" s="4" t="n">
        <f aca="false">(I6-H6)*Assumptions!$B$23/100</f>
        <v>-31.2706045786183</v>
      </c>
      <c r="J18" s="4" t="n">
        <f aca="false">(J6-I6)*Assumptions!$B$23/100</f>
        <v>-32.0523696930837</v>
      </c>
      <c r="K18" s="4" t="n">
        <f aca="false">(K6-J6)*Assumptions!$B$23/100</f>
        <v>-32.8536789354108</v>
      </c>
      <c r="L18" s="4" t="n">
        <f aca="false">(L6-K6)*Assumptions!$B$23/100</f>
        <v>-33.6750209087961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383.775373065</v>
      </c>
      <c r="D19" s="0" t="n">
        <f aca="false">D15+D16+D17+D18</f>
        <v>399.1625176014</v>
      </c>
      <c r="E19" s="0" t="n">
        <f aca="false">E15+E16+E17+E18</f>
        <v>407.980148307732</v>
      </c>
      <c r="F19" s="0" t="n">
        <f aca="false">F15+F16+F17+F18</f>
        <v>425.776389132964</v>
      </c>
      <c r="G19" s="0" t="n">
        <f aca="false">G15+G16+G17+G18</f>
        <v>438.549680806953</v>
      </c>
      <c r="H19" s="0" t="n">
        <f aca="false">H15+H16+H17+H18</f>
        <v>455.437288245761</v>
      </c>
      <c r="I19" s="0" t="n">
        <f aca="false">I15+I16+I17+I18</f>
        <v>466.823220451906</v>
      </c>
      <c r="J19" s="0" t="n">
        <f aca="false">J15+J16+J17+J18</f>
        <v>478.493800963203</v>
      </c>
      <c r="K19" s="0" t="n">
        <f aca="false">K15+K16+K17+K18</f>
        <v>490.456145987283</v>
      </c>
      <c r="L19" s="0" t="n">
        <f aca="false">L15+L16+L17+L18</f>
        <v>502.717549636965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355.347567652778</v>
      </c>
      <c r="D21" s="0" t="n">
        <f aca="false">D19*D20</f>
        <v>342.217521949074</v>
      </c>
      <c r="E21" s="0" t="n">
        <f aca="false">E19*E20</f>
        <v>323.867795422868</v>
      </c>
      <c r="F21" s="0" t="n">
        <f aca="false">F19*F20</f>
        <v>312.958356628608</v>
      </c>
      <c r="G21" s="0" t="n">
        <f aca="false">G19*G20</f>
        <v>298.469543821728</v>
      </c>
      <c r="H21" s="0" t="n">
        <f aca="false">H19*H20</f>
        <v>287.002746002484</v>
      </c>
      <c r="I21" s="0" t="n">
        <f aca="false">I19*I20</f>
        <v>272.386865419025</v>
      </c>
      <c r="J21" s="0" t="n">
        <f aca="false">J19*J20</f>
        <v>258.5153120875</v>
      </c>
      <c r="K21" s="0" t="n">
        <f aca="false">K19*K20</f>
        <v>245.350180453414</v>
      </c>
      <c r="L21" s="0" t="n">
        <f aca="false">L19*L20</f>
        <v>232.855495337731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2928.97138477521</v>
      </c>
    </row>
    <row r="31" customFormat="false" ht="15" hidden="false" customHeight="false" outlineLevel="0" collapsed="false">
      <c r="A31" s="0" t="s">
        <v>136</v>
      </c>
      <c r="B31" s="0" t="n">
        <f aca="false">L19</f>
        <v>502.717549636965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9368.82706141617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7540.76324455448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7540.76324455448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3492.83243006597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6421.80381484118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6393.90381484118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90.9516901115388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-0.384713231555007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324.657656979732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476.733140287158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102.35127470993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4122.28390702311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44.7913772320912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2544.339</v>
      </c>
      <c r="C6" s="0" t="n">
        <f aca="false">B6*(1+C5/100)</f>
        <v>2696.99934</v>
      </c>
      <c r="D6" s="0" t="n">
        <f aca="false">C6*(1+D5/100)</f>
        <v>2872.3042971</v>
      </c>
      <c r="E6" s="0" t="n">
        <f aca="false">D6*(1+E5/100)</f>
        <v>3044.642554926</v>
      </c>
      <c r="F6" s="0" t="n">
        <f aca="false">E6*(1+F5/100)</f>
        <v>3227.32110822156</v>
      </c>
      <c r="G6" s="0" t="n">
        <f aca="false">F6*(1+G5/100)</f>
        <v>3404.82376917375</v>
      </c>
      <c r="H6" s="0" t="n">
        <f aca="false">G6*(1+H5/100)</f>
        <v>3575.06495763243</v>
      </c>
      <c r="I6" s="0" t="n">
        <f aca="false">H6*(1+I5/100)</f>
        <v>3735.94288072589</v>
      </c>
      <c r="J6" s="0" t="n">
        <f aca="false">I6*(1+J5/100)</f>
        <v>3885.38059595493</v>
      </c>
      <c r="K6" s="0" t="n">
        <f aca="false">J6*(1+K5/100)</f>
        <v>4021.36891681335</v>
      </c>
      <c r="L6" s="0" t="n">
        <f aca="false">K6*(1+L5/100)</f>
        <v>4142.00998431775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33.2</v>
      </c>
      <c r="D7" s="4" t="n">
        <f aca="false">Assumptions!D28</f>
        <v>33.5</v>
      </c>
      <c r="E7" s="4" t="n">
        <f aca="false">Assumptions!E28</f>
        <v>33.8</v>
      </c>
      <c r="F7" s="4" t="n">
        <f aca="false">Assumptions!F28</f>
        <v>34.1</v>
      </c>
      <c r="G7" s="4" t="n">
        <f aca="false">Assumptions!G28</f>
        <v>34.4</v>
      </c>
      <c r="H7" s="4" t="n">
        <f aca="false">Assumptions!H28</f>
        <v>34.7</v>
      </c>
      <c r="I7" s="4" t="n">
        <f aca="false">Assumptions!I28</f>
        <v>35</v>
      </c>
      <c r="J7" s="4" t="n">
        <f aca="false">Assumptions!J28</f>
        <v>35</v>
      </c>
      <c r="K7" s="4" t="n">
        <f aca="false">Assumptions!K28</f>
        <v>35</v>
      </c>
      <c r="L7" s="4" t="n">
        <f aca="false">Assumptions!L28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895.40378088</v>
      </c>
      <c r="D8" s="0" t="n">
        <f aca="false">D6*D7/100</f>
        <v>962.2219395285</v>
      </c>
      <c r="E8" s="0" t="n">
        <f aca="false">E6*E7/100</f>
        <v>1029.08918356499</v>
      </c>
      <c r="F8" s="0" t="n">
        <f aca="false">F6*F7/100</f>
        <v>1100.51649790355</v>
      </c>
      <c r="G8" s="0" t="n">
        <f aca="false">G6*G7/100</f>
        <v>1171.25937659577</v>
      </c>
      <c r="H8" s="0" t="n">
        <f aca="false">H6*H7/100</f>
        <v>1240.54754029845</v>
      </c>
      <c r="I8" s="0" t="n">
        <f aca="false">I6*I7/100</f>
        <v>1307.58000825406</v>
      </c>
      <c r="J8" s="0" t="n">
        <f aca="false">J6*J7/100</f>
        <v>1359.88320858422</v>
      </c>
      <c r="K8" s="0" t="n">
        <f aca="false">K6*K7/100</f>
        <v>1407.47912088467</v>
      </c>
      <c r="L8" s="0" t="n">
        <f aca="false">L6*L7/100</f>
        <v>1449.70349451121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1.55</v>
      </c>
      <c r="D9" s="4" t="n">
        <f aca="false">Assumptions!D29</f>
        <v>1.55</v>
      </c>
      <c r="E9" s="4" t="n">
        <f aca="false">Assumptions!E29</f>
        <v>1.55</v>
      </c>
      <c r="F9" s="4" t="n">
        <f aca="false">Assumptions!F29</f>
        <v>1.55</v>
      </c>
      <c r="G9" s="4" t="n">
        <f aca="false">Assumptions!G29</f>
        <v>1.55</v>
      </c>
      <c r="H9" s="4" t="n">
        <f aca="false">Assumptions!H29</f>
        <v>1.55</v>
      </c>
      <c r="I9" s="4" t="n">
        <f aca="false">Assumptions!I29</f>
        <v>1.55</v>
      </c>
      <c r="J9" s="4" t="n">
        <f aca="false">Assumptions!J29</f>
        <v>1.55</v>
      </c>
      <c r="K9" s="4" t="n">
        <f aca="false">Assumptions!K29</f>
        <v>1.55</v>
      </c>
      <c r="L9" s="4" t="n">
        <f aca="false">Assumptions!L29</f>
        <v>1.55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-41.80348977</v>
      </c>
      <c r="D10" s="0" t="n">
        <f aca="false">-D6*D9/100</f>
        <v>-44.52071660505</v>
      </c>
      <c r="E10" s="0" t="n">
        <f aca="false">-E6*E9/100</f>
        <v>-47.191959601353</v>
      </c>
      <c r="F10" s="0" t="n">
        <f aca="false">-F6*F9/100</f>
        <v>-50.0234771774342</v>
      </c>
      <c r="G10" s="0" t="n">
        <f aca="false">-G6*G9/100</f>
        <v>-52.7747684221931</v>
      </c>
      <c r="H10" s="0" t="n">
        <f aca="false">-H6*H9/100</f>
        <v>-55.4135068433027</v>
      </c>
      <c r="I10" s="0" t="n">
        <f aca="false">-I6*I9/100</f>
        <v>-57.9071146512513</v>
      </c>
      <c r="J10" s="0" t="n">
        <f aca="false">-J6*J9/100</f>
        <v>-60.2233992373014</v>
      </c>
      <c r="K10" s="0" t="n">
        <f aca="false">-K6*K9/100</f>
        <v>-62.3312182106069</v>
      </c>
      <c r="L10" s="0" t="n">
        <f aca="false">-L6*L9/100</f>
        <v>-64.2011547569251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853.60029111</v>
      </c>
      <c r="D11" s="0" t="n">
        <f aca="false">D8+D10+D24</f>
        <v>917.70122292345</v>
      </c>
      <c r="E11" s="0" t="n">
        <f aca="false">E8+E10+E24</f>
        <v>981.897223963635</v>
      </c>
      <c r="F11" s="0" t="n">
        <f aca="false">F8+F10+F24</f>
        <v>1050.49302072612</v>
      </c>
      <c r="G11" s="0" t="n">
        <f aca="false">G8+G10+G24</f>
        <v>1118.48460817358</v>
      </c>
      <c r="H11" s="0" t="n">
        <f aca="false">H8+H10+H24</f>
        <v>1185.13403345515</v>
      </c>
      <c r="I11" s="0" t="n">
        <f aca="false">I8+I10+I24</f>
        <v>1249.67289360281</v>
      </c>
      <c r="J11" s="0" t="n">
        <f aca="false">J8+J10+J24</f>
        <v>1299.65980934692</v>
      </c>
      <c r="K11" s="0" t="n">
        <f aca="false">K8+K10+K24</f>
        <v>1345.14790267407</v>
      </c>
      <c r="L11" s="0" t="n">
        <f aca="false">L8+L10+L24</f>
        <v>1385.50233975429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-231.94194324</v>
      </c>
      <c r="D12" s="4" t="n">
        <f aca="false">-D6*Assumptions!D31/100</f>
        <v>-247.0181695506</v>
      </c>
      <c r="E12" s="4" t="n">
        <f aca="false">-E6*Assumptions!E31/100</f>
        <v>-261.839259723636</v>
      </c>
      <c r="F12" s="4" t="n">
        <f aca="false">-F6*Assumptions!F31/100</f>
        <v>-277.549615307054</v>
      </c>
      <c r="G12" s="4" t="n">
        <f aca="false">-G6*Assumptions!G31/100</f>
        <v>-292.814844148942</v>
      </c>
      <c r="H12" s="4" t="n">
        <f aca="false">-H6*Assumptions!H31/100</f>
        <v>-307.455586356389</v>
      </c>
      <c r="I12" s="4" t="n">
        <f aca="false">-I6*Assumptions!I31/100</f>
        <v>-321.291087742427</v>
      </c>
      <c r="J12" s="4" t="n">
        <f aca="false">-J6*Assumptions!J31/100</f>
        <v>-334.142731252124</v>
      </c>
      <c r="K12" s="4" t="n">
        <f aca="false">-K6*Assumptions!K31/100</f>
        <v>-345.837726845948</v>
      </c>
      <c r="L12" s="4" t="n">
        <f aca="false">-L6*Assumptions!L31/100</f>
        <v>-356.212858651327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621.65834787</v>
      </c>
      <c r="D13" s="0" t="n">
        <f aca="false">D11+D12</f>
        <v>670.68305337285</v>
      </c>
      <c r="E13" s="0" t="n">
        <f aca="false">E11+E12</f>
        <v>720.057964239999</v>
      </c>
      <c r="F13" s="0" t="n">
        <f aca="false">F11+F12</f>
        <v>772.943405419064</v>
      </c>
      <c r="G13" s="0" t="n">
        <f aca="false">G11+G12</f>
        <v>825.669764024633</v>
      </c>
      <c r="H13" s="0" t="n">
        <f aca="false">H11+H12</f>
        <v>877.678447098763</v>
      </c>
      <c r="I13" s="0" t="n">
        <f aca="false">I11+I12</f>
        <v>928.381805860384</v>
      </c>
      <c r="J13" s="0" t="n">
        <f aca="false">J11+J12</f>
        <v>965.517078094799</v>
      </c>
      <c r="K13" s="0" t="n">
        <f aca="false">K11+K12</f>
        <v>999.310175828118</v>
      </c>
      <c r="L13" s="0" t="n">
        <f aca="false">L11+L12</f>
        <v>1029.28948110296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22.5</v>
      </c>
      <c r="F14" s="4" t="n">
        <f aca="false">Assumptions!F33</f>
        <v>22.5</v>
      </c>
      <c r="G14" s="4" t="n">
        <f aca="false">Assumptions!G33</f>
        <v>22.5</v>
      </c>
      <c r="H14" s="4" t="n">
        <f aca="false">Assumptions!H33</f>
        <v>22.5</v>
      </c>
      <c r="I14" s="4" t="n">
        <f aca="false">Assumptions!I33</f>
        <v>22.5</v>
      </c>
      <c r="J14" s="4" t="n">
        <f aca="false">Assumptions!J33</f>
        <v>22.5</v>
      </c>
      <c r="K14" s="4" t="n">
        <f aca="false">Assumptions!K33</f>
        <v>22.5</v>
      </c>
      <c r="L14" s="4" t="n">
        <f aca="false">Assumptions!L33</f>
        <v>22.5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481.78521959925</v>
      </c>
      <c r="D15" s="0" t="n">
        <f aca="false">D13-MAX(0,D13)*D14/100</f>
        <v>519.779366363959</v>
      </c>
      <c r="E15" s="0" t="n">
        <f aca="false">E13-MAX(0,E13)*E14/100</f>
        <v>558.044922285999</v>
      </c>
      <c r="F15" s="0" t="n">
        <f aca="false">F13-MAX(0,F13)*F14/100</f>
        <v>599.031139199774</v>
      </c>
      <c r="G15" s="0" t="n">
        <f aca="false">G13-MAX(0,G13)*G14/100</f>
        <v>639.894067119091</v>
      </c>
      <c r="H15" s="0" t="n">
        <f aca="false">H13-MAX(0,H13)*H14/100</f>
        <v>680.200796501541</v>
      </c>
      <c r="I15" s="0" t="n">
        <f aca="false">I13-MAX(0,I13)*I14/100</f>
        <v>719.495899541798</v>
      </c>
      <c r="J15" s="0" t="n">
        <f aca="false">J13-MAX(0,J13)*J14/100</f>
        <v>748.27573552347</v>
      </c>
      <c r="K15" s="0" t="n">
        <f aca="false">K13-MAX(0,K13)*K14/100</f>
        <v>774.465386266791</v>
      </c>
      <c r="L15" s="0" t="n">
        <f aca="false">L13-MAX(0,L13)*L14/100</f>
        <v>797.699347854795</v>
      </c>
    </row>
    <row r="16" customFormat="false" ht="15" hidden="false" customHeight="false" outlineLevel="0" collapsed="false">
      <c r="A16" s="0" t="s">
        <v>127</v>
      </c>
      <c r="C16" s="0" t="n">
        <f aca="false">-C12</f>
        <v>231.94194324</v>
      </c>
      <c r="D16" s="0" t="n">
        <f aca="false">-D12</f>
        <v>247.0181695506</v>
      </c>
      <c r="E16" s="0" t="n">
        <f aca="false">-E12</f>
        <v>261.839259723636</v>
      </c>
      <c r="F16" s="0" t="n">
        <f aca="false">-F12</f>
        <v>277.549615307054</v>
      </c>
      <c r="G16" s="0" t="n">
        <f aca="false">-G12</f>
        <v>292.814844148942</v>
      </c>
      <c r="H16" s="0" t="n">
        <f aca="false">-H12</f>
        <v>307.455586356389</v>
      </c>
      <c r="I16" s="0" t="n">
        <f aca="false">-I12</f>
        <v>321.291087742427</v>
      </c>
      <c r="J16" s="0" t="n">
        <f aca="false">-J12</f>
        <v>334.142731252124</v>
      </c>
      <c r="K16" s="0" t="n">
        <f aca="false">-K12</f>
        <v>345.837726845948</v>
      </c>
      <c r="L16" s="0" t="n">
        <f aca="false">-L12</f>
        <v>356.212858651327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-269.699934</v>
      </c>
      <c r="D17" s="4" t="n">
        <f aca="false">-D6*Assumptions!D32/100</f>
        <v>-287.23042971</v>
      </c>
      <c r="E17" s="4" t="n">
        <f aca="false">-E6*Assumptions!E32/100</f>
        <v>-298.374970382748</v>
      </c>
      <c r="F17" s="4" t="n">
        <f aca="false">-F6*Assumptions!F32/100</f>
        <v>-309.82282638927</v>
      </c>
      <c r="G17" s="4" t="n">
        <f aca="false">-G6*Assumptions!G32/100</f>
        <v>-323.458258071506</v>
      </c>
      <c r="H17" s="4" t="n">
        <f aca="false">-H6*Assumptions!H32/100</f>
        <v>-336.056106017449</v>
      </c>
      <c r="I17" s="4" t="n">
        <f aca="false">-I6*Assumptions!I32/100</f>
        <v>-347.442687907508</v>
      </c>
      <c r="J17" s="4" t="n">
        <f aca="false">-J6*Assumptions!J32/100</f>
        <v>-357.455014827853</v>
      </c>
      <c r="K17" s="4" t="n">
        <f aca="false">-K6*Assumptions!K32/100</f>
        <v>-365.944571430015</v>
      </c>
      <c r="L17" s="4" t="n">
        <f aca="false">-L6*Assumptions!L32/100</f>
        <v>-372.780898588598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-61.064136</v>
      </c>
      <c r="D18" s="4" t="n">
        <f aca="false">(D6-C6)*Assumptions!$B$37/100</f>
        <v>-70.1219828399999</v>
      </c>
      <c r="E18" s="4" t="n">
        <f aca="false">(E6-D6)*Assumptions!$B$37/100</f>
        <v>-68.9353031304001</v>
      </c>
      <c r="F18" s="4" t="n">
        <f aca="false">(F6-E6)*Assumptions!$B$37/100</f>
        <v>-73.071421318224</v>
      </c>
      <c r="G18" s="4" t="n">
        <f aca="false">(G6-F6)*Assumptions!$B$37/100</f>
        <v>-71.0010643808742</v>
      </c>
      <c r="H18" s="4" t="n">
        <f aca="false">(H6-G6)*Assumptions!$B$37/100</f>
        <v>-68.0964753834749</v>
      </c>
      <c r="I18" s="4" t="n">
        <f aca="false">(I6-H6)*Assumptions!$B$37/100</f>
        <v>-64.3511692373837</v>
      </c>
      <c r="J18" s="4" t="n">
        <f aca="false">(J6-I6)*Assumptions!$B$37/100</f>
        <v>-59.7750860916143</v>
      </c>
      <c r="K18" s="4" t="n">
        <f aca="false">(K6-J6)*Assumptions!$B$37/100</f>
        <v>-54.3953283433688</v>
      </c>
      <c r="L18" s="4" t="n">
        <f aca="false">(L6-K6)*Assumptions!$B$37/100</f>
        <v>-48.2564270017603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382.96309283925</v>
      </c>
      <c r="D19" s="0" t="n">
        <f aca="false">D15+D16+D17+D18</f>
        <v>409.445123364559</v>
      </c>
      <c r="E19" s="0" t="n">
        <f aca="false">E15+E16+E17+E18</f>
        <v>452.573908496487</v>
      </c>
      <c r="F19" s="0" t="n">
        <f aca="false">F15+F16+F17+F18</f>
        <v>493.686506799335</v>
      </c>
      <c r="G19" s="0" t="n">
        <f aca="false">G15+G16+G17+G18</f>
        <v>538.249588815653</v>
      </c>
      <c r="H19" s="0" t="n">
        <f aca="false">H15+H16+H17+H18</f>
        <v>583.503801457007</v>
      </c>
      <c r="I19" s="0" t="n">
        <f aca="false">I15+I16+I17+I18</f>
        <v>628.993130139333</v>
      </c>
      <c r="J19" s="0" t="n">
        <f aca="false">J15+J16+J17+J18</f>
        <v>665.188365856126</v>
      </c>
      <c r="K19" s="0" t="n">
        <f aca="false">K15+K16+K17+K18</f>
        <v>699.963213339356</v>
      </c>
      <c r="L19" s="0" t="n">
        <f aca="false">L15+L16+L17+L18</f>
        <v>732.874880915763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354.595456332639</v>
      </c>
      <c r="D21" s="0" t="n">
        <f aca="false">D19*D20</f>
        <v>351.033199043689</v>
      </c>
      <c r="E21" s="0" t="n">
        <f aca="false">E19*E20</f>
        <v>359.267760009024</v>
      </c>
      <c r="F21" s="0" t="n">
        <f aca="false">F19*F20</f>
        <v>362.87432042031</v>
      </c>
      <c r="G21" s="0" t="n">
        <f aca="false">G19*G20</f>
        <v>366.32362595826</v>
      </c>
      <c r="H21" s="0" t="n">
        <f aca="false">H19*H20</f>
        <v>367.706372849035</v>
      </c>
      <c r="I21" s="0" t="n">
        <f aca="false">I19*I20</f>
        <v>367.011450122166</v>
      </c>
      <c r="J21" s="0" t="n">
        <f aca="false">J19*J20</f>
        <v>359.380576404781</v>
      </c>
      <c r="K21" s="0" t="n">
        <f aca="false">K19*K20</f>
        <v>350.15587450303</v>
      </c>
      <c r="L21" s="0" t="n">
        <f aca="false">L19*L20</f>
        <v>339.46287242102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3577.81150806395</v>
      </c>
    </row>
    <row r="31" customFormat="false" ht="15" hidden="false" customHeight="false" outlineLevel="0" collapsed="false">
      <c r="A31" s="0" t="s">
        <v>136</v>
      </c>
      <c r="B31" s="0" t="n">
        <f aca="false">L19</f>
        <v>732.874880915763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15097.2225468647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14657.4976183153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14657.4976183153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6789.2574484204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10367.0689564844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10339.1689564844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147.072104644159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-0.00505950044541559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349.188809571207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612.59367030505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160.753221000862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6290.50939452697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58.3695835947836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2544.339</v>
      </c>
      <c r="C6" s="0" t="n">
        <f aca="false">B6*(1+C5/100)</f>
        <v>2722.44273</v>
      </c>
      <c r="D6" s="0" t="n">
        <f aca="false">C6*(1+D5/100)</f>
        <v>2940.2381484</v>
      </c>
      <c r="E6" s="0" t="n">
        <f aca="false">D6*(1+E5/100)</f>
        <v>3175.457200272</v>
      </c>
      <c r="F6" s="0" t="n">
        <f aca="false">E6*(1+F5/100)</f>
        <v>3413.6164902924</v>
      </c>
      <c r="G6" s="0" t="n">
        <f aca="false">F6*(1+G5/100)</f>
        <v>3652.56964461287</v>
      </c>
      <c r="H6" s="0" t="n">
        <f aca="false">G6*(1+H5/100)</f>
        <v>3889.98667151271</v>
      </c>
      <c r="I6" s="0" t="n">
        <f aca="false">H6*(1+I5/100)</f>
        <v>4123.38587180347</v>
      </c>
      <c r="J6" s="0" t="n">
        <f aca="false">I6*(1+J5/100)</f>
        <v>4329.55516539364</v>
      </c>
      <c r="K6" s="0" t="n">
        <f aca="false">J6*(1+K5/100)</f>
        <v>4502.73737200939</v>
      </c>
      <c r="L6" s="0" t="n">
        <f aca="false">K6*(1+L5/100)</f>
        <v>4660.33318002972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33.4</v>
      </c>
      <c r="D7" s="4" t="n">
        <f aca="false">Assumptions!D42</f>
        <v>34</v>
      </c>
      <c r="E7" s="4" t="n">
        <f aca="false">Assumptions!E42</f>
        <v>34.6</v>
      </c>
      <c r="F7" s="4" t="n">
        <f aca="false">Assumptions!F42</f>
        <v>35.2</v>
      </c>
      <c r="G7" s="4" t="n">
        <f aca="false">Assumptions!G42</f>
        <v>35.8</v>
      </c>
      <c r="H7" s="4" t="n">
        <f aca="false">Assumptions!H42</f>
        <v>36.4</v>
      </c>
      <c r="I7" s="4" t="n">
        <f aca="false">Assumptions!I42</f>
        <v>37</v>
      </c>
      <c r="J7" s="4" t="n">
        <f aca="false">Assumptions!J42</f>
        <v>37</v>
      </c>
      <c r="K7" s="4" t="n">
        <f aca="false">Assumptions!K42</f>
        <v>37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909.29587182</v>
      </c>
      <c r="D8" s="0" t="n">
        <f aca="false">D6*D7/100</f>
        <v>999.680970456</v>
      </c>
      <c r="E8" s="0" t="n">
        <f aca="false">E6*E7/100</f>
        <v>1098.70819129411</v>
      </c>
      <c r="F8" s="0" t="n">
        <f aca="false">F6*F7/100</f>
        <v>1201.59300458293</v>
      </c>
      <c r="G8" s="0" t="n">
        <f aca="false">G6*G7/100</f>
        <v>1307.61993277141</v>
      </c>
      <c r="H8" s="0" t="n">
        <f aca="false">H6*H7/100</f>
        <v>1415.95514843062</v>
      </c>
      <c r="I8" s="0" t="n">
        <f aca="false">I6*I7/100</f>
        <v>1525.65277256728</v>
      </c>
      <c r="J8" s="0" t="n">
        <f aca="false">J6*J7/100</f>
        <v>1601.93541119565</v>
      </c>
      <c r="K8" s="0" t="n">
        <f aca="false">K6*K7/100</f>
        <v>1666.01282764347</v>
      </c>
      <c r="L8" s="0" t="n">
        <f aca="false">L6*L7/100</f>
        <v>1724.32327661099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1.55</v>
      </c>
      <c r="D9" s="4" t="n">
        <f aca="false">Assumptions!D43</f>
        <v>1.55</v>
      </c>
      <c r="E9" s="4" t="n">
        <f aca="false">Assumptions!E43</f>
        <v>1.55</v>
      </c>
      <c r="F9" s="4" t="n">
        <f aca="false">Assumptions!F43</f>
        <v>1.55</v>
      </c>
      <c r="G9" s="4" t="n">
        <f aca="false">Assumptions!G43</f>
        <v>1.55</v>
      </c>
      <c r="H9" s="4" t="n">
        <f aca="false">Assumptions!H43</f>
        <v>1.55</v>
      </c>
      <c r="I9" s="4" t="n">
        <f aca="false">Assumptions!I43</f>
        <v>1.55</v>
      </c>
      <c r="J9" s="4" t="n">
        <f aca="false">Assumptions!J43</f>
        <v>1.55</v>
      </c>
      <c r="K9" s="4" t="n">
        <f aca="false">Assumptions!K43</f>
        <v>1.55</v>
      </c>
      <c r="L9" s="4" t="n">
        <f aca="false">Assumptions!L43</f>
        <v>1.55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-42.197862315</v>
      </c>
      <c r="D10" s="0" t="n">
        <f aca="false">-D6*D9/100</f>
        <v>-45.5736913002</v>
      </c>
      <c r="E10" s="0" t="n">
        <f aca="false">-E6*E9/100</f>
        <v>-49.219586604216</v>
      </c>
      <c r="F10" s="0" t="n">
        <f aca="false">-F6*F9/100</f>
        <v>-52.9110555995322</v>
      </c>
      <c r="G10" s="0" t="n">
        <f aca="false">-G6*G9/100</f>
        <v>-56.6148294914995</v>
      </c>
      <c r="H10" s="0" t="n">
        <f aca="false">-H6*H9/100</f>
        <v>-60.2947934084469</v>
      </c>
      <c r="I10" s="0" t="n">
        <f aca="false">-I6*I9/100</f>
        <v>-63.9124810129538</v>
      </c>
      <c r="J10" s="0" t="n">
        <f aca="false">-J6*J9/100</f>
        <v>-67.1081050636015</v>
      </c>
      <c r="K10" s="0" t="n">
        <f aca="false">-K6*K9/100</f>
        <v>-69.7924292661455</v>
      </c>
      <c r="L10" s="0" t="n">
        <f aca="false">-L6*L9/100</f>
        <v>-72.2351642904606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867.098009505</v>
      </c>
      <c r="D11" s="0" t="n">
        <f aca="false">D8+D10+D24</f>
        <v>954.1072791558</v>
      </c>
      <c r="E11" s="0" t="n">
        <f aca="false">E8+E10+E24</f>
        <v>1049.4886046899</v>
      </c>
      <c r="F11" s="0" t="n">
        <f aca="false">F8+F10+F24</f>
        <v>1148.68194898339</v>
      </c>
      <c r="G11" s="0" t="n">
        <f aca="false">G8+G10+G24</f>
        <v>1251.00510327991</v>
      </c>
      <c r="H11" s="0" t="n">
        <f aca="false">H8+H10+H24</f>
        <v>1355.66035502218</v>
      </c>
      <c r="I11" s="0" t="n">
        <f aca="false">I8+I10+I24</f>
        <v>1461.74029155433</v>
      </c>
      <c r="J11" s="0" t="n">
        <f aca="false">J8+J10+J24</f>
        <v>1534.82730613205</v>
      </c>
      <c r="K11" s="0" t="n">
        <f aca="false">K8+K10+K24</f>
        <v>1596.22039837733</v>
      </c>
      <c r="L11" s="0" t="n">
        <f aca="false">L8+L10+L24</f>
        <v>1652.08811232053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-234.13007478</v>
      </c>
      <c r="D12" s="4" t="n">
        <f aca="false">-D6*Assumptions!D45/100</f>
        <v>-252.8604807624</v>
      </c>
      <c r="E12" s="4" t="n">
        <f aca="false">-E6*Assumptions!E45/100</f>
        <v>-273.089319223392</v>
      </c>
      <c r="F12" s="4" t="n">
        <f aca="false">-F6*Assumptions!F45/100</f>
        <v>-293.571018165146</v>
      </c>
      <c r="G12" s="4" t="n">
        <f aca="false">-G6*Assumptions!G45/100</f>
        <v>-314.120989436707</v>
      </c>
      <c r="H12" s="4" t="n">
        <f aca="false">-H6*Assumptions!H45/100</f>
        <v>-334.538853750093</v>
      </c>
      <c r="I12" s="4" t="n">
        <f aca="false">-I6*Assumptions!I45/100</f>
        <v>-354.611184975098</v>
      </c>
      <c r="J12" s="4" t="n">
        <f aca="false">-J6*Assumptions!J45/100</f>
        <v>-372.341744223853</v>
      </c>
      <c r="K12" s="4" t="n">
        <f aca="false">-K6*Assumptions!K45/100</f>
        <v>-387.235413992807</v>
      </c>
      <c r="L12" s="4" t="n">
        <f aca="false">-L6*Assumptions!L45/100</f>
        <v>-400.788653482556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632.967934725</v>
      </c>
      <c r="D13" s="0" t="n">
        <f aca="false">D11+D12</f>
        <v>701.2467983934</v>
      </c>
      <c r="E13" s="0" t="n">
        <f aca="false">E11+E12</f>
        <v>776.399285466504</v>
      </c>
      <c r="F13" s="0" t="n">
        <f aca="false">F11+F12</f>
        <v>855.110930818247</v>
      </c>
      <c r="G13" s="0" t="n">
        <f aca="false">G11+G12</f>
        <v>936.884113843201</v>
      </c>
      <c r="H13" s="0" t="n">
        <f aca="false">H11+H12</f>
        <v>1021.12150127208</v>
      </c>
      <c r="I13" s="0" t="n">
        <f aca="false">I11+I12</f>
        <v>1107.12910657923</v>
      </c>
      <c r="J13" s="0" t="n">
        <f aca="false">J11+J12</f>
        <v>1162.48556190819</v>
      </c>
      <c r="K13" s="0" t="n">
        <f aca="false">K11+K12</f>
        <v>1208.98498438452</v>
      </c>
      <c r="L13" s="0" t="n">
        <f aca="false">L11+L12</f>
        <v>1251.29945883798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490.550149411875</v>
      </c>
      <c r="D15" s="0" t="n">
        <f aca="false">D13-MAX(0,D13)*D14/100</f>
        <v>543.466268754885</v>
      </c>
      <c r="E15" s="0" t="n">
        <f aca="false">E13-MAX(0,E13)*E14/100</f>
        <v>601.709446236541</v>
      </c>
      <c r="F15" s="0" t="n">
        <f aca="false">F13-MAX(0,F13)*F14/100</f>
        <v>662.710971384141</v>
      </c>
      <c r="G15" s="0" t="n">
        <f aca="false">G13-MAX(0,G13)*G14/100</f>
        <v>726.085188228481</v>
      </c>
      <c r="H15" s="0" t="n">
        <f aca="false">H13-MAX(0,H13)*H14/100</f>
        <v>791.369163485866</v>
      </c>
      <c r="I15" s="0" t="n">
        <f aca="false">I13-MAX(0,I13)*I14/100</f>
        <v>858.025057598904</v>
      </c>
      <c r="J15" s="0" t="n">
        <f aca="false">J13-MAX(0,J13)*J14/100</f>
        <v>900.926310478849</v>
      </c>
      <c r="K15" s="0" t="n">
        <f aca="false">K13-MAX(0,K13)*K14/100</f>
        <v>936.963362898003</v>
      </c>
      <c r="L15" s="0" t="n">
        <f aca="false">L13-MAX(0,L13)*L14/100</f>
        <v>969.757080599434</v>
      </c>
    </row>
    <row r="16" customFormat="false" ht="15" hidden="false" customHeight="false" outlineLevel="0" collapsed="false">
      <c r="A16" s="0" t="s">
        <v>127</v>
      </c>
      <c r="C16" s="0" t="n">
        <f aca="false">-C12</f>
        <v>234.13007478</v>
      </c>
      <c r="D16" s="0" t="n">
        <f aca="false">-D12</f>
        <v>252.8604807624</v>
      </c>
      <c r="E16" s="0" t="n">
        <f aca="false">-E12</f>
        <v>273.089319223392</v>
      </c>
      <c r="F16" s="0" t="n">
        <f aca="false">-F12</f>
        <v>293.571018165146</v>
      </c>
      <c r="G16" s="0" t="n">
        <f aca="false">-G12</f>
        <v>314.120989436707</v>
      </c>
      <c r="H16" s="0" t="n">
        <f aca="false">-H12</f>
        <v>334.538853750093</v>
      </c>
      <c r="I16" s="0" t="n">
        <f aca="false">-I12</f>
        <v>354.611184975098</v>
      </c>
      <c r="J16" s="0" t="n">
        <f aca="false">-J12</f>
        <v>372.341744223853</v>
      </c>
      <c r="K16" s="0" t="n">
        <f aca="false">-K12</f>
        <v>387.235413992807</v>
      </c>
      <c r="L16" s="0" t="n">
        <f aca="false">-L12</f>
        <v>400.788653482556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-272.244273</v>
      </c>
      <c r="D17" s="4" t="n">
        <f aca="false">-D6*Assumptions!D46/100</f>
        <v>-288.1433385432</v>
      </c>
      <c r="E17" s="4" t="n">
        <f aca="false">-E6*Assumptions!E46/100</f>
        <v>-301.66843402584</v>
      </c>
      <c r="F17" s="4" t="n">
        <f aca="false">-F6*Assumptions!F46/100</f>
        <v>-314.052717106901</v>
      </c>
      <c r="G17" s="4" t="n">
        <f aca="false">-G6*Assumptions!G46/100</f>
        <v>-328.731268015158</v>
      </c>
      <c r="H17" s="4" t="n">
        <f aca="false">-H6*Assumptions!H46/100</f>
        <v>-342.318827093118</v>
      </c>
      <c r="I17" s="4" t="n">
        <f aca="false">-I6*Assumptions!I46/100</f>
        <v>-354.611184975098</v>
      </c>
      <c r="J17" s="4" t="n">
        <f aca="false">-J6*Assumptions!J46/100</f>
        <v>-368.01218905846</v>
      </c>
      <c r="K17" s="4" t="n">
        <f aca="false">-K6*Assumptions!K46/100</f>
        <v>-382.732676620798</v>
      </c>
      <c r="L17" s="4" t="n">
        <f aca="false">-L6*Assumptions!L46/100</f>
        <v>-396.128320302526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-71.2414920000001</v>
      </c>
      <c r="D18" s="4" t="n">
        <f aca="false">(D6-C6)*Assumptions!$B$51/100</f>
        <v>-87.11816736</v>
      </c>
      <c r="E18" s="4" t="n">
        <f aca="false">(E6-D6)*Assumptions!$B$51/100</f>
        <v>-94.0876207488002</v>
      </c>
      <c r="F18" s="4" t="n">
        <f aca="false">(F6-E6)*Assumptions!$B$51/100</f>
        <v>-95.26371600816</v>
      </c>
      <c r="G18" s="4" t="n">
        <f aca="false">(G6-F6)*Assumptions!$B$51/100</f>
        <v>-95.5812617281874</v>
      </c>
      <c r="H18" s="4" t="n">
        <f aca="false">(H6-G6)*Assumptions!$B$51/100</f>
        <v>-94.9668107599346</v>
      </c>
      <c r="I18" s="4" t="n">
        <f aca="false">(I6-H6)*Assumptions!$B$51/100</f>
        <v>-93.359680116305</v>
      </c>
      <c r="J18" s="4" t="n">
        <f aca="false">(J6-I6)*Assumptions!$B$51/100</f>
        <v>-82.4677174360695</v>
      </c>
      <c r="K18" s="4" t="n">
        <f aca="false">(K6-J6)*Assumptions!$B$51/100</f>
        <v>-69.2728826462982</v>
      </c>
      <c r="L18" s="4" t="n">
        <f aca="false">(L6-K6)*Assumptions!$B$51/100</f>
        <v>-63.0383232081313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381.194459191875</v>
      </c>
      <c r="D19" s="0" t="n">
        <f aca="false">D15+D16+D17+D18</f>
        <v>421.065243614085</v>
      </c>
      <c r="E19" s="0" t="n">
        <f aca="false">E15+E16+E17+E18</f>
        <v>479.042710685293</v>
      </c>
      <c r="F19" s="0" t="n">
        <f aca="false">F15+F16+F17+F18</f>
        <v>546.965556434226</v>
      </c>
      <c r="G19" s="0" t="n">
        <f aca="false">G15+G16+G17+G18</f>
        <v>615.893647921842</v>
      </c>
      <c r="H19" s="0" t="n">
        <f aca="false">H15+H16+H17+H18</f>
        <v>688.622379382906</v>
      </c>
      <c r="I19" s="0" t="n">
        <f aca="false">I15+I16+I17+I18</f>
        <v>764.665377482599</v>
      </c>
      <c r="J19" s="0" t="n">
        <f aca="false">J15+J16+J17+J18</f>
        <v>822.788148208173</v>
      </c>
      <c r="K19" s="0" t="n">
        <f aca="false">K15+K16+K17+K18</f>
        <v>872.193217623714</v>
      </c>
      <c r="L19" s="0" t="n">
        <f aca="false">L15+L16+L17+L18</f>
        <v>911.379090571332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352.957832585069</v>
      </c>
      <c r="D21" s="0" t="n">
        <f aca="false">D19*D20</f>
        <v>360.995579230183</v>
      </c>
      <c r="E21" s="0" t="n">
        <f aca="false">E19*E20</f>
        <v>380.279548567683</v>
      </c>
      <c r="F21" s="0" t="n">
        <f aca="false">F19*F20</f>
        <v>402.03601243058</v>
      </c>
      <c r="G21" s="0" t="n">
        <f aca="false">G19*G20</f>
        <v>419.166867935428</v>
      </c>
      <c r="H21" s="0" t="n">
        <f aca="false">H19*H20</f>
        <v>433.948907879082</v>
      </c>
      <c r="I21" s="0" t="n">
        <f aca="false">I19*I20</f>
        <v>446.17490335059</v>
      </c>
      <c r="J21" s="0" t="n">
        <f aca="false">J19*J20</f>
        <v>444.526835013876</v>
      </c>
      <c r="K21" s="0" t="n">
        <f aca="false">K19*K20</f>
        <v>436.313756255327</v>
      </c>
      <c r="L21" s="0" t="n">
        <f aca="false">L19*L20</f>
        <v>422.144859929183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4098.545103177</v>
      </c>
    </row>
    <row r="31" customFormat="false" ht="15" hidden="false" customHeight="false" outlineLevel="0" collapsed="false">
      <c r="A31" s="0" t="s">
        <v>136</v>
      </c>
      <c r="B31" s="0" t="n">
        <f aca="false">L19</f>
        <v>911.379090571332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18774.4092657694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18227.5818114266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18227.5818114266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8442.89719858365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12541.4423017606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12513.5423017606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178.002024207122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0.204180924145052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374.555726973242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689.252468827414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193.134430975268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7822.67052740393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68.5188845118229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90.9516901115388</v>
      </c>
      <c r="C4" s="0" t="n">
        <f aca="false">B4/Assumptions!$B$2-1</f>
        <v>-0.384713231555007</v>
      </c>
      <c r="D4" s="4" t="n">
        <f aca="false">Assumptions!$B$24</f>
        <v>0.2</v>
      </c>
      <c r="E4" s="4" t="n">
        <f aca="false">DCF_Bear!$B$43</f>
        <v>102.35127470993</v>
      </c>
      <c r="F4" s="4" t="n">
        <f aca="false">DCF_Bear!$B$47</f>
        <v>44.7913772320912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147.072104644159</v>
      </c>
      <c r="C5" s="0" t="n">
        <f aca="false">B5/Assumptions!$B$2-1</f>
        <v>-0.00505950044541559</v>
      </c>
      <c r="D5" s="4" t="n">
        <f aca="false">Assumptions!$B$38</f>
        <v>0.55</v>
      </c>
      <c r="E5" s="4" t="n">
        <f aca="false">DCF_Base!$B$43</f>
        <v>160.753221000862</v>
      </c>
      <c r="F5" s="4" t="n">
        <f aca="false">DCF_Base!$B$47</f>
        <v>58.3695835947836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178.002024207122</v>
      </c>
      <c r="C6" s="0" t="n">
        <f aca="false">B6/Assumptions!$B$2-1</f>
        <v>0.204180924145052</v>
      </c>
      <c r="D6" s="4" t="n">
        <f aca="false">Assumptions!$B$52</f>
        <v>0.25</v>
      </c>
      <c r="E6" s="4" t="n">
        <f aca="false">DCF_Bull!$B$43</f>
        <v>193.134430975268</v>
      </c>
      <c r="F6" s="4" t="n">
        <f aca="false">DCF_Bull!$B$47</f>
        <v>68.5188845118229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143.580501628375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157.168134236277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-0.0295269784096277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31.2011554474852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58.1912675515049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147.072104644159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123.6010688619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104.829684544451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90.8024713401881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79.9348580303588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58.3695835947836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172.493022290734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172.493022290734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172.493022290734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172.493022290734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172.493022290734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159.168537162795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159.168537162795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159.168537162795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159.168537162795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159.168537162795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132.585780074272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140.487411657846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147.072104644159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147.072104644159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147.072104644159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112.172634462275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117.447296492871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123.6010688619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130.873708934389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136.077983481674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96.934681202615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100.619016095472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104.829684544451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109.688148139427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115.356355666899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2026-09-28T22:17:38Z</dcterms:created>
  <dc:creator>openpyxl</dc:creator>
  <dc:description/>
  <dc:language>en-NZ</dc:language>
  <cp:lastModifiedBy/>
  <dcterms:modified xsi:type="dcterms:W3CDTF">2026-09-28T22:17:38Z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