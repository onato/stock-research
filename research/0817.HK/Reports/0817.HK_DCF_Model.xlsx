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<sst xmlns="http://schemas.openxmlformats.org/spreadsheetml/2006/main" count="353" uniqueCount="163">
  <si>
    <t xml:space="preserve">Ticker</t>
  </si>
  <si>
    <t xml:space="preserve">0817.HK</t>
  </si>
  <si>
    <t xml:space="preserve">Company</t>
  </si>
  <si>
    <t xml:space="preserve">China Jinmao Holdings Group Limited</t>
  </si>
  <si>
    <t xml:space="preserve">Valuation date</t>
  </si>
  <si>
    <t xml:space="preserve">2026-10-11</t>
  </si>
  <si>
    <t xml:space="preserve">Current price</t>
  </si>
  <si>
    <t xml:space="preserve">Price as of</t>
  </si>
  <si>
    <t xml:space="preserve">2026-10-09T08:08:06Z HKEX regular close (Friday); not after-hours</t>
  </si>
  <si>
    <t xml:space="preserve">Balance sheet date</t>
  </si>
  <si>
    <t xml:space="preserve">2026-06-30</t>
  </si>
  <si>
    <t xml:space="preserve">Model</t>
  </si>
  <si>
    <t xml:space="preserve">Inventory-heavy developer: blended NTA exit-P/B and earnings exit-P/E, run as an ordinary-earnings flow at cost of equity with net debt held at zero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</si>
  <si>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</si>
  <si>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</si>
  <si>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</si>
  <si>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</si>
  <si>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</si>
  <si>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</si>
  <si>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</si>
  <si>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</si>
  <si>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</si>
  <si>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2026-10-11T08:26:10Z</t>
  </si>
  <si>
    <t xml:space="preserve">Drivers file</t>
  </si>
  <si>
    <t xml:space="preserve">0817.HK_Drivers.json</t>
  </si>
  <si>
    <t xml:space="preserve">Convention</t>
  </si>
  <si>
    <t xml:space="preserve">Percents stored as percents; formulas divide by 100. Blue = input, green = link, black = formula.</t>
  </si>
  <si>
    <t xml:space="preserve">Methodology</t>
  </si>
  <si>
    <t xml:space="preserve">summary: A developer at 0.38x ordinary book is cheap only if the book is real and earnings recover; the model therefore values the ordinary-earnings stream at a 12% CNY cost of equity, charges land-bank reinvestment against growth, and exits at a P/B-consistent earnings multiple (0.5x book base). Net debt is in the flow, not the bridge. The Sinochem perpetual (RMB 15.2bn inside 'attributable' equity) is stripped from book and its distribution from earnings. Weighted toward the bear because the sector has not troughed and leverage is 11x.
key_risks_to_valuation: Further inventory impairments on the 2021-23 land bank (RMB 1.8bn incl. JV share in FY2025; RMB 6.9bn loss in FY2023) erode ordinary book and the P/B leg; Development gross margin stuck at the H1 FY2026 7% rather than recovering to 15-18% on new land - the base margin ramp is the single largest driver; Leakage below the attributable line: 56% effective tax (land appreciation tax), NCI ~43% of post-tax profit, fixed RMB 662m perpetual distribution; ordinary shareholders see ~12 cents of each pre-tax RMB in FY2025; Refinancing / rating: Ba3 with ~RMB 25.5bn of borrowings due within 12 months, floating-rate heavy; Sinochem support is the mitigant and also a governance exposure (RMB 20bn due to holding companies); CNY/HKD translation (1.17) between the RMB flows and the HKD quote; a weaker RMB lowers HKD values one-for-one; Model form: capitalising ordinary earnings treats retained earnings at face value within the horizon; the reinvestment charge and the sub-1x exit P/B are what bring the result toward a dividends-plus-NTA model (~HKD 1.25 base cross-check)</t>
  </si>
  <si>
    <t xml:space="preserve">Data sources</t>
  </si>
  <si>
    <t xml:space="preserve">price: Yahoo Finance chart API at inputs.price_as_of; 52-week range 1.15-2.04 HKD. FX CNYHKD=X same source, 2026-10-10.
financials: 0817.HK_Metrics.csv (core_metrics, RMB millions) FY2018-FY2025 and H1 FY2023-H1 FY2026; H1 FY2026 interim report for the 30 Jun 2026 balance sheet (equity attributable 54,632.2, perpetual 15,195.75, NCI 69,450.9, borrowings 122,757.9, cash 37,345.3, restricted 5,546.8, net debt 79,865.8, shares 13,512,466,348); FY2025 annual report note 37 (perpetual capital instruments), capital-management note (net debt-to-adjusted capital 69%), EPS note (ordinary profit after perpetual distribution 661.6m).
qualitative: 0817.HK_Analysis.json (2026-10-11): Sinochem SOE backing, contracted sales RMB 113.5bn FY2025 (+16%, rank 8) and RMB 57.5bn H1 FY2026 (+8%, rank 7), Moody's Ba3 downgrade, net debt-to-adjusted capital 52% at H1 FY2026, sell-side targets HKD 1.70-2.14.</t>
  </si>
  <si>
    <t xml:space="preserve">Scenario narrative: bear</t>
  </si>
  <si>
    <t xml:space="preserve">The downturn runs through 2027 ('risks have not yet been cleared' - management). Revenue falls 15% in FY2026 and 5% more in FY2027; the 2021-23 land bank takes a further round of impairments in FY2027 (a smaller FY2023), wiping that year's ordinary profit and eroding ordinary book to ~RMB 35bn. Development margins settle at a 2% ordinary net margin on flat revenue. Leakage worsens: land appreciation tax keeps the effective rate above 50%, NCI takes ~45% of post-tax profit, and the RMB 662m perpetual distribution is fixed. Moody's moves below Ba3; equity exits at ~0.2x book / 6x earnings, where Vanke trades.</t>
  </si>
  <si>
    <t xml:space="preserve">Scenario narrative: base</t>
  </si>
  <si>
    <t xml:space="preserve">The China residential market stops shrinking by 2027 and bifurcates toward core cities and SOE developers, which is where Jinmao's land bank sits (Beijing, Shanghai, 12 parcels in H1 FY2026 at a 1.4% average premium). Recognised revenue falls ~10% in FY2026 (H1 was -15%) then recovers in FY2027-28 as the RMB 113.5bn of FY2025 contracted sales and the growing FY2026 book deliver. Development gross margin climbs off the 7% H1 FY2026 trough as low-cost 2024-26 land replaces the 2021-23 vintages, lifting the ordinary net margin from 1-1.5% to 4.5% by FY2033. Deleveraging continues (net debt-to-adjusted capital 69% -&gt; 52% in H1 FY2026) so growth is increasingly equity-funded, charged as a 25% reinvestment take on incremental revenue. Exit at 0.5x ordinary book / 7.5x earnings.</t>
  </si>
  <si>
    <t xml:space="preserve">Scenario narrative: bull</t>
  </si>
  <si>
    <t xml:space="preserve">Policy support broadens (three-red-lines relaxation, destocking purchases) and the sector troughs in 2026. Jinmao converts its top-7 contracted-sales rank into recognised revenue growth of 15-20% in FY2027-28 and the new land bank delivers 18-20% gross margins, taking ordinary net margin to 6% by FY2031 (still below FY2019-21). Second-curve income (Jinmao Services +24%, REIT recycling, &gt;50% EBITDA-margin hotels) and lower perpetual/finance cost stop the NCI and perpetual leakage growing. Sinochem's funding advantage at 2.3-2.9% coupons widens the gap to private peers; the market re-rates SOE developers toward CR Land's ~0.8x book (10x earnings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</si>
  <si>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</si>
  <si>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</si>
  <si>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</si>
  <si>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</si>
  <si>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</si>
  <si>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</si>
  <si>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</si>
  <si>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</si>
  <si>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</si>
  <si>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</si>
  <si>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</si>
  <si>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</si>
  <si>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</si>
  <si>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</si>
  <si>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</si>
  <si>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</si>
  <si>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</si>
  <si>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</si>
  <si>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</si>
  <si>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</si>
  <si>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</si>
  <si>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</si>
  <si>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</si>
  <si>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</si>
  <si>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</si>
  <si>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</si>
  <si>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</si>
  <si>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</si>
  <si>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</si>
  <si>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</si>
  <si>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</si>
  <si>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</si>
  <si>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</si>
  <si>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</si>
  <si>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</si>
  <si>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</si>
  <si>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</si>
  <si>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</si>
  <si>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</si>
  <si>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</si>
  <si>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</si>
  <si>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</si>
  <si>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</si>
  <si>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</si>
  <si>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</si>
  <si>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</si>
  <si>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</si>
  <si>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</si>
  <si>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</si>
  <si>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</si>
  <si>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</si>
  <si>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</si>
  <si>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</si>
  <si>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</si>
  <si>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</si>
  <si>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</si>
  <si>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</si>
  <si>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</si>
  <si>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</si>
  <si>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</si>
  <si>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</si>
  <si>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</si>
  <si>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</si>
  <si>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</si>
  <si>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</si>
  <si>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</si>
  <si>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</si>
  <si>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</si>
  <si>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</si>
  <si>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</si>
  <si>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</si>
  <si>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</si>
  <si>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0817.HK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</si>
  <si>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</si>
  <si>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</si>
  <si>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</si>
  <si>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</si>
  <si>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</si>
  <si>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</si>
  <si>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</si>
  <si>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</si>
  <si>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</si>
  <si>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</si>
  <si>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</si>
  <si>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</si>
  <si>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</si>
  <si>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</si>
  <si>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</si>
  <si>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</si>
  <si>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</si>
  <si>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</si>
  <si>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</si>
  <si>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</si>
  <si>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</si>
  <si>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</si>
  <si>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</si>
  <si>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</si>
  <si>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</si>
  <si>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</si>
  <si>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</si>
  <si>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</si>
  <si>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</si>
  <si>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</si>
  <si>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0817.HK owner-FCF component DCF: base case (millions, CNY)</t>
  </si>
  <si>
    <t xml:space="preserve">0817.HK owner-FCF component DCF: bull case (millions, CNY)</t>
  </si>
  <si>
    <t xml:space="preserve">0817.HK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</si>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</sst>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38732.667</v>
      </c>
      <c r="C2" s="0" t="n">
        <v>24194.452</v>
      </c>
      <c r="D2" s="0" t="n">
        <v>14538.215</v>
      </c>
      <c r="E2" s="0" t="n">
        <v>37.5</v>
      </c>
      <c r="I2" s="0" t="n">
        <v>5210.888</v>
      </c>
      <c r="J2" s="0" t="n">
        <v>13.5</v>
      </c>
      <c r="K2" s="0" t="n">
        <v>0.4528</v>
      </c>
      <c r="L2" s="0" t="n">
        <v>2011.86</v>
      </c>
      <c r="M2" s="0" t="n">
        <v>1590.403</v>
      </c>
      <c r="N2" s="0" t="n">
        <v>421.457</v>
      </c>
      <c r="O2" s="0" t="n">
        <v>35796.236</v>
      </c>
      <c r="P2" s="0" t="n">
        <v>271638.243</v>
      </c>
      <c r="Q2" s="0" t="n">
        <v>193372.976</v>
      </c>
      <c r="R2" s="0" t="n">
        <v>87972.658</v>
      </c>
      <c r="S2" s="0" t="n">
        <v>21324.2</v>
      </c>
      <c r="T2" s="0" t="n">
        <v>11507.08</v>
      </c>
      <c r="U2" s="0" t="n">
        <v>21.911</v>
      </c>
      <c r="AA2" s="0" t="s">
        <v>18</v>
      </c>
      <c r="AB2" s="0" t="s">
        <v>14</v>
      </c>
    </row>
    <row r="3" customFormat="false" ht="15" hidden="false" customHeight="false" outlineLevel="0" collapsed="false">
      <c r="A3" s="0" t="s">
        <v>65</v>
      </c>
      <c r="B3" s="0" t="n">
        <v>43355.941</v>
      </c>
      <c r="C3" s="0" t="n">
        <v>30591.198</v>
      </c>
      <c r="D3" s="0" t="n">
        <v>12764.743</v>
      </c>
      <c r="E3" s="0" t="n">
        <v>29.4</v>
      </c>
      <c r="I3" s="0" t="n">
        <v>6452.21</v>
      </c>
      <c r="J3" s="0" t="n">
        <v>14.9</v>
      </c>
      <c r="K3" s="0" t="n">
        <v>0.5538</v>
      </c>
      <c r="L3" s="0" t="n">
        <v>20099.19</v>
      </c>
      <c r="M3" s="0" t="n">
        <v>1100.633</v>
      </c>
      <c r="N3" s="0" t="n">
        <v>18998.557</v>
      </c>
      <c r="O3" s="0" t="n">
        <v>39372.187</v>
      </c>
      <c r="P3" s="0" t="n">
        <v>326148.527</v>
      </c>
      <c r="Q3" s="0" t="n">
        <v>240290.346</v>
      </c>
      <c r="R3" s="0" t="n">
        <v>96036.136</v>
      </c>
      <c r="S3" s="0" t="n">
        <v>17194.702</v>
      </c>
      <c r="T3" s="0" t="n">
        <v>11650.15</v>
      </c>
      <c r="U3" s="0" t="n">
        <v>84.016</v>
      </c>
      <c r="AA3" s="0" t="s">
        <v>18</v>
      </c>
      <c r="AB3" s="0" t="s">
        <v>14</v>
      </c>
    </row>
    <row r="4" customFormat="false" ht="15" hidden="false" customHeight="false" outlineLevel="0" collapsed="false">
      <c r="A4" s="0" t="s">
        <v>66</v>
      </c>
      <c r="B4" s="0" t="n">
        <v>60053.878</v>
      </c>
      <c r="C4" s="0" t="n">
        <v>47939.514</v>
      </c>
      <c r="D4" s="0" t="n">
        <v>12114.364</v>
      </c>
      <c r="E4" s="0" t="n">
        <v>20.2</v>
      </c>
      <c r="I4" s="0" t="n">
        <v>3880.986</v>
      </c>
      <c r="J4" s="0" t="n">
        <v>6.5</v>
      </c>
      <c r="K4" s="0" t="n">
        <v>0.3186</v>
      </c>
      <c r="L4" s="0" t="n">
        <v>31339.156</v>
      </c>
      <c r="M4" s="0" t="n">
        <v>1268.38</v>
      </c>
      <c r="N4" s="0" t="n">
        <v>30070.776</v>
      </c>
      <c r="O4" s="0" t="n">
        <v>46762.064</v>
      </c>
      <c r="P4" s="0" t="n">
        <v>387756.174</v>
      </c>
      <c r="Q4" s="0" t="n">
        <v>285929.092</v>
      </c>
      <c r="R4" s="0" t="n">
        <v>97578.278</v>
      </c>
      <c r="S4" s="0" t="n">
        <v>43455.58</v>
      </c>
      <c r="T4" s="0" t="n">
        <v>12179.84</v>
      </c>
      <c r="U4" s="0" t="n">
        <v>87.786</v>
      </c>
      <c r="AA4" s="0" t="s">
        <v>18</v>
      </c>
      <c r="AB4" s="0" t="s">
        <v>14</v>
      </c>
    </row>
    <row r="5" customFormat="false" ht="15" hidden="false" customHeight="false" outlineLevel="0" collapsed="false">
      <c r="A5" s="0" t="s">
        <v>67</v>
      </c>
      <c r="B5" s="0" t="n">
        <v>90059.934</v>
      </c>
      <c r="C5" s="0" t="n">
        <v>73302.309</v>
      </c>
      <c r="D5" s="0" t="n">
        <v>16757.625</v>
      </c>
      <c r="E5" s="0" t="n">
        <v>18.6</v>
      </c>
      <c r="I5" s="0" t="n">
        <v>4689.944</v>
      </c>
      <c r="J5" s="0" t="n">
        <v>5.2</v>
      </c>
      <c r="K5" s="0" t="n">
        <v>0.3695</v>
      </c>
      <c r="L5" s="0" t="n">
        <v>4438.092</v>
      </c>
      <c r="M5" s="0" t="n">
        <v>1125.132</v>
      </c>
      <c r="N5" s="0" t="n">
        <v>3312.96</v>
      </c>
      <c r="O5" s="0" t="n">
        <v>49961.349</v>
      </c>
      <c r="P5" s="0" t="n">
        <v>412002.304</v>
      </c>
      <c r="Q5" s="0" t="n">
        <v>305208.676</v>
      </c>
      <c r="R5" s="0" t="n">
        <v>107028.089</v>
      </c>
      <c r="S5" s="0" t="n">
        <v>31050.637</v>
      </c>
      <c r="T5" s="0" t="n">
        <v>12691.58</v>
      </c>
      <c r="U5" s="0" t="n">
        <v>46.127</v>
      </c>
      <c r="AA5" s="0" t="s">
        <v>18</v>
      </c>
      <c r="AB5" s="0" t="s">
        <v>14</v>
      </c>
    </row>
    <row r="6" customFormat="false" ht="15" hidden="false" customHeight="false" outlineLevel="0" collapsed="false">
      <c r="A6" s="0" t="s">
        <v>68</v>
      </c>
      <c r="B6" s="0" t="n">
        <v>82991.372</v>
      </c>
      <c r="C6" s="0" t="n">
        <v>69845.752</v>
      </c>
      <c r="D6" s="0" t="n">
        <v>13145.62</v>
      </c>
      <c r="E6" s="0" t="n">
        <v>15.8</v>
      </c>
      <c r="I6" s="0" t="n">
        <v>1984.083</v>
      </c>
      <c r="J6" s="0" t="n">
        <v>2.4</v>
      </c>
      <c r="K6" s="0" t="n">
        <v>0.1556</v>
      </c>
      <c r="L6" s="0" t="n">
        <v>1780.441</v>
      </c>
      <c r="M6" s="0" t="n">
        <v>970.036</v>
      </c>
      <c r="N6" s="0" t="n">
        <v>810.405</v>
      </c>
      <c r="O6" s="0" t="n">
        <v>47445.427</v>
      </c>
      <c r="P6" s="0" t="n">
        <v>421895.639</v>
      </c>
      <c r="Q6" s="0" t="n">
        <v>309208.899</v>
      </c>
      <c r="R6" s="0" t="n">
        <v>122665.09</v>
      </c>
      <c r="S6" s="0" t="n">
        <v>37089.244</v>
      </c>
      <c r="T6" s="0" t="n">
        <v>12754.75</v>
      </c>
      <c r="U6" s="0" t="n">
        <v>-48.308</v>
      </c>
      <c r="AA6" s="0" t="s">
        <v>18</v>
      </c>
      <c r="AB6" s="0" t="s">
        <v>14</v>
      </c>
    </row>
    <row r="7" customFormat="false" ht="15" hidden="false" customHeight="false" outlineLevel="0" collapsed="false">
      <c r="A7" s="0" t="s">
        <v>69</v>
      </c>
      <c r="B7" s="0" t="n">
        <v>72403.613</v>
      </c>
      <c r="C7" s="0" t="n">
        <v>63382.132</v>
      </c>
      <c r="D7" s="0" t="n">
        <v>9021.481</v>
      </c>
      <c r="E7" s="0" t="n">
        <v>12.5</v>
      </c>
      <c r="I7" s="0" t="n">
        <v>-6896.644</v>
      </c>
      <c r="J7" s="0" t="n">
        <v>-9.5</v>
      </c>
      <c r="K7" s="0" t="n">
        <v>-0.5162</v>
      </c>
      <c r="L7" s="0" t="n">
        <v>3090.732</v>
      </c>
      <c r="M7" s="0" t="n">
        <v>937.941</v>
      </c>
      <c r="N7" s="0" t="n">
        <v>2152.791</v>
      </c>
      <c r="O7" s="0" t="n">
        <v>39291.296</v>
      </c>
      <c r="P7" s="0" t="n">
        <v>407119.201</v>
      </c>
      <c r="Q7" s="0" t="n">
        <v>297282.084</v>
      </c>
      <c r="R7" s="0" t="n">
        <v>127379.349</v>
      </c>
      <c r="S7" s="0" t="n">
        <v>30919.968</v>
      </c>
      <c r="T7" s="0" t="n">
        <v>13361.22</v>
      </c>
      <c r="U7" s="0" t="n">
        <v>-1.69</v>
      </c>
      <c r="AA7" s="0" t="s">
        <v>18</v>
      </c>
      <c r="AB7" s="0" t="s">
        <v>14</v>
      </c>
    </row>
    <row r="8" customFormat="false" ht="15" hidden="false" customHeight="false" outlineLevel="0" collapsed="false">
      <c r="A8" s="0" t="s">
        <v>70</v>
      </c>
      <c r="B8" s="0" t="n">
        <v>59052.954</v>
      </c>
      <c r="C8" s="0" t="n">
        <v>50456.068</v>
      </c>
      <c r="D8" s="0" t="n">
        <v>8596.886</v>
      </c>
      <c r="E8" s="0" t="n">
        <v>14.6</v>
      </c>
      <c r="I8" s="0" t="n">
        <v>1064.809</v>
      </c>
      <c r="J8" s="0" t="n">
        <v>1.8</v>
      </c>
      <c r="K8" s="0" t="n">
        <v>0.0519</v>
      </c>
      <c r="L8" s="0" t="n">
        <v>-3628.345</v>
      </c>
      <c r="M8" s="0" t="n">
        <v>802.016</v>
      </c>
      <c r="N8" s="0" t="n">
        <v>-4430.361</v>
      </c>
      <c r="O8" s="0" t="n">
        <v>53575.131</v>
      </c>
      <c r="P8" s="0" t="n">
        <v>409256.418</v>
      </c>
      <c r="Q8" s="0" t="n">
        <v>300977.816</v>
      </c>
      <c r="R8" s="0" t="n">
        <v>122800.915</v>
      </c>
      <c r="S8" s="0" t="n">
        <v>30805.085</v>
      </c>
      <c r="T8" s="0" t="n">
        <v>13500.67</v>
      </c>
      <c r="U8" s="0" t="n">
        <v>0</v>
      </c>
      <c r="AA8" s="0" t="s">
        <v>18</v>
      </c>
      <c r="AB8" s="0" t="s">
        <v>14</v>
      </c>
    </row>
    <row r="9" customFormat="false" ht="15" hidden="false" customHeight="false" outlineLevel="0" collapsed="false">
      <c r="A9" s="0" t="s">
        <v>71</v>
      </c>
      <c r="B9" s="0" t="n">
        <v>59371.324</v>
      </c>
      <c r="C9" s="0" t="n">
        <v>50149.99</v>
      </c>
      <c r="D9" s="0" t="n">
        <v>9221.334</v>
      </c>
      <c r="E9" s="0" t="n">
        <v>15.5</v>
      </c>
      <c r="I9" s="0" t="n">
        <v>1253.2</v>
      </c>
      <c r="J9" s="0" t="n">
        <v>2.1</v>
      </c>
      <c r="K9" s="0" t="n">
        <v>0.0438</v>
      </c>
      <c r="L9" s="0" t="n">
        <v>463.091</v>
      </c>
      <c r="M9" s="0" t="n">
        <v>1294.032</v>
      </c>
      <c r="N9" s="0" t="n">
        <v>-830.941</v>
      </c>
      <c r="O9" s="0" t="n">
        <v>53237.052</v>
      </c>
      <c r="P9" s="0" t="n">
        <v>441733.801</v>
      </c>
      <c r="Q9" s="0" t="n">
        <v>322172.367</v>
      </c>
      <c r="R9" s="0" t="n">
        <v>129011.982</v>
      </c>
      <c r="S9" s="0" t="n">
        <v>28403.232</v>
      </c>
      <c r="T9" s="0" t="n">
        <v>13507.07</v>
      </c>
      <c r="U9" s="0" t="n">
        <v>0</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1.29</v>
      </c>
    </row>
    <row r="3" customFormat="false" ht="15" hidden="false" customHeight="false" outlineLevel="0" collapsed="false">
      <c r="A3" s="0" t="s">
        <v>75</v>
      </c>
      <c r="B3" s="3" t="n">
        <v>13512.5</v>
      </c>
    </row>
    <row r="4" customFormat="false" ht="15" hidden="false" customHeight="false" outlineLevel="0" collapsed="false">
      <c r="A4" s="0" t="s">
        <v>76</v>
      </c>
      <c r="B4" s="3" t="n">
        <v>0</v>
      </c>
    </row>
    <row r="5" customFormat="false" ht="15" hidden="false" customHeight="false" outlineLevel="0" collapsed="false">
      <c r="A5" s="0" t="s">
        <v>77</v>
      </c>
      <c r="B5" s="3" t="n">
        <v>0</v>
      </c>
    </row>
    <row r="6" customFormat="false" ht="15" hidden="false" customHeight="false" outlineLevel="0" collapsed="false">
      <c r="A6" s="0" t="s">
        <v>78</v>
      </c>
      <c r="B6" s="3" t="n">
        <v>15</v>
      </c>
    </row>
    <row r="7" customFormat="false" ht="15" hidden="false" customHeight="false" outlineLevel="0" collapsed="false">
      <c r="A7" s="0" t="s">
        <v>79</v>
      </c>
      <c r="B7" s="3" t="n">
        <v>59371.3</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1.1721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-15</v>
      </c>
      <c r="D13" s="3" t="n">
        <v>-5</v>
      </c>
      <c r="E13" s="3" t="n">
        <v>0</v>
      </c>
      <c r="F13" s="3" t="n">
        <v>2</v>
      </c>
      <c r="G13" s="3" t="n">
        <v>2</v>
      </c>
      <c r="H13" s="3" t="n">
        <v>2</v>
      </c>
      <c r="I13" s="3" t="n">
        <v>2</v>
      </c>
      <c r="J13" s="3" t="n">
        <v>2</v>
      </c>
      <c r="K13" s="3" t="n">
        <v>2</v>
      </c>
      <c r="L13" s="3" t="n">
        <v>2</v>
      </c>
    </row>
    <row r="14" customFormat="false" ht="15" hidden="false" customHeight="false" outlineLevel="0" collapsed="false">
      <c r="A14" s="0" t="s">
        <v>96</v>
      </c>
      <c r="C14" s="3" t="n">
        <v>0.5</v>
      </c>
      <c r="D14" s="3" t="n">
        <v>0</v>
      </c>
      <c r="E14" s="3" t="n">
        <v>0.5</v>
      </c>
      <c r="F14" s="3" t="n">
        <v>1</v>
      </c>
      <c r="G14" s="3" t="n">
        <v>1.5</v>
      </c>
      <c r="H14" s="3" t="n">
        <v>2</v>
      </c>
      <c r="I14" s="3" t="n">
        <v>2</v>
      </c>
      <c r="J14" s="3" t="n">
        <v>2</v>
      </c>
      <c r="K14" s="3" t="n">
        <v>2</v>
      </c>
      <c r="L14" s="3" t="n">
        <v>2</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100</v>
      </c>
      <c r="C18" s="3" t="n">
        <v>0</v>
      </c>
      <c r="D18" s="3" t="n">
        <v>0</v>
      </c>
      <c r="E18" s="3" t="n">
        <v>0</v>
      </c>
      <c r="F18" s="3" t="n">
        <v>0</v>
      </c>
      <c r="G18" s="3" t="n">
        <v>0</v>
      </c>
      <c r="H18" s="3" t="n">
        <v>0</v>
      </c>
      <c r="I18" s="3" t="n">
        <v>0</v>
      </c>
      <c r="J18" s="3" t="n">
        <v>0</v>
      </c>
      <c r="K18" s="3" t="n">
        <v>0</v>
      </c>
      <c r="L18" s="3" t="n">
        <v>0</v>
      </c>
    </row>
    <row r="19" customFormat="false" ht="15" hidden="false" customHeight="false" outlineLevel="0" collapsed="false">
      <c r="A19" s="0" t="s">
        <v>101</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102</v>
      </c>
      <c r="B20" s="3" t="n">
        <v>12</v>
      </c>
    </row>
    <row r="21" customFormat="false" ht="15" hidden="false" customHeight="false" outlineLevel="0" collapsed="false">
      <c r="A21" s="0" t="s">
        <v>103</v>
      </c>
      <c r="B21" s="3" t="n">
        <v>2</v>
      </c>
    </row>
    <row r="22" customFormat="false" ht="15" hidden="false" customHeight="false" outlineLevel="0" collapsed="false">
      <c r="A22" s="0" t="s">
        <v>104</v>
      </c>
      <c r="B22" s="3" t="n">
        <v>6</v>
      </c>
    </row>
    <row r="23" customFormat="false" ht="15" hidden="false" customHeight="false" outlineLevel="0" collapsed="false">
      <c r="A23" s="0" t="s">
        <v>105</v>
      </c>
      <c r="B23" s="3" t="n">
        <v>-25</v>
      </c>
    </row>
    <row r="24" customFormat="false" ht="15" hidden="false" customHeight="false" outlineLevel="0" collapsed="false">
      <c r="A24" s="0" t="s">
        <v>106</v>
      </c>
      <c r="B24" s="3" t="n">
        <v>0.35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-10</v>
      </c>
      <c r="D27" s="3" t="n">
        <v>15</v>
      </c>
      <c r="E27" s="3" t="n">
        <v>12</v>
      </c>
      <c r="F27" s="3" t="n">
        <v>6</v>
      </c>
      <c r="G27" s="3" t="n">
        <v>4</v>
      </c>
      <c r="H27" s="3" t="n">
        <v>3</v>
      </c>
      <c r="I27" s="3" t="n">
        <v>2.5</v>
      </c>
      <c r="J27" s="3" t="n">
        <v>2.5</v>
      </c>
      <c r="K27" s="3" t="n">
        <v>2.5</v>
      </c>
      <c r="L27" s="3" t="n">
        <v>2.5</v>
      </c>
    </row>
    <row r="28" customFormat="false" ht="15" hidden="false" customHeight="false" outlineLevel="0" collapsed="false">
      <c r="A28" s="0" t="s">
        <v>96</v>
      </c>
      <c r="C28" s="3" t="n">
        <v>1.5</v>
      </c>
      <c r="D28" s="3" t="n">
        <v>2</v>
      </c>
      <c r="E28" s="3" t="n">
        <v>2.8</v>
      </c>
      <c r="F28" s="3" t="n">
        <v>3.5</v>
      </c>
      <c r="G28" s="3" t="n">
        <v>4</v>
      </c>
      <c r="H28" s="3" t="n">
        <v>4.2</v>
      </c>
      <c r="I28" s="3" t="n">
        <v>4.4</v>
      </c>
      <c r="J28" s="3" t="n">
        <v>4.5</v>
      </c>
      <c r="K28" s="3" t="n">
        <v>4.5</v>
      </c>
      <c r="L28" s="3" t="n">
        <v>4.5</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100</v>
      </c>
      <c r="C32" s="3" t="n">
        <v>0</v>
      </c>
      <c r="D32" s="3" t="n">
        <v>0</v>
      </c>
      <c r="E32" s="3" t="n">
        <v>0</v>
      </c>
      <c r="F32" s="3" t="n">
        <v>0</v>
      </c>
      <c r="G32" s="3" t="n">
        <v>0</v>
      </c>
      <c r="H32" s="3" t="n">
        <v>0</v>
      </c>
      <c r="I32" s="3" t="n">
        <v>0</v>
      </c>
      <c r="J32" s="3" t="n">
        <v>0</v>
      </c>
      <c r="K32" s="3" t="n">
        <v>0</v>
      </c>
      <c r="L32" s="3" t="n">
        <v>0</v>
      </c>
    </row>
    <row r="33" customFormat="false" ht="15" hidden="false" customHeight="false" outlineLevel="0" collapsed="false">
      <c r="A33" s="0" t="s">
        <v>101</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102</v>
      </c>
      <c r="B34" s="3" t="n">
        <v>12</v>
      </c>
    </row>
    <row r="35" customFormat="false" ht="15" hidden="false" customHeight="false" outlineLevel="0" collapsed="false">
      <c r="A35" s="0" t="s">
        <v>103</v>
      </c>
      <c r="B35" s="3" t="n">
        <v>2.5</v>
      </c>
    </row>
    <row r="36" customFormat="false" ht="15" hidden="false" customHeight="false" outlineLevel="0" collapsed="false">
      <c r="A36" s="0" t="s">
        <v>104</v>
      </c>
      <c r="B36" s="3" t="n">
        <v>7.5</v>
      </c>
    </row>
    <row r="37" customFormat="false" ht="15" hidden="false" customHeight="false" outlineLevel="0" collapsed="false">
      <c r="A37" s="0" t="s">
        <v>105</v>
      </c>
      <c r="B37" s="3" t="n">
        <v>-25</v>
      </c>
    </row>
    <row r="38" customFormat="false" ht="15" hidden="false" customHeight="false" outlineLevel="0" collapsed="false">
      <c r="A38" s="0" t="s">
        <v>106</v>
      </c>
      <c r="B38" s="3" t="n">
        <v>0.45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-5</v>
      </c>
      <c r="D41" s="3" t="n">
        <v>20</v>
      </c>
      <c r="E41" s="3" t="n">
        <v>15</v>
      </c>
      <c r="F41" s="3" t="n">
        <v>8</v>
      </c>
      <c r="G41" s="3" t="n">
        <v>5</v>
      </c>
      <c r="H41" s="3" t="n">
        <v>4</v>
      </c>
      <c r="I41" s="3" t="n">
        <v>3</v>
      </c>
      <c r="J41" s="3" t="n">
        <v>3</v>
      </c>
      <c r="K41" s="3" t="n">
        <v>3</v>
      </c>
      <c r="L41" s="3" t="n">
        <v>3</v>
      </c>
    </row>
    <row r="42" customFormat="false" ht="15" hidden="false" customHeight="false" outlineLevel="0" collapsed="false">
      <c r="A42" s="0" t="s">
        <v>96</v>
      </c>
      <c r="C42" s="3" t="n">
        <v>2</v>
      </c>
      <c r="D42" s="3" t="n">
        <v>3</v>
      </c>
      <c r="E42" s="3" t="n">
        <v>4</v>
      </c>
      <c r="F42" s="3" t="n">
        <v>5</v>
      </c>
      <c r="G42" s="3" t="n">
        <v>5.5</v>
      </c>
      <c r="H42" s="3" t="n">
        <v>6</v>
      </c>
      <c r="I42" s="3" t="n">
        <v>6</v>
      </c>
      <c r="J42" s="3" t="n">
        <v>6</v>
      </c>
      <c r="K42" s="3" t="n">
        <v>6</v>
      </c>
      <c r="L42" s="3" t="n">
        <v>6</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100</v>
      </c>
      <c r="C46" s="3" t="n">
        <v>0</v>
      </c>
      <c r="D46" s="3" t="n">
        <v>0</v>
      </c>
      <c r="E46" s="3" t="n">
        <v>0</v>
      </c>
      <c r="F46" s="3" t="n">
        <v>0</v>
      </c>
      <c r="G46" s="3" t="n">
        <v>0</v>
      </c>
      <c r="H46" s="3" t="n">
        <v>0</v>
      </c>
      <c r="I46" s="3" t="n">
        <v>0</v>
      </c>
      <c r="J46" s="3" t="n">
        <v>0</v>
      </c>
      <c r="K46" s="3" t="n">
        <v>0</v>
      </c>
      <c r="L46" s="3" t="n">
        <v>0</v>
      </c>
    </row>
    <row r="47" customFormat="false" ht="15" hidden="false" customHeight="false" outlineLevel="0" collapsed="false">
      <c r="A47" s="0" t="s">
        <v>101</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102</v>
      </c>
      <c r="B48" s="3" t="n">
        <v>12</v>
      </c>
    </row>
    <row r="49" customFormat="false" ht="15" hidden="false" customHeight="false" outlineLevel="0" collapsed="false">
      <c r="A49" s="0" t="s">
        <v>103</v>
      </c>
      <c r="B49" s="3" t="n">
        <v>3</v>
      </c>
    </row>
    <row r="50" customFormat="false" ht="15" hidden="false" customHeight="false" outlineLevel="0" collapsed="false">
      <c r="A50" s="0" t="s">
        <v>104</v>
      </c>
      <c r="B50" s="3" t="n">
        <v>10</v>
      </c>
    </row>
    <row r="51" customFormat="false" ht="15" hidden="false" customHeight="false" outlineLevel="0" collapsed="false">
      <c r="A51" s="0" t="s">
        <v>105</v>
      </c>
      <c r="B51" s="3" t="n">
        <v>-20</v>
      </c>
    </row>
    <row r="52" customFormat="false" ht="15" hidden="false" customHeight="false" outlineLevel="0" collapsed="false">
      <c r="A52" s="0" t="s">
        <v>106</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-15</v>
      </c>
      <c r="D5" s="4" t="n">
        <f aca="false">Assumptions!D13</f>
        <v>-5</v>
      </c>
      <c r="E5" s="4" t="n">
        <f aca="false">Assumptions!E13</f>
        <v>0</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59371.3</v>
      </c>
      <c r="C6" s="0" t="n">
        <f aca="false">B6*(1+C5/100)</f>
        <v>50465.605</v>
      </c>
      <c r="D6" s="0" t="n">
        <f aca="false">C6*(1+D5/100)</f>
        <v>47942.32475</v>
      </c>
      <c r="E6" s="0" t="n">
        <f aca="false">D6*(1+E5/100)</f>
        <v>47942.32475</v>
      </c>
      <c r="F6" s="0" t="n">
        <f aca="false">E6*(1+F5/100)</f>
        <v>48901.171245</v>
      </c>
      <c r="G6" s="0" t="n">
        <f aca="false">F6*(1+G5/100)</f>
        <v>49879.1946699</v>
      </c>
      <c r="H6" s="0" t="n">
        <f aca="false">G6*(1+H5/100)</f>
        <v>50876.778563298</v>
      </c>
      <c r="I6" s="0" t="n">
        <f aca="false">H6*(1+I5/100)</f>
        <v>51894.314134564</v>
      </c>
      <c r="J6" s="0" t="n">
        <f aca="false">I6*(1+J5/100)</f>
        <v>52932.2004172552</v>
      </c>
      <c r="K6" s="0" t="n">
        <f aca="false">J6*(1+K5/100)</f>
        <v>53990.8444256003</v>
      </c>
      <c r="L6" s="0" t="n">
        <f aca="false">K6*(1+L5/100)</f>
        <v>55070.6613141124</v>
      </c>
    </row>
    <row r="7" customFormat="false" ht="15" hidden="false" customHeight="false" outlineLevel="0" collapsed="false">
      <c r="A7" s="0" t="s">
        <v>96</v>
      </c>
      <c r="C7" s="4" t="n">
        <f aca="false">Assumptions!C14</f>
        <v>0.5</v>
      </c>
      <c r="D7" s="4" t="n">
        <f aca="false">Assumptions!D14</f>
        <v>0</v>
      </c>
      <c r="E7" s="4" t="n">
        <f aca="false">Assumptions!E14</f>
        <v>0.5</v>
      </c>
      <c r="F7" s="4" t="n">
        <f aca="false">Assumptions!F14</f>
        <v>1</v>
      </c>
      <c r="G7" s="4" t="n">
        <f aca="false">Assumptions!G14</f>
        <v>1.5</v>
      </c>
      <c r="H7" s="4" t="n">
        <f aca="false">Assumptions!H14</f>
        <v>2</v>
      </c>
      <c r="I7" s="4" t="n">
        <f aca="false">Assumptions!I14</f>
        <v>2</v>
      </c>
      <c r="J7" s="4" t="n">
        <f aca="false">Assumptions!J14</f>
        <v>2</v>
      </c>
      <c r="K7" s="4" t="n">
        <f aca="false">Assumptions!K14</f>
        <v>2</v>
      </c>
      <c r="L7" s="4" t="n">
        <f aca="false">Assumptions!L14</f>
        <v>2</v>
      </c>
    </row>
    <row r="8" customFormat="false" ht="15" hidden="false" customHeight="false" outlineLevel="0" collapsed="false">
      <c r="A8" s="0" t="s">
        <v>44</v>
      </c>
      <c r="C8" s="0" t="n">
        <f aca="false">C6*C7/100</f>
        <v>252.328025</v>
      </c>
      <c r="D8" s="0" t="n">
        <f aca="false">D6*D7/100</f>
        <v>0</v>
      </c>
      <c r="E8" s="0" t="n">
        <f aca="false">E6*E7/100</f>
        <v>239.71162375</v>
      </c>
      <c r="F8" s="0" t="n">
        <f aca="false">F6*F7/100</f>
        <v>489.01171245</v>
      </c>
      <c r="G8" s="0" t="n">
        <f aca="false">G6*G7/100</f>
        <v>748.1879200485</v>
      </c>
      <c r="H8" s="0" t="n">
        <f aca="false">H6*H7/100</f>
        <v>1017.53557126596</v>
      </c>
      <c r="I8" s="0" t="n">
        <f aca="false">I6*I7/100</f>
        <v>1037.88628269128</v>
      </c>
      <c r="J8" s="0" t="n">
        <f aca="false">J6*J7/100</f>
        <v>1058.6440083451</v>
      </c>
      <c r="K8" s="0" t="n">
        <f aca="false">K6*K7/100</f>
        <v>1079.81688851201</v>
      </c>
      <c r="L8" s="0" t="n">
        <f aca="false">L6*L7/100</f>
        <v>1101.41322628225</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252.328025</v>
      </c>
      <c r="D11" s="0" t="n">
        <f aca="false">D8+D10+D24</f>
        <v>0</v>
      </c>
      <c r="E11" s="0" t="n">
        <f aca="false">E8+E10+E24</f>
        <v>239.71162375</v>
      </c>
      <c r="F11" s="0" t="n">
        <f aca="false">F8+F10+F24</f>
        <v>489.01171245</v>
      </c>
      <c r="G11" s="0" t="n">
        <f aca="false">G8+G10+G24</f>
        <v>748.1879200485</v>
      </c>
      <c r="H11" s="0" t="n">
        <f aca="false">H8+H10+H24</f>
        <v>1017.53557126596</v>
      </c>
      <c r="I11" s="0" t="n">
        <f aca="false">I8+I10+I24</f>
        <v>1037.88628269128</v>
      </c>
      <c r="J11" s="0" t="n">
        <f aca="false">J8+J10+J24</f>
        <v>1058.6440083451</v>
      </c>
      <c r="K11" s="0" t="n">
        <f aca="false">K8+K10+K24</f>
        <v>1079.81688851201</v>
      </c>
      <c r="L11" s="0" t="n">
        <f aca="false">L8+L10+L24</f>
        <v>1101.41322628225</v>
      </c>
    </row>
    <row r="12" customFormat="false" ht="15" hidden="false" customHeight="false" outlineLevel="0" collapsed="false">
      <c r="A12" s="0" t="s">
        <v>114</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115</v>
      </c>
      <c r="C13" s="0" t="n">
        <f aca="false">C11+C12</f>
        <v>252.328025</v>
      </c>
      <c r="D13" s="0" t="n">
        <f aca="false">D11+D12</f>
        <v>0</v>
      </c>
      <c r="E13" s="0" t="n">
        <f aca="false">E11+E12</f>
        <v>239.71162375</v>
      </c>
      <c r="F13" s="0" t="n">
        <f aca="false">F11+F12</f>
        <v>489.01171245</v>
      </c>
      <c r="G13" s="0" t="n">
        <f aca="false">G11+G12</f>
        <v>748.1879200485</v>
      </c>
      <c r="H13" s="0" t="n">
        <f aca="false">H11+H12</f>
        <v>1017.53557126596</v>
      </c>
      <c r="I13" s="0" t="n">
        <f aca="false">I11+I12</f>
        <v>1037.88628269128</v>
      </c>
      <c r="J13" s="0" t="n">
        <f aca="false">J11+J12</f>
        <v>1058.6440083451</v>
      </c>
      <c r="K13" s="0" t="n">
        <f aca="false">K11+K12</f>
        <v>1079.81688851201</v>
      </c>
      <c r="L13" s="0" t="n">
        <f aca="false">L11+L12</f>
        <v>1101.41322628225</v>
      </c>
    </row>
    <row r="14" customFormat="false" ht="15" hidden="false" customHeight="false" outlineLevel="0" collapsed="false">
      <c r="A14" s="0" t="s">
        <v>101</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116</v>
      </c>
      <c r="C15" s="0" t="n">
        <f aca="false">C13-MAX(0,C13)*C14/100</f>
        <v>252.328025</v>
      </c>
      <c r="D15" s="0" t="n">
        <f aca="false">D13-MAX(0,D13)*D14/100</f>
        <v>0</v>
      </c>
      <c r="E15" s="0" t="n">
        <f aca="false">E13-MAX(0,E13)*E14/100</f>
        <v>239.71162375</v>
      </c>
      <c r="F15" s="0" t="n">
        <f aca="false">F13-MAX(0,F13)*F14/100</f>
        <v>489.01171245</v>
      </c>
      <c r="G15" s="0" t="n">
        <f aca="false">G13-MAX(0,G13)*G14/100</f>
        <v>748.1879200485</v>
      </c>
      <c r="H15" s="0" t="n">
        <f aca="false">H13-MAX(0,H13)*H14/100</f>
        <v>1017.53557126596</v>
      </c>
      <c r="I15" s="0" t="n">
        <f aca="false">I13-MAX(0,I13)*I14/100</f>
        <v>1037.88628269128</v>
      </c>
      <c r="J15" s="0" t="n">
        <f aca="false">J13-MAX(0,J13)*J14/100</f>
        <v>1058.6440083451</v>
      </c>
      <c r="K15" s="0" t="n">
        <f aca="false">K13-MAX(0,K13)*K14/100</f>
        <v>1079.81688851201</v>
      </c>
      <c r="L15" s="0" t="n">
        <f aca="false">L13-MAX(0,L13)*L14/100</f>
        <v>1101.41322628225</v>
      </c>
    </row>
    <row r="16" customFormat="false" ht="15" hidden="false" customHeight="false" outlineLevel="0" collapsed="false">
      <c r="A16" s="0" t="s">
        <v>117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118</v>
      </c>
      <c r="C17" s="4" t="n">
        <f aca="false">-C6*Assumptions!C18/100</f>
        <v>-0</v>
      </c>
      <c r="D17" s="4" t="n">
        <f aca="false">-D6*Assumptions!D18/100</f>
        <v>-0</v>
      </c>
      <c r="E17" s="4" t="n">
        <f aca="false">-E6*Assumptions!E18/100</f>
        <v>-0</v>
      </c>
      <c r="F17" s="4" t="n">
        <f aca="false">-F6*Assumptions!F18/100</f>
        <v>-0</v>
      </c>
      <c r="G17" s="4" t="n">
        <f aca="false">-G6*Assumptions!G18/100</f>
        <v>-0</v>
      </c>
      <c r="H17" s="4" t="n">
        <f aca="false">-H6*Assumptions!H18/100</f>
        <v>-0</v>
      </c>
      <c r="I17" s="4" t="n">
        <f aca="false">-I6*Assumptions!I18/100</f>
        <v>-0</v>
      </c>
      <c r="J17" s="4" t="n">
        <f aca="false">-J6*Assumptions!J18/100</f>
        <v>-0</v>
      </c>
      <c r="K17" s="4" t="n">
        <f aca="false">-K6*Assumptions!K18/100</f>
        <v>-0</v>
      </c>
      <c r="L17" s="4" t="n">
        <f aca="false">-L6*Assumptions!L18/100</f>
        <v>-0</v>
      </c>
    </row>
    <row r="18" customFormat="false" ht="15" hidden="false" customHeight="false" outlineLevel="0" collapsed="false">
      <c r="A18" s="0" t="s">
        <v>119</v>
      </c>
      <c r="C18" s="4" t="n">
        <f aca="false">(C6-B6)*Assumptions!$B$23/100</f>
        <v>2226.42375</v>
      </c>
      <c r="D18" s="4" t="n">
        <f aca="false">(D6-C6)*Assumptions!$B$23/100</f>
        <v>630.820062500001</v>
      </c>
      <c r="E18" s="4" t="n">
        <f aca="false">(E6-D6)*Assumptions!$B$23/100</f>
        <v>-0</v>
      </c>
      <c r="F18" s="4" t="n">
        <f aca="false">(F6-E6)*Assumptions!$B$23/100</f>
        <v>-239.71162375</v>
      </c>
      <c r="G18" s="4" t="n">
        <f aca="false">(G6-F6)*Assumptions!$B$23/100</f>
        <v>-244.505856225</v>
      </c>
      <c r="H18" s="4" t="n">
        <f aca="false">(H6-G6)*Assumptions!$B$23/100</f>
        <v>-249.395973349499</v>
      </c>
      <c r="I18" s="4" t="n">
        <f aca="false">(I6-H6)*Assumptions!$B$23/100</f>
        <v>-254.38389281649</v>
      </c>
      <c r="J18" s="4" t="n">
        <f aca="false">(J6-I6)*Assumptions!$B$23/100</f>
        <v>-259.47157067282</v>
      </c>
      <c r="K18" s="4" t="n">
        <f aca="false">(K6-J6)*Assumptions!$B$23/100</f>
        <v>-264.661002086277</v>
      </c>
      <c r="L18" s="4" t="n">
        <f aca="false">(L6-K6)*Assumptions!$B$23/100</f>
        <v>-269.954222128003</v>
      </c>
    </row>
    <row r="19" customFormat="false" ht="15" hidden="false" customHeight="false" outlineLevel="0" collapsed="false">
      <c r="A19" s="0" t="s">
        <v>120</v>
      </c>
      <c r="C19" s="0" t="n">
        <f aca="false">C15+C16+C17+C18</f>
        <v>2478.751775</v>
      </c>
      <c r="D19" s="0" t="n">
        <f aca="false">D15+D16+D17+D18</f>
        <v>630.820062500001</v>
      </c>
      <c r="E19" s="0" t="n">
        <f aca="false">E15+E16+E17+E18</f>
        <v>239.71162375</v>
      </c>
      <c r="F19" s="0" t="n">
        <f aca="false">F15+F16+F17+F18</f>
        <v>249.300088700001</v>
      </c>
      <c r="G19" s="0" t="n">
        <f aca="false">G15+G16+G17+G18</f>
        <v>503.6820638235</v>
      </c>
      <c r="H19" s="0" t="n">
        <f aca="false">H15+H16+H17+H18</f>
        <v>768.139597916461</v>
      </c>
      <c r="I19" s="0" t="n">
        <f aca="false">I15+I16+I17+I18</f>
        <v>783.50238987479</v>
      </c>
      <c r="J19" s="0" t="n">
        <f aca="false">J15+J16+J17+J18</f>
        <v>799.172437672284</v>
      </c>
      <c r="K19" s="0" t="n">
        <f aca="false">K15+K16+K17+K18</f>
        <v>815.15588642573</v>
      </c>
      <c r="L19" s="0" t="n">
        <f aca="false">L15+L16+L17+L18</f>
        <v>831.459004154244</v>
      </c>
    </row>
    <row r="20" customFormat="false" ht="15" hidden="false" customHeight="false" outlineLevel="0" collapsed="false">
      <c r="A20" s="0" t="s">
        <v>121</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122</v>
      </c>
      <c r="C21" s="0" t="n">
        <f aca="false">C19*C20</f>
        <v>2213.17122767857</v>
      </c>
      <c r="D21" s="0" t="n">
        <f aca="false">D19*D20</f>
        <v>502.885891661353</v>
      </c>
      <c r="E21" s="0" t="n">
        <f aca="false">E19*E20</f>
        <v>170.62199895653</v>
      </c>
      <c r="F21" s="0" t="n">
        <f aca="false">F19*F20</f>
        <v>158.434713316778</v>
      </c>
      <c r="G21" s="0" t="n">
        <f aca="false">G19*G20</f>
        <v>285.802729757224</v>
      </c>
      <c r="H21" s="0" t="n">
        <f aca="false">H19*H20</f>
        <v>389.163425713113</v>
      </c>
      <c r="I21" s="0" t="n">
        <f aca="false">I19*I20</f>
        <v>354.416691274442</v>
      </c>
      <c r="J21" s="0" t="n">
        <f aca="false">J19*J20</f>
        <v>322.772343839223</v>
      </c>
      <c r="K21" s="0" t="n">
        <f aca="false">K19*K20</f>
        <v>293.953384567864</v>
      </c>
      <c r="L21" s="0" t="n">
        <f aca="false">L19*L20</f>
        <v>267.707546660019</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12</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6</v>
      </c>
    </row>
    <row r="30" customFormat="false" ht="15" hidden="false" customHeight="false" outlineLevel="0" collapsed="false">
      <c r="A30" s="0" t="s">
        <v>125</v>
      </c>
      <c r="B30" s="0" t="n">
        <f aca="false">SUM(C21:L21)</f>
        <v>4958.92995342512</v>
      </c>
    </row>
    <row r="31" customFormat="false" ht="15" hidden="false" customHeight="false" outlineLevel="0" collapsed="false">
      <c r="A31" s="0" t="s">
        <v>126</v>
      </c>
      <c r="B31" s="0" t="n">
        <f aca="false">L19</f>
        <v>831.459004154244</v>
      </c>
    </row>
    <row r="32" customFormat="false" ht="15" hidden="false" customHeight="false" outlineLevel="0" collapsed="false">
      <c r="A32" s="0" t="s">
        <v>127</v>
      </c>
      <c r="B32" s="0" t="n">
        <f aca="false">IF(B27&gt;B28,B31*(1+B28/100)/((B27-B28)/100),B31*B29)</f>
        <v>8480.88184237329</v>
      </c>
    </row>
    <row r="33" customFormat="false" ht="15" hidden="false" customHeight="false" outlineLevel="0" collapsed="false">
      <c r="A33" s="0" t="s">
        <v>128</v>
      </c>
      <c r="B33" s="0" t="n">
        <f aca="false">B31*B29</f>
        <v>4988.75402492547</v>
      </c>
    </row>
    <row r="34" customFormat="false" ht="15" hidden="false" customHeight="false" outlineLevel="0" collapsed="false">
      <c r="A34" s="0" t="s">
        <v>129</v>
      </c>
      <c r="B34" s="0" t="n">
        <f aca="false">MAX(0,MIN(B32,B33))</f>
        <v>4988.75402492547</v>
      </c>
    </row>
    <row r="35" customFormat="false" ht="15" hidden="false" customHeight="false" outlineLevel="0" collapsed="false">
      <c r="A35" s="0" t="s">
        <v>130</v>
      </c>
      <c r="B35" s="0" t="n">
        <f aca="false">B34/(1+B27/100)^L4</f>
        <v>1606.24527996011</v>
      </c>
    </row>
    <row r="36" customFormat="false" ht="15" hidden="false" customHeight="false" outlineLevel="0" collapsed="false">
      <c r="A36" s="0" t="s">
        <v>131</v>
      </c>
      <c r="B36" s="0" t="n">
        <f aca="false">B30+B35</f>
        <v>6565.17523338523</v>
      </c>
    </row>
    <row r="37" customFormat="false" ht="15" hidden="false" customHeight="false" outlineLevel="0" collapsed="false">
      <c r="A37" s="0" t="s">
        <v>132</v>
      </c>
      <c r="B37" s="0" t="n">
        <f aca="false">B36+Assumptions!$B$5-Assumptions!$B$4</f>
        <v>6565.17523338523</v>
      </c>
    </row>
    <row r="38" customFormat="false" ht="15" hidden="false" customHeight="false" outlineLevel="0" collapsed="false">
      <c r="A38" s="0" t="s">
        <v>133</v>
      </c>
      <c r="B38" s="0" t="n">
        <f aca="false">B37/Assumptions!$B$3*Assumptions!$B$10</f>
        <v>0.569475810623558</v>
      </c>
    </row>
    <row r="39" customFormat="false" ht="15" hidden="false" customHeight="false" outlineLevel="0" collapsed="false">
      <c r="A39" s="0" t="s">
        <v>134</v>
      </c>
      <c r="B39" s="4" t="n">
        <f aca="false">B38/Assumptions!$B$2-1</f>
        <v>-0.558545883237552</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0.569475810623558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4988.75402492547</v>
      </c>
    </row>
    <row r="47" customFormat="false" ht="15" hidden="false" customHeight="false" outlineLevel="0" collapsed="false">
      <c r="A47" s="0" t="s">
        <v>139</v>
      </c>
      <c r="B47" s="0" t="n">
        <f aca="false">(SUMPRODUCT(C19:L19/(1+B45/100)^C4:L4)+B46/(1+B45/100)^L4+Assumptions!$B$5-Assumptions!$B$4)/Assumptions!$B$3*Assumptions!$B$10</f>
        <v>0.49800875024869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-10</v>
      </c>
      <c r="D5" s="4" t="n">
        <f aca="false">Assumptions!D27</f>
        <v>15</v>
      </c>
      <c r="E5" s="4" t="n">
        <f aca="false">Assumptions!E27</f>
        <v>12</v>
      </c>
      <c r="F5" s="4" t="n">
        <f aca="false">Assumptions!F27</f>
        <v>6</v>
      </c>
      <c r="G5" s="4" t="n">
        <f aca="false">Assumptions!G27</f>
        <v>4</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59371.3</v>
      </c>
      <c r="C6" s="0" t="n">
        <f aca="false">B6*(1+C5/100)</f>
        <v>53434.17</v>
      </c>
      <c r="D6" s="0" t="n">
        <f aca="false">C6*(1+D5/100)</f>
        <v>61449.2955</v>
      </c>
      <c r="E6" s="0" t="n">
        <f aca="false">D6*(1+E5/100)</f>
        <v>68823.21096</v>
      </c>
      <c r="F6" s="0" t="n">
        <f aca="false">E6*(1+F5/100)</f>
        <v>72952.6036176</v>
      </c>
      <c r="G6" s="0" t="n">
        <f aca="false">F6*(1+G5/100)</f>
        <v>75870.707762304</v>
      </c>
      <c r="H6" s="0" t="n">
        <f aca="false">G6*(1+H5/100)</f>
        <v>78146.8289951731</v>
      </c>
      <c r="I6" s="0" t="n">
        <f aca="false">H6*(1+I5/100)</f>
        <v>80100.4997200525</v>
      </c>
      <c r="J6" s="0" t="n">
        <f aca="false">I6*(1+J5/100)</f>
        <v>82103.0122130538</v>
      </c>
      <c r="K6" s="0" t="n">
        <f aca="false">J6*(1+K5/100)</f>
        <v>84155.5875183801</v>
      </c>
      <c r="L6" s="0" t="n">
        <f aca="false">K6*(1+L5/100)</f>
        <v>86259.4772063396</v>
      </c>
    </row>
    <row r="7" customFormat="false" ht="15" hidden="false" customHeight="false" outlineLevel="0" collapsed="false">
      <c r="A7" s="0" t="s">
        <v>96</v>
      </c>
      <c r="C7" s="4" t="n">
        <f aca="false">Assumptions!C28</f>
        <v>1.5</v>
      </c>
      <c r="D7" s="4" t="n">
        <f aca="false">Assumptions!D28</f>
        <v>2</v>
      </c>
      <c r="E7" s="4" t="n">
        <f aca="false">Assumptions!E28</f>
        <v>2.8</v>
      </c>
      <c r="F7" s="4" t="n">
        <f aca="false">Assumptions!F28</f>
        <v>3.5</v>
      </c>
      <c r="G7" s="4" t="n">
        <f aca="false">Assumptions!G28</f>
        <v>4</v>
      </c>
      <c r="H7" s="4" t="n">
        <f aca="false">Assumptions!H28</f>
        <v>4.2</v>
      </c>
      <c r="I7" s="4" t="n">
        <f aca="false">Assumptions!I28</f>
        <v>4.4</v>
      </c>
      <c r="J7" s="4" t="n">
        <f aca="false">Assumptions!J28</f>
        <v>4.5</v>
      </c>
      <c r="K7" s="4" t="n">
        <f aca="false">Assumptions!K28</f>
        <v>4.5</v>
      </c>
      <c r="L7" s="4" t="n">
        <f aca="false">Assumptions!L28</f>
        <v>4.5</v>
      </c>
    </row>
    <row r="8" customFormat="false" ht="15" hidden="false" customHeight="false" outlineLevel="0" collapsed="false">
      <c r="A8" s="0" t="s">
        <v>44</v>
      </c>
      <c r="C8" s="0" t="n">
        <f aca="false">C6*C7/100</f>
        <v>801.51255</v>
      </c>
      <c r="D8" s="0" t="n">
        <f aca="false">D6*D7/100</f>
        <v>1228.98591</v>
      </c>
      <c r="E8" s="0" t="n">
        <f aca="false">E6*E7/100</f>
        <v>1927.04990688</v>
      </c>
      <c r="F8" s="0" t="n">
        <f aca="false">F6*F7/100</f>
        <v>2553.341126616</v>
      </c>
      <c r="G8" s="0" t="n">
        <f aca="false">G6*G7/100</f>
        <v>3034.82831049216</v>
      </c>
      <c r="H8" s="0" t="n">
        <f aca="false">H6*H7/100</f>
        <v>3282.16681779727</v>
      </c>
      <c r="I8" s="0" t="n">
        <f aca="false">I6*I7/100</f>
        <v>3524.42198768231</v>
      </c>
      <c r="J8" s="0" t="n">
        <f aca="false">J6*J7/100</f>
        <v>3694.63554958742</v>
      </c>
      <c r="K8" s="0" t="n">
        <f aca="false">K6*K7/100</f>
        <v>3787.00143832711</v>
      </c>
      <c r="L8" s="0" t="n">
        <f aca="false">L6*L7/100</f>
        <v>3881.67647428528</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801.51255</v>
      </c>
      <c r="D11" s="0" t="n">
        <f aca="false">D8+D10+D24</f>
        <v>1228.98591</v>
      </c>
      <c r="E11" s="0" t="n">
        <f aca="false">E8+E10+E24</f>
        <v>1927.04990688</v>
      </c>
      <c r="F11" s="0" t="n">
        <f aca="false">F8+F10+F24</f>
        <v>2553.341126616</v>
      </c>
      <c r="G11" s="0" t="n">
        <f aca="false">G8+G10+G24</f>
        <v>3034.82831049216</v>
      </c>
      <c r="H11" s="0" t="n">
        <f aca="false">H8+H10+H24</f>
        <v>3282.16681779727</v>
      </c>
      <c r="I11" s="0" t="n">
        <f aca="false">I8+I10+I24</f>
        <v>3524.42198768231</v>
      </c>
      <c r="J11" s="0" t="n">
        <f aca="false">J8+J10+J24</f>
        <v>3694.63554958742</v>
      </c>
      <c r="K11" s="0" t="n">
        <f aca="false">K8+K10+K24</f>
        <v>3787.00143832711</v>
      </c>
      <c r="L11" s="0" t="n">
        <f aca="false">L8+L10+L24</f>
        <v>3881.67647428528</v>
      </c>
    </row>
    <row r="12" customFormat="false" ht="15" hidden="false" customHeight="false" outlineLevel="0" collapsed="false">
      <c r="A12" s="0" t="s">
        <v>114</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115</v>
      </c>
      <c r="C13" s="0" t="n">
        <f aca="false">C11+C12</f>
        <v>801.51255</v>
      </c>
      <c r="D13" s="0" t="n">
        <f aca="false">D11+D12</f>
        <v>1228.98591</v>
      </c>
      <c r="E13" s="0" t="n">
        <f aca="false">E11+E12</f>
        <v>1927.04990688</v>
      </c>
      <c r="F13" s="0" t="n">
        <f aca="false">F11+F12</f>
        <v>2553.341126616</v>
      </c>
      <c r="G13" s="0" t="n">
        <f aca="false">G11+G12</f>
        <v>3034.82831049216</v>
      </c>
      <c r="H13" s="0" t="n">
        <f aca="false">H11+H12</f>
        <v>3282.16681779727</v>
      </c>
      <c r="I13" s="0" t="n">
        <f aca="false">I11+I12</f>
        <v>3524.42198768231</v>
      </c>
      <c r="J13" s="0" t="n">
        <f aca="false">J11+J12</f>
        <v>3694.63554958742</v>
      </c>
      <c r="K13" s="0" t="n">
        <f aca="false">K11+K12</f>
        <v>3787.00143832711</v>
      </c>
      <c r="L13" s="0" t="n">
        <f aca="false">L11+L12</f>
        <v>3881.67647428528</v>
      </c>
    </row>
    <row r="14" customFormat="false" ht="15" hidden="false" customHeight="false" outlineLevel="0" collapsed="false">
      <c r="A14" s="0" t="s">
        <v>101</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116</v>
      </c>
      <c r="C15" s="0" t="n">
        <f aca="false">C13-MAX(0,C13)*C14/100</f>
        <v>801.51255</v>
      </c>
      <c r="D15" s="0" t="n">
        <f aca="false">D13-MAX(0,D13)*D14/100</f>
        <v>1228.98591</v>
      </c>
      <c r="E15" s="0" t="n">
        <f aca="false">E13-MAX(0,E13)*E14/100</f>
        <v>1927.04990688</v>
      </c>
      <c r="F15" s="0" t="n">
        <f aca="false">F13-MAX(0,F13)*F14/100</f>
        <v>2553.341126616</v>
      </c>
      <c r="G15" s="0" t="n">
        <f aca="false">G13-MAX(0,G13)*G14/100</f>
        <v>3034.82831049216</v>
      </c>
      <c r="H15" s="0" t="n">
        <f aca="false">H13-MAX(0,H13)*H14/100</f>
        <v>3282.16681779727</v>
      </c>
      <c r="I15" s="0" t="n">
        <f aca="false">I13-MAX(0,I13)*I14/100</f>
        <v>3524.42198768231</v>
      </c>
      <c r="J15" s="0" t="n">
        <f aca="false">J13-MAX(0,J13)*J14/100</f>
        <v>3694.63554958742</v>
      </c>
      <c r="K15" s="0" t="n">
        <f aca="false">K13-MAX(0,K13)*K14/100</f>
        <v>3787.00143832711</v>
      </c>
      <c r="L15" s="0" t="n">
        <f aca="false">L13-MAX(0,L13)*L14/100</f>
        <v>3881.67647428528</v>
      </c>
    </row>
    <row r="16" customFormat="false" ht="15" hidden="false" customHeight="false" outlineLevel="0" collapsed="false">
      <c r="A16" s="0" t="s">
        <v>117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118</v>
      </c>
      <c r="C17" s="4" t="n">
        <f aca="false">-C6*Assumptions!C32/100</f>
        <v>-0</v>
      </c>
      <c r="D17" s="4" t="n">
        <f aca="false">-D6*Assumptions!D32/100</f>
        <v>-0</v>
      </c>
      <c r="E17" s="4" t="n">
        <f aca="false">-E6*Assumptions!E32/100</f>
        <v>-0</v>
      </c>
      <c r="F17" s="4" t="n">
        <f aca="false">-F6*Assumptions!F32/100</f>
        <v>-0</v>
      </c>
      <c r="G17" s="4" t="n">
        <f aca="false">-G6*Assumptions!G32/100</f>
        <v>-0</v>
      </c>
      <c r="H17" s="4" t="n">
        <f aca="false">-H6*Assumptions!H32/100</f>
        <v>-0</v>
      </c>
      <c r="I17" s="4" t="n">
        <f aca="false">-I6*Assumptions!I32/100</f>
        <v>-0</v>
      </c>
      <c r="J17" s="4" t="n">
        <f aca="false">-J6*Assumptions!J32/100</f>
        <v>-0</v>
      </c>
      <c r="K17" s="4" t="n">
        <f aca="false">-K6*Assumptions!K32/100</f>
        <v>-0</v>
      </c>
      <c r="L17" s="4" t="n">
        <f aca="false">-L6*Assumptions!L32/100</f>
        <v>-0</v>
      </c>
    </row>
    <row r="18" customFormat="false" ht="15" hidden="false" customHeight="false" outlineLevel="0" collapsed="false">
      <c r="A18" s="0" t="s">
        <v>119</v>
      </c>
      <c r="C18" s="4" t="n">
        <f aca="false">(C6-B6)*Assumptions!$B$37/100</f>
        <v>1484.2825</v>
      </c>
      <c r="D18" s="4" t="n">
        <f aca="false">(D6-C6)*Assumptions!$B$37/100</f>
        <v>-2003.781375</v>
      </c>
      <c r="E18" s="4" t="n">
        <f aca="false">(E6-D6)*Assumptions!$B$37/100</f>
        <v>-1843.478865</v>
      </c>
      <c r="F18" s="4" t="n">
        <f aca="false">(F6-E6)*Assumptions!$B$37/100</f>
        <v>-1032.3481644</v>
      </c>
      <c r="G18" s="4" t="n">
        <f aca="false">(G6-F6)*Assumptions!$B$37/100</f>
        <v>-729.526036176001</v>
      </c>
      <c r="H18" s="4" t="n">
        <f aca="false">(H6-G6)*Assumptions!$B$37/100</f>
        <v>-569.03030821728</v>
      </c>
      <c r="I18" s="4" t="n">
        <f aca="false">(I6-H6)*Assumptions!$B$37/100</f>
        <v>-488.417681219831</v>
      </c>
      <c r="J18" s="4" t="n">
        <f aca="false">(J6-I6)*Assumptions!$B$37/100</f>
        <v>-500.628123250328</v>
      </c>
      <c r="K18" s="4" t="n">
        <f aca="false">(K6-J6)*Assumptions!$B$37/100</f>
        <v>-513.143826331583</v>
      </c>
      <c r="L18" s="4" t="n">
        <f aca="false">(L6-K6)*Assumptions!$B$37/100</f>
        <v>-525.972421989874</v>
      </c>
    </row>
    <row r="19" customFormat="false" ht="15" hidden="false" customHeight="false" outlineLevel="0" collapsed="false">
      <c r="A19" s="0" t="s">
        <v>120</v>
      </c>
      <c r="C19" s="0" t="n">
        <f aca="false">C15+C16+C17+C18</f>
        <v>2285.79505</v>
      </c>
      <c r="D19" s="0" t="n">
        <f aca="false">D15+D16+D17+D18</f>
        <v>-774.795464999999</v>
      </c>
      <c r="E19" s="0" t="n">
        <f aca="false">E15+E16+E17+E18</f>
        <v>83.5710418799974</v>
      </c>
      <c r="F19" s="0" t="n">
        <f aca="false">F15+F16+F17+F18</f>
        <v>1520.992962216</v>
      </c>
      <c r="G19" s="0" t="n">
        <f aca="false">G15+G16+G17+G18</f>
        <v>2305.30227431616</v>
      </c>
      <c r="H19" s="0" t="n">
        <f aca="false">H15+H16+H17+H18</f>
        <v>2713.13650957999</v>
      </c>
      <c r="I19" s="0" t="n">
        <f aca="false">I15+I16+I17+I18</f>
        <v>3036.00430646248</v>
      </c>
      <c r="J19" s="0" t="n">
        <f aca="false">J15+J16+J17+J18</f>
        <v>3194.00742633709</v>
      </c>
      <c r="K19" s="0" t="n">
        <f aca="false">K15+K16+K17+K18</f>
        <v>3273.85761199552</v>
      </c>
      <c r="L19" s="0" t="n">
        <f aca="false">L15+L16+L17+L18</f>
        <v>3355.70405229541</v>
      </c>
    </row>
    <row r="20" customFormat="false" ht="15" hidden="false" customHeight="false" outlineLevel="0" collapsed="false">
      <c r="A20" s="0" t="s">
        <v>121</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122</v>
      </c>
      <c r="C21" s="0" t="n">
        <f aca="false">C19*C20</f>
        <v>2040.8884375</v>
      </c>
      <c r="D21" s="0" t="n">
        <f aca="false">D19*D20</f>
        <v>-617.662201052295</v>
      </c>
      <c r="E21" s="0" t="n">
        <f aca="false">E19*E20</f>
        <v>59.4842168993695</v>
      </c>
      <c r="F21" s="0" t="n">
        <f aca="false">F19*F20</f>
        <v>966.618524614783</v>
      </c>
      <c r="G21" s="0" t="n">
        <f aca="false">G19*G20</f>
        <v>1308.09042099615</v>
      </c>
      <c r="H21" s="0" t="n">
        <f aca="false">H19*H20</f>
        <v>1374.55939175563</v>
      </c>
      <c r="I21" s="0" t="n">
        <f aca="false">I19*I20</f>
        <v>1373.33416578773</v>
      </c>
      <c r="J21" s="0" t="n">
        <f aca="false">J19*J20</f>
        <v>1290.0060295391</v>
      </c>
      <c r="K21" s="0" t="n">
        <f aca="false">K19*K20</f>
        <v>1180.58587524784</v>
      </c>
      <c r="L21" s="0" t="n">
        <f aca="false">L19*L20</f>
        <v>1080.44689475807</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12</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7.5</v>
      </c>
    </row>
    <row r="30" customFormat="false" ht="15" hidden="false" customHeight="false" outlineLevel="0" collapsed="false">
      <c r="A30" s="0" t="s">
        <v>125</v>
      </c>
      <c r="B30" s="0" t="n">
        <f aca="false">SUM(C21:L21)</f>
        <v>10056.3517560464</v>
      </c>
    </row>
    <row r="31" customFormat="false" ht="15" hidden="false" customHeight="false" outlineLevel="0" collapsed="false">
      <c r="A31" s="0" t="s">
        <v>126</v>
      </c>
      <c r="B31" s="0" t="n">
        <f aca="false">L19</f>
        <v>3355.70405229541</v>
      </c>
    </row>
    <row r="32" customFormat="false" ht="15" hidden="false" customHeight="false" outlineLevel="0" collapsed="false">
      <c r="A32" s="0" t="s">
        <v>127</v>
      </c>
      <c r="B32" s="0" t="n">
        <f aca="false">IF(B27&gt;B28,B31*(1+B28/100)/((B27-B28)/100),B31*B29)</f>
        <v>36206.2805642399</v>
      </c>
    </row>
    <row r="33" customFormat="false" ht="15" hidden="false" customHeight="false" outlineLevel="0" collapsed="false">
      <c r="A33" s="0" t="s">
        <v>128</v>
      </c>
      <c r="B33" s="0" t="n">
        <f aca="false">B31*B29</f>
        <v>25167.7803922156</v>
      </c>
    </row>
    <row r="34" customFormat="false" ht="15" hidden="false" customHeight="false" outlineLevel="0" collapsed="false">
      <c r="A34" s="0" t="s">
        <v>129</v>
      </c>
      <c r="B34" s="0" t="n">
        <f aca="false">MAX(0,MIN(B32,B33))</f>
        <v>25167.7803922156</v>
      </c>
    </row>
    <row r="35" customFormat="false" ht="15" hidden="false" customHeight="false" outlineLevel="0" collapsed="false">
      <c r="A35" s="0" t="s">
        <v>130</v>
      </c>
      <c r="B35" s="0" t="n">
        <f aca="false">B34/(1+B27/100)^L4</f>
        <v>8103.3517106855</v>
      </c>
    </row>
    <row r="36" customFormat="false" ht="15" hidden="false" customHeight="false" outlineLevel="0" collapsed="false">
      <c r="A36" s="0" t="s">
        <v>131</v>
      </c>
      <c r="B36" s="0" t="n">
        <f aca="false">B30+B35</f>
        <v>18159.7034667319</v>
      </c>
    </row>
    <row r="37" customFormat="false" ht="15" hidden="false" customHeight="false" outlineLevel="0" collapsed="false">
      <c r="A37" s="0" t="s">
        <v>132</v>
      </c>
      <c r="B37" s="0" t="n">
        <f aca="false">B36+Assumptions!$B$5-Assumptions!$B$4</f>
        <v>18159.7034667319</v>
      </c>
    </row>
    <row r="38" customFormat="false" ht="15" hidden="false" customHeight="false" outlineLevel="0" collapsed="false">
      <c r="A38" s="0" t="s">
        <v>133</v>
      </c>
      <c r="B38" s="0" t="n">
        <f aca="false">B37/Assumptions!$B$3*Assumptions!$B$10</f>
        <v>1.57520728461472</v>
      </c>
    </row>
    <row r="39" customFormat="false" ht="15" hidden="false" customHeight="false" outlineLevel="0" collapsed="false">
      <c r="A39" s="0" t="s">
        <v>134</v>
      </c>
      <c r="B39" s="4" t="n">
        <f aca="false">B38/Assumptions!$B$2-1</f>
        <v>0.221090918305986</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1.57520728461472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25167.7803922156</v>
      </c>
    </row>
    <row r="47" customFormat="false" ht="15" hidden="false" customHeight="false" outlineLevel="0" collapsed="false">
      <c r="A47" s="0" t="s">
        <v>139</v>
      </c>
      <c r="B47" s="0" t="n">
        <f aca="false">(SUMPRODUCT(C19:L19/(1+B45/100)^C4:L4)+B46/(1+B45/100)^L4+Assumptions!$B$5-Assumptions!$B$4)/Assumptions!$B$3*Assumptions!$B$10</f>
        <v>1.28483468623366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-5</v>
      </c>
      <c r="D5" s="4" t="n">
        <f aca="false">Assumptions!D41</f>
        <v>20</v>
      </c>
      <c r="E5" s="4" t="n">
        <f aca="false">Assumptions!E41</f>
        <v>15</v>
      </c>
      <c r="F5" s="4" t="n">
        <f aca="false">Assumptions!F41</f>
        <v>8</v>
      </c>
      <c r="G5" s="4" t="n">
        <f aca="false">Assumptions!G41</f>
        <v>5</v>
      </c>
      <c r="H5" s="4" t="n">
        <f aca="false">Assumptions!H41</f>
        <v>4</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59371.3</v>
      </c>
      <c r="C6" s="0" t="n">
        <f aca="false">B6*(1+C5/100)</f>
        <v>56402.735</v>
      </c>
      <c r="D6" s="0" t="n">
        <f aca="false">C6*(1+D5/100)</f>
        <v>67683.282</v>
      </c>
      <c r="E6" s="0" t="n">
        <f aca="false">D6*(1+E5/100)</f>
        <v>77835.7743</v>
      </c>
      <c r="F6" s="0" t="n">
        <f aca="false">E6*(1+F5/100)</f>
        <v>84062.636244</v>
      </c>
      <c r="G6" s="0" t="n">
        <f aca="false">F6*(1+G5/100)</f>
        <v>88265.7680562</v>
      </c>
      <c r="H6" s="0" t="n">
        <f aca="false">G6*(1+H5/100)</f>
        <v>91796.398778448</v>
      </c>
      <c r="I6" s="0" t="n">
        <f aca="false">H6*(1+I5/100)</f>
        <v>94550.2907418015</v>
      </c>
      <c r="J6" s="0" t="n">
        <f aca="false">I6*(1+J5/100)</f>
        <v>97386.7994640555</v>
      </c>
      <c r="K6" s="0" t="n">
        <f aca="false">J6*(1+K5/100)</f>
        <v>100308.403447977</v>
      </c>
      <c r="L6" s="0" t="n">
        <f aca="false">K6*(1+L5/100)</f>
        <v>103317.655551416</v>
      </c>
    </row>
    <row r="7" customFormat="false" ht="15" hidden="false" customHeight="false" outlineLevel="0" collapsed="false">
      <c r="A7" s="0" t="s">
        <v>96</v>
      </c>
      <c r="C7" s="4" t="n">
        <f aca="false">Assumptions!C42</f>
        <v>2</v>
      </c>
      <c r="D7" s="4" t="n">
        <f aca="false">Assumptions!D42</f>
        <v>3</v>
      </c>
      <c r="E7" s="4" t="n">
        <f aca="false">Assumptions!E42</f>
        <v>4</v>
      </c>
      <c r="F7" s="4" t="n">
        <f aca="false">Assumptions!F42</f>
        <v>5</v>
      </c>
      <c r="G7" s="4" t="n">
        <f aca="false">Assumptions!G42</f>
        <v>5.5</v>
      </c>
      <c r="H7" s="4" t="n">
        <f aca="false">Assumptions!H42</f>
        <v>6</v>
      </c>
      <c r="I7" s="4" t="n">
        <f aca="false">Assumptions!I42</f>
        <v>6</v>
      </c>
      <c r="J7" s="4" t="n">
        <f aca="false">Assumptions!J42</f>
        <v>6</v>
      </c>
      <c r="K7" s="4" t="n">
        <f aca="false">Assumptions!K42</f>
        <v>6</v>
      </c>
      <c r="L7" s="4" t="n">
        <f aca="false">Assumptions!L42</f>
        <v>6</v>
      </c>
    </row>
    <row r="8" customFormat="false" ht="15" hidden="false" customHeight="false" outlineLevel="0" collapsed="false">
      <c r="A8" s="0" t="s">
        <v>44</v>
      </c>
      <c r="C8" s="0" t="n">
        <f aca="false">C6*C7/100</f>
        <v>1128.0547</v>
      </c>
      <c r="D8" s="0" t="n">
        <f aca="false">D6*D7/100</f>
        <v>2030.49846</v>
      </c>
      <c r="E8" s="0" t="n">
        <f aca="false">E6*E7/100</f>
        <v>3113.430972</v>
      </c>
      <c r="F8" s="0" t="n">
        <f aca="false">F6*F7/100</f>
        <v>4203.1318122</v>
      </c>
      <c r="G8" s="0" t="n">
        <f aca="false">G6*G7/100</f>
        <v>4854.617243091</v>
      </c>
      <c r="H8" s="0" t="n">
        <f aca="false">H6*H7/100</f>
        <v>5507.78392670688</v>
      </c>
      <c r="I8" s="0" t="n">
        <f aca="false">I6*I7/100</f>
        <v>5673.01744450809</v>
      </c>
      <c r="J8" s="0" t="n">
        <f aca="false">J6*J7/100</f>
        <v>5843.20796784333</v>
      </c>
      <c r="K8" s="0" t="n">
        <f aca="false">K6*K7/100</f>
        <v>6018.50420687863</v>
      </c>
      <c r="L8" s="0" t="n">
        <f aca="false">L6*L7/100</f>
        <v>6199.05933308499</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1128.0547</v>
      </c>
      <c r="D11" s="0" t="n">
        <f aca="false">D8+D10+D24</f>
        <v>2030.49846</v>
      </c>
      <c r="E11" s="0" t="n">
        <f aca="false">E8+E10+E24</f>
        <v>3113.430972</v>
      </c>
      <c r="F11" s="0" t="n">
        <f aca="false">F8+F10+F24</f>
        <v>4203.1318122</v>
      </c>
      <c r="G11" s="0" t="n">
        <f aca="false">G8+G10+G24</f>
        <v>4854.617243091</v>
      </c>
      <c r="H11" s="0" t="n">
        <f aca="false">H8+H10+H24</f>
        <v>5507.78392670688</v>
      </c>
      <c r="I11" s="0" t="n">
        <f aca="false">I8+I10+I24</f>
        <v>5673.01744450809</v>
      </c>
      <c r="J11" s="0" t="n">
        <f aca="false">J8+J10+J24</f>
        <v>5843.20796784333</v>
      </c>
      <c r="K11" s="0" t="n">
        <f aca="false">K8+K10+K24</f>
        <v>6018.50420687863</v>
      </c>
      <c r="L11" s="0" t="n">
        <f aca="false">L8+L10+L24</f>
        <v>6199.05933308499</v>
      </c>
    </row>
    <row r="12" customFormat="false" ht="15" hidden="false" customHeight="false" outlineLevel="0" collapsed="false">
      <c r="A12" s="0" t="s">
        <v>114</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115</v>
      </c>
      <c r="C13" s="0" t="n">
        <f aca="false">C11+C12</f>
        <v>1128.0547</v>
      </c>
      <c r="D13" s="0" t="n">
        <f aca="false">D11+D12</f>
        <v>2030.49846</v>
      </c>
      <c r="E13" s="0" t="n">
        <f aca="false">E11+E12</f>
        <v>3113.430972</v>
      </c>
      <c r="F13" s="0" t="n">
        <f aca="false">F11+F12</f>
        <v>4203.1318122</v>
      </c>
      <c r="G13" s="0" t="n">
        <f aca="false">G11+G12</f>
        <v>4854.617243091</v>
      </c>
      <c r="H13" s="0" t="n">
        <f aca="false">H11+H12</f>
        <v>5507.78392670688</v>
      </c>
      <c r="I13" s="0" t="n">
        <f aca="false">I11+I12</f>
        <v>5673.01744450809</v>
      </c>
      <c r="J13" s="0" t="n">
        <f aca="false">J11+J12</f>
        <v>5843.20796784333</v>
      </c>
      <c r="K13" s="0" t="n">
        <f aca="false">K11+K12</f>
        <v>6018.50420687863</v>
      </c>
      <c r="L13" s="0" t="n">
        <f aca="false">L11+L12</f>
        <v>6199.05933308499</v>
      </c>
    </row>
    <row r="14" customFormat="false" ht="15" hidden="false" customHeight="false" outlineLevel="0" collapsed="false">
      <c r="A14" s="0" t="s">
        <v>101</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116</v>
      </c>
      <c r="C15" s="0" t="n">
        <f aca="false">C13-MAX(0,C13)*C14/100</f>
        <v>1128.0547</v>
      </c>
      <c r="D15" s="0" t="n">
        <f aca="false">D13-MAX(0,D13)*D14/100</f>
        <v>2030.49846</v>
      </c>
      <c r="E15" s="0" t="n">
        <f aca="false">E13-MAX(0,E13)*E14/100</f>
        <v>3113.430972</v>
      </c>
      <c r="F15" s="0" t="n">
        <f aca="false">F13-MAX(0,F13)*F14/100</f>
        <v>4203.1318122</v>
      </c>
      <c r="G15" s="0" t="n">
        <f aca="false">G13-MAX(0,G13)*G14/100</f>
        <v>4854.617243091</v>
      </c>
      <c r="H15" s="0" t="n">
        <f aca="false">H13-MAX(0,H13)*H14/100</f>
        <v>5507.78392670688</v>
      </c>
      <c r="I15" s="0" t="n">
        <f aca="false">I13-MAX(0,I13)*I14/100</f>
        <v>5673.01744450809</v>
      </c>
      <c r="J15" s="0" t="n">
        <f aca="false">J13-MAX(0,J13)*J14/100</f>
        <v>5843.20796784333</v>
      </c>
      <c r="K15" s="0" t="n">
        <f aca="false">K13-MAX(0,K13)*K14/100</f>
        <v>6018.50420687863</v>
      </c>
      <c r="L15" s="0" t="n">
        <f aca="false">L13-MAX(0,L13)*L14/100</f>
        <v>6199.05933308499</v>
      </c>
    </row>
    <row r="16" customFormat="false" ht="15" hidden="false" customHeight="false" outlineLevel="0" collapsed="false">
      <c r="A16" s="0" t="s">
        <v>117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118</v>
      </c>
      <c r="C17" s="4" t="n">
        <f aca="false">-C6*Assumptions!C46/100</f>
        <v>-0</v>
      </c>
      <c r="D17" s="4" t="n">
        <f aca="false">-D6*Assumptions!D46/100</f>
        <v>-0</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119</v>
      </c>
      <c r="C18" s="4" t="n">
        <f aca="false">(C6-B6)*Assumptions!$B$51/100</f>
        <v>593.713</v>
      </c>
      <c r="D18" s="4" t="n">
        <f aca="false">(D6-C6)*Assumptions!$B$51/100</f>
        <v>-2256.1094</v>
      </c>
      <c r="E18" s="4" t="n">
        <f aca="false">(E6-D6)*Assumptions!$B$51/100</f>
        <v>-2030.49846</v>
      </c>
      <c r="F18" s="4" t="n">
        <f aca="false">(F6-E6)*Assumptions!$B$51/100</f>
        <v>-1245.3723888</v>
      </c>
      <c r="G18" s="4" t="n">
        <f aca="false">(G6-F6)*Assumptions!$B$51/100</f>
        <v>-840.626362440002</v>
      </c>
      <c r="H18" s="4" t="n">
        <f aca="false">(H6-G6)*Assumptions!$B$51/100</f>
        <v>-706.126144449602</v>
      </c>
      <c r="I18" s="4" t="n">
        <f aca="false">(I6-H6)*Assumptions!$B$51/100</f>
        <v>-550.778392670688</v>
      </c>
      <c r="J18" s="4" t="n">
        <f aca="false">(J6-I6)*Assumptions!$B$51/100</f>
        <v>-567.301744450809</v>
      </c>
      <c r="K18" s="4" t="n">
        <f aca="false">(K6-J6)*Assumptions!$B$51/100</f>
        <v>-584.320796784334</v>
      </c>
      <c r="L18" s="4" t="n">
        <f aca="false">(L6-K6)*Assumptions!$B$51/100</f>
        <v>-601.850420687863</v>
      </c>
    </row>
    <row r="19" customFormat="false" ht="15" hidden="false" customHeight="false" outlineLevel="0" collapsed="false">
      <c r="A19" s="0" t="s">
        <v>120</v>
      </c>
      <c r="C19" s="0" t="n">
        <f aca="false">C15+C16+C17+C18</f>
        <v>1721.7677</v>
      </c>
      <c r="D19" s="0" t="n">
        <f aca="false">D15+D16+D17+D18</f>
        <v>-225.610939999999</v>
      </c>
      <c r="E19" s="0" t="n">
        <f aca="false">E15+E16+E17+E18</f>
        <v>1082.932512</v>
      </c>
      <c r="F19" s="0" t="n">
        <f aca="false">F15+F16+F17+F18</f>
        <v>2957.7594234</v>
      </c>
      <c r="G19" s="0" t="n">
        <f aca="false">G15+G16+G17+G18</f>
        <v>4013.990880651</v>
      </c>
      <c r="H19" s="0" t="n">
        <f aca="false">H15+H16+H17+H18</f>
        <v>4801.65778225728</v>
      </c>
      <c r="I19" s="0" t="n">
        <f aca="false">I15+I16+I17+I18</f>
        <v>5122.2390518374</v>
      </c>
      <c r="J19" s="0" t="n">
        <f aca="false">J15+J16+J17+J18</f>
        <v>5275.90622339252</v>
      </c>
      <c r="K19" s="0" t="n">
        <f aca="false">K15+K16+K17+K18</f>
        <v>5434.1834100943</v>
      </c>
      <c r="L19" s="0" t="n">
        <f aca="false">L15+L16+L17+L18</f>
        <v>5597.20891239713</v>
      </c>
    </row>
    <row r="20" customFormat="false" ht="15" hidden="false" customHeight="false" outlineLevel="0" collapsed="false">
      <c r="A20" s="0" t="s">
        <v>121</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122</v>
      </c>
      <c r="C21" s="0" t="n">
        <f aca="false">C19*C20</f>
        <v>1537.29258928571</v>
      </c>
      <c r="D21" s="0" t="n">
        <f aca="false">D19*D20</f>
        <v>-179.85566007653</v>
      </c>
      <c r="E21" s="0" t="n">
        <f aca="false">E19*E20</f>
        <v>770.80997175656</v>
      </c>
      <c r="F21" s="0" t="n">
        <f aca="false">F19*F20</f>
        <v>1879.70958514295</v>
      </c>
      <c r="G21" s="0" t="n">
        <f aca="false">G19*G20</f>
        <v>2277.64622429093</v>
      </c>
      <c r="H21" s="0" t="n">
        <f aca="false">H19*H20</f>
        <v>2432.66926573481</v>
      </c>
      <c r="I21" s="0" t="n">
        <f aca="false">I19*I20</f>
        <v>2317.04081586664</v>
      </c>
      <c r="J21" s="0" t="n">
        <f aca="false">J19*J20</f>
        <v>2130.85003602021</v>
      </c>
      <c r="K21" s="0" t="n">
        <f aca="false">K19*K20</f>
        <v>1959.62101526859</v>
      </c>
      <c r="L21" s="0" t="n">
        <f aca="false">L19*L20</f>
        <v>1802.15146939879</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12</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10</v>
      </c>
    </row>
    <row r="30" customFormat="false" ht="15" hidden="false" customHeight="false" outlineLevel="0" collapsed="false">
      <c r="A30" s="0" t="s">
        <v>125</v>
      </c>
      <c r="B30" s="0" t="n">
        <f aca="false">SUM(C21:L21)</f>
        <v>16927.9353126887</v>
      </c>
    </row>
    <row r="31" customFormat="false" ht="15" hidden="false" customHeight="false" outlineLevel="0" collapsed="false">
      <c r="A31" s="0" t="s">
        <v>126</v>
      </c>
      <c r="B31" s="0" t="n">
        <f aca="false">L19</f>
        <v>5597.20891239713</v>
      </c>
    </row>
    <row r="32" customFormat="false" ht="15" hidden="false" customHeight="false" outlineLevel="0" collapsed="false">
      <c r="A32" s="0" t="s">
        <v>127</v>
      </c>
      <c r="B32" s="0" t="n">
        <f aca="false">IF(B27&gt;B28,B31*(1+B28/100)/((B27-B28)/100),B31*B29)</f>
        <v>64056.9464418782</v>
      </c>
    </row>
    <row r="33" customFormat="false" ht="15" hidden="false" customHeight="false" outlineLevel="0" collapsed="false">
      <c r="A33" s="0" t="s">
        <v>128</v>
      </c>
      <c r="B33" s="0" t="n">
        <f aca="false">B31*B29</f>
        <v>55972.0891239713</v>
      </c>
    </row>
    <row r="34" customFormat="false" ht="15" hidden="false" customHeight="false" outlineLevel="0" collapsed="false">
      <c r="A34" s="0" t="s">
        <v>129</v>
      </c>
      <c r="B34" s="0" t="n">
        <f aca="false">MAX(0,MIN(B32,B33))</f>
        <v>55972.0891239713</v>
      </c>
    </row>
    <row r="35" customFormat="false" ht="15" hidden="false" customHeight="false" outlineLevel="0" collapsed="false">
      <c r="A35" s="0" t="s">
        <v>130</v>
      </c>
      <c r="B35" s="0" t="n">
        <f aca="false">B34/(1+B27/100)^L4</f>
        <v>18021.5146939879</v>
      </c>
    </row>
    <row r="36" customFormat="false" ht="15" hidden="false" customHeight="false" outlineLevel="0" collapsed="false">
      <c r="A36" s="0" t="s">
        <v>131</v>
      </c>
      <c r="B36" s="0" t="n">
        <f aca="false">B30+B35</f>
        <v>34949.4500066766</v>
      </c>
    </row>
    <row r="37" customFormat="false" ht="15" hidden="false" customHeight="false" outlineLevel="0" collapsed="false">
      <c r="A37" s="0" t="s">
        <v>132</v>
      </c>
      <c r="B37" s="0" t="n">
        <f aca="false">B36+Assumptions!$B$5-Assumptions!$B$4</f>
        <v>34949.4500066766</v>
      </c>
    </row>
    <row r="38" customFormat="false" ht="15" hidden="false" customHeight="false" outlineLevel="0" collapsed="false">
      <c r="A38" s="0" t="s">
        <v>133</v>
      </c>
      <c r="B38" s="0" t="n">
        <f aca="false">B37/Assumptions!$B$3*Assumptions!$B$10</f>
        <v>3.0315818947512</v>
      </c>
    </row>
    <row r="39" customFormat="false" ht="15" hidden="false" customHeight="false" outlineLevel="0" collapsed="false">
      <c r="A39" s="0" t="s">
        <v>134</v>
      </c>
      <c r="B39" s="4" t="n">
        <f aca="false">B38/Assumptions!$B$2-1</f>
        <v>1.35006348430326</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3.0315818947512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48042.7098314087</v>
      </c>
    </row>
    <row r="47" customFormat="false" ht="15" hidden="false" customHeight="false" outlineLevel="0" collapsed="false">
      <c r="A47" s="0" t="s">
        <v>139</v>
      </c>
      <c r="B47" s="0" t="n">
        <f aca="false">(SUMPRODUCT(C19:L19/(1+B45/100)^C4:L4)+B46/(1+B45/100)^L4+Assumptions!$B$5-Assumptions!$B$4)/Assumptions!$B$3*Assumptions!$B$10</f>
        <v>2.27743869744993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0.569475810623558</v>
      </c>
      <c r="C4" s="0" t="n">
        <f aca="false">B4/Assumptions!$B$2-1</f>
        <v>-0.558545883237552</v>
      </c>
      <c r="D4" s="4" t="n">
        <f aca="false">Assumptions!$B$24</f>
        <v>0.35</v>
      </c>
      <c r="E4" s="4" t="n">
        <f aca="false">DCF_Bear!$B$43</f>
        <v>0.569475810623558</v>
      </c>
      <c r="F4" s="4" t="n">
        <f aca="false">DCF_Bear!$B$47</f>
        <v>0.49800875024869</v>
      </c>
    </row>
    <row r="5" customFormat="false" ht="15" hidden="false" customHeight="false" outlineLevel="0" collapsed="false">
      <c r="A5" s="0" t="s">
        <v>148</v>
      </c>
      <c r="B5" s="4" t="n">
        <f aca="false">DCF_Base!$B$38</f>
        <v>1.57520728461472</v>
      </c>
      <c r="C5" s="0" t="n">
        <f aca="false">B5/Assumptions!$B$2-1</f>
        <v>0.221090918305986</v>
      </c>
      <c r="D5" s="4" t="n">
        <f aca="false">Assumptions!$B$38</f>
        <v>0.45</v>
      </c>
      <c r="E5" s="4" t="n">
        <f aca="false">DCF_Base!$B$43</f>
        <v>1.57520728461472</v>
      </c>
      <c r="F5" s="4" t="n">
        <f aca="false">DCF_Base!$B$47</f>
        <v>1.28483468623366</v>
      </c>
    </row>
    <row r="6" customFormat="false" ht="15" hidden="false" customHeight="false" outlineLevel="0" collapsed="false">
      <c r="A6" s="0" t="s">
        <v>149</v>
      </c>
      <c r="B6" s="4" t="n">
        <f aca="false">DCF_Bull!$B$38</f>
        <v>3.0315818947512</v>
      </c>
      <c r="C6" s="0" t="n">
        <f aca="false">B6/Assumptions!$B$2-1</f>
        <v>1.35006348430326</v>
      </c>
      <c r="D6" s="4" t="n">
        <f aca="false">Assumptions!$B$52</f>
        <v>0.2</v>
      </c>
      <c r="E6" s="4" t="n">
        <f aca="false">DCF_Bull!$B$43</f>
        <v>3.0315818947512</v>
      </c>
      <c r="F6" s="4" t="n">
        <f aca="false">DCF_Bull!$B$47</f>
        <v>2.27743869744993</v>
      </c>
    </row>
    <row r="8" customFormat="false" ht="15" hidden="false" customHeight="false" outlineLevel="0" collapsed="false">
      <c r="A8" s="0" t="s">
        <v>150</v>
      </c>
      <c r="B8" s="0" t="n">
        <f aca="false">SUMPRODUCT(B4:B6,D4:D6)</f>
        <v>1.51447619074511</v>
      </c>
    </row>
    <row r="9" customFormat="false" ht="15" hidden="false" customHeight="false" outlineLevel="0" collapsed="false">
      <c r="A9" s="0" t="s">
        <v>151</v>
      </c>
      <c r="B9" s="0" t="n">
        <f aca="false">SUMPRODUCT(E4:E6,D4:D6)</f>
        <v>1.51447619074511</v>
      </c>
    </row>
    <row r="10" customFormat="false" ht="15" hidden="false" customHeight="false" outlineLevel="0" collapsed="false">
      <c r="A10" s="0" t="s">
        <v>152</v>
      </c>
      <c r="B10" s="0" t="n">
        <f aca="false">1-Assumptions!$B$2/B8</f>
        <v>0.148220349792802</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1.20796641088218</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1.95366892265333</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1.81600018789056</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1.69023068111646</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1.57520728461472</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1.28483468623366</v>
      </c>
      <c r="C19" s="3" t="n">
        <v>15</v>
      </c>
    </row>
    <row r="21" customFormat="false" ht="15" hidden="false" customHeight="false" outlineLevel="0" collapsed="false">
      <c r="A21" s="2" t="s">
        <v>162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10</v>
      </c>
      <c r="B23" s="0" t="n">
        <f aca="false">(SUMPRODUCT(DCF_Base!$C$19:$L$19/(1+$A$23/100)^DCF_Base!$C$4:$L$4)+MAX(0,MIN(IF($A$23&gt;$B$22,DCF_Base!$L$19*(1+$B$22/100)/(($A$23-$B$22)/100),DCF_Base!$L$19*DCF_Base!$B$29),DCF_Base!$L$19*DCF_Base!$B$29))/(1+$A$23/100)^DCF_Base!$L$4+Assumptions!$B$5-Assumptions!$B$4)/Assumptions!$B$3*Assumptions!$B$10</f>
        <v>1.81600018789056</v>
      </c>
      <c r="C23" s="0" t="n">
        <f aca="false">(SUMPRODUCT(DCF_Base!$C$19:$L$19/(1+$A$23/100)^DCF_Base!$C$4:$L$4)+MAX(0,MIN(IF($A$23&gt;$C$22,DCF_Base!$L$19*(1+$C$22/100)/(($A$23-$C$22)/100),DCF_Base!$L$19*DCF_Base!$B$29),DCF_Base!$L$19*DCF_Base!$B$29))/(1+$A$23/100)^DCF_Base!$L$4+Assumptions!$B$5-Assumptions!$B$4)/Assumptions!$B$3*Assumptions!$B$10</f>
        <v>1.81600018789056</v>
      </c>
      <c r="D23" s="0" t="n">
        <f aca="false">(SUMPRODUCT(DCF_Base!$C$19:$L$19/(1+$A$23/100)^DCF_Base!$C$4:$L$4)+MAX(0,MIN(IF($A$23&gt;$D$22,DCF_Base!$L$19*(1+$D$22/100)/(($A$23-$D$22)/100),DCF_Base!$L$19*DCF_Base!$B$29),DCF_Base!$L$19*DCF_Base!$B$29))/(1+$A$23/100)^DCF_Base!$L$4+Assumptions!$B$5-Assumptions!$B$4)/Assumptions!$B$3*Assumptions!$B$10</f>
        <v>1.81600018789056</v>
      </c>
      <c r="E23" s="0" t="n">
        <f aca="false">(SUMPRODUCT(DCF_Base!$C$19:$L$19/(1+$A$23/100)^DCF_Base!$C$4:$L$4)+MAX(0,MIN(IF($A$23&gt;$E$22,DCF_Base!$L$19*(1+$E$22/100)/(($A$23-$E$22)/100),DCF_Base!$L$19*DCF_Base!$B$29),DCF_Base!$L$19*DCF_Base!$B$29))/(1+$A$23/100)^DCF_Base!$L$4+Assumptions!$B$5-Assumptions!$B$4)/Assumptions!$B$3*Assumptions!$B$10</f>
        <v>1.81600018789056</v>
      </c>
      <c r="F23" s="0" t="n">
        <f aca="false">(SUMPRODUCT(DCF_Base!$C$19:$L$19/(1+$A$23/100)^DCF_Base!$C$4:$L$4)+MAX(0,MIN(IF($A$23&gt;$F$22,DCF_Base!$L$19*(1+$F$22/100)/(($A$23-$F$22)/100),DCF_Base!$L$19*DCF_Base!$B$29),DCF_Base!$L$19*DCF_Base!$B$29))/(1+$A$23/100)^DCF_Base!$L$4+Assumptions!$B$5-Assumptions!$B$4)/Assumptions!$B$3*Assumptions!$B$10</f>
        <v>1.81600018789056</v>
      </c>
    </row>
    <row r="24" customFormat="false" ht="15" hidden="false" customHeight="false" outlineLevel="0" collapsed="false">
      <c r="A24" s="3" t="n">
        <v>11</v>
      </c>
      <c r="B24" s="0" t="n">
        <f aca="false">(SUMPRODUCT(DCF_Base!$C$19:$L$19/(1+$A$24/100)^DCF_Base!$C$4:$L$4)+MAX(0,MIN(IF($A$24&gt;$B$22,DCF_Base!$L$19*(1+$B$22/100)/(($A$24-$B$22)/100),DCF_Base!$L$19*DCF_Base!$B$29),DCF_Base!$L$19*DCF_Base!$B$29))/(1+$A$24/100)^DCF_Base!$L$4+Assumptions!$B$5-Assumptions!$B$4)/Assumptions!$B$3*Assumptions!$B$10</f>
        <v>1.69023068111646</v>
      </c>
      <c r="C24" s="0" t="n">
        <f aca="false">(SUMPRODUCT(DCF_Base!$C$19:$L$19/(1+$A$24/100)^DCF_Base!$C$4:$L$4)+MAX(0,MIN(IF($A$24&gt;$C$22,DCF_Base!$L$19*(1+$C$22/100)/(($A$24-$C$22)/100),DCF_Base!$L$19*DCF_Base!$B$29),DCF_Base!$L$19*DCF_Base!$B$29))/(1+$A$24/100)^DCF_Base!$L$4+Assumptions!$B$5-Assumptions!$B$4)/Assumptions!$B$3*Assumptions!$B$10</f>
        <v>1.69023068111646</v>
      </c>
      <c r="D24" s="0" t="n">
        <f aca="false">(SUMPRODUCT(DCF_Base!$C$19:$L$19/(1+$A$24/100)^DCF_Base!$C$4:$L$4)+MAX(0,MIN(IF($A$24&gt;$D$22,DCF_Base!$L$19*(1+$D$22/100)/(($A$24-$D$22)/100),DCF_Base!$L$19*DCF_Base!$B$29),DCF_Base!$L$19*DCF_Base!$B$29))/(1+$A$24/100)^DCF_Base!$L$4+Assumptions!$B$5-Assumptions!$B$4)/Assumptions!$B$3*Assumptions!$B$10</f>
        <v>1.69023068111646</v>
      </c>
      <c r="E24" s="0" t="n">
        <f aca="false">(SUMPRODUCT(DCF_Base!$C$19:$L$19/(1+$A$24/100)^DCF_Base!$C$4:$L$4)+MAX(0,MIN(IF($A$24&gt;$E$22,DCF_Base!$L$19*(1+$E$22/100)/(($A$24-$E$22)/100),DCF_Base!$L$19*DCF_Base!$B$29),DCF_Base!$L$19*DCF_Base!$B$29))/(1+$A$24/100)^DCF_Base!$L$4+Assumptions!$B$5-Assumptions!$B$4)/Assumptions!$B$3*Assumptions!$B$10</f>
        <v>1.69023068111646</v>
      </c>
      <c r="F24" s="0" t="n">
        <f aca="false">(SUMPRODUCT(DCF_Base!$C$19:$L$19/(1+$A$24/100)^DCF_Base!$C$4:$L$4)+MAX(0,MIN(IF($A$24&gt;$F$22,DCF_Base!$L$19*(1+$F$22/100)/(($A$24-$F$22)/100),DCF_Base!$L$19*DCF_Base!$B$29),DCF_Base!$L$19*DCF_Base!$B$29))/(1+$A$24/100)^DCF_Base!$L$4+Assumptions!$B$5-Assumptions!$B$4)/Assumptions!$B$3*Assumptions!$B$10</f>
        <v>1.69023068111646</v>
      </c>
    </row>
    <row r="25" customFormat="false" ht="15" hidden="false" customHeight="false" outlineLevel="0" collapsed="false">
      <c r="A25" s="3" t="n">
        <v>12</v>
      </c>
      <c r="B25" s="0" t="n">
        <f aca="false">(SUMPRODUCT(DCF_Base!$C$19:$L$19/(1+$A$25/100)^DCF_Base!$C$4:$L$4)+MAX(0,MIN(IF($A$25&gt;$B$22,DCF_Base!$L$19*(1+$B$22/100)/(($A$25-$B$22)/100),DCF_Base!$L$19*DCF_Base!$B$29),DCF_Base!$L$19*DCF_Base!$B$29))/(1+$A$25/100)^DCF_Base!$L$4+Assumptions!$B$5-Assumptions!$B$4)/Assumptions!$B$3*Assumptions!$B$10</f>
        <v>1.57520728461472</v>
      </c>
      <c r="C25" s="0" t="n">
        <f aca="false">(SUMPRODUCT(DCF_Base!$C$19:$L$19/(1+$A$25/100)^DCF_Base!$C$4:$L$4)+MAX(0,MIN(IF($A$25&gt;$C$22,DCF_Base!$L$19*(1+$C$22/100)/(($A$25-$C$22)/100),DCF_Base!$L$19*DCF_Base!$B$29),DCF_Base!$L$19*DCF_Base!$B$29))/(1+$A$25/100)^DCF_Base!$L$4+Assumptions!$B$5-Assumptions!$B$4)/Assumptions!$B$3*Assumptions!$B$10</f>
        <v>1.57520728461472</v>
      </c>
      <c r="D25" s="0" t="n">
        <f aca="false">(SUMPRODUCT(DCF_Base!$C$19:$L$19/(1+$A$25/100)^DCF_Base!$C$4:$L$4)+MAX(0,MIN(IF($A$25&gt;$D$22,DCF_Base!$L$19*(1+$D$22/100)/(($A$25-$D$22)/100),DCF_Base!$L$19*DCF_Base!$B$29),DCF_Base!$L$19*DCF_Base!$B$29))/(1+$A$25/100)^DCF_Base!$L$4+Assumptions!$B$5-Assumptions!$B$4)/Assumptions!$B$3*Assumptions!$B$10</f>
        <v>1.57520728461472</v>
      </c>
      <c r="E25" s="0" t="n">
        <f aca="false">(SUMPRODUCT(DCF_Base!$C$19:$L$19/(1+$A$25/100)^DCF_Base!$C$4:$L$4)+MAX(0,MIN(IF($A$25&gt;$E$22,DCF_Base!$L$19*(1+$E$22/100)/(($A$25-$E$22)/100),DCF_Base!$L$19*DCF_Base!$B$29),DCF_Base!$L$19*DCF_Base!$B$29))/(1+$A$25/100)^DCF_Base!$L$4+Assumptions!$B$5-Assumptions!$B$4)/Assumptions!$B$3*Assumptions!$B$10</f>
        <v>1.57520728461472</v>
      </c>
      <c r="F25" s="0" t="n">
        <f aca="false">(SUMPRODUCT(DCF_Base!$C$19:$L$19/(1+$A$25/100)^DCF_Base!$C$4:$L$4)+MAX(0,MIN(IF($A$25&gt;$F$22,DCF_Base!$L$19*(1+$F$22/100)/(($A$25-$F$22)/100),DCF_Base!$L$19*DCF_Base!$B$29),DCF_Base!$L$19*DCF_Base!$B$29))/(1+$A$25/100)^DCF_Base!$L$4+Assumptions!$B$5-Assumptions!$B$4)/Assumptions!$B$3*Assumptions!$B$10</f>
        <v>1.57520728461472</v>
      </c>
    </row>
    <row r="26" customFormat="false" ht="15" hidden="false" customHeight="false" outlineLevel="0" collapsed="false">
      <c r="A26" s="3" t="n">
        <v>13</v>
      </c>
      <c r="B26" s="0" t="n">
        <f aca="false">(SUMPRODUCT(DCF_Base!$C$19:$L$19/(1+$A$26/100)^DCF_Base!$C$4:$L$4)+MAX(0,MIN(IF($A$26&gt;$B$22,DCF_Base!$L$19*(1+$B$22/100)/(($A$26-$B$22)/100),DCF_Base!$L$19*DCF_Base!$B$29),DCF_Base!$L$19*DCF_Base!$B$29))/(1+$A$26/100)^DCF_Base!$L$4+Assumptions!$B$5-Assumptions!$B$4)/Assumptions!$B$3*Assumptions!$B$10</f>
        <v>1.46989917623603</v>
      </c>
      <c r="C26" s="0" t="n">
        <f aca="false">(SUMPRODUCT(DCF_Base!$C$19:$L$19/(1+$A$26/100)^DCF_Base!$C$4:$L$4)+MAX(0,MIN(IF($A$26&gt;$C$22,DCF_Base!$L$19*(1+$C$22/100)/(($A$26-$C$22)/100),DCF_Base!$L$19*DCF_Base!$B$29),DCF_Base!$L$19*DCF_Base!$B$29))/(1+$A$26/100)^DCF_Base!$L$4+Assumptions!$B$5-Assumptions!$B$4)/Assumptions!$B$3*Assumptions!$B$10</f>
        <v>1.46989917623603</v>
      </c>
      <c r="D26" s="0" t="n">
        <f aca="false">(SUMPRODUCT(DCF_Base!$C$19:$L$19/(1+$A$26/100)^DCF_Base!$C$4:$L$4)+MAX(0,MIN(IF($A$26&gt;$D$22,DCF_Base!$L$19*(1+$D$22/100)/(($A$26-$D$22)/100),DCF_Base!$L$19*DCF_Base!$B$29),DCF_Base!$L$19*DCF_Base!$B$29))/(1+$A$26/100)^DCF_Base!$L$4+Assumptions!$B$5-Assumptions!$B$4)/Assumptions!$B$3*Assumptions!$B$10</f>
        <v>1.46989917623603</v>
      </c>
      <c r="E26" s="0" t="n">
        <f aca="false">(SUMPRODUCT(DCF_Base!$C$19:$L$19/(1+$A$26/100)^DCF_Base!$C$4:$L$4)+MAX(0,MIN(IF($A$26&gt;$E$22,DCF_Base!$L$19*(1+$E$22/100)/(($A$26-$E$22)/100),DCF_Base!$L$19*DCF_Base!$B$29),DCF_Base!$L$19*DCF_Base!$B$29))/(1+$A$26/100)^DCF_Base!$L$4+Assumptions!$B$5-Assumptions!$B$4)/Assumptions!$B$3*Assumptions!$B$10</f>
        <v>1.46989917623603</v>
      </c>
      <c r="F26" s="0" t="n">
        <f aca="false">(SUMPRODUCT(DCF_Base!$C$19:$L$19/(1+$A$26/100)^DCF_Base!$C$4:$L$4)+MAX(0,MIN(IF($A$26&gt;$F$22,DCF_Base!$L$19*(1+$F$22/100)/(($A$26-$F$22)/100),DCF_Base!$L$19*DCF_Base!$B$29),DCF_Base!$L$19*DCF_Base!$B$29))/(1+$A$26/100)^DCF_Base!$L$4+Assumptions!$B$5-Assumptions!$B$4)/Assumptions!$B$3*Assumptions!$B$10</f>
        <v>1.46989917623603</v>
      </c>
    </row>
    <row r="27" customFormat="false" ht="15" hidden="false" customHeight="false" outlineLevel="0" collapsed="false">
      <c r="A27" s="3" t="n">
        <v>14</v>
      </c>
      <c r="B27" s="0" t="n">
        <f aca="false">(SUMPRODUCT(DCF_Base!$C$19:$L$19/(1+$A$27/100)^DCF_Base!$C$4:$L$4)+MAX(0,MIN(IF($A$27&gt;$B$22,DCF_Base!$L$19*(1+$B$22/100)/(($A$27-$B$22)/100),DCF_Base!$L$19*DCF_Base!$B$29),DCF_Base!$L$19*DCF_Base!$B$29))/(1+$A$27/100)^DCF_Base!$L$4+Assumptions!$B$5-Assumptions!$B$4)/Assumptions!$B$3*Assumptions!$B$10</f>
        <v>1.37338382207753</v>
      </c>
      <c r="C27" s="0" t="n">
        <f aca="false">(SUMPRODUCT(DCF_Base!$C$19:$L$19/(1+$A$27/100)^DCF_Base!$C$4:$L$4)+MAX(0,MIN(IF($A$27&gt;$C$22,DCF_Base!$L$19*(1+$C$22/100)/(($A$27-$C$22)/100),DCF_Base!$L$19*DCF_Base!$B$29),DCF_Base!$L$19*DCF_Base!$B$29))/(1+$A$27/100)^DCF_Base!$L$4+Assumptions!$B$5-Assumptions!$B$4)/Assumptions!$B$3*Assumptions!$B$10</f>
        <v>1.37338382207753</v>
      </c>
      <c r="D27" s="0" t="n">
        <f aca="false">(SUMPRODUCT(DCF_Base!$C$19:$L$19/(1+$A$27/100)^DCF_Base!$C$4:$L$4)+MAX(0,MIN(IF($A$27&gt;$D$22,DCF_Base!$L$19*(1+$D$22/100)/(($A$27-$D$22)/100),DCF_Base!$L$19*DCF_Base!$B$29),DCF_Base!$L$19*DCF_Base!$B$29))/(1+$A$27/100)^DCF_Base!$L$4+Assumptions!$B$5-Assumptions!$B$4)/Assumptions!$B$3*Assumptions!$B$10</f>
        <v>1.37338382207753</v>
      </c>
      <c r="E27" s="0" t="n">
        <f aca="false">(SUMPRODUCT(DCF_Base!$C$19:$L$19/(1+$A$27/100)^DCF_Base!$C$4:$L$4)+MAX(0,MIN(IF($A$27&gt;$E$22,DCF_Base!$L$19*(1+$E$22/100)/(($A$27-$E$22)/100),DCF_Base!$L$19*DCF_Base!$B$29),DCF_Base!$L$19*DCF_Base!$B$29))/(1+$A$27/100)^DCF_Base!$L$4+Assumptions!$B$5-Assumptions!$B$4)/Assumptions!$B$3*Assumptions!$B$10</f>
        <v>1.37338382207753</v>
      </c>
      <c r="F27" s="0" t="n">
        <f aca="false">(SUMPRODUCT(DCF_Base!$C$19:$L$19/(1+$A$27/100)^DCF_Base!$C$4:$L$4)+MAX(0,MIN(IF($A$27&gt;$F$22,DCF_Base!$L$19*(1+$F$22/100)/(($A$27-$F$22)/100),DCF_Base!$L$19*DCF_Base!$B$29),DCF_Base!$L$19*DCF_Base!$B$29))/(1+$A$27/100)^DCF_Base!$L$4+Assumptions!$B$5-Assumptions!$B$4)/Assumptions!$B$3*Assumptions!$B$10</f>
        <v>1.37338382207753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2026-10-11T08:26:10Z</dcterms:created>
  <dc:creator>openpyxl</dc:creator>
  <dc:description/>
  <dc:language>en-NZ</dc:language>
  <cp:lastModifiedBy/>
  <dcterms:modified xsi:type="dcterms:W3CDTF">2026-10-11T08:26:10Z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