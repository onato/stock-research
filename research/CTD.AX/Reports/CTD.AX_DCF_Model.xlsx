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<sst xmlns="http://schemas.openxmlformats.org/spreadsheetml/2006/main" count="351" uniqueCount="163">
  <si>
    <t xml:space="preserve">Ticker</t>
  </si>
  <si>
    <t xml:space="preserve">CTD.AX</t>
  </si>
  <si>
    <t xml:space="preserve">Company</t>
  </si>
  <si>
    <t xml:space="preserve">Corporate Travel Management Limited</t>
  </si>
  <si>
    <t xml:space="preserve">Valuation date</t>
  </si>
  <si>
    <t xml:space="preserve">2026-09-22</t>
  </si>
  <si>
    <t xml:space="preserve">Current price</t>
  </si>
  <si>
    <t xml:space="preserve">Price as of</t>
  </si>
  <si>
    <t xml:space="preserve">2026-09-22T06:12:39Z (ASX regular close 16:12 AEST). Live: shares resumed trading 3 Sep 2026 after a ~13-month suspension at $16.07; first weeks traded $2.25-$2.74 on heavy volume.</t>
  </si>
  <si>
    <t xml:space="preserve">Balance sheet date</t>
  </si>
  <si>
    <t xml:space="preserve">2025-12-31</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</si>
  <si>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</si>
  <si>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</si>
  <si>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</si>
  <si>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</si>
  <si>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</si>
  <si>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</si>
  <si>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</si>
  <si>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</si>
  <si>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</si>
  <si>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</si>
  <si>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2026-09-22T09:37:22Z</t>
  </si>
  <si>
    <t xml:space="preserve">Drivers file</t>
  </si>
  <si>
    <t xml:space="preserve">CTD.AX_Drivers.json</t>
  </si>
  <si>
    <t xml:space="preserve">Convention</t>
  </si>
  <si>
    <t xml:space="preserve">Percents stored as percents; formulas divide by 100. Blue = input, green = link, black = formula.</t>
  </si>
  <si>
    <t xml:space="preserve">Methodology</t>
  </si>
  <si>
    <t xml:space="preserve">summary: A governance-recovery turnaround valued on restated, mid-cycle economics rather than on either the fraud-inflated FY19-FY24 margins or the impairment-year FY25 trough. The owner-FCF DCF is built from components (statutory EBITDA margin after remediation cost, lease cash as opex, D&amp;A ex-ROU, 28% cash tax, 5.5% capex) over 10 years because the margin is still recovering; the customer-refund liabilities are deducted as debt, the associated tax receivable is added, NCI is deducted at book, and a $20m allowance for unprovided claims is charged. Risk is charged once: one 10% AUD WACC, with the downside carried in the bear flows and a 35% bear weight. Terminal value is capped at 12x owner FCF (14x bull) for a cyclical with a damaged franchise.
key_risks_to_valuation: Refund liabilities: the ~$40m not covered by the August 2026 settlements is carried at book; the settled $187.2m is undiscounted and treated as certain. A 30 June 2026 balance sheet refresh may move net debt by tens of millions either way.; Litigation and regulatory action are unprovided; the $20m allowance is a house judgment. A large class action or UK government claim would sit mostly in the bear case.; Margin anchor: the restated FY24/FY26 series (17-19% underlying) is the mid-cycle anchor. If the restatement is incomplete -- the auditor's qualification is on the availability of historical evidence -- the true mid-cycle margin could be lower still.; Client attrition is the swing factor between base and bear: 97% retention was the pre-crisis benchmark, and most renewals since the suspension have not yet fallen due.; Liquidity: net current liabilities of $98.2m at Dec-25, refunds of $154m in FY27 funded from a $175m secured facility with leverage, interest-cover and minimum-cash covenants and review events; facility expiry 1 July 2028 (expected 25 Aug 2029). An equity raise ahead of maturity would dilute the flat share count assumed here.; Data vintage: the FY26 annual report (30 June 2026 balance sheet and cash flow) is not yet extracted; FY0 revenue/EBITDA come from the results announcement via the Analysis JSON.</t>
  </si>
  <si>
    <t xml:space="preserve">Data sources</t>
  </si>
  <si>
    <t xml:space="preserve">price: Yahoo Finance chart API, CTD.AX, regular close 2026-09-22 16:12 AEST (2.74 AUD); 1-year weekly bars confirm the suspension (frozen 16.07, zero volume) from Sep-2025 to 31-Aug-2026
financials: CTD.AX_Metrics.csv / CTD.AX.duckdb (core_metrics + kpis incl. TTV); CTD.AX_Annual_FY2026.txt (= FY2025 annual report, year ended 30 June 2025, released Aug 2026, with restated FY23-24 and the Aug-2026 subsequent-events notes); CTD.AX_HalfYear_H1-2026.txt (31 Dec 2025 balance sheet, refund schedule, going-concern note); FY26 result headline figures from CTD.AX_Analysis.json
qualitative: CTD.AX_Analysis.json (2026-09-22)</t>
  </si>
  <si>
    <t xml:space="preserve">Scenario narrative: bear</t>
  </si>
  <si>
    <t xml:space="preserve">The control failure was group-wide, not a UK aberration: the qualified audit opinion on opening balances persists, a shareholder class action and UK regulatory action follow, and corporate/government clients decline to renew as contracts roll in FY27-29 (revenue -4% and -2% in FY28-29). Margins fall back to the FY25 trough of ~13% under sustained legal/remediation cost and pricing concessions. The refund schedule is still met, but the facility is fully drawn, an equity raise ahead of the 2028 maturity is likely, and the business settles as a ~14%-margin, 2%-growth TMC. The bear terminal value binds on the 12x cap, not the zero floor -- the business survives this path but is worth well under the current price.</t>
  </si>
  <si>
    <t xml:space="preserve">Scenario narrative: base</t>
  </si>
  <si>
    <t xml:space="preserve">The core TMC is intact -- 97% TTV retention held through the crisis, FY26 transactions +13%, underlying EBITDA recovered 36% to $113.6m -- but the franchise is diminished: the pre-scandal margin profile was partly fictitious UK revenue, so mid-cycle is the restated 18-19%, not 25%+. Revenue grows ~4% (below the ~7% industry rate) as some renewals are lost; remediation and audit costs fade by FY28; the $187m refund schedule is met from the $175m facility and FY27-28 cash flow; no dividend until FY28. Value is driven by whether an 8% owner-FCF margin on ~$700m of revenue is durable once the UK is cleaned up.</t>
  </si>
  <si>
    <t xml:space="preserve">Scenario narrative: bull</t>
  </si>
  <si>
    <t xml:space="preserve">Governance reset lands (new CEO, clean FY27 audit, covenants comfortably met), the three non-UK regions compound on their H1 FY26 trajectory -- Asia at 25.6% margin, North America expanding on Lightning/online penetration and the exit from loyalty redemption, Europe repriced -- and the group reaches a 23% EBITDA margin on 6-7% growth. The unsettled ~$40m of refund liabilities settle at the ~85% ratio the key customers accepted, no class action materialises, and the stock re-rates from ~4x to a mid-teens EV/EBITDA as index eligibility returns.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</si>
  <si>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</si>
  <si>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</si>
  <si>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</si>
  <si>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</si>
  <si>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</si>
  <si>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</si>
  <si>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</si>
  <si>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</si>
  <si>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</si>
  <si>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</si>
  <si>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</si>
  <si>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</si>
  <si>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</si>
  <si>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</si>
  <si>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</si>
  <si>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</si>
  <si>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</si>
  <si>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</si>
  <si>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</si>
  <si>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</si>
  <si>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</si>
  <si>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</si>
  <si>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</si>
  <si>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</si>
  <si>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</si>
  <si>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</si>
  <si>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</si>
  <si>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ImpairmentExpense</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</si>
  <si>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</si>
  <si>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</si>
  <si>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</si>
  <si>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</si>
  <si>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</si>
  <si>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</si>
  <si>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</si>
  <si>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</si>
  <si>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</si>
  <si>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</si>
  <si>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</si>
  <si>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</si>
  <si>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</si>
  <si>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</si>
  <si>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</si>
  <si>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</si>
  <si>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</si>
  <si>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</si>
  <si>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</si>
  <si>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</si>
  <si>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</si>
  <si>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</si>
  <si>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</si>
  <si>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</si>
  <si>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</si>
  <si>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</si>
  <si>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</si>
  <si>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</si>
  <si>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</si>
  <si>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</si>
  <si>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</si>
  <si>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</si>
  <si>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</si>
  <si>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</si>
  <si>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</si>
  <si>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</si>
  <si>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</si>
  <si>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</si>
  <si>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</si>
  <si>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</si>
  <si>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</si>
  <si>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</si>
  <si>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</si>
  <si>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</si>
  <si>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</si>
  <si>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CTD.AX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</si>
  <si>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</si>
  <si>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</si>
  <si>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</si>
  <si>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</si>
  <si>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</si>
  <si>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</si>
  <si>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</si>
  <si>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</si>
  <si>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</si>
  <si>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</si>
  <si>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</si>
  <si>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</si>
  <si>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</si>
  <si>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</si>
  <si>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</si>
  <si>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</si>
  <si>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</si>
  <si>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</si>
  <si>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</si>
  <si>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</si>
  <si>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</si>
  <si>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</si>
  <si>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</si>
  <si>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</si>
  <si>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</si>
  <si>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</si>
  <si>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</si>
  <si>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</si>
  <si>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</si>
  <si>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</si>
  <si>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CTD.AX owner-FCF component DCF: base case (millions, AUD)</t>
  </si>
  <si>
    <t xml:space="preserve">CTD.AX owner-FCF component DCF: bull case (millions, AUD)</t>
  </si>
  <si>
    <t xml:space="preserve">CTD.AX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</si>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</sst>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446.739</v>
      </c>
      <c r="F2" s="0" t="n">
        <v>109.776</v>
      </c>
      <c r="G2" s="0" t="n">
        <v>24.6</v>
      </c>
      <c r="H2" s="0" t="n">
        <v>130.124</v>
      </c>
      <c r="I2" s="0" t="n">
        <v>89.473</v>
      </c>
      <c r="J2" s="0" t="n">
        <v>20</v>
      </c>
      <c r="K2" s="0" t="n">
        <v>79.6</v>
      </c>
      <c r="L2" s="0" t="n">
        <v>133.477</v>
      </c>
      <c r="O2" s="0" t="n">
        <v>592.482</v>
      </c>
      <c r="P2" s="0" t="n">
        <v>1003.849</v>
      </c>
      <c r="Q2" s="0" t="n">
        <v>411.367</v>
      </c>
      <c r="R2" s="0" t="n">
        <v>39.29</v>
      </c>
      <c r="S2" s="0" t="n">
        <v>138.791</v>
      </c>
      <c r="T2" s="0" t="n">
        <v>108.278527</v>
      </c>
      <c r="AA2" s="0" t="s">
        <v>17</v>
      </c>
      <c r="AB2" s="0" t="s">
        <v>14</v>
      </c>
    </row>
    <row r="3" customFormat="false" ht="15" hidden="false" customHeight="false" outlineLevel="0" collapsed="false">
      <c r="A3" s="0" t="s">
        <v>65</v>
      </c>
      <c r="B3" s="0" t="n">
        <v>316.364</v>
      </c>
      <c r="F3" s="0" t="n">
        <v>-2.133</v>
      </c>
      <c r="G3" s="0" t="n">
        <v>-0.7</v>
      </c>
      <c r="H3" s="0" t="n">
        <v>40.379</v>
      </c>
      <c r="I3" s="0" t="n">
        <v>-10.624</v>
      </c>
      <c r="J3" s="0" t="n">
        <v>-3.4</v>
      </c>
      <c r="K3" s="0" t="n">
        <v>-7.5</v>
      </c>
      <c r="L3" s="0" t="n">
        <v>79.249</v>
      </c>
      <c r="M3" s="0" t="n">
        <v>22.225</v>
      </c>
      <c r="N3" s="0" t="n">
        <v>57.024</v>
      </c>
      <c r="O3" s="0" t="n">
        <v>558.087</v>
      </c>
      <c r="P3" s="0" t="n">
        <v>763.517</v>
      </c>
      <c r="Q3" s="0" t="n">
        <v>205.43</v>
      </c>
      <c r="R3" s="0" t="n">
        <v>0</v>
      </c>
      <c r="S3" s="0" t="n">
        <v>92.843</v>
      </c>
      <c r="T3" s="0" t="n">
        <v>108.86857</v>
      </c>
      <c r="U3" s="0" t="n">
        <v>-4.16</v>
      </c>
      <c r="AA3" s="0" t="s">
        <v>17</v>
      </c>
      <c r="AB3" s="0" t="s">
        <v>14</v>
      </c>
      <c r="AC3" s="0" t="n">
        <v>23.643</v>
      </c>
    </row>
    <row r="4" customFormat="false" ht="15" hidden="false" customHeight="false" outlineLevel="0" collapsed="false">
      <c r="A4" s="0" t="s">
        <v>66</v>
      </c>
      <c r="B4" s="0" t="n">
        <v>174.046</v>
      </c>
      <c r="C4" s="0" t="n">
        <v>-8.176</v>
      </c>
      <c r="D4" s="0" t="n">
        <v>165.87</v>
      </c>
      <c r="E4" s="0" t="n">
        <v>95.3</v>
      </c>
      <c r="F4" s="0" t="n">
        <v>-72.336</v>
      </c>
      <c r="G4" s="0" t="n">
        <v>-41.6</v>
      </c>
      <c r="H4" s="0" t="n">
        <v>-31.479</v>
      </c>
      <c r="I4" s="0" t="n">
        <v>-57.761</v>
      </c>
      <c r="J4" s="0" t="n">
        <v>-33.2</v>
      </c>
      <c r="K4" s="0" t="n">
        <v>-43</v>
      </c>
      <c r="L4" s="0" t="n">
        <v>-60.356</v>
      </c>
      <c r="M4" s="0" t="n">
        <v>15.347</v>
      </c>
      <c r="N4" s="0" t="n">
        <v>-75.703</v>
      </c>
      <c r="O4" s="0" t="n">
        <v>851.457</v>
      </c>
      <c r="P4" s="0" t="n">
        <v>1135.748</v>
      </c>
      <c r="Q4" s="0" t="n">
        <v>284.291</v>
      </c>
      <c r="R4" s="0" t="n">
        <v>0</v>
      </c>
      <c r="S4" s="0" t="n">
        <v>99.018</v>
      </c>
      <c r="T4" s="0" t="n">
        <v>128.645231</v>
      </c>
      <c r="U4" s="0" t="n">
        <v>5.548</v>
      </c>
      <c r="AA4" s="0" t="s">
        <v>17</v>
      </c>
      <c r="AB4" s="0" t="s">
        <v>14</v>
      </c>
      <c r="AC4" s="0" t="n">
        <v>1.261</v>
      </c>
    </row>
    <row r="5" customFormat="false" ht="15" hidden="false" customHeight="false" outlineLevel="0" collapsed="false">
      <c r="A5" s="0" t="s">
        <v>67</v>
      </c>
      <c r="B5" s="0" t="n">
        <v>377.36</v>
      </c>
      <c r="C5" s="0" t="n">
        <v>-9.539</v>
      </c>
      <c r="D5" s="0" t="n">
        <v>367.821</v>
      </c>
      <c r="E5" s="0" t="n">
        <v>97.5</v>
      </c>
      <c r="F5" s="0" t="n">
        <v>3.836</v>
      </c>
      <c r="G5" s="0" t="n">
        <v>1</v>
      </c>
      <c r="H5" s="0" t="n">
        <v>48.261</v>
      </c>
      <c r="I5" s="0" t="n">
        <v>0.762</v>
      </c>
      <c r="J5" s="0" t="n">
        <v>0.2</v>
      </c>
      <c r="K5" s="0" t="n">
        <v>2.2</v>
      </c>
      <c r="L5" s="0" t="n">
        <v>73.915</v>
      </c>
      <c r="M5" s="0" t="n">
        <v>25.964</v>
      </c>
      <c r="N5" s="0" t="n">
        <v>47.951</v>
      </c>
      <c r="O5" s="0" t="n">
        <v>1081.385</v>
      </c>
      <c r="P5" s="0" t="n">
        <v>1507.166</v>
      </c>
      <c r="Q5" s="0" t="n">
        <v>425.781</v>
      </c>
      <c r="R5" s="0" t="n">
        <v>0</v>
      </c>
      <c r="S5" s="0" t="n">
        <v>142.054</v>
      </c>
      <c r="T5" s="0" t="n">
        <v>140.059733</v>
      </c>
      <c r="U5" s="0" t="n">
        <v>8.386</v>
      </c>
      <c r="AA5" s="0" t="s">
        <v>17</v>
      </c>
      <c r="AB5" s="0" t="s">
        <v>14</v>
      </c>
    </row>
    <row r="6" customFormat="false" ht="15" hidden="false" customHeight="false" outlineLevel="0" collapsed="false">
      <c r="A6" s="0" t="s">
        <v>68</v>
      </c>
      <c r="B6" s="0" t="n">
        <v>653.402</v>
      </c>
      <c r="C6" s="0" t="n">
        <v>-9.524</v>
      </c>
      <c r="D6" s="0" t="n">
        <v>643.878</v>
      </c>
      <c r="E6" s="0" t="n">
        <v>98.5</v>
      </c>
      <c r="F6" s="0" t="n">
        <v>106.975</v>
      </c>
      <c r="G6" s="0" t="n">
        <v>16.4</v>
      </c>
      <c r="H6" s="0" t="n">
        <v>162.204</v>
      </c>
      <c r="I6" s="0" t="n">
        <v>78.77</v>
      </c>
      <c r="J6" s="0" t="n">
        <v>12.1</v>
      </c>
      <c r="K6" s="0" t="n">
        <v>53.1</v>
      </c>
      <c r="L6" s="0" t="n">
        <v>80.302</v>
      </c>
      <c r="M6" s="0" t="n">
        <v>36.816</v>
      </c>
      <c r="N6" s="0" t="n">
        <v>43.486</v>
      </c>
      <c r="O6" s="0" t="n">
        <v>1187.617</v>
      </c>
      <c r="P6" s="0" t="n">
        <v>1722.851</v>
      </c>
      <c r="Q6" s="0" t="n">
        <v>535.234</v>
      </c>
      <c r="R6" s="0" t="n">
        <v>0</v>
      </c>
      <c r="S6" s="0" t="n">
        <v>150.985</v>
      </c>
      <c r="T6" s="0" t="n">
        <v>146.173544</v>
      </c>
      <c r="U6" s="0" t="n">
        <v>4.575</v>
      </c>
      <c r="AA6" s="0" t="s">
        <v>17</v>
      </c>
      <c r="AB6" s="0" t="s">
        <v>14</v>
      </c>
      <c r="AC6" s="0" t="n">
        <v>1.703</v>
      </c>
    </row>
    <row r="7" customFormat="false" ht="15" hidden="false" customHeight="false" outlineLevel="0" collapsed="false">
      <c r="A7" s="0" t="s">
        <v>69</v>
      </c>
      <c r="B7" s="0" t="n">
        <v>710.42</v>
      </c>
      <c r="C7" s="0" t="n">
        <v>-9.576</v>
      </c>
      <c r="D7" s="0" t="n">
        <v>700.844</v>
      </c>
      <c r="E7" s="0" t="n">
        <v>98.7</v>
      </c>
      <c r="F7" s="0" t="n">
        <v>119.912</v>
      </c>
      <c r="G7" s="0" t="n">
        <v>16.9</v>
      </c>
      <c r="H7" s="0" t="n">
        <v>179.991</v>
      </c>
      <c r="I7" s="0" t="n">
        <v>86.385</v>
      </c>
      <c r="J7" s="0" t="n">
        <v>12.2</v>
      </c>
      <c r="K7" s="0" t="n">
        <v>57.9</v>
      </c>
      <c r="L7" s="0" t="n">
        <v>126.769</v>
      </c>
      <c r="M7" s="0" t="n">
        <v>47.563</v>
      </c>
      <c r="N7" s="0" t="n">
        <v>79.206</v>
      </c>
      <c r="O7" s="0" t="n">
        <v>1190.692</v>
      </c>
      <c r="P7" s="0" t="n">
        <v>1643.103</v>
      </c>
      <c r="Q7" s="0" t="n">
        <v>452.411</v>
      </c>
      <c r="R7" s="0" t="n">
        <v>0</v>
      </c>
      <c r="S7" s="0" t="n">
        <v>134.771</v>
      </c>
      <c r="T7" s="0" t="n">
        <v>145.943043</v>
      </c>
      <c r="U7" s="0" t="n">
        <v>2.997</v>
      </c>
      <c r="AA7" s="0" t="s">
        <v>17</v>
      </c>
      <c r="AB7" s="0" t="s">
        <v>14</v>
      </c>
      <c r="AC7" s="0" t="n">
        <v>1.506</v>
      </c>
    </row>
    <row r="8" customFormat="false" ht="15" hidden="false" customHeight="false" outlineLevel="0" collapsed="false">
      <c r="A8" s="0" t="s">
        <v>70</v>
      </c>
      <c r="B8" s="0" t="n">
        <v>635.768</v>
      </c>
      <c r="C8" s="0" t="n">
        <v>-9.009</v>
      </c>
      <c r="D8" s="0" t="n">
        <v>626.759</v>
      </c>
      <c r="E8" s="0" t="n">
        <v>98.6</v>
      </c>
      <c r="F8" s="0" t="n">
        <v>-361.764</v>
      </c>
      <c r="G8" s="0" t="n">
        <v>-56.9</v>
      </c>
      <c r="H8" s="0" t="n">
        <v>-297.106</v>
      </c>
      <c r="I8" s="0" t="n">
        <v>-346.703</v>
      </c>
      <c r="J8" s="0" t="n">
        <v>-54.5</v>
      </c>
      <c r="K8" s="0" t="n">
        <v>-245.3</v>
      </c>
      <c r="L8" s="0" t="n">
        <v>141.567</v>
      </c>
      <c r="M8" s="0" t="n">
        <v>38.895</v>
      </c>
      <c r="N8" s="0" t="n">
        <v>102.672</v>
      </c>
      <c r="O8" s="0" t="n">
        <v>578.785</v>
      </c>
      <c r="P8" s="0" t="n">
        <v>1309.738</v>
      </c>
      <c r="Q8" s="0" t="n">
        <v>730.953</v>
      </c>
      <c r="R8" s="0" t="n">
        <v>0</v>
      </c>
      <c r="S8" s="0" t="n">
        <v>124.004</v>
      </c>
      <c r="T8" s="0" t="n">
        <v>142.10776</v>
      </c>
      <c r="U8" s="0" t="n">
        <v>-2.615</v>
      </c>
      <c r="AA8" s="0" t="s">
        <v>17</v>
      </c>
      <c r="AB8" s="0" t="s">
        <v>14</v>
      </c>
      <c r="AC8" s="0" t="n">
        <v>370.023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2.74</v>
      </c>
    </row>
    <row r="3" customFormat="false" ht="15" hidden="false" customHeight="false" outlineLevel="0" collapsed="false">
      <c r="A3" s="0" t="s">
        <v>74</v>
      </c>
      <c r="B3" s="3" t="n">
        <v>139</v>
      </c>
    </row>
    <row r="4" customFormat="false" ht="15" hidden="false" customHeight="false" outlineLevel="0" collapsed="false">
      <c r="A4" s="0" t="s">
        <v>75</v>
      </c>
      <c r="B4" s="3" t="n">
        <v>135.3</v>
      </c>
    </row>
    <row r="5" customFormat="false" ht="15" hidden="false" customHeight="false" outlineLevel="0" collapsed="false">
      <c r="A5" s="0" t="s">
        <v>76</v>
      </c>
      <c r="B5" s="3" t="n">
        <v>11.05</v>
      </c>
    </row>
    <row r="6" customFormat="false" ht="15" hidden="false" customHeight="false" outlineLevel="0" collapsed="false">
      <c r="A6" s="0" t="s">
        <v>77</v>
      </c>
      <c r="B6" s="3" t="n">
        <v>15</v>
      </c>
    </row>
    <row r="7" customFormat="false" ht="15" hidden="false" customHeight="false" outlineLevel="0" collapsed="false">
      <c r="A7" s="0" t="s">
        <v>78</v>
      </c>
      <c r="B7" s="3" t="n">
        <v>669.9</v>
      </c>
    </row>
    <row r="8" customFormat="false" ht="15" hidden="false" customHeight="false" outlineLevel="0" collapsed="false">
      <c r="A8" s="0" t="s">
        <v>79</v>
      </c>
      <c r="B8" s="3" t="s">
        <v>80</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0</v>
      </c>
      <c r="D13" s="3" t="n">
        <v>-4</v>
      </c>
      <c r="E13" s="3" t="n">
        <v>-2</v>
      </c>
      <c r="F13" s="3" t="n">
        <v>1</v>
      </c>
      <c r="G13" s="3" t="n">
        <v>2</v>
      </c>
      <c r="H13" s="3" t="n">
        <v>2</v>
      </c>
      <c r="I13" s="3" t="n">
        <v>2</v>
      </c>
      <c r="J13" s="3" t="n">
        <v>2</v>
      </c>
      <c r="K13" s="3" t="n">
        <v>2</v>
      </c>
      <c r="L13" s="3" t="n">
        <v>2</v>
      </c>
    </row>
    <row r="14" customFormat="false" ht="15" hidden="false" customHeight="false" outlineLevel="0" collapsed="false">
      <c r="A14" s="0" t="s">
        <v>96</v>
      </c>
      <c r="C14" s="3" t="n">
        <v>14</v>
      </c>
      <c r="D14" s="3" t="n">
        <v>12.5</v>
      </c>
      <c r="E14" s="3" t="n">
        <v>12.5</v>
      </c>
      <c r="F14" s="3" t="n">
        <v>13</v>
      </c>
      <c r="G14" s="3" t="n">
        <v>13.5</v>
      </c>
      <c r="H14" s="3" t="n">
        <v>14</v>
      </c>
      <c r="I14" s="3" t="n">
        <v>14</v>
      </c>
      <c r="J14" s="3" t="n">
        <v>14</v>
      </c>
      <c r="K14" s="3" t="n">
        <v>14</v>
      </c>
      <c r="L14" s="3" t="n">
        <v>14</v>
      </c>
    </row>
    <row r="15" customFormat="false" ht="15" hidden="false" customHeight="false" outlineLevel="0" collapsed="false">
      <c r="A15" s="0" t="s">
        <v>97</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98</v>
      </c>
      <c r="C16" s="3" t="n">
        <v>1.8</v>
      </c>
      <c r="D16" s="3" t="n">
        <v>1.8</v>
      </c>
      <c r="E16" s="3" t="n">
        <v>1.8</v>
      </c>
      <c r="F16" s="3" t="n">
        <v>1.8</v>
      </c>
      <c r="G16" s="3" t="n">
        <v>1.8</v>
      </c>
      <c r="H16" s="3" t="n">
        <v>1.8</v>
      </c>
      <c r="I16" s="3" t="n">
        <v>1.8</v>
      </c>
      <c r="J16" s="3" t="n">
        <v>1.8</v>
      </c>
      <c r="K16" s="3" t="n">
        <v>1.8</v>
      </c>
      <c r="L16" s="3" t="n">
        <v>1.8</v>
      </c>
    </row>
    <row r="17" customFormat="false" ht="15" hidden="false" customHeight="false" outlineLevel="0" collapsed="false">
      <c r="A17" s="0" t="s">
        <v>99</v>
      </c>
      <c r="C17" s="3" t="n">
        <v>8</v>
      </c>
      <c r="D17" s="3" t="n">
        <v>7.5</v>
      </c>
      <c r="E17" s="3" t="n">
        <v>7</v>
      </c>
      <c r="F17" s="3" t="n">
        <v>6.5</v>
      </c>
      <c r="G17" s="3" t="n">
        <v>6</v>
      </c>
      <c r="H17" s="3" t="n">
        <v>6</v>
      </c>
      <c r="I17" s="3" t="n">
        <v>5.5</v>
      </c>
      <c r="J17" s="3" t="n">
        <v>5.5</v>
      </c>
      <c r="K17" s="3" t="n">
        <v>5.5</v>
      </c>
      <c r="L17" s="3" t="n">
        <v>5.5</v>
      </c>
    </row>
    <row r="18" customFormat="false" ht="15" hidden="false" customHeight="false" outlineLevel="0" collapsed="false">
      <c r="A18" s="0" t="s">
        <v>100</v>
      </c>
      <c r="C18" s="3" t="n">
        <v>5.5</v>
      </c>
      <c r="D18" s="3" t="n">
        <v>5.5</v>
      </c>
      <c r="E18" s="3" t="n">
        <v>5.5</v>
      </c>
      <c r="F18" s="3" t="n">
        <v>5.5</v>
      </c>
      <c r="G18" s="3" t="n">
        <v>5.5</v>
      </c>
      <c r="H18" s="3" t="n">
        <v>5.5</v>
      </c>
      <c r="I18" s="3" t="n">
        <v>5.5</v>
      </c>
      <c r="J18" s="3" t="n">
        <v>5.5</v>
      </c>
      <c r="K18" s="3" t="n">
        <v>5.5</v>
      </c>
      <c r="L18" s="3" t="n">
        <v>5.5</v>
      </c>
    </row>
    <row r="19" customFormat="false" ht="15" hidden="false" customHeight="false" outlineLevel="0" collapsed="false">
      <c r="A19" s="0" t="s">
        <v>101</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102</v>
      </c>
      <c r="B20" s="3" t="n">
        <v>10</v>
      </c>
    </row>
    <row r="21" customFormat="false" ht="15" hidden="false" customHeight="false" outlineLevel="0" collapsed="false">
      <c r="A21" s="0" t="s">
        <v>103</v>
      </c>
      <c r="B21" s="3" t="n">
        <v>2</v>
      </c>
    </row>
    <row r="22" customFormat="false" ht="15" hidden="false" customHeight="false" outlineLevel="0" collapsed="false">
      <c r="A22" s="0" t="s">
        <v>104</v>
      </c>
      <c r="B22" s="3" t="n">
        <v>12</v>
      </c>
    </row>
    <row r="23" customFormat="false" ht="15" hidden="false" customHeight="false" outlineLevel="0" collapsed="false">
      <c r="A23" s="0" t="s">
        <v>105</v>
      </c>
      <c r="B23" s="3" t="n">
        <v>3</v>
      </c>
    </row>
    <row r="24" customFormat="false" ht="15" hidden="false" customHeight="false" outlineLevel="0" collapsed="false">
      <c r="A24" s="0" t="s">
        <v>106</v>
      </c>
      <c r="B24" s="3" t="n">
        <v>0.35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4</v>
      </c>
      <c r="D27" s="3" t="n">
        <v>4.5</v>
      </c>
      <c r="E27" s="3" t="n">
        <v>4.5</v>
      </c>
      <c r="F27" s="3" t="n">
        <v>4</v>
      </c>
      <c r="G27" s="3" t="n">
        <v>4</v>
      </c>
      <c r="H27" s="3" t="n">
        <v>3.5</v>
      </c>
      <c r="I27" s="3" t="n">
        <v>3</v>
      </c>
      <c r="J27" s="3" t="n">
        <v>3</v>
      </c>
      <c r="K27" s="3" t="n">
        <v>2.5</v>
      </c>
      <c r="L27" s="3" t="n">
        <v>2.5</v>
      </c>
    </row>
    <row r="28" customFormat="false" ht="15" hidden="false" customHeight="false" outlineLevel="0" collapsed="false">
      <c r="A28" s="0" t="s">
        <v>96</v>
      </c>
      <c r="C28" s="3" t="n">
        <v>16.5</v>
      </c>
      <c r="D28" s="3" t="n">
        <v>17.5</v>
      </c>
      <c r="E28" s="3" t="n">
        <v>18</v>
      </c>
      <c r="F28" s="3" t="n">
        <v>18.5</v>
      </c>
      <c r="G28" s="3" t="n">
        <v>19</v>
      </c>
      <c r="H28" s="3" t="n">
        <v>19</v>
      </c>
      <c r="I28" s="3" t="n">
        <v>19</v>
      </c>
      <c r="J28" s="3" t="n">
        <v>19</v>
      </c>
      <c r="K28" s="3" t="n">
        <v>19</v>
      </c>
      <c r="L28" s="3" t="n">
        <v>19</v>
      </c>
    </row>
    <row r="29" customFormat="false" ht="15" hidden="false" customHeight="false" outlineLevel="0" collapsed="false">
      <c r="A29" s="0" t="s">
        <v>97</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98</v>
      </c>
      <c r="C30" s="3" t="n">
        <v>1.8</v>
      </c>
      <c r="D30" s="3" t="n">
        <v>1.8</v>
      </c>
      <c r="E30" s="3" t="n">
        <v>1.8</v>
      </c>
      <c r="F30" s="3" t="n">
        <v>1.8</v>
      </c>
      <c r="G30" s="3" t="n">
        <v>1.8</v>
      </c>
      <c r="H30" s="3" t="n">
        <v>1.8</v>
      </c>
      <c r="I30" s="3" t="n">
        <v>1.8</v>
      </c>
      <c r="J30" s="3" t="n">
        <v>1.8</v>
      </c>
      <c r="K30" s="3" t="n">
        <v>1.8</v>
      </c>
      <c r="L30" s="3" t="n">
        <v>1.8</v>
      </c>
    </row>
    <row r="31" customFormat="false" ht="15" hidden="false" customHeight="false" outlineLevel="0" collapsed="false">
      <c r="A31" s="0" t="s">
        <v>99</v>
      </c>
      <c r="C31" s="3" t="n">
        <v>8</v>
      </c>
      <c r="D31" s="3" t="n">
        <v>7.5</v>
      </c>
      <c r="E31" s="3" t="n">
        <v>7</v>
      </c>
      <c r="F31" s="3" t="n">
        <v>6.5</v>
      </c>
      <c r="G31" s="3" t="n">
        <v>6</v>
      </c>
      <c r="H31" s="3" t="n">
        <v>6</v>
      </c>
      <c r="I31" s="3" t="n">
        <v>5.5</v>
      </c>
      <c r="J31" s="3" t="n">
        <v>5.5</v>
      </c>
      <c r="K31" s="3" t="n">
        <v>5.5</v>
      </c>
      <c r="L31" s="3" t="n">
        <v>5.5</v>
      </c>
    </row>
    <row r="32" customFormat="false" ht="15" hidden="false" customHeight="false" outlineLevel="0" collapsed="false">
      <c r="A32" s="0" t="s">
        <v>100</v>
      </c>
      <c r="C32" s="3" t="n">
        <v>5.5</v>
      </c>
      <c r="D32" s="3" t="n">
        <v>5.5</v>
      </c>
      <c r="E32" s="3" t="n">
        <v>5.5</v>
      </c>
      <c r="F32" s="3" t="n">
        <v>5.5</v>
      </c>
      <c r="G32" s="3" t="n">
        <v>5.5</v>
      </c>
      <c r="H32" s="3" t="n">
        <v>5.5</v>
      </c>
      <c r="I32" s="3" t="n">
        <v>5.5</v>
      </c>
      <c r="J32" s="3" t="n">
        <v>5.5</v>
      </c>
      <c r="K32" s="3" t="n">
        <v>5.5</v>
      </c>
      <c r="L32" s="3" t="n">
        <v>5.5</v>
      </c>
    </row>
    <row r="33" customFormat="false" ht="15" hidden="false" customHeight="false" outlineLevel="0" collapsed="false">
      <c r="A33" s="0" t="s">
        <v>101</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102</v>
      </c>
      <c r="B34" s="3" t="n">
        <v>10</v>
      </c>
    </row>
    <row r="35" customFormat="false" ht="15" hidden="false" customHeight="false" outlineLevel="0" collapsed="false">
      <c r="A35" s="0" t="s">
        <v>103</v>
      </c>
      <c r="B35" s="3" t="n">
        <v>2.5</v>
      </c>
    </row>
    <row r="36" customFormat="false" ht="15" hidden="false" customHeight="false" outlineLevel="0" collapsed="false">
      <c r="A36" s="0" t="s">
        <v>104</v>
      </c>
      <c r="B36" s="3" t="n">
        <v>12</v>
      </c>
    </row>
    <row r="37" customFormat="false" ht="15" hidden="false" customHeight="false" outlineLevel="0" collapsed="false">
      <c r="A37" s="0" t="s">
        <v>105</v>
      </c>
      <c r="B37" s="3" t="n">
        <v>3</v>
      </c>
    </row>
    <row r="38" customFormat="false" ht="15" hidden="false" customHeight="false" outlineLevel="0" collapsed="false">
      <c r="A38" s="0" t="s">
        <v>106</v>
      </c>
      <c r="B38" s="3" t="n">
        <v>0.45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6</v>
      </c>
      <c r="D41" s="3" t="n">
        <v>7</v>
      </c>
      <c r="E41" s="3" t="n">
        <v>7</v>
      </c>
      <c r="F41" s="3" t="n">
        <v>6</v>
      </c>
      <c r="G41" s="3" t="n">
        <v>5.5</v>
      </c>
      <c r="H41" s="3" t="n">
        <v>5</v>
      </c>
      <c r="I41" s="3" t="n">
        <v>4.5</v>
      </c>
      <c r="J41" s="3" t="n">
        <v>4</v>
      </c>
      <c r="K41" s="3" t="n">
        <v>3.5</v>
      </c>
      <c r="L41" s="3" t="n">
        <v>3</v>
      </c>
    </row>
    <row r="42" customFormat="false" ht="15" hidden="false" customHeight="false" outlineLevel="0" collapsed="false">
      <c r="A42" s="0" t="s">
        <v>96</v>
      </c>
      <c r="C42" s="3" t="n">
        <v>18</v>
      </c>
      <c r="D42" s="3" t="n">
        <v>19.5</v>
      </c>
      <c r="E42" s="3" t="n">
        <v>21</v>
      </c>
      <c r="F42" s="3" t="n">
        <v>22</v>
      </c>
      <c r="G42" s="3" t="n">
        <v>22.5</v>
      </c>
      <c r="H42" s="3" t="n">
        <v>23</v>
      </c>
      <c r="I42" s="3" t="n">
        <v>23</v>
      </c>
      <c r="J42" s="3" t="n">
        <v>23</v>
      </c>
      <c r="K42" s="3" t="n">
        <v>23</v>
      </c>
      <c r="L42" s="3" t="n">
        <v>23</v>
      </c>
    </row>
    <row r="43" customFormat="false" ht="15" hidden="false" customHeight="false" outlineLevel="0" collapsed="false">
      <c r="A43" s="0" t="s">
        <v>97</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98</v>
      </c>
      <c r="C44" s="3" t="n">
        <v>1.8</v>
      </c>
      <c r="D44" s="3" t="n">
        <v>1.8</v>
      </c>
      <c r="E44" s="3" t="n">
        <v>1.8</v>
      </c>
      <c r="F44" s="3" t="n">
        <v>1.8</v>
      </c>
      <c r="G44" s="3" t="n">
        <v>1.8</v>
      </c>
      <c r="H44" s="3" t="n">
        <v>1.8</v>
      </c>
      <c r="I44" s="3" t="n">
        <v>1.8</v>
      </c>
      <c r="J44" s="3" t="n">
        <v>1.8</v>
      </c>
      <c r="K44" s="3" t="n">
        <v>1.8</v>
      </c>
      <c r="L44" s="3" t="n">
        <v>1.8</v>
      </c>
    </row>
    <row r="45" customFormat="false" ht="15" hidden="false" customHeight="false" outlineLevel="0" collapsed="false">
      <c r="A45" s="0" t="s">
        <v>99</v>
      </c>
      <c r="C45" s="3" t="n">
        <v>8</v>
      </c>
      <c r="D45" s="3" t="n">
        <v>7.5</v>
      </c>
      <c r="E45" s="3" t="n">
        <v>7</v>
      </c>
      <c r="F45" s="3" t="n">
        <v>6.5</v>
      </c>
      <c r="G45" s="3" t="n">
        <v>6</v>
      </c>
      <c r="H45" s="3" t="n">
        <v>6</v>
      </c>
      <c r="I45" s="3" t="n">
        <v>5.5</v>
      </c>
      <c r="J45" s="3" t="n">
        <v>5.5</v>
      </c>
      <c r="K45" s="3" t="n">
        <v>5.5</v>
      </c>
      <c r="L45" s="3" t="n">
        <v>5.5</v>
      </c>
    </row>
    <row r="46" customFormat="false" ht="15" hidden="false" customHeight="false" outlineLevel="0" collapsed="false">
      <c r="A46" s="0" t="s">
        <v>100</v>
      </c>
      <c r="C46" s="3" t="n">
        <v>5.5</v>
      </c>
      <c r="D46" s="3" t="n">
        <v>5.5</v>
      </c>
      <c r="E46" s="3" t="n">
        <v>5.5</v>
      </c>
      <c r="F46" s="3" t="n">
        <v>5.5</v>
      </c>
      <c r="G46" s="3" t="n">
        <v>5.5</v>
      </c>
      <c r="H46" s="3" t="n">
        <v>5.5</v>
      </c>
      <c r="I46" s="3" t="n">
        <v>5.5</v>
      </c>
      <c r="J46" s="3" t="n">
        <v>5.5</v>
      </c>
      <c r="K46" s="3" t="n">
        <v>5.5</v>
      </c>
      <c r="L46" s="3" t="n">
        <v>5.5</v>
      </c>
    </row>
    <row r="47" customFormat="false" ht="15" hidden="false" customHeight="false" outlineLevel="0" collapsed="false">
      <c r="A47" s="0" t="s">
        <v>101</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102</v>
      </c>
      <c r="B48" s="3" t="n">
        <v>10</v>
      </c>
    </row>
    <row r="49" customFormat="false" ht="15" hidden="false" customHeight="false" outlineLevel="0" collapsed="false">
      <c r="A49" s="0" t="s">
        <v>103</v>
      </c>
      <c r="B49" s="3" t="n">
        <v>2.5</v>
      </c>
    </row>
    <row r="50" customFormat="false" ht="15" hidden="false" customHeight="false" outlineLevel="0" collapsed="false">
      <c r="A50" s="0" t="s">
        <v>104</v>
      </c>
      <c r="B50" s="3" t="n">
        <v>14</v>
      </c>
    </row>
    <row r="51" customFormat="false" ht="15" hidden="false" customHeight="false" outlineLevel="0" collapsed="false">
      <c r="A51" s="0" t="s">
        <v>105</v>
      </c>
      <c r="B51" s="3" t="n">
        <v>3</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80</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0</v>
      </c>
      <c r="D5" s="4" t="n">
        <f aca="false">Assumptions!D13</f>
        <v>-4</v>
      </c>
      <c r="E5" s="4" t="n">
        <f aca="false">Assumptions!E13</f>
        <v>-2</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669.9</v>
      </c>
      <c r="C6" s="0" t="n">
        <f aca="false">B6*(1+C5/100)</f>
        <v>669.9</v>
      </c>
      <c r="D6" s="0" t="n">
        <f aca="false">C6*(1+D5/100)</f>
        <v>643.104</v>
      </c>
      <c r="E6" s="0" t="n">
        <f aca="false">D6*(1+E5/100)</f>
        <v>630.24192</v>
      </c>
      <c r="F6" s="0" t="n">
        <f aca="false">E6*(1+F5/100)</f>
        <v>636.5443392</v>
      </c>
      <c r="G6" s="0" t="n">
        <f aca="false">F6*(1+G5/100)</f>
        <v>649.275225984</v>
      </c>
      <c r="H6" s="0" t="n">
        <f aca="false">G6*(1+H5/100)</f>
        <v>662.26073050368</v>
      </c>
      <c r="I6" s="0" t="n">
        <f aca="false">H6*(1+I5/100)</f>
        <v>675.505945113754</v>
      </c>
      <c r="J6" s="0" t="n">
        <f aca="false">I6*(1+J5/100)</f>
        <v>689.016064016029</v>
      </c>
      <c r="K6" s="0" t="n">
        <f aca="false">J6*(1+K5/100)</f>
        <v>702.796385296349</v>
      </c>
      <c r="L6" s="0" t="n">
        <f aca="false">K6*(1+L5/100)</f>
        <v>716.852313002276</v>
      </c>
    </row>
    <row r="7" customFormat="false" ht="15" hidden="false" customHeight="false" outlineLevel="0" collapsed="false">
      <c r="A7" s="0" t="s">
        <v>96</v>
      </c>
      <c r="C7" s="4" t="n">
        <f aca="false">Assumptions!C14</f>
        <v>14</v>
      </c>
      <c r="D7" s="4" t="n">
        <f aca="false">Assumptions!D14</f>
        <v>12.5</v>
      </c>
      <c r="E7" s="4" t="n">
        <f aca="false">Assumptions!E14</f>
        <v>12.5</v>
      </c>
      <c r="F7" s="4" t="n">
        <f aca="false">Assumptions!F14</f>
        <v>13</v>
      </c>
      <c r="G7" s="4" t="n">
        <f aca="false">Assumptions!G14</f>
        <v>13.5</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43</v>
      </c>
      <c r="C8" s="0" t="n">
        <f aca="false">C6*C7/100</f>
        <v>93.786</v>
      </c>
      <c r="D8" s="0" t="n">
        <f aca="false">D6*D7/100</f>
        <v>80.388</v>
      </c>
      <c r="E8" s="0" t="n">
        <f aca="false">E6*E7/100</f>
        <v>78.78024</v>
      </c>
      <c r="F8" s="0" t="n">
        <f aca="false">F6*F7/100</f>
        <v>82.750764096</v>
      </c>
      <c r="G8" s="0" t="n">
        <f aca="false">G6*G7/100</f>
        <v>87.65215550784</v>
      </c>
      <c r="H8" s="0" t="n">
        <f aca="false">H6*H7/100</f>
        <v>92.7165022705152</v>
      </c>
      <c r="I8" s="0" t="n">
        <f aca="false">I6*I7/100</f>
        <v>94.5708323159255</v>
      </c>
      <c r="J8" s="0" t="n">
        <f aca="false">J6*J7/100</f>
        <v>96.462248962244</v>
      </c>
      <c r="K8" s="0" t="n">
        <f aca="false">K6*K7/100</f>
        <v>98.3914939414889</v>
      </c>
      <c r="L8" s="0" t="n">
        <f aca="false">L6*L7/100</f>
        <v>100.359323820319</v>
      </c>
    </row>
    <row r="9" customFormat="false" ht="15" hidden="false" customHeight="false" outlineLevel="0" collapsed="false">
      <c r="A9" s="0" t="s">
        <v>97</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112</v>
      </c>
      <c r="C10" s="0" t="n">
        <f aca="false">-C6*C9/100</f>
        <v>-3.3495</v>
      </c>
      <c r="D10" s="0" t="n">
        <f aca="false">-D6*D9/100</f>
        <v>-3.21552</v>
      </c>
      <c r="E10" s="0" t="n">
        <f aca="false">-E6*E9/100</f>
        <v>-3.1512096</v>
      </c>
      <c r="F10" s="0" t="n">
        <f aca="false">-F6*F9/100</f>
        <v>-3.182721696</v>
      </c>
      <c r="G10" s="0" t="n">
        <f aca="false">-G6*G9/100</f>
        <v>-3.24637612992</v>
      </c>
      <c r="H10" s="0" t="n">
        <f aca="false">-H6*H9/100</f>
        <v>-3.3113036525184</v>
      </c>
      <c r="I10" s="0" t="n">
        <f aca="false">-I6*I9/100</f>
        <v>-3.37752972556877</v>
      </c>
      <c r="J10" s="0" t="n">
        <f aca="false">-J6*J9/100</f>
        <v>-3.44508032008014</v>
      </c>
      <c r="K10" s="0" t="n">
        <f aca="false">-K6*K9/100</f>
        <v>-3.51398192648175</v>
      </c>
      <c r="L10" s="0" t="n">
        <f aca="false">-L6*L9/100</f>
        <v>-3.58426156501138</v>
      </c>
    </row>
    <row r="11" customFormat="false" ht="15" hidden="false" customHeight="false" outlineLevel="0" collapsed="false">
      <c r="A11" s="0" t="s">
        <v>113</v>
      </c>
      <c r="C11" s="0" t="n">
        <f aca="false">C8+C10+C24</f>
        <v>78.3783</v>
      </c>
      <c r="D11" s="0" t="n">
        <f aca="false">D8+D10+D24</f>
        <v>65.596608</v>
      </c>
      <c r="E11" s="0" t="n">
        <f aca="false">E8+E10+E24</f>
        <v>64.28467584</v>
      </c>
      <c r="F11" s="0" t="n">
        <f aca="false">F8+F10+F24</f>
        <v>68.1102442944</v>
      </c>
      <c r="G11" s="0" t="n">
        <f aca="false">G8+G10+G24</f>
        <v>72.718825310208</v>
      </c>
      <c r="H11" s="0" t="n">
        <f aca="false">H8+H10+H24</f>
        <v>77.4845054689306</v>
      </c>
      <c r="I11" s="0" t="n">
        <f aca="false">I8+I10+I24</f>
        <v>79.0341955783092</v>
      </c>
      <c r="J11" s="0" t="n">
        <f aca="false">J8+J10+J24</f>
        <v>80.6148794898754</v>
      </c>
      <c r="K11" s="0" t="n">
        <f aca="false">K8+K10+K24</f>
        <v>82.2271770796729</v>
      </c>
      <c r="L11" s="0" t="n">
        <f aca="false">L8+L10+L24</f>
        <v>83.8717206212663</v>
      </c>
    </row>
    <row r="12" customFormat="false" ht="15" hidden="false" customHeight="false" outlineLevel="0" collapsed="false">
      <c r="A12" s="0" t="s">
        <v>114</v>
      </c>
      <c r="C12" s="4" t="n">
        <f aca="false">-C6*Assumptions!C17/100</f>
        <v>-53.592</v>
      </c>
      <c r="D12" s="4" t="n">
        <f aca="false">-D6*Assumptions!D17/100</f>
        <v>-48.2328</v>
      </c>
      <c r="E12" s="4" t="n">
        <f aca="false">-E6*Assumptions!E17/100</f>
        <v>-44.1169344</v>
      </c>
      <c r="F12" s="4" t="n">
        <f aca="false">-F6*Assumptions!F17/100</f>
        <v>-41.375382048</v>
      </c>
      <c r="G12" s="4" t="n">
        <f aca="false">-G6*Assumptions!G17/100</f>
        <v>-38.95651355904</v>
      </c>
      <c r="H12" s="4" t="n">
        <f aca="false">-H6*Assumptions!H17/100</f>
        <v>-39.7356438302208</v>
      </c>
      <c r="I12" s="4" t="n">
        <f aca="false">-I6*Assumptions!I17/100</f>
        <v>-37.1528269812565</v>
      </c>
      <c r="J12" s="4" t="n">
        <f aca="false">-J6*Assumptions!J17/100</f>
        <v>-37.8958835208816</v>
      </c>
      <c r="K12" s="4" t="n">
        <f aca="false">-K6*Assumptions!K17/100</f>
        <v>-38.6538011912992</v>
      </c>
      <c r="L12" s="4" t="n">
        <f aca="false">-L6*Assumptions!L17/100</f>
        <v>-39.4268772151252</v>
      </c>
    </row>
    <row r="13" customFormat="false" ht="15" hidden="false" customHeight="false" outlineLevel="0" collapsed="false">
      <c r="A13" s="0" t="s">
        <v>115</v>
      </c>
      <c r="C13" s="0" t="n">
        <f aca="false">C11+C12</f>
        <v>24.7863</v>
      </c>
      <c r="D13" s="0" t="n">
        <f aca="false">D11+D12</f>
        <v>17.363808</v>
      </c>
      <c r="E13" s="0" t="n">
        <f aca="false">E11+E12</f>
        <v>20.16774144</v>
      </c>
      <c r="F13" s="0" t="n">
        <f aca="false">F11+F12</f>
        <v>26.7348622464</v>
      </c>
      <c r="G13" s="0" t="n">
        <f aca="false">G11+G12</f>
        <v>33.762311751168</v>
      </c>
      <c r="H13" s="0" t="n">
        <f aca="false">H11+H12</f>
        <v>37.7488616387098</v>
      </c>
      <c r="I13" s="0" t="n">
        <f aca="false">I11+I12</f>
        <v>41.8813685970527</v>
      </c>
      <c r="J13" s="0" t="n">
        <f aca="false">J11+J12</f>
        <v>42.7189959689938</v>
      </c>
      <c r="K13" s="0" t="n">
        <f aca="false">K11+K12</f>
        <v>43.5733758883737</v>
      </c>
      <c r="L13" s="0" t="n">
        <f aca="false">L11+L12</f>
        <v>44.4448434061411</v>
      </c>
    </row>
    <row r="14" customFormat="false" ht="15" hidden="false" customHeight="false" outlineLevel="0" collapsed="false">
      <c r="A14" s="0" t="s">
        <v>101</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116</v>
      </c>
      <c r="C15" s="0" t="n">
        <f aca="false">C13-MAX(0,C13)*C14/100</f>
        <v>17.846136</v>
      </c>
      <c r="D15" s="0" t="n">
        <f aca="false">D13-MAX(0,D13)*D14/100</f>
        <v>12.50194176</v>
      </c>
      <c r="E15" s="0" t="n">
        <f aca="false">E13-MAX(0,E13)*E14/100</f>
        <v>14.5207738368</v>
      </c>
      <c r="F15" s="0" t="n">
        <f aca="false">F13-MAX(0,F13)*F14/100</f>
        <v>19.249100817408</v>
      </c>
      <c r="G15" s="0" t="n">
        <f aca="false">G13-MAX(0,G13)*G14/100</f>
        <v>24.308864460841</v>
      </c>
      <c r="H15" s="0" t="n">
        <f aca="false">H13-MAX(0,H13)*H14/100</f>
        <v>27.179180379871</v>
      </c>
      <c r="I15" s="0" t="n">
        <f aca="false">I13-MAX(0,I13)*I14/100</f>
        <v>30.154585389878</v>
      </c>
      <c r="J15" s="0" t="n">
        <f aca="false">J13-MAX(0,J13)*J14/100</f>
        <v>30.7576770976755</v>
      </c>
      <c r="K15" s="0" t="n">
        <f aca="false">K13-MAX(0,K13)*K14/100</f>
        <v>31.372830639629</v>
      </c>
      <c r="L15" s="0" t="n">
        <f aca="false">L13-MAX(0,L13)*L14/100</f>
        <v>32.0002872524216</v>
      </c>
    </row>
    <row r="16" customFormat="false" ht="15" hidden="false" customHeight="false" outlineLevel="0" collapsed="false">
      <c r="A16" s="0" t="s">
        <v>117</v>
      </c>
      <c r="C16" s="0" t="n">
        <f aca="false">-C12</f>
        <v>53.592</v>
      </c>
      <c r="D16" s="0" t="n">
        <f aca="false">-D12</f>
        <v>48.2328</v>
      </c>
      <c r="E16" s="0" t="n">
        <f aca="false">-E12</f>
        <v>44.1169344</v>
      </c>
      <c r="F16" s="0" t="n">
        <f aca="false">-F12</f>
        <v>41.375382048</v>
      </c>
      <c r="G16" s="0" t="n">
        <f aca="false">-G12</f>
        <v>38.95651355904</v>
      </c>
      <c r="H16" s="0" t="n">
        <f aca="false">-H12</f>
        <v>39.7356438302208</v>
      </c>
      <c r="I16" s="0" t="n">
        <f aca="false">-I12</f>
        <v>37.1528269812565</v>
      </c>
      <c r="J16" s="0" t="n">
        <f aca="false">-J12</f>
        <v>37.8958835208816</v>
      </c>
      <c r="K16" s="0" t="n">
        <f aca="false">-K12</f>
        <v>38.6538011912992</v>
      </c>
      <c r="L16" s="0" t="n">
        <f aca="false">-L12</f>
        <v>39.4268772151252</v>
      </c>
    </row>
    <row r="17" customFormat="false" ht="15" hidden="false" customHeight="false" outlineLevel="0" collapsed="false">
      <c r="A17" s="0" t="s">
        <v>118</v>
      </c>
      <c r="C17" s="4" t="n">
        <f aca="false">-C6*Assumptions!C18/100</f>
        <v>-36.8445</v>
      </c>
      <c r="D17" s="4" t="n">
        <f aca="false">-D6*Assumptions!D18/100</f>
        <v>-35.37072</v>
      </c>
      <c r="E17" s="4" t="n">
        <f aca="false">-E6*Assumptions!E18/100</f>
        <v>-34.6633056</v>
      </c>
      <c r="F17" s="4" t="n">
        <f aca="false">-F6*Assumptions!F18/100</f>
        <v>-35.009938656</v>
      </c>
      <c r="G17" s="4" t="n">
        <f aca="false">-G6*Assumptions!G18/100</f>
        <v>-35.71013742912</v>
      </c>
      <c r="H17" s="4" t="n">
        <f aca="false">-H6*Assumptions!H18/100</f>
        <v>-36.4243401777024</v>
      </c>
      <c r="I17" s="4" t="n">
        <f aca="false">-I6*Assumptions!I18/100</f>
        <v>-37.1528269812565</v>
      </c>
      <c r="J17" s="4" t="n">
        <f aca="false">-J6*Assumptions!J18/100</f>
        <v>-37.8958835208816</v>
      </c>
      <c r="K17" s="4" t="n">
        <f aca="false">-K6*Assumptions!K18/100</f>
        <v>-38.6538011912992</v>
      </c>
      <c r="L17" s="4" t="n">
        <f aca="false">-L6*Assumptions!L18/100</f>
        <v>-39.4268772151252</v>
      </c>
    </row>
    <row r="18" customFormat="false" ht="15" hidden="false" customHeight="false" outlineLevel="0" collapsed="false">
      <c r="A18" s="0" t="s">
        <v>119</v>
      </c>
      <c r="C18" s="4" t="n">
        <f aca="false">(C6-B6)*Assumptions!$B$23/100</f>
        <v>0</v>
      </c>
      <c r="D18" s="4" t="n">
        <f aca="false">(D6-C6)*Assumptions!$B$23/100</f>
        <v>-0.803880000000002</v>
      </c>
      <c r="E18" s="4" t="n">
        <f aca="false">(E6-D6)*Assumptions!$B$23/100</f>
        <v>-0.3858624</v>
      </c>
      <c r="F18" s="4" t="n">
        <f aca="false">(F6-E6)*Assumptions!$B$23/100</f>
        <v>0.189072576000001</v>
      </c>
      <c r="G18" s="4" t="n">
        <f aca="false">(G6-F6)*Assumptions!$B$23/100</f>
        <v>0.381926603520002</v>
      </c>
      <c r="H18" s="4" t="n">
        <f aca="false">(H6-G6)*Assumptions!$B$23/100</f>
        <v>0.389565135590401</v>
      </c>
      <c r="I18" s="4" t="n">
        <f aca="false">(I6-H6)*Assumptions!$B$23/100</f>
        <v>0.397356438302209</v>
      </c>
      <c r="J18" s="4" t="n">
        <f aca="false">(J6-I6)*Assumptions!$B$23/100</f>
        <v>0.405303567068252</v>
      </c>
      <c r="K18" s="4" t="n">
        <f aca="false">(K6-J6)*Assumptions!$B$23/100</f>
        <v>0.413409638409617</v>
      </c>
      <c r="L18" s="4" t="n">
        <f aca="false">(L6-K6)*Assumptions!$B$23/100</f>
        <v>0.421677831177811</v>
      </c>
    </row>
    <row r="19" customFormat="false" ht="15" hidden="false" customHeight="false" outlineLevel="0" collapsed="false">
      <c r="A19" s="0" t="s">
        <v>120</v>
      </c>
      <c r="C19" s="0" t="n">
        <f aca="false">C15+C16+C17+C18</f>
        <v>34.593636</v>
      </c>
      <c r="D19" s="0" t="n">
        <f aca="false">D15+D16+D17+D18</f>
        <v>24.56014176</v>
      </c>
      <c r="E19" s="0" t="n">
        <f aca="false">E15+E16+E17+E18</f>
        <v>23.5885402368</v>
      </c>
      <c r="F19" s="0" t="n">
        <f aca="false">F15+F16+F17+F18</f>
        <v>25.803616785408</v>
      </c>
      <c r="G19" s="0" t="n">
        <f aca="false">G15+G16+G17+G18</f>
        <v>27.937167194281</v>
      </c>
      <c r="H19" s="0" t="n">
        <f aca="false">H15+H16+H17+H18</f>
        <v>30.8800491679798</v>
      </c>
      <c r="I19" s="0" t="n">
        <f aca="false">I15+I16+I17+I18</f>
        <v>30.5519418281802</v>
      </c>
      <c r="J19" s="0" t="n">
        <f aca="false">J15+J16+J17+J18</f>
        <v>31.1629806647438</v>
      </c>
      <c r="K19" s="0" t="n">
        <f aca="false">K15+K16+K17+K18</f>
        <v>31.7862402780386</v>
      </c>
      <c r="L19" s="0" t="n">
        <f aca="false">L15+L16+L17+L18</f>
        <v>32.4219650835994</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31.44876</v>
      </c>
      <c r="D21" s="0" t="n">
        <f aca="false">D19*D20</f>
        <v>20.2976378181818</v>
      </c>
      <c r="E21" s="0" t="n">
        <f aca="false">E19*E20</f>
        <v>17.7224194115702</v>
      </c>
      <c r="F21" s="0" t="n">
        <f aca="false">F19*F20</f>
        <v>17.6242174615176</v>
      </c>
      <c r="G21" s="0" t="n">
        <f aca="false">G19*G20</f>
        <v>17.3467828167978</v>
      </c>
      <c r="H21" s="0" t="n">
        <f aca="false">H19*H20</f>
        <v>17.4309827141035</v>
      </c>
      <c r="I21" s="0" t="n">
        <f aca="false">I19*I20</f>
        <v>15.6779769768429</v>
      </c>
      <c r="J21" s="0" t="n">
        <f aca="false">J19*J20</f>
        <v>14.5377604694362</v>
      </c>
      <c r="K21" s="0" t="n">
        <f aca="false">K19*K20</f>
        <v>13.4804687989317</v>
      </c>
      <c r="L21" s="0" t="n">
        <f aca="false">L19*L20</f>
        <v>12.5000710681003</v>
      </c>
    </row>
    <row r="23" customFormat="false" ht="15" hidden="false" customHeight="false" outlineLevel="0" collapsed="false">
      <c r="A23" s="0" t="s">
        <v>98</v>
      </c>
      <c r="C23" s="4" t="n">
        <f aca="false">Assumptions!C16</f>
        <v>1.8</v>
      </c>
      <c r="D23" s="4" t="n">
        <f aca="false">Assumptions!D16</f>
        <v>1.8</v>
      </c>
      <c r="E23" s="4" t="n">
        <f aca="false">Assumptions!E16</f>
        <v>1.8</v>
      </c>
      <c r="F23" s="4" t="n">
        <f aca="false">Assumptions!F16</f>
        <v>1.8</v>
      </c>
      <c r="G23" s="4" t="n">
        <f aca="false">Assumptions!G16</f>
        <v>1.8</v>
      </c>
      <c r="H23" s="4" t="n">
        <f aca="false">Assumptions!H16</f>
        <v>1.8</v>
      </c>
      <c r="I23" s="4" t="n">
        <f aca="false">Assumptions!I16</f>
        <v>1.8</v>
      </c>
      <c r="J23" s="4" t="n">
        <f aca="false">Assumptions!J16</f>
        <v>1.8</v>
      </c>
      <c r="K23" s="4" t="n">
        <f aca="false">Assumptions!K16</f>
        <v>1.8</v>
      </c>
      <c r="L23" s="4" t="n">
        <f aca="false">Assumptions!L16</f>
        <v>1.8</v>
      </c>
    </row>
    <row r="24" customFormat="false" ht="15" hidden="false" customHeight="false" outlineLevel="0" collapsed="false">
      <c r="A24" s="0" t="s">
        <v>123</v>
      </c>
      <c r="C24" s="0" t="n">
        <f aca="false">-C6*C23/100</f>
        <v>-12.0582</v>
      </c>
      <c r="D24" s="0" t="n">
        <f aca="false">-D6*D23/100</f>
        <v>-11.575872</v>
      </c>
      <c r="E24" s="0" t="n">
        <f aca="false">-E6*E23/100</f>
        <v>-11.34435456</v>
      </c>
      <c r="F24" s="0" t="n">
        <f aca="false">-F6*F23/100</f>
        <v>-11.4577981056</v>
      </c>
      <c r="G24" s="0" t="n">
        <f aca="false">-G6*G23/100</f>
        <v>-11.686954067712</v>
      </c>
      <c r="H24" s="0" t="n">
        <f aca="false">-H6*H23/100</f>
        <v>-11.9206931490662</v>
      </c>
      <c r="I24" s="0" t="n">
        <f aca="false">-I6*I23/100</f>
        <v>-12.1591070120476</v>
      </c>
      <c r="J24" s="0" t="n">
        <f aca="false">-J6*J23/100</f>
        <v>-12.4022891522885</v>
      </c>
      <c r="K24" s="0" t="n">
        <f aca="false">-K6*K23/100</f>
        <v>-12.6503349353343</v>
      </c>
      <c r="L24" s="0" t="n">
        <f aca="false">-L6*L23/100</f>
        <v>-12.903341634041</v>
      </c>
    </row>
    <row r="26" customFormat="false" ht="15" hidden="false" customHeight="false" outlineLevel="0" collapsed="false">
      <c r="A26" s="2" t="s">
        <v>124</v>
      </c>
    </row>
    <row r="27" customFormat="false" ht="15" hidden="false" customHeight="false" outlineLevel="0" collapsed="false">
      <c r="A27" s="0" t="s">
        <v>102</v>
      </c>
      <c r="B27" s="4" t="n">
        <f aca="false">Assumptions!$B$20</f>
        <v>10</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178.067077535482</v>
      </c>
    </row>
    <row r="31" customFormat="false" ht="15" hidden="false" customHeight="false" outlineLevel="0" collapsed="false">
      <c r="A31" s="0" t="s">
        <v>126</v>
      </c>
      <c r="B31" s="0" t="n">
        <f aca="false">L19</f>
        <v>32.4219650835994</v>
      </c>
    </row>
    <row r="32" customFormat="false" ht="15" hidden="false" customHeight="false" outlineLevel="0" collapsed="false">
      <c r="A32" s="0" t="s">
        <v>127</v>
      </c>
      <c r="B32" s="0" t="n">
        <f aca="false">IF(B27&gt;B28,B31*(1+B28/100)/((B27-B28)/100),B31*B29)</f>
        <v>413.380054815893</v>
      </c>
    </row>
    <row r="33" customFormat="false" ht="15" hidden="false" customHeight="false" outlineLevel="0" collapsed="false">
      <c r="A33" s="0" t="s">
        <v>128</v>
      </c>
      <c r="B33" s="0" t="n">
        <f aca="false">B31*B29</f>
        <v>389.063581003193</v>
      </c>
    </row>
    <row r="34" customFormat="false" ht="15" hidden="false" customHeight="false" outlineLevel="0" collapsed="false">
      <c r="A34" s="0" t="s">
        <v>129</v>
      </c>
      <c r="B34" s="0" t="n">
        <f aca="false">MAX(0,MIN(B32,B33))</f>
        <v>389.063581003193</v>
      </c>
    </row>
    <row r="35" customFormat="false" ht="15" hidden="false" customHeight="false" outlineLevel="0" collapsed="false">
      <c r="A35" s="0" t="s">
        <v>130</v>
      </c>
      <c r="B35" s="0" t="n">
        <f aca="false">B34/(1+B27/100)^L4</f>
        <v>150.000852817204</v>
      </c>
    </row>
    <row r="36" customFormat="false" ht="15" hidden="false" customHeight="false" outlineLevel="0" collapsed="false">
      <c r="A36" s="0" t="s">
        <v>131</v>
      </c>
      <c r="B36" s="0" t="n">
        <f aca="false">B30+B35</f>
        <v>328.067930352686</v>
      </c>
    </row>
    <row r="37" customFormat="false" ht="15" hidden="false" customHeight="false" outlineLevel="0" collapsed="false">
      <c r="A37" s="0" t="s">
        <v>132</v>
      </c>
      <c r="B37" s="0" t="n">
        <f aca="false">B36+Assumptions!$B$5-Assumptions!$B$4</f>
        <v>203.817930352686</v>
      </c>
    </row>
    <row r="38" customFormat="false" ht="15" hidden="false" customHeight="false" outlineLevel="0" collapsed="false">
      <c r="A38" s="0" t="s">
        <v>133</v>
      </c>
      <c r="B38" s="0" t="n">
        <f aca="false">B37/Assumptions!$B$3*Assumptions!$B$10</f>
        <v>1.46631604570278</v>
      </c>
    </row>
    <row r="39" customFormat="false" ht="15" hidden="false" customHeight="false" outlineLevel="0" collapsed="false">
      <c r="A39" s="0" t="s">
        <v>134</v>
      </c>
      <c r="B39" s="4" t="n">
        <f aca="false">B38/Assumptions!$B$2-1</f>
        <v>-0.464848158502636</v>
      </c>
    </row>
    <row r="41" customFormat="false" ht="15" hidden="false" customHeight="false" outlineLevel="0" collapsed="false">
      <c r="A41" s="0" t="s">
        <v>135</v>
      </c>
      <c r="B41" s="0" t="n">
        <f aca="false">SUMPRODUCT(-C10:L10/(1+$B$27/100)^C4:L4)</f>
        <v>20.3412570027531</v>
      </c>
    </row>
    <row r="42" customFormat="false" ht="15" hidden="false" customHeight="false" outlineLevel="0" collapsed="false">
      <c r="A42" s="0" t="s">
        <v>136</v>
      </c>
      <c r="B42" s="0" t="n">
        <f aca="false">IF(B27&gt;B28,-L10*(1+B28/100)/((B27-B28)/100),-L10*20)/(1+B27/100)^L4</f>
        <v>17.6190719228667</v>
      </c>
    </row>
    <row r="43" customFormat="false" ht="15" hidden="false" customHeight="false" outlineLevel="0" collapsed="false">
      <c r="A43" s="0" t="s">
        <v>137</v>
      </c>
      <c r="B43" s="0" t="n">
        <f aca="false">(B37+B41+B42)/Assumptions!$B$3*Assumptions!$B$10</f>
        <v>1.739411937254</v>
      </c>
    </row>
    <row r="45" customFormat="false" ht="15" hidden="false" customHeight="false" outlineLevel="0" collapsed="false">
      <c r="A45" s="0" t="s">
        <v>77</v>
      </c>
      <c r="B45" s="4" t="n">
        <f aca="false">Assumptions!$B$6</f>
        <v>15</v>
      </c>
    </row>
    <row r="46" customFormat="false" ht="15" hidden="false" customHeight="false" outlineLevel="0" collapsed="false">
      <c r="A46" s="0" t="s">
        <v>138</v>
      </c>
      <c r="B46" s="0" t="n">
        <f aca="false">MAX(0,MIN(IF(B45&gt;B28,B31*(1+B28/100)/((B45-B28)/100),B31*B29),B31*B29))</f>
        <v>254.387726040549</v>
      </c>
    </row>
    <row r="47" customFormat="false" ht="15" hidden="false" customHeight="false" outlineLevel="0" collapsed="false">
      <c r="A47" s="0" t="s">
        <v>139</v>
      </c>
      <c r="B47" s="0" t="n">
        <f aca="false">(SUMPRODUCT(C19:L19/(1+B45/100)^C4:L4)+B46/(1+B45/100)^L4+Assumptions!$B$5-Assumptions!$B$4)/Assumptions!$B$3*Assumptions!$B$10</f>
        <v>0.600784300670017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80</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4</v>
      </c>
      <c r="D5" s="4" t="n">
        <f aca="false">Assumptions!D27</f>
        <v>4.5</v>
      </c>
      <c r="E5" s="4" t="n">
        <f aca="false">Assumptions!E27</f>
        <v>4.5</v>
      </c>
      <c r="F5" s="4" t="n">
        <f aca="false">Assumptions!F27</f>
        <v>4</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669.9</v>
      </c>
      <c r="C6" s="0" t="n">
        <f aca="false">B6*(1+C5/100)</f>
        <v>696.696</v>
      </c>
      <c r="D6" s="0" t="n">
        <f aca="false">C6*(1+D5/100)</f>
        <v>728.04732</v>
      </c>
      <c r="E6" s="0" t="n">
        <f aca="false">D6*(1+E5/100)</f>
        <v>760.8094494</v>
      </c>
      <c r="F6" s="0" t="n">
        <f aca="false">E6*(1+F5/100)</f>
        <v>791.241827376</v>
      </c>
      <c r="G6" s="0" t="n">
        <f aca="false">F6*(1+G5/100)</f>
        <v>822.89150047104</v>
      </c>
      <c r="H6" s="0" t="n">
        <f aca="false">G6*(1+H5/100)</f>
        <v>851.692702987526</v>
      </c>
      <c r="I6" s="0" t="n">
        <f aca="false">H6*(1+I5/100)</f>
        <v>877.243484077152</v>
      </c>
      <c r="J6" s="0" t="n">
        <f aca="false">I6*(1+J5/100)</f>
        <v>903.560788599467</v>
      </c>
      <c r="K6" s="0" t="n">
        <f aca="false">J6*(1+K5/100)</f>
        <v>926.149808314453</v>
      </c>
      <c r="L6" s="0" t="n">
        <f aca="false">K6*(1+L5/100)</f>
        <v>949.303553522315</v>
      </c>
    </row>
    <row r="7" customFormat="false" ht="15" hidden="false" customHeight="false" outlineLevel="0" collapsed="false">
      <c r="A7" s="0" t="s">
        <v>96</v>
      </c>
      <c r="C7" s="4" t="n">
        <f aca="false">Assumptions!C28</f>
        <v>16.5</v>
      </c>
      <c r="D7" s="4" t="n">
        <f aca="false">Assumptions!D28</f>
        <v>17.5</v>
      </c>
      <c r="E7" s="4" t="n">
        <f aca="false">Assumptions!E28</f>
        <v>18</v>
      </c>
      <c r="F7" s="4" t="n">
        <f aca="false">Assumptions!F28</f>
        <v>18.5</v>
      </c>
      <c r="G7" s="4" t="n">
        <f aca="false">Assumptions!G28</f>
        <v>19</v>
      </c>
      <c r="H7" s="4" t="n">
        <f aca="false">Assumptions!H28</f>
        <v>19</v>
      </c>
      <c r="I7" s="4" t="n">
        <f aca="false">Assumptions!I28</f>
        <v>19</v>
      </c>
      <c r="J7" s="4" t="n">
        <f aca="false">Assumptions!J28</f>
        <v>19</v>
      </c>
      <c r="K7" s="4" t="n">
        <f aca="false">Assumptions!K28</f>
        <v>19</v>
      </c>
      <c r="L7" s="4" t="n">
        <f aca="false">Assumptions!L28</f>
        <v>19</v>
      </c>
    </row>
    <row r="8" customFormat="false" ht="15" hidden="false" customHeight="false" outlineLevel="0" collapsed="false">
      <c r="A8" s="0" t="s">
        <v>43</v>
      </c>
      <c r="C8" s="0" t="n">
        <f aca="false">C6*C7/100</f>
        <v>114.95484</v>
      </c>
      <c r="D8" s="0" t="n">
        <f aca="false">D6*D7/100</f>
        <v>127.408281</v>
      </c>
      <c r="E8" s="0" t="n">
        <f aca="false">E6*E7/100</f>
        <v>136.945700892</v>
      </c>
      <c r="F8" s="0" t="n">
        <f aca="false">F6*F7/100</f>
        <v>146.37973806456</v>
      </c>
      <c r="G8" s="0" t="n">
        <f aca="false">G6*G7/100</f>
        <v>156.349385089498</v>
      </c>
      <c r="H8" s="0" t="n">
        <f aca="false">H6*H7/100</f>
        <v>161.82161356763</v>
      </c>
      <c r="I8" s="0" t="n">
        <f aca="false">I6*I7/100</f>
        <v>166.676261974659</v>
      </c>
      <c r="J8" s="0" t="n">
        <f aca="false">J6*J7/100</f>
        <v>171.676549833899</v>
      </c>
      <c r="K8" s="0" t="n">
        <f aca="false">K6*K7/100</f>
        <v>175.968463579746</v>
      </c>
      <c r="L8" s="0" t="n">
        <f aca="false">L6*L7/100</f>
        <v>180.36767516924</v>
      </c>
    </row>
    <row r="9" customFormat="false" ht="15" hidden="false" customHeight="false" outlineLevel="0" collapsed="false">
      <c r="A9" s="0" t="s">
        <v>97</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112</v>
      </c>
      <c r="C10" s="0" t="n">
        <f aca="false">-C6*C9/100</f>
        <v>-3.48348</v>
      </c>
      <c r="D10" s="0" t="n">
        <f aca="false">-D6*D9/100</f>
        <v>-3.6402366</v>
      </c>
      <c r="E10" s="0" t="n">
        <f aca="false">-E6*E9/100</f>
        <v>-3.804047247</v>
      </c>
      <c r="F10" s="0" t="n">
        <f aca="false">-F6*F9/100</f>
        <v>-3.95620913688</v>
      </c>
      <c r="G10" s="0" t="n">
        <f aca="false">-G6*G9/100</f>
        <v>-4.1144575023552</v>
      </c>
      <c r="H10" s="0" t="n">
        <f aca="false">-H6*H9/100</f>
        <v>-4.25846351493763</v>
      </c>
      <c r="I10" s="0" t="n">
        <f aca="false">-I6*I9/100</f>
        <v>-4.38621742038576</v>
      </c>
      <c r="J10" s="0" t="n">
        <f aca="false">-J6*J9/100</f>
        <v>-4.51780394299733</v>
      </c>
      <c r="K10" s="0" t="n">
        <f aca="false">-K6*K9/100</f>
        <v>-4.63074904157227</v>
      </c>
      <c r="L10" s="0" t="n">
        <f aca="false">-L6*L9/100</f>
        <v>-4.74651776761157</v>
      </c>
    </row>
    <row r="11" customFormat="false" ht="15" hidden="false" customHeight="false" outlineLevel="0" collapsed="false">
      <c r="A11" s="0" t="s">
        <v>113</v>
      </c>
      <c r="C11" s="0" t="n">
        <f aca="false">C8+C10+C24</f>
        <v>98.930832</v>
      </c>
      <c r="D11" s="0" t="n">
        <f aca="false">D8+D10+D24</f>
        <v>110.66319264</v>
      </c>
      <c r="E11" s="0" t="n">
        <f aca="false">E8+E10+E24</f>
        <v>119.4470835558</v>
      </c>
      <c r="F11" s="0" t="n">
        <f aca="false">F8+F10+F24</f>
        <v>128.181176034912</v>
      </c>
      <c r="G11" s="0" t="n">
        <f aca="false">G8+G10+G24</f>
        <v>137.422880578664</v>
      </c>
      <c r="H11" s="0" t="n">
        <f aca="false">H8+H10+H24</f>
        <v>142.232681398917</v>
      </c>
      <c r="I11" s="0" t="n">
        <f aca="false">I8+I10+I24</f>
        <v>146.499661840884</v>
      </c>
      <c r="J11" s="0" t="n">
        <f aca="false">J8+J10+J24</f>
        <v>150.894651696111</v>
      </c>
      <c r="K11" s="0" t="n">
        <f aca="false">K8+K10+K24</f>
        <v>154.667017988514</v>
      </c>
      <c r="L11" s="0" t="n">
        <f aca="false">L8+L10+L24</f>
        <v>158.533693438227</v>
      </c>
    </row>
    <row r="12" customFormat="false" ht="15" hidden="false" customHeight="false" outlineLevel="0" collapsed="false">
      <c r="A12" s="0" t="s">
        <v>114</v>
      </c>
      <c r="C12" s="4" t="n">
        <f aca="false">-C6*Assumptions!C31/100</f>
        <v>-55.73568</v>
      </c>
      <c r="D12" s="4" t="n">
        <f aca="false">-D6*Assumptions!D31/100</f>
        <v>-54.603549</v>
      </c>
      <c r="E12" s="4" t="n">
        <f aca="false">-E6*Assumptions!E31/100</f>
        <v>-53.256661458</v>
      </c>
      <c r="F12" s="4" t="n">
        <f aca="false">-F6*Assumptions!F31/100</f>
        <v>-51.43071877944</v>
      </c>
      <c r="G12" s="4" t="n">
        <f aca="false">-G6*Assumptions!G31/100</f>
        <v>-49.3734900282624</v>
      </c>
      <c r="H12" s="4" t="n">
        <f aca="false">-H6*Assumptions!H31/100</f>
        <v>-51.1015621792516</v>
      </c>
      <c r="I12" s="4" t="n">
        <f aca="false">-I6*Assumptions!I31/100</f>
        <v>-48.2483916242434</v>
      </c>
      <c r="J12" s="4" t="n">
        <f aca="false">-J6*Assumptions!J31/100</f>
        <v>-49.6958433729707</v>
      </c>
      <c r="K12" s="4" t="n">
        <f aca="false">-K6*Assumptions!K31/100</f>
        <v>-50.9382394572949</v>
      </c>
      <c r="L12" s="4" t="n">
        <f aca="false">-L6*Assumptions!L31/100</f>
        <v>-52.2116954437273</v>
      </c>
    </row>
    <row r="13" customFormat="false" ht="15" hidden="false" customHeight="false" outlineLevel="0" collapsed="false">
      <c r="A13" s="0" t="s">
        <v>115</v>
      </c>
      <c r="C13" s="0" t="n">
        <f aca="false">C11+C12</f>
        <v>43.195152</v>
      </c>
      <c r="D13" s="0" t="n">
        <f aca="false">D11+D12</f>
        <v>56.05964364</v>
      </c>
      <c r="E13" s="0" t="n">
        <f aca="false">E11+E12</f>
        <v>66.1904220978</v>
      </c>
      <c r="F13" s="0" t="n">
        <f aca="false">F11+F12</f>
        <v>76.750457255472</v>
      </c>
      <c r="G13" s="0" t="n">
        <f aca="false">G11+G12</f>
        <v>88.0493905504013</v>
      </c>
      <c r="H13" s="0" t="n">
        <f aca="false">H11+H12</f>
        <v>91.1311192196653</v>
      </c>
      <c r="I13" s="0" t="n">
        <f aca="false">I11+I12</f>
        <v>98.2512702166411</v>
      </c>
      <c r="J13" s="0" t="n">
        <f aca="false">J11+J12</f>
        <v>101.19880832314</v>
      </c>
      <c r="K13" s="0" t="n">
        <f aca="false">K11+K12</f>
        <v>103.728778531219</v>
      </c>
      <c r="L13" s="0" t="n">
        <f aca="false">L11+L12</f>
        <v>106.321997994499</v>
      </c>
    </row>
    <row r="14" customFormat="false" ht="15" hidden="false" customHeight="false" outlineLevel="0" collapsed="false">
      <c r="A14" s="0" t="s">
        <v>101</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116</v>
      </c>
      <c r="C15" s="0" t="n">
        <f aca="false">C13-MAX(0,C13)*C14/100</f>
        <v>31.10050944</v>
      </c>
      <c r="D15" s="0" t="n">
        <f aca="false">D13-MAX(0,D13)*D14/100</f>
        <v>40.3629434208</v>
      </c>
      <c r="E15" s="0" t="n">
        <f aca="false">E13-MAX(0,E13)*E14/100</f>
        <v>47.657103910416</v>
      </c>
      <c r="F15" s="0" t="n">
        <f aca="false">F13-MAX(0,F13)*F14/100</f>
        <v>55.2603292239399</v>
      </c>
      <c r="G15" s="0" t="n">
        <f aca="false">G13-MAX(0,G13)*G14/100</f>
        <v>63.3955611962889</v>
      </c>
      <c r="H15" s="0" t="n">
        <f aca="false">H13-MAX(0,H13)*H14/100</f>
        <v>65.614405838159</v>
      </c>
      <c r="I15" s="0" t="n">
        <f aca="false">I13-MAX(0,I13)*I14/100</f>
        <v>70.7409145559816</v>
      </c>
      <c r="J15" s="0" t="n">
        <f aca="false">J13-MAX(0,J13)*J14/100</f>
        <v>72.863141992661</v>
      </c>
      <c r="K15" s="0" t="n">
        <f aca="false">K13-MAX(0,K13)*K14/100</f>
        <v>74.6847205424775</v>
      </c>
      <c r="L15" s="0" t="n">
        <f aca="false">L13-MAX(0,L13)*L14/100</f>
        <v>76.5518385560394</v>
      </c>
    </row>
    <row r="16" customFormat="false" ht="15" hidden="false" customHeight="false" outlineLevel="0" collapsed="false">
      <c r="A16" s="0" t="s">
        <v>117</v>
      </c>
      <c r="C16" s="0" t="n">
        <f aca="false">-C12</f>
        <v>55.73568</v>
      </c>
      <c r="D16" s="0" t="n">
        <f aca="false">-D12</f>
        <v>54.603549</v>
      </c>
      <c r="E16" s="0" t="n">
        <f aca="false">-E12</f>
        <v>53.256661458</v>
      </c>
      <c r="F16" s="0" t="n">
        <f aca="false">-F12</f>
        <v>51.43071877944</v>
      </c>
      <c r="G16" s="0" t="n">
        <f aca="false">-G12</f>
        <v>49.3734900282624</v>
      </c>
      <c r="H16" s="0" t="n">
        <f aca="false">-H12</f>
        <v>51.1015621792516</v>
      </c>
      <c r="I16" s="0" t="n">
        <f aca="false">-I12</f>
        <v>48.2483916242434</v>
      </c>
      <c r="J16" s="0" t="n">
        <f aca="false">-J12</f>
        <v>49.6958433729707</v>
      </c>
      <c r="K16" s="0" t="n">
        <f aca="false">-K12</f>
        <v>50.9382394572949</v>
      </c>
      <c r="L16" s="0" t="n">
        <f aca="false">-L12</f>
        <v>52.2116954437273</v>
      </c>
    </row>
    <row r="17" customFormat="false" ht="15" hidden="false" customHeight="false" outlineLevel="0" collapsed="false">
      <c r="A17" s="0" t="s">
        <v>118</v>
      </c>
      <c r="C17" s="4" t="n">
        <f aca="false">-C6*Assumptions!C32/100</f>
        <v>-38.31828</v>
      </c>
      <c r="D17" s="4" t="n">
        <f aca="false">-D6*Assumptions!D32/100</f>
        <v>-40.0426026</v>
      </c>
      <c r="E17" s="4" t="n">
        <f aca="false">-E6*Assumptions!E32/100</f>
        <v>-41.844519717</v>
      </c>
      <c r="F17" s="4" t="n">
        <f aca="false">-F6*Assumptions!F32/100</f>
        <v>-43.51830050568</v>
      </c>
      <c r="G17" s="4" t="n">
        <f aca="false">-G6*Assumptions!G32/100</f>
        <v>-45.2590325259072</v>
      </c>
      <c r="H17" s="4" t="n">
        <f aca="false">-H6*Assumptions!H32/100</f>
        <v>-46.843098664314</v>
      </c>
      <c r="I17" s="4" t="n">
        <f aca="false">-I6*Assumptions!I32/100</f>
        <v>-48.2483916242434</v>
      </c>
      <c r="J17" s="4" t="n">
        <f aca="false">-J6*Assumptions!J32/100</f>
        <v>-49.6958433729707</v>
      </c>
      <c r="K17" s="4" t="n">
        <f aca="false">-K6*Assumptions!K32/100</f>
        <v>-50.9382394572949</v>
      </c>
      <c r="L17" s="4" t="n">
        <f aca="false">-L6*Assumptions!L32/100</f>
        <v>-52.2116954437273</v>
      </c>
    </row>
    <row r="18" customFormat="false" ht="15" hidden="false" customHeight="false" outlineLevel="0" collapsed="false">
      <c r="A18" s="0" t="s">
        <v>119</v>
      </c>
      <c r="C18" s="4" t="n">
        <f aca="false">(C6-B6)*Assumptions!$B$37/100</f>
        <v>0.803880000000002</v>
      </c>
      <c r="D18" s="4" t="n">
        <f aca="false">(D6-C6)*Assumptions!$B$37/100</f>
        <v>0.9405396</v>
      </c>
      <c r="E18" s="4" t="n">
        <f aca="false">(E6-D6)*Assumptions!$B$37/100</f>
        <v>0.982863881999998</v>
      </c>
      <c r="F18" s="4" t="n">
        <f aca="false">(F6-E6)*Assumptions!$B$37/100</f>
        <v>0.91297133928</v>
      </c>
      <c r="G18" s="4" t="n">
        <f aca="false">(G6-F6)*Assumptions!$B$37/100</f>
        <v>0.949490192851201</v>
      </c>
      <c r="H18" s="4" t="n">
        <f aca="false">(H6-G6)*Assumptions!$B$37/100</f>
        <v>0.86403607549459</v>
      </c>
      <c r="I18" s="4" t="n">
        <f aca="false">(I6-H6)*Assumptions!$B$37/100</f>
        <v>0.766523432688775</v>
      </c>
      <c r="J18" s="4" t="n">
        <f aca="false">(J6-I6)*Assumptions!$B$37/100</f>
        <v>0.789519135669436</v>
      </c>
      <c r="K18" s="4" t="n">
        <f aca="false">(K6-J6)*Assumptions!$B$37/100</f>
        <v>0.677670591449596</v>
      </c>
      <c r="L18" s="4" t="n">
        <f aca="false">(L6-K6)*Assumptions!$B$37/100</f>
        <v>0.694612356235837</v>
      </c>
    </row>
    <row r="19" customFormat="false" ht="15" hidden="false" customHeight="false" outlineLevel="0" collapsed="false">
      <c r="A19" s="0" t="s">
        <v>120</v>
      </c>
      <c r="C19" s="0" t="n">
        <f aca="false">C15+C16+C17+C18</f>
        <v>49.32178944</v>
      </c>
      <c r="D19" s="0" t="n">
        <f aca="false">D15+D16+D17+D18</f>
        <v>55.8644294208</v>
      </c>
      <c r="E19" s="0" t="n">
        <f aca="false">E15+E16+E17+E18</f>
        <v>60.052109533416</v>
      </c>
      <c r="F19" s="0" t="n">
        <f aca="false">F15+F16+F17+F18</f>
        <v>64.0857188369799</v>
      </c>
      <c r="G19" s="0" t="n">
        <f aca="false">G15+G16+G17+G18</f>
        <v>68.4595088914953</v>
      </c>
      <c r="H19" s="0" t="n">
        <f aca="false">H15+H16+H17+H18</f>
        <v>70.7369054285913</v>
      </c>
      <c r="I19" s="0" t="n">
        <f aca="false">I15+I16+I17+I18</f>
        <v>71.5074379886704</v>
      </c>
      <c r="J19" s="0" t="n">
        <f aca="false">J15+J16+J17+J18</f>
        <v>73.6526611283304</v>
      </c>
      <c r="K19" s="0" t="n">
        <f aca="false">K15+K16+K17+K18</f>
        <v>75.3623911339271</v>
      </c>
      <c r="L19" s="0" t="n">
        <f aca="false">L15+L16+L17+L18</f>
        <v>77.2464509122753</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44.8379904</v>
      </c>
      <c r="D21" s="0" t="n">
        <f aca="false">D19*D20</f>
        <v>46.1689499345454</v>
      </c>
      <c r="E21" s="0" t="n">
        <f aca="false">E19*E20</f>
        <v>45.1180387178182</v>
      </c>
      <c r="F21" s="0" t="n">
        <f aca="false">F19*F20</f>
        <v>43.7714082624</v>
      </c>
      <c r="G21" s="0" t="n">
        <f aca="false">G19*G20</f>
        <v>42.5079688368872</v>
      </c>
      <c r="H21" s="0" t="n">
        <f aca="false">H19*H20</f>
        <v>39.9291390071193</v>
      </c>
      <c r="I21" s="0" t="n">
        <f aca="false">I19*I20</f>
        <v>36.694622317765</v>
      </c>
      <c r="J21" s="0" t="n">
        <f aca="false">J19*J20</f>
        <v>34.3595099884527</v>
      </c>
      <c r="K21" s="0" t="n">
        <f aca="false">K19*K20</f>
        <v>31.9610105947541</v>
      </c>
      <c r="L21" s="0" t="n">
        <f aca="false">L19*L20</f>
        <v>29.7818507814754</v>
      </c>
    </row>
    <row r="23" customFormat="false" ht="15" hidden="false" customHeight="false" outlineLevel="0" collapsed="false">
      <c r="A23" s="0" t="s">
        <v>98</v>
      </c>
      <c r="C23" s="4" t="n">
        <f aca="false">Assumptions!C30</f>
        <v>1.8</v>
      </c>
      <c r="D23" s="4" t="n">
        <f aca="false">Assumptions!D30</f>
        <v>1.8</v>
      </c>
      <c r="E23" s="4" t="n">
        <f aca="false">Assumptions!E30</f>
        <v>1.8</v>
      </c>
      <c r="F23" s="4" t="n">
        <f aca="false">Assumptions!F30</f>
        <v>1.8</v>
      </c>
      <c r="G23" s="4" t="n">
        <f aca="false">Assumptions!G30</f>
        <v>1.8</v>
      </c>
      <c r="H23" s="4" t="n">
        <f aca="false">Assumptions!H30</f>
        <v>1.8</v>
      </c>
      <c r="I23" s="4" t="n">
        <f aca="false">Assumptions!I30</f>
        <v>1.8</v>
      </c>
      <c r="J23" s="4" t="n">
        <f aca="false">Assumptions!J30</f>
        <v>1.8</v>
      </c>
      <c r="K23" s="4" t="n">
        <f aca="false">Assumptions!K30</f>
        <v>1.8</v>
      </c>
      <c r="L23" s="4" t="n">
        <f aca="false">Assumptions!L30</f>
        <v>1.8</v>
      </c>
    </row>
    <row r="24" customFormat="false" ht="15" hidden="false" customHeight="false" outlineLevel="0" collapsed="false">
      <c r="A24" s="0" t="s">
        <v>123</v>
      </c>
      <c r="C24" s="0" t="n">
        <f aca="false">-C6*C23/100</f>
        <v>-12.540528</v>
      </c>
      <c r="D24" s="0" t="n">
        <f aca="false">-D6*D23/100</f>
        <v>-13.10485176</v>
      </c>
      <c r="E24" s="0" t="n">
        <f aca="false">-E6*E23/100</f>
        <v>-13.6945700892</v>
      </c>
      <c r="F24" s="0" t="n">
        <f aca="false">-F6*F23/100</f>
        <v>-14.242352892768</v>
      </c>
      <c r="G24" s="0" t="n">
        <f aca="false">-G6*G23/100</f>
        <v>-14.8120470084787</v>
      </c>
      <c r="H24" s="0" t="n">
        <f aca="false">-H6*H23/100</f>
        <v>-15.3304686537755</v>
      </c>
      <c r="I24" s="0" t="n">
        <f aca="false">-I6*I23/100</f>
        <v>-15.7903827133887</v>
      </c>
      <c r="J24" s="0" t="n">
        <f aca="false">-J6*J23/100</f>
        <v>-16.2640941947904</v>
      </c>
      <c r="K24" s="0" t="n">
        <f aca="false">-K6*K23/100</f>
        <v>-16.6706965496602</v>
      </c>
      <c r="L24" s="0" t="n">
        <f aca="false">-L6*L23/100</f>
        <v>-17.0874639634017</v>
      </c>
    </row>
    <row r="26" customFormat="false" ht="15" hidden="false" customHeight="false" outlineLevel="0" collapsed="false">
      <c r="A26" s="2" t="s">
        <v>124</v>
      </c>
    </row>
    <row r="27" customFormat="false" ht="15" hidden="false" customHeight="false" outlineLevel="0" collapsed="false">
      <c r="A27" s="0" t="s">
        <v>102</v>
      </c>
      <c r="B27" s="4" t="n">
        <f aca="false">Assumptions!$B$34</f>
        <v>10</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12</v>
      </c>
    </row>
    <row r="30" customFormat="false" ht="15" hidden="false" customHeight="false" outlineLevel="0" collapsed="false">
      <c r="A30" s="0" t="s">
        <v>125</v>
      </c>
      <c r="B30" s="0" t="n">
        <f aca="false">SUM(C21:L21)</f>
        <v>395.130488841217</v>
      </c>
    </row>
    <row r="31" customFormat="false" ht="15" hidden="false" customHeight="false" outlineLevel="0" collapsed="false">
      <c r="A31" s="0" t="s">
        <v>126</v>
      </c>
      <c r="B31" s="0" t="n">
        <f aca="false">L19</f>
        <v>77.2464509122753</v>
      </c>
    </row>
    <row r="32" customFormat="false" ht="15" hidden="false" customHeight="false" outlineLevel="0" collapsed="false">
      <c r="A32" s="0" t="s">
        <v>127</v>
      </c>
      <c r="B32" s="0" t="n">
        <f aca="false">IF(B27&gt;B28,B31*(1+B28/100)/((B27-B28)/100),B31*B29)</f>
        <v>1055.7014958011</v>
      </c>
    </row>
    <row r="33" customFormat="false" ht="15" hidden="false" customHeight="false" outlineLevel="0" collapsed="false">
      <c r="A33" s="0" t="s">
        <v>128</v>
      </c>
      <c r="B33" s="0" t="n">
        <f aca="false">B31*B29</f>
        <v>926.957410947303</v>
      </c>
    </row>
    <row r="34" customFormat="false" ht="15" hidden="false" customHeight="false" outlineLevel="0" collapsed="false">
      <c r="A34" s="0" t="s">
        <v>129</v>
      </c>
      <c r="B34" s="0" t="n">
        <f aca="false">MAX(0,MIN(B32,B33))</f>
        <v>926.957410947303</v>
      </c>
    </row>
    <row r="35" customFormat="false" ht="15" hidden="false" customHeight="false" outlineLevel="0" collapsed="false">
      <c r="A35" s="0" t="s">
        <v>130</v>
      </c>
      <c r="B35" s="0" t="n">
        <f aca="false">B34/(1+B27/100)^L4</f>
        <v>357.382209377705</v>
      </c>
    </row>
    <row r="36" customFormat="false" ht="15" hidden="false" customHeight="false" outlineLevel="0" collapsed="false">
      <c r="A36" s="0" t="s">
        <v>131</v>
      </c>
      <c r="B36" s="0" t="n">
        <f aca="false">B30+B35</f>
        <v>752.512698218922</v>
      </c>
    </row>
    <row r="37" customFormat="false" ht="15" hidden="false" customHeight="false" outlineLevel="0" collapsed="false">
      <c r="A37" s="0" t="s">
        <v>132</v>
      </c>
      <c r="B37" s="0" t="n">
        <f aca="false">B36+Assumptions!$B$5-Assumptions!$B$4</f>
        <v>628.262698218922</v>
      </c>
    </row>
    <row r="38" customFormat="false" ht="15" hidden="false" customHeight="false" outlineLevel="0" collapsed="false">
      <c r="A38" s="0" t="s">
        <v>133</v>
      </c>
      <c r="B38" s="0" t="n">
        <f aca="false">B37/Assumptions!$B$3*Assumptions!$B$10</f>
        <v>4.51987552675484</v>
      </c>
    </row>
    <row r="39" customFormat="false" ht="15" hidden="false" customHeight="false" outlineLevel="0" collapsed="false">
      <c r="A39" s="0" t="s">
        <v>134</v>
      </c>
      <c r="B39" s="4" t="n">
        <f aca="false">B38/Assumptions!$B$2-1</f>
        <v>0.649589608304685</v>
      </c>
    </row>
    <row r="41" customFormat="false" ht="15" hidden="false" customHeight="false" outlineLevel="0" collapsed="false">
      <c r="A41" s="0" t="s">
        <v>135</v>
      </c>
      <c r="B41" s="0" t="n">
        <f aca="false">SUMPRODUCT(-C10:L10/(1+$B$27/100)^C4:L4)</f>
        <v>24.8462767776447</v>
      </c>
    </row>
    <row r="42" customFormat="false" ht="15" hidden="false" customHeight="false" outlineLevel="0" collapsed="false">
      <c r="A42" s="0" t="s">
        <v>136</v>
      </c>
      <c r="B42" s="0" t="n">
        <f aca="false">IF(B27&gt;B28,-L10*(1+B28/100)/((B27-B28)/100),-L10*20)/(1+B27/100)^L4</f>
        <v>25.0098370039626</v>
      </c>
    </row>
    <row r="43" customFormat="false" ht="15" hidden="false" customHeight="false" outlineLevel="0" collapsed="false">
      <c r="A43" s="0" t="s">
        <v>137</v>
      </c>
      <c r="B43" s="0" t="n">
        <f aca="false">(B37+B41+B42)/Assumptions!$B$3*Assumptions!$B$10</f>
        <v>4.87855260432036</v>
      </c>
    </row>
    <row r="45" customFormat="false" ht="15" hidden="false" customHeight="false" outlineLevel="0" collapsed="false">
      <c r="A45" s="0" t="s">
        <v>77</v>
      </c>
      <c r="B45" s="4" t="n">
        <f aca="false">Assumptions!$B$6</f>
        <v>15</v>
      </c>
    </row>
    <row r="46" customFormat="false" ht="15" hidden="false" customHeight="false" outlineLevel="0" collapsed="false">
      <c r="A46" s="0" t="s">
        <v>138</v>
      </c>
      <c r="B46" s="0" t="n">
        <f aca="false">MAX(0,MIN(IF(B45&gt;B28,B31*(1+B28/100)/((B45-B28)/100),B31*B29),B31*B29))</f>
        <v>633.420897480657</v>
      </c>
    </row>
    <row r="47" customFormat="false" ht="15" hidden="false" customHeight="false" outlineLevel="0" collapsed="false">
      <c r="A47" s="0" t="s">
        <v>139</v>
      </c>
      <c r="B47" s="0" t="n">
        <f aca="false">(SUMPRODUCT(C19:L19/(1+B45/100)^C4:L4)+B46/(1+B45/100)^L4+Assumptions!$B$5-Assumptions!$B$4)/Assumptions!$B$3*Assumptions!$B$10</f>
        <v>2.51563142390953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80</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6</v>
      </c>
      <c r="D5" s="4" t="n">
        <f aca="false">Assumptions!D41</f>
        <v>7</v>
      </c>
      <c r="E5" s="4" t="n">
        <f aca="false">Assumptions!E41</f>
        <v>7</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669.9</v>
      </c>
      <c r="C6" s="0" t="n">
        <f aca="false">B6*(1+C5/100)</f>
        <v>710.094</v>
      </c>
      <c r="D6" s="0" t="n">
        <f aca="false">C6*(1+D5/100)</f>
        <v>759.80058</v>
      </c>
      <c r="E6" s="0" t="n">
        <f aca="false">D6*(1+E5/100)</f>
        <v>812.9866206</v>
      </c>
      <c r="F6" s="0" t="n">
        <f aca="false">E6*(1+F5/100)</f>
        <v>861.765817836</v>
      </c>
      <c r="G6" s="0" t="n">
        <f aca="false">F6*(1+G5/100)</f>
        <v>909.16293781698</v>
      </c>
      <c r="H6" s="0" t="n">
        <f aca="false">G6*(1+H5/100)</f>
        <v>954.621084707829</v>
      </c>
      <c r="I6" s="0" t="n">
        <f aca="false">H6*(1+I5/100)</f>
        <v>997.579033519682</v>
      </c>
      <c r="J6" s="0" t="n">
        <f aca="false">I6*(1+J5/100)</f>
        <v>1037.48219486047</v>
      </c>
      <c r="K6" s="0" t="n">
        <f aca="false">J6*(1+K5/100)</f>
        <v>1073.79407168059</v>
      </c>
      <c r="L6" s="0" t="n">
        <f aca="false">K6*(1+L5/100)</f>
        <v>1106.007893831</v>
      </c>
    </row>
    <row r="7" customFormat="false" ht="15" hidden="false" customHeight="false" outlineLevel="0" collapsed="false">
      <c r="A7" s="0" t="s">
        <v>96</v>
      </c>
      <c r="C7" s="4" t="n">
        <f aca="false">Assumptions!C42</f>
        <v>18</v>
      </c>
      <c r="D7" s="4" t="n">
        <f aca="false">Assumptions!D42</f>
        <v>19.5</v>
      </c>
      <c r="E7" s="4" t="n">
        <f aca="false">Assumptions!E42</f>
        <v>21</v>
      </c>
      <c r="F7" s="4" t="n">
        <f aca="false">Assumptions!F42</f>
        <v>22</v>
      </c>
      <c r="G7" s="4" t="n">
        <f aca="false">Assumptions!G42</f>
        <v>22.5</v>
      </c>
      <c r="H7" s="4" t="n">
        <f aca="false">Assumptions!H42</f>
        <v>23</v>
      </c>
      <c r="I7" s="4" t="n">
        <f aca="false">Assumptions!I42</f>
        <v>23</v>
      </c>
      <c r="J7" s="4" t="n">
        <f aca="false">Assumptions!J42</f>
        <v>23</v>
      </c>
      <c r="K7" s="4" t="n">
        <f aca="false">Assumptions!K42</f>
        <v>23</v>
      </c>
      <c r="L7" s="4" t="n">
        <f aca="false">Assumptions!L42</f>
        <v>23</v>
      </c>
    </row>
    <row r="8" customFormat="false" ht="15" hidden="false" customHeight="false" outlineLevel="0" collapsed="false">
      <c r="A8" s="0" t="s">
        <v>43</v>
      </c>
      <c r="C8" s="0" t="n">
        <f aca="false">C6*C7/100</f>
        <v>127.81692</v>
      </c>
      <c r="D8" s="0" t="n">
        <f aca="false">D6*D7/100</f>
        <v>148.1611131</v>
      </c>
      <c r="E8" s="0" t="n">
        <f aca="false">E6*E7/100</f>
        <v>170.727190326</v>
      </c>
      <c r="F8" s="0" t="n">
        <f aca="false">F6*F7/100</f>
        <v>189.58847992392</v>
      </c>
      <c r="G8" s="0" t="n">
        <f aca="false">G6*G7/100</f>
        <v>204.561661008821</v>
      </c>
      <c r="H8" s="0" t="n">
        <f aca="false">H6*H7/100</f>
        <v>219.562849482801</v>
      </c>
      <c r="I8" s="0" t="n">
        <f aca="false">I6*I7/100</f>
        <v>229.443177709527</v>
      </c>
      <c r="J8" s="0" t="n">
        <f aca="false">J6*J7/100</f>
        <v>238.620904817908</v>
      </c>
      <c r="K8" s="0" t="n">
        <f aca="false">K6*K7/100</f>
        <v>246.972636486535</v>
      </c>
      <c r="L8" s="0" t="n">
        <f aca="false">L6*L7/100</f>
        <v>254.381815581131</v>
      </c>
    </row>
    <row r="9" customFormat="false" ht="15" hidden="false" customHeight="false" outlineLevel="0" collapsed="false">
      <c r="A9" s="0" t="s">
        <v>97</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112</v>
      </c>
      <c r="C10" s="0" t="n">
        <f aca="false">-C6*C9/100</f>
        <v>-3.55047</v>
      </c>
      <c r="D10" s="0" t="n">
        <f aca="false">-D6*D9/100</f>
        <v>-3.7990029</v>
      </c>
      <c r="E10" s="0" t="n">
        <f aca="false">-E6*E9/100</f>
        <v>-4.064933103</v>
      </c>
      <c r="F10" s="0" t="n">
        <f aca="false">-F6*F9/100</f>
        <v>-4.30882908918</v>
      </c>
      <c r="G10" s="0" t="n">
        <f aca="false">-G6*G9/100</f>
        <v>-4.5458146890849</v>
      </c>
      <c r="H10" s="0" t="n">
        <f aca="false">-H6*H9/100</f>
        <v>-4.77310542353915</v>
      </c>
      <c r="I10" s="0" t="n">
        <f aca="false">-I6*I9/100</f>
        <v>-4.98789516759841</v>
      </c>
      <c r="J10" s="0" t="n">
        <f aca="false">-J6*J9/100</f>
        <v>-5.18741097430234</v>
      </c>
      <c r="K10" s="0" t="n">
        <f aca="false">-K6*K9/100</f>
        <v>-5.36897035840293</v>
      </c>
      <c r="L10" s="0" t="n">
        <f aca="false">-L6*L9/100</f>
        <v>-5.53003946915501</v>
      </c>
    </row>
    <row r="11" customFormat="false" ht="15" hidden="false" customHeight="false" outlineLevel="0" collapsed="false">
      <c r="A11" s="0" t="s">
        <v>113</v>
      </c>
      <c r="C11" s="0" t="n">
        <f aca="false">C8+C10+C24</f>
        <v>111.484758</v>
      </c>
      <c r="D11" s="0" t="n">
        <f aca="false">D8+D10+D24</f>
        <v>130.68569976</v>
      </c>
      <c r="E11" s="0" t="n">
        <f aca="false">E8+E10+E24</f>
        <v>152.0284980522</v>
      </c>
      <c r="F11" s="0" t="n">
        <f aca="false">F8+F10+F24</f>
        <v>169.767866113692</v>
      </c>
      <c r="G11" s="0" t="n">
        <f aca="false">G8+G10+G24</f>
        <v>183.65091343903</v>
      </c>
      <c r="H11" s="0" t="n">
        <f aca="false">H8+H10+H24</f>
        <v>197.606564534521</v>
      </c>
      <c r="I11" s="0" t="n">
        <f aca="false">I8+I10+I24</f>
        <v>206.498859938574</v>
      </c>
      <c r="J11" s="0" t="n">
        <f aca="false">J8+J10+J24</f>
        <v>214.758814336117</v>
      </c>
      <c r="K11" s="0" t="n">
        <f aca="false">K8+K10+K24</f>
        <v>222.275372837881</v>
      </c>
      <c r="L11" s="0" t="n">
        <f aca="false">L8+L10+L24</f>
        <v>228.943634023018</v>
      </c>
    </row>
    <row r="12" customFormat="false" ht="15" hidden="false" customHeight="false" outlineLevel="0" collapsed="false">
      <c r="A12" s="0" t="s">
        <v>114</v>
      </c>
      <c r="C12" s="4" t="n">
        <f aca="false">-C6*Assumptions!C45/100</f>
        <v>-56.80752</v>
      </c>
      <c r="D12" s="4" t="n">
        <f aca="false">-D6*Assumptions!D45/100</f>
        <v>-56.9850435</v>
      </c>
      <c r="E12" s="4" t="n">
        <f aca="false">-E6*Assumptions!E45/100</f>
        <v>-56.909063442</v>
      </c>
      <c r="F12" s="4" t="n">
        <f aca="false">-F6*Assumptions!F45/100</f>
        <v>-56.01477815934</v>
      </c>
      <c r="G12" s="4" t="n">
        <f aca="false">-G6*Assumptions!G45/100</f>
        <v>-54.5497762690188</v>
      </c>
      <c r="H12" s="4" t="n">
        <f aca="false">-H6*Assumptions!H45/100</f>
        <v>-57.2772650824698</v>
      </c>
      <c r="I12" s="4" t="n">
        <f aca="false">-I6*Assumptions!I45/100</f>
        <v>-54.8668468435825</v>
      </c>
      <c r="J12" s="4" t="n">
        <f aca="false">-J6*Assumptions!J45/100</f>
        <v>-57.0615207173258</v>
      </c>
      <c r="K12" s="4" t="n">
        <f aca="false">-K6*Assumptions!K45/100</f>
        <v>-59.0586739424322</v>
      </c>
      <c r="L12" s="4" t="n">
        <f aca="false">-L6*Assumptions!L45/100</f>
        <v>-60.8304341607052</v>
      </c>
    </row>
    <row r="13" customFormat="false" ht="15" hidden="false" customHeight="false" outlineLevel="0" collapsed="false">
      <c r="A13" s="0" t="s">
        <v>115</v>
      </c>
      <c r="C13" s="0" t="n">
        <f aca="false">C11+C12</f>
        <v>54.677238</v>
      </c>
      <c r="D13" s="0" t="n">
        <f aca="false">D11+D12</f>
        <v>73.70065626</v>
      </c>
      <c r="E13" s="0" t="n">
        <f aca="false">E11+E12</f>
        <v>95.1194346102</v>
      </c>
      <c r="F13" s="0" t="n">
        <f aca="false">F11+F12</f>
        <v>113.753087954352</v>
      </c>
      <c r="G13" s="0" t="n">
        <f aca="false">G11+G12</f>
        <v>129.101137170011</v>
      </c>
      <c r="H13" s="0" t="n">
        <f aca="false">H11+H12</f>
        <v>140.329299452051</v>
      </c>
      <c r="I13" s="0" t="n">
        <f aca="false">I11+I12</f>
        <v>151.632013094992</v>
      </c>
      <c r="J13" s="0" t="n">
        <f aca="false">J11+J12</f>
        <v>157.697293618791</v>
      </c>
      <c r="K13" s="0" t="n">
        <f aca="false">K11+K12</f>
        <v>163.216698895449</v>
      </c>
      <c r="L13" s="0" t="n">
        <f aca="false">L11+L12</f>
        <v>168.113199862312</v>
      </c>
    </row>
    <row r="14" customFormat="false" ht="15" hidden="false" customHeight="false" outlineLevel="0" collapsed="false">
      <c r="A14" s="0" t="s">
        <v>101</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116</v>
      </c>
      <c r="C15" s="0" t="n">
        <f aca="false">C13-MAX(0,C13)*C14/100</f>
        <v>39.36761136</v>
      </c>
      <c r="D15" s="0" t="n">
        <f aca="false">D13-MAX(0,D13)*D14/100</f>
        <v>53.0644725072</v>
      </c>
      <c r="E15" s="0" t="n">
        <f aca="false">E13-MAX(0,E13)*E14/100</f>
        <v>68.485992919344</v>
      </c>
      <c r="F15" s="0" t="n">
        <f aca="false">F13-MAX(0,F13)*F14/100</f>
        <v>81.9022233271335</v>
      </c>
      <c r="G15" s="0" t="n">
        <f aca="false">G13-MAX(0,G13)*G14/100</f>
        <v>92.952818762408</v>
      </c>
      <c r="H15" s="0" t="n">
        <f aca="false">H13-MAX(0,H13)*H14/100</f>
        <v>101.037095605477</v>
      </c>
      <c r="I15" s="0" t="n">
        <f aca="false">I13-MAX(0,I13)*I14/100</f>
        <v>109.175049428394</v>
      </c>
      <c r="J15" s="0" t="n">
        <f aca="false">J13-MAX(0,J13)*J14/100</f>
        <v>113.54205140553</v>
      </c>
      <c r="K15" s="0" t="n">
        <f aca="false">K13-MAX(0,K13)*K14/100</f>
        <v>117.516023204723</v>
      </c>
      <c r="L15" s="0" t="n">
        <f aca="false">L13-MAX(0,L13)*L14/100</f>
        <v>121.041503900865</v>
      </c>
    </row>
    <row r="16" customFormat="false" ht="15" hidden="false" customHeight="false" outlineLevel="0" collapsed="false">
      <c r="A16" s="0" t="s">
        <v>117</v>
      </c>
      <c r="C16" s="0" t="n">
        <f aca="false">-C12</f>
        <v>56.80752</v>
      </c>
      <c r="D16" s="0" t="n">
        <f aca="false">-D12</f>
        <v>56.9850435</v>
      </c>
      <c r="E16" s="0" t="n">
        <f aca="false">-E12</f>
        <v>56.909063442</v>
      </c>
      <c r="F16" s="0" t="n">
        <f aca="false">-F12</f>
        <v>56.01477815934</v>
      </c>
      <c r="G16" s="0" t="n">
        <f aca="false">-G12</f>
        <v>54.5497762690188</v>
      </c>
      <c r="H16" s="0" t="n">
        <f aca="false">-H12</f>
        <v>57.2772650824698</v>
      </c>
      <c r="I16" s="0" t="n">
        <f aca="false">-I12</f>
        <v>54.8668468435825</v>
      </c>
      <c r="J16" s="0" t="n">
        <f aca="false">-J12</f>
        <v>57.0615207173258</v>
      </c>
      <c r="K16" s="0" t="n">
        <f aca="false">-K12</f>
        <v>59.0586739424322</v>
      </c>
      <c r="L16" s="0" t="n">
        <f aca="false">-L12</f>
        <v>60.8304341607052</v>
      </c>
    </row>
    <row r="17" customFormat="false" ht="15" hidden="false" customHeight="false" outlineLevel="0" collapsed="false">
      <c r="A17" s="0" t="s">
        <v>118</v>
      </c>
      <c r="C17" s="4" t="n">
        <f aca="false">-C6*Assumptions!C46/100</f>
        <v>-39.05517</v>
      </c>
      <c r="D17" s="4" t="n">
        <f aca="false">-D6*Assumptions!D46/100</f>
        <v>-41.7890319</v>
      </c>
      <c r="E17" s="4" t="n">
        <f aca="false">-E6*Assumptions!E46/100</f>
        <v>-44.714264133</v>
      </c>
      <c r="F17" s="4" t="n">
        <f aca="false">-F6*Assumptions!F46/100</f>
        <v>-47.39711998098</v>
      </c>
      <c r="G17" s="4" t="n">
        <f aca="false">-G6*Assumptions!G46/100</f>
        <v>-50.0039615799339</v>
      </c>
      <c r="H17" s="4" t="n">
        <f aca="false">-H6*Assumptions!H46/100</f>
        <v>-52.5041596589306</v>
      </c>
      <c r="I17" s="4" t="n">
        <f aca="false">-I6*Assumptions!I46/100</f>
        <v>-54.8668468435825</v>
      </c>
      <c r="J17" s="4" t="n">
        <f aca="false">-J6*Assumptions!J46/100</f>
        <v>-57.0615207173258</v>
      </c>
      <c r="K17" s="4" t="n">
        <f aca="false">-K6*Assumptions!K46/100</f>
        <v>-59.0586739424322</v>
      </c>
      <c r="L17" s="4" t="n">
        <f aca="false">-L6*Assumptions!L46/100</f>
        <v>-60.8304341607052</v>
      </c>
    </row>
    <row r="18" customFormat="false" ht="15" hidden="false" customHeight="false" outlineLevel="0" collapsed="false">
      <c r="A18" s="0" t="s">
        <v>119</v>
      </c>
      <c r="C18" s="4" t="n">
        <f aca="false">(C6-B6)*Assumptions!$B$51/100</f>
        <v>1.20582</v>
      </c>
      <c r="D18" s="4" t="n">
        <f aca="false">(D6-C6)*Assumptions!$B$51/100</f>
        <v>1.4911974</v>
      </c>
      <c r="E18" s="4" t="n">
        <f aca="false">(E6-D6)*Assumptions!$B$51/100</f>
        <v>1.595581218</v>
      </c>
      <c r="F18" s="4" t="n">
        <f aca="false">(F6-E6)*Assumptions!$B$51/100</f>
        <v>1.46337591708</v>
      </c>
      <c r="G18" s="4" t="n">
        <f aca="false">(G6-F6)*Assumptions!$B$51/100</f>
        <v>1.4219135994294</v>
      </c>
      <c r="H18" s="4" t="n">
        <f aca="false">(H6-G6)*Assumptions!$B$51/100</f>
        <v>1.36374440672547</v>
      </c>
      <c r="I18" s="4" t="n">
        <f aca="false">(I6-H6)*Assumptions!$B$51/100</f>
        <v>1.28873846435557</v>
      </c>
      <c r="J18" s="4" t="n">
        <f aca="false">(J6-I6)*Assumptions!$B$51/100</f>
        <v>1.19709484022362</v>
      </c>
      <c r="K18" s="4" t="n">
        <f aca="false">(K6-J6)*Assumptions!$B$51/100</f>
        <v>1.08935630460349</v>
      </c>
      <c r="L18" s="4" t="n">
        <f aca="false">(L6-K6)*Assumptions!$B$51/100</f>
        <v>0.966414664512529</v>
      </c>
    </row>
    <row r="19" customFormat="false" ht="15" hidden="false" customHeight="false" outlineLevel="0" collapsed="false">
      <c r="A19" s="0" t="s">
        <v>120</v>
      </c>
      <c r="C19" s="0" t="n">
        <f aca="false">C15+C16+C17+C18</f>
        <v>58.32578136</v>
      </c>
      <c r="D19" s="0" t="n">
        <f aca="false">D15+D16+D17+D18</f>
        <v>69.7516815072</v>
      </c>
      <c r="E19" s="0" t="n">
        <f aca="false">E15+E16+E17+E18</f>
        <v>82.276373446344</v>
      </c>
      <c r="F19" s="0" t="n">
        <f aca="false">F15+F16+F17+F18</f>
        <v>91.9832574225735</v>
      </c>
      <c r="G19" s="0" t="n">
        <f aca="false">G15+G16+G17+G18</f>
        <v>98.9205470509224</v>
      </c>
      <c r="H19" s="0" t="n">
        <f aca="false">H15+H16+H17+H18</f>
        <v>107.173945435741</v>
      </c>
      <c r="I19" s="0" t="n">
        <f aca="false">I15+I16+I17+I18</f>
        <v>110.46378789275</v>
      </c>
      <c r="J19" s="0" t="n">
        <f aca="false">J15+J16+J17+J18</f>
        <v>114.739146245753</v>
      </c>
      <c r="K19" s="0" t="n">
        <f aca="false">K15+K16+K17+K18</f>
        <v>118.605379509327</v>
      </c>
      <c r="L19" s="0" t="n">
        <f aca="false">L15+L16+L17+L18</f>
        <v>122.007918565378</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53.0234376</v>
      </c>
      <c r="D21" s="0" t="n">
        <f aca="false">D19*D20</f>
        <v>57.6460177745454</v>
      </c>
      <c r="E21" s="0" t="n">
        <f aca="false">E19*E20</f>
        <v>61.8154571347438</v>
      </c>
      <c r="F21" s="0" t="n">
        <f aca="false">F19*F20</f>
        <v>62.8258024879267</v>
      </c>
      <c r="G21" s="0" t="n">
        <f aca="false">G19*G20</f>
        <v>61.4218769525941</v>
      </c>
      <c r="H21" s="0" t="n">
        <f aca="false">H19*H20</f>
        <v>60.496898179482</v>
      </c>
      <c r="I21" s="0" t="n">
        <f aca="false">I19*I20</f>
        <v>56.6853895276792</v>
      </c>
      <c r="J21" s="0" t="n">
        <f aca="false">J19*J20</f>
        <v>53.5266585226078</v>
      </c>
      <c r="K21" s="0" t="n">
        <f aca="false">K19*K20</f>
        <v>50.3002589760701</v>
      </c>
      <c r="L21" s="0" t="n">
        <f aca="false">L19*L20</f>
        <v>47.039334260146</v>
      </c>
    </row>
    <row r="23" customFormat="false" ht="15" hidden="false" customHeight="false" outlineLevel="0" collapsed="false">
      <c r="A23" s="0" t="s">
        <v>98</v>
      </c>
      <c r="C23" s="4" t="n">
        <f aca="false">Assumptions!C44</f>
        <v>1.8</v>
      </c>
      <c r="D23" s="4" t="n">
        <f aca="false">Assumptions!D44</f>
        <v>1.8</v>
      </c>
      <c r="E23" s="4" t="n">
        <f aca="false">Assumptions!E44</f>
        <v>1.8</v>
      </c>
      <c r="F23" s="4" t="n">
        <f aca="false">Assumptions!F44</f>
        <v>1.8</v>
      </c>
      <c r="G23" s="4" t="n">
        <f aca="false">Assumptions!G44</f>
        <v>1.8</v>
      </c>
      <c r="H23" s="4" t="n">
        <f aca="false">Assumptions!H44</f>
        <v>1.8</v>
      </c>
      <c r="I23" s="4" t="n">
        <f aca="false">Assumptions!I44</f>
        <v>1.8</v>
      </c>
      <c r="J23" s="4" t="n">
        <f aca="false">Assumptions!J44</f>
        <v>1.8</v>
      </c>
      <c r="K23" s="4" t="n">
        <f aca="false">Assumptions!K44</f>
        <v>1.8</v>
      </c>
      <c r="L23" s="4" t="n">
        <f aca="false">Assumptions!L44</f>
        <v>1.8</v>
      </c>
    </row>
    <row r="24" customFormat="false" ht="15" hidden="false" customHeight="false" outlineLevel="0" collapsed="false">
      <c r="A24" s="0" t="s">
        <v>123</v>
      </c>
      <c r="C24" s="0" t="n">
        <f aca="false">-C6*C23/100</f>
        <v>-12.781692</v>
      </c>
      <c r="D24" s="0" t="n">
        <f aca="false">-D6*D23/100</f>
        <v>-13.67641044</v>
      </c>
      <c r="E24" s="0" t="n">
        <f aca="false">-E6*E23/100</f>
        <v>-14.6337591708</v>
      </c>
      <c r="F24" s="0" t="n">
        <f aca="false">-F6*F23/100</f>
        <v>-15.511784721048</v>
      </c>
      <c r="G24" s="0" t="n">
        <f aca="false">-G6*G23/100</f>
        <v>-16.3649328807056</v>
      </c>
      <c r="H24" s="0" t="n">
        <f aca="false">-H6*H23/100</f>
        <v>-17.1831795247409</v>
      </c>
      <c r="I24" s="0" t="n">
        <f aca="false">-I6*I23/100</f>
        <v>-17.9564226033543</v>
      </c>
      <c r="J24" s="0" t="n">
        <f aca="false">-J6*J23/100</f>
        <v>-18.6746795074884</v>
      </c>
      <c r="K24" s="0" t="n">
        <f aca="false">-K6*K23/100</f>
        <v>-19.3282932902505</v>
      </c>
      <c r="L24" s="0" t="n">
        <f aca="false">-L6*L23/100</f>
        <v>-19.9081420889581</v>
      </c>
    </row>
    <row r="26" customFormat="false" ht="15" hidden="false" customHeight="false" outlineLevel="0" collapsed="false">
      <c r="A26" s="2" t="s">
        <v>124</v>
      </c>
    </row>
    <row r="27" customFormat="false" ht="15" hidden="false" customHeight="false" outlineLevel="0" collapsed="false">
      <c r="A27" s="0" t="s">
        <v>102</v>
      </c>
      <c r="B27" s="4" t="n">
        <f aca="false">Assumptions!$B$48</f>
        <v>10</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14</v>
      </c>
    </row>
    <row r="30" customFormat="false" ht="15" hidden="false" customHeight="false" outlineLevel="0" collapsed="false">
      <c r="A30" s="0" t="s">
        <v>125</v>
      </c>
      <c r="B30" s="0" t="n">
        <f aca="false">SUM(C21:L21)</f>
        <v>564.781131415795</v>
      </c>
    </row>
    <row r="31" customFormat="false" ht="15" hidden="false" customHeight="false" outlineLevel="0" collapsed="false">
      <c r="A31" s="0" t="s">
        <v>126</v>
      </c>
      <c r="B31" s="0" t="n">
        <f aca="false">L19</f>
        <v>122.007918565378</v>
      </c>
    </row>
    <row r="32" customFormat="false" ht="15" hidden="false" customHeight="false" outlineLevel="0" collapsed="false">
      <c r="A32" s="0" t="s">
        <v>127</v>
      </c>
      <c r="B32" s="0" t="n">
        <f aca="false">IF(B27&gt;B28,B31*(1+B28/100)/((B27-B28)/100),B31*B29)</f>
        <v>1667.44155372683</v>
      </c>
    </row>
    <row r="33" customFormat="false" ht="15" hidden="false" customHeight="false" outlineLevel="0" collapsed="false">
      <c r="A33" s="0" t="s">
        <v>128</v>
      </c>
      <c r="B33" s="0" t="n">
        <f aca="false">B31*B29</f>
        <v>1708.11085991529</v>
      </c>
    </row>
    <row r="34" customFormat="false" ht="15" hidden="false" customHeight="false" outlineLevel="0" collapsed="false">
      <c r="A34" s="0" t="s">
        <v>129</v>
      </c>
      <c r="B34" s="0" t="n">
        <f aca="false">MAX(0,MIN(B32,B33))</f>
        <v>1667.44155372683</v>
      </c>
    </row>
    <row r="35" customFormat="false" ht="15" hidden="false" customHeight="false" outlineLevel="0" collapsed="false">
      <c r="A35" s="0" t="s">
        <v>130</v>
      </c>
      <c r="B35" s="0" t="n">
        <f aca="false">B34/(1+B27/100)^L4</f>
        <v>642.870901555329</v>
      </c>
    </row>
    <row r="36" customFormat="false" ht="15" hidden="false" customHeight="false" outlineLevel="0" collapsed="false">
      <c r="A36" s="0" t="s">
        <v>131</v>
      </c>
      <c r="B36" s="0" t="n">
        <f aca="false">B30+B35</f>
        <v>1207.65203297112</v>
      </c>
    </row>
    <row r="37" customFormat="false" ht="15" hidden="false" customHeight="false" outlineLevel="0" collapsed="false">
      <c r="A37" s="0" t="s">
        <v>132</v>
      </c>
      <c r="B37" s="0" t="n">
        <f aca="false">B36+Assumptions!$B$5-Assumptions!$B$4</f>
        <v>1083.40203297112</v>
      </c>
    </row>
    <row r="38" customFormat="false" ht="15" hidden="false" customHeight="false" outlineLevel="0" collapsed="false">
      <c r="A38" s="0" t="s">
        <v>133</v>
      </c>
      <c r="B38" s="0" t="n">
        <f aca="false">B37/Assumptions!$B$3*Assumptions!$B$10</f>
        <v>7.79425923000809</v>
      </c>
    </row>
    <row r="39" customFormat="false" ht="15" hidden="false" customHeight="false" outlineLevel="0" collapsed="false">
      <c r="A39" s="0" t="s">
        <v>134</v>
      </c>
      <c r="B39" s="4" t="n">
        <f aca="false">B38/Assumptions!$B$2-1</f>
        <v>1.84462015693726</v>
      </c>
    </row>
    <row r="41" customFormat="false" ht="15" hidden="false" customHeight="false" outlineLevel="0" collapsed="false">
      <c r="A41" s="0" t="s">
        <v>135</v>
      </c>
      <c r="B41" s="0" t="n">
        <f aca="false">SUMPRODUCT(-C10:L10/(1+$B$27/100)^C4:L4)</f>
        <v>27.2698728675875</v>
      </c>
    </row>
    <row r="42" customFormat="false" ht="15" hidden="false" customHeight="false" outlineLevel="0" collapsed="false">
      <c r="A42" s="0" t="s">
        <v>136</v>
      </c>
      <c r="B42" s="0" t="n">
        <f aca="false">IF(B27&gt;B28,-L10*(1+B28/100)/((B27-B28)/100),-L10*20)/(1+B27/100)^L4</f>
        <v>29.1382846373799</v>
      </c>
    </row>
    <row r="43" customFormat="false" ht="15" hidden="false" customHeight="false" outlineLevel="0" collapsed="false">
      <c r="A43" s="0" t="s">
        <v>137</v>
      </c>
      <c r="B43" s="0" t="n">
        <f aca="false">(B37+B41+B42)/Assumptions!$B$3*Assumptions!$B$10</f>
        <v>8.20007331277764</v>
      </c>
    </row>
    <row r="45" customFormat="false" ht="15" hidden="false" customHeight="false" outlineLevel="0" collapsed="false">
      <c r="A45" s="0" t="s">
        <v>77</v>
      </c>
      <c r="B45" s="4" t="n">
        <f aca="false">Assumptions!$B$6</f>
        <v>15</v>
      </c>
    </row>
    <row r="46" customFormat="false" ht="15" hidden="false" customHeight="false" outlineLevel="0" collapsed="false">
      <c r="A46" s="0" t="s">
        <v>138</v>
      </c>
      <c r="B46" s="0" t="n">
        <f aca="false">MAX(0,MIN(IF(B45&gt;B28,B31*(1+B28/100)/((B45-B28)/100),B31*B29),B31*B29))</f>
        <v>1000.4649322361</v>
      </c>
    </row>
    <row r="47" customFormat="false" ht="15" hidden="false" customHeight="false" outlineLevel="0" collapsed="false">
      <c r="A47" s="0" t="s">
        <v>139</v>
      </c>
      <c r="B47" s="0" t="n">
        <f aca="false">(SUMPRODUCT(C19:L19/(1+B45/100)^C4:L4)+B46/(1+B45/100)^L4+Assumptions!$B$5-Assumptions!$B$4)/Assumptions!$B$3*Assumptions!$B$10</f>
        <v>4.11240591197185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1.46631604570278</v>
      </c>
      <c r="C4" s="0" t="n">
        <f aca="false">B4/Assumptions!$B$2-1</f>
        <v>-0.464848158502636</v>
      </c>
      <c r="D4" s="4" t="n">
        <f aca="false">Assumptions!$B$24</f>
        <v>0.35</v>
      </c>
      <c r="E4" s="4" t="n">
        <f aca="false">DCF_Bear!$B$43</f>
        <v>1.739411937254</v>
      </c>
      <c r="F4" s="4" t="n">
        <f aca="false">DCF_Bear!$B$47</f>
        <v>0.600784300670017</v>
      </c>
    </row>
    <row r="5" customFormat="false" ht="15" hidden="false" customHeight="false" outlineLevel="0" collapsed="false">
      <c r="A5" s="0" t="s">
        <v>148</v>
      </c>
      <c r="B5" s="4" t="n">
        <f aca="false">DCF_Base!$B$38</f>
        <v>4.51987552675484</v>
      </c>
      <c r="C5" s="0" t="n">
        <f aca="false">B5/Assumptions!$B$2-1</f>
        <v>0.649589608304685</v>
      </c>
      <c r="D5" s="4" t="n">
        <f aca="false">Assumptions!$B$38</f>
        <v>0.45</v>
      </c>
      <c r="E5" s="4" t="n">
        <f aca="false">DCF_Base!$B$43</f>
        <v>4.87855260432036</v>
      </c>
      <c r="F5" s="4" t="n">
        <f aca="false">DCF_Base!$B$47</f>
        <v>2.51563142390953</v>
      </c>
    </row>
    <row r="6" customFormat="false" ht="15" hidden="false" customHeight="false" outlineLevel="0" collapsed="false">
      <c r="A6" s="0" t="s">
        <v>149</v>
      </c>
      <c r="B6" s="4" t="n">
        <f aca="false">DCF_Bull!$B$38</f>
        <v>7.79425923000809</v>
      </c>
      <c r="C6" s="0" t="n">
        <f aca="false">B6/Assumptions!$B$2-1</f>
        <v>1.84462015693726</v>
      </c>
      <c r="D6" s="4" t="n">
        <f aca="false">Assumptions!$B$52</f>
        <v>0.2</v>
      </c>
      <c r="E6" s="4" t="n">
        <f aca="false">DCF_Bull!$B$43</f>
        <v>8.20007331277764</v>
      </c>
      <c r="F6" s="4" t="n">
        <f aca="false">DCF_Bull!$B$47</f>
        <v>4.11240591197185</v>
      </c>
    </row>
    <row r="8" customFormat="false" ht="15" hidden="false" customHeight="false" outlineLevel="0" collapsed="false">
      <c r="A8" s="0" t="s">
        <v>150</v>
      </c>
      <c r="B8" s="0" t="n">
        <f aca="false">SUMPRODUCT(B4:B6,D4:D6)</f>
        <v>4.10600644903727</v>
      </c>
    </row>
    <row r="9" customFormat="false" ht="15" hidden="false" customHeight="false" outlineLevel="0" collapsed="false">
      <c r="A9" s="0" t="s">
        <v>151</v>
      </c>
      <c r="B9" s="0" t="n">
        <f aca="false">SUMPRODUCT(E4:E6,D4:D6)</f>
        <v>4.44415751253859</v>
      </c>
    </row>
    <row r="10" customFormat="false" ht="15" hidden="false" customHeight="false" outlineLevel="0" collapsed="false">
      <c r="A10" s="0" t="s">
        <v>152</v>
      </c>
      <c r="B10" s="0" t="n">
        <f aca="false">1-Assumptions!$B$2/B8</f>
        <v>0.332684925362831</v>
      </c>
    </row>
    <row r="11" customFormat="false" ht="15" hidden="false" customHeight="false" outlineLevel="0" collapsed="false">
      <c r="A11" s="0" t="s">
        <v>153</v>
      </c>
      <c r="B11" s="0" t="n">
        <f aca="false">IF(ABS(B9-B8)&gt;0.01*ABS(B8),(Assumptions!$B$2-B8)/(B9-B8)*100,"n/a")</f>
        <v>-403.963375094318</v>
      </c>
    </row>
    <row r="12" customFormat="false" ht="15" hidden="false" customHeight="false" outlineLevel="0" collapsed="false">
      <c r="A12" s="0" t="s">
        <v>154</v>
      </c>
      <c r="B12" s="0" t="n">
        <f aca="false">SUMPRODUCT(F4:F6,D4:D6)</f>
        <v>2.16478982838817</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4.90236620065801</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4.51987552675484</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4.16995658750999</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3.6328501546196</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2.51563142390953</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5.32096919170001</v>
      </c>
      <c r="C23" s="0" t="n">
        <f aca="false">(SUMPRODUCT(DCF_Base!$C$19:$L$19/(1+$A$23/100)^DCF_Base!$C$4:$L$4)+MAX(0,MIN(IF($A$23&gt;$C$22,DCF_Base!$L$19*(1+$C$22/100)/(($A$23-$C$22)/100),DCF_Base!$L$19*DCF_Base!$B$29),DCF_Base!$L$19*DCF_Base!$B$29))/(1+$A$23/100)^DCF_Base!$L$4+Assumptions!$B$5-Assumptions!$B$4)/Assumptions!$B$3*Assumptions!$B$10</f>
        <v>5.32096919170001</v>
      </c>
      <c r="D23" s="0" t="n">
        <f aca="false">(SUMPRODUCT(DCF_Base!$C$19:$L$19/(1+$A$23/100)^DCF_Base!$C$4:$L$4)+MAX(0,MIN(IF($A$23&gt;$D$22,DCF_Base!$L$19*(1+$D$22/100)/(($A$23-$D$22)/100),DCF_Base!$L$19*DCF_Base!$B$29),DCF_Base!$L$19*DCF_Base!$B$29))/(1+$A$23/100)^DCF_Base!$L$4+Assumptions!$B$5-Assumptions!$B$4)/Assumptions!$B$3*Assumptions!$B$10</f>
        <v>5.32096919170001</v>
      </c>
      <c r="E23" s="0" t="n">
        <f aca="false">(SUMPRODUCT(DCF_Base!$C$19:$L$19/(1+$A$23/100)^DCF_Base!$C$4:$L$4)+MAX(0,MIN(IF($A$23&gt;$E$22,DCF_Base!$L$19*(1+$E$22/100)/(($A$23-$E$22)/100),DCF_Base!$L$19*DCF_Base!$B$29),DCF_Base!$L$19*DCF_Base!$B$29))/(1+$A$23/100)^DCF_Base!$L$4+Assumptions!$B$5-Assumptions!$B$4)/Assumptions!$B$3*Assumptions!$B$10</f>
        <v>5.32096919170001</v>
      </c>
      <c r="F23" s="0" t="n">
        <f aca="false">(SUMPRODUCT(DCF_Base!$C$19:$L$19/(1+$A$23/100)^DCF_Base!$C$4:$L$4)+MAX(0,MIN(IF($A$23&gt;$F$22,DCF_Base!$L$19*(1+$F$22/100)/(($A$23-$F$22)/100),DCF_Base!$L$19*DCF_Base!$B$29),DCF_Base!$L$19*DCF_Base!$B$29))/(1+$A$23/100)^DCF_Base!$L$4+Assumptions!$B$5-Assumptions!$B$4)/Assumptions!$B$3*Assumptions!$B$10</f>
        <v>5.32096919170001</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4.90236620065801</v>
      </c>
      <c r="C24" s="0" t="n">
        <f aca="false">(SUMPRODUCT(DCF_Base!$C$19:$L$19/(1+$A$24/100)^DCF_Base!$C$4:$L$4)+MAX(0,MIN(IF($A$24&gt;$C$22,DCF_Base!$L$19*(1+$C$22/100)/(($A$24-$C$22)/100),DCF_Base!$L$19*DCF_Base!$B$29),DCF_Base!$L$19*DCF_Base!$B$29))/(1+$A$24/100)^DCF_Base!$L$4+Assumptions!$B$5-Assumptions!$B$4)/Assumptions!$B$3*Assumptions!$B$10</f>
        <v>4.90236620065801</v>
      </c>
      <c r="D24" s="0" t="n">
        <f aca="false">(SUMPRODUCT(DCF_Base!$C$19:$L$19/(1+$A$24/100)^DCF_Base!$C$4:$L$4)+MAX(0,MIN(IF($A$24&gt;$D$22,DCF_Base!$L$19*(1+$D$22/100)/(($A$24-$D$22)/100),DCF_Base!$L$19*DCF_Base!$B$29),DCF_Base!$L$19*DCF_Base!$B$29))/(1+$A$24/100)^DCF_Base!$L$4+Assumptions!$B$5-Assumptions!$B$4)/Assumptions!$B$3*Assumptions!$B$10</f>
        <v>4.90236620065801</v>
      </c>
      <c r="E24" s="0" t="n">
        <f aca="false">(SUMPRODUCT(DCF_Base!$C$19:$L$19/(1+$A$24/100)^DCF_Base!$C$4:$L$4)+MAX(0,MIN(IF($A$24&gt;$E$22,DCF_Base!$L$19*(1+$E$22/100)/(($A$24-$E$22)/100),DCF_Base!$L$19*DCF_Base!$B$29),DCF_Base!$L$19*DCF_Base!$B$29))/(1+$A$24/100)^DCF_Base!$L$4+Assumptions!$B$5-Assumptions!$B$4)/Assumptions!$B$3*Assumptions!$B$10</f>
        <v>4.90236620065801</v>
      </c>
      <c r="F24" s="0" t="n">
        <f aca="false">(SUMPRODUCT(DCF_Base!$C$19:$L$19/(1+$A$24/100)^DCF_Base!$C$4:$L$4)+MAX(0,MIN(IF($A$24&gt;$F$22,DCF_Base!$L$19*(1+$F$22/100)/(($A$24-$F$22)/100),DCF_Base!$L$19*DCF_Base!$B$29),DCF_Base!$L$19*DCF_Base!$B$29))/(1+$A$24/100)^DCF_Base!$L$4+Assumptions!$B$5-Assumptions!$B$4)/Assumptions!$B$3*Assumptions!$B$10</f>
        <v>4.90236620065801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4.50727211973771</v>
      </c>
      <c r="C25" s="0" t="n">
        <f aca="false">(SUMPRODUCT(DCF_Base!$C$19:$L$19/(1+$A$25/100)^DCF_Base!$C$4:$L$4)+MAX(0,MIN(IF($A$25&gt;$C$22,DCF_Base!$L$19*(1+$C$22/100)/(($A$25-$C$22)/100),DCF_Base!$L$19*DCF_Base!$B$29),DCF_Base!$L$19*DCF_Base!$B$29))/(1+$A$25/100)^DCF_Base!$L$4+Assumptions!$B$5-Assumptions!$B$4)/Assumptions!$B$3*Assumptions!$B$10</f>
        <v>4.51987552675484</v>
      </c>
      <c r="D25" s="0" t="n">
        <f aca="false">(SUMPRODUCT(DCF_Base!$C$19:$L$19/(1+$A$25/100)^DCF_Base!$C$4:$L$4)+MAX(0,MIN(IF($A$25&gt;$D$22,DCF_Base!$L$19*(1+$D$22/100)/(($A$25-$D$22)/100),DCF_Base!$L$19*DCF_Base!$B$29),DCF_Base!$L$19*DCF_Base!$B$29))/(1+$A$25/100)^DCF_Base!$L$4+Assumptions!$B$5-Assumptions!$B$4)/Assumptions!$B$3*Assumptions!$B$10</f>
        <v>4.51987552675484</v>
      </c>
      <c r="E25" s="0" t="n">
        <f aca="false">(SUMPRODUCT(DCF_Base!$C$19:$L$19/(1+$A$25/100)^DCF_Base!$C$4:$L$4)+MAX(0,MIN(IF($A$25&gt;$E$22,DCF_Base!$L$19*(1+$E$22/100)/(($A$25-$E$22)/100),DCF_Base!$L$19*DCF_Base!$B$29),DCF_Base!$L$19*DCF_Base!$B$29))/(1+$A$25/100)^DCF_Base!$L$4+Assumptions!$B$5-Assumptions!$B$4)/Assumptions!$B$3*Assumptions!$B$10</f>
        <v>4.51987552675484</v>
      </c>
      <c r="F25" s="0" t="n">
        <f aca="false">(SUMPRODUCT(DCF_Base!$C$19:$L$19/(1+$A$25/100)^DCF_Base!$C$4:$L$4)+MAX(0,MIN(IF($A$25&gt;$F$22,DCF_Base!$L$19*(1+$F$22/100)/(($A$25-$F$22)/100),DCF_Base!$L$19*DCF_Base!$B$29),DCF_Base!$L$19*DCF_Base!$B$29))/(1+$A$25/100)^DCF_Base!$L$4+Assumptions!$B$5-Assumptions!$B$4)/Assumptions!$B$3*Assumptions!$B$10</f>
        <v>4.51987552675484</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3.91243101905375</v>
      </c>
      <c r="C26" s="0" t="n">
        <f aca="false">(SUMPRODUCT(DCF_Base!$C$19:$L$19/(1+$A$26/100)^DCF_Base!$C$4:$L$4)+MAX(0,MIN(IF($A$26&gt;$C$22,DCF_Base!$L$19*(1+$C$22/100)/(($A$26-$C$22)/100),DCF_Base!$L$19*DCF_Base!$B$29),DCF_Base!$L$19*DCF_Base!$B$29))/(1+$A$26/100)^DCF_Base!$L$4+Assumptions!$B$5-Assumptions!$B$4)/Assumptions!$B$3*Assumptions!$B$10</f>
        <v>4.03947696615883</v>
      </c>
      <c r="D26" s="0" t="n">
        <f aca="false">(SUMPRODUCT(DCF_Base!$C$19:$L$19/(1+$A$26/100)^DCF_Base!$C$4:$L$4)+MAX(0,MIN(IF($A$26&gt;$D$22,DCF_Base!$L$19*(1+$D$22/100)/(($A$26-$D$22)/100),DCF_Base!$L$19*DCF_Base!$B$29),DCF_Base!$L$19*DCF_Base!$B$29))/(1+$A$26/100)^DCF_Base!$L$4+Assumptions!$B$5-Assumptions!$B$4)/Assumptions!$B$3*Assumptions!$B$10</f>
        <v>4.16995658750999</v>
      </c>
      <c r="E26" s="0" t="n">
        <f aca="false">(SUMPRODUCT(DCF_Base!$C$19:$L$19/(1+$A$26/100)^DCF_Base!$C$4:$L$4)+MAX(0,MIN(IF($A$26&gt;$E$22,DCF_Base!$L$19*(1+$E$22/100)/(($A$26-$E$22)/100),DCF_Base!$L$19*DCF_Base!$B$29),DCF_Base!$L$19*DCF_Base!$B$29))/(1+$A$26/100)^DCF_Base!$L$4+Assumptions!$B$5-Assumptions!$B$4)/Assumptions!$B$3*Assumptions!$B$10</f>
        <v>4.16995658750999</v>
      </c>
      <c r="F26" s="0" t="n">
        <f aca="false">(SUMPRODUCT(DCF_Base!$C$19:$L$19/(1+$A$26/100)^DCF_Base!$C$4:$L$4)+MAX(0,MIN(IF($A$26&gt;$F$22,DCF_Base!$L$19*(1+$F$22/100)/(($A$26-$F$22)/100),DCF_Base!$L$19*DCF_Base!$B$29),DCF_Base!$L$19*DCF_Base!$B$29))/(1+$A$26/100)^DCF_Base!$L$4+Assumptions!$B$5-Assumptions!$B$4)/Assumptions!$B$3*Assumptions!$B$10</f>
        <v>4.16995658750999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3.43194613490691</v>
      </c>
      <c r="C27" s="0" t="n">
        <f aca="false">(SUMPRODUCT(DCF_Base!$C$19:$L$19/(1+$A$27/100)^DCF_Base!$C$4:$L$4)+MAX(0,MIN(IF($A$27&gt;$C$22,DCF_Base!$L$19*(1+$C$22/100)/(($A$27-$C$22)/100),DCF_Base!$L$19*DCF_Base!$B$29),DCF_Base!$L$19*DCF_Base!$B$29))/(1+$A$27/100)^DCF_Base!$L$4+Assumptions!$B$5-Assumptions!$B$4)/Assumptions!$B$3*Assumptions!$B$10</f>
        <v>3.52737554427044</v>
      </c>
      <c r="D27" s="0" t="n">
        <f aca="false">(SUMPRODUCT(DCF_Base!$C$19:$L$19/(1+$A$27/100)^DCF_Base!$C$4:$L$4)+MAX(0,MIN(IF($A$27&gt;$D$22,DCF_Base!$L$19*(1+$D$22/100)/(($A$27-$D$22)/100),DCF_Base!$L$19*DCF_Base!$B$29),DCF_Base!$L$19*DCF_Base!$B$29))/(1+$A$27/100)^DCF_Base!$L$4+Assumptions!$B$5-Assumptions!$B$4)/Assumptions!$B$3*Assumptions!$B$10</f>
        <v>3.6328501546196</v>
      </c>
      <c r="E27" s="0" t="n">
        <f aca="false">(SUMPRODUCT(DCF_Base!$C$19:$L$19/(1+$A$27/100)^DCF_Base!$C$4:$L$4)+MAX(0,MIN(IF($A$27&gt;$E$22,DCF_Base!$L$19*(1+$E$22/100)/(($A$27-$E$22)/100),DCF_Base!$L$19*DCF_Base!$B$29),DCF_Base!$L$19*DCF_Base!$B$29))/(1+$A$27/100)^DCF_Base!$L$4+Assumptions!$B$5-Assumptions!$B$4)/Assumptions!$B$3*Assumptions!$B$10</f>
        <v>3.75004416611867</v>
      </c>
      <c r="F27" s="0" t="n">
        <f aca="false">(SUMPRODUCT(DCF_Base!$C$19:$L$19/(1+$A$27/100)^DCF_Base!$C$4:$L$4)+MAX(0,MIN(IF($A$27&gt;$F$22,DCF_Base!$L$19*(1+$F$22/100)/(($A$27-$F$22)/100),DCF_Base!$L$19*DCF_Base!$B$29),DCF_Base!$L$19*DCF_Base!$B$29))/(1+$A$27/100)^DCF_Base!$L$4+Assumptions!$B$5-Assumptions!$B$4)/Assumptions!$B$3*Assumptions!$B$10</f>
        <v>3.84944980087235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2026-09-22T09:37:22Z</dcterms:created>
  <dc:creator>openpyxl</dc:creator>
  <dc:description/>
  <dc:language>en-NZ</dc:language>
  <cp:lastModifiedBy/>
  <dcterms:modified xsi:type="dcterms:W3CDTF">2026-09-22T09:37:22Z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