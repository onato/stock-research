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0" fontId="2" fillId="2" borderId="0" pivotButton="0" quotePrefix="0" xfId="0"/>
    <xf numFmtId="0" fontId="4" fillId="0" borderId="0" pivotButton="0" quotePrefix="0" xfId="0"/>
    <xf numFmtId="10" fontId="0" fillId="0" borderId="0" pivotButton="0" quotePrefix="0" xfId="0"/>
    <xf numFmtId="164" fontId="4" fillId="0" borderId="0" pivotButton="0" quotePrefix="0" xfId="0"/>
    <xf numFmtId="165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165" fontId="4" fillId="0" borderId="0" pivotButton="0" quotePrefix="0" xfId="0"/>
    <xf numFmtId="165" fontId="0" fillId="3" borderId="0" pivotButton="0" quotePrefix="0" xfId="0"/>
    <xf numFmtId="164" fontId="2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WHS.NZ owner-FCF DCF model</t>
        </is>
      </c>
      <c r="B1" s="2" t="inlineStr"/>
    </row>
    <row r="2">
      <c r="A2" s="1" t="inlineStr">
        <is>
          <t>Version</t>
        </is>
      </c>
      <c r="B2" s="2" t="inlineStr">
        <is>
          <t>v1 (2026-09-21). Fresh build; supersedes nothing (first WHS.NZ valuation in this folder).</t>
        </is>
      </c>
    </row>
    <row r="3">
      <c r="A3" s="1" t="inlineStr">
        <is>
          <t>Built by</t>
        </is>
      </c>
      <c r="B3" s="2" t="inlineStr">
        <is>
          <t>dcf-analyst agent (Claude Fable 5.1), 2026-09-21, at the request of the research-stock pipeline (step 8) for Stephen Williams.</t>
        </is>
      </c>
    </row>
    <row r="4">
      <c r="A4" s="1" t="inlineStr">
        <is>
          <t>Company</t>
        </is>
      </c>
      <c r="B4" s="2" t="inlineStr">
        <is>
          <t>The Warehouse Group Limited (NZX: WHS). NZ general-merchandise retailer: The Warehouse, Warehouse Stationery, Noel Leeming. 52/53-week FY ending late Jul/early Aug.</t>
        </is>
      </c>
    </row>
    <row r="5">
      <c r="A5" s="1" t="inlineStr">
        <is>
          <t>Currency / units</t>
        </is>
      </c>
      <c r="B5" s="2" t="inlineStr">
        <is>
          <t>NZD millions throughout (filings are NZ$000; divided by 1,000). Quote currency NZD.</t>
        </is>
      </c>
    </row>
    <row r="6">
      <c r="A6" s="1" t="inlineStr">
        <is>
          <t>Price</t>
        </is>
      </c>
      <c r="B6" s="2" t="inlineStr">
        <is>
          <t>NZ$0.6 as of 2026-09-21T04:15:20Z NZX regular close (Yahoo regularMarketTime via make dcf-context). Figures go stale: refresh the price, and after the FY2026 result (due late Sep-2026) refresh EBITDA, capex, net debt and guidance.</t>
        </is>
      </c>
    </row>
    <row r="7">
      <c r="A7" s="1" t="inlineStr">
        <is>
          <t>Balance sheet</t>
        </is>
      </c>
      <c r="B7" s="2" t="inlineStr">
        <is>
          <t>H1 FY2026 interim financial statements (26 weeks to 1-Feb-2026, released 27-Mar-2026): cash 43,264k, borrowings 136,570k, lease liabilities 708,861k, minority interest 1,108k (date 2026-02-01).</t>
        </is>
      </c>
    </row>
    <row r="8">
      <c r="A8" s="1" t="inlineStr">
        <is>
          <t>Share count</t>
        </is>
      </c>
      <c r="B8" s="2" t="inlineStr">
        <is>
          <t>345,354k ordinary shares net of treasury (FY2025 Annual Report EPS note, weighted average = period-end, unchanged since FY2022; H1 FY2026 basic = diluted EPS 4.6c). No dilutive instruments: FY25/FY26 LTI is cash-settled. Held FLAT; SBC is nil so there is nothing to double-count.</t>
        </is>
      </c>
    </row>
    <row r="9">
      <c r="A9" s="1" t="inlineStr">
        <is>
          <t>Guidance</t>
        </is>
      </c>
      <c r="B9" s="2" t="inlineStr">
        <is>
          <t>None issued for FY2026 beyond 'cost reset to restore profitability' (Nov-2025) and the subsequent-event warning on Middle East freight costs (H1 FY26 note 2).</t>
        </is>
      </c>
    </row>
    <row r="10">
      <c r="A10" s="1" t="inlineStr">
        <is>
          <t>Method</t>
        </is>
      </c>
      <c r="B10" s="2" t="inlineStr">
        <is>
          <t>owner-fcf.md (dcf-methods skill), lease treatment (B), 10-year horizon, end-of-year discounting, TV = max(0, min(Gordon, 12x FCF_10)), entry price with TV rebuilt at the 15% hurdle.</t>
        </is>
      </c>
    </row>
    <row r="11">
      <c r="A11" s="1" t="inlineStr">
        <is>
          <t>Lease treatment</t>
        </is>
      </c>
      <c r="B11" s="2" t="inlineStr">
        <is>
          <t>Treatment (B): leases as operating cost. The FULL IFRS-16 lease cash (FY2025: principal $104.882m in financing + interest $36.847m in operating = $141.729m, 4.6% of revenue; H1 FY2026 $64.570m) is deducted inside the flow build as a dollar premises bill ($140m FY2026E escalating 2%/yr, expressed per scenario as lease_cost_pct_path), and lease liabilities ($708.9m at 1-Feb-2026) are EXCLUDED from net debt. net_debt = borrowings $136.570m less cash $43.264m = $93.306m, which ties to the company's own note 13 'Net cash/(debt)' (93,306). D&amp;A for cash-tax EBIT is ex right-of-use depreciation (FY2025: $156.5m total less $93.3m ROU = $63.2m, 2.05% of revenue), so the lease is charged once. core_metrics.total_debt already excludes leases, so the CSV and the DCF are on the same basis.</t>
        </is>
      </c>
    </row>
    <row r="12">
      <c r="A12" s="1" t="inlineStr">
        <is>
          <t>WACC</t>
        </is>
      </c>
      <c r="B12" s="2" t="inlineStr">
        <is>
          <t>NZD flows discounted at a NZD-built rate. Bottom-up: NZ 10y govt ~4.4% + beta 1.25 (NZX cyclical discretionary retailer, mkt cap ~NZ$207m) x 5.5% ERP = 11.3% cost of equity; after-tax cost of debt ~4.7% (BKBM + margin, 28% tax); 30% debt / 70% equity ex-lease =&gt; 9.3%. The company's own FY2025 impairment tests use 11.1-11.7% post-tax. House rate 10.0%, the midpoint, applied to ALL THREE scenarios: cyclicality, competitive erosion and covenant risk are charged in the scenario flows and the 30% bear weight, not stacked into the discount rate (owner-fcf.md s7f).</t>
        </is>
      </c>
    </row>
    <row r="13">
      <c r="A13" s="1" t="inlineStr">
        <is>
          <t>SBC</t>
        </is>
      </c>
      <c r="B13" s="2" t="inlineStr">
        <is>
          <t>FY2025 Annual Report note 3.2 'Share based payment expense' nil (FY2024: $804k); FY25 LTI was cash-settled. SBC-zero market per owner-fcf.md s7(e): SBC rows kept explicit at 0%.</t>
        </is>
      </c>
    </row>
    <row r="14">
      <c r="A14" s="1" t="inlineStr">
        <is>
          <t>Working capital</t>
        </is>
      </c>
      <c r="B14" s="2" t="inlineStr">
        <is>
          <t>wc_capture -5%: net working capital (inventory + receivables - payables - provisions) is ~5% of sales, so each dollar of revenue growth consumes 5c.</t>
        </is>
      </c>
    </row>
    <row r="15">
      <c r="A15" s="1" t="inlineStr">
        <is>
          <t>Cash tax</t>
        </is>
      </c>
      <c r="B15" s="2" t="inlineStr">
        <is>
          <t>Ramps from 0% (NZ$121m gross tax losses, $34.0m DTA at FY25) to the 28% NZ statutory rate as the losses are used; tax = MAX(0, EBIT) x rate.</t>
        </is>
      </c>
    </row>
    <row r="16">
      <c r="A16" s="1" t="inlineStr">
        <is>
          <t>Terminal value</t>
        </is>
      </c>
      <c r="B16" s="2" t="inlineStr">
        <is>
          <t>TV = MAX(0, MIN(Gordon, 12 x FCF_10)). 12x cap for a cyclical, structurally challenged retailer. Base and bull bind on the cap; bear hits the zero floor.</t>
        </is>
      </c>
    </row>
    <row r="17">
      <c r="A17" s="1" t="inlineStr">
        <is>
          <t>Entry price</t>
        </is>
      </c>
      <c r="B17" s="2" t="inlineStr">
        <is>
          <t>15% hurdle IRR with the terminal value REBUILT at 15% (min(Gordon@15%, 12x FCF_10)); per scenario, then probability-weighted.</t>
        </is>
      </c>
    </row>
    <row r="18">
      <c r="A18" s="1" t="inlineStr">
        <is>
          <t>Scenario drivers</t>
        </is>
      </c>
      <c r="B18" s="2" t="inlineStr">
        <is>
          <t>Agent's judgment set 2026-09-21 from the FY2025 Annual Report and H1 FY2026 interim; no Analysis JSON was available at build time. Narratives on the Assumptions tab.</t>
        </is>
      </c>
    </row>
    <row r="19">
      <c r="A19" s="1" t="inlineStr">
        <is>
          <t>DCF tab row map</t>
        </is>
      </c>
      <c r="B19" s="2" t="inlineStr">
        <is>
          <t>Drivers (blue, yellow fill): row 5 growth, 7 EBITDA margin (post-IFRS-16), 9 SBC %, 13 D&amp;A % (ex-ROU), 16 cash tax rate, 20 capex %. Lease cash row 11 links to Assumptions (FY26 bill and escalator). Everything else is a formula.</t>
        </is>
      </c>
    </row>
    <row r="20">
      <c r="A20" s="1" t="inlineStr">
        <is>
          <t>Cell legend</t>
        </is>
      </c>
      <c r="B20" s="2" t="inlineStr">
        <is>
          <t>Blue font = hardcoded input; yellow fill = key lever; black = formula; green = cross-sheet link.</t>
        </is>
      </c>
    </row>
    <row r="21">
      <c r="A21" s="1" t="inlineStr">
        <is>
          <t>Refresh after next print</t>
        </is>
      </c>
      <c r="B21" s="2" t="inlineStr">
        <is>
          <t>FY2026 actuals (revenue, post-IFRS-16 EBITDA, lease cash, ex-ROU D&amp;A, capex, cash tax, net debt at ~2-Aug-2026, share count), any FY2027 guidance, dividend decision, covenant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FY</t>
        </is>
      </c>
      <c r="B1" s="1" t="inlineStr">
        <is>
          <t>Revenue</t>
        </is>
      </c>
      <c r="C1" s="1" t="inlineStr">
        <is>
          <t>EBITDA post-IFRS16</t>
        </is>
      </c>
      <c r="D1" s="1" t="inlineStr">
        <is>
          <t>Lease cash (P+I)</t>
        </is>
      </c>
      <c r="E1" s="1" t="inlineStr">
        <is>
          <t>Lease-adj EBITDA</t>
        </is>
      </c>
      <c r="F1" s="1" t="inlineStr">
        <is>
          <t>Lease-adj margin %</t>
        </is>
      </c>
      <c r="G1" s="1" t="inlineStr">
        <is>
          <t>Reported FCF</t>
        </is>
      </c>
      <c r="H1" s="1" t="inlineStr">
        <is>
          <t>Lease principal</t>
        </is>
      </c>
      <c r="I1" s="1" t="inlineStr">
        <is>
          <t>SBC</t>
        </is>
      </c>
      <c r="J1" s="1" t="inlineStr">
        <is>
          <t>Interest income</t>
        </is>
      </c>
      <c r="K1" s="1" t="inlineStr">
        <is>
          <t>Owner FCF</t>
        </is>
      </c>
      <c r="L1" s="1" t="inlineStr">
        <is>
          <t>Owner FCF margin %</t>
        </is>
      </c>
      <c r="M1" s="1" t="inlineStr">
        <is>
          <t>Capex</t>
        </is>
      </c>
      <c r="N1" s="1" t="inlineStr">
        <is>
          <t>Source</t>
        </is>
      </c>
    </row>
    <row r="2">
      <c r="A2" t="inlineStr">
        <is>
          <t>FY2018</t>
        </is>
      </c>
      <c r="B2" s="3" t="n">
        <v>2994.571</v>
      </c>
      <c r="C2" s="3" t="n">
        <v>116.937</v>
      </c>
      <c r="D2" s="3" t="n">
        <v>0</v>
      </c>
      <c r="E2" s="3" t="n">
        <v>116.937</v>
      </c>
      <c r="F2" s="3" t="n">
        <v>3.9</v>
      </c>
      <c r="G2" s="3" t="n">
        <v>37.685</v>
      </c>
      <c r="H2" s="3" t="n">
        <v>0</v>
      </c>
      <c r="I2" s="3" t="n">
        <v>0.353</v>
      </c>
      <c r="J2" s="3" t="n">
        <v>1.494</v>
      </c>
      <c r="K2" s="3" t="n">
        <v>35.838</v>
      </c>
      <c r="L2" s="3" t="n">
        <v>1.2</v>
      </c>
      <c r="M2" s="3" t="n">
        <v>70.229</v>
      </c>
      <c r="N2" t="inlineStr">
        <is>
          <t>WHS.NZ_Annual_FY2018.txt income statement / cash-flow statement (NZ$000 / 1000)</t>
        </is>
      </c>
    </row>
    <row r="3">
      <c r="A3" t="inlineStr">
        <is>
          <t>FY2019</t>
        </is>
      </c>
      <c r="B3" s="3" t="n">
        <v>3071.357</v>
      </c>
      <c r="C3" s="3" t="n">
        <v>163.556</v>
      </c>
      <c r="D3" s="3" t="n">
        <v>0</v>
      </c>
      <c r="E3" s="3" t="n">
        <v>163.556</v>
      </c>
      <c r="F3" s="3" t="n">
        <v>5.33</v>
      </c>
      <c r="G3" s="3" t="n">
        <v>136.667</v>
      </c>
      <c r="H3" s="3" t="n">
        <v>0</v>
      </c>
      <c r="I3" s="3" t="n">
        <v>0.42</v>
      </c>
      <c r="J3" s="3" t="n">
        <v>0.436</v>
      </c>
      <c r="K3" s="3" t="n">
        <v>135.811</v>
      </c>
      <c r="L3" s="3" t="n">
        <v>4.42</v>
      </c>
      <c r="M3" s="3" t="n">
        <v>61.326</v>
      </c>
      <c r="N3" t="inlineStr">
        <is>
          <t>WHS.NZ_Annual_FY2019.txt income statement / cash-flow statement (NZ$000 / 1000)</t>
        </is>
      </c>
    </row>
    <row r="4">
      <c r="A4" t="inlineStr">
        <is>
          <t>FY2020</t>
        </is>
      </c>
      <c r="B4" s="3" t="n">
        <v>3172.83</v>
      </c>
      <c r="C4" s="3" t="n">
        <v>259.334</v>
      </c>
      <c r="D4" s="3" t="n">
        <v>124.946</v>
      </c>
      <c r="E4" s="3" t="n">
        <v>134.388</v>
      </c>
      <c r="F4" s="3" t="n">
        <v>4.24</v>
      </c>
      <c r="G4" s="3" t="n">
        <v>343.493</v>
      </c>
      <c r="H4" s="3" t="n">
        <v>83.833</v>
      </c>
      <c r="I4" s="3" t="n">
        <v>0</v>
      </c>
      <c r="J4" s="3" t="n">
        <v>0.713</v>
      </c>
      <c r="K4" s="3" t="n">
        <v>258.947</v>
      </c>
      <c r="L4" s="3" t="n">
        <v>8.16</v>
      </c>
      <c r="M4" s="3" t="n">
        <v>64.51300000000001</v>
      </c>
      <c r="N4" t="inlineStr">
        <is>
          <t>WHS.NZ_Annual_FY2020.txt income statement / cash-flow statement (NZ$000 / 1000)</t>
        </is>
      </c>
    </row>
    <row r="5">
      <c r="A5" t="inlineStr">
        <is>
          <t>FY2021</t>
        </is>
      </c>
      <c r="B5" s="3" t="n">
        <v>3414.601</v>
      </c>
      <c r="C5" s="3" t="n">
        <v>343.462</v>
      </c>
      <c r="D5" s="3" t="n">
        <v>137.88</v>
      </c>
      <c r="E5" s="3" t="n">
        <v>205.582</v>
      </c>
      <c r="F5" s="3" t="n">
        <v>6.02</v>
      </c>
      <c r="G5" s="3" t="n">
        <v>164.081</v>
      </c>
      <c r="H5" s="3" t="n">
        <v>99.383</v>
      </c>
      <c r="I5" s="3" t="n">
        <v>0</v>
      </c>
      <c r="J5" s="3" t="n">
        <v>1.048</v>
      </c>
      <c r="K5" s="3" t="n">
        <v>63.65</v>
      </c>
      <c r="L5" s="3" t="n">
        <v>1.86</v>
      </c>
      <c r="M5" s="3" t="n">
        <v>83.18000000000001</v>
      </c>
      <c r="N5" t="inlineStr">
        <is>
          <t>WHS.NZ_Annual_FY2021.txt income statement / cash-flow statement (NZ$000 / 1000)</t>
        </is>
      </c>
    </row>
    <row r="6">
      <c r="A6" t="inlineStr">
        <is>
          <t>FY2022</t>
        </is>
      </c>
      <c r="B6" s="3" t="n">
        <v>3294.332</v>
      </c>
      <c r="C6" s="3" t="n">
        <v>304.892</v>
      </c>
      <c r="D6" s="3" t="n">
        <v>134.947</v>
      </c>
      <c r="E6" s="3" t="n">
        <v>169.945</v>
      </c>
      <c r="F6" s="3" t="n">
        <v>5.16</v>
      </c>
      <c r="G6" s="3" t="n">
        <v>-2.046</v>
      </c>
      <c r="H6" s="3" t="n">
        <v>98.264</v>
      </c>
      <c r="I6" s="3" t="n">
        <v>0</v>
      </c>
      <c r="J6" s="3" t="n">
        <v>0.592</v>
      </c>
      <c r="K6" s="3" t="n">
        <v>-100.902</v>
      </c>
      <c r="L6" s="3" t="n">
        <v>-3.06</v>
      </c>
      <c r="M6" s="3" t="n">
        <v>107.469</v>
      </c>
      <c r="N6" t="inlineStr">
        <is>
          <t>WHS.NZ_Annual_FY2022.txt income statement / cash-flow statement (NZ$000 / 1000)</t>
        </is>
      </c>
    </row>
    <row r="7">
      <c r="A7" t="inlineStr">
        <is>
          <t>FY2023</t>
        </is>
      </c>
      <c r="B7" s="3" t="n">
        <v>3399.112</v>
      </c>
      <c r="C7" s="3" t="n">
        <v>250.811</v>
      </c>
      <c r="D7" s="3" t="n">
        <v>137.37</v>
      </c>
      <c r="E7" s="3" t="n">
        <v>113.441</v>
      </c>
      <c r="F7" s="3" t="n">
        <v>3.34</v>
      </c>
      <c r="G7" s="3" t="n">
        <v>99.095</v>
      </c>
      <c r="H7" s="3" t="n">
        <v>101.171</v>
      </c>
      <c r="I7" s="3" t="n">
        <v>0.804</v>
      </c>
      <c r="J7" s="3" t="n">
        <v>0.748</v>
      </c>
      <c r="K7" s="3" t="n">
        <v>-3.628</v>
      </c>
      <c r="L7" s="3" t="n">
        <v>-0.11</v>
      </c>
      <c r="M7" s="3" t="n">
        <v>115.088</v>
      </c>
      <c r="N7" t="inlineStr">
        <is>
          <t>WHS.NZ_Annual_FY2023.txt income statement / cash-flow statement (NZ$000 / 1000)</t>
        </is>
      </c>
    </row>
    <row r="8">
      <c r="A8" t="inlineStr">
        <is>
          <t>FY2024</t>
        </is>
      </c>
      <c r="B8" s="3" t="n">
        <v>3037.597</v>
      </c>
      <c r="C8" s="3" t="n">
        <v>217.496</v>
      </c>
      <c r="D8" s="3" t="n">
        <v>136.059</v>
      </c>
      <c r="E8" s="3" t="n">
        <v>81.437</v>
      </c>
      <c r="F8" s="3" t="n">
        <v>2.68</v>
      </c>
      <c r="G8" s="3" t="n">
        <v>146.586</v>
      </c>
      <c r="H8" s="3" t="n">
        <v>99.532</v>
      </c>
      <c r="I8" s="3" t="n">
        <v>0</v>
      </c>
      <c r="J8" s="3" t="n">
        <v>1.001</v>
      </c>
      <c r="K8" s="3" t="n">
        <v>46.053</v>
      </c>
      <c r="L8" s="3" t="n">
        <v>1.52</v>
      </c>
      <c r="M8" s="3" t="n">
        <v>39.284</v>
      </c>
      <c r="N8" t="inlineStr">
        <is>
          <t>WHS.NZ_Annual_FY2024.txt income statement / cash-flow statement (NZ$000 / 1000)</t>
        </is>
      </c>
    </row>
    <row r="9">
      <c r="A9" t="inlineStr">
        <is>
          <t>FY2025</t>
        </is>
      </c>
      <c r="B9" s="3" t="n">
        <v>3086.725</v>
      </c>
      <c r="C9" s="3" t="n">
        <v>197.04</v>
      </c>
      <c r="D9" s="3" t="n">
        <v>141.729</v>
      </c>
      <c r="E9" s="3" t="n">
        <v>55.311</v>
      </c>
      <c r="F9" s="3" t="n">
        <v>1.79</v>
      </c>
      <c r="G9" s="3" t="n">
        <v>59.719</v>
      </c>
      <c r="H9" s="3" t="n">
        <v>104.882</v>
      </c>
      <c r="I9" s="3" t="n">
        <v>0</v>
      </c>
      <c r="J9" s="3" t="n">
        <v>0.319</v>
      </c>
      <c r="K9" s="3" t="n">
        <v>-45.482</v>
      </c>
      <c r="L9" s="3" t="n">
        <v>-1.47</v>
      </c>
      <c r="M9" s="3" t="n">
        <v>12.604</v>
      </c>
      <c r="N9" t="inlineStr">
        <is>
          <t>WHS.NZ_Annual_FY2025.txt income statement / cash-flow statement (NZ$000 / 1000)</t>
        </is>
      </c>
    </row>
    <row r="11">
      <c r="A11" s="1" t="inlineStr">
        <is>
          <t>Balance sheet snapshot (1-Feb-2026, H1 FY2026 interim)</t>
        </is>
      </c>
      <c r="B11" t="inlineStr"/>
    </row>
    <row r="12">
      <c r="A12" s="4" t="inlineStr">
        <is>
          <t>Cash</t>
        </is>
      </c>
      <c r="B12" s="3" t="n">
        <v>43.264</v>
      </c>
    </row>
    <row r="13">
      <c r="A13" s="4" t="inlineStr">
        <is>
          <t>Borrowings (ex-lease)</t>
        </is>
      </c>
      <c r="B13" s="3" t="n">
        <v>136.57</v>
      </c>
    </row>
    <row r="14">
      <c r="A14" s="4" t="inlineStr">
        <is>
          <t>Net debt</t>
        </is>
      </c>
      <c r="B14" s="3" t="n">
        <v>93.306</v>
      </c>
    </row>
    <row r="15">
      <c r="A15" s="4" t="inlineStr">
        <is>
          <t>Lease liabilities (excluded from net debt, treatment B)</t>
        </is>
      </c>
      <c r="B15" s="3" t="n">
        <v>708.861</v>
      </c>
    </row>
    <row r="16">
      <c r="A16" s="4" t="inlineStr">
        <is>
          <t>Minority interest (book)</t>
        </is>
      </c>
      <c r="B16" s="3" t="n">
        <v>1.108</v>
      </c>
    </row>
    <row r="17">
      <c r="A17" s="4" t="inlineStr">
        <is>
          <t>Shares (m, net of treasury; basic = diluted)</t>
        </is>
      </c>
      <c r="B17" s="3" t="n">
        <v>345.354</v>
      </c>
    </row>
    <row r="18">
      <c r="A18" s="4" t="inlineStr">
        <is>
          <t>Buybacks FY2023-26</t>
        </is>
      </c>
      <c r="B18" s="3" t="n">
        <v>0</v>
      </c>
    </row>
    <row r="19">
      <c r="A19" s="4" t="inlineStr">
        <is>
          <t>Dividends</t>
        </is>
      </c>
      <c r="B19" t="inlineStr">
        <is>
          <t>None since FY2024 interim; policy &gt;=70% adjusted NPAT</t>
        </is>
      </c>
    </row>
    <row r="20">
      <c r="A20" s="4" t="inlineStr">
        <is>
          <t>H1 FY2026 lease-adj EBITDA</t>
        </is>
      </c>
      <c r="B20" s="3" t="n">
        <v>51.898</v>
      </c>
    </row>
    <row r="21">
      <c r="A21" s="4" t="inlineStr">
        <is>
          <t>H1 FY2025 lease-adj EBITDA</t>
        </is>
      </c>
      <c r="B21" s="3" t="n">
        <v>50.244</v>
      </c>
    </row>
    <row r="22">
      <c r="A22" s="4" t="inlineStr">
        <is>
          <t>TTM lease-adj EBITDA</t>
        </is>
      </c>
      <c r="B22" s="3" t="n">
        <v>56.965</v>
      </c>
    </row>
    <row r="23">
      <c r="A23" s="4" t="inlineStr">
        <is>
          <t>Carried-forward tax losses (DTA $34.0m at 28%)</t>
        </is>
      </c>
      <c r="B23" s="3" t="n">
        <v>121.4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  <col width="40" customWidth="1" min="3" max="3"/>
  </cols>
  <sheetData>
    <row r="1">
      <c r="A1" s="1" t="inlineStr">
        <is>
          <t>Global assumptions (blue = input)</t>
        </is>
      </c>
    </row>
    <row r="4">
      <c r="A4" t="inlineStr">
        <is>
          <t>WACC (all scenarios)</t>
        </is>
      </c>
      <c r="B4" s="5" t="n">
        <v>0.1</v>
      </c>
      <c r="C4" t="inlineStr">
        <is>
          <t>NZD-built; see Model_Info</t>
        </is>
      </c>
    </row>
    <row r="5">
      <c r="A5" t="inlineStr">
        <is>
          <t>Terminal cap multiple (x FCF_10)</t>
        </is>
      </c>
      <c r="B5" s="5" t="n">
        <v>12</v>
      </c>
      <c r="C5" t="inlineStr">
        <is>
          <t>12x: cyclical retailer</t>
        </is>
      </c>
    </row>
    <row r="6">
      <c r="A6" t="inlineStr">
        <is>
          <t>WC capture (share of revenue change)</t>
        </is>
      </c>
      <c r="B6" s="5" t="n">
        <v>-0.05</v>
      </c>
      <c r="C6" t="inlineStr">
        <is>
          <t>negative: growth consumes cash</t>
        </is>
      </c>
    </row>
    <row r="7">
      <c r="A7" t="inlineStr">
        <is>
          <t>Net debt (ex-lease), 1-Feb-2026</t>
        </is>
      </c>
      <c r="B7" s="5" t="n">
        <v>93.306</v>
      </c>
      <c r="C7" t="inlineStr">
        <is>
          <t>borrowings 136.570 - cash 43.264</t>
        </is>
      </c>
    </row>
    <row r="8">
      <c r="A8" t="inlineStr">
        <is>
          <t>Minority interest (book), 1-Feb-2026</t>
        </is>
      </c>
      <c r="B8" s="5" t="n">
        <v>1.108</v>
      </c>
      <c r="C8" t="inlineStr">
        <is>
          <t>deducted once in bridge</t>
        </is>
      </c>
    </row>
    <row r="9">
      <c r="A9" t="inlineStr">
        <is>
          <t>Diluted shares (m)</t>
        </is>
      </c>
      <c r="B9" s="5" t="n">
        <v>345.354</v>
      </c>
      <c r="C9" t="inlineStr">
        <is>
          <t>flat; SBC nil</t>
        </is>
      </c>
    </row>
    <row r="10">
      <c r="A10" t="inlineStr">
        <is>
          <t>Current price (NZD)</t>
        </is>
      </c>
      <c r="B10" s="5" t="n">
        <v>0.6</v>
      </c>
      <c r="C10" t="inlineStr">
        <is>
          <t>2026-09-21T04:15:20Z NZX regular close (Yahoo regularMarketTime via make dcf-context)</t>
        </is>
      </c>
    </row>
    <row r="11">
      <c r="A11" t="inlineStr">
        <is>
          <t>Lease cash bill FY2026E (principal + interest)</t>
        </is>
      </c>
      <c r="B11" s="5" t="n">
        <v>140</v>
      </c>
      <c r="C11" t="inlineStr">
        <is>
          <t>FY25 actual 141.729; H1 FY26 64.570</t>
        </is>
      </c>
    </row>
    <row r="12">
      <c r="A12" t="inlineStr">
        <is>
          <t>Lease bill escalator (p.a.)</t>
        </is>
      </c>
      <c r="B12" s="5" t="n">
        <v>0.02</v>
      </c>
      <c r="C12" t="inlineStr">
        <is>
          <t>CPI-linked rent, shrinking store count</t>
        </is>
      </c>
    </row>
    <row r="13">
      <c r="A13" t="inlineStr">
        <is>
          <t>Hurdle rate for entry price</t>
        </is>
      </c>
      <c r="B13" s="5" t="n">
        <v>0.15</v>
      </c>
      <c r="C13" t="inlineStr">
        <is>
          <t>TV rebuilt at this rate</t>
        </is>
      </c>
    </row>
    <row r="14">
      <c r="A14" t="inlineStr">
        <is>
          <t>Revenue FY2025A (base year)</t>
        </is>
      </c>
      <c r="B14" s="5" t="n">
        <v>3086.725</v>
      </c>
      <c r="C14" t="inlineStr">
        <is>
          <t>53 weeks to 3-Aug-2025</t>
        </is>
      </c>
    </row>
    <row r="16">
      <c r="A16" s="1" t="inlineStr">
        <is>
          <t>Scenario</t>
        </is>
      </c>
      <c r="B16" s="1" t="inlineStr">
        <is>
          <t>Terminal growth</t>
        </is>
      </c>
      <c r="C16" s="1" t="inlineStr">
        <is>
          <t>Probability</t>
        </is>
      </c>
    </row>
    <row r="17">
      <c r="A17" t="inlineStr">
        <is>
          <t>Bear</t>
        </is>
      </c>
      <c r="B17" s="5" t="n">
        <v>0.01</v>
      </c>
      <c r="C17" s="5" t="n">
        <v>0.3</v>
      </c>
    </row>
    <row r="18">
      <c r="A18" t="inlineStr">
        <is>
          <t>Base</t>
        </is>
      </c>
      <c r="B18" s="5" t="n">
        <v>0.02</v>
      </c>
      <c r="C18" s="5" t="n">
        <v>0.5</v>
      </c>
    </row>
    <row r="19">
      <c r="A19" t="inlineStr">
        <is>
          <t>Bull</t>
        </is>
      </c>
      <c r="B19" s="5" t="n">
        <v>0.025</v>
      </c>
      <c r="C19" s="5" t="n">
        <v>0.2</v>
      </c>
    </row>
    <row r="20">
      <c r="A20" t="inlineStr">
        <is>
          <t>Weights check (must be 1.0)</t>
        </is>
      </c>
      <c r="C20">
        <f>SUM(C17:C19)</f>
        <v/>
      </c>
    </row>
    <row r="22">
      <c r="A22" s="1" t="inlineStr">
        <is>
          <t>Scenario narratives</t>
        </is>
      </c>
    </row>
    <row r="23">
      <c r="A23" s="1" t="inlineStr">
        <is>
          <t>Bear</t>
        </is>
      </c>
      <c r="B23" s="2" t="inlineStr">
        <is>
          <t>NZ discretionary spending stays weak through FY2027 (fuel/freight shock from the Middle East conflict flagged as a subsequent event, weak consumer confidence), Kmart's store roll-out and Temu/Shein take general-merchandise share from The Warehouse, and Noel Leeming's margin stays ~1-2% under JB Hi-Fi/Harvey Norman pressure. Reported revenue falls 3% in FY26 (52 vs 53 weeks plus the Q3 run-rate), slips again in FY27, then grows ~1% nominal (negative real), the cost reset only offsets wage inflation, so the lease-adjusted EBITDA margin never recovers from ~2%. Capex still has to normalise to ~1.7% of sales to keep 217 stores trading, so owner FCF trends to ~zero: the terminal value hits the zero floor and equity is worth less than the $93m of bank debt -- i.e. the business is a going concern only because the banks keep amending the interest-cover covenant (already reset twice, to 6.5x/7.5x operating-profit-plus-depreciation for FY26/FY27).</t>
        </is>
      </c>
    </row>
    <row r="24">
      <c r="A24" s="1" t="inlineStr">
        <is>
          <t>Base</t>
        </is>
      </c>
      <c r="B24" s="2" t="inlineStr">
        <is>
          <t>Partial mid-cycle recovery, not a return to the FY2019-22 margins. The Nov-2025 cost reset (TCS co-sourcing of technology, accounting, call centres and payroll; $4.8m redundancy; SSO costs already -7.8% in FY25) lifts the lease-adjusted EBITDA margin from 1.8% to 3.2% by FY2031 -- guided savings are only ~$17m annualised by FY2031, so the rest comes from the gross-margin recovery already visible in Q3 FY26 (+50bps) and modest operating leverage; 3.2% is below the 4.0% eight-year median and well below the company's own impairment-test terminal EBIT margins of 3.2-4.0% -- with FY2026 reported revenue ~2% lower (52 weeks vs 53, Q3 sales -1.4%) then ~2% nominal growth (zero real: store count still shrinking, 84 Warehouse stores vs 88 two years ago). Capex normalises from $12.6m to 2% of revenue, the $121m of tax losses shelter cash tax until FY2029, and working capital consumes 5c per dollar of growth. Owner FCF settles at ~$30m (0.8% margin) -- roughly the cost of capital on a $300m ex-lease EV, so the equity value is a modest premium to net assets.</t>
        </is>
      </c>
    </row>
    <row r="25">
      <c r="A25" s="1" t="inlineStr">
        <is>
          <t>Bull</t>
        </is>
      </c>
      <c r="B25" s="2" t="inlineStr">
        <is>
          <t>The cost reset delivers in full and the consumer cycle turns: OCR cuts restore NZ discretionary spending in FY2027-28, The Warehouse's private-label/grocery mix and 1-hour click-and-collect hold share against Kmart and Temu, Noel Leeming's operating margin returns to ~3% and Warehouse Stationery holds ~7% (H1 FY26 already 7.0%). After the 52-week FY26 (-1.5%), revenue grows 3-3.5% for three years, the lease-adjusted EBITDA margin reaches 4.5% (post-IFRS-16 9.0%, still below FY2021-22's 9.3-10.1%), dividends resume under the 70% policy, and the market re-rates a $400m+ ex-lease EV. Requires several independent things to go right (macro, competition, execution), hence the 20% weight.</t>
        </is>
      </c>
    </row>
    <row r="27">
      <c r="A27" s="1" t="inlineStr">
        <is>
          <t>Weights rationale</t>
        </is>
      </c>
      <c r="B27" s="2" t="inlineStr">
        <is>
          <t>Bear raised from the 15% house default to 30%: interest-cover covenants have been amended twice (FY25 and again for FY26/FY27), FY2025 adjusted NPAT was a loss, no dividend is being paid, the balance sheet has $93m of bank debt against a business whose lease-adjusted EBITDA is $57m, and the two structural threats (Kmart roll-out, Temu/Shein) are independent of the cycle. Bull cut to 20% because it needs macro recovery, competitive share-hold AND cost-reset execution simultaneously. Base 50%.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DCF_Bear: owner-FCF build (NZD m), lease treatment B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C5" s="6" t="n">
        <v>-0.03</v>
      </c>
      <c r="D5" s="6" t="n">
        <v>-0.01</v>
      </c>
      <c r="E5" s="6" t="n">
        <v>0</v>
      </c>
      <c r="F5" s="6" t="n">
        <v>0.005</v>
      </c>
      <c r="G5" s="6" t="n">
        <v>0.01</v>
      </c>
      <c r="H5" s="6" t="n">
        <v>0.01</v>
      </c>
      <c r="I5" s="6" t="n">
        <v>0.01</v>
      </c>
      <c r="J5" s="6" t="n">
        <v>0.01</v>
      </c>
      <c r="K5" s="6" t="n">
        <v>0.01</v>
      </c>
      <c r="L5" s="6" t="n">
        <v>0.01</v>
      </c>
    </row>
    <row r="6">
      <c r="A6" t="inlineStr">
        <is>
          <t>Revenue</t>
        </is>
      </c>
      <c r="B6" s="7">
        <f>Assumptions!B14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margin, post-IFRS-16 (driver)</t>
        </is>
      </c>
      <c r="C7" s="6" t="n">
        <v>0.065</v>
      </c>
      <c r="D7" s="6" t="n">
        <v>0.065</v>
      </c>
      <c r="E7" s="6" t="n">
        <v>0.066</v>
      </c>
      <c r="F7" s="6" t="n">
        <v>0.067</v>
      </c>
      <c r="G7" s="6" t="n">
        <v>0.068</v>
      </c>
      <c r="H7" s="6" t="n">
        <v>0.068</v>
      </c>
      <c r="I7" s="6" t="n">
        <v>0.068</v>
      </c>
      <c r="J7" s="6" t="n">
        <v>0.068</v>
      </c>
      <c r="K7" s="6" t="n">
        <v>0.068</v>
      </c>
      <c r="L7" s="6" t="n">
        <v>0.068</v>
      </c>
    </row>
    <row r="8">
      <c r="A8" t="inlineStr">
        <is>
          <t>Adjusted EBITDA (post-IFRS-16)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cash: principal + interest (negative; link)</t>
        </is>
      </c>
      <c r="C11" s="7">
        <f>-Assumptions!B11</f>
        <v/>
      </c>
      <c r="D11" s="7">
        <f>C11*(1+Assumptions!B12)</f>
        <v/>
      </c>
      <c r="E11" s="7">
        <f>D11*(1+Assumptions!B12)</f>
        <v/>
      </c>
      <c r="F11" s="7">
        <f>E11*(1+Assumptions!B12)</f>
        <v/>
      </c>
      <c r="G11" s="7">
        <f>F11*(1+Assumptions!B12)</f>
        <v/>
      </c>
      <c r="H11" s="7">
        <f>G11*(1+Assumptions!B12)</f>
        <v/>
      </c>
      <c r="I11" s="7">
        <f>H11*(1+Assumptions!B12)</f>
        <v/>
      </c>
      <c r="J11" s="7">
        <f>I11*(1+Assumptions!B12)</f>
        <v/>
      </c>
      <c r="K11" s="7">
        <f>J11*(1+Assumptions!B12)</f>
        <v/>
      </c>
      <c r="L11" s="7">
        <f>K11*(1+Assumptions!B12)</f>
        <v/>
      </c>
    </row>
    <row r="12">
      <c r="A12" t="inlineStr">
        <is>
          <t>Owner EBITDA (lease-adjusted, SBC expensed)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% of revenue, ex-ROU (driver)</t>
        </is>
      </c>
      <c r="C13" s="6" t="n">
        <v>0.018</v>
      </c>
      <c r="D13" s="6" t="n">
        <v>0.017</v>
      </c>
      <c r="E13" s="6" t="n">
        <v>0.017</v>
      </c>
      <c r="F13" s="6" t="n">
        <v>0.017</v>
      </c>
      <c r="G13" s="6" t="n">
        <v>0.017</v>
      </c>
      <c r="H13" s="6" t="n">
        <v>0.017</v>
      </c>
      <c r="I13" s="6" t="n">
        <v>0.017</v>
      </c>
      <c r="J13" s="6" t="n">
        <v>0.017</v>
      </c>
      <c r="K13" s="6" t="n">
        <v>0.017</v>
      </c>
      <c r="L13" s="6" t="n">
        <v>0.017</v>
      </c>
    </row>
    <row r="14">
      <c r="A14" t="inlineStr">
        <is>
          <t>D&amp;A ex-ROU (negative)</t>
        </is>
      </c>
      <c r="C14">
        <f>-C6*C13</f>
        <v/>
      </c>
      <c r="D14">
        <f>-D6*D13</f>
        <v/>
      </c>
      <c r="E14">
        <f>-E6*E13</f>
        <v/>
      </c>
      <c r="F14">
        <f>-F6*F13</f>
        <v/>
      </c>
      <c r="G14">
        <f>-G6*G13</f>
        <v/>
      </c>
      <c r="H14">
        <f>-H6*H13</f>
        <v/>
      </c>
      <c r="I14">
        <f>-I6*I13</f>
        <v/>
      </c>
      <c r="J14">
        <f>-J6*J13</f>
        <v/>
      </c>
      <c r="K14">
        <f>-K6*K13</f>
        <v/>
      </c>
      <c r="L14">
        <f>-L6*L13</f>
        <v/>
      </c>
    </row>
    <row r="15">
      <c r="A15" t="inlineStr">
        <is>
          <t>EBIT (for cash tax)</t>
        </is>
      </c>
      <c r="C15">
        <f>C12+C14</f>
        <v/>
      </c>
      <c r="D15">
        <f>D12+D14</f>
        <v/>
      </c>
      <c r="E15">
        <f>E12+E14</f>
        <v/>
      </c>
      <c r="F15">
        <f>F12+F14</f>
        <v/>
      </c>
      <c r="G15">
        <f>G12+G14</f>
        <v/>
      </c>
      <c r="H15">
        <f>H12+H14</f>
        <v/>
      </c>
      <c r="I15">
        <f>I12+I14</f>
        <v/>
      </c>
      <c r="J15">
        <f>J12+J14</f>
        <v/>
      </c>
      <c r="K15">
        <f>K12+K14</f>
        <v/>
      </c>
      <c r="L15">
        <f>L12+L14</f>
        <v/>
      </c>
    </row>
    <row r="16">
      <c r="A16" t="inlineStr">
        <is>
          <t>Cash tax rate (driver)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0.05</v>
      </c>
      <c r="J16" s="6" t="n">
        <v>0.15</v>
      </c>
      <c r="K16" s="6" t="n">
        <v>0.28</v>
      </c>
      <c r="L16" s="6" t="n">
        <v>0.28</v>
      </c>
    </row>
    <row r="17">
      <c r="A17" t="inlineStr">
        <is>
          <t>Cash tax (negative; on MAX(0,EBIT))</t>
        </is>
      </c>
      <c r="C17">
        <f>-MAX(0,C15)*C16</f>
        <v/>
      </c>
      <c r="D17">
        <f>-MAX(0,D15)*D16</f>
        <v/>
      </c>
      <c r="E17">
        <f>-MAX(0,E15)*E16</f>
        <v/>
      </c>
      <c r="F17">
        <f>-MAX(0,F15)*F16</f>
        <v/>
      </c>
      <c r="G17">
        <f>-MAX(0,G15)*G16</f>
        <v/>
      </c>
      <c r="H17">
        <f>-MAX(0,H15)*H16</f>
        <v/>
      </c>
      <c r="I17">
        <f>-MAX(0,I15)*I16</f>
        <v/>
      </c>
      <c r="J17">
        <f>-MAX(0,J15)*J16</f>
        <v/>
      </c>
      <c r="K17">
        <f>-MAX(0,K15)*K16</f>
        <v/>
      </c>
      <c r="L17">
        <f>-MAX(0,L15)*L16</f>
        <v/>
      </c>
    </row>
    <row r="18">
      <c r="A18" t="inlineStr">
        <is>
          <t>NOPAT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of revenue (driver)</t>
        </is>
      </c>
      <c r="C20" s="6" t="n">
        <v>0.006999999999999999</v>
      </c>
      <c r="D20" s="6" t="n">
        <v>0.011</v>
      </c>
      <c r="E20" s="6" t="n">
        <v>0.014</v>
      </c>
      <c r="F20" s="6" t="n">
        <v>0.016</v>
      </c>
      <c r="G20" s="6" t="n">
        <v>0.017</v>
      </c>
      <c r="H20" s="6" t="n">
        <v>0.017</v>
      </c>
      <c r="I20" s="6" t="n">
        <v>0.017</v>
      </c>
      <c r="J20" s="6" t="n">
        <v>0.017</v>
      </c>
      <c r="K20" s="6" t="n">
        <v>0.017</v>
      </c>
      <c r="L20" s="6" t="n">
        <v>0.017</v>
      </c>
    </row>
    <row r="21">
      <c r="A21" t="inlineStr">
        <is>
          <t>less capex</t>
        </is>
      </c>
      <c r="C21">
        <f>-C6*C20</f>
        <v/>
      </c>
      <c r="D21">
        <f>-D6*D20</f>
        <v/>
      </c>
      <c r="E21">
        <f>-E6*E20</f>
        <v/>
      </c>
      <c r="F21">
        <f>-F6*F20</f>
        <v/>
      </c>
      <c r="G21">
        <f>-G6*G20</f>
        <v/>
      </c>
      <c r="H21">
        <f>-H6*H20</f>
        <v/>
      </c>
      <c r="I21">
        <f>-I6*I20</f>
        <v/>
      </c>
      <c r="J21">
        <f>-J6*J20</f>
        <v/>
      </c>
      <c r="K21">
        <f>-K6*K20</f>
        <v/>
      </c>
      <c r="L21">
        <f>-L6*L20</f>
        <v/>
      </c>
    </row>
    <row r="22">
      <c r="A22" t="inlineStr">
        <is>
          <t>add working capital (on revenue change)</t>
        </is>
      </c>
      <c r="C22" s="7">
        <f>Assumptions!$B$6*(C6-B6)</f>
        <v/>
      </c>
      <c r="D22" s="7">
        <f>Assumptions!$B$6*(D6-C6)</f>
        <v/>
      </c>
      <c r="E22" s="7">
        <f>Assumptions!$B$6*(E6-D6)</f>
        <v/>
      </c>
      <c r="F22" s="7">
        <f>Assumptions!$B$6*(F6-E6)</f>
        <v/>
      </c>
      <c r="G22" s="7">
        <f>Assumptions!$B$6*(G6-F6)</f>
        <v/>
      </c>
      <c r="H22" s="7">
        <f>Assumptions!$B$6*(H6-G6)</f>
        <v/>
      </c>
      <c r="I22" s="7">
        <f>Assumptions!$B$6*(I6-H6)</f>
        <v/>
      </c>
      <c r="J22" s="7">
        <f>Assumptions!$B$6*(J6-I6)</f>
        <v/>
      </c>
      <c r="K22" s="7">
        <f>Assumptions!$B$6*(K6-J6)</f>
        <v/>
      </c>
      <c r="L22" s="7">
        <f>Assumptions!$B$6*(L6-K6)</f>
        <v/>
      </c>
    </row>
    <row r="23">
      <c r="A23" s="1" t="inlineStr">
        <is>
          <t>Unlevered owner FCF</t>
        </is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7">
        <f>1/(1+Assumptions!$B$4)^C4</f>
        <v/>
      </c>
      <c r="D24" s="7">
        <f>1/(1+Assumptions!$B$4)^D4</f>
        <v/>
      </c>
      <c r="E24" s="7">
        <f>1/(1+Assumptions!$B$4)^E4</f>
        <v/>
      </c>
      <c r="F24" s="7">
        <f>1/(1+Assumptions!$B$4)^F4</f>
        <v/>
      </c>
      <c r="G24" s="7">
        <f>1/(1+Assumptions!$B$4)^G4</f>
        <v/>
      </c>
      <c r="H24" s="7">
        <f>1/(1+Assumptions!$B$4)^H4</f>
        <v/>
      </c>
      <c r="I24" s="7">
        <f>1/(1+Assumptions!$B$4)^I4</f>
        <v/>
      </c>
      <c r="J24" s="7">
        <f>1/(1+Assumptions!$B$4)^J4</f>
        <v/>
      </c>
      <c r="K24" s="7">
        <f>1/(1+Assumptions!$B$4)^K4</f>
        <v/>
      </c>
      <c r="L24" s="7">
        <f>1/(1+Assumptions!$B$4)^L4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 (company-style)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C28" s="8">
        <f>C23/C6</f>
        <v/>
      </c>
      <c r="D28" s="8">
        <f>D23/D6</f>
        <v/>
      </c>
      <c r="E28" s="8">
        <f>E23/E6</f>
        <v/>
      </c>
      <c r="F28" s="8">
        <f>F23/F6</f>
        <v/>
      </c>
      <c r="G28" s="8">
        <f>G23/G6</f>
        <v/>
      </c>
      <c r="H28" s="8">
        <f>H23/H6</f>
        <v/>
      </c>
      <c r="I28" s="8">
        <f>I23/I6</f>
        <v/>
      </c>
      <c r="J28" s="8">
        <f>J23/J6</f>
        <v/>
      </c>
      <c r="K28" s="8">
        <f>K23/K6</f>
        <v/>
      </c>
      <c r="L28" s="8">
        <f>L23/L6</f>
        <v/>
      </c>
    </row>
    <row r="29">
      <c r="A29" t="inlineStr">
        <is>
          <t>Memo: lease cash % of revenue</t>
        </is>
      </c>
      <c r="C29" s="8">
        <f>-C11/C6</f>
        <v/>
      </c>
      <c r="D29" s="8">
        <f>-D11/D6</f>
        <v/>
      </c>
      <c r="E29" s="8">
        <f>-E11/E6</f>
        <v/>
      </c>
      <c r="F29" s="8">
        <f>-F11/F6</f>
        <v/>
      </c>
      <c r="G29" s="8">
        <f>-G11/G6</f>
        <v/>
      </c>
      <c r="H29" s="8">
        <f>-H11/H6</f>
        <v/>
      </c>
      <c r="I29" s="8">
        <f>-I11/I6</f>
        <v/>
      </c>
      <c r="J29" s="8">
        <f>-J11/J6</f>
        <v/>
      </c>
      <c r="K29" s="8">
        <f>-K11/K6</f>
        <v/>
      </c>
      <c r="L29" s="8">
        <f>-L11/L6</f>
        <v/>
      </c>
    </row>
    <row r="31">
      <c r="A31" t="inlineStr">
        <is>
          <t>Sum of PV (explicit years)</t>
        </is>
      </c>
      <c r="B31">
        <f>SUM(C25:L25)</f>
        <v/>
      </c>
    </row>
    <row r="32">
      <c r="A32" t="inlineStr">
        <is>
          <t>Terminal growth</t>
        </is>
      </c>
      <c r="B32" s="9">
        <f>Assumptions!B17</f>
        <v/>
      </c>
    </row>
    <row r="33">
      <c r="A33" t="inlineStr">
        <is>
          <t>Terminal FCF (yr 10 x (1+g))</t>
        </is>
      </c>
      <c r="B33">
        <f>L23*(1+B32)</f>
        <v/>
      </c>
    </row>
    <row r="34">
      <c r="A34" t="inlineStr">
        <is>
          <t>Gordon TV</t>
        </is>
      </c>
      <c r="B34">
        <f>IF(Assumptions!B4&gt;B32,B33/(Assumptions!B4-B32),"n/a")</f>
        <v/>
      </c>
    </row>
    <row r="35">
      <c r="A35" t="inlineStr">
        <is>
          <t>Cap TV (cap x FCF_10)</t>
        </is>
      </c>
      <c r="B35">
        <f>Assumptions!B5*L23</f>
        <v/>
      </c>
    </row>
    <row r="36">
      <c r="A36" t="inlineStr">
        <is>
          <t>TV used = MAX(0, MIN(Gordon, cap))</t>
        </is>
      </c>
      <c r="B36">
        <f>MAX(0,MIN(IF(ISNUMBER(B34),B34,1E+99),B35))</f>
        <v/>
      </c>
    </row>
    <row r="37">
      <c r="A37" t="inlineStr">
        <is>
          <t>Implied exit multiple (TV / FCF_10)</t>
        </is>
      </c>
      <c r="B37">
        <f>IF(L23&gt;0,B36/L23,"n/a")</f>
        <v/>
      </c>
    </row>
    <row r="38">
      <c r="A38" t="inlineStr">
        <is>
          <t>PV of TV</t>
        </is>
      </c>
      <c r="B38">
        <f>B36*L24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</t>
        </is>
      </c>
      <c r="B40" s="7">
        <f>-Assumptions!B7</f>
        <v/>
      </c>
    </row>
    <row r="41">
      <c r="A41" t="inlineStr">
        <is>
          <t>less minority interest</t>
        </is>
      </c>
      <c r="B41" s="7">
        <f>-Assumptions!B8</f>
        <v/>
      </c>
    </row>
    <row r="42">
      <c r="A42" t="inlineStr">
        <is>
          <t>Equity value</t>
        </is>
      </c>
      <c r="B42">
        <f>B39+B40+B41</f>
        <v/>
      </c>
    </row>
    <row r="43">
      <c r="A43" t="inlineStr">
        <is>
          <t>Diluted shares (m)</t>
        </is>
      </c>
      <c r="B43" s="7">
        <f>Assumptions!B9</f>
        <v/>
      </c>
    </row>
    <row r="44">
      <c r="A44" s="1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11">
        <f>B44/Assumptions!B10-1</f>
        <v/>
      </c>
    </row>
    <row r="47">
      <c r="A47" t="inlineStr">
        <is>
          <t>Street memo: PV of explicit SBC</t>
        </is>
      </c>
      <c r="B47">
        <f>SUMPRODUCT(-C10:L10/(1+Assumptions!B4)^C4:L4)</f>
        <v/>
      </c>
    </row>
    <row r="48">
      <c r="A48" t="inlineStr">
        <is>
          <t>Street memo: PV of terminal SBC</t>
        </is>
      </c>
      <c r="B48">
        <f>IF(Assumptions!B4&gt;B32,-L10*(1+B32)/(Assumptions!B4-B32)*L24,0)</f>
        <v/>
      </c>
    </row>
    <row r="49">
      <c r="A49" t="inlineStr">
        <is>
          <t>Street value per share</t>
        </is>
      </c>
      <c r="B49" s="12">
        <f>(B42+B47+B48)/B43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DCF_Base: owner-FCF build (NZD m), lease treatment B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C5" s="6" t="n">
        <v>-0.02</v>
      </c>
      <c r="D5" s="6" t="n">
        <v>0.015</v>
      </c>
      <c r="E5" s="6" t="n">
        <v>0.02</v>
      </c>
      <c r="F5" s="6" t="n">
        <v>0.02</v>
      </c>
      <c r="G5" s="6" t="n">
        <v>0.02</v>
      </c>
      <c r="H5" s="6" t="n">
        <v>0.02</v>
      </c>
      <c r="I5" s="6" t="n">
        <v>0.02</v>
      </c>
      <c r="J5" s="6" t="n">
        <v>0.02</v>
      </c>
      <c r="K5" s="6" t="n">
        <v>0.02</v>
      </c>
      <c r="L5" s="6" t="n">
        <v>0.02</v>
      </c>
    </row>
    <row r="6">
      <c r="A6" t="inlineStr">
        <is>
          <t>Revenue</t>
        </is>
      </c>
      <c r="B6" s="7">
        <f>Assumptions!B14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margin, post-IFRS-16 (driver)</t>
        </is>
      </c>
      <c r="C7" s="6" t="n">
        <v>0.066</v>
      </c>
      <c r="D7" s="6" t="n">
        <v>0.06900000000000001</v>
      </c>
      <c r="E7" s="6" t="n">
        <v>0.07200000000000001</v>
      </c>
      <c r="F7" s="6" t="n">
        <v>0.075</v>
      </c>
      <c r="G7" s="6" t="n">
        <v>0.076</v>
      </c>
      <c r="H7" s="6" t="n">
        <v>0.077</v>
      </c>
      <c r="I7" s="6" t="n">
        <v>0.077</v>
      </c>
      <c r="J7" s="6" t="n">
        <v>0.077</v>
      </c>
      <c r="K7" s="6" t="n">
        <v>0.077</v>
      </c>
      <c r="L7" s="6" t="n">
        <v>0.077</v>
      </c>
    </row>
    <row r="8">
      <c r="A8" t="inlineStr">
        <is>
          <t>Adjusted EBITDA (post-IFRS-16)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cash: principal + interest (negative; link)</t>
        </is>
      </c>
      <c r="C11" s="7">
        <f>-Assumptions!B11</f>
        <v/>
      </c>
      <c r="D11" s="7">
        <f>C11*(1+Assumptions!B12)</f>
        <v/>
      </c>
      <c r="E11" s="7">
        <f>D11*(1+Assumptions!B12)</f>
        <v/>
      </c>
      <c r="F11" s="7">
        <f>E11*(1+Assumptions!B12)</f>
        <v/>
      </c>
      <c r="G11" s="7">
        <f>F11*(1+Assumptions!B12)</f>
        <v/>
      </c>
      <c r="H11" s="7">
        <f>G11*(1+Assumptions!B12)</f>
        <v/>
      </c>
      <c r="I11" s="7">
        <f>H11*(1+Assumptions!B12)</f>
        <v/>
      </c>
      <c r="J11" s="7">
        <f>I11*(1+Assumptions!B12)</f>
        <v/>
      </c>
      <c r="K11" s="7">
        <f>J11*(1+Assumptions!B12)</f>
        <v/>
      </c>
      <c r="L11" s="7">
        <f>K11*(1+Assumptions!B12)</f>
        <v/>
      </c>
    </row>
    <row r="12">
      <c r="A12" t="inlineStr">
        <is>
          <t>Owner EBITDA (lease-adjusted, SBC expensed)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% of revenue, ex-ROU (driver)</t>
        </is>
      </c>
      <c r="C13" s="6" t="n">
        <v>0.018</v>
      </c>
      <c r="D13" s="6" t="n">
        <v>0.017</v>
      </c>
      <c r="E13" s="6" t="n">
        <v>0.017</v>
      </c>
      <c r="F13" s="6" t="n">
        <v>0.018</v>
      </c>
      <c r="G13" s="6" t="n">
        <v>0.019</v>
      </c>
      <c r="H13" s="6" t="n">
        <v>0.02</v>
      </c>
      <c r="I13" s="6" t="n">
        <v>0.02</v>
      </c>
      <c r="J13" s="6" t="n">
        <v>0.02</v>
      </c>
      <c r="K13" s="6" t="n">
        <v>0.02</v>
      </c>
      <c r="L13" s="6" t="n">
        <v>0.02</v>
      </c>
    </row>
    <row r="14">
      <c r="A14" t="inlineStr">
        <is>
          <t>D&amp;A ex-ROU (negative)</t>
        </is>
      </c>
      <c r="C14">
        <f>-C6*C13</f>
        <v/>
      </c>
      <c r="D14">
        <f>-D6*D13</f>
        <v/>
      </c>
      <c r="E14">
        <f>-E6*E13</f>
        <v/>
      </c>
      <c r="F14">
        <f>-F6*F13</f>
        <v/>
      </c>
      <c r="G14">
        <f>-G6*G13</f>
        <v/>
      </c>
      <c r="H14">
        <f>-H6*H13</f>
        <v/>
      </c>
      <c r="I14">
        <f>-I6*I13</f>
        <v/>
      </c>
      <c r="J14">
        <f>-J6*J13</f>
        <v/>
      </c>
      <c r="K14">
        <f>-K6*K13</f>
        <v/>
      </c>
      <c r="L14">
        <f>-L6*L13</f>
        <v/>
      </c>
    </row>
    <row r="15">
      <c r="A15" t="inlineStr">
        <is>
          <t>EBIT (for cash tax)</t>
        </is>
      </c>
      <c r="C15">
        <f>C12+C14</f>
        <v/>
      </c>
      <c r="D15">
        <f>D12+D14</f>
        <v/>
      </c>
      <c r="E15">
        <f>E12+E14</f>
        <v/>
      </c>
      <c r="F15">
        <f>F12+F14</f>
        <v/>
      </c>
      <c r="G15">
        <f>G12+G14</f>
        <v/>
      </c>
      <c r="H15">
        <f>H12+H14</f>
        <v/>
      </c>
      <c r="I15">
        <f>I12+I14</f>
        <v/>
      </c>
      <c r="J15">
        <f>J12+J14</f>
        <v/>
      </c>
      <c r="K15">
        <f>K12+K14</f>
        <v/>
      </c>
      <c r="L15">
        <f>L12+L14</f>
        <v/>
      </c>
    </row>
    <row r="16">
      <c r="A16" t="inlineStr">
        <is>
          <t>Cash tax rate (driver)</t>
        </is>
      </c>
      <c r="C16" s="6" t="n">
        <v>0</v>
      </c>
      <c r="D16" s="6" t="n">
        <v>0</v>
      </c>
      <c r="E16" s="6" t="n">
        <v>0</v>
      </c>
      <c r="F16" s="6" t="n">
        <v>0.1</v>
      </c>
      <c r="G16" s="6" t="n">
        <v>0.28</v>
      </c>
      <c r="H16" s="6" t="n">
        <v>0.28</v>
      </c>
      <c r="I16" s="6" t="n">
        <v>0.28</v>
      </c>
      <c r="J16" s="6" t="n">
        <v>0.28</v>
      </c>
      <c r="K16" s="6" t="n">
        <v>0.28</v>
      </c>
      <c r="L16" s="6" t="n">
        <v>0.28</v>
      </c>
    </row>
    <row r="17">
      <c r="A17" t="inlineStr">
        <is>
          <t>Cash tax (negative; on MAX(0,EBIT))</t>
        </is>
      </c>
      <c r="C17">
        <f>-MAX(0,C15)*C16</f>
        <v/>
      </c>
      <c r="D17">
        <f>-MAX(0,D15)*D16</f>
        <v/>
      </c>
      <c r="E17">
        <f>-MAX(0,E15)*E16</f>
        <v/>
      </c>
      <c r="F17">
        <f>-MAX(0,F15)*F16</f>
        <v/>
      </c>
      <c r="G17">
        <f>-MAX(0,G15)*G16</f>
        <v/>
      </c>
      <c r="H17">
        <f>-MAX(0,H15)*H16</f>
        <v/>
      </c>
      <c r="I17">
        <f>-MAX(0,I15)*I16</f>
        <v/>
      </c>
      <c r="J17">
        <f>-MAX(0,J15)*J16</f>
        <v/>
      </c>
      <c r="K17">
        <f>-MAX(0,K15)*K16</f>
        <v/>
      </c>
      <c r="L17">
        <f>-MAX(0,L15)*L16</f>
        <v/>
      </c>
    </row>
    <row r="18">
      <c r="A18" t="inlineStr">
        <is>
          <t>NOPAT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of revenue (driver)</t>
        </is>
      </c>
      <c r="C20" s="6" t="n">
        <v>0.006999999999999999</v>
      </c>
      <c r="D20" s="6" t="n">
        <v>0.012</v>
      </c>
      <c r="E20" s="6" t="n">
        <v>0.016</v>
      </c>
      <c r="F20" s="6" t="n">
        <v>0.019</v>
      </c>
      <c r="G20" s="6" t="n">
        <v>0.02</v>
      </c>
      <c r="H20" s="6" t="n">
        <v>0.02</v>
      </c>
      <c r="I20" s="6" t="n">
        <v>0.02</v>
      </c>
      <c r="J20" s="6" t="n">
        <v>0.02</v>
      </c>
      <c r="K20" s="6" t="n">
        <v>0.02</v>
      </c>
      <c r="L20" s="6" t="n">
        <v>0.02</v>
      </c>
    </row>
    <row r="21">
      <c r="A21" t="inlineStr">
        <is>
          <t>less capex</t>
        </is>
      </c>
      <c r="C21">
        <f>-C6*C20</f>
        <v/>
      </c>
      <c r="D21">
        <f>-D6*D20</f>
        <v/>
      </c>
      <c r="E21">
        <f>-E6*E20</f>
        <v/>
      </c>
      <c r="F21">
        <f>-F6*F20</f>
        <v/>
      </c>
      <c r="G21">
        <f>-G6*G20</f>
        <v/>
      </c>
      <c r="H21">
        <f>-H6*H20</f>
        <v/>
      </c>
      <c r="I21">
        <f>-I6*I20</f>
        <v/>
      </c>
      <c r="J21">
        <f>-J6*J20</f>
        <v/>
      </c>
      <c r="K21">
        <f>-K6*K20</f>
        <v/>
      </c>
      <c r="L21">
        <f>-L6*L20</f>
        <v/>
      </c>
    </row>
    <row r="22">
      <c r="A22" t="inlineStr">
        <is>
          <t>add working capital (on revenue change)</t>
        </is>
      </c>
      <c r="C22" s="7">
        <f>Assumptions!$B$6*(C6-B6)</f>
        <v/>
      </c>
      <c r="D22" s="7">
        <f>Assumptions!$B$6*(D6-C6)</f>
        <v/>
      </c>
      <c r="E22" s="7">
        <f>Assumptions!$B$6*(E6-D6)</f>
        <v/>
      </c>
      <c r="F22" s="7">
        <f>Assumptions!$B$6*(F6-E6)</f>
        <v/>
      </c>
      <c r="G22" s="7">
        <f>Assumptions!$B$6*(G6-F6)</f>
        <v/>
      </c>
      <c r="H22" s="7">
        <f>Assumptions!$B$6*(H6-G6)</f>
        <v/>
      </c>
      <c r="I22" s="7">
        <f>Assumptions!$B$6*(I6-H6)</f>
        <v/>
      </c>
      <c r="J22" s="7">
        <f>Assumptions!$B$6*(J6-I6)</f>
        <v/>
      </c>
      <c r="K22" s="7">
        <f>Assumptions!$B$6*(K6-J6)</f>
        <v/>
      </c>
      <c r="L22" s="7">
        <f>Assumptions!$B$6*(L6-K6)</f>
        <v/>
      </c>
    </row>
    <row r="23">
      <c r="A23" s="1" t="inlineStr">
        <is>
          <t>Unlevered owner FCF</t>
        </is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7">
        <f>1/(1+Assumptions!$B$4)^C4</f>
        <v/>
      </c>
      <c r="D24" s="7">
        <f>1/(1+Assumptions!$B$4)^D4</f>
        <v/>
      </c>
      <c r="E24" s="7">
        <f>1/(1+Assumptions!$B$4)^E4</f>
        <v/>
      </c>
      <c r="F24" s="7">
        <f>1/(1+Assumptions!$B$4)^F4</f>
        <v/>
      </c>
      <c r="G24" s="7">
        <f>1/(1+Assumptions!$B$4)^G4</f>
        <v/>
      </c>
      <c r="H24" s="7">
        <f>1/(1+Assumptions!$B$4)^H4</f>
        <v/>
      </c>
      <c r="I24" s="7">
        <f>1/(1+Assumptions!$B$4)^I4</f>
        <v/>
      </c>
      <c r="J24" s="7">
        <f>1/(1+Assumptions!$B$4)^J4</f>
        <v/>
      </c>
      <c r="K24" s="7">
        <f>1/(1+Assumptions!$B$4)^K4</f>
        <v/>
      </c>
      <c r="L24" s="7">
        <f>1/(1+Assumptions!$B$4)^L4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 (company-style)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C28" s="8">
        <f>C23/C6</f>
        <v/>
      </c>
      <c r="D28" s="8">
        <f>D23/D6</f>
        <v/>
      </c>
      <c r="E28" s="8">
        <f>E23/E6</f>
        <v/>
      </c>
      <c r="F28" s="8">
        <f>F23/F6</f>
        <v/>
      </c>
      <c r="G28" s="8">
        <f>G23/G6</f>
        <v/>
      </c>
      <c r="H28" s="8">
        <f>H23/H6</f>
        <v/>
      </c>
      <c r="I28" s="8">
        <f>I23/I6</f>
        <v/>
      </c>
      <c r="J28" s="8">
        <f>J23/J6</f>
        <v/>
      </c>
      <c r="K28" s="8">
        <f>K23/K6</f>
        <v/>
      </c>
      <c r="L28" s="8">
        <f>L23/L6</f>
        <v/>
      </c>
    </row>
    <row r="29">
      <c r="A29" t="inlineStr">
        <is>
          <t>Memo: lease cash % of revenue</t>
        </is>
      </c>
      <c r="C29" s="8">
        <f>-C11/C6</f>
        <v/>
      </c>
      <c r="D29" s="8">
        <f>-D11/D6</f>
        <v/>
      </c>
      <c r="E29" s="8">
        <f>-E11/E6</f>
        <v/>
      </c>
      <c r="F29" s="8">
        <f>-F11/F6</f>
        <v/>
      </c>
      <c r="G29" s="8">
        <f>-G11/G6</f>
        <v/>
      </c>
      <c r="H29" s="8">
        <f>-H11/H6</f>
        <v/>
      </c>
      <c r="I29" s="8">
        <f>-I11/I6</f>
        <v/>
      </c>
      <c r="J29" s="8">
        <f>-J11/J6</f>
        <v/>
      </c>
      <c r="K29" s="8">
        <f>-K11/K6</f>
        <v/>
      </c>
      <c r="L29" s="8">
        <f>-L11/L6</f>
        <v/>
      </c>
    </row>
    <row r="31">
      <c r="A31" t="inlineStr">
        <is>
          <t>Sum of PV (explicit years)</t>
        </is>
      </c>
      <c r="B31">
        <f>SUM(C25:L25)</f>
        <v/>
      </c>
    </row>
    <row r="32">
      <c r="A32" t="inlineStr">
        <is>
          <t>Terminal growth</t>
        </is>
      </c>
      <c r="B32" s="9">
        <f>Assumptions!B18</f>
        <v/>
      </c>
    </row>
    <row r="33">
      <c r="A33" t="inlineStr">
        <is>
          <t>Terminal FCF (yr 10 x (1+g))</t>
        </is>
      </c>
      <c r="B33">
        <f>L23*(1+B32)</f>
        <v/>
      </c>
    </row>
    <row r="34">
      <c r="A34" t="inlineStr">
        <is>
          <t>Gordon TV</t>
        </is>
      </c>
      <c r="B34">
        <f>IF(Assumptions!B4&gt;B32,B33/(Assumptions!B4-B32),"n/a")</f>
        <v/>
      </c>
    </row>
    <row r="35">
      <c r="A35" t="inlineStr">
        <is>
          <t>Cap TV (cap x FCF_10)</t>
        </is>
      </c>
      <c r="B35">
        <f>Assumptions!B5*L23</f>
        <v/>
      </c>
    </row>
    <row r="36">
      <c r="A36" t="inlineStr">
        <is>
          <t>TV used = MAX(0, MIN(Gordon, cap))</t>
        </is>
      </c>
      <c r="B36">
        <f>MAX(0,MIN(IF(ISNUMBER(B34),B34,1E+99),B35))</f>
        <v/>
      </c>
    </row>
    <row r="37">
      <c r="A37" t="inlineStr">
        <is>
          <t>Implied exit multiple (TV / FCF_10)</t>
        </is>
      </c>
      <c r="B37">
        <f>IF(L23&gt;0,B36/L23,"n/a")</f>
        <v/>
      </c>
    </row>
    <row r="38">
      <c r="A38" t="inlineStr">
        <is>
          <t>PV of TV</t>
        </is>
      </c>
      <c r="B38">
        <f>B36*L24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</t>
        </is>
      </c>
      <c r="B40" s="7">
        <f>-Assumptions!B7</f>
        <v/>
      </c>
    </row>
    <row r="41">
      <c r="A41" t="inlineStr">
        <is>
          <t>less minority interest</t>
        </is>
      </c>
      <c r="B41" s="7">
        <f>-Assumptions!B8</f>
        <v/>
      </c>
    </row>
    <row r="42">
      <c r="A42" t="inlineStr">
        <is>
          <t>Equity value</t>
        </is>
      </c>
      <c r="B42">
        <f>B39+B40+B41</f>
        <v/>
      </c>
    </row>
    <row r="43">
      <c r="A43" t="inlineStr">
        <is>
          <t>Diluted shares (m)</t>
        </is>
      </c>
      <c r="B43" s="7">
        <f>Assumptions!B9</f>
        <v/>
      </c>
    </row>
    <row r="44">
      <c r="A44" s="1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11">
        <f>B44/Assumptions!B10-1</f>
        <v/>
      </c>
    </row>
    <row r="47">
      <c r="A47" t="inlineStr">
        <is>
          <t>Street memo: PV of explicit SBC</t>
        </is>
      </c>
      <c r="B47">
        <f>SUMPRODUCT(-C10:L10/(1+Assumptions!B4)^C4:L4)</f>
        <v/>
      </c>
    </row>
    <row r="48">
      <c r="A48" t="inlineStr">
        <is>
          <t>Street memo: PV of terminal SBC</t>
        </is>
      </c>
      <c r="B48">
        <f>IF(Assumptions!B4&gt;B32,-L10*(1+B32)/(Assumptions!B4-B32)*L24,0)</f>
        <v/>
      </c>
    </row>
    <row r="49">
      <c r="A49" t="inlineStr">
        <is>
          <t>Street value per share</t>
        </is>
      </c>
      <c r="B49" s="12">
        <f>(B42+B47+B48)/B43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DCF_Bull: owner-FCF build (NZD m), lease treatment B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 (driver)</t>
        </is>
      </c>
      <c r="C5" s="6" t="n">
        <v>-0.015</v>
      </c>
      <c r="D5" s="6" t="n">
        <v>0.03</v>
      </c>
      <c r="E5" s="6" t="n">
        <v>0.035</v>
      </c>
      <c r="F5" s="6" t="n">
        <v>0.035</v>
      </c>
      <c r="G5" s="6" t="n">
        <v>0.03</v>
      </c>
      <c r="H5" s="6" t="n">
        <v>0.03</v>
      </c>
      <c r="I5" s="6" t="n">
        <v>0.025</v>
      </c>
      <c r="J5" s="6" t="n">
        <v>0.025</v>
      </c>
      <c r="K5" s="6" t="n">
        <v>0.025</v>
      </c>
      <c r="L5" s="6" t="n">
        <v>0.025</v>
      </c>
    </row>
    <row r="6">
      <c r="A6" t="inlineStr">
        <is>
          <t>Revenue</t>
        </is>
      </c>
      <c r="B6" s="7">
        <f>Assumptions!B14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margin, post-IFRS-16 (driver)</t>
        </is>
      </c>
      <c r="C7" s="6" t="n">
        <v>0.068</v>
      </c>
      <c r="D7" s="6" t="n">
        <v>0.076</v>
      </c>
      <c r="E7" s="6" t="n">
        <v>0.083</v>
      </c>
      <c r="F7" s="6" t="n">
        <v>0.08800000000000001</v>
      </c>
      <c r="G7" s="6" t="n">
        <v>0.09</v>
      </c>
      <c r="H7" s="6" t="n">
        <v>0.09</v>
      </c>
      <c r="I7" s="6" t="n">
        <v>0.09</v>
      </c>
      <c r="J7" s="6" t="n">
        <v>0.09</v>
      </c>
      <c r="K7" s="6" t="n">
        <v>0.09</v>
      </c>
      <c r="L7" s="6" t="n">
        <v>0.09</v>
      </c>
    </row>
    <row r="8">
      <c r="A8" t="inlineStr">
        <is>
          <t>Adjusted EBITDA (post-IFRS-16)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 (driver)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Lease cash: principal + interest (negative; link)</t>
        </is>
      </c>
      <c r="C11" s="7">
        <f>-Assumptions!B11</f>
        <v/>
      </c>
      <c r="D11" s="7">
        <f>C11*(1+Assumptions!B12)</f>
        <v/>
      </c>
      <c r="E11" s="7">
        <f>D11*(1+Assumptions!B12)</f>
        <v/>
      </c>
      <c r="F11" s="7">
        <f>E11*(1+Assumptions!B12)</f>
        <v/>
      </c>
      <c r="G11" s="7">
        <f>F11*(1+Assumptions!B12)</f>
        <v/>
      </c>
      <c r="H11" s="7">
        <f>G11*(1+Assumptions!B12)</f>
        <v/>
      </c>
      <c r="I11" s="7">
        <f>H11*(1+Assumptions!B12)</f>
        <v/>
      </c>
      <c r="J11" s="7">
        <f>I11*(1+Assumptions!B12)</f>
        <v/>
      </c>
      <c r="K11" s="7">
        <f>J11*(1+Assumptions!B12)</f>
        <v/>
      </c>
      <c r="L11" s="7">
        <f>K11*(1+Assumptions!B12)</f>
        <v/>
      </c>
    </row>
    <row r="12">
      <c r="A12" t="inlineStr">
        <is>
          <t>Owner EBITDA (lease-adjusted, SBC expensed)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D&amp;A % of revenue, ex-ROU (driver)</t>
        </is>
      </c>
      <c r="C13" s="6" t="n">
        <v>0.018</v>
      </c>
      <c r="D13" s="6" t="n">
        <v>0.017</v>
      </c>
      <c r="E13" s="6" t="n">
        <v>0.018</v>
      </c>
      <c r="F13" s="6" t="n">
        <v>0.019</v>
      </c>
      <c r="G13" s="6" t="n">
        <v>0.02</v>
      </c>
      <c r="H13" s="6" t="n">
        <v>0.02</v>
      </c>
      <c r="I13" s="6" t="n">
        <v>0.02</v>
      </c>
      <c r="J13" s="6" t="n">
        <v>0.02</v>
      </c>
      <c r="K13" s="6" t="n">
        <v>0.02</v>
      </c>
      <c r="L13" s="6" t="n">
        <v>0.02</v>
      </c>
    </row>
    <row r="14">
      <c r="A14" t="inlineStr">
        <is>
          <t>D&amp;A ex-ROU (negative)</t>
        </is>
      </c>
      <c r="C14">
        <f>-C6*C13</f>
        <v/>
      </c>
      <c r="D14">
        <f>-D6*D13</f>
        <v/>
      </c>
      <c r="E14">
        <f>-E6*E13</f>
        <v/>
      </c>
      <c r="F14">
        <f>-F6*F13</f>
        <v/>
      </c>
      <c r="G14">
        <f>-G6*G13</f>
        <v/>
      </c>
      <c r="H14">
        <f>-H6*H13</f>
        <v/>
      </c>
      <c r="I14">
        <f>-I6*I13</f>
        <v/>
      </c>
      <c r="J14">
        <f>-J6*J13</f>
        <v/>
      </c>
      <c r="K14">
        <f>-K6*K13</f>
        <v/>
      </c>
      <c r="L14">
        <f>-L6*L13</f>
        <v/>
      </c>
    </row>
    <row r="15">
      <c r="A15" t="inlineStr">
        <is>
          <t>EBIT (for cash tax)</t>
        </is>
      </c>
      <c r="C15">
        <f>C12+C14</f>
        <v/>
      </c>
      <c r="D15">
        <f>D12+D14</f>
        <v/>
      </c>
      <c r="E15">
        <f>E12+E14</f>
        <v/>
      </c>
      <c r="F15">
        <f>F12+F14</f>
        <v/>
      </c>
      <c r="G15">
        <f>G12+G14</f>
        <v/>
      </c>
      <c r="H15">
        <f>H12+H14</f>
        <v/>
      </c>
      <c r="I15">
        <f>I12+I14</f>
        <v/>
      </c>
      <c r="J15">
        <f>J12+J14</f>
        <v/>
      </c>
      <c r="K15">
        <f>K12+K14</f>
        <v/>
      </c>
      <c r="L15">
        <f>L12+L14</f>
        <v/>
      </c>
    </row>
    <row r="16">
      <c r="A16" t="inlineStr">
        <is>
          <t>Cash tax rate (driver)</t>
        </is>
      </c>
      <c r="C16" s="6" t="n">
        <v>0</v>
      </c>
      <c r="D16" s="6" t="n">
        <v>0.05</v>
      </c>
      <c r="E16" s="6" t="n">
        <v>0.2</v>
      </c>
      <c r="F16" s="6" t="n">
        <v>0.28</v>
      </c>
      <c r="G16" s="6" t="n">
        <v>0.28</v>
      </c>
      <c r="H16" s="6" t="n">
        <v>0.28</v>
      </c>
      <c r="I16" s="6" t="n">
        <v>0.28</v>
      </c>
      <c r="J16" s="6" t="n">
        <v>0.28</v>
      </c>
      <c r="K16" s="6" t="n">
        <v>0.28</v>
      </c>
      <c r="L16" s="6" t="n">
        <v>0.28</v>
      </c>
    </row>
    <row r="17">
      <c r="A17" t="inlineStr">
        <is>
          <t>Cash tax (negative; on MAX(0,EBIT))</t>
        </is>
      </c>
      <c r="C17">
        <f>-MAX(0,C15)*C16</f>
        <v/>
      </c>
      <c r="D17">
        <f>-MAX(0,D15)*D16</f>
        <v/>
      </c>
      <c r="E17">
        <f>-MAX(0,E15)*E16</f>
        <v/>
      </c>
      <c r="F17">
        <f>-MAX(0,F15)*F16</f>
        <v/>
      </c>
      <c r="G17">
        <f>-MAX(0,G15)*G16</f>
        <v/>
      </c>
      <c r="H17">
        <f>-MAX(0,H15)*H16</f>
        <v/>
      </c>
      <c r="I17">
        <f>-MAX(0,I15)*I16</f>
        <v/>
      </c>
      <c r="J17">
        <f>-MAX(0,J15)*J16</f>
        <v/>
      </c>
      <c r="K17">
        <f>-MAX(0,K15)*K16</f>
        <v/>
      </c>
      <c r="L17">
        <f>-MAX(0,L15)*L16</f>
        <v/>
      </c>
    </row>
    <row r="18">
      <c r="A18" t="inlineStr">
        <is>
          <t>NOPAT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of revenue (driver)</t>
        </is>
      </c>
      <c r="C20" s="6" t="n">
        <v>0.006999999999999999</v>
      </c>
      <c r="D20" s="6" t="n">
        <v>0.013</v>
      </c>
      <c r="E20" s="6" t="n">
        <v>0.018</v>
      </c>
      <c r="F20" s="6" t="n">
        <v>0.02</v>
      </c>
      <c r="G20" s="6" t="n">
        <v>0.02</v>
      </c>
      <c r="H20" s="6" t="n">
        <v>0.02</v>
      </c>
      <c r="I20" s="6" t="n">
        <v>0.02</v>
      </c>
      <c r="J20" s="6" t="n">
        <v>0.02</v>
      </c>
      <c r="K20" s="6" t="n">
        <v>0.02</v>
      </c>
      <c r="L20" s="6" t="n">
        <v>0.02</v>
      </c>
    </row>
    <row r="21">
      <c r="A21" t="inlineStr">
        <is>
          <t>less capex</t>
        </is>
      </c>
      <c r="C21">
        <f>-C6*C20</f>
        <v/>
      </c>
      <c r="D21">
        <f>-D6*D20</f>
        <v/>
      </c>
      <c r="E21">
        <f>-E6*E20</f>
        <v/>
      </c>
      <c r="F21">
        <f>-F6*F20</f>
        <v/>
      </c>
      <c r="G21">
        <f>-G6*G20</f>
        <v/>
      </c>
      <c r="H21">
        <f>-H6*H20</f>
        <v/>
      </c>
      <c r="I21">
        <f>-I6*I20</f>
        <v/>
      </c>
      <c r="J21">
        <f>-J6*J20</f>
        <v/>
      </c>
      <c r="K21">
        <f>-K6*K20</f>
        <v/>
      </c>
      <c r="L21">
        <f>-L6*L20</f>
        <v/>
      </c>
    </row>
    <row r="22">
      <c r="A22" t="inlineStr">
        <is>
          <t>add working capital (on revenue change)</t>
        </is>
      </c>
      <c r="C22" s="7">
        <f>Assumptions!$B$6*(C6-B6)</f>
        <v/>
      </c>
      <c r="D22" s="7">
        <f>Assumptions!$B$6*(D6-C6)</f>
        <v/>
      </c>
      <c r="E22" s="7">
        <f>Assumptions!$B$6*(E6-D6)</f>
        <v/>
      </c>
      <c r="F22" s="7">
        <f>Assumptions!$B$6*(F6-E6)</f>
        <v/>
      </c>
      <c r="G22" s="7">
        <f>Assumptions!$B$6*(G6-F6)</f>
        <v/>
      </c>
      <c r="H22" s="7">
        <f>Assumptions!$B$6*(H6-G6)</f>
        <v/>
      </c>
      <c r="I22" s="7">
        <f>Assumptions!$B$6*(I6-H6)</f>
        <v/>
      </c>
      <c r="J22" s="7">
        <f>Assumptions!$B$6*(J6-I6)</f>
        <v/>
      </c>
      <c r="K22" s="7">
        <f>Assumptions!$B$6*(K6-J6)</f>
        <v/>
      </c>
      <c r="L22" s="7">
        <f>Assumptions!$B$6*(L6-K6)</f>
        <v/>
      </c>
    </row>
    <row r="23">
      <c r="A23" s="1" t="inlineStr">
        <is>
          <t>Unlevered owner FCF</t>
        </is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7">
        <f>1/(1+Assumptions!$B$4)^C4</f>
        <v/>
      </c>
      <c r="D24" s="7">
        <f>1/(1+Assumptions!$B$4)^D4</f>
        <v/>
      </c>
      <c r="E24" s="7">
        <f>1/(1+Assumptions!$B$4)^E4</f>
        <v/>
      </c>
      <c r="F24" s="7">
        <f>1/(1+Assumptions!$B$4)^F4</f>
        <v/>
      </c>
      <c r="G24" s="7">
        <f>1/(1+Assumptions!$B$4)^G4</f>
        <v/>
      </c>
      <c r="H24" s="7">
        <f>1/(1+Assumptions!$B$4)^H4</f>
        <v/>
      </c>
      <c r="I24" s="7">
        <f>1/(1+Assumptions!$B$4)^I4</f>
        <v/>
      </c>
      <c r="J24" s="7">
        <f>1/(1+Assumptions!$B$4)^J4</f>
        <v/>
      </c>
      <c r="K24" s="7">
        <f>1/(1+Assumptions!$B$4)^K4</f>
        <v/>
      </c>
      <c r="L24" s="7">
        <f>1/(1+Assumptions!$B$4)^L4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 (company-style)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C28" s="8">
        <f>C23/C6</f>
        <v/>
      </c>
      <c r="D28" s="8">
        <f>D23/D6</f>
        <v/>
      </c>
      <c r="E28" s="8">
        <f>E23/E6</f>
        <v/>
      </c>
      <c r="F28" s="8">
        <f>F23/F6</f>
        <v/>
      </c>
      <c r="G28" s="8">
        <f>G23/G6</f>
        <v/>
      </c>
      <c r="H28" s="8">
        <f>H23/H6</f>
        <v/>
      </c>
      <c r="I28" s="8">
        <f>I23/I6</f>
        <v/>
      </c>
      <c r="J28" s="8">
        <f>J23/J6</f>
        <v/>
      </c>
      <c r="K28" s="8">
        <f>K23/K6</f>
        <v/>
      </c>
      <c r="L28" s="8">
        <f>L23/L6</f>
        <v/>
      </c>
    </row>
    <row r="29">
      <c r="A29" t="inlineStr">
        <is>
          <t>Memo: lease cash % of revenue</t>
        </is>
      </c>
      <c r="C29" s="8">
        <f>-C11/C6</f>
        <v/>
      </c>
      <c r="D29" s="8">
        <f>-D11/D6</f>
        <v/>
      </c>
      <c r="E29" s="8">
        <f>-E11/E6</f>
        <v/>
      </c>
      <c r="F29" s="8">
        <f>-F11/F6</f>
        <v/>
      </c>
      <c r="G29" s="8">
        <f>-G11/G6</f>
        <v/>
      </c>
      <c r="H29" s="8">
        <f>-H11/H6</f>
        <v/>
      </c>
      <c r="I29" s="8">
        <f>-I11/I6</f>
        <v/>
      </c>
      <c r="J29" s="8">
        <f>-J11/J6</f>
        <v/>
      </c>
      <c r="K29" s="8">
        <f>-K11/K6</f>
        <v/>
      </c>
      <c r="L29" s="8">
        <f>-L11/L6</f>
        <v/>
      </c>
    </row>
    <row r="31">
      <c r="A31" t="inlineStr">
        <is>
          <t>Sum of PV (explicit years)</t>
        </is>
      </c>
      <c r="B31">
        <f>SUM(C25:L25)</f>
        <v/>
      </c>
    </row>
    <row r="32">
      <c r="A32" t="inlineStr">
        <is>
          <t>Terminal growth</t>
        </is>
      </c>
      <c r="B32" s="9">
        <f>Assumptions!B19</f>
        <v/>
      </c>
    </row>
    <row r="33">
      <c r="A33" t="inlineStr">
        <is>
          <t>Terminal FCF (yr 10 x (1+g))</t>
        </is>
      </c>
      <c r="B33">
        <f>L23*(1+B32)</f>
        <v/>
      </c>
    </row>
    <row r="34">
      <c r="A34" t="inlineStr">
        <is>
          <t>Gordon TV</t>
        </is>
      </c>
      <c r="B34">
        <f>IF(Assumptions!B4&gt;B32,B33/(Assumptions!B4-B32),"n/a")</f>
        <v/>
      </c>
    </row>
    <row r="35">
      <c r="A35" t="inlineStr">
        <is>
          <t>Cap TV (cap x FCF_10)</t>
        </is>
      </c>
      <c r="B35">
        <f>Assumptions!B5*L23</f>
        <v/>
      </c>
    </row>
    <row r="36">
      <c r="A36" t="inlineStr">
        <is>
          <t>TV used = MAX(0, MIN(Gordon, cap))</t>
        </is>
      </c>
      <c r="B36">
        <f>MAX(0,MIN(IF(ISNUMBER(B34),B34,1E+99),B35))</f>
        <v/>
      </c>
    </row>
    <row r="37">
      <c r="A37" t="inlineStr">
        <is>
          <t>Implied exit multiple (TV / FCF_10)</t>
        </is>
      </c>
      <c r="B37">
        <f>IF(L23&gt;0,B36/L23,"n/a")</f>
        <v/>
      </c>
    </row>
    <row r="38">
      <c r="A38" t="inlineStr">
        <is>
          <t>PV of TV</t>
        </is>
      </c>
      <c r="B38">
        <f>B36*L24</f>
        <v/>
      </c>
    </row>
    <row r="39">
      <c r="A39" t="inlineStr">
        <is>
          <t>Enterprise value</t>
        </is>
      </c>
      <c r="B39">
        <f>B31+B38</f>
        <v/>
      </c>
    </row>
    <row r="40">
      <c r="A40" t="inlineStr">
        <is>
          <t>less net debt</t>
        </is>
      </c>
      <c r="B40" s="7">
        <f>-Assumptions!B7</f>
        <v/>
      </c>
    </row>
    <row r="41">
      <c r="A41" t="inlineStr">
        <is>
          <t>less minority interest</t>
        </is>
      </c>
      <c r="B41" s="7">
        <f>-Assumptions!B8</f>
        <v/>
      </c>
    </row>
    <row r="42">
      <c r="A42" t="inlineStr">
        <is>
          <t>Equity value</t>
        </is>
      </c>
      <c r="B42">
        <f>B39+B40+B41</f>
        <v/>
      </c>
    </row>
    <row r="43">
      <c r="A43" t="inlineStr">
        <is>
          <t>Diluted shares (m)</t>
        </is>
      </c>
      <c r="B43" s="7">
        <f>Assumptions!B9</f>
        <v/>
      </c>
    </row>
    <row r="44">
      <c r="A44" s="1" t="inlineStr">
        <is>
          <t>Value per share (NZD)</t>
        </is>
      </c>
      <c r="B44" s="10">
        <f>B42/B43</f>
        <v/>
      </c>
    </row>
    <row r="45">
      <c r="A45" t="inlineStr">
        <is>
          <t>Upside vs price</t>
        </is>
      </c>
      <c r="B45" s="11">
        <f>B44/Assumptions!B10-1</f>
        <v/>
      </c>
    </row>
    <row r="47">
      <c r="A47" t="inlineStr">
        <is>
          <t>Street memo: PV of explicit SBC</t>
        </is>
      </c>
      <c r="B47">
        <f>SUMPRODUCT(-C10:L10/(1+Assumptions!B4)^C4:L4)</f>
        <v/>
      </c>
    </row>
    <row r="48">
      <c r="A48" t="inlineStr">
        <is>
          <t>Street memo: PV of terminal SBC</t>
        </is>
      </c>
      <c r="B48">
        <f>IF(Assumptions!B4&gt;B32,-L10*(1+B32)/(Assumptions!B4-B32)*L24,0)</f>
        <v/>
      </c>
    </row>
    <row r="49">
      <c r="A49" t="inlineStr">
        <is>
          <t>Street value per share</t>
        </is>
      </c>
      <c r="B49" s="12">
        <f>(B42+B47+B48)/B43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Reported FCF reconciled to owner FCF (treatment B), NZD m</t>
        </is>
      </c>
    </row>
    <row r="3">
      <c r="B3" s="1" t="inlineStr">
        <is>
          <t>FY2018</t>
        </is>
      </c>
      <c r="C3" s="1" t="inlineStr">
        <is>
          <t>FY2019</t>
        </is>
      </c>
      <c r="D3" s="1" t="inlineStr">
        <is>
          <t>FY2020</t>
        </is>
      </c>
      <c r="E3" s="1" t="inlineStr">
        <is>
          <t>FY2021</t>
        </is>
      </c>
      <c r="F3" s="1" t="inlineStr">
        <is>
          <t>FY2022</t>
        </is>
      </c>
      <c r="G3" s="1" t="inlineStr">
        <is>
          <t>FY2023</t>
        </is>
      </c>
      <c r="H3" s="1" t="inlineStr">
        <is>
          <t>FY2024</t>
        </is>
      </c>
      <c r="I3" s="1" t="inlineStr">
        <is>
          <t>FY2025</t>
        </is>
      </c>
    </row>
    <row r="4">
      <c r="A4" t="inlineStr">
        <is>
          <t>Revenue</t>
        </is>
      </c>
      <c r="B4" s="3" t="n">
        <v>2994.571</v>
      </c>
      <c r="C4" s="3" t="n">
        <v>3071.357</v>
      </c>
      <c r="D4" s="3" t="n">
        <v>3172.83</v>
      </c>
      <c r="E4" s="3" t="n">
        <v>3414.601</v>
      </c>
      <c r="F4" s="3" t="n">
        <v>3294.332</v>
      </c>
      <c r="G4" s="3" t="n">
        <v>3399.112</v>
      </c>
      <c r="H4" s="3" t="n">
        <v>3037.597</v>
      </c>
      <c r="I4" s="3" t="n">
        <v>3086.725</v>
      </c>
    </row>
    <row r="5">
      <c r="A5" t="inlineStr">
        <is>
          <t>Free cash flow (company definition: OCF - capex)</t>
        </is>
      </c>
      <c r="B5" s="3" t="n">
        <v>37.685</v>
      </c>
      <c r="C5" s="3" t="n">
        <v>136.667</v>
      </c>
      <c r="D5" s="3" t="n">
        <v>343.493</v>
      </c>
      <c r="E5" s="3" t="n">
        <v>164.081</v>
      </c>
      <c r="F5" s="3" t="n">
        <v>-2.046</v>
      </c>
      <c r="G5" s="3" t="n">
        <v>99.095</v>
      </c>
      <c r="H5" s="3" t="n">
        <v>146.586</v>
      </c>
      <c r="I5" s="3" t="n">
        <v>59.719</v>
      </c>
    </row>
    <row r="6">
      <c r="A6" t="inlineStr">
        <is>
          <t>less: lease principal (financing)</t>
        </is>
      </c>
      <c r="B6" s="3" t="n">
        <v>0</v>
      </c>
      <c r="C6" s="3" t="n">
        <v>0</v>
      </c>
      <c r="D6" s="3" t="n">
        <v>83.833</v>
      </c>
      <c r="E6" s="3" t="n">
        <v>99.383</v>
      </c>
      <c r="F6" s="3" t="n">
        <v>98.264</v>
      </c>
      <c r="G6" s="3" t="n">
        <v>101.171</v>
      </c>
      <c r="H6" s="3" t="n">
        <v>99.532</v>
      </c>
      <c r="I6" s="3" t="n">
        <v>104.882</v>
      </c>
    </row>
    <row r="7">
      <c r="A7" t="inlineStr">
        <is>
          <t>less: SBC incl. equity-award taxes</t>
        </is>
      </c>
      <c r="B7" s="3" t="n">
        <v>0.353</v>
      </c>
      <c r="C7" s="3" t="n">
        <v>0.42</v>
      </c>
      <c r="D7" s="3" t="n">
        <v>0</v>
      </c>
      <c r="E7" s="3" t="n">
        <v>0</v>
      </c>
      <c r="F7" s="3" t="n">
        <v>0</v>
      </c>
      <c r="G7" s="3" t="n">
        <v>0.804</v>
      </c>
      <c r="H7" s="3" t="n">
        <v>0</v>
      </c>
      <c r="I7" s="3" t="n">
        <v>0</v>
      </c>
    </row>
    <row r="8">
      <c r="A8" t="inlineStr">
        <is>
          <t>less: interest income</t>
        </is>
      </c>
      <c r="B8" s="3" t="n">
        <v>1.494</v>
      </c>
      <c r="C8" s="3" t="n">
        <v>0.436</v>
      </c>
      <c r="D8" s="3" t="n">
        <v>0.713</v>
      </c>
      <c r="E8" s="3" t="n">
        <v>1.048</v>
      </c>
      <c r="F8" s="3" t="n">
        <v>0.592</v>
      </c>
      <c r="G8" s="3" t="n">
        <v>0.748</v>
      </c>
      <c r="H8" s="3" t="n">
        <v>1.001</v>
      </c>
      <c r="I8" s="3" t="n">
        <v>0.319</v>
      </c>
    </row>
    <row r="9">
      <c r="A9" s="1" t="inlineStr">
        <is>
          <t>Owner FCF</t>
        </is>
      </c>
      <c r="B9" s="1">
        <f>B5-B6-B7-B8</f>
        <v/>
      </c>
      <c r="C9" s="1">
        <f>C5-C6-C7-C8</f>
        <v/>
      </c>
      <c r="D9" s="1">
        <f>D5-D6-D7-D8</f>
        <v/>
      </c>
      <c r="E9" s="1">
        <f>E5-E6-E7-E8</f>
        <v/>
      </c>
      <c r="F9" s="1">
        <f>F5-F6-F7-F8</f>
        <v/>
      </c>
      <c r="G9" s="1">
        <f>G5-G6-G7-G8</f>
        <v/>
      </c>
      <c r="H9" s="1">
        <f>H5-H6-H7-H8</f>
        <v/>
      </c>
      <c r="I9" s="1">
        <f>I5-I6-I7-I8</f>
        <v/>
      </c>
    </row>
    <row r="10">
      <c r="A10" t="inlineStr">
        <is>
          <t>Reported FCF margin</t>
        </is>
      </c>
      <c r="B10" s="8">
        <f>B5/B4</f>
        <v/>
      </c>
      <c r="C10" s="8">
        <f>C5/C4</f>
        <v/>
      </c>
      <c r="D10" s="8">
        <f>D5/D4</f>
        <v/>
      </c>
      <c r="E10" s="8">
        <f>E5/E4</f>
        <v/>
      </c>
      <c r="F10" s="8">
        <f>F5/F4</f>
        <v/>
      </c>
      <c r="G10" s="8">
        <f>G5/G4</f>
        <v/>
      </c>
      <c r="H10" s="8">
        <f>H5/H4</f>
        <v/>
      </c>
      <c r="I10" s="8">
        <f>I5/I4</f>
        <v/>
      </c>
    </row>
    <row r="11">
      <c r="A11" t="inlineStr">
        <is>
          <t>Owner FCF margin</t>
        </is>
      </c>
      <c r="B11" s="8">
        <f>B9/B4</f>
        <v/>
      </c>
      <c r="C11" s="8">
        <f>C9/C4</f>
        <v/>
      </c>
      <c r="D11" s="8">
        <f>D9/D4</f>
        <v/>
      </c>
      <c r="E11" s="8">
        <f>E9/E4</f>
        <v/>
      </c>
      <c r="F11" s="8">
        <f>F9/F4</f>
        <v/>
      </c>
      <c r="G11" s="8">
        <f>G9/G4</f>
        <v/>
      </c>
      <c r="H11" s="8">
        <f>H9/H4</f>
        <v/>
      </c>
      <c r="I11" s="8">
        <f>I9/I4</f>
        <v/>
      </c>
    </row>
    <row r="12">
      <c r="A12" t="inlineStr">
        <is>
          <t>Memo: EBITDA post-IFRS-16</t>
        </is>
      </c>
      <c r="B12" s="3" t="n">
        <v>116.937</v>
      </c>
      <c r="C12" s="3" t="n">
        <v>163.556</v>
      </c>
      <c r="D12" s="3" t="n">
        <v>259.334</v>
      </c>
      <c r="E12" s="3" t="n">
        <v>343.462</v>
      </c>
      <c r="F12" s="3" t="n">
        <v>304.892</v>
      </c>
      <c r="G12" s="3" t="n">
        <v>250.811</v>
      </c>
      <c r="H12" s="3" t="n">
        <v>217.496</v>
      </c>
      <c r="I12" s="3" t="n">
        <v>197.04</v>
      </c>
    </row>
    <row r="13">
      <c r="A13" t="inlineStr">
        <is>
          <t>Memo: lease cash (principal + interest)</t>
        </is>
      </c>
      <c r="B13" s="3" t="n">
        <v>0</v>
      </c>
      <c r="C13" s="3" t="n">
        <v>0</v>
      </c>
      <c r="D13" s="3" t="n">
        <v>124.946</v>
      </c>
      <c r="E13" s="3" t="n">
        <v>137.88</v>
      </c>
      <c r="F13" s="3" t="n">
        <v>134.947</v>
      </c>
      <c r="G13" s="3" t="n">
        <v>137.37</v>
      </c>
      <c r="H13" s="3" t="n">
        <v>136.059</v>
      </c>
      <c r="I13" s="3" t="n">
        <v>141.729</v>
      </c>
    </row>
    <row r="14">
      <c r="A14" t="inlineStr">
        <is>
          <t>Memo: lease-adjusted EBITDA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  <c r="G14">
        <f>G12-G13</f>
        <v/>
      </c>
      <c r="H14">
        <f>H12-H13</f>
        <v/>
      </c>
      <c r="I14">
        <f>I12-I13</f>
        <v/>
      </c>
    </row>
    <row r="15">
      <c r="A15" t="inlineStr">
        <is>
          <t>Memo: lease-adjusted EBITDA margin</t>
        </is>
      </c>
      <c r="B15" s="8">
        <f>B14/B4</f>
        <v/>
      </c>
      <c r="C15" s="8">
        <f>C14/C4</f>
        <v/>
      </c>
      <c r="D15" s="8">
        <f>D14/D4</f>
        <v/>
      </c>
      <c r="E15" s="8">
        <f>E14/E4</f>
        <v/>
      </c>
      <c r="F15" s="8">
        <f>F14/F4</f>
        <v/>
      </c>
      <c r="G15" s="8">
        <f>G14/G4</f>
        <v/>
      </c>
      <c r="H15" s="8">
        <f>H14/H4</f>
        <v/>
      </c>
      <c r="I15" s="8">
        <f>I14/I4</f>
        <v/>
      </c>
    </row>
    <row r="16">
      <c r="A16" t="inlineStr">
        <is>
          <t>Memo: capex</t>
        </is>
      </c>
      <c r="B16" s="3" t="n">
        <v>70.229</v>
      </c>
      <c r="C16" s="3" t="n">
        <v>61.326</v>
      </c>
      <c r="D16" s="3" t="n">
        <v>64.51300000000001</v>
      </c>
      <c r="E16" s="3" t="n">
        <v>83.18000000000001</v>
      </c>
      <c r="F16" s="3" t="n">
        <v>107.469</v>
      </c>
      <c r="G16" s="3" t="n">
        <v>115.088</v>
      </c>
      <c r="H16" s="3" t="n">
        <v>39.284</v>
      </c>
      <c r="I16" s="3" t="n">
        <v>12.604</v>
      </c>
    </row>
    <row r="17">
      <c r="A17" t="inlineStr">
        <is>
          <t>Memo: capex % revenue</t>
        </is>
      </c>
      <c r="B17" s="8">
        <f>B16/B4</f>
        <v/>
      </c>
      <c r="C17" s="8">
        <f>C16/C4</f>
        <v/>
      </c>
      <c r="D17" s="8">
        <f>D16/D4</f>
        <v/>
      </c>
      <c r="E17" s="8">
        <f>E16/E4</f>
        <v/>
      </c>
      <c r="F17" s="8">
        <f>F16/F4</f>
        <v/>
      </c>
      <c r="G17" s="8">
        <f>G16/G4</f>
        <v/>
      </c>
      <c r="H17" s="8">
        <f>H16/H4</f>
        <v/>
      </c>
      <c r="I17" s="8">
        <f>I16/I4</f>
        <v/>
      </c>
    </row>
    <row r="19">
      <c r="A19" s="1" t="inlineStr">
        <is>
          <t>Notes</t>
        </is>
      </c>
    </row>
    <row r="20">
      <c r="A20" s="13" t="inlineStr">
        <is>
          <t>FY2018-19 are pre-IFRS-16 (rent inside operating expenses, no lease principal to deduct). FY2020 owner FCF is a COVID artefact (wage subsidy $67.7m, deferred creditor payments); FY2022 reverses it. FY2025 owner FCF is dominated by an $84m payables outflow; the projection base is the component build on the DCF tabs, not this series. Cash tax was $0.7m in FY2025 and $0.35m in H1 FY2026 against NZ$121m of gross tax losses; abnormal and ramped to 28% on the DCF tabs.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Valuation summary (NZD per share)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Entry price @ hurdle</t>
        </is>
      </c>
      <c r="G3" s="1" t="inlineStr">
        <is>
          <t>TV bound</t>
        </is>
      </c>
    </row>
    <row r="4">
      <c r="A4" t="inlineStr">
        <is>
          <t>Bear</t>
        </is>
      </c>
      <c r="B4" s="14">
        <f>DCF_Bear!B44</f>
        <v/>
      </c>
      <c r="C4" s="11">
        <f>DCF_Bear!B45</f>
        <v/>
      </c>
      <c r="D4" s="7">
        <f>Assumptions!C17</f>
        <v/>
      </c>
      <c r="E4" s="14">
        <f>DCF_Bear!B49</f>
        <v/>
      </c>
      <c r="F4" s="12">
        <f>(SUMPRODUCT(DCF_Bear!$C$23:$L$23/(1+Assumptions!$B$13)^DCF_Bear!$C$4:$L$4)+MAX(0,MIN(IF(Assumptions!$B$13&gt;Assumptions!$B$17,DCF_Bear!$L$23*(1+Assumptions!$B$17)/(Assumptions!$B$13-Assumptions!$B$17),1E+99),Assumptions!$B$5*DCF_Bear!$L$23))/(1+Assumptions!$B$13)^10-Assumptions!$B$7-Assumptions!$B$8)/Assumptions!$B$9</f>
        <v/>
      </c>
      <c r="G4">
        <f>IF(DCF_Bear!B36=0,"floor",IF(ISNUMBER(DCF_Bear!B34),IF(DCF_Bear!B34&lt;=DCF_Bear!B35,"gordon","cap"),"cap"))</f>
        <v/>
      </c>
    </row>
    <row r="5">
      <c r="A5" t="inlineStr">
        <is>
          <t>Base</t>
        </is>
      </c>
      <c r="B5" s="14">
        <f>DCF_Base!B44</f>
        <v/>
      </c>
      <c r="C5" s="11">
        <f>DCF_Base!B45</f>
        <v/>
      </c>
      <c r="D5" s="7">
        <f>Assumptions!C18</f>
        <v/>
      </c>
      <c r="E5" s="14">
        <f>DCF_Base!B49</f>
        <v/>
      </c>
      <c r="F5" s="12">
        <f>(SUMPRODUCT(DCF_Base!$C$23:$L$23/(1+Assumptions!$B$13)^DCF_Base!$C$4:$L$4)+MAX(0,MIN(IF(Assumptions!$B$13&gt;Assumptions!$B$18,DCF_Base!$L$23*(1+Assumptions!$B$18)/(Assumptions!$B$13-Assumptions!$B$18),1E+99),Assumptions!$B$5*DCF_Base!$L$23))/(1+Assumptions!$B$13)^10-Assumptions!$B$7-Assumptions!$B$8)/Assumptions!$B$9</f>
        <v/>
      </c>
      <c r="G5">
        <f>IF(DCF_Base!B36=0,"floor",IF(ISNUMBER(DCF_Base!B34),IF(DCF_Base!B34&lt;=DCF_Base!B35,"gordon","cap"),"cap"))</f>
        <v/>
      </c>
    </row>
    <row r="6">
      <c r="A6" t="inlineStr">
        <is>
          <t>Bull</t>
        </is>
      </c>
      <c r="B6" s="14">
        <f>DCF_Bull!B44</f>
        <v/>
      </c>
      <c r="C6" s="11">
        <f>DCF_Bull!B45</f>
        <v/>
      </c>
      <c r="D6" s="7">
        <f>Assumptions!C19</f>
        <v/>
      </c>
      <c r="E6" s="14">
        <f>DCF_Bull!B49</f>
        <v/>
      </c>
      <c r="F6" s="12">
        <f>(SUMPRODUCT(DCF_Bull!$C$23:$L$23/(1+Assumptions!$B$13)^DCF_Bull!$C$4:$L$4)+MAX(0,MIN(IF(Assumptions!$B$13&gt;Assumptions!$B$19,DCF_Bull!$L$23*(1+Assumptions!$B$19)/(Assumptions!$B$13-Assumptions!$B$19),1E+99),Assumptions!$B$5*DCF_Bull!$L$23))/(1+Assumptions!$B$13)^10-Assumptions!$B$7-Assumptions!$B$8)/Assumptions!$B$9</f>
        <v/>
      </c>
      <c r="G6">
        <f>IF(DCF_Bull!B36=0,"floor",IF(ISNUMBER(DCF_Bull!B34),IF(DCF_Bull!B34&lt;=DCF_Bull!B35,"gordon","cap"),"cap"))</f>
        <v/>
      </c>
    </row>
    <row r="8">
      <c r="A8" s="1" t="inlineStr">
        <is>
          <t>Probability-weighted value per share</t>
        </is>
      </c>
      <c r="B8" s="15">
        <f>SUMPRODUCT(B4:B6,D4:D6)</f>
        <v/>
      </c>
    </row>
    <row r="9">
      <c r="A9" t="inlineStr">
        <is>
          <t>Current price</t>
        </is>
      </c>
      <c r="B9" s="7">
        <f>Assumptions!B10</f>
        <v/>
      </c>
    </row>
    <row r="10">
      <c r="A10" t="inlineStr">
        <is>
          <t>Margin of safety (1 - price/weighted)</t>
        </is>
      </c>
      <c r="B10" s="11">
        <f>1-B9/B8</f>
        <v/>
      </c>
    </row>
    <row r="11">
      <c r="A11" t="inlineStr">
        <is>
          <t>Street weighted value per share</t>
        </is>
      </c>
      <c r="B11" s="12">
        <f>SUMPRODUCT(E4:E6,D4:D6)</f>
        <v/>
      </c>
    </row>
    <row r="12">
      <c r="A12" t="inlineStr">
        <is>
          <t>Band position (price - house)/(street - house)</t>
        </is>
      </c>
      <c r="B12">
        <f>IF(ABS(B11-B8)&lt;0.0001,"n/a (SBC-zero: house = street)",(B9-B8)/(B11-B8))</f>
        <v/>
      </c>
    </row>
    <row r="13">
      <c r="A13" s="1" t="inlineStr">
        <is>
          <t>Probability-weighted 15% hurdle entry price</t>
        </is>
      </c>
      <c r="B13" s="15">
        <f>SUMPRODUCT(F4:F6,D4:D6)</f>
        <v/>
      </c>
    </row>
    <row r="14">
      <c r="A14" t="inlineStr">
        <is>
          <t>Entry discount vs current price</t>
        </is>
      </c>
      <c r="B14" s="11">
        <f>B13/B9-1</f>
        <v/>
      </c>
    </row>
    <row r="16">
      <c r="A16" s="1" t="inlineStr">
        <is>
          <t>Required-return table (base case; TV rebuilt at each rate)</t>
        </is>
      </c>
    </row>
    <row r="17">
      <c r="A17" t="inlineStr">
        <is>
          <t>Required return</t>
        </is>
      </c>
      <c r="B17" s="16" t="n">
        <v>0.09</v>
      </c>
      <c r="C17" s="16" t="n">
        <v>0.1</v>
      </c>
      <c r="D17" s="16" t="n">
        <v>0.11</v>
      </c>
      <c r="E17" s="16" t="n">
        <v>0.12</v>
      </c>
      <c r="F17" s="16" t="n">
        <v>0.15</v>
      </c>
      <c r="G17" s="9">
        <f>Assumptions!B4</f>
        <v/>
      </c>
      <c r="H17" t="inlineStr">
        <is>
          <t>(model WACC; must equal DCF_Base!B44)</t>
        </is>
      </c>
    </row>
    <row r="18">
      <c r="A18" t="inlineStr">
        <is>
          <t>Value per share</t>
        </is>
      </c>
      <c r="B18" s="12">
        <f>(SUMPRODUCT(DCF_Base!$C$23:$L$23/(1+B$17)^DCF_Base!$C$4:$L$4)+MAX(0,MIN(IF(B$17&gt;Assumptions!$B$18,DCF_Base!$L$23*(1+Assumptions!$B$18)/(B$17-Assumptions!$B$18),1E+99),Assumptions!$B$5*DCF_Base!$L$23))/(1+B$17)^10-Assumptions!$B$7-Assumptions!$B$8)/Assumptions!$B$9</f>
        <v/>
      </c>
      <c r="C18" s="12">
        <f>(SUMPRODUCT(DCF_Base!$C$23:$L$23/(1+C$17)^DCF_Base!$C$4:$L$4)+MAX(0,MIN(IF(C$17&gt;Assumptions!$B$18,DCF_Base!$L$23*(1+Assumptions!$B$18)/(C$17-Assumptions!$B$18),1E+99),Assumptions!$B$5*DCF_Base!$L$23))/(1+C$17)^10-Assumptions!$B$7-Assumptions!$B$8)/Assumptions!$B$9</f>
        <v/>
      </c>
      <c r="D18" s="12">
        <f>(SUMPRODUCT(DCF_Base!$C$23:$L$23/(1+D$17)^DCF_Base!$C$4:$L$4)+MAX(0,MIN(IF(D$17&gt;Assumptions!$B$18,DCF_Base!$L$23*(1+Assumptions!$B$18)/(D$17-Assumptions!$B$18),1E+99),Assumptions!$B$5*DCF_Base!$L$23))/(1+D$17)^10-Assumptions!$B$7-Assumptions!$B$8)/Assumptions!$B$9</f>
        <v/>
      </c>
      <c r="E18" s="12">
        <f>(SUMPRODUCT(DCF_Base!$C$23:$L$23/(1+E$17)^DCF_Base!$C$4:$L$4)+MAX(0,MIN(IF(E$17&gt;Assumptions!$B$18,DCF_Base!$L$23*(1+Assumptions!$B$18)/(E$17-Assumptions!$B$18),1E+99),Assumptions!$B$5*DCF_Base!$L$23))/(1+E$17)^10-Assumptions!$B$7-Assumptions!$B$8)/Assumptions!$B$9</f>
        <v/>
      </c>
      <c r="F18" s="12">
        <f>(SUMPRODUCT(DCF_Base!$C$23:$L$23/(1+F$17)^DCF_Base!$C$4:$L$4)+MAX(0,MIN(IF(F$17&gt;Assumptions!$B$18,DCF_Base!$L$23*(1+Assumptions!$B$18)/(F$17-Assumptions!$B$18),1E+99),Assumptions!$B$5*DCF_Base!$L$23))/(1+F$17)^10-Assumptions!$B$7-Assumptions!$B$8)/Assumptions!$B$9</f>
        <v/>
      </c>
      <c r="G18" s="12">
        <f>(SUMPRODUCT(DCF_Base!$C$23:$L$23/(1+G$17)^DCF_Base!$C$4:$L$4)+MAX(0,MIN(IF(G$17&gt;Assumptions!$B$18,DCF_Base!$L$23*(1+Assumptions!$B$18)/(G$17-Assumptions!$B$18),1E+99),Assumptions!$B$5*DCF_Base!$L$23))/(1+G$17)^10-Assumptions!$B$7-Assumptions!$B$8)/Assumptions!$B$9</f>
        <v/>
      </c>
    </row>
    <row r="20">
      <c r="A20" s="1" t="inlineStr">
        <is>
          <t>Sensitivity: base-case value per share, WACC (rows) x terminal growth (columns)</t>
        </is>
      </c>
    </row>
    <row r="21">
      <c r="B21" s="16" t="n">
        <v>0.01</v>
      </c>
      <c r="C21" s="16" t="n">
        <v>0.015</v>
      </c>
      <c r="D21" s="16" t="n">
        <v>0.02</v>
      </c>
      <c r="E21" s="16" t="n">
        <v>0.025</v>
      </c>
      <c r="F21" s="16" t="n">
        <v>0.03</v>
      </c>
    </row>
    <row r="22">
      <c r="A22" s="16" t="n">
        <v>0.08</v>
      </c>
      <c r="B22" s="12">
        <f>(SUMPRODUCT(DCF_Base!$C$23:$L$23/(1+$A22)^DCF_Base!$C$4:$L$4)+MAX(0,MIN(IF($A22&gt;B$21,DCF_Base!$L$23*(1+B$21)/($A22-B$21),1E+99),Assumptions!$B$5*DCF_Base!$L$23))/(1+$A22)^10-Assumptions!$B$7-Assumptions!$B$8)/Assumptions!$B$9</f>
        <v/>
      </c>
      <c r="C22" s="12">
        <f>(SUMPRODUCT(DCF_Base!$C$23:$L$23/(1+$A22)^DCF_Base!$C$4:$L$4)+MAX(0,MIN(IF($A22&gt;C$21,DCF_Base!$L$23*(1+C$21)/($A22-C$21),1E+99),Assumptions!$B$5*DCF_Base!$L$23))/(1+$A22)^10-Assumptions!$B$7-Assumptions!$B$8)/Assumptions!$B$9</f>
        <v/>
      </c>
      <c r="D22" s="12">
        <f>(SUMPRODUCT(DCF_Base!$C$23:$L$23/(1+$A22)^DCF_Base!$C$4:$L$4)+MAX(0,MIN(IF($A22&gt;D$21,DCF_Base!$L$23*(1+D$21)/($A22-D$21),1E+99),Assumptions!$B$5*DCF_Base!$L$23))/(1+$A22)^10-Assumptions!$B$7-Assumptions!$B$8)/Assumptions!$B$9</f>
        <v/>
      </c>
      <c r="E22" s="12">
        <f>(SUMPRODUCT(DCF_Base!$C$23:$L$23/(1+$A22)^DCF_Base!$C$4:$L$4)+MAX(0,MIN(IF($A22&gt;E$21,DCF_Base!$L$23*(1+E$21)/($A22-E$21),1E+99),Assumptions!$B$5*DCF_Base!$L$23))/(1+$A22)^10-Assumptions!$B$7-Assumptions!$B$8)/Assumptions!$B$9</f>
        <v/>
      </c>
      <c r="F22" s="12">
        <f>(SUMPRODUCT(DCF_Base!$C$23:$L$23/(1+$A22)^DCF_Base!$C$4:$L$4)+MAX(0,MIN(IF($A22&gt;F$21,DCF_Base!$L$23*(1+F$21)/($A22-F$21),1E+99),Assumptions!$B$5*DCF_Base!$L$23))/(1+$A22)^10-Assumptions!$B$7-Assumptions!$B$8)/Assumptions!$B$9</f>
        <v/>
      </c>
    </row>
    <row r="23">
      <c r="A23" s="16" t="n">
        <v>0.09</v>
      </c>
      <c r="B23" s="12">
        <f>(SUMPRODUCT(DCF_Base!$C$23:$L$23/(1+$A23)^DCF_Base!$C$4:$L$4)+MAX(0,MIN(IF($A23&gt;B$21,DCF_Base!$L$23*(1+B$21)/($A23-B$21),1E+99),Assumptions!$B$5*DCF_Base!$L$23))/(1+$A23)^10-Assumptions!$B$7-Assumptions!$B$8)/Assumptions!$B$9</f>
        <v/>
      </c>
      <c r="C23" s="12">
        <f>(SUMPRODUCT(DCF_Base!$C$23:$L$23/(1+$A23)^DCF_Base!$C$4:$L$4)+MAX(0,MIN(IF($A23&gt;C$21,DCF_Base!$L$23*(1+C$21)/($A23-C$21),1E+99),Assumptions!$B$5*DCF_Base!$L$23))/(1+$A23)^10-Assumptions!$B$7-Assumptions!$B$8)/Assumptions!$B$9</f>
        <v/>
      </c>
      <c r="D23" s="12">
        <f>(SUMPRODUCT(DCF_Base!$C$23:$L$23/(1+$A23)^DCF_Base!$C$4:$L$4)+MAX(0,MIN(IF($A23&gt;D$21,DCF_Base!$L$23*(1+D$21)/($A23-D$21),1E+99),Assumptions!$B$5*DCF_Base!$L$23))/(1+$A23)^10-Assumptions!$B$7-Assumptions!$B$8)/Assumptions!$B$9</f>
        <v/>
      </c>
      <c r="E23" s="12">
        <f>(SUMPRODUCT(DCF_Base!$C$23:$L$23/(1+$A23)^DCF_Base!$C$4:$L$4)+MAX(0,MIN(IF($A23&gt;E$21,DCF_Base!$L$23*(1+E$21)/($A23-E$21),1E+99),Assumptions!$B$5*DCF_Base!$L$23))/(1+$A23)^10-Assumptions!$B$7-Assumptions!$B$8)/Assumptions!$B$9</f>
        <v/>
      </c>
      <c r="F23" s="12">
        <f>(SUMPRODUCT(DCF_Base!$C$23:$L$23/(1+$A23)^DCF_Base!$C$4:$L$4)+MAX(0,MIN(IF($A23&gt;F$21,DCF_Base!$L$23*(1+F$21)/($A23-F$21),1E+99),Assumptions!$B$5*DCF_Base!$L$23))/(1+$A23)^10-Assumptions!$B$7-Assumptions!$B$8)/Assumptions!$B$9</f>
        <v/>
      </c>
    </row>
    <row r="24">
      <c r="A24" s="16" t="n">
        <v>0.1</v>
      </c>
      <c r="B24" s="12">
        <f>(SUMPRODUCT(DCF_Base!$C$23:$L$23/(1+$A24)^DCF_Base!$C$4:$L$4)+MAX(0,MIN(IF($A24&gt;B$21,DCF_Base!$L$23*(1+B$21)/($A24-B$21),1E+99),Assumptions!$B$5*DCF_Base!$L$23))/(1+$A24)^10-Assumptions!$B$7-Assumptions!$B$8)/Assumptions!$B$9</f>
        <v/>
      </c>
      <c r="C24" s="12">
        <f>(SUMPRODUCT(DCF_Base!$C$23:$L$23/(1+$A24)^DCF_Base!$C$4:$L$4)+MAX(0,MIN(IF($A24&gt;C$21,DCF_Base!$L$23*(1+C$21)/($A24-C$21),1E+99),Assumptions!$B$5*DCF_Base!$L$23))/(1+$A24)^10-Assumptions!$B$7-Assumptions!$B$8)/Assumptions!$B$9</f>
        <v/>
      </c>
      <c r="D24" s="15">
        <f>(SUMPRODUCT(DCF_Base!$C$23:$L$23/(1+$A24)^DCF_Base!$C$4:$L$4)+MAX(0,MIN(IF($A24&gt;D$21,DCF_Base!$L$23*(1+D$21)/($A24-D$21),1E+99),Assumptions!$B$5*DCF_Base!$L$23))/(1+$A24)^10-Assumptions!$B$7-Assumptions!$B$8)/Assumptions!$B$9</f>
        <v/>
      </c>
      <c r="E24" s="12">
        <f>(SUMPRODUCT(DCF_Base!$C$23:$L$23/(1+$A24)^DCF_Base!$C$4:$L$4)+MAX(0,MIN(IF($A24&gt;E$21,DCF_Base!$L$23*(1+E$21)/($A24-E$21),1E+99),Assumptions!$B$5*DCF_Base!$L$23))/(1+$A24)^10-Assumptions!$B$7-Assumptions!$B$8)/Assumptions!$B$9</f>
        <v/>
      </c>
      <c r="F24" s="12">
        <f>(SUMPRODUCT(DCF_Base!$C$23:$L$23/(1+$A24)^DCF_Base!$C$4:$L$4)+MAX(0,MIN(IF($A24&gt;F$21,DCF_Base!$L$23*(1+F$21)/($A24-F$21),1E+99),Assumptions!$B$5*DCF_Base!$L$23))/(1+$A24)^10-Assumptions!$B$7-Assumptions!$B$8)/Assumptions!$B$9</f>
        <v/>
      </c>
    </row>
    <row r="25">
      <c r="A25" s="16" t="n">
        <v>0.11</v>
      </c>
      <c r="B25" s="12">
        <f>(SUMPRODUCT(DCF_Base!$C$23:$L$23/(1+$A25)^DCF_Base!$C$4:$L$4)+MAX(0,MIN(IF($A25&gt;B$21,DCF_Base!$L$23*(1+B$21)/($A25-B$21),1E+99),Assumptions!$B$5*DCF_Base!$L$23))/(1+$A25)^10-Assumptions!$B$7-Assumptions!$B$8)/Assumptions!$B$9</f>
        <v/>
      </c>
      <c r="C25" s="12">
        <f>(SUMPRODUCT(DCF_Base!$C$23:$L$23/(1+$A25)^DCF_Base!$C$4:$L$4)+MAX(0,MIN(IF($A25&gt;C$21,DCF_Base!$L$23*(1+C$21)/($A25-C$21),1E+99),Assumptions!$B$5*DCF_Base!$L$23))/(1+$A25)^10-Assumptions!$B$7-Assumptions!$B$8)/Assumptions!$B$9</f>
        <v/>
      </c>
      <c r="D25" s="12">
        <f>(SUMPRODUCT(DCF_Base!$C$23:$L$23/(1+$A25)^DCF_Base!$C$4:$L$4)+MAX(0,MIN(IF($A25&gt;D$21,DCF_Base!$L$23*(1+D$21)/($A25-D$21),1E+99),Assumptions!$B$5*DCF_Base!$L$23))/(1+$A25)^10-Assumptions!$B$7-Assumptions!$B$8)/Assumptions!$B$9</f>
        <v/>
      </c>
      <c r="E25" s="12">
        <f>(SUMPRODUCT(DCF_Base!$C$23:$L$23/(1+$A25)^DCF_Base!$C$4:$L$4)+MAX(0,MIN(IF($A25&gt;E$21,DCF_Base!$L$23*(1+E$21)/($A25-E$21),1E+99),Assumptions!$B$5*DCF_Base!$L$23))/(1+$A25)^10-Assumptions!$B$7-Assumptions!$B$8)/Assumptions!$B$9</f>
        <v/>
      </c>
      <c r="F25" s="12">
        <f>(SUMPRODUCT(DCF_Base!$C$23:$L$23/(1+$A25)^DCF_Base!$C$4:$L$4)+MAX(0,MIN(IF($A25&gt;F$21,DCF_Base!$L$23*(1+F$21)/($A25-F$21),1E+99),Assumptions!$B$5*DCF_Base!$L$23))/(1+$A25)^10-Assumptions!$B$7-Assumptions!$B$8)/Assumptions!$B$9</f>
        <v/>
      </c>
    </row>
    <row r="26">
      <c r="A26" s="16" t="n">
        <v>0.12</v>
      </c>
      <c r="B26" s="12">
        <f>(SUMPRODUCT(DCF_Base!$C$23:$L$23/(1+$A26)^DCF_Base!$C$4:$L$4)+MAX(0,MIN(IF($A26&gt;B$21,DCF_Base!$L$23*(1+B$21)/($A26-B$21),1E+99),Assumptions!$B$5*DCF_Base!$L$23))/(1+$A26)^10-Assumptions!$B$7-Assumptions!$B$8)/Assumptions!$B$9</f>
        <v/>
      </c>
      <c r="C26" s="12">
        <f>(SUMPRODUCT(DCF_Base!$C$23:$L$23/(1+$A26)^DCF_Base!$C$4:$L$4)+MAX(0,MIN(IF($A26&gt;C$21,DCF_Base!$L$23*(1+C$21)/($A26-C$21),1E+99),Assumptions!$B$5*DCF_Base!$L$23))/(1+$A26)^10-Assumptions!$B$7-Assumptions!$B$8)/Assumptions!$B$9</f>
        <v/>
      </c>
      <c r="D26" s="12">
        <f>(SUMPRODUCT(DCF_Base!$C$23:$L$23/(1+$A26)^DCF_Base!$C$4:$L$4)+MAX(0,MIN(IF($A26&gt;D$21,DCF_Base!$L$23*(1+D$21)/($A26-D$21),1E+99),Assumptions!$B$5*DCF_Base!$L$23))/(1+$A26)^10-Assumptions!$B$7-Assumptions!$B$8)/Assumptions!$B$9</f>
        <v/>
      </c>
      <c r="E26" s="12">
        <f>(SUMPRODUCT(DCF_Base!$C$23:$L$23/(1+$A26)^DCF_Base!$C$4:$L$4)+MAX(0,MIN(IF($A26&gt;E$21,DCF_Base!$L$23*(1+E$21)/($A26-E$21),1E+99),Assumptions!$B$5*DCF_Base!$L$23))/(1+$A26)^10-Assumptions!$B$7-Assumptions!$B$8)/Assumptions!$B$9</f>
        <v/>
      </c>
      <c r="F26" s="12">
        <f>(SUMPRODUCT(DCF_Base!$C$23:$L$23/(1+$A26)^DCF_Base!$C$4:$L$4)+MAX(0,MIN(IF($A26&gt;F$21,DCF_Base!$L$23*(1+F$21)/($A26-F$21),1E+99),Assumptions!$B$5*DCF_Base!$L$23))/(1+$A26)^10-Assumptions!$B$7-Assumptions!$B$8)/Assumptions!$B$9</f>
        <v/>
      </c>
    </row>
    <row r="28">
      <c r="A28" s="1" t="inlineStr">
        <is>
          <t>Sanity multiples (lease-consistent)</t>
        </is>
      </c>
    </row>
    <row r="29">
      <c r="A29" t="inlineStr">
        <is>
          <t>Market cap</t>
        </is>
      </c>
      <c r="B29" s="17">
        <f>Assumptions!B10*Assumptions!B9</f>
        <v/>
      </c>
    </row>
    <row r="30">
      <c r="A30" t="inlineStr">
        <is>
          <t>EV ex-lease</t>
        </is>
      </c>
      <c r="B30" s="17">
        <f>B29+Assumptions!B7</f>
        <v/>
      </c>
    </row>
    <row r="31">
      <c r="A31" t="inlineStr">
        <is>
          <t>EV incl. lease liabilities</t>
        </is>
      </c>
      <c r="B31" s="17">
        <f>B30+708.861</f>
        <v/>
      </c>
    </row>
    <row r="32">
      <c r="A32" t="inlineStr">
        <is>
          <t>TTM lease-adjusted EBITDA</t>
        </is>
      </c>
      <c r="B32" s="18" t="n">
        <v>57</v>
      </c>
    </row>
    <row r="33">
      <c r="A33" t="inlineStr">
        <is>
          <t>TTM post-IFRS-16 EBITDA</t>
        </is>
      </c>
      <c r="B33" s="18" t="n">
        <v>197.6</v>
      </c>
    </row>
    <row r="34">
      <c r="A34" t="inlineStr">
        <is>
          <t>EV ex-lease / lease-adj EBITDA</t>
        </is>
      </c>
      <c r="B34" s="17">
        <f>B30/B32</f>
        <v/>
      </c>
    </row>
    <row r="35">
      <c r="A35" t="inlineStr">
        <is>
          <t>EV incl. lease / post-IFRS-16 EBITDA</t>
        </is>
      </c>
      <c r="B35" s="17">
        <f>B31/B33</f>
        <v/>
      </c>
    </row>
    <row r="36">
      <c r="A36" t="inlineStr">
        <is>
          <t>Price / book (equity 310.67)</t>
        </is>
      </c>
      <c r="B36" s="17">
        <f>B29/310.67</f>
        <v/>
      </c>
    </row>
    <row r="37">
      <c r="A37" t="inlineStr">
        <is>
          <t>Base terminal EV / yr-10 lease-adj EBITDA</t>
        </is>
      </c>
      <c r="B37" s="17">
        <f>DCF_Base!B36/DCF_Base!L12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2026-09-21T09:13:49Z</dcterms:created>
  <dcterms:modified xmlns:dcterms="http://purl.org/dc/terms/" xmlns:xsi="http://www.w3.org/2001/XMLSchema-instance" xsi:type="dcterms:W3CDTF">2026-09-21T09:13:49Z</dcterms:modified>
</cp:coreProperties>
</file>