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<sst xmlns="http://schemas.openxmlformats.org/spreadsheetml/2006/main" count="387" uniqueCount="174">
  <si>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</si>
  <si>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AZO</t>
  </si>
  <si>
    <t xml:space="preserve">Company</t>
  </si>
  <si>
    <t xml:space="preserve">AutoZone,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</si>
  <si>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</si>
  <si>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</si>
  <si>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</si>
  <si>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</si>
  <si>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</t>
  </si>
  <si>
    <t xml:space="preserve">Balance sheet date</t>
  </si>
  <si>
    <t xml:space="preserve">2025-08-30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</si>
  <si>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</si>
  <si>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</si>
  <si>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</si>
  <si>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</si>
  <si>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</si>
  <si>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</si>
  <si>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</si>
  <si>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</si>
  <si>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</si>
  <si>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</si>
  <si>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2026-09-25T22:52:06Z</t>
  </si>
  <si>
    <t xml:space="preserve">Drivers file</t>
  </si>
  <si>
    <t xml:space="preserve">AZO_Drivers.json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</si>
  <si>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</si>
  <si>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</si>
  <si>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</si>
  <si>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AutoZone is a mature, non-discretionary auto-parts retailer/distributor whose FCF generation has been temporarily depressed by a multi-year capex supercycle (Mega Hub network buildout, international expansion, technology investment) that management has signaled is nearing completion. The negative shareholders' equity is a deliberate, decades-long financial-engineering choice (debt-funded buybacks against consistently strong operating cash flow), not a sign of distress -- it is valued here on enterprise cash flow and normalized for capex reverting toward historical levels, not on book equity.
key_risks_to_valuation: Zero balance-sheet cushion: if FCF deteriorates from a recession or margin compression, there is no equity buffer -- leverage risk is real, not just optical; Capex may not normalize on management's stated timeline (Mega Hub 'nearing completion' claim not yet proven out over multiple years); Tariff cost pressure is structural, not transitory, and the FY2026 Q4 beat leaned on a one-time $96M refund that will not repeat; DIY segment softness could deepen with a broader consumer pullback, only partially offset by commercial/DIFM growth; FY2026 10-K not yet filed as of this valuation -- FY0 anchored to FY2025 audited actuals; a refresh is warranted once the FY2026 10-K files</t>
  </si>
  <si>
    <t xml:space="preserve">Data sources</t>
  </si>
  <si>
    <t xml:space="preserve">price: Yahoo Finance chart API at inputs.price_as_of; 52-week range 2764.88-4332.68
financials: SEC XBRL companyfacts (CIK 0000866787) and research/AZO/Reports/AZO_Metrics.csv (109 periods, FY2007-Q3 2026)
qualitative: research/AZO/Reports/AZO_Analysis.json (2026-09-26), sourced from AZO Q4/FY2026 8-K earnings release (2026-09-22) and sell-side commentary</t>
  </si>
  <si>
    <t xml:space="preserve">Scenario narrative: bear</t>
  </si>
  <si>
    <t xml:space="preserve">Consumer-driven DIY decline, tariff escalation outpaces mitigation, capex stays elevated longer than guided, and the debt-funded capital structure becomes a binding constraint as FCF tightens.</t>
  </si>
  <si>
    <t xml:space="preserve">Scenario narrative: base</t>
  </si>
  <si>
    <t xml:space="preserve">Guided operating trajectory plays out: DIY flat-to-soft, commercial compounding on the Mega Hub buildout, capex normalizing from its current cyclical peak back toward AZO's historical ~5% of revenue as the buildout genuinely nears completion, tariff pressure persistent but managed.</t>
  </si>
  <si>
    <t xml:space="preserve">Scenario narrative: bull</t>
  </si>
  <si>
    <t xml:space="preserve">Commercial execution and Mega Hub payback beat guidance, tariff mitigation expands margin, capex cycle peaks and normalizes earlier, unlocking FCF sooner.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</si>
  <si>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</si>
  <si>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</si>
  <si>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</si>
  <si>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</si>
  <si>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</si>
  <si>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</si>
  <si>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</si>
  <si>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</si>
  <si>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</si>
  <si>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</si>
  <si>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</si>
  <si>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</si>
  <si>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</si>
  <si>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</si>
  <si>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</si>
  <si>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</si>
  <si>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</si>
  <si>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</si>
  <si>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</si>
  <si>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</si>
  <si>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</si>
  <si>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</si>
  <si>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</si>
  <si>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</si>
  <si>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</si>
  <si>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</si>
  <si>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</si>
  <si>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</si>
  <si>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</si>
  <si>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</si>
  <si>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</si>
  <si>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</si>
  <si>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</si>
  <si>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</si>
  <si>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</si>
  <si>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</si>
  <si>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</si>
  <si>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</si>
  <si>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</si>
  <si>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</si>
  <si>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</si>
  <si>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</si>
  <si>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</si>
  <si>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</si>
  <si>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</si>
  <si>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</si>
  <si>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</si>
  <si>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</si>
  <si>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</si>
  <si>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</si>
  <si>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</si>
  <si>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</si>
  <si>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</si>
  <si>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</si>
  <si>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</si>
  <si>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</si>
  <si>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</si>
  <si>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</si>
  <si>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</si>
  <si>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</si>
  <si>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</si>
  <si>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</si>
  <si>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</si>
  <si>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</si>
  <si>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</si>
  <si>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</si>
  <si>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</si>
  <si>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</si>
  <si>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</si>
  <si>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</si>
  <si>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</si>
  <si>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</si>
  <si>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</si>
  <si>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</si>
  <si>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</si>
  <si>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</si>
  <si>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</si>
  <si>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</si>
  <si>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</si>
  <si>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</si>
  <si>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</si>
  <si>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</si>
  <si>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</si>
  <si>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AZO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</si>
  <si>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</si>
  <si>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</si>
  <si>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</si>
  <si>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</si>
  <si>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</si>
  <si>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</si>
  <si>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</si>
  <si>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</si>
  <si>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</si>
  <si>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</si>
  <si>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</si>
  <si>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</si>
  <si>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</si>
  <si>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</si>
  <si>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</si>
  <si>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</si>
  <si>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</si>
  <si>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</si>
  <si>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</si>
  <si>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</si>
  <si>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</si>
  <si>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</si>
  <si>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</si>
  <si>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</si>
  <si>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</si>
  <si>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</si>
  <si>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</si>
  <si>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</si>
  <si>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</si>
  <si>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</si>
  <si>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AZO owner-FCF component DCF: base case (millions, USD)</t>
  </si>
  <si>
    <t xml:space="preserve">AZO owner-FCF component DCF: bull case (millions, USD)</t>
  </si>
  <si>
    <t xml:space="preserve">AZO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</si>
  <si>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</si>
  <si>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</si>
  <si>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</si>
  <si>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</si>
  <si>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</si>
  <si>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</si>
  <si>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</si>
  <si>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</si>
  <si>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</si>
  <si>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</si>
  <si>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</si>
  <si>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</si>
  <si>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</si>
  <si>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</si>
  <si>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8.3%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</si>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</sst>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2872.16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403.2</v>
      </c>
      <c r="S2" s="0" t="n">
        <v>86.654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6522.706</v>
      </c>
      <c r="C3" s="0" t="n">
        <v>3254.645</v>
      </c>
      <c r="D3" s="0" t="n">
        <v>3268.061</v>
      </c>
      <c r="E3" s="0" t="n">
        <v>50.1028407535155</v>
      </c>
      <c r="F3" s="0" t="n">
        <v>1124.134</v>
      </c>
      <c r="G3" s="0" t="n">
        <v>17.2341663107306</v>
      </c>
      <c r="H3" s="0" t="n">
        <v>1293.643</v>
      </c>
      <c r="I3" s="0" t="n">
        <v>641.606</v>
      </c>
      <c r="J3" s="0" t="n">
        <v>9.83650037269808</v>
      </c>
      <c r="K3" s="0" t="n">
        <v>10.14</v>
      </c>
      <c r="L3" s="0" t="n">
        <v>921.1</v>
      </c>
      <c r="M3" s="0" t="n">
        <v>243.594</v>
      </c>
      <c r="N3" s="0" t="n">
        <v>677.506</v>
      </c>
      <c r="O3" s="0" t="n">
        <v>229.687</v>
      </c>
      <c r="S3" s="0" t="n">
        <v>242.461</v>
      </c>
      <c r="T3" s="0" t="n">
        <v>63.875</v>
      </c>
      <c r="U3" s="0" t="n">
        <v>18.4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6816.824</v>
      </c>
      <c r="C4" s="0" t="n">
        <v>3400.375</v>
      </c>
      <c r="D4" s="0" t="n">
        <v>3416.449</v>
      </c>
      <c r="E4" s="0" t="n">
        <v>50.1178994792883</v>
      </c>
      <c r="F4" s="0" t="n">
        <v>1176.062</v>
      </c>
      <c r="G4" s="0" t="n">
        <v>17.2523450803483</v>
      </c>
      <c r="H4" s="0" t="n">
        <v>1356.495</v>
      </c>
      <c r="I4" s="0" t="n">
        <v>657.049</v>
      </c>
      <c r="J4" s="0" t="n">
        <v>9.63863816932929</v>
      </c>
      <c r="K4" s="0" t="n">
        <v>11.89</v>
      </c>
      <c r="L4" s="0" t="n">
        <v>923.808</v>
      </c>
      <c r="M4" s="0" t="n">
        <v>272.247</v>
      </c>
      <c r="N4" s="0" t="n">
        <v>651.561</v>
      </c>
      <c r="O4" s="0" t="n">
        <v>-433.074</v>
      </c>
      <c r="P4" s="0" t="n">
        <v>5318.405</v>
      </c>
      <c r="R4" s="0" t="n">
        <v>2726.9</v>
      </c>
      <c r="S4" s="0" t="n">
        <v>92.706</v>
      </c>
      <c r="T4" s="0" t="n">
        <v>55.992</v>
      </c>
      <c r="U4" s="0" t="n">
        <v>19.135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7362.618</v>
      </c>
      <c r="C5" s="0" t="n">
        <v>3650.874</v>
      </c>
      <c r="D5" s="0" t="n">
        <v>3711.744</v>
      </c>
      <c r="E5" s="0" t="n">
        <v>50.413371982629</v>
      </c>
      <c r="F5" s="0" t="n">
        <v>1319.414</v>
      </c>
      <c r="G5" s="0" t="n">
        <v>17.9204462325765</v>
      </c>
      <c r="H5" s="0" t="n">
        <v>1511.498</v>
      </c>
      <c r="I5" s="0" t="n">
        <v>738.311</v>
      </c>
      <c r="J5" s="0" t="n">
        <v>10.0278324911057</v>
      </c>
      <c r="K5" s="0" t="n">
        <v>15.23</v>
      </c>
      <c r="L5" s="0" t="n">
        <v>1196.252</v>
      </c>
      <c r="M5" s="0" t="n">
        <v>315.4</v>
      </c>
      <c r="N5" s="0" t="n">
        <v>880.852</v>
      </c>
      <c r="O5" s="0" t="n">
        <v>-738.765</v>
      </c>
      <c r="P5" s="0" t="n">
        <v>5571.594</v>
      </c>
      <c r="R5" s="0" t="n">
        <v>2882.3</v>
      </c>
      <c r="S5" s="0" t="n">
        <v>98.28</v>
      </c>
      <c r="T5" s="0" t="n">
        <v>49.304</v>
      </c>
      <c r="U5" s="0" t="n">
        <v>19.12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8072.973</v>
      </c>
      <c r="C6" s="0" t="n">
        <v>3953.51</v>
      </c>
      <c r="D6" s="0" t="n">
        <v>4119.463</v>
      </c>
      <c r="E6" s="0" t="n">
        <v>51.0278307632145</v>
      </c>
      <c r="F6" s="0" t="n">
        <v>1494.803</v>
      </c>
      <c r="G6" s="0" t="n">
        <v>18.5161402125338</v>
      </c>
      <c r="H6" s="0" t="n">
        <v>1691.012</v>
      </c>
      <c r="I6" s="0" t="n">
        <v>848.974</v>
      </c>
      <c r="J6" s="0" t="n">
        <v>10.5162497137052</v>
      </c>
      <c r="K6" s="0" t="n">
        <v>19.91</v>
      </c>
      <c r="L6" s="0" t="n">
        <v>1291.538</v>
      </c>
      <c r="M6" s="0" t="n">
        <v>321.604</v>
      </c>
      <c r="N6" s="0" t="n">
        <v>969.934</v>
      </c>
      <c r="O6" s="0" t="n">
        <v>-1254.232</v>
      </c>
      <c r="P6" s="0" t="n">
        <v>5869.602</v>
      </c>
      <c r="R6" s="0" t="n">
        <v>3317.6</v>
      </c>
      <c r="S6" s="0" t="n">
        <v>97.606</v>
      </c>
      <c r="T6" s="0" t="n">
        <v>43.603</v>
      </c>
      <c r="U6" s="0" t="n">
        <v>26.625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8603.863</v>
      </c>
      <c r="C7" s="0" t="n">
        <v>4171.827</v>
      </c>
      <c r="D7" s="0" t="n">
        <v>4432.036</v>
      </c>
      <c r="E7" s="0" t="n">
        <v>51.5121637803856</v>
      </c>
      <c r="F7" s="0" t="n">
        <v>1628.891</v>
      </c>
      <c r="G7" s="0" t="n">
        <v>18.9320889930488</v>
      </c>
      <c r="H7" s="0" t="n">
        <v>1840.722</v>
      </c>
      <c r="I7" s="0" t="n">
        <v>930.373</v>
      </c>
      <c r="J7" s="0" t="n">
        <v>10.8134334542519</v>
      </c>
      <c r="K7" s="0" t="n">
        <v>24.04</v>
      </c>
      <c r="L7" s="0" t="n">
        <v>1223.981</v>
      </c>
      <c r="M7" s="0" t="n">
        <v>378.054</v>
      </c>
      <c r="N7" s="0" t="n">
        <v>845.927</v>
      </c>
      <c r="O7" s="0" t="n">
        <v>-1548.025</v>
      </c>
      <c r="P7" s="0" t="n">
        <v>6265.639</v>
      </c>
      <c r="R7" s="0" t="n">
        <v>3718.302</v>
      </c>
      <c r="S7" s="0" t="n">
        <v>103.093</v>
      </c>
      <c r="T7" s="0" t="n">
        <v>39.625</v>
      </c>
      <c r="U7" s="0" t="n">
        <v>33.4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9147.53</v>
      </c>
      <c r="C8" s="0" t="n">
        <v>4406.595</v>
      </c>
      <c r="D8" s="0" t="n">
        <v>4740.935</v>
      </c>
      <c r="E8" s="0" t="n">
        <v>51.8274878573779</v>
      </c>
      <c r="F8" s="0" t="n">
        <v>1773.098</v>
      </c>
      <c r="G8" s="0" t="n">
        <v>19.3833526645991</v>
      </c>
      <c r="H8" s="0" t="n">
        <v>2000.349</v>
      </c>
      <c r="I8" s="0" t="n">
        <v>1016.48</v>
      </c>
      <c r="J8" s="0" t="n">
        <v>11.1120706901207</v>
      </c>
      <c r="K8" s="0" t="n">
        <v>28.28</v>
      </c>
      <c r="L8" s="0" t="n">
        <v>1415.011</v>
      </c>
      <c r="M8" s="0" t="n">
        <v>414.451</v>
      </c>
      <c r="N8" s="0" t="n">
        <v>1000.56</v>
      </c>
      <c r="O8" s="0" t="n">
        <v>-1687.319</v>
      </c>
      <c r="P8" s="0" t="n">
        <v>6869.167</v>
      </c>
      <c r="R8" s="0" t="n">
        <v>4013.267</v>
      </c>
      <c r="S8" s="0" t="n">
        <v>142.191</v>
      </c>
      <c r="T8" s="0" t="n">
        <v>36.581</v>
      </c>
      <c r="U8" s="0" t="n">
        <v>37.307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9475.313</v>
      </c>
      <c r="C9" s="0" t="n">
        <v>4540.406</v>
      </c>
      <c r="D9" s="0" t="n">
        <v>4934.907</v>
      </c>
      <c r="E9" s="0" t="n">
        <v>52.0817307037773</v>
      </c>
      <c r="F9" s="0" t="n">
        <v>1830.223</v>
      </c>
      <c r="G9" s="0" t="n">
        <v>19.3156996502385</v>
      </c>
      <c r="H9" s="0" t="n">
        <v>2081.49</v>
      </c>
      <c r="I9" s="0" t="n">
        <v>1069.744</v>
      </c>
      <c r="J9" s="0" t="n">
        <v>11.2898011917918</v>
      </c>
      <c r="K9" s="0" t="n">
        <v>32.16</v>
      </c>
      <c r="M9" s="0" t="n">
        <v>438.116</v>
      </c>
      <c r="O9" s="0" t="n">
        <v>-1621.857</v>
      </c>
      <c r="P9" s="0" t="n">
        <v>7497.163</v>
      </c>
      <c r="R9" s="0" t="n">
        <v>4323.106</v>
      </c>
      <c r="S9" s="0" t="n">
        <v>124.485</v>
      </c>
      <c r="T9" s="0" t="n">
        <v>33.882</v>
      </c>
      <c r="U9" s="0" t="n">
        <v>39.39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10187.34</v>
      </c>
      <c r="C10" s="0" t="n">
        <v>4860.309</v>
      </c>
      <c r="D10" s="0" t="n">
        <v>5327.031</v>
      </c>
      <c r="E10" s="0" t="n">
        <v>52.2906960992762</v>
      </c>
      <c r="F10" s="0" t="n">
        <v>1953.051</v>
      </c>
      <c r="G10" s="0" t="n">
        <v>19.1713538568459</v>
      </c>
      <c r="H10" s="0" t="n">
        <v>2222.97</v>
      </c>
      <c r="I10" s="0" t="n">
        <v>1160.241</v>
      </c>
      <c r="J10" s="0" t="n">
        <v>11.3890475825878</v>
      </c>
      <c r="K10" s="0" t="n">
        <v>36.76</v>
      </c>
      <c r="M10" s="0" t="n">
        <v>480.579</v>
      </c>
      <c r="O10" s="0" t="n">
        <v>-1701.39</v>
      </c>
      <c r="P10" s="0" t="n">
        <v>8102.349</v>
      </c>
      <c r="R10" s="0" t="n">
        <v>4624.876</v>
      </c>
      <c r="S10" s="0" t="n">
        <v>175.309</v>
      </c>
      <c r="T10" s="0" t="n">
        <v>32.206</v>
      </c>
      <c r="U10" s="0" t="n">
        <v>40.995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10635.676</v>
      </c>
      <c r="C11" s="0" t="n">
        <v>5026.94</v>
      </c>
      <c r="D11" s="0" t="n">
        <v>5608.736</v>
      </c>
      <c r="E11" s="0" t="n">
        <v>52.7351152855728</v>
      </c>
      <c r="F11" s="0" t="n">
        <v>2060.395</v>
      </c>
      <c r="G11" s="0" t="n">
        <v>19.3724874657709</v>
      </c>
      <c r="H11" s="0" t="n">
        <v>2357.792</v>
      </c>
      <c r="I11" s="0" t="n">
        <v>1241.007</v>
      </c>
      <c r="J11" s="0" t="n">
        <v>11.6683415327808</v>
      </c>
      <c r="K11" s="0" t="n">
        <v>41.52</v>
      </c>
      <c r="L11" s="0" t="n">
        <v>1641.06</v>
      </c>
      <c r="M11" s="0" t="n">
        <v>488.791</v>
      </c>
      <c r="N11" s="0" t="n">
        <v>1152.269</v>
      </c>
      <c r="O11" s="0" t="n">
        <v>-1787.538</v>
      </c>
      <c r="P11" s="0" t="n">
        <v>8599.787</v>
      </c>
      <c r="R11" s="0" t="n">
        <v>4924.119</v>
      </c>
      <c r="S11" s="0" t="n">
        <v>189.734</v>
      </c>
      <c r="T11" s="0" t="n">
        <v>30.488</v>
      </c>
      <c r="U11" s="0" t="n">
        <v>39.825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10888.676</v>
      </c>
      <c r="C12" s="0" t="n">
        <v>5149.056</v>
      </c>
      <c r="D12" s="0" t="n">
        <v>5739.62</v>
      </c>
      <c r="E12" s="0" t="n">
        <v>52.7118264883628</v>
      </c>
      <c r="F12" s="0" t="n">
        <v>2080.069</v>
      </c>
      <c r="G12" s="0" t="n">
        <v>19.1030479738767</v>
      </c>
      <c r="H12" s="0" t="n">
        <v>2403.12</v>
      </c>
      <c r="I12" s="0" t="n">
        <v>1280.869</v>
      </c>
      <c r="J12" s="0" t="n">
        <v>11.7633126378267</v>
      </c>
      <c r="K12" s="0" t="n">
        <v>45.05</v>
      </c>
      <c r="L12" s="0" t="n">
        <v>1570.612</v>
      </c>
      <c r="M12" s="0" t="n">
        <v>553.832</v>
      </c>
      <c r="N12" s="0" t="n">
        <v>1016.78</v>
      </c>
      <c r="O12" s="0" t="n">
        <v>-1428.377</v>
      </c>
      <c r="P12" s="0" t="n">
        <v>9259.781</v>
      </c>
      <c r="R12" s="0" t="n">
        <v>5081.238</v>
      </c>
      <c r="S12" s="0" t="n">
        <v>293.27</v>
      </c>
      <c r="T12" s="0" t="n">
        <v>29.065</v>
      </c>
      <c r="U12" s="0" t="n">
        <v>38.244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11221.077</v>
      </c>
      <c r="C13" s="0" t="n">
        <v>5247.331</v>
      </c>
      <c r="D13" s="0" t="n">
        <v>5973.746</v>
      </c>
      <c r="E13" s="0" t="n">
        <v>53.2368327924316</v>
      </c>
      <c r="F13" s="0" t="n">
        <v>1810.856</v>
      </c>
      <c r="G13" s="0" t="n">
        <v>16.1379874676914</v>
      </c>
      <c r="H13" s="0" t="n">
        <v>2155.94</v>
      </c>
      <c r="I13" s="0" t="n">
        <v>1337.536</v>
      </c>
      <c r="J13" s="0" t="n">
        <v>11.9198540389661</v>
      </c>
      <c r="K13" s="0" t="n">
        <v>49.59</v>
      </c>
      <c r="L13" s="0" t="n">
        <v>2080.292</v>
      </c>
      <c r="M13" s="0" t="n">
        <v>521.788</v>
      </c>
      <c r="N13" s="0" t="n">
        <v>1558.504</v>
      </c>
      <c r="O13" s="0" t="n">
        <v>-1527.128</v>
      </c>
      <c r="P13" s="0" t="n">
        <v>9346.98</v>
      </c>
      <c r="R13" s="0" t="n">
        <v>5005.93</v>
      </c>
      <c r="S13" s="0" t="n">
        <v>217.824</v>
      </c>
      <c r="T13" s="0" t="n">
        <v>27.424</v>
      </c>
      <c r="U13" s="0" t="n">
        <v>43.674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11863.743</v>
      </c>
      <c r="C14" s="0" t="n">
        <v>5498.742</v>
      </c>
      <c r="D14" s="0" t="n">
        <v>6365.001</v>
      </c>
      <c r="E14" s="0" t="n">
        <v>53.6508671841593</v>
      </c>
      <c r="F14" s="0" t="n">
        <v>2216.137</v>
      </c>
      <c r="G14" s="0" t="n">
        <v>18.679914087822</v>
      </c>
      <c r="H14" s="0" t="n">
        <v>2586.094</v>
      </c>
      <c r="I14" s="0" t="n">
        <v>1617.221</v>
      </c>
      <c r="J14" s="0" t="n">
        <v>13.6316253647774</v>
      </c>
      <c r="K14" s="0" t="n">
        <v>64.78</v>
      </c>
      <c r="L14" s="0" t="n">
        <v>2128.513</v>
      </c>
      <c r="M14" s="0" t="n">
        <v>496.05</v>
      </c>
      <c r="N14" s="0" t="n">
        <v>1632.463</v>
      </c>
      <c r="O14" s="0" t="n">
        <v>-1713.851</v>
      </c>
      <c r="P14" s="0" t="n">
        <v>9895.913</v>
      </c>
      <c r="R14" s="0" t="n">
        <v>5206.344</v>
      </c>
      <c r="S14" s="0" t="n">
        <v>176.3</v>
      </c>
      <c r="T14" s="0" t="n">
        <v>25.498</v>
      </c>
      <c r="U14" s="0" t="n">
        <v>43.255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12631.967</v>
      </c>
      <c r="C15" s="0" t="n">
        <v>5861.214</v>
      </c>
      <c r="D15" s="0" t="n">
        <v>6770.753</v>
      </c>
      <c r="E15" s="0" t="n">
        <v>53.6001479421218</v>
      </c>
      <c r="F15" s="0" t="n">
        <v>2417.679</v>
      </c>
      <c r="G15" s="0" t="n">
        <v>19.1393707725804</v>
      </c>
      <c r="H15" s="0" t="n">
        <v>2815.145</v>
      </c>
      <c r="I15" s="0" t="n">
        <v>1732.972</v>
      </c>
      <c r="J15" s="0" t="n">
        <v>13.718940209391</v>
      </c>
      <c r="K15" s="0" t="n">
        <v>73.62</v>
      </c>
      <c r="L15" s="0" t="n">
        <v>2720.108</v>
      </c>
      <c r="M15" s="0" t="n">
        <v>457.736</v>
      </c>
      <c r="N15" s="0" t="n">
        <v>2262.372</v>
      </c>
      <c r="O15" s="0" t="n">
        <v>-877.977</v>
      </c>
      <c r="P15" s="0" t="n">
        <v>14423.872</v>
      </c>
      <c r="R15" s="0" t="n">
        <v>5513.371</v>
      </c>
      <c r="S15" s="0" t="n">
        <v>1750.815</v>
      </c>
      <c r="T15" s="0" t="n">
        <v>24.093</v>
      </c>
      <c r="U15" s="0" t="n">
        <v>44.835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14629.585</v>
      </c>
      <c r="C16" s="0" t="n">
        <v>6911.8</v>
      </c>
      <c r="D16" s="0" t="n">
        <v>7717.785</v>
      </c>
      <c r="E16" s="0" t="n">
        <v>52.7546406818785</v>
      </c>
      <c r="F16" s="0" t="n">
        <v>2944.527</v>
      </c>
      <c r="G16" s="0" t="n">
        <v>20.1272079830016</v>
      </c>
      <c r="H16" s="0" t="n">
        <v>3352.21</v>
      </c>
      <c r="I16" s="0" t="n">
        <v>2170.314</v>
      </c>
      <c r="J16" s="0" t="n">
        <v>14.8351029779724</v>
      </c>
      <c r="K16" s="0" t="n">
        <v>97.6</v>
      </c>
      <c r="L16" s="0" t="n">
        <v>3518.543</v>
      </c>
      <c r="M16" s="0" t="n">
        <v>621.767</v>
      </c>
      <c r="N16" s="0" t="n">
        <v>2896.776</v>
      </c>
      <c r="O16" s="0" t="n">
        <v>-1797.536</v>
      </c>
      <c r="P16" s="0" t="n">
        <v>14516.199</v>
      </c>
      <c r="R16" s="0" t="n">
        <v>5269.82</v>
      </c>
      <c r="S16" s="0" t="n">
        <v>1171.335</v>
      </c>
      <c r="T16" s="0" t="n">
        <v>22.799</v>
      </c>
      <c r="U16" s="0" t="n">
        <v>56.112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16252.23</v>
      </c>
      <c r="C17" s="0" t="n">
        <v>7779.58</v>
      </c>
      <c r="D17" s="0" t="n">
        <v>8472.65</v>
      </c>
      <c r="E17" s="0" t="n">
        <v>52.1322304692956</v>
      </c>
      <c r="F17" s="0" t="n">
        <v>3270.729</v>
      </c>
      <c r="G17" s="0" t="n">
        <v>20.1248013349553</v>
      </c>
      <c r="H17" s="0" t="n">
        <v>3712.952</v>
      </c>
      <c r="I17" s="0" t="n">
        <v>2429.604</v>
      </c>
      <c r="J17" s="0" t="n">
        <v>14.94935771891</v>
      </c>
      <c r="K17" s="0" t="n">
        <v>120.83</v>
      </c>
      <c r="L17" s="0" t="n">
        <v>3211.135</v>
      </c>
      <c r="M17" s="0" t="n">
        <v>672.391</v>
      </c>
      <c r="N17" s="0" t="n">
        <v>2538.744</v>
      </c>
      <c r="O17" s="0" t="n">
        <v>-3538.913</v>
      </c>
      <c r="P17" s="0" t="n">
        <v>15275.043</v>
      </c>
      <c r="R17" s="0" t="n">
        <v>6122.092</v>
      </c>
      <c r="S17" s="0" t="n">
        <v>264.38</v>
      </c>
      <c r="T17" s="0" t="n">
        <v>20.733</v>
      </c>
      <c r="U17" s="0" t="n">
        <v>70.612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17457.209</v>
      </c>
      <c r="C18" s="0" t="n">
        <v>8386.787</v>
      </c>
      <c r="D18" s="0" t="n">
        <v>9070.422</v>
      </c>
      <c r="E18" s="0" t="n">
        <v>51.9580306336483</v>
      </c>
      <c r="F18" s="0" t="n">
        <v>3473.986</v>
      </c>
      <c r="G18" s="0" t="n">
        <v>19.9000080711642</v>
      </c>
      <c r="H18" s="0" t="n">
        <v>3971.563</v>
      </c>
      <c r="I18" s="0" t="n">
        <v>2528.426</v>
      </c>
      <c r="J18" s="0" t="n">
        <v>14.4835637815873</v>
      </c>
      <c r="K18" s="0" t="n">
        <v>136.6</v>
      </c>
      <c r="L18" s="0" t="n">
        <v>2940.788</v>
      </c>
      <c r="M18" s="0" t="n">
        <v>796.657</v>
      </c>
      <c r="N18" s="0" t="n">
        <v>2144.131</v>
      </c>
      <c r="O18" s="0" t="n">
        <v>-4349.894</v>
      </c>
      <c r="P18" s="0" t="n">
        <v>15985.878</v>
      </c>
      <c r="R18" s="0" t="n">
        <v>7668.549</v>
      </c>
      <c r="S18" s="0" t="n">
        <v>277.054</v>
      </c>
      <c r="T18" s="0" t="n">
        <v>19.103</v>
      </c>
      <c r="U18" s="0" t="n">
        <v>93.087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18490.268</v>
      </c>
      <c r="C19" s="0" t="n">
        <v>8673.216</v>
      </c>
      <c r="D19" s="0" t="n">
        <v>9817.052</v>
      </c>
      <c r="E19" s="0" t="n">
        <v>53.0930757736989</v>
      </c>
      <c r="F19" s="0" t="n">
        <v>3788.708</v>
      </c>
      <c r="G19" s="0" t="n">
        <v>20.4902816984589</v>
      </c>
      <c r="H19" s="0" t="n">
        <v>4338.463</v>
      </c>
      <c r="I19" s="0" t="n">
        <v>2662.427</v>
      </c>
      <c r="J19" s="0" t="n">
        <v>14.3990719874909</v>
      </c>
      <c r="K19" s="0" t="n">
        <v>153.82</v>
      </c>
      <c r="L19" s="0" t="n">
        <v>3004.116</v>
      </c>
      <c r="M19" s="0" t="n">
        <v>1072.696</v>
      </c>
      <c r="N19" s="0" t="n">
        <v>1931.42</v>
      </c>
      <c r="O19" s="0" t="n">
        <v>-4749.614</v>
      </c>
      <c r="P19" s="0" t="n">
        <v>17176.538</v>
      </c>
      <c r="R19" s="0" t="n">
        <v>9024.381</v>
      </c>
      <c r="S19" s="0" t="n">
        <v>298.172</v>
      </c>
      <c r="T19" s="0" t="n">
        <v>17.803</v>
      </c>
      <c r="U19" s="0" t="n">
        <v>106.246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18938.717</v>
      </c>
      <c r="C20" s="0" t="n">
        <v>8972.243</v>
      </c>
      <c r="D20" s="0" t="n">
        <v>9966.474</v>
      </c>
      <c r="E20" s="0" t="n">
        <v>52.6248636589269</v>
      </c>
      <c r="F20" s="0" t="n">
        <v>3610.156</v>
      </c>
      <c r="G20" s="0" t="n">
        <v>19.0623050125307</v>
      </c>
      <c r="H20" s="0" t="n">
        <v>4223.355</v>
      </c>
      <c r="I20" s="0" t="n">
        <v>2498.247</v>
      </c>
      <c r="J20" s="0" t="n">
        <v>13.1912156457061</v>
      </c>
      <c r="K20" s="0" t="n">
        <v>148.8</v>
      </c>
      <c r="L20" s="0" t="n">
        <v>3117.337</v>
      </c>
      <c r="M20" s="0" t="n">
        <v>1327.257</v>
      </c>
      <c r="N20" s="0" t="n">
        <v>1790.08</v>
      </c>
      <c r="O20" s="0" t="n">
        <v>-3414.313</v>
      </c>
      <c r="P20" s="0" t="n">
        <v>19355.324</v>
      </c>
      <c r="R20" s="0" t="n">
        <v>8799.775</v>
      </c>
      <c r="S20" s="0" t="n">
        <v>271.803</v>
      </c>
      <c r="T20" s="0" t="n">
        <v>17.245</v>
      </c>
      <c r="U20" s="0" t="n">
        <v>124.717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2872.16</v>
      </c>
    </row>
    <row r="3" customFormat="false" ht="15" hidden="false" customHeight="false" outlineLevel="0" collapsed="false">
      <c r="A3" s="0" t="s">
        <v>85</v>
      </c>
      <c r="B3" s="3" t="n">
        <v>16.6</v>
      </c>
    </row>
    <row r="4" customFormat="false" ht="15" hidden="false" customHeight="false" outlineLevel="0" collapsed="false">
      <c r="A4" s="0" t="s">
        <v>86</v>
      </c>
      <c r="B4" s="3" t="n">
        <v>8527.972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18938.717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4</v>
      </c>
      <c r="D13" s="3" t="n">
        <v>3</v>
      </c>
      <c r="E13" s="3" t="n">
        <v>2.5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20.5</v>
      </c>
      <c r="D14" s="3" t="n">
        <v>20.3</v>
      </c>
      <c r="E14" s="3" t="n">
        <v>20.2</v>
      </c>
      <c r="F14" s="3" t="n">
        <v>20.2</v>
      </c>
      <c r="G14" s="3" t="n">
        <v>20.3</v>
      </c>
      <c r="H14" s="3" t="n">
        <v>20.4</v>
      </c>
      <c r="I14" s="3" t="n">
        <v>20.5</v>
      </c>
      <c r="J14" s="3" t="n">
        <v>20.5</v>
      </c>
      <c r="K14" s="3" t="n">
        <v>20.5</v>
      </c>
      <c r="L14" s="3" t="n">
        <v>20.5</v>
      </c>
    </row>
    <row r="15" customFormat="false" ht="15" hidden="false" customHeight="false" outlineLevel="0" collapsed="false">
      <c r="A15" s="0" t="s">
        <v>107</v>
      </c>
      <c r="C15" s="3" t="n">
        <v>0.8</v>
      </c>
      <c r="D15" s="3" t="n">
        <v>0.85</v>
      </c>
      <c r="E15" s="3" t="n">
        <v>0.88</v>
      </c>
      <c r="F15" s="3" t="n">
        <v>0.88</v>
      </c>
      <c r="G15" s="3" t="n">
        <v>0.85</v>
      </c>
      <c r="H15" s="3" t="n">
        <v>0.82</v>
      </c>
      <c r="I15" s="3" t="n">
        <v>0.8</v>
      </c>
      <c r="J15" s="3" t="n">
        <v>0.78</v>
      </c>
      <c r="K15" s="3" t="n">
        <v>0.75</v>
      </c>
      <c r="L15" s="3" t="n">
        <v>0.75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3.6</v>
      </c>
      <c r="D17" s="3" t="n">
        <v>3.8</v>
      </c>
      <c r="E17" s="3" t="n">
        <v>3.95</v>
      </c>
      <c r="F17" s="3" t="n">
        <v>4</v>
      </c>
      <c r="G17" s="3" t="n">
        <v>3.95</v>
      </c>
      <c r="H17" s="3" t="n">
        <v>3.9</v>
      </c>
      <c r="I17" s="3" t="n">
        <v>3.85</v>
      </c>
      <c r="J17" s="3" t="n">
        <v>3.8</v>
      </c>
      <c r="K17" s="3" t="n">
        <v>3.75</v>
      </c>
      <c r="L17" s="3" t="n">
        <v>3.75</v>
      </c>
    </row>
    <row r="18" customFormat="false" ht="15" hidden="false" customHeight="false" outlineLevel="0" collapsed="false">
      <c r="A18" s="0" t="s">
        <v>110</v>
      </c>
      <c r="C18" s="3" t="n">
        <v>7.8</v>
      </c>
      <c r="D18" s="3" t="n">
        <v>7.5</v>
      </c>
      <c r="E18" s="3" t="n">
        <v>7</v>
      </c>
      <c r="F18" s="3" t="n">
        <v>6.6</v>
      </c>
      <c r="G18" s="3" t="n">
        <v>6.3</v>
      </c>
      <c r="H18" s="3" t="n">
        <v>6.1</v>
      </c>
      <c r="I18" s="3" t="n">
        <v>5.9</v>
      </c>
      <c r="J18" s="3" t="n">
        <v>5.8</v>
      </c>
      <c r="K18" s="3" t="n">
        <v>5.7</v>
      </c>
      <c r="L18" s="3" t="n">
        <v>5.7</v>
      </c>
    </row>
    <row r="19" customFormat="false" ht="15" hidden="false" customHeight="false" outlineLevel="0" collapsed="false">
      <c r="A19" s="0" t="s">
        <v>111</v>
      </c>
      <c r="C19" s="3" t="n">
        <v>21</v>
      </c>
      <c r="D19" s="3" t="n">
        <v>21</v>
      </c>
      <c r="E19" s="3" t="n">
        <v>21.5</v>
      </c>
      <c r="F19" s="3" t="n">
        <v>21.5</v>
      </c>
      <c r="G19" s="3" t="n">
        <v>21.5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1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7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22</v>
      </c>
      <c r="D28" s="3" t="n">
        <v>22.2</v>
      </c>
      <c r="E28" s="3" t="n">
        <v>22.4</v>
      </c>
      <c r="F28" s="3" t="n">
        <v>22.6</v>
      </c>
      <c r="G28" s="3" t="n">
        <v>22.8</v>
      </c>
      <c r="H28" s="3" t="n">
        <v>22.9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107</v>
      </c>
      <c r="C29" s="3" t="n">
        <v>0.72</v>
      </c>
      <c r="D29" s="3" t="n">
        <v>0.74</v>
      </c>
      <c r="E29" s="3" t="n">
        <v>0.76</v>
      </c>
      <c r="F29" s="3" t="n">
        <v>0.76</v>
      </c>
      <c r="G29" s="3" t="n">
        <v>0.75</v>
      </c>
      <c r="H29" s="3" t="n">
        <v>0.73</v>
      </c>
      <c r="I29" s="3" t="n">
        <v>0.7</v>
      </c>
      <c r="J29" s="3" t="n">
        <v>0.68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3.4</v>
      </c>
      <c r="D31" s="3" t="n">
        <v>3.55</v>
      </c>
      <c r="E31" s="3" t="n">
        <v>3.65</v>
      </c>
      <c r="F31" s="3" t="n">
        <v>3.7</v>
      </c>
      <c r="G31" s="3" t="n">
        <v>3.7</v>
      </c>
      <c r="H31" s="3" t="n">
        <v>3.65</v>
      </c>
      <c r="I31" s="3" t="n">
        <v>3.6</v>
      </c>
      <c r="J31" s="3" t="n">
        <v>3.55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110</v>
      </c>
      <c r="C32" s="3" t="n">
        <v>7.3</v>
      </c>
      <c r="D32" s="3" t="n">
        <v>6.8</v>
      </c>
      <c r="E32" s="3" t="n">
        <v>6.3</v>
      </c>
      <c r="F32" s="3" t="n">
        <v>5.9</v>
      </c>
      <c r="G32" s="3" t="n">
        <v>5.6</v>
      </c>
      <c r="H32" s="3" t="n">
        <v>5.4</v>
      </c>
      <c r="I32" s="3" t="n">
        <v>5.2</v>
      </c>
      <c r="J32" s="3" t="n">
        <v>5.1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111</v>
      </c>
      <c r="C33" s="3" t="n">
        <v>20.5</v>
      </c>
      <c r="D33" s="3" t="n">
        <v>20.7</v>
      </c>
      <c r="E33" s="3" t="n">
        <v>20.8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112</v>
      </c>
      <c r="B34" s="3" t="n">
        <v>8.3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16</v>
      </c>
    </row>
    <row r="37" customFormat="false" ht="15" hidden="false" customHeight="false" outlineLevel="0" collapsed="false">
      <c r="A37" s="0" t="s">
        <v>115</v>
      </c>
      <c r="B37" s="3" t="n">
        <v>3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9</v>
      </c>
      <c r="D41" s="3" t="n">
        <v>8</v>
      </c>
      <c r="E41" s="3" t="n">
        <v>7</v>
      </c>
      <c r="F41" s="3" t="n">
        <v>6.5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22.5</v>
      </c>
      <c r="D42" s="3" t="n">
        <v>23</v>
      </c>
      <c r="E42" s="3" t="n">
        <v>23.5</v>
      </c>
      <c r="F42" s="3" t="n">
        <v>24</v>
      </c>
      <c r="G42" s="3" t="n">
        <v>24.3</v>
      </c>
      <c r="H42" s="3" t="n">
        <v>24.5</v>
      </c>
      <c r="I42" s="3" t="n">
        <v>24.7</v>
      </c>
      <c r="J42" s="3" t="n">
        <v>24.8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107</v>
      </c>
      <c r="C43" s="3" t="n">
        <v>0.7</v>
      </c>
      <c r="D43" s="3" t="n">
        <v>0.7</v>
      </c>
      <c r="E43" s="3" t="n">
        <v>0.7</v>
      </c>
      <c r="F43" s="3" t="n">
        <v>0.68</v>
      </c>
      <c r="G43" s="3" t="n">
        <v>0.65</v>
      </c>
      <c r="H43" s="3" t="n">
        <v>0.63</v>
      </c>
      <c r="I43" s="3" t="n">
        <v>0.6</v>
      </c>
      <c r="J43" s="3" t="n">
        <v>0.58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3.3</v>
      </c>
      <c r="D45" s="3" t="n">
        <v>3.4</v>
      </c>
      <c r="E45" s="3" t="n">
        <v>3.45</v>
      </c>
      <c r="F45" s="3" t="n">
        <v>3.45</v>
      </c>
      <c r="G45" s="3" t="n">
        <v>3.4</v>
      </c>
      <c r="H45" s="3" t="n">
        <v>3.35</v>
      </c>
      <c r="I45" s="3" t="n">
        <v>3.3</v>
      </c>
      <c r="J45" s="3" t="n">
        <v>3.25</v>
      </c>
      <c r="K45" s="3" t="n">
        <v>3.2</v>
      </c>
      <c r="L45" s="3" t="n">
        <v>3.2</v>
      </c>
    </row>
    <row r="46" customFormat="false" ht="15" hidden="false" customHeight="false" outlineLevel="0" collapsed="false">
      <c r="A46" s="0" t="s">
        <v>110</v>
      </c>
      <c r="C46" s="3" t="n">
        <v>7</v>
      </c>
      <c r="D46" s="3" t="n">
        <v>6.3</v>
      </c>
      <c r="E46" s="3" t="n">
        <v>5.7</v>
      </c>
      <c r="F46" s="3" t="n">
        <v>5.2</v>
      </c>
      <c r="G46" s="3" t="n">
        <v>4.8</v>
      </c>
      <c r="H46" s="3" t="n">
        <v>4.5</v>
      </c>
      <c r="I46" s="3" t="n">
        <v>4.3</v>
      </c>
      <c r="J46" s="3" t="n">
        <v>4.2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111</v>
      </c>
      <c r="C47" s="3" t="n">
        <v>20</v>
      </c>
      <c r="D47" s="3" t="n">
        <v>20.3</v>
      </c>
      <c r="E47" s="3" t="n">
        <v>20.5</v>
      </c>
      <c r="F47" s="3" t="n">
        <v>20.8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7.5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5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18938.717</v>
      </c>
      <c r="C6" s="0" t="n">
        <f aca="false">B6*(1+C5/100)</f>
        <v>19696.26568</v>
      </c>
      <c r="D6" s="0" t="n">
        <f aca="false">C6*(1+D5/100)</f>
        <v>20287.1536504</v>
      </c>
      <c r="E6" s="0" t="n">
        <f aca="false">D6*(1+E5/100)</f>
        <v>20794.33249166</v>
      </c>
      <c r="F6" s="0" t="n">
        <f aca="false">E6*(1+F5/100)</f>
        <v>21210.2191414932</v>
      </c>
      <c r="G6" s="0" t="n">
        <f aca="false">F6*(1+G5/100)</f>
        <v>21634.4235243231</v>
      </c>
      <c r="H6" s="0" t="n">
        <f aca="false">G6*(1+H5/100)</f>
        <v>22067.1119948095</v>
      </c>
      <c r="I6" s="0" t="n">
        <f aca="false">H6*(1+I5/100)</f>
        <v>22508.4542347057</v>
      </c>
      <c r="J6" s="0" t="n">
        <f aca="false">I6*(1+J5/100)</f>
        <v>22958.6233193998</v>
      </c>
      <c r="K6" s="0" t="n">
        <f aca="false">J6*(1+K5/100)</f>
        <v>23417.7957857878</v>
      </c>
      <c r="L6" s="0" t="n">
        <f aca="false">K6*(1+L5/100)</f>
        <v>23886.1517015036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20.5</v>
      </c>
      <c r="D7" s="4" t="n">
        <f aca="false">Assumptions!D14</f>
        <v>20.3</v>
      </c>
      <c r="E7" s="4" t="n">
        <f aca="false">Assumptions!E14</f>
        <v>20.2</v>
      </c>
      <c r="F7" s="4" t="n">
        <f aca="false">Assumptions!F14</f>
        <v>20.2</v>
      </c>
      <c r="G7" s="4" t="n">
        <f aca="false">Assumptions!G14</f>
        <v>20.3</v>
      </c>
      <c r="H7" s="4" t="n">
        <f aca="false">Assumptions!H14</f>
        <v>20.4</v>
      </c>
      <c r="I7" s="4" t="n">
        <f aca="false">Assumptions!I14</f>
        <v>20.5</v>
      </c>
      <c r="J7" s="4" t="n">
        <f aca="false">Assumptions!J14</f>
        <v>20.5</v>
      </c>
      <c r="K7" s="4" t="n">
        <f aca="false">Assumptions!K14</f>
        <v>20.5</v>
      </c>
      <c r="L7" s="4" t="n">
        <f aca="false">Assumptions!L14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4037.7344644</v>
      </c>
      <c r="D8" s="0" t="n">
        <f aca="false">D6*D7/100</f>
        <v>4118.2921910312</v>
      </c>
      <c r="E8" s="0" t="n">
        <f aca="false">E6*E7/100</f>
        <v>4200.45516331532</v>
      </c>
      <c r="F8" s="0" t="n">
        <f aca="false">F6*F7/100</f>
        <v>4284.46426658163</v>
      </c>
      <c r="G8" s="0" t="n">
        <f aca="false">G6*G7/100</f>
        <v>4391.78797543758</v>
      </c>
      <c r="H8" s="0" t="n">
        <f aca="false">H6*H7/100</f>
        <v>4501.69084694114</v>
      </c>
      <c r="I8" s="0" t="n">
        <f aca="false">I6*I7/100</f>
        <v>4614.23311811467</v>
      </c>
      <c r="J8" s="0" t="n">
        <f aca="false">J6*J7/100</f>
        <v>4706.51778047697</v>
      </c>
      <c r="K8" s="0" t="n">
        <f aca="false">K6*K7/100</f>
        <v>4800.64813608651</v>
      </c>
      <c r="L8" s="0" t="n">
        <f aca="false">L6*L7/100</f>
        <v>4896.66109880824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0.8</v>
      </c>
      <c r="D9" s="4" t="n">
        <f aca="false">Assumptions!D15</f>
        <v>0.85</v>
      </c>
      <c r="E9" s="4" t="n">
        <f aca="false">Assumptions!E15</f>
        <v>0.88</v>
      </c>
      <c r="F9" s="4" t="n">
        <f aca="false">Assumptions!F15</f>
        <v>0.88</v>
      </c>
      <c r="G9" s="4" t="n">
        <f aca="false">Assumptions!G15</f>
        <v>0.85</v>
      </c>
      <c r="H9" s="4" t="n">
        <f aca="false">Assumptions!H15</f>
        <v>0.82</v>
      </c>
      <c r="I9" s="4" t="n">
        <f aca="false">Assumptions!I15</f>
        <v>0.8</v>
      </c>
      <c r="J9" s="4" t="n">
        <f aca="false">Assumptions!J15</f>
        <v>0.78</v>
      </c>
      <c r="K9" s="4" t="n">
        <f aca="false">Assumptions!K15</f>
        <v>0.75</v>
      </c>
      <c r="L9" s="4" t="n">
        <f aca="false">Assumptions!L15</f>
        <v>0.75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-157.57012544</v>
      </c>
      <c r="D10" s="0" t="n">
        <f aca="false">-D6*D9/100</f>
        <v>-172.4408060284</v>
      </c>
      <c r="E10" s="0" t="n">
        <f aca="false">-E6*E9/100</f>
        <v>-182.990125926608</v>
      </c>
      <c r="F10" s="0" t="n">
        <f aca="false">-F6*F9/100</f>
        <v>-186.64992844514</v>
      </c>
      <c r="G10" s="0" t="n">
        <f aca="false">-G6*G9/100</f>
        <v>-183.892599956746</v>
      </c>
      <c r="H10" s="0" t="n">
        <f aca="false">-H6*H9/100</f>
        <v>-180.950318357438</v>
      </c>
      <c r="I10" s="0" t="n">
        <f aca="false">-I6*I9/100</f>
        <v>-180.067633877646</v>
      </c>
      <c r="J10" s="0" t="n">
        <f aca="false">-J6*J9/100</f>
        <v>-179.077261891319</v>
      </c>
      <c r="K10" s="0" t="n">
        <f aca="false">-K6*K9/100</f>
        <v>-175.633468393409</v>
      </c>
      <c r="L10" s="0" t="n">
        <f aca="false">-L6*L9/100</f>
        <v>-179.146137761277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3880.16433896</v>
      </c>
      <c r="D11" s="0" t="n">
        <f aca="false">D8+D10+D24</f>
        <v>3945.8513850028</v>
      </c>
      <c r="E11" s="0" t="n">
        <f aca="false">E8+E10+E24</f>
        <v>4017.46503738871</v>
      </c>
      <c r="F11" s="0" t="n">
        <f aca="false">F8+F10+F24</f>
        <v>4097.81433813649</v>
      </c>
      <c r="G11" s="0" t="n">
        <f aca="false">G8+G10+G24</f>
        <v>4207.89537548084</v>
      </c>
      <c r="H11" s="0" t="n">
        <f aca="false">H8+H10+H24</f>
        <v>4320.7405285837</v>
      </c>
      <c r="I11" s="0" t="n">
        <f aca="false">I8+I10+I24</f>
        <v>4434.16548423703</v>
      </c>
      <c r="J11" s="0" t="n">
        <f aca="false">J8+J10+J24</f>
        <v>4527.44051858565</v>
      </c>
      <c r="K11" s="0" t="n">
        <f aca="false">K8+K10+K24</f>
        <v>4625.0146676931</v>
      </c>
      <c r="L11" s="0" t="n">
        <f aca="false">L8+L10+L24</f>
        <v>4717.51496104696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-709.06556448</v>
      </c>
      <c r="D12" s="4" t="n">
        <f aca="false">-D6*Assumptions!D17/100</f>
        <v>-770.9118387152</v>
      </c>
      <c r="E12" s="4" t="n">
        <f aca="false">-E6*Assumptions!E17/100</f>
        <v>-821.37613342057</v>
      </c>
      <c r="F12" s="4" t="n">
        <f aca="false">-F6*Assumptions!F17/100</f>
        <v>-848.408765659728</v>
      </c>
      <c r="G12" s="4" t="n">
        <f aca="false">-G6*Assumptions!G17/100</f>
        <v>-854.559729210761</v>
      </c>
      <c r="H12" s="4" t="n">
        <f aca="false">-H6*Assumptions!H17/100</f>
        <v>-860.617367797571</v>
      </c>
      <c r="I12" s="4" t="n">
        <f aca="false">-I6*Assumptions!I17/100</f>
        <v>-866.57548803617</v>
      </c>
      <c r="J12" s="4" t="n">
        <f aca="false">-J6*Assumptions!J17/100</f>
        <v>-872.427686137194</v>
      </c>
      <c r="K12" s="4" t="n">
        <f aca="false">-K6*Assumptions!K17/100</f>
        <v>-878.167341967044</v>
      </c>
      <c r="L12" s="4" t="n">
        <f aca="false">-L6*Assumptions!L17/100</f>
        <v>-895.730688806385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3171.09877448</v>
      </c>
      <c r="D13" s="0" t="n">
        <f aca="false">D11+D12</f>
        <v>3174.9395462876</v>
      </c>
      <c r="E13" s="0" t="n">
        <f aca="false">E11+E12</f>
        <v>3196.08890396814</v>
      </c>
      <c r="F13" s="0" t="n">
        <f aca="false">F11+F12</f>
        <v>3249.40557247676</v>
      </c>
      <c r="G13" s="0" t="n">
        <f aca="false">G11+G12</f>
        <v>3353.33564627007</v>
      </c>
      <c r="H13" s="0" t="n">
        <f aca="false">H11+H12</f>
        <v>3460.12316078613</v>
      </c>
      <c r="I13" s="0" t="n">
        <f aca="false">I11+I12</f>
        <v>3567.58999620086</v>
      </c>
      <c r="J13" s="0" t="n">
        <f aca="false">J11+J12</f>
        <v>3655.01283244845</v>
      </c>
      <c r="K13" s="0" t="n">
        <f aca="false">K11+K12</f>
        <v>3746.84732572605</v>
      </c>
      <c r="L13" s="0" t="n">
        <f aca="false">L11+L12</f>
        <v>3821.78427224057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21.5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2505.1680318392</v>
      </c>
      <c r="D15" s="0" t="n">
        <f aca="false">D13-MAX(0,D13)*D14/100</f>
        <v>2508.2022415672</v>
      </c>
      <c r="E15" s="0" t="n">
        <f aca="false">E13-MAX(0,E13)*E14/100</f>
        <v>2508.92978961499</v>
      </c>
      <c r="F15" s="0" t="n">
        <f aca="false">F13-MAX(0,F13)*F14/100</f>
        <v>2550.78337439426</v>
      </c>
      <c r="G15" s="0" t="n">
        <f aca="false">G13-MAX(0,G13)*G14/100</f>
        <v>2632.36848232201</v>
      </c>
      <c r="H15" s="0" t="n">
        <f aca="false">H13-MAX(0,H13)*H14/100</f>
        <v>2716.19668121711</v>
      </c>
      <c r="I15" s="0" t="n">
        <f aca="false">I13-MAX(0,I13)*I14/100</f>
        <v>2800.55814701767</v>
      </c>
      <c r="J15" s="0" t="n">
        <f aca="false">J13-MAX(0,J13)*J14/100</f>
        <v>2869.18507347204</v>
      </c>
      <c r="K15" s="0" t="n">
        <f aca="false">K13-MAX(0,K13)*K14/100</f>
        <v>2941.27515069495</v>
      </c>
      <c r="L15" s="0" t="n">
        <f aca="false">L13-MAX(0,L13)*L14/100</f>
        <v>3000.10065370885</v>
      </c>
    </row>
    <row r="16" customFormat="false" ht="15" hidden="false" customHeight="false" outlineLevel="0" collapsed="false">
      <c r="A16" s="0" t="s">
        <v>127</v>
      </c>
      <c r="C16" s="0" t="n">
        <f aca="false">-C12</f>
        <v>709.06556448</v>
      </c>
      <c r="D16" s="0" t="n">
        <f aca="false">-D12</f>
        <v>770.9118387152</v>
      </c>
      <c r="E16" s="0" t="n">
        <f aca="false">-E12</f>
        <v>821.37613342057</v>
      </c>
      <c r="F16" s="0" t="n">
        <f aca="false">-F12</f>
        <v>848.408765659728</v>
      </c>
      <c r="G16" s="0" t="n">
        <f aca="false">-G12</f>
        <v>854.559729210761</v>
      </c>
      <c r="H16" s="0" t="n">
        <f aca="false">-H12</f>
        <v>860.617367797571</v>
      </c>
      <c r="I16" s="0" t="n">
        <f aca="false">-I12</f>
        <v>866.57548803617</v>
      </c>
      <c r="J16" s="0" t="n">
        <f aca="false">-J12</f>
        <v>872.427686137194</v>
      </c>
      <c r="K16" s="0" t="n">
        <f aca="false">-K12</f>
        <v>878.167341967044</v>
      </c>
      <c r="L16" s="0" t="n">
        <f aca="false">-L12</f>
        <v>895.730688806385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-1536.30872304</v>
      </c>
      <c r="D17" s="4" t="n">
        <f aca="false">-D6*Assumptions!D18/100</f>
        <v>-1521.53652378</v>
      </c>
      <c r="E17" s="4" t="n">
        <f aca="false">-E6*Assumptions!E18/100</f>
        <v>-1455.6032744162</v>
      </c>
      <c r="F17" s="4" t="n">
        <f aca="false">-F6*Assumptions!F18/100</f>
        <v>-1399.87446333855</v>
      </c>
      <c r="G17" s="4" t="n">
        <f aca="false">-G6*Assumptions!G18/100</f>
        <v>-1362.96868203235</v>
      </c>
      <c r="H17" s="4" t="n">
        <f aca="false">-H6*Assumptions!H18/100</f>
        <v>-1346.09383168338</v>
      </c>
      <c r="I17" s="4" t="n">
        <f aca="false">-I6*Assumptions!I18/100</f>
        <v>-1327.99879984764</v>
      </c>
      <c r="J17" s="4" t="n">
        <f aca="false">-J6*Assumptions!J18/100</f>
        <v>-1331.60015252519</v>
      </c>
      <c r="K17" s="4" t="n">
        <f aca="false">-K6*Assumptions!K18/100</f>
        <v>-1334.81435978991</v>
      </c>
      <c r="L17" s="4" t="n">
        <f aca="false">-L6*Assumptions!L18/100</f>
        <v>-1361.5106469857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7.5754868</v>
      </c>
      <c r="D18" s="4" t="n">
        <f aca="false">(D6-C6)*Assumptions!$B$23/100</f>
        <v>5.90887970399999</v>
      </c>
      <c r="E18" s="4" t="n">
        <f aca="false">(E6-D6)*Assumptions!$B$23/100</f>
        <v>5.0717884126</v>
      </c>
      <c r="F18" s="4" t="n">
        <f aca="false">(F6-E6)*Assumptions!$B$23/100</f>
        <v>4.15886649833199</v>
      </c>
      <c r="G18" s="4" t="n">
        <f aca="false">(G6-F6)*Assumptions!$B$23/100</f>
        <v>4.24204382829863</v>
      </c>
      <c r="H18" s="4" t="n">
        <f aca="false">(H6-G6)*Assumptions!$B$23/100</f>
        <v>4.32688470486461</v>
      </c>
      <c r="I18" s="4" t="n">
        <f aca="false">(I6-H6)*Assumptions!$B$23/100</f>
        <v>4.41342239896192</v>
      </c>
      <c r="J18" s="4" t="n">
        <f aca="false">(J6-I6)*Assumptions!$B$23/100</f>
        <v>4.50169084694116</v>
      </c>
      <c r="K18" s="4" t="n">
        <f aca="false">(K6-J6)*Assumptions!$B$23/100</f>
        <v>4.59172466387998</v>
      </c>
      <c r="L18" s="4" t="n">
        <f aca="false">(L6-K6)*Assumptions!$B$23/100</f>
        <v>4.68355915715758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1685.5003600792</v>
      </c>
      <c r="D19" s="0" t="n">
        <f aca="false">D15+D16+D17+D18</f>
        <v>1763.4864362064</v>
      </c>
      <c r="E19" s="0" t="n">
        <f aca="false">E15+E16+E17+E18</f>
        <v>1879.77443703196</v>
      </c>
      <c r="F19" s="0" t="n">
        <f aca="false">F15+F16+F17+F18</f>
        <v>2003.47654321376</v>
      </c>
      <c r="G19" s="0" t="n">
        <f aca="false">G15+G16+G17+G18</f>
        <v>2128.20157332872</v>
      </c>
      <c r="H19" s="0" t="n">
        <f aca="false">H15+H16+H17+H18</f>
        <v>2235.04710203617</v>
      </c>
      <c r="I19" s="0" t="n">
        <f aca="false">I15+I16+I17+I18</f>
        <v>2343.54825760517</v>
      </c>
      <c r="J19" s="0" t="n">
        <f aca="false">J15+J16+J17+J18</f>
        <v>2414.51429793098</v>
      </c>
      <c r="K19" s="0" t="n">
        <f aca="false">K15+K16+K17+K18</f>
        <v>2489.21985753597</v>
      </c>
      <c r="L19" s="0" t="n">
        <f aca="false">L15+L16+L17+L18</f>
        <v>2539.00425468669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1539.26973523215</v>
      </c>
      <c r="D21" s="0" t="n">
        <f aca="false">D19*D20</f>
        <v>1470.76702838256</v>
      </c>
      <c r="E21" s="0" t="n">
        <f aca="false">E19*E20</f>
        <v>1431.73743966209</v>
      </c>
      <c r="F21" s="0" t="n">
        <f aca="false">F19*F20</f>
        <v>1393.56678105696</v>
      </c>
      <c r="G21" s="0" t="n">
        <f aca="false">G19*G20</f>
        <v>1351.89251667478</v>
      </c>
      <c r="H21" s="0" t="n">
        <f aca="false">H19*H20</f>
        <v>1296.58790175473</v>
      </c>
      <c r="I21" s="0" t="n">
        <f aca="false">I19*I20</f>
        <v>1241.58102471083</v>
      </c>
      <c r="J21" s="0" t="n">
        <f aca="false">J19*J20</f>
        <v>1168.19899445649</v>
      </c>
      <c r="K21" s="0" t="n">
        <f aca="false">K19*K20</f>
        <v>1099.85690144009</v>
      </c>
      <c r="L21" s="0" t="n">
        <f aca="false">L19*L20</f>
        <v>1024.52423695789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13017.9825603286</v>
      </c>
    </row>
    <row r="31" customFormat="false" ht="15" hidden="false" customHeight="false" outlineLevel="0" collapsed="false">
      <c r="A31" s="0" t="s">
        <v>136</v>
      </c>
      <c r="B31" s="0" t="n">
        <f aca="false">L19</f>
        <v>2539.00425468669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34530.457863739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35546.0595656136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34530.457863739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13933.5296226273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26951.5121829559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18423.5401829558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1109.85181825035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-0.613582872036951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1110.63773476101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983.116909973057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1235.9816161259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19921.4179983109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397.998251634199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18938.717</v>
      </c>
      <c r="C6" s="0" t="n">
        <f aca="false">B6*(1+C5/100)</f>
        <v>20264.42719</v>
      </c>
      <c r="D6" s="0" t="n">
        <f aca="false">C6*(1+D5/100)</f>
        <v>21480.2928214</v>
      </c>
      <c r="E6" s="0" t="n">
        <f aca="false">D6*(1+E5/100)</f>
        <v>22661.708926577</v>
      </c>
      <c r="F6" s="0" t="n">
        <f aca="false">E6*(1+F5/100)</f>
        <v>23794.7943729059</v>
      </c>
      <c r="G6" s="0" t="n">
        <f aca="false">F6*(1+G5/100)</f>
        <v>24865.5601196866</v>
      </c>
      <c r="H6" s="0" t="n">
        <f aca="false">G6*(1+H5/100)</f>
        <v>25860.1825244741</v>
      </c>
      <c r="I6" s="0" t="n">
        <f aca="false">H6*(1+I5/100)</f>
        <v>26765.2889128307</v>
      </c>
      <c r="J6" s="0" t="n">
        <f aca="false">I6*(1+J5/100)</f>
        <v>27568.2475802156</v>
      </c>
      <c r="K6" s="0" t="n">
        <f aca="false">J6*(1+K5/100)</f>
        <v>28395.2950076221</v>
      </c>
      <c r="L6" s="0" t="n">
        <f aca="false">K6*(1+L5/100)</f>
        <v>29247.1538578507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22</v>
      </c>
      <c r="D7" s="4" t="n">
        <f aca="false">Assumptions!D28</f>
        <v>22.2</v>
      </c>
      <c r="E7" s="4" t="n">
        <f aca="false">Assumptions!E28</f>
        <v>22.4</v>
      </c>
      <c r="F7" s="4" t="n">
        <f aca="false">Assumptions!F28</f>
        <v>22.6</v>
      </c>
      <c r="G7" s="4" t="n">
        <f aca="false">Assumptions!G28</f>
        <v>22.8</v>
      </c>
      <c r="H7" s="4" t="n">
        <f aca="false">Assumptions!H28</f>
        <v>22.9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4458.1739818</v>
      </c>
      <c r="D8" s="0" t="n">
        <f aca="false">D6*D7/100</f>
        <v>4768.6250063508</v>
      </c>
      <c r="E8" s="0" t="n">
        <f aca="false">E6*E7/100</f>
        <v>5076.22279955325</v>
      </c>
      <c r="F8" s="0" t="n">
        <f aca="false">F6*F7/100</f>
        <v>5377.62352827672</v>
      </c>
      <c r="G8" s="0" t="n">
        <f aca="false">G6*G7/100</f>
        <v>5669.34770728855</v>
      </c>
      <c r="H8" s="0" t="n">
        <f aca="false">H6*H7/100</f>
        <v>5921.98179810456</v>
      </c>
      <c r="I8" s="0" t="n">
        <f aca="false">I6*I7/100</f>
        <v>6156.01644995106</v>
      </c>
      <c r="J8" s="0" t="n">
        <f aca="false">J6*J7/100</f>
        <v>6340.69694344959</v>
      </c>
      <c r="K8" s="0" t="n">
        <f aca="false">K6*K7/100</f>
        <v>6530.91785175307</v>
      </c>
      <c r="L8" s="0" t="n">
        <f aca="false">L6*L7/100</f>
        <v>6726.84538730567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0.72</v>
      </c>
      <c r="D9" s="4" t="n">
        <f aca="false">Assumptions!D29</f>
        <v>0.74</v>
      </c>
      <c r="E9" s="4" t="n">
        <f aca="false">Assumptions!E29</f>
        <v>0.76</v>
      </c>
      <c r="F9" s="4" t="n">
        <f aca="false">Assumptions!F29</f>
        <v>0.76</v>
      </c>
      <c r="G9" s="4" t="n">
        <f aca="false">Assumptions!G29</f>
        <v>0.75</v>
      </c>
      <c r="H9" s="4" t="n">
        <f aca="false">Assumptions!H29</f>
        <v>0.73</v>
      </c>
      <c r="I9" s="4" t="n">
        <f aca="false">Assumptions!I29</f>
        <v>0.7</v>
      </c>
      <c r="J9" s="4" t="n">
        <f aca="false">Assumptions!J29</f>
        <v>0.68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-145.903875768</v>
      </c>
      <c r="D10" s="0" t="n">
        <f aca="false">-D6*D9/100</f>
        <v>-158.95416687836</v>
      </c>
      <c r="E10" s="0" t="n">
        <f aca="false">-E6*E9/100</f>
        <v>-172.228987841985</v>
      </c>
      <c r="F10" s="0" t="n">
        <f aca="false">-F6*F9/100</f>
        <v>-180.840437234085</v>
      </c>
      <c r="G10" s="0" t="n">
        <f aca="false">-G6*G9/100</f>
        <v>-186.49170089765</v>
      </c>
      <c r="H10" s="0" t="n">
        <f aca="false">-H6*H9/100</f>
        <v>-188.779332428661</v>
      </c>
      <c r="I10" s="0" t="n">
        <f aca="false">-I6*I9/100</f>
        <v>-187.357022389815</v>
      </c>
      <c r="J10" s="0" t="n">
        <f aca="false">-J6*J9/100</f>
        <v>-187.464083545466</v>
      </c>
      <c r="K10" s="0" t="n">
        <f aca="false">-K6*K9/100</f>
        <v>-184.569417549543</v>
      </c>
      <c r="L10" s="0" t="n">
        <f aca="false">-L6*L9/100</f>
        <v>-190.10650007603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4312.270106032</v>
      </c>
      <c r="D11" s="0" t="n">
        <f aca="false">D8+D10+D24</f>
        <v>4609.67083947244</v>
      </c>
      <c r="E11" s="0" t="n">
        <f aca="false">E8+E10+E24</f>
        <v>4903.99381171126</v>
      </c>
      <c r="F11" s="0" t="n">
        <f aca="false">F8+F10+F24</f>
        <v>5196.78309104264</v>
      </c>
      <c r="G11" s="0" t="n">
        <f aca="false">G8+G10+G24</f>
        <v>5482.8560063909</v>
      </c>
      <c r="H11" s="0" t="n">
        <f aca="false">H8+H10+H24</f>
        <v>5733.2024656759</v>
      </c>
      <c r="I11" s="0" t="n">
        <f aca="false">I8+I10+I24</f>
        <v>5968.65942756124</v>
      </c>
      <c r="J11" s="0" t="n">
        <f aca="false">J8+J10+J24</f>
        <v>6153.23285990412</v>
      </c>
      <c r="K11" s="0" t="n">
        <f aca="false">K8+K10+K24</f>
        <v>6346.34843420353</v>
      </c>
      <c r="L11" s="0" t="n">
        <f aca="false">L8+L10+L24</f>
        <v>6536.73888722964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-688.99052446</v>
      </c>
      <c r="D12" s="4" t="n">
        <f aca="false">-D6*Assumptions!D31/100</f>
        <v>-762.5503951597</v>
      </c>
      <c r="E12" s="4" t="n">
        <f aca="false">-E6*Assumptions!E31/100</f>
        <v>-827.152375820061</v>
      </c>
      <c r="F12" s="4" t="n">
        <f aca="false">-F6*Assumptions!F31/100</f>
        <v>-880.407391797517</v>
      </c>
      <c r="G12" s="4" t="n">
        <f aca="false">-G6*Assumptions!G31/100</f>
        <v>-920.025724428405</v>
      </c>
      <c r="H12" s="4" t="n">
        <f aca="false">-H6*Assumptions!H31/100</f>
        <v>-943.896662143304</v>
      </c>
      <c r="I12" s="4" t="n">
        <f aca="false">-I6*Assumptions!I31/100</f>
        <v>-963.550400861904</v>
      </c>
      <c r="J12" s="4" t="n">
        <f aca="false">-J6*Assumptions!J31/100</f>
        <v>-978.672789097653</v>
      </c>
      <c r="K12" s="4" t="n">
        <f aca="false">-K6*Assumptions!K31/100</f>
        <v>-993.835325266772</v>
      </c>
      <c r="L12" s="4" t="n">
        <f aca="false">-L6*Assumptions!L31/100</f>
        <v>-1023.65038502478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3623.279581572</v>
      </c>
      <c r="D13" s="0" t="n">
        <f aca="false">D11+D12</f>
        <v>3847.12044431274</v>
      </c>
      <c r="E13" s="0" t="n">
        <f aca="false">E11+E12</f>
        <v>4076.8414358912</v>
      </c>
      <c r="F13" s="0" t="n">
        <f aca="false">F11+F12</f>
        <v>4316.37569924512</v>
      </c>
      <c r="G13" s="0" t="n">
        <f aca="false">G11+G12</f>
        <v>4562.83028196249</v>
      </c>
      <c r="H13" s="0" t="n">
        <f aca="false">H11+H12</f>
        <v>4789.3058035326</v>
      </c>
      <c r="I13" s="0" t="n">
        <f aca="false">I11+I12</f>
        <v>5005.10902669934</v>
      </c>
      <c r="J13" s="0" t="n">
        <f aca="false">J11+J12</f>
        <v>5174.56007080647</v>
      </c>
      <c r="K13" s="0" t="n">
        <f aca="false">K11+K12</f>
        <v>5352.51310893676</v>
      </c>
      <c r="L13" s="0" t="n">
        <f aca="false">L11+L12</f>
        <v>5513.08850220486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20.5</v>
      </c>
      <c r="D14" s="4" t="n">
        <f aca="false">Assumptions!D33</f>
        <v>20.7</v>
      </c>
      <c r="E14" s="4" t="n">
        <f aca="false">Assumptions!E33</f>
        <v>20.8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2880.50726734974</v>
      </c>
      <c r="D15" s="0" t="n">
        <f aca="false">D13-MAX(0,D13)*D14/100</f>
        <v>3050.76651234</v>
      </c>
      <c r="E15" s="0" t="n">
        <f aca="false">E13-MAX(0,E13)*E14/100</f>
        <v>3228.85841722583</v>
      </c>
      <c r="F15" s="0" t="n">
        <f aca="false">F13-MAX(0,F13)*F14/100</f>
        <v>3409.93680240365</v>
      </c>
      <c r="G15" s="0" t="n">
        <f aca="false">G13-MAX(0,G13)*G14/100</f>
        <v>3604.63592275037</v>
      </c>
      <c r="H15" s="0" t="n">
        <f aca="false">H13-MAX(0,H13)*H14/100</f>
        <v>3783.55158479075</v>
      </c>
      <c r="I15" s="0" t="n">
        <f aca="false">I13-MAX(0,I13)*I14/100</f>
        <v>3954.03613109247</v>
      </c>
      <c r="J15" s="0" t="n">
        <f aca="false">J13-MAX(0,J13)*J14/100</f>
        <v>4087.90245593711</v>
      </c>
      <c r="K15" s="0" t="n">
        <f aca="false">K13-MAX(0,K13)*K14/100</f>
        <v>4228.48535606004</v>
      </c>
      <c r="L15" s="0" t="n">
        <f aca="false">L13-MAX(0,L13)*L14/100</f>
        <v>4355.33991674184</v>
      </c>
    </row>
    <row r="16" customFormat="false" ht="15" hidden="false" customHeight="false" outlineLevel="0" collapsed="false">
      <c r="A16" s="0" t="s">
        <v>127</v>
      </c>
      <c r="C16" s="0" t="n">
        <f aca="false">-C12</f>
        <v>688.99052446</v>
      </c>
      <c r="D16" s="0" t="n">
        <f aca="false">-D12</f>
        <v>762.5503951597</v>
      </c>
      <c r="E16" s="0" t="n">
        <f aca="false">-E12</f>
        <v>827.152375820061</v>
      </c>
      <c r="F16" s="0" t="n">
        <f aca="false">-F12</f>
        <v>880.407391797517</v>
      </c>
      <c r="G16" s="0" t="n">
        <f aca="false">-G12</f>
        <v>920.025724428405</v>
      </c>
      <c r="H16" s="0" t="n">
        <f aca="false">-H12</f>
        <v>943.896662143304</v>
      </c>
      <c r="I16" s="0" t="n">
        <f aca="false">-I12</f>
        <v>963.550400861904</v>
      </c>
      <c r="J16" s="0" t="n">
        <f aca="false">-J12</f>
        <v>978.672789097653</v>
      </c>
      <c r="K16" s="0" t="n">
        <f aca="false">-K12</f>
        <v>993.835325266772</v>
      </c>
      <c r="L16" s="0" t="n">
        <f aca="false">-L12</f>
        <v>1023.65038502478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-1479.30318487</v>
      </c>
      <c r="D17" s="4" t="n">
        <f aca="false">-D6*Assumptions!D32/100</f>
        <v>-1460.6599118552</v>
      </c>
      <c r="E17" s="4" t="n">
        <f aca="false">-E6*Assumptions!E32/100</f>
        <v>-1427.68766237435</v>
      </c>
      <c r="F17" s="4" t="n">
        <f aca="false">-F6*Assumptions!F32/100</f>
        <v>-1403.89286800145</v>
      </c>
      <c r="G17" s="4" t="n">
        <f aca="false">-G6*Assumptions!G32/100</f>
        <v>-1392.47136670245</v>
      </c>
      <c r="H17" s="4" t="n">
        <f aca="false">-H6*Assumptions!H32/100</f>
        <v>-1396.4498563216</v>
      </c>
      <c r="I17" s="4" t="n">
        <f aca="false">-I6*Assumptions!I32/100</f>
        <v>-1391.7950234672</v>
      </c>
      <c r="J17" s="4" t="n">
        <f aca="false">-J6*Assumptions!J32/100</f>
        <v>-1405.980626591</v>
      </c>
      <c r="K17" s="4" t="n">
        <f aca="false">-K6*Assumptions!K32/100</f>
        <v>-1419.7647503811</v>
      </c>
      <c r="L17" s="4" t="n">
        <f aca="false">-L6*Assumptions!L32/100</f>
        <v>-1462.35769289254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39.7713057000001</v>
      </c>
      <c r="D18" s="4" t="n">
        <f aca="false">(D6-C6)*Assumptions!$B$37/100</f>
        <v>36.475968942</v>
      </c>
      <c r="E18" s="4" t="n">
        <f aca="false">(E6-D6)*Assumptions!$B$37/100</f>
        <v>35.44248315531</v>
      </c>
      <c r="F18" s="4" t="n">
        <f aca="false">(F6-E6)*Assumptions!$B$37/100</f>
        <v>33.9925633898656</v>
      </c>
      <c r="G18" s="4" t="n">
        <f aca="false">(G6-F6)*Assumptions!$B$37/100</f>
        <v>32.1229724034229</v>
      </c>
      <c r="H18" s="4" t="n">
        <f aca="false">(H6-G6)*Assumptions!$B$37/100</f>
        <v>29.8386721436239</v>
      </c>
      <c r="I18" s="4" t="n">
        <f aca="false">(I6-H6)*Assumptions!$B$37/100</f>
        <v>27.1531916506977</v>
      </c>
      <c r="J18" s="4" t="n">
        <f aca="false">(J6-I6)*Assumptions!$B$37/100</f>
        <v>24.0887600215477</v>
      </c>
      <c r="K18" s="4" t="n">
        <f aca="false">(K6-J6)*Assumptions!$B$37/100</f>
        <v>24.8114228221941</v>
      </c>
      <c r="L18" s="4" t="n">
        <f aca="false">(L6-K6)*Assumptions!$B$37/100</f>
        <v>25.5557655068599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2129.96591263974</v>
      </c>
      <c r="D19" s="0" t="n">
        <f aca="false">D15+D16+D17+D18</f>
        <v>2389.1329645865</v>
      </c>
      <c r="E19" s="0" t="n">
        <f aca="false">E15+E16+E17+E18</f>
        <v>2663.76561382685</v>
      </c>
      <c r="F19" s="0" t="n">
        <f aca="false">F15+F16+F17+F18</f>
        <v>2920.44388958958</v>
      </c>
      <c r="G19" s="0" t="n">
        <f aca="false">G15+G16+G17+G18</f>
        <v>3164.31325287975</v>
      </c>
      <c r="H19" s="0" t="n">
        <f aca="false">H15+H16+H17+H18</f>
        <v>3360.83706275608</v>
      </c>
      <c r="I19" s="0" t="n">
        <f aca="false">I15+I16+I17+I18</f>
        <v>3552.94470013788</v>
      </c>
      <c r="J19" s="0" t="n">
        <f aca="false">J15+J16+J17+J18</f>
        <v>3684.68337846532</v>
      </c>
      <c r="K19" s="0" t="n">
        <f aca="false">K15+K16+K17+K18</f>
        <v>3827.3673537679</v>
      </c>
      <c r="L19" s="0" t="n">
        <f aca="false">L15+L16+L17+L18</f>
        <v>3942.18837438094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0.923361034164358</v>
      </c>
      <c r="D20" s="0" t="n">
        <f aca="false">1/(1+$B$27/100)^D4</f>
        <v>0.852595599413073</v>
      </c>
      <c r="E20" s="0" t="n">
        <f aca="false">1/(1+$B$27/100)^E4</f>
        <v>0.787253554398036</v>
      </c>
      <c r="F20" s="0" t="n">
        <f aca="false">1/(1+$B$27/100)^F4</f>
        <v>0.726919256138538</v>
      </c>
      <c r="G20" s="0" t="n">
        <f aca="false">1/(1+$B$27/100)^G4</f>
        <v>0.671208916102066</v>
      </c>
      <c r="H20" s="0" t="n">
        <f aca="false">1/(1+$B$27/100)^H4</f>
        <v>0.619768158912342</v>
      </c>
      <c r="I20" s="0" t="n">
        <f aca="false">1/(1+$B$27/100)^I4</f>
        <v>0.57226976815544</v>
      </c>
      <c r="J20" s="0" t="n">
        <f aca="false">1/(1+$B$27/100)^J4</f>
        <v>0.528411604945005</v>
      </c>
      <c r="K20" s="0" t="n">
        <f aca="false">1/(1+$B$27/100)^K4</f>
        <v>0.487914686006468</v>
      </c>
      <c r="L20" s="0" t="n">
        <f aca="false">1/(1+$B$27/100)^L4</f>
        <v>0.450521409054911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1966.72752782986</v>
      </c>
      <c r="D21" s="0" t="n">
        <f aca="false">D19*D20</f>
        <v>2036.96425201916</v>
      </c>
      <c r="E21" s="0" t="n">
        <f aca="false">E19*E20</f>
        <v>2097.05894756846</v>
      </c>
      <c r="F21" s="0" t="n">
        <f aca="false">F19*F20</f>
        <v>2122.9268998148</v>
      </c>
      <c r="G21" s="0" t="n">
        <f aca="false">G19*G20</f>
        <v>2123.91526867282</v>
      </c>
      <c r="H21" s="0" t="n">
        <f aca="false">H19*H20</f>
        <v>2082.9397987887</v>
      </c>
      <c r="I21" s="0" t="n">
        <f aca="false">I19*I20</f>
        <v>2033.24283981701</v>
      </c>
      <c r="J21" s="0" t="n">
        <f aca="false">J19*J20</f>
        <v>1947.02945772904</v>
      </c>
      <c r="K21" s="0" t="n">
        <f aca="false">K19*K20</f>
        <v>1867.42874064507</v>
      </c>
      <c r="L21" s="0" t="n">
        <f aca="false">L19*L20</f>
        <v>1776.04026118599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8.3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20054.2739940709</v>
      </c>
    </row>
    <row r="31" customFormat="false" ht="15" hidden="false" customHeight="false" outlineLevel="0" collapsed="false">
      <c r="A31" s="0" t="s">
        <v>136</v>
      </c>
      <c r="B31" s="0" t="n">
        <f aca="false">L19</f>
        <v>3942.18837438094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69667.9842024218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63075.013990095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63075.013990095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28416.6441789758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48470.9181730467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39942.9461730467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2406.20157668956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-0.162232752809885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1161.44230220704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1513.59007744602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2567.34810558432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32325.9446699237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853.690693154573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18938.717</v>
      </c>
      <c r="C6" s="0" t="n">
        <f aca="false">B6*(1+C5/100)</f>
        <v>20643.20153</v>
      </c>
      <c r="D6" s="0" t="n">
        <f aca="false">C6*(1+D5/100)</f>
        <v>22294.6576524</v>
      </c>
      <c r="E6" s="0" t="n">
        <f aca="false">D6*(1+E5/100)</f>
        <v>23855.283688068</v>
      </c>
      <c r="F6" s="0" t="n">
        <f aca="false">E6*(1+F5/100)</f>
        <v>25405.8771277924</v>
      </c>
      <c r="G6" s="0" t="n">
        <f aca="false">F6*(1+G5/100)</f>
        <v>26930.22975546</v>
      </c>
      <c r="H6" s="0" t="n">
        <f aca="false">G6*(1+H5/100)</f>
        <v>28411.3923920103</v>
      </c>
      <c r="I6" s="0" t="n">
        <f aca="false">H6*(1+I5/100)</f>
        <v>29831.9620116108</v>
      </c>
      <c r="J6" s="0" t="n">
        <f aca="false">I6*(1+J5/100)</f>
        <v>31174.4003021333</v>
      </c>
      <c r="K6" s="0" t="n">
        <f aca="false">J6*(1+K5/100)</f>
        <v>32421.3763142186</v>
      </c>
      <c r="L6" s="0" t="n">
        <f aca="false">K6*(1+L5/100)</f>
        <v>33718.2313667873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22.5</v>
      </c>
      <c r="D7" s="4" t="n">
        <f aca="false">Assumptions!D42</f>
        <v>23</v>
      </c>
      <c r="E7" s="4" t="n">
        <f aca="false">Assumptions!E42</f>
        <v>23.5</v>
      </c>
      <c r="F7" s="4" t="n">
        <f aca="false">Assumptions!F42</f>
        <v>24</v>
      </c>
      <c r="G7" s="4" t="n">
        <f aca="false">Assumptions!G42</f>
        <v>24.3</v>
      </c>
      <c r="H7" s="4" t="n">
        <f aca="false">Assumptions!H42</f>
        <v>24.5</v>
      </c>
      <c r="I7" s="4" t="n">
        <f aca="false">Assumptions!I42</f>
        <v>24.7</v>
      </c>
      <c r="J7" s="4" t="n">
        <f aca="false">Assumptions!J42</f>
        <v>24.8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4644.72034425</v>
      </c>
      <c r="D8" s="0" t="n">
        <f aca="false">D6*D7/100</f>
        <v>5127.771260052</v>
      </c>
      <c r="E8" s="0" t="n">
        <f aca="false">E6*E7/100</f>
        <v>5605.99166669598</v>
      </c>
      <c r="F8" s="0" t="n">
        <f aca="false">F6*F7/100</f>
        <v>6097.41051067018</v>
      </c>
      <c r="G8" s="0" t="n">
        <f aca="false">G6*G7/100</f>
        <v>6544.04583057677</v>
      </c>
      <c r="H8" s="0" t="n">
        <f aca="false">H6*H7/100</f>
        <v>6960.79113604252</v>
      </c>
      <c r="I8" s="0" t="n">
        <f aca="false">I6*I7/100</f>
        <v>7368.49461686786</v>
      </c>
      <c r="J8" s="0" t="n">
        <f aca="false">J6*J7/100</f>
        <v>7731.25127492905</v>
      </c>
      <c r="K8" s="0" t="n">
        <f aca="false">K6*K7/100</f>
        <v>8105.34407855465</v>
      </c>
      <c r="L8" s="0" t="n">
        <f aca="false">L6*L7/100</f>
        <v>8429.55784169684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0.7</v>
      </c>
      <c r="F9" s="4" t="n">
        <f aca="false">Assumptions!F43</f>
        <v>0.68</v>
      </c>
      <c r="G9" s="4" t="n">
        <f aca="false">Assumptions!G43</f>
        <v>0.65</v>
      </c>
      <c r="H9" s="4" t="n">
        <f aca="false">Assumptions!H43</f>
        <v>0.63</v>
      </c>
      <c r="I9" s="4" t="n">
        <f aca="false">Assumptions!I43</f>
        <v>0.6</v>
      </c>
      <c r="J9" s="4" t="n">
        <f aca="false">Assumptions!J43</f>
        <v>0.58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-144.50241071</v>
      </c>
      <c r="D10" s="0" t="n">
        <f aca="false">-D6*D9/100</f>
        <v>-156.0626035668</v>
      </c>
      <c r="E10" s="0" t="n">
        <f aca="false">-E6*E9/100</f>
        <v>-166.986985816476</v>
      </c>
      <c r="F10" s="0" t="n">
        <f aca="false">-F6*F9/100</f>
        <v>-172.759964468989</v>
      </c>
      <c r="G10" s="0" t="n">
        <f aca="false">-G6*G9/100</f>
        <v>-175.04649341049</v>
      </c>
      <c r="H10" s="0" t="n">
        <f aca="false">-H6*H9/100</f>
        <v>-178.991772069665</v>
      </c>
      <c r="I10" s="0" t="n">
        <f aca="false">-I6*I9/100</f>
        <v>-178.991772069665</v>
      </c>
      <c r="J10" s="0" t="n">
        <f aca="false">-J6*J9/100</f>
        <v>-180.811521752373</v>
      </c>
      <c r="K10" s="0" t="n">
        <f aca="false">-K6*K9/100</f>
        <v>-178.317569728202</v>
      </c>
      <c r="L10" s="0" t="n">
        <f aca="false">-L6*L9/100</f>
        <v>-185.45027251733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4500.21793354</v>
      </c>
      <c r="D11" s="0" t="n">
        <f aca="false">D8+D10+D24</f>
        <v>4971.7086564852</v>
      </c>
      <c r="E11" s="0" t="n">
        <f aca="false">E8+E10+E24</f>
        <v>5439.00468087951</v>
      </c>
      <c r="F11" s="0" t="n">
        <f aca="false">F8+F10+F24</f>
        <v>5924.6505462012</v>
      </c>
      <c r="G11" s="0" t="n">
        <f aca="false">G8+G10+G24</f>
        <v>6368.99933716628</v>
      </c>
      <c r="H11" s="0" t="n">
        <f aca="false">H8+H10+H24</f>
        <v>6781.79936397285</v>
      </c>
      <c r="I11" s="0" t="n">
        <f aca="false">I8+I10+I24</f>
        <v>7189.5028447982</v>
      </c>
      <c r="J11" s="0" t="n">
        <f aca="false">J8+J10+J24</f>
        <v>7550.43975317668</v>
      </c>
      <c r="K11" s="0" t="n">
        <f aca="false">K8+K10+K24</f>
        <v>7927.02650882645</v>
      </c>
      <c r="L11" s="0" t="n">
        <f aca="false">L8+L10+L24</f>
        <v>8244.10756917951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-681.22565049</v>
      </c>
      <c r="D12" s="4" t="n">
        <f aca="false">-D6*Assumptions!D45/100</f>
        <v>-758.0183601816</v>
      </c>
      <c r="E12" s="4" t="n">
        <f aca="false">-E6*Assumptions!E45/100</f>
        <v>-823.007287238346</v>
      </c>
      <c r="F12" s="4" t="n">
        <f aca="false">-F6*Assumptions!F45/100</f>
        <v>-876.502760908839</v>
      </c>
      <c r="G12" s="4" t="n">
        <f aca="false">-G6*Assumptions!G45/100</f>
        <v>-915.627811685639</v>
      </c>
      <c r="H12" s="4" t="n">
        <f aca="false">-H6*Assumptions!H45/100</f>
        <v>-951.781645132344</v>
      </c>
      <c r="I12" s="4" t="n">
        <f aca="false">-I6*Assumptions!I45/100</f>
        <v>-984.454746383156</v>
      </c>
      <c r="J12" s="4" t="n">
        <f aca="false">-J6*Assumptions!J45/100</f>
        <v>-1013.16800981933</v>
      </c>
      <c r="K12" s="4" t="n">
        <f aca="false">-K6*Assumptions!K45/100</f>
        <v>-1037.484042055</v>
      </c>
      <c r="L12" s="4" t="n">
        <f aca="false">-L6*Assumptions!L45/100</f>
        <v>-1078.9834037372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3818.99228305</v>
      </c>
      <c r="D13" s="0" t="n">
        <f aca="false">D11+D12</f>
        <v>4213.6902963036</v>
      </c>
      <c r="E13" s="0" t="n">
        <f aca="false">E11+E12</f>
        <v>4615.99739364116</v>
      </c>
      <c r="F13" s="0" t="n">
        <f aca="false">F11+F12</f>
        <v>5048.14778529236</v>
      </c>
      <c r="G13" s="0" t="n">
        <f aca="false">G11+G12</f>
        <v>5453.37152548064</v>
      </c>
      <c r="H13" s="0" t="n">
        <f aca="false">H11+H12</f>
        <v>5830.01771884051</v>
      </c>
      <c r="I13" s="0" t="n">
        <f aca="false">I11+I12</f>
        <v>6205.04809841504</v>
      </c>
      <c r="J13" s="0" t="n">
        <f aca="false">J11+J12</f>
        <v>6537.27174335735</v>
      </c>
      <c r="K13" s="0" t="n">
        <f aca="false">K11+K12</f>
        <v>6889.54246677145</v>
      </c>
      <c r="L13" s="0" t="n">
        <f aca="false">L11+L12</f>
        <v>7165.12416544231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20</v>
      </c>
      <c r="D14" s="4" t="n">
        <f aca="false">Assumptions!D47</f>
        <v>20.3</v>
      </c>
      <c r="E14" s="4" t="n">
        <f aca="false">Assumptions!E47</f>
        <v>20.5</v>
      </c>
      <c r="F14" s="4" t="n">
        <f aca="false">Assumptions!F47</f>
        <v>20.8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3055.19382644</v>
      </c>
      <c r="D15" s="0" t="n">
        <f aca="false">D13-MAX(0,D13)*D14/100</f>
        <v>3358.31116615397</v>
      </c>
      <c r="E15" s="0" t="n">
        <f aca="false">E13-MAX(0,E13)*E14/100</f>
        <v>3669.71792794472</v>
      </c>
      <c r="F15" s="0" t="n">
        <f aca="false">F13-MAX(0,F13)*F14/100</f>
        <v>3998.13304595155</v>
      </c>
      <c r="G15" s="0" t="n">
        <f aca="false">G13-MAX(0,G13)*G14/100</f>
        <v>4308.16350512971</v>
      </c>
      <c r="H15" s="0" t="n">
        <f aca="false">H13-MAX(0,H13)*H14/100</f>
        <v>4605.713997884</v>
      </c>
      <c r="I15" s="0" t="n">
        <f aca="false">I13-MAX(0,I13)*I14/100</f>
        <v>4901.98799774788</v>
      </c>
      <c r="J15" s="0" t="n">
        <f aca="false">J13-MAX(0,J13)*J14/100</f>
        <v>5164.4446772523</v>
      </c>
      <c r="K15" s="0" t="n">
        <f aca="false">K13-MAX(0,K13)*K14/100</f>
        <v>5442.73854874945</v>
      </c>
      <c r="L15" s="0" t="n">
        <f aca="false">L13-MAX(0,L13)*L14/100</f>
        <v>5660.44809069943</v>
      </c>
    </row>
    <row r="16" customFormat="false" ht="15" hidden="false" customHeight="false" outlineLevel="0" collapsed="false">
      <c r="A16" s="0" t="s">
        <v>127</v>
      </c>
      <c r="C16" s="0" t="n">
        <f aca="false">-C12</f>
        <v>681.22565049</v>
      </c>
      <c r="D16" s="0" t="n">
        <f aca="false">-D12</f>
        <v>758.0183601816</v>
      </c>
      <c r="E16" s="0" t="n">
        <f aca="false">-E12</f>
        <v>823.007287238346</v>
      </c>
      <c r="F16" s="0" t="n">
        <f aca="false">-F12</f>
        <v>876.502760908839</v>
      </c>
      <c r="G16" s="0" t="n">
        <f aca="false">-G12</f>
        <v>915.627811685639</v>
      </c>
      <c r="H16" s="0" t="n">
        <f aca="false">-H12</f>
        <v>951.781645132344</v>
      </c>
      <c r="I16" s="0" t="n">
        <f aca="false">-I12</f>
        <v>984.454746383156</v>
      </c>
      <c r="J16" s="0" t="n">
        <f aca="false">-J12</f>
        <v>1013.16800981933</v>
      </c>
      <c r="K16" s="0" t="n">
        <f aca="false">-K12</f>
        <v>1037.484042055</v>
      </c>
      <c r="L16" s="0" t="n">
        <f aca="false">-L12</f>
        <v>1078.9834037372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-1445.0241071</v>
      </c>
      <c r="D17" s="4" t="n">
        <f aca="false">-D6*Assumptions!D46/100</f>
        <v>-1404.5634321012</v>
      </c>
      <c r="E17" s="4" t="n">
        <f aca="false">-E6*Assumptions!E46/100</f>
        <v>-1359.75117021988</v>
      </c>
      <c r="F17" s="4" t="n">
        <f aca="false">-F6*Assumptions!F46/100</f>
        <v>-1321.10561064521</v>
      </c>
      <c r="G17" s="4" t="n">
        <f aca="false">-G6*Assumptions!G46/100</f>
        <v>-1292.65102826208</v>
      </c>
      <c r="H17" s="4" t="n">
        <f aca="false">-H6*Assumptions!H46/100</f>
        <v>-1278.51265764046</v>
      </c>
      <c r="I17" s="4" t="n">
        <f aca="false">-I6*Assumptions!I46/100</f>
        <v>-1282.77436649926</v>
      </c>
      <c r="J17" s="4" t="n">
        <f aca="false">-J6*Assumptions!J46/100</f>
        <v>-1309.3248126896</v>
      </c>
      <c r="K17" s="4" t="n">
        <f aca="false">-K6*Assumptions!K46/100</f>
        <v>-1296.85505256874</v>
      </c>
      <c r="L17" s="4" t="n">
        <f aca="false">-L6*Assumptions!L46/100</f>
        <v>-1348.72925467149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85.2242265000001</v>
      </c>
      <c r="D18" s="4" t="n">
        <f aca="false">(D6-C6)*Assumptions!$B$51/100</f>
        <v>82.5728061200001</v>
      </c>
      <c r="E18" s="4" t="n">
        <f aca="false">(E6-D6)*Assumptions!$B$51/100</f>
        <v>78.0313017834002</v>
      </c>
      <c r="F18" s="4" t="n">
        <f aca="false">(F6-E6)*Assumptions!$B$51/100</f>
        <v>77.529671986221</v>
      </c>
      <c r="G18" s="4" t="n">
        <f aca="false">(G6-F6)*Assumptions!$B$51/100</f>
        <v>76.2176313833774</v>
      </c>
      <c r="H18" s="4" t="n">
        <f aca="false">(H6-G6)*Assumptions!$B$51/100</f>
        <v>74.0581318275148</v>
      </c>
      <c r="I18" s="4" t="n">
        <f aca="false">(I6-H6)*Assumptions!$B$51/100</f>
        <v>71.0284809800258</v>
      </c>
      <c r="J18" s="4" t="n">
        <f aca="false">(J6-I6)*Assumptions!$B$51/100</f>
        <v>67.1219145261242</v>
      </c>
      <c r="K18" s="4" t="n">
        <f aca="false">(K6-J6)*Assumptions!$B$51/100</f>
        <v>62.3488006042666</v>
      </c>
      <c r="L18" s="4" t="n">
        <f aca="false">(L6-K6)*Assumptions!$B$51/100</f>
        <v>64.8427526284371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2376.61959633</v>
      </c>
      <c r="D19" s="0" t="n">
        <f aca="false">D15+D16+D17+D18</f>
        <v>2794.33890035437</v>
      </c>
      <c r="E19" s="0" t="n">
        <f aca="false">E15+E16+E17+E18</f>
        <v>3211.00534674659</v>
      </c>
      <c r="F19" s="0" t="n">
        <f aca="false">F15+F16+F17+F18</f>
        <v>3631.0598682014</v>
      </c>
      <c r="G19" s="0" t="n">
        <f aca="false">G15+G16+G17+G18</f>
        <v>4007.35791993665</v>
      </c>
      <c r="H19" s="0" t="n">
        <f aca="false">H15+H16+H17+H18</f>
        <v>4353.0411172034</v>
      </c>
      <c r="I19" s="0" t="n">
        <f aca="false">I15+I16+I17+I18</f>
        <v>4674.6968586118</v>
      </c>
      <c r="J19" s="0" t="n">
        <f aca="false">J15+J16+J17+J18</f>
        <v>4935.40978890816</v>
      </c>
      <c r="K19" s="0" t="n">
        <f aca="false">K15+K16+K17+K18</f>
        <v>5245.71633883997</v>
      </c>
      <c r="L19" s="0" t="n">
        <f aca="false">L15+L16+L17+L18</f>
        <v>5455.54499239356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2210.80892681861</v>
      </c>
      <c r="D21" s="0" t="n">
        <f aca="false">D19*D20</f>
        <v>2418.0325800795</v>
      </c>
      <c r="E21" s="0" t="n">
        <f aca="false">E19*E20</f>
        <v>2584.73269261552</v>
      </c>
      <c r="F21" s="0" t="n">
        <f aca="false">F19*F20</f>
        <v>2718.93955295894</v>
      </c>
      <c r="G21" s="0" t="n">
        <f aca="false">G19*G20</f>
        <v>2791.35975204848</v>
      </c>
      <c r="H21" s="0" t="n">
        <f aca="false">H19*H20</f>
        <v>2820.60313224467</v>
      </c>
      <c r="I21" s="0" t="n">
        <f aca="false">I19*I20</f>
        <v>2817.6964417402</v>
      </c>
      <c r="J21" s="0" t="n">
        <f aca="false">J19*J20</f>
        <v>2767.29529135236</v>
      </c>
      <c r="K21" s="0" t="n">
        <f aca="false">K19*K20</f>
        <v>2736.07894598671</v>
      </c>
      <c r="L21" s="0" t="n">
        <f aca="false">L19*L20</f>
        <v>2646.99730588482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26512.5446217298</v>
      </c>
    </row>
    <row r="31" customFormat="false" ht="15" hidden="false" customHeight="false" outlineLevel="0" collapsed="false">
      <c r="A31" s="0" t="s">
        <v>136</v>
      </c>
      <c r="B31" s="0" t="n">
        <f aca="false">L19</f>
        <v>5455.54499239356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124871.36315923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109110.899847871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109110.899847871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52939.9461176963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79452.4907394261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70924.5187394261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4272.56136984495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0.487577770683021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1163.41396161431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2059.52725809063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4466.71445536934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46826.7611847114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1295.09464532931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1109.85181825035</v>
      </c>
      <c r="C4" s="0" t="n">
        <f aca="false">B4/Assumptions!$B$2-1</f>
        <v>-0.613582872036951</v>
      </c>
      <c r="D4" s="4" t="n">
        <f aca="false">Assumptions!$B$24</f>
        <v>0.2</v>
      </c>
      <c r="E4" s="4" t="n">
        <f aca="false">DCF_Bear!$B$43</f>
        <v>1235.9816161259</v>
      </c>
      <c r="F4" s="4" t="n">
        <f aca="false">DCF_Bear!$B$47</f>
        <v>397.998251634199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2406.20157668956</v>
      </c>
      <c r="C5" s="0" t="n">
        <f aca="false">B5/Assumptions!$B$2-1</f>
        <v>-0.162232752809885</v>
      </c>
      <c r="D5" s="4" t="n">
        <f aca="false">Assumptions!$B$38</f>
        <v>0.5</v>
      </c>
      <c r="E5" s="4" t="n">
        <f aca="false">DCF_Base!$B$43</f>
        <v>2567.34810558432</v>
      </c>
      <c r="F5" s="4" t="n">
        <f aca="false">DCF_Base!$B$47</f>
        <v>853.690693154573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4272.56136984495</v>
      </c>
      <c r="C6" s="0" t="n">
        <f aca="false">B6/Assumptions!$B$2-1</f>
        <v>0.487577770683021</v>
      </c>
      <c r="D6" s="4" t="n">
        <f aca="false">Assumptions!$B$52</f>
        <v>0.3</v>
      </c>
      <c r="E6" s="4" t="n">
        <f aca="false">DCF_Bull!$B$43</f>
        <v>4466.71445536934</v>
      </c>
      <c r="F6" s="4" t="n">
        <f aca="false">DCF_Bull!$B$47</f>
        <v>1295.09464532931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2706.83956294833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2870.88471262814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-0.0610750778563307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100.777400230574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894.973390502919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2406.20157668956</v>
      </c>
      <c r="C15" s="3" t="n">
        <v>8.3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2235.11575968093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1849.2615649136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1555.01106873815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1323.3910118894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853.690693154573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6.3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2886.76743468299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2886.76743468299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2886.76743468299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2886.76743468299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2886.76743468299</v>
      </c>
    </row>
    <row r="25" customFormat="false" ht="15" hidden="false" customHeight="false" outlineLevel="0" collapsed="false">
      <c r="A25" s="3" t="n">
        <v>7.3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2635.1058343963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2635.1058343963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2635.1058343963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2635.1058343963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2635.1058343963</v>
      </c>
    </row>
    <row r="26" customFormat="false" ht="15" hidden="false" customHeight="false" outlineLevel="0" collapsed="false">
      <c r="A26" s="3" t="n">
        <v>8.3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2291.34426001116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2406.20157668956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2406.20157668956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2406.20157668956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2406.20157668956</v>
      </c>
    </row>
    <row r="27" customFormat="false" ht="15" hidden="false" customHeight="false" outlineLevel="0" collapsed="false">
      <c r="A27" s="3" t="n">
        <v>9.3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1906.21757272274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1999.88754006147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2107.33250259707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2197.75141983426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2197.75141983426</v>
      </c>
    </row>
    <row r="28" customFormat="false" ht="15" hidden="false" customHeight="false" outlineLevel="0" collapsed="false">
      <c r="A28" s="3" t="n">
        <v>10.3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1609.79699854123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1677.07280502491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1752.97371490393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1839.27200969789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1938.26123019685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2026-09-25T22:52:06Z</dcterms:created>
  <dc:creator>openpyxl</dc:creator>
  <dc:description/>
  <dc:language>en-NZ</dc:language>
  <cp:lastModifiedBy/>
  <dcterms:modified xsi:type="dcterms:W3CDTF">2026-09-25T22:52:06Z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