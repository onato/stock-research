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<sst xmlns="http://schemas.openxmlformats.org/spreadsheetml/2006/main" count="353" uniqueCount="162">
  <si>
    <t xml:space="preserve">Ticker</t>
  </si>
  <si>
    <t xml:space="preserve">DOW.AX</t>
  </si>
  <si>
    <t xml:space="preserve">Company</t>
  </si>
  <si>
    <t xml:space="preserve">Downer EDI Limited</t>
  </si>
  <si>
    <t xml:space="preserve">Valuation date</t>
  </si>
  <si>
    <t xml:space="preserve">2026-09-22</t>
  </si>
  <si>
    <t xml:space="preserve">Current price</t>
  </si>
  <si>
    <t xml:space="preserve">Price as of</t>
  </si>
  <si>
    <t xml:space="preserve">2026-09-22T06:15:22Z (ASX regular close, Yahoo regularMarketTime; 52w range 6.25-8.655)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</si>
  <si>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</si>
  <si>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</si>
  <si>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</si>
  <si>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</si>
  <si>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</si>
  <si>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</si>
  <si>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</si>
  <si>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</si>
  <si>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</si>
  <si>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</si>
  <si>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</si>
  <si>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</si>
  <si>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2026-09-22T09:49:41Z</t>
  </si>
  <si>
    <t xml:space="preserve">Drivers file</t>
  </si>
  <si>
    <t xml:space="preserve">DOW.AX_Drivers.json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</si>
  <si>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</si>
  <si>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</si>
  <si>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</si>
  <si>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Downer as a mid-cycle stream of unlevered owner FCF built from components (underlying EBITDA less a recurring-ISI haircut, less lease cash, D&amp;A ex-ROU, a normalised 30% cash tax and capex reverting toward depreciation) rather than off FY25's tax-light reported FCF or a single peak-margin year. Growth is anchored to guidance and work-in-hand, not to historical CAGRs that describe the divestment programme. Risk is charged in the flows and the scenario weights at a single 9% AUD WACC, with a 15x FCF cap on the terminal value for a thin-margin contractor.
key_risks_to_valuation: Contract mispricing / execution: a single large fixed-price loss can erase a year of margin gains (FY23 precedent); Legal overhangs: consolidated shareholder class action (Vic SC) and ACCC cartel proceedings against Spotless; unquantified, handled in the bear flows and weights rather than a bridge deduction; Revenue base: pro forma revenue down three consecutive years; the FY30 4-5% CAGR target is not yet evidenced; Near-term: guided 1H27 revenue/earnings/margin below pcp (defence P&amp;AS ramp-up, QTMP transition); shares fell ~12% on the FY26 result; Data vintage: FY26 annual report not yet in corpus; balance sheet and share count are Dec-2025; Terminal value: ~60-70% of EV at a 9% WACC; 15x cap binds in the bull case</t>
  </si>
  <si>
    <t xml:space="preserve">Data sources</t>
  </si>
  <si>
    <t xml:space="preserve">price: Yahoo Finance chart API, DOW.AX regularMarketPrice 6.67 AUD at 2026-09-22T06:15:22Z
financials: DOW.AX_Metrics.csv / core_metrics (financial-parser, 2026-09-22) from DOW.AX_Annual_FY2019..FY2025 and DOW.AX_HalfYear_H1-2024..H1-2026; lease principal/interest from each cash flow statement (FY25 lines 7127/7151, H1 FY26 lines 1278/1300); ROU vs other D&amp;A from FY25 OCF reconciliation (line 8365ff); ROADS and share count from H1 FY26 notes B6/D3; net debt definition H1 FY26 p.15
qualitative: DOW.AX_Analysis.json (2026-09-22), including the Aug-2026 FY26 result and FY30 targets; FY25 Annual Report and H1 FY26 outlook sections</t>
  </si>
  <si>
    <t xml:space="preserve">Scenario narrative: bear</t>
  </si>
  <si>
    <t xml:space="preserve">The turnaround proves margin-limited and reputationally fragile: a fixed-price contract miss or persistent defence/QTMP ramp costs hold EBITA at ~4.3-4.5%, the shareholder class action and ACCC cartel proceedings against Spotless settle for cash and dent government re-tender win rates, pro forma revenue keeps contracting through FY28 and thereafter grows only 2%, and capex has to catch up with a rationalised fleet. Owner FCF stays near the FY25 level in real terms. Terminal growth 2.0%.</t>
  </si>
  <si>
    <t xml:space="preserve">Scenario narrative: base</t>
  </si>
  <si>
    <t xml:space="preserve">Downer is a low-margin, government-facing infrastructure services contractor whose value rests on two axes: whether the post-FY23 risk guardrails hold (no repeat of the mispriced-contract blow-up that produced the $539.5m impairment) and whether the margin-led recovery (EBITA 2.6% FY23 -&gt; 4.4% FY25 -&gt; 5.1% FY26) can continue on a top line that has shrunk three years running through deliberate exits. Base: statutory revenue troughs in FY26 (-6%), is flat in FY27 as exits annualise and the guided soft 1H27 plays out, then grows 3-3.5% off the record $38.5bn work-in-hand; EBITA reaches ~5.5% underlying by FY29 (short of the ~6% FY30 aspiration) and recurring restructuring/legal cash costs fade to ~0.2% of revenue. Leases (~1.5% of revenue) and ROADS hybrids are charged once. Owner FCF rises from ~$270m (FY25, tax-light) to ~$370-400m as the cash tax rate normalises to 30% and capex reverts toward depreciation.</t>
  </si>
  <si>
    <t xml:space="preserve">Scenario narrative: bull</t>
  </si>
  <si>
    <t xml:space="preserve">The FY30 targets land as stated: 4-5% revenue CAGR from FY27 as energy-transition (transmission, Powerco, Chorus, AusNet), defence estate and QTMP/CRL programs convert the order book, EBITA approaching 6% by FY30 on continued cost-out and disciplined tendering, ISIs fade to a residual 0.1pp, and cash conversion stays &gt;90% funding the ~$260m buyback and 60-70% NPATA payout. Terminal growth 3.0%.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</si>
  <si>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</si>
  <si>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</si>
  <si>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</si>
  <si>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</si>
  <si>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</si>
  <si>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</si>
  <si>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</si>
  <si>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</si>
  <si>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</si>
  <si>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</si>
  <si>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</si>
  <si>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</si>
  <si>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</si>
  <si>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</si>
  <si>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</si>
  <si>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</si>
  <si>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</si>
  <si>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</si>
  <si>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</si>
  <si>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</si>
  <si>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</si>
  <si>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</si>
  <si>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</si>
  <si>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</si>
  <si>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</si>
  <si>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</si>
  <si>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</si>
  <si>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</si>
  <si>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</si>
  <si>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</si>
  <si>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</si>
  <si>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</si>
  <si>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</si>
  <si>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</si>
  <si>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</si>
  <si>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</si>
  <si>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</si>
  <si>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</si>
  <si>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</si>
  <si>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</si>
  <si>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</si>
  <si>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</si>
  <si>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</si>
  <si>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</si>
  <si>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</si>
  <si>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</si>
  <si>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</si>
  <si>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</si>
  <si>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</si>
  <si>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</si>
  <si>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</si>
  <si>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</si>
  <si>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</si>
  <si>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</si>
  <si>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</si>
  <si>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</si>
  <si>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</si>
  <si>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</si>
  <si>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</si>
  <si>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</si>
  <si>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</si>
  <si>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</si>
  <si>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</si>
  <si>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</si>
  <si>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</si>
  <si>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</si>
  <si>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</si>
  <si>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</si>
  <si>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</si>
  <si>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</si>
  <si>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</si>
  <si>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</si>
  <si>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DOW.AX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</si>
  <si>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</si>
  <si>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</si>
  <si>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</si>
  <si>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</si>
  <si>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</si>
  <si>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</si>
  <si>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</si>
  <si>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</si>
  <si>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</si>
  <si>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</si>
  <si>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</si>
  <si>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</si>
  <si>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</si>
  <si>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</si>
  <si>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</si>
  <si>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</si>
  <si>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</si>
  <si>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</si>
  <si>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</si>
  <si>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</si>
  <si>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</si>
  <si>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</si>
  <si>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</si>
  <si>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</si>
  <si>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</si>
  <si>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</si>
  <si>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</si>
  <si>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</si>
  <si>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</si>
  <si>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</si>
  <si>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DOW.AX owner-FCF component DCF: base case (millions, AUD)</t>
  </si>
  <si>
    <t xml:space="preserve">DOW.AX owner-FCF component DCF: bull case (millions, AUD)</t>
  </si>
  <si>
    <t xml:space="preserve">DOW.AX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</si>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</sst>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6.67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12016.6</v>
      </c>
      <c r="F2" s="0" t="n">
        <v>204.8</v>
      </c>
      <c r="G2" s="0" t="n">
        <v>1.7</v>
      </c>
      <c r="H2" s="0" t="n">
        <v>575</v>
      </c>
      <c r="I2" s="0" t="n">
        <v>71.1</v>
      </c>
      <c r="J2" s="0" t="n">
        <v>0.6</v>
      </c>
      <c r="K2" s="0" t="n">
        <v>0.107</v>
      </c>
      <c r="L2" s="0" t="n">
        <v>583.3</v>
      </c>
      <c r="M2" s="0" t="n">
        <v>403.8</v>
      </c>
      <c r="N2" s="0" t="n">
        <v>179.5</v>
      </c>
      <c r="O2" s="0" t="n">
        <v>3205.1</v>
      </c>
      <c r="P2" s="0" t="n">
        <v>7788.2</v>
      </c>
      <c r="Q2" s="0" t="n">
        <v>4583.1</v>
      </c>
      <c r="R2" s="0" t="n">
        <v>1521.2</v>
      </c>
      <c r="S2" s="0" t="n">
        <v>606.2</v>
      </c>
      <c r="T2" s="0" t="n">
        <v>590.5</v>
      </c>
      <c r="U2" s="0" t="n">
        <v>2.8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12789.4</v>
      </c>
      <c r="F3" s="0" t="n">
        <v>462.2</v>
      </c>
      <c r="G3" s="0" t="n">
        <v>3.6</v>
      </c>
      <c r="H3" s="0" t="n">
        <v>822.2</v>
      </c>
      <c r="I3" s="0" t="n">
        <v>276.3</v>
      </c>
      <c r="J3" s="0" t="n">
        <v>2.2</v>
      </c>
      <c r="K3" s="0" t="n">
        <v>0.429</v>
      </c>
      <c r="L3" s="0" t="n">
        <v>630.2</v>
      </c>
      <c r="M3" s="0" t="n">
        <v>391</v>
      </c>
      <c r="N3" s="0" t="n">
        <v>239.2</v>
      </c>
      <c r="O3" s="0" t="n">
        <v>3050.2</v>
      </c>
      <c r="P3" s="0" t="n">
        <v>8008</v>
      </c>
      <c r="Q3" s="0" t="n">
        <v>4957.8</v>
      </c>
      <c r="R3" s="0" t="n">
        <v>1703.5</v>
      </c>
      <c r="S3" s="0" t="n">
        <v>710.7</v>
      </c>
      <c r="T3" s="0" t="n">
        <v>591.2</v>
      </c>
      <c r="U3" s="0" t="n">
        <v>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12669.4</v>
      </c>
      <c r="F4" s="0" t="n">
        <v>-41.3</v>
      </c>
      <c r="G4" s="0" t="n">
        <v>-0.3</v>
      </c>
      <c r="H4" s="0" t="n">
        <v>475.9</v>
      </c>
      <c r="I4" s="0" t="n">
        <v>-155.7</v>
      </c>
      <c r="J4" s="0" t="n">
        <v>-1.2</v>
      </c>
      <c r="K4" s="0" t="n">
        <v>-0.266</v>
      </c>
      <c r="L4" s="0" t="n">
        <v>178.8</v>
      </c>
      <c r="M4" s="0" t="n">
        <v>352.4</v>
      </c>
      <c r="N4" s="0" t="n">
        <v>-173.6</v>
      </c>
      <c r="O4" s="0" t="n">
        <v>2620.5</v>
      </c>
      <c r="P4" s="0" t="n">
        <v>8672.5</v>
      </c>
      <c r="Q4" s="0" t="n">
        <v>6052</v>
      </c>
      <c r="R4" s="0" t="n">
        <v>2814.5</v>
      </c>
      <c r="S4" s="0" t="n">
        <v>588.5</v>
      </c>
      <c r="T4" s="0" t="n">
        <v>592.3</v>
      </c>
      <c r="U4" s="0" t="n">
        <v>4.8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11530.2</v>
      </c>
      <c r="F5" s="0" t="n">
        <v>334.8</v>
      </c>
      <c r="G5" s="0" t="n">
        <v>2.9</v>
      </c>
      <c r="H5" s="0" t="n">
        <v>829.2</v>
      </c>
      <c r="I5" s="0" t="n">
        <v>183.7</v>
      </c>
      <c r="J5" s="0" t="n">
        <v>1.6</v>
      </c>
      <c r="K5" s="0" t="n">
        <v>0.254</v>
      </c>
      <c r="L5" s="0" t="n">
        <v>708.7</v>
      </c>
      <c r="M5" s="0" t="n">
        <v>278.6</v>
      </c>
      <c r="N5" s="0" t="n">
        <v>430.1</v>
      </c>
      <c r="O5" s="0" t="n">
        <v>2957.4</v>
      </c>
      <c r="P5" s="0" t="n">
        <v>8072.1</v>
      </c>
      <c r="Q5" s="0" t="n">
        <v>5114.7</v>
      </c>
      <c r="R5" s="0" t="n">
        <v>2144.4</v>
      </c>
      <c r="S5" s="0" t="n">
        <v>811.4</v>
      </c>
      <c r="T5" s="0" t="n">
        <v>692.9</v>
      </c>
      <c r="U5" s="0" t="n">
        <v>-0.4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10989</v>
      </c>
      <c r="F6" s="0" t="n">
        <v>323.2</v>
      </c>
      <c r="G6" s="0" t="n">
        <v>2.9</v>
      </c>
      <c r="H6" s="0" t="n">
        <v>665.4</v>
      </c>
      <c r="I6" s="0" t="n">
        <v>152</v>
      </c>
      <c r="J6" s="0" t="n">
        <v>1.4</v>
      </c>
      <c r="K6" s="0" t="n">
        <v>0.213</v>
      </c>
      <c r="L6" s="0" t="n">
        <v>495.4</v>
      </c>
      <c r="M6" s="0" t="n">
        <v>279.8</v>
      </c>
      <c r="N6" s="0" t="n">
        <v>215.6</v>
      </c>
      <c r="O6" s="0" t="n">
        <v>2834</v>
      </c>
      <c r="P6" s="0" t="n">
        <v>7461</v>
      </c>
      <c r="Q6" s="0" t="n">
        <v>4627</v>
      </c>
      <c r="R6" s="0" t="n">
        <v>1905.6</v>
      </c>
      <c r="S6" s="0" t="n">
        <v>738.5</v>
      </c>
      <c r="T6" s="0" t="n">
        <v>684.2</v>
      </c>
      <c r="U6" s="0" t="n">
        <v>4.2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11640.4</v>
      </c>
      <c r="F7" s="0" t="n">
        <v>-253.5</v>
      </c>
      <c r="G7" s="0" t="n">
        <v>-2.2</v>
      </c>
      <c r="H7" s="0" t="n">
        <v>82.7</v>
      </c>
      <c r="I7" s="0" t="n">
        <v>-385.7</v>
      </c>
      <c r="J7" s="0" t="n">
        <v>-3.3</v>
      </c>
      <c r="K7" s="0" t="n">
        <v>-0.59</v>
      </c>
      <c r="L7" s="0" t="n">
        <v>318.2</v>
      </c>
      <c r="M7" s="0" t="n">
        <v>263</v>
      </c>
      <c r="N7" s="0" t="n">
        <v>55.2</v>
      </c>
      <c r="O7" s="0" t="n">
        <v>2289.8</v>
      </c>
      <c r="P7" s="0" t="n">
        <v>7225.4</v>
      </c>
      <c r="Q7" s="0" t="n">
        <v>4935.6</v>
      </c>
      <c r="R7" s="0" t="n">
        <v>2133.6</v>
      </c>
      <c r="S7" s="0" t="n">
        <v>889.1</v>
      </c>
      <c r="T7" s="0" t="n">
        <v>671.2</v>
      </c>
      <c r="U7" s="0" t="n">
        <v>-0.8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10979.5</v>
      </c>
      <c r="F8" s="0" t="n">
        <v>180.5</v>
      </c>
      <c r="G8" s="0" t="n">
        <v>1.6</v>
      </c>
      <c r="H8" s="0" t="n">
        <v>526.5</v>
      </c>
      <c r="I8" s="0" t="n">
        <v>82.1</v>
      </c>
      <c r="J8" s="0" t="n">
        <v>0.7</v>
      </c>
      <c r="K8" s="0" t="n">
        <v>0.103</v>
      </c>
      <c r="L8" s="0" t="n">
        <v>544.1</v>
      </c>
      <c r="M8" s="0" t="n">
        <v>146.3</v>
      </c>
      <c r="N8" s="0" t="n">
        <v>397.8</v>
      </c>
      <c r="O8" s="0" t="n">
        <v>2259.4</v>
      </c>
      <c r="P8" s="0" t="n">
        <v>6748.2</v>
      </c>
      <c r="Q8" s="0" t="n">
        <v>4488.8</v>
      </c>
      <c r="R8" s="0" t="n">
        <v>1805.9</v>
      </c>
      <c r="S8" s="0" t="n">
        <v>837.6</v>
      </c>
      <c r="T8" s="0" t="n">
        <v>670.4</v>
      </c>
      <c r="U8" s="0" t="n">
        <v>3.2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10481.5</v>
      </c>
      <c r="F9" s="0" t="n">
        <v>283.2</v>
      </c>
      <c r="G9" s="0" t="n">
        <v>2.7</v>
      </c>
      <c r="H9" s="0" t="n">
        <v>625.7</v>
      </c>
      <c r="I9" s="0" t="n">
        <v>149.1</v>
      </c>
      <c r="J9" s="0" t="n">
        <v>1.4</v>
      </c>
      <c r="K9" s="0" t="n">
        <v>0.204</v>
      </c>
      <c r="L9" s="0" t="n">
        <v>562.5</v>
      </c>
      <c r="M9" s="0" t="n">
        <v>122.9</v>
      </c>
      <c r="N9" s="0" t="n">
        <v>439.6</v>
      </c>
      <c r="O9" s="0" t="n">
        <v>2240.3</v>
      </c>
      <c r="P9" s="0" t="n">
        <v>6479</v>
      </c>
      <c r="Q9" s="0" t="n">
        <v>4238.7</v>
      </c>
      <c r="R9" s="0" t="n">
        <v>1537</v>
      </c>
      <c r="S9" s="0" t="n">
        <v>833.8</v>
      </c>
      <c r="T9" s="0" t="n">
        <v>670.8</v>
      </c>
      <c r="U9" s="0" t="n">
        <v>3.7</v>
      </c>
      <c r="AA9" s="0" t="s">
        <v>17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6.67</v>
      </c>
    </row>
    <row r="3" customFormat="false" ht="15" hidden="false" customHeight="false" outlineLevel="0" collapsed="false">
      <c r="A3" s="0" t="s">
        <v>74</v>
      </c>
      <c r="B3" s="3" t="n">
        <v>666.8</v>
      </c>
    </row>
    <row r="4" customFormat="false" ht="15" hidden="false" customHeight="false" outlineLevel="0" collapsed="false">
      <c r="A4" s="0" t="s">
        <v>75</v>
      </c>
      <c r="B4" s="3" t="n">
        <v>242.3</v>
      </c>
    </row>
    <row r="5" customFormat="false" ht="15" hidden="false" customHeight="false" outlineLevel="0" collapsed="false">
      <c r="A5" s="0" t="s">
        <v>76</v>
      </c>
      <c r="B5" s="3" t="n">
        <v>-172.7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10481.5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-7</v>
      </c>
      <c r="D13" s="3" t="n">
        <v>-2</v>
      </c>
      <c r="E13" s="3" t="n">
        <v>0</v>
      </c>
      <c r="F13" s="3" t="n">
        <v>1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95</v>
      </c>
      <c r="C14" s="3" t="n">
        <v>7.4</v>
      </c>
      <c r="D14" s="3" t="n">
        <v>7.2</v>
      </c>
      <c r="E14" s="3" t="n">
        <v>7.2</v>
      </c>
      <c r="F14" s="3" t="n">
        <v>7.3</v>
      </c>
      <c r="G14" s="3" t="n">
        <v>7.3</v>
      </c>
      <c r="H14" s="3" t="n">
        <v>7.3</v>
      </c>
      <c r="I14" s="3" t="n">
        <v>7.3</v>
      </c>
      <c r="J14" s="3" t="n">
        <v>7.3</v>
      </c>
      <c r="K14" s="3" t="n">
        <v>7.3</v>
      </c>
      <c r="L14" s="3" t="n">
        <v>7.3</v>
      </c>
    </row>
    <row r="15" customFormat="false" ht="15" hidden="false" customHeight="false" outlineLevel="0" collapsed="false">
      <c r="A15" s="0" t="s">
        <v>96</v>
      </c>
      <c r="C15" s="3" t="n">
        <v>0.035</v>
      </c>
      <c r="D15" s="3" t="n">
        <v>0.035</v>
      </c>
      <c r="E15" s="3" t="n">
        <v>0.035</v>
      </c>
      <c r="F15" s="3" t="n">
        <v>0.035</v>
      </c>
      <c r="G15" s="3" t="n">
        <v>0.035</v>
      </c>
      <c r="H15" s="3" t="n">
        <v>0.035</v>
      </c>
      <c r="I15" s="3" t="n">
        <v>0.035</v>
      </c>
      <c r="J15" s="3" t="n">
        <v>0.035</v>
      </c>
      <c r="K15" s="3" t="n">
        <v>0.035</v>
      </c>
      <c r="L15" s="3" t="n">
        <v>0.035</v>
      </c>
    </row>
    <row r="16" customFormat="false" ht="15" hidden="false" customHeight="false" outlineLevel="0" collapsed="false">
      <c r="A16" s="0" t="s">
        <v>97</v>
      </c>
      <c r="C16" s="3" t="n">
        <v>1.6</v>
      </c>
      <c r="D16" s="3" t="n">
        <v>1.6</v>
      </c>
      <c r="E16" s="3" t="n">
        <v>1.6</v>
      </c>
      <c r="F16" s="3" t="n">
        <v>1.6</v>
      </c>
      <c r="G16" s="3" t="n">
        <v>1.6</v>
      </c>
      <c r="H16" s="3" t="n">
        <v>1.6</v>
      </c>
      <c r="I16" s="3" t="n">
        <v>1.6</v>
      </c>
      <c r="J16" s="3" t="n">
        <v>1.6</v>
      </c>
      <c r="K16" s="3" t="n">
        <v>1.6</v>
      </c>
      <c r="L16" s="3" t="n">
        <v>1.6</v>
      </c>
    </row>
    <row r="17" customFormat="false" ht="15" hidden="false" customHeight="false" outlineLevel="0" collapsed="false">
      <c r="A17" s="0" t="s">
        <v>98</v>
      </c>
      <c r="C17" s="3" t="n">
        <v>1.85</v>
      </c>
      <c r="D17" s="3" t="n">
        <v>1.8</v>
      </c>
      <c r="E17" s="3" t="n">
        <v>1.75</v>
      </c>
      <c r="F17" s="3" t="n">
        <v>1.75</v>
      </c>
      <c r="G17" s="3" t="n">
        <v>1.75</v>
      </c>
      <c r="H17" s="3" t="n">
        <v>1.75</v>
      </c>
      <c r="I17" s="3" t="n">
        <v>1.75</v>
      </c>
      <c r="J17" s="3" t="n">
        <v>1.75</v>
      </c>
      <c r="K17" s="3" t="n">
        <v>1.75</v>
      </c>
      <c r="L17" s="3" t="n">
        <v>1.75</v>
      </c>
    </row>
    <row r="18" customFormat="false" ht="15" hidden="false" customHeight="false" outlineLevel="0" collapsed="false">
      <c r="A18" s="0" t="s">
        <v>99</v>
      </c>
      <c r="C18" s="3" t="n">
        <v>1.4</v>
      </c>
      <c r="D18" s="3" t="n">
        <v>1.5</v>
      </c>
      <c r="E18" s="3" t="n">
        <v>1.6</v>
      </c>
      <c r="F18" s="3" t="n">
        <v>1.6</v>
      </c>
      <c r="G18" s="3" t="n">
        <v>1.6</v>
      </c>
      <c r="H18" s="3" t="n">
        <v>1.6</v>
      </c>
      <c r="I18" s="3" t="n">
        <v>1.6</v>
      </c>
      <c r="J18" s="3" t="n">
        <v>1.6</v>
      </c>
      <c r="K18" s="3" t="n">
        <v>1.6</v>
      </c>
      <c r="L18" s="3" t="n">
        <v>1.6</v>
      </c>
    </row>
    <row r="19" customFormat="false" ht="15" hidden="false" customHeight="false" outlineLevel="0" collapsed="false">
      <c r="A19" s="0" t="s">
        <v>100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101</v>
      </c>
      <c r="B20" s="3" t="n">
        <v>9</v>
      </c>
    </row>
    <row r="21" customFormat="false" ht="15" hidden="false" customHeight="false" outlineLevel="0" collapsed="false">
      <c r="A21" s="0" t="s">
        <v>102</v>
      </c>
      <c r="B21" s="3" t="n">
        <v>2</v>
      </c>
    </row>
    <row r="22" customFormat="false" ht="15" hidden="false" customHeight="false" outlineLevel="0" collapsed="false">
      <c r="A22" s="0" t="s">
        <v>103</v>
      </c>
      <c r="B22" s="3" t="n">
        <v>15</v>
      </c>
    </row>
    <row r="23" customFormat="false" ht="15" hidden="false" customHeight="false" outlineLevel="0" collapsed="false">
      <c r="A23" s="0" t="s">
        <v>104</v>
      </c>
      <c r="B23" s="3" t="n">
        <v>-5</v>
      </c>
    </row>
    <row r="24" customFormat="false" ht="15" hidden="false" customHeight="false" outlineLevel="0" collapsed="false">
      <c r="A24" s="0" t="s">
        <v>105</v>
      </c>
      <c r="B24" s="3" t="n">
        <v>0.25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-6</v>
      </c>
      <c r="D27" s="3" t="n">
        <v>1</v>
      </c>
      <c r="E27" s="3" t="n">
        <v>3</v>
      </c>
      <c r="F27" s="3" t="n">
        <v>3.5</v>
      </c>
      <c r="G27" s="3" t="n">
        <v>3.5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95</v>
      </c>
      <c r="C28" s="3" t="n">
        <v>7.7</v>
      </c>
      <c r="D28" s="3" t="n">
        <v>7.7</v>
      </c>
      <c r="E28" s="3" t="n">
        <v>7.9</v>
      </c>
      <c r="F28" s="3" t="n">
        <v>8.1</v>
      </c>
      <c r="G28" s="3" t="n">
        <v>8.2</v>
      </c>
      <c r="H28" s="3" t="n">
        <v>8.2</v>
      </c>
      <c r="I28" s="3" t="n">
        <v>8.2</v>
      </c>
      <c r="J28" s="3" t="n">
        <v>8.2</v>
      </c>
      <c r="K28" s="3" t="n">
        <v>8.2</v>
      </c>
      <c r="L28" s="3" t="n">
        <v>8.2</v>
      </c>
    </row>
    <row r="29" customFormat="false" ht="15" hidden="false" customHeight="false" outlineLevel="0" collapsed="false">
      <c r="A29" s="0" t="s">
        <v>96</v>
      </c>
      <c r="C29" s="3" t="n">
        <v>0.035</v>
      </c>
      <c r="D29" s="3" t="n">
        <v>0.035</v>
      </c>
      <c r="E29" s="3" t="n">
        <v>0.035</v>
      </c>
      <c r="F29" s="3" t="n">
        <v>0.035</v>
      </c>
      <c r="G29" s="3" t="n">
        <v>0.035</v>
      </c>
      <c r="H29" s="3" t="n">
        <v>0.035</v>
      </c>
      <c r="I29" s="3" t="n">
        <v>0.035</v>
      </c>
      <c r="J29" s="3" t="n">
        <v>0.035</v>
      </c>
      <c r="K29" s="3" t="n">
        <v>0.035</v>
      </c>
      <c r="L29" s="3" t="n">
        <v>0.035</v>
      </c>
    </row>
    <row r="30" customFormat="false" ht="15" hidden="false" customHeight="false" outlineLevel="0" collapsed="false">
      <c r="A30" s="0" t="s">
        <v>97</v>
      </c>
      <c r="C30" s="3" t="n">
        <v>1.55</v>
      </c>
      <c r="D30" s="3" t="n">
        <v>1.5</v>
      </c>
      <c r="E30" s="3" t="n">
        <v>1.5</v>
      </c>
      <c r="F30" s="3" t="n">
        <v>1.5</v>
      </c>
      <c r="G30" s="3" t="n">
        <v>1.5</v>
      </c>
      <c r="H30" s="3" t="n">
        <v>1.5</v>
      </c>
      <c r="I30" s="3" t="n">
        <v>1.5</v>
      </c>
      <c r="J30" s="3" t="n">
        <v>1.5</v>
      </c>
      <c r="K30" s="3" t="n">
        <v>1.5</v>
      </c>
      <c r="L30" s="3" t="n">
        <v>1.5</v>
      </c>
    </row>
    <row r="31" customFormat="false" ht="15" hidden="false" customHeight="false" outlineLevel="0" collapsed="false">
      <c r="A31" s="0" t="s">
        <v>98</v>
      </c>
      <c r="C31" s="3" t="n">
        <v>1.85</v>
      </c>
      <c r="D31" s="3" t="n">
        <v>1.8</v>
      </c>
      <c r="E31" s="3" t="n">
        <v>1.75</v>
      </c>
      <c r="F31" s="3" t="n">
        <v>1.7</v>
      </c>
      <c r="G31" s="3" t="n">
        <v>1.7</v>
      </c>
      <c r="H31" s="3" t="n">
        <v>1.7</v>
      </c>
      <c r="I31" s="3" t="n">
        <v>1.7</v>
      </c>
      <c r="J31" s="3" t="n">
        <v>1.7</v>
      </c>
      <c r="K31" s="3" t="n">
        <v>1.7</v>
      </c>
      <c r="L31" s="3" t="n">
        <v>1.7</v>
      </c>
    </row>
    <row r="32" customFormat="false" ht="15" hidden="false" customHeight="false" outlineLevel="0" collapsed="false">
      <c r="A32" s="0" t="s">
        <v>99</v>
      </c>
      <c r="C32" s="3" t="n">
        <v>1.3</v>
      </c>
      <c r="D32" s="3" t="n">
        <v>1.4</v>
      </c>
      <c r="E32" s="3" t="n">
        <v>1.5</v>
      </c>
      <c r="F32" s="3" t="n">
        <v>1.5</v>
      </c>
      <c r="G32" s="3" t="n">
        <v>1.5</v>
      </c>
      <c r="H32" s="3" t="n">
        <v>1.5</v>
      </c>
      <c r="I32" s="3" t="n">
        <v>1.5</v>
      </c>
      <c r="J32" s="3" t="n">
        <v>1.5</v>
      </c>
      <c r="K32" s="3" t="n">
        <v>1.5</v>
      </c>
      <c r="L32" s="3" t="n">
        <v>1.5</v>
      </c>
    </row>
    <row r="33" customFormat="false" ht="15" hidden="false" customHeight="false" outlineLevel="0" collapsed="false">
      <c r="A33" s="0" t="s">
        <v>100</v>
      </c>
      <c r="C33" s="3" t="n">
        <v>29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101</v>
      </c>
      <c r="B34" s="3" t="n">
        <v>9</v>
      </c>
    </row>
    <row r="35" customFormat="false" ht="15" hidden="false" customHeight="false" outlineLevel="0" collapsed="false">
      <c r="A35" s="0" t="s">
        <v>102</v>
      </c>
      <c r="B35" s="3" t="n">
        <v>2.5</v>
      </c>
    </row>
    <row r="36" customFormat="false" ht="15" hidden="false" customHeight="false" outlineLevel="0" collapsed="false">
      <c r="A36" s="0" t="s">
        <v>103</v>
      </c>
      <c r="B36" s="3" t="n">
        <v>15</v>
      </c>
    </row>
    <row r="37" customFormat="false" ht="15" hidden="false" customHeight="false" outlineLevel="0" collapsed="false">
      <c r="A37" s="0" t="s">
        <v>104</v>
      </c>
      <c r="B37" s="3" t="n">
        <v>-5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-5.5</v>
      </c>
      <c r="D41" s="3" t="n">
        <v>2.5</v>
      </c>
      <c r="E41" s="3" t="n">
        <v>4.5</v>
      </c>
      <c r="F41" s="3" t="n">
        <v>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95</v>
      </c>
      <c r="C42" s="3" t="n">
        <v>7.8</v>
      </c>
      <c r="D42" s="3" t="n">
        <v>8</v>
      </c>
      <c r="E42" s="3" t="n">
        <v>8.3</v>
      </c>
      <c r="F42" s="3" t="n">
        <v>8.6</v>
      </c>
      <c r="G42" s="3" t="n">
        <v>8.8</v>
      </c>
      <c r="H42" s="3" t="n">
        <v>8.9</v>
      </c>
      <c r="I42" s="3" t="n">
        <v>8.9</v>
      </c>
      <c r="J42" s="3" t="n">
        <v>8.9</v>
      </c>
      <c r="K42" s="3" t="n">
        <v>8.9</v>
      </c>
      <c r="L42" s="3" t="n">
        <v>8.9</v>
      </c>
    </row>
    <row r="43" customFormat="false" ht="15" hidden="false" customHeight="false" outlineLevel="0" collapsed="false">
      <c r="A43" s="0" t="s">
        <v>96</v>
      </c>
      <c r="C43" s="3" t="n">
        <v>0.035</v>
      </c>
      <c r="D43" s="3" t="n">
        <v>0.035</v>
      </c>
      <c r="E43" s="3" t="n">
        <v>0.035</v>
      </c>
      <c r="F43" s="3" t="n">
        <v>0.035</v>
      </c>
      <c r="G43" s="3" t="n">
        <v>0.035</v>
      </c>
      <c r="H43" s="3" t="n">
        <v>0.035</v>
      </c>
      <c r="I43" s="3" t="n">
        <v>0.035</v>
      </c>
      <c r="J43" s="3" t="n">
        <v>0.035</v>
      </c>
      <c r="K43" s="3" t="n">
        <v>0.035</v>
      </c>
      <c r="L43" s="3" t="n">
        <v>0.035</v>
      </c>
    </row>
    <row r="44" customFormat="false" ht="15" hidden="false" customHeight="false" outlineLevel="0" collapsed="false">
      <c r="A44" s="0" t="s">
        <v>97</v>
      </c>
      <c r="C44" s="3" t="n">
        <v>1.55</v>
      </c>
      <c r="D44" s="3" t="n">
        <v>1.5</v>
      </c>
      <c r="E44" s="3" t="n">
        <v>1.5</v>
      </c>
      <c r="F44" s="3" t="n">
        <v>1.5</v>
      </c>
      <c r="G44" s="3" t="n">
        <v>1.5</v>
      </c>
      <c r="H44" s="3" t="n">
        <v>1.5</v>
      </c>
      <c r="I44" s="3" t="n">
        <v>1.5</v>
      </c>
      <c r="J44" s="3" t="n">
        <v>1.5</v>
      </c>
      <c r="K44" s="3" t="n">
        <v>1.5</v>
      </c>
      <c r="L44" s="3" t="n">
        <v>1.5</v>
      </c>
    </row>
    <row r="45" customFormat="false" ht="15" hidden="false" customHeight="false" outlineLevel="0" collapsed="false">
      <c r="A45" s="0" t="s">
        <v>98</v>
      </c>
      <c r="C45" s="3" t="n">
        <v>1.85</v>
      </c>
      <c r="D45" s="3" t="n">
        <v>1.8</v>
      </c>
      <c r="E45" s="3" t="n">
        <v>1.75</v>
      </c>
      <c r="F45" s="3" t="n">
        <v>1.7</v>
      </c>
      <c r="G45" s="3" t="n">
        <v>1.7</v>
      </c>
      <c r="H45" s="3" t="n">
        <v>1.7</v>
      </c>
      <c r="I45" s="3" t="n">
        <v>1.7</v>
      </c>
      <c r="J45" s="3" t="n">
        <v>1.7</v>
      </c>
      <c r="K45" s="3" t="n">
        <v>1.7</v>
      </c>
      <c r="L45" s="3" t="n">
        <v>1.7</v>
      </c>
    </row>
    <row r="46" customFormat="false" ht="15" hidden="false" customHeight="false" outlineLevel="0" collapsed="false">
      <c r="A46" s="0" t="s">
        <v>99</v>
      </c>
      <c r="C46" s="3" t="n">
        <v>1.3</v>
      </c>
      <c r="D46" s="3" t="n">
        <v>1.4</v>
      </c>
      <c r="E46" s="3" t="n">
        <v>1.5</v>
      </c>
      <c r="F46" s="3" t="n">
        <v>1.5</v>
      </c>
      <c r="G46" s="3" t="n">
        <v>1.5</v>
      </c>
      <c r="H46" s="3" t="n">
        <v>1.5</v>
      </c>
      <c r="I46" s="3" t="n">
        <v>1.5</v>
      </c>
      <c r="J46" s="3" t="n">
        <v>1.5</v>
      </c>
      <c r="K46" s="3" t="n">
        <v>1.5</v>
      </c>
      <c r="L46" s="3" t="n">
        <v>1.5</v>
      </c>
    </row>
    <row r="47" customFormat="false" ht="15" hidden="false" customHeight="false" outlineLevel="0" collapsed="false">
      <c r="A47" s="0" t="s">
        <v>100</v>
      </c>
      <c r="C47" s="3" t="n">
        <v>29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101</v>
      </c>
      <c r="B48" s="3" t="n">
        <v>9</v>
      </c>
    </row>
    <row r="49" customFormat="false" ht="15" hidden="false" customHeight="false" outlineLevel="0" collapsed="false">
      <c r="A49" s="0" t="s">
        <v>102</v>
      </c>
      <c r="B49" s="3" t="n">
        <v>3</v>
      </c>
    </row>
    <row r="50" customFormat="false" ht="15" hidden="false" customHeight="false" outlineLevel="0" collapsed="false">
      <c r="A50" s="0" t="s">
        <v>103</v>
      </c>
      <c r="B50" s="3" t="n">
        <v>15</v>
      </c>
    </row>
    <row r="51" customFormat="false" ht="15" hidden="false" customHeight="false" outlineLevel="0" collapsed="false">
      <c r="A51" s="0" t="s">
        <v>104</v>
      </c>
      <c r="B51" s="3" t="n">
        <v>-5</v>
      </c>
    </row>
    <row r="52" customFormat="false" ht="15" hidden="false" customHeight="false" outlineLevel="0" collapsed="false">
      <c r="A52" s="0" t="s">
        <v>105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-7</v>
      </c>
      <c r="D5" s="4" t="n">
        <f aca="false">Assumptions!D13</f>
        <v>-2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10481.5</v>
      </c>
      <c r="C6" s="0" t="n">
        <f aca="false">B6*(1+C5/100)</f>
        <v>9747.795</v>
      </c>
      <c r="D6" s="0" t="n">
        <f aca="false">C6*(1+D5/100)</f>
        <v>9552.8391</v>
      </c>
      <c r="E6" s="0" t="n">
        <f aca="false">D6*(1+E5/100)</f>
        <v>9552.8391</v>
      </c>
      <c r="F6" s="0" t="n">
        <f aca="false">E6*(1+F5/100)</f>
        <v>9648.367491</v>
      </c>
      <c r="G6" s="0" t="n">
        <f aca="false">F6*(1+G5/100)</f>
        <v>9793.093003365</v>
      </c>
      <c r="H6" s="0" t="n">
        <f aca="false">G6*(1+H5/100)</f>
        <v>9988.9548634323</v>
      </c>
      <c r="I6" s="0" t="n">
        <f aca="false">H6*(1+I5/100)</f>
        <v>10188.7339607009</v>
      </c>
      <c r="J6" s="0" t="n">
        <f aca="false">I6*(1+J5/100)</f>
        <v>10392.508639915</v>
      </c>
      <c r="K6" s="0" t="n">
        <f aca="false">J6*(1+K5/100)</f>
        <v>10600.3588127133</v>
      </c>
      <c r="L6" s="0" t="n">
        <f aca="false">K6*(1+L5/100)</f>
        <v>10812.3659889675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7.4</v>
      </c>
      <c r="D7" s="4" t="n">
        <f aca="false">Assumptions!D14</f>
        <v>7.2</v>
      </c>
      <c r="E7" s="4" t="n">
        <f aca="false">Assumptions!E14</f>
        <v>7.2</v>
      </c>
      <c r="F7" s="4" t="n">
        <f aca="false">Assumptions!F14</f>
        <v>7.3</v>
      </c>
      <c r="G7" s="4" t="n">
        <f aca="false">Assumptions!G14</f>
        <v>7.3</v>
      </c>
      <c r="H7" s="4" t="n">
        <f aca="false">Assumptions!H14</f>
        <v>7.3</v>
      </c>
      <c r="I7" s="4" t="n">
        <f aca="false">Assumptions!I14</f>
        <v>7.3</v>
      </c>
      <c r="J7" s="4" t="n">
        <f aca="false">Assumptions!J14</f>
        <v>7.3</v>
      </c>
      <c r="K7" s="4" t="n">
        <f aca="false">Assumptions!K14</f>
        <v>7.3</v>
      </c>
      <c r="L7" s="4" t="n">
        <f aca="false">Assumptions!L14</f>
        <v>7.3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721.33683</v>
      </c>
      <c r="D8" s="0" t="n">
        <f aca="false">D6*D7/100</f>
        <v>687.8044152</v>
      </c>
      <c r="E8" s="0" t="n">
        <f aca="false">E6*E7/100</f>
        <v>687.8044152</v>
      </c>
      <c r="F8" s="0" t="n">
        <f aca="false">F6*F7/100</f>
        <v>704.330826843</v>
      </c>
      <c r="G8" s="0" t="n">
        <f aca="false">G6*G7/100</f>
        <v>714.895789245645</v>
      </c>
      <c r="H8" s="0" t="n">
        <f aca="false">H6*H7/100</f>
        <v>729.193705030558</v>
      </c>
      <c r="I8" s="0" t="n">
        <f aca="false">I6*I7/100</f>
        <v>743.777579131169</v>
      </c>
      <c r="J8" s="0" t="n">
        <f aca="false">J6*J7/100</f>
        <v>758.653130713792</v>
      </c>
      <c r="K8" s="0" t="n">
        <f aca="false">K6*K7/100</f>
        <v>773.826193328068</v>
      </c>
      <c r="L8" s="0" t="n">
        <f aca="false">L6*L7/100</f>
        <v>789.30271719463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0.035</v>
      </c>
      <c r="D9" s="4" t="n">
        <f aca="false">Assumptions!D15</f>
        <v>0.035</v>
      </c>
      <c r="E9" s="4" t="n">
        <f aca="false">Assumptions!E15</f>
        <v>0.035</v>
      </c>
      <c r="F9" s="4" t="n">
        <f aca="false">Assumptions!F15</f>
        <v>0.035</v>
      </c>
      <c r="G9" s="4" t="n">
        <f aca="false">Assumptions!G15</f>
        <v>0.035</v>
      </c>
      <c r="H9" s="4" t="n">
        <f aca="false">Assumptions!H15</f>
        <v>0.035</v>
      </c>
      <c r="I9" s="4" t="n">
        <f aca="false">Assumptions!I15</f>
        <v>0.035</v>
      </c>
      <c r="J9" s="4" t="n">
        <f aca="false">Assumptions!J15</f>
        <v>0.035</v>
      </c>
      <c r="K9" s="4" t="n">
        <f aca="false">Assumptions!K15</f>
        <v>0.035</v>
      </c>
      <c r="L9" s="4" t="n">
        <f aca="false">Assumptions!L15</f>
        <v>0.035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-3.41172825</v>
      </c>
      <c r="D10" s="0" t="n">
        <f aca="false">-D6*D9/100</f>
        <v>-3.343493685</v>
      </c>
      <c r="E10" s="0" t="n">
        <f aca="false">-E6*E9/100</f>
        <v>-3.343493685</v>
      </c>
      <c r="F10" s="0" t="n">
        <f aca="false">-F6*F9/100</f>
        <v>-3.37692862185</v>
      </c>
      <c r="G10" s="0" t="n">
        <f aca="false">-G6*G9/100</f>
        <v>-3.42758255117775</v>
      </c>
      <c r="H10" s="0" t="n">
        <f aca="false">-H6*H9/100</f>
        <v>-3.4961342022013</v>
      </c>
      <c r="I10" s="0" t="n">
        <f aca="false">-I6*I9/100</f>
        <v>-3.56605688624533</v>
      </c>
      <c r="J10" s="0" t="n">
        <f aca="false">-J6*J9/100</f>
        <v>-3.63737802397024</v>
      </c>
      <c r="K10" s="0" t="n">
        <f aca="false">-K6*K9/100</f>
        <v>-3.71012558444964</v>
      </c>
      <c r="L10" s="0" t="n">
        <f aca="false">-L6*L9/100</f>
        <v>-3.78432809613863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561.96038175</v>
      </c>
      <c r="D11" s="0" t="n">
        <f aca="false">D8+D10+D24</f>
        <v>531.615495915</v>
      </c>
      <c r="E11" s="0" t="n">
        <f aca="false">E8+E10+E24</f>
        <v>531.615495915</v>
      </c>
      <c r="F11" s="0" t="n">
        <f aca="false">F8+F10+F24</f>
        <v>546.58001836515</v>
      </c>
      <c r="G11" s="0" t="n">
        <f aca="false">G8+G10+G24</f>
        <v>554.778718640627</v>
      </c>
      <c r="H11" s="0" t="n">
        <f aca="false">H8+H10+H24</f>
        <v>565.87429301344</v>
      </c>
      <c r="I11" s="0" t="n">
        <f aca="false">I8+I10+I24</f>
        <v>577.191778873709</v>
      </c>
      <c r="J11" s="0" t="n">
        <f aca="false">J8+J10+J24</f>
        <v>588.735614451183</v>
      </c>
      <c r="K11" s="0" t="n">
        <f aca="false">K8+K10+K24</f>
        <v>600.510326740206</v>
      </c>
      <c r="L11" s="0" t="n">
        <f aca="false">L8+L10+L24</f>
        <v>612.52053327501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-180.3342075</v>
      </c>
      <c r="D12" s="4" t="n">
        <f aca="false">-D6*Assumptions!D17/100</f>
        <v>-171.9511038</v>
      </c>
      <c r="E12" s="4" t="n">
        <f aca="false">-E6*Assumptions!E17/100</f>
        <v>-167.17468425</v>
      </c>
      <c r="F12" s="4" t="n">
        <f aca="false">-F6*Assumptions!F17/100</f>
        <v>-168.8464310925</v>
      </c>
      <c r="G12" s="4" t="n">
        <f aca="false">-G6*Assumptions!G17/100</f>
        <v>-171.379127558888</v>
      </c>
      <c r="H12" s="4" t="n">
        <f aca="false">-H6*Assumptions!H17/100</f>
        <v>-174.806710110065</v>
      </c>
      <c r="I12" s="4" t="n">
        <f aca="false">-I6*Assumptions!I17/100</f>
        <v>-178.302844312267</v>
      </c>
      <c r="J12" s="4" t="n">
        <f aca="false">-J6*Assumptions!J17/100</f>
        <v>-181.868901198512</v>
      </c>
      <c r="K12" s="4" t="n">
        <f aca="false">-K6*Assumptions!K17/100</f>
        <v>-185.506279222482</v>
      </c>
      <c r="L12" s="4" t="n">
        <f aca="false">-L6*Assumptions!L17/100</f>
        <v>-189.216404806932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381.62617425</v>
      </c>
      <c r="D13" s="0" t="n">
        <f aca="false">D11+D12</f>
        <v>359.664392115</v>
      </c>
      <c r="E13" s="0" t="n">
        <f aca="false">E11+E12</f>
        <v>364.440811665</v>
      </c>
      <c r="F13" s="0" t="n">
        <f aca="false">F11+F12</f>
        <v>377.73358727265</v>
      </c>
      <c r="G13" s="0" t="n">
        <f aca="false">G11+G12</f>
        <v>383.39959108174</v>
      </c>
      <c r="H13" s="0" t="n">
        <f aca="false">H11+H12</f>
        <v>391.067582903375</v>
      </c>
      <c r="I13" s="0" t="n">
        <f aca="false">I11+I12</f>
        <v>398.888934561442</v>
      </c>
      <c r="J13" s="0" t="n">
        <f aca="false">J11+J12</f>
        <v>406.866713252671</v>
      </c>
      <c r="K13" s="0" t="n">
        <f aca="false">K11+K12</f>
        <v>415.004047517724</v>
      </c>
      <c r="L13" s="0" t="n">
        <f aca="false">L11+L12</f>
        <v>423.304128468079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267.138321975</v>
      </c>
      <c r="D15" s="0" t="n">
        <f aca="false">D13-MAX(0,D13)*D14/100</f>
        <v>251.7650744805</v>
      </c>
      <c r="E15" s="0" t="n">
        <f aca="false">E13-MAX(0,E13)*E14/100</f>
        <v>255.1085681655</v>
      </c>
      <c r="F15" s="0" t="n">
        <f aca="false">F13-MAX(0,F13)*F14/100</f>
        <v>264.413511090855</v>
      </c>
      <c r="G15" s="0" t="n">
        <f aca="false">G13-MAX(0,G13)*G14/100</f>
        <v>268.379713757218</v>
      </c>
      <c r="H15" s="0" t="n">
        <f aca="false">H13-MAX(0,H13)*H14/100</f>
        <v>273.747308032362</v>
      </c>
      <c r="I15" s="0" t="n">
        <f aca="false">I13-MAX(0,I13)*I14/100</f>
        <v>279.222254193009</v>
      </c>
      <c r="J15" s="0" t="n">
        <f aca="false">J13-MAX(0,J13)*J14/100</f>
        <v>284.80669927687</v>
      </c>
      <c r="K15" s="0" t="n">
        <f aca="false">K13-MAX(0,K13)*K14/100</f>
        <v>290.502833262407</v>
      </c>
      <c r="L15" s="0" t="n">
        <f aca="false">L13-MAX(0,L13)*L14/100</f>
        <v>296.312889927655</v>
      </c>
    </row>
    <row r="16" customFormat="false" ht="15" hidden="false" customHeight="false" outlineLevel="0" collapsed="false">
      <c r="A16" s="0" t="s">
        <v>116</v>
      </c>
      <c r="C16" s="0" t="n">
        <f aca="false">-C12</f>
        <v>180.3342075</v>
      </c>
      <c r="D16" s="0" t="n">
        <f aca="false">-D12</f>
        <v>171.9511038</v>
      </c>
      <c r="E16" s="0" t="n">
        <f aca="false">-E12</f>
        <v>167.17468425</v>
      </c>
      <c r="F16" s="0" t="n">
        <f aca="false">-F12</f>
        <v>168.8464310925</v>
      </c>
      <c r="G16" s="0" t="n">
        <f aca="false">-G12</f>
        <v>171.379127558888</v>
      </c>
      <c r="H16" s="0" t="n">
        <f aca="false">-H12</f>
        <v>174.806710110065</v>
      </c>
      <c r="I16" s="0" t="n">
        <f aca="false">-I12</f>
        <v>178.302844312267</v>
      </c>
      <c r="J16" s="0" t="n">
        <f aca="false">-J12</f>
        <v>181.868901198512</v>
      </c>
      <c r="K16" s="0" t="n">
        <f aca="false">-K12</f>
        <v>185.506279222482</v>
      </c>
      <c r="L16" s="0" t="n">
        <f aca="false">-L12</f>
        <v>189.216404806932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-136.46913</v>
      </c>
      <c r="D17" s="4" t="n">
        <f aca="false">-D6*Assumptions!D18/100</f>
        <v>-143.2925865</v>
      </c>
      <c r="E17" s="4" t="n">
        <f aca="false">-E6*Assumptions!E18/100</f>
        <v>-152.8454256</v>
      </c>
      <c r="F17" s="4" t="n">
        <f aca="false">-F6*Assumptions!F18/100</f>
        <v>-154.373879856</v>
      </c>
      <c r="G17" s="4" t="n">
        <f aca="false">-G6*Assumptions!G18/100</f>
        <v>-156.68948805384</v>
      </c>
      <c r="H17" s="4" t="n">
        <f aca="false">-H6*Assumptions!H18/100</f>
        <v>-159.823277814917</v>
      </c>
      <c r="I17" s="4" t="n">
        <f aca="false">-I6*Assumptions!I18/100</f>
        <v>-163.019743371215</v>
      </c>
      <c r="J17" s="4" t="n">
        <f aca="false">-J6*Assumptions!J18/100</f>
        <v>-166.280138238639</v>
      </c>
      <c r="K17" s="4" t="n">
        <f aca="false">-K6*Assumptions!K18/100</f>
        <v>-169.605741003412</v>
      </c>
      <c r="L17" s="4" t="n">
        <f aca="false">-L6*Assumptions!L18/100</f>
        <v>-172.99785582348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36.68525</v>
      </c>
      <c r="D18" s="4" t="n">
        <f aca="false">(D6-C6)*Assumptions!$B$23/100</f>
        <v>9.74779500000004</v>
      </c>
      <c r="E18" s="4" t="n">
        <f aca="false">(E6-D6)*Assumptions!$B$23/100</f>
        <v>-0</v>
      </c>
      <c r="F18" s="4" t="n">
        <f aca="false">(F6-E6)*Assumptions!$B$23/100</f>
        <v>-4.77641954999999</v>
      </c>
      <c r="G18" s="4" t="n">
        <f aca="false">(G6-F6)*Assumptions!$B$23/100</f>
        <v>-7.23627561824997</v>
      </c>
      <c r="H18" s="4" t="n">
        <f aca="false">(H6-G6)*Assumptions!$B$23/100</f>
        <v>-9.79309300336499</v>
      </c>
      <c r="I18" s="4" t="n">
        <f aca="false">(I6-H6)*Assumptions!$B$23/100</f>
        <v>-9.98895486343226</v>
      </c>
      <c r="J18" s="4" t="n">
        <f aca="false">(J6-I6)*Assumptions!$B$23/100</f>
        <v>-10.1887339607009</v>
      </c>
      <c r="K18" s="4" t="n">
        <f aca="false">(K6-J6)*Assumptions!$B$23/100</f>
        <v>-10.392508639915</v>
      </c>
      <c r="L18" s="4" t="n">
        <f aca="false">(L6-K6)*Assumptions!$B$23/100</f>
        <v>-10.6003588127132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347.688649475</v>
      </c>
      <c r="D19" s="0" t="n">
        <f aca="false">D15+D16+D17+D18</f>
        <v>290.1713867805</v>
      </c>
      <c r="E19" s="0" t="n">
        <f aca="false">E15+E16+E17+E18</f>
        <v>269.4378268155</v>
      </c>
      <c r="F19" s="0" t="n">
        <f aca="false">F15+F16+F17+F18</f>
        <v>274.109642777355</v>
      </c>
      <c r="G19" s="0" t="n">
        <f aca="false">G15+G16+G17+G18</f>
        <v>275.833077644015</v>
      </c>
      <c r="H19" s="0" t="n">
        <f aca="false">H15+H16+H17+H18</f>
        <v>278.937647324146</v>
      </c>
      <c r="I19" s="0" t="n">
        <f aca="false">I15+I16+I17+I18</f>
        <v>284.516400270629</v>
      </c>
      <c r="J19" s="0" t="n">
        <f aca="false">J15+J16+J17+J18</f>
        <v>290.206728276041</v>
      </c>
      <c r="K19" s="0" t="n">
        <f aca="false">K15+K16+K17+K18</f>
        <v>296.010862841562</v>
      </c>
      <c r="L19" s="0" t="n">
        <f aca="false">L15+L16+L17+L18</f>
        <v>301.931080098393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318.980412362385</v>
      </c>
      <c r="D21" s="0" t="n">
        <f aca="false">D19*D20</f>
        <v>244.23145087156</v>
      </c>
      <c r="E21" s="0" t="n">
        <f aca="false">E19*E20</f>
        <v>208.055438770483</v>
      </c>
      <c r="F21" s="0" t="n">
        <f aca="false">F19*F20</f>
        <v>194.186181539553</v>
      </c>
      <c r="G21" s="0" t="n">
        <f aca="false">G19*G20</f>
        <v>179.272574540114</v>
      </c>
      <c r="H21" s="0" t="n">
        <f aca="false">H19*H20</f>
        <v>166.321405335946</v>
      </c>
      <c r="I21" s="0" t="n">
        <f aca="false">I19*I20</f>
        <v>155.640214167582</v>
      </c>
      <c r="J21" s="0" t="n">
        <f aca="false">J19*J20</f>
        <v>145.644971055903</v>
      </c>
      <c r="K21" s="0" t="n">
        <f aca="false">K19*K20</f>
        <v>136.291624290845</v>
      </c>
      <c r="L21" s="0" t="n">
        <f aca="false">L19*L20</f>
        <v>127.538951171249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1.6</v>
      </c>
      <c r="D23" s="4" t="n">
        <f aca="false">Assumptions!D16</f>
        <v>1.6</v>
      </c>
      <c r="E23" s="4" t="n">
        <f aca="false">Assumptions!E16</f>
        <v>1.6</v>
      </c>
      <c r="F23" s="4" t="n">
        <f aca="false">Assumptions!F16</f>
        <v>1.6</v>
      </c>
      <c r="G23" s="4" t="n">
        <f aca="false">Assumptions!G16</f>
        <v>1.6</v>
      </c>
      <c r="H23" s="4" t="n">
        <f aca="false">Assumptions!H16</f>
        <v>1.6</v>
      </c>
      <c r="I23" s="4" t="n">
        <f aca="false">Assumptions!I16</f>
        <v>1.6</v>
      </c>
      <c r="J23" s="4" t="n">
        <f aca="false">Assumptions!J16</f>
        <v>1.6</v>
      </c>
      <c r="K23" s="4" t="n">
        <f aca="false">Assumptions!K16</f>
        <v>1.6</v>
      </c>
      <c r="L23" s="4" t="n">
        <f aca="false">Assumptions!L16</f>
        <v>1.6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-155.96472</v>
      </c>
      <c r="D24" s="0" t="n">
        <f aca="false">-D6*D23/100</f>
        <v>-152.8454256</v>
      </c>
      <c r="E24" s="0" t="n">
        <f aca="false">-E6*E23/100</f>
        <v>-152.8454256</v>
      </c>
      <c r="F24" s="0" t="n">
        <f aca="false">-F6*F23/100</f>
        <v>-154.373879856</v>
      </c>
      <c r="G24" s="0" t="n">
        <f aca="false">-G6*G23/100</f>
        <v>-156.68948805384</v>
      </c>
      <c r="H24" s="0" t="n">
        <f aca="false">-H6*H23/100</f>
        <v>-159.823277814917</v>
      </c>
      <c r="I24" s="0" t="n">
        <f aca="false">-I6*I23/100</f>
        <v>-163.019743371215</v>
      </c>
      <c r="J24" s="0" t="n">
        <f aca="false">-J6*J23/100</f>
        <v>-166.280138238639</v>
      </c>
      <c r="K24" s="0" t="n">
        <f aca="false">-K6*K23/100</f>
        <v>-169.605741003412</v>
      </c>
      <c r="L24" s="0" t="n">
        <f aca="false">-L6*L23/100</f>
        <v>-172.99785582348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1876.16322410562</v>
      </c>
    </row>
    <row r="31" customFormat="false" ht="15" hidden="false" customHeight="false" outlineLevel="0" collapsed="false">
      <c r="A31" s="0" t="s">
        <v>125</v>
      </c>
      <c r="B31" s="0" t="n">
        <f aca="false">L19</f>
        <v>301.931080098393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4399.56716714801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4528.9662014759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4399.56716714801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1858.42471706677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3734.58794117239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3319.58794117239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4.97838623451169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-0.25361525719465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22.3136122766487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23.2930272334415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5.04678251452082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2368.99770538739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2.46633041863065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-6</v>
      </c>
      <c r="D5" s="4" t="n">
        <f aca="false">Assumptions!D27</f>
        <v>1</v>
      </c>
      <c r="E5" s="4" t="n">
        <f aca="false">Assumptions!E27</f>
        <v>3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10481.5</v>
      </c>
      <c r="C6" s="0" t="n">
        <f aca="false">B6*(1+C5/100)</f>
        <v>9852.61</v>
      </c>
      <c r="D6" s="0" t="n">
        <f aca="false">C6*(1+D5/100)</f>
        <v>9951.1361</v>
      </c>
      <c r="E6" s="0" t="n">
        <f aca="false">D6*(1+E5/100)</f>
        <v>10249.670183</v>
      </c>
      <c r="F6" s="0" t="n">
        <f aca="false">E6*(1+F5/100)</f>
        <v>10608.408639405</v>
      </c>
      <c r="G6" s="0" t="n">
        <f aca="false">F6*(1+G5/100)</f>
        <v>10979.7029417842</v>
      </c>
      <c r="H6" s="0" t="n">
        <f aca="false">G6*(1+H5/100)</f>
        <v>11309.0940300377</v>
      </c>
      <c r="I6" s="0" t="n">
        <f aca="false">H6*(1+I5/100)</f>
        <v>11591.8213807886</v>
      </c>
      <c r="J6" s="0" t="n">
        <f aca="false">I6*(1+J5/100)</f>
        <v>11881.6169153084</v>
      </c>
      <c r="K6" s="0" t="n">
        <f aca="false">J6*(1+K5/100)</f>
        <v>12178.6573381911</v>
      </c>
      <c r="L6" s="0" t="n">
        <f aca="false">K6*(1+L5/100)</f>
        <v>12483.1237716458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7.7</v>
      </c>
      <c r="D7" s="4" t="n">
        <f aca="false">Assumptions!D28</f>
        <v>7.7</v>
      </c>
      <c r="E7" s="4" t="n">
        <f aca="false">Assumptions!E28</f>
        <v>7.9</v>
      </c>
      <c r="F7" s="4" t="n">
        <f aca="false">Assumptions!F28</f>
        <v>8.1</v>
      </c>
      <c r="G7" s="4" t="n">
        <f aca="false">Assumptions!G28</f>
        <v>8.2</v>
      </c>
      <c r="H7" s="4" t="n">
        <f aca="false">Assumptions!H28</f>
        <v>8.2</v>
      </c>
      <c r="I7" s="4" t="n">
        <f aca="false">Assumptions!I28</f>
        <v>8.2</v>
      </c>
      <c r="J7" s="4" t="n">
        <f aca="false">Assumptions!J28</f>
        <v>8.2</v>
      </c>
      <c r="K7" s="4" t="n">
        <f aca="false">Assumptions!K28</f>
        <v>8.2</v>
      </c>
      <c r="L7" s="4" t="n">
        <f aca="false">Assumptions!L28</f>
        <v>8.2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758.65097</v>
      </c>
      <c r="D8" s="0" t="n">
        <f aca="false">D6*D7/100</f>
        <v>766.2374797</v>
      </c>
      <c r="E8" s="0" t="n">
        <f aca="false">E6*E7/100</f>
        <v>809.723944457</v>
      </c>
      <c r="F8" s="0" t="n">
        <f aca="false">F6*F7/100</f>
        <v>859.281099791805</v>
      </c>
      <c r="G8" s="0" t="n">
        <f aca="false">G6*G7/100</f>
        <v>900.335641226302</v>
      </c>
      <c r="H8" s="0" t="n">
        <f aca="false">H6*H7/100</f>
        <v>927.345710463091</v>
      </c>
      <c r="I8" s="0" t="n">
        <f aca="false">I6*I7/100</f>
        <v>950.529353224668</v>
      </c>
      <c r="J8" s="0" t="n">
        <f aca="false">J6*J7/100</f>
        <v>974.292587055285</v>
      </c>
      <c r="K8" s="0" t="n">
        <f aca="false">K6*K7/100</f>
        <v>998.649901731667</v>
      </c>
      <c r="L8" s="0" t="n">
        <f aca="false">L6*L7/100</f>
        <v>1023.61614927496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0.035</v>
      </c>
      <c r="D9" s="4" t="n">
        <f aca="false">Assumptions!D29</f>
        <v>0.035</v>
      </c>
      <c r="E9" s="4" t="n">
        <f aca="false">Assumptions!E29</f>
        <v>0.035</v>
      </c>
      <c r="F9" s="4" t="n">
        <f aca="false">Assumptions!F29</f>
        <v>0.035</v>
      </c>
      <c r="G9" s="4" t="n">
        <f aca="false">Assumptions!G29</f>
        <v>0.035</v>
      </c>
      <c r="H9" s="4" t="n">
        <f aca="false">Assumptions!H29</f>
        <v>0.035</v>
      </c>
      <c r="I9" s="4" t="n">
        <f aca="false">Assumptions!I29</f>
        <v>0.035</v>
      </c>
      <c r="J9" s="4" t="n">
        <f aca="false">Assumptions!J29</f>
        <v>0.035</v>
      </c>
      <c r="K9" s="4" t="n">
        <f aca="false">Assumptions!K29</f>
        <v>0.035</v>
      </c>
      <c r="L9" s="4" t="n">
        <f aca="false">Assumptions!L29</f>
        <v>0.035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-3.4484135</v>
      </c>
      <c r="D10" s="0" t="n">
        <f aca="false">-D6*D9/100</f>
        <v>-3.482897635</v>
      </c>
      <c r="E10" s="0" t="n">
        <f aca="false">-E6*E9/100</f>
        <v>-3.58738456405</v>
      </c>
      <c r="F10" s="0" t="n">
        <f aca="false">-F6*F9/100</f>
        <v>-3.71294302379175</v>
      </c>
      <c r="G10" s="0" t="n">
        <f aca="false">-G6*G9/100</f>
        <v>-3.84289602962446</v>
      </c>
      <c r="H10" s="0" t="n">
        <f aca="false">-H6*H9/100</f>
        <v>-3.9581829105132</v>
      </c>
      <c r="I10" s="0" t="n">
        <f aca="false">-I6*I9/100</f>
        <v>-4.05713748327602</v>
      </c>
      <c r="J10" s="0" t="n">
        <f aca="false">-J6*J9/100</f>
        <v>-4.15856592035792</v>
      </c>
      <c r="K10" s="0" t="n">
        <f aca="false">-K6*K9/100</f>
        <v>-4.26253006836687</v>
      </c>
      <c r="L10" s="0" t="n">
        <f aca="false">-L6*L9/100</f>
        <v>-4.36909332007604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602.4871015</v>
      </c>
      <c r="D11" s="0" t="n">
        <f aca="false">D8+D10+D24</f>
        <v>613.487540565</v>
      </c>
      <c r="E11" s="0" t="n">
        <f aca="false">E8+E10+E24</f>
        <v>652.39150714795</v>
      </c>
      <c r="F11" s="0" t="n">
        <f aca="false">F8+F10+F24</f>
        <v>696.442027176938</v>
      </c>
      <c r="G11" s="0" t="n">
        <f aca="false">G8+G10+G24</f>
        <v>731.797201069915</v>
      </c>
      <c r="H11" s="0" t="n">
        <f aca="false">H8+H10+H24</f>
        <v>753.751117102013</v>
      </c>
      <c r="I11" s="0" t="n">
        <f aca="false">I8+I10+I24</f>
        <v>772.594895029563</v>
      </c>
      <c r="J11" s="0" t="n">
        <f aca="false">J8+J10+J24</f>
        <v>791.909767405302</v>
      </c>
      <c r="K11" s="0" t="n">
        <f aca="false">K8+K10+K24</f>
        <v>811.707511590434</v>
      </c>
      <c r="L11" s="0" t="n">
        <f aca="false">L8+L10+L24</f>
        <v>832.000199380195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-182.273285</v>
      </c>
      <c r="D12" s="4" t="n">
        <f aca="false">-D6*Assumptions!D31/100</f>
        <v>-179.1204498</v>
      </c>
      <c r="E12" s="4" t="n">
        <f aca="false">-E6*Assumptions!E31/100</f>
        <v>-179.3692282025</v>
      </c>
      <c r="F12" s="4" t="n">
        <f aca="false">-F6*Assumptions!F31/100</f>
        <v>-180.342946869885</v>
      </c>
      <c r="G12" s="4" t="n">
        <f aca="false">-G6*Assumptions!G31/100</f>
        <v>-186.654950010331</v>
      </c>
      <c r="H12" s="4" t="n">
        <f aca="false">-H6*Assumptions!H31/100</f>
        <v>-192.254598510641</v>
      </c>
      <c r="I12" s="4" t="n">
        <f aca="false">-I6*Assumptions!I31/100</f>
        <v>-197.060963473407</v>
      </c>
      <c r="J12" s="4" t="n">
        <f aca="false">-J6*Assumptions!J31/100</f>
        <v>-201.987487560242</v>
      </c>
      <c r="K12" s="4" t="n">
        <f aca="false">-K6*Assumptions!K31/100</f>
        <v>-207.037174749248</v>
      </c>
      <c r="L12" s="4" t="n">
        <f aca="false">-L6*Assumptions!L31/100</f>
        <v>-212.213104117979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420.2138165</v>
      </c>
      <c r="D13" s="0" t="n">
        <f aca="false">D11+D12</f>
        <v>434.367090765</v>
      </c>
      <c r="E13" s="0" t="n">
        <f aca="false">E11+E12</f>
        <v>473.02227894545</v>
      </c>
      <c r="F13" s="0" t="n">
        <f aca="false">F11+F12</f>
        <v>516.099080307053</v>
      </c>
      <c r="G13" s="0" t="n">
        <f aca="false">G11+G12</f>
        <v>545.142251059584</v>
      </c>
      <c r="H13" s="0" t="n">
        <f aca="false">H11+H12</f>
        <v>561.496518591372</v>
      </c>
      <c r="I13" s="0" t="n">
        <f aca="false">I11+I12</f>
        <v>575.533931556156</v>
      </c>
      <c r="J13" s="0" t="n">
        <f aca="false">J11+J12</f>
        <v>589.92227984506</v>
      </c>
      <c r="K13" s="0" t="n">
        <f aca="false">K11+K12</f>
        <v>604.670336841186</v>
      </c>
      <c r="L13" s="0" t="n">
        <f aca="false">L11+L12</f>
        <v>619.787095262216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29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298.351809715</v>
      </c>
      <c r="D15" s="0" t="n">
        <f aca="false">D13-MAX(0,D13)*D14/100</f>
        <v>304.0569635355</v>
      </c>
      <c r="E15" s="0" t="n">
        <f aca="false">E13-MAX(0,E13)*E14/100</f>
        <v>331.115595261815</v>
      </c>
      <c r="F15" s="0" t="n">
        <f aca="false">F13-MAX(0,F13)*F14/100</f>
        <v>361.269356214937</v>
      </c>
      <c r="G15" s="0" t="n">
        <f aca="false">G13-MAX(0,G13)*G14/100</f>
        <v>381.599575741709</v>
      </c>
      <c r="H15" s="0" t="n">
        <f aca="false">H13-MAX(0,H13)*H14/100</f>
        <v>393.04756301396</v>
      </c>
      <c r="I15" s="0" t="n">
        <f aca="false">I13-MAX(0,I13)*I14/100</f>
        <v>402.873752089309</v>
      </c>
      <c r="J15" s="0" t="n">
        <f aca="false">J13-MAX(0,J13)*J14/100</f>
        <v>412.945595891542</v>
      </c>
      <c r="K15" s="0" t="n">
        <f aca="false">K13-MAX(0,K13)*K14/100</f>
        <v>423.26923578883</v>
      </c>
      <c r="L15" s="0" t="n">
        <f aca="false">L13-MAX(0,L13)*L14/100</f>
        <v>433.850966683551</v>
      </c>
    </row>
    <row r="16" customFormat="false" ht="15" hidden="false" customHeight="false" outlineLevel="0" collapsed="false">
      <c r="A16" s="0" t="s">
        <v>116</v>
      </c>
      <c r="C16" s="0" t="n">
        <f aca="false">-C12</f>
        <v>182.273285</v>
      </c>
      <c r="D16" s="0" t="n">
        <f aca="false">-D12</f>
        <v>179.1204498</v>
      </c>
      <c r="E16" s="0" t="n">
        <f aca="false">-E12</f>
        <v>179.3692282025</v>
      </c>
      <c r="F16" s="0" t="n">
        <f aca="false">-F12</f>
        <v>180.342946869885</v>
      </c>
      <c r="G16" s="0" t="n">
        <f aca="false">-G12</f>
        <v>186.654950010331</v>
      </c>
      <c r="H16" s="0" t="n">
        <f aca="false">-H12</f>
        <v>192.254598510641</v>
      </c>
      <c r="I16" s="0" t="n">
        <f aca="false">-I12</f>
        <v>197.060963473407</v>
      </c>
      <c r="J16" s="0" t="n">
        <f aca="false">-J12</f>
        <v>201.987487560242</v>
      </c>
      <c r="K16" s="0" t="n">
        <f aca="false">-K12</f>
        <v>207.037174749248</v>
      </c>
      <c r="L16" s="0" t="n">
        <f aca="false">-L12</f>
        <v>212.213104117979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-128.08393</v>
      </c>
      <c r="D17" s="4" t="n">
        <f aca="false">-D6*Assumptions!D32/100</f>
        <v>-139.3159054</v>
      </c>
      <c r="E17" s="4" t="n">
        <f aca="false">-E6*Assumptions!E32/100</f>
        <v>-153.745052745</v>
      </c>
      <c r="F17" s="4" t="n">
        <f aca="false">-F6*Assumptions!F32/100</f>
        <v>-159.126129591075</v>
      </c>
      <c r="G17" s="4" t="n">
        <f aca="false">-G6*Assumptions!G32/100</f>
        <v>-164.695544126763</v>
      </c>
      <c r="H17" s="4" t="n">
        <f aca="false">-H6*Assumptions!H32/100</f>
        <v>-169.636410450565</v>
      </c>
      <c r="I17" s="4" t="n">
        <f aca="false">-I6*Assumptions!I32/100</f>
        <v>-173.87732071183</v>
      </c>
      <c r="J17" s="4" t="n">
        <f aca="false">-J6*Assumptions!J32/100</f>
        <v>-178.224253729625</v>
      </c>
      <c r="K17" s="4" t="n">
        <f aca="false">-K6*Assumptions!K32/100</f>
        <v>-182.679860072866</v>
      </c>
      <c r="L17" s="4" t="n">
        <f aca="false">-L6*Assumptions!L32/100</f>
        <v>-187.246856574688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31.4445000000001</v>
      </c>
      <c r="D18" s="4" t="n">
        <f aca="false">(D6-C6)*Assumptions!$B$37/100</f>
        <v>-4.92630500000005</v>
      </c>
      <c r="E18" s="4" t="n">
        <f aca="false">(E6-D6)*Assumptions!$B$37/100</f>
        <v>-14.92670415</v>
      </c>
      <c r="F18" s="4" t="n">
        <f aca="false">(F6-E6)*Assumptions!$B$37/100</f>
        <v>-17.9369228202499</v>
      </c>
      <c r="G18" s="4" t="n">
        <f aca="false">(G6-F6)*Assumptions!$B$37/100</f>
        <v>-18.5647151189587</v>
      </c>
      <c r="H18" s="4" t="n">
        <f aca="false">(H6-G6)*Assumptions!$B$37/100</f>
        <v>-16.4695544126763</v>
      </c>
      <c r="I18" s="4" t="n">
        <f aca="false">(I6-H6)*Assumptions!$B$37/100</f>
        <v>-14.1363675375471</v>
      </c>
      <c r="J18" s="4" t="n">
        <f aca="false">(J6-I6)*Assumptions!$B$37/100</f>
        <v>-14.4897767259858</v>
      </c>
      <c r="K18" s="4" t="n">
        <f aca="false">(K6-J6)*Assumptions!$B$37/100</f>
        <v>-14.8520211441354</v>
      </c>
      <c r="L18" s="4" t="n">
        <f aca="false">(L6-K6)*Assumptions!$B$37/100</f>
        <v>-15.2233216727388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383.985664715</v>
      </c>
      <c r="D19" s="0" t="n">
        <f aca="false">D15+D16+D17+D18</f>
        <v>338.9352029355</v>
      </c>
      <c r="E19" s="0" t="n">
        <f aca="false">E15+E16+E17+E18</f>
        <v>341.813066569315</v>
      </c>
      <c r="F19" s="0" t="n">
        <f aca="false">F15+F16+F17+F18</f>
        <v>364.549250673497</v>
      </c>
      <c r="G19" s="0" t="n">
        <f aca="false">G15+G16+G17+G18</f>
        <v>384.994266506318</v>
      </c>
      <c r="H19" s="0" t="n">
        <f aca="false">H15+H16+H17+H18</f>
        <v>399.196196661359</v>
      </c>
      <c r="I19" s="0" t="n">
        <f aca="false">I15+I16+I17+I18</f>
        <v>411.921027313339</v>
      </c>
      <c r="J19" s="0" t="n">
        <f aca="false">J15+J16+J17+J18</f>
        <v>422.219052996173</v>
      </c>
      <c r="K19" s="0" t="n">
        <f aca="false">K15+K16+K17+K18</f>
        <v>432.774529321077</v>
      </c>
      <c r="L19" s="0" t="n">
        <f aca="false">L15+L16+L17+L18</f>
        <v>443.593892554104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352.280426344037</v>
      </c>
      <c r="D21" s="0" t="n">
        <f aca="false">D19*D20</f>
        <v>285.274979324552</v>
      </c>
      <c r="E21" s="0" t="n">
        <f aca="false">E19*E20</f>
        <v>263.942403273838</v>
      </c>
      <c r="F21" s="0" t="n">
        <f aca="false">F19*F20</f>
        <v>258.255879852031</v>
      </c>
      <c r="G21" s="0" t="n">
        <f aca="false">G19*G20</f>
        <v>250.219857347366</v>
      </c>
      <c r="H21" s="0" t="n">
        <f aca="false">H19*H20</f>
        <v>238.027649083618</v>
      </c>
      <c r="I21" s="0" t="n">
        <f aca="false">I19*I20</f>
        <v>225.334908111436</v>
      </c>
      <c r="J21" s="0" t="n">
        <f aca="false">J19*J20</f>
        <v>211.897505334149</v>
      </c>
      <c r="K21" s="0" t="n">
        <f aca="false">K19*K20</f>
        <v>199.261415566516</v>
      </c>
      <c r="L21" s="0" t="n">
        <f aca="false">L19*L20</f>
        <v>187.378854087779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1.55</v>
      </c>
      <c r="D23" s="4" t="n">
        <f aca="false">Assumptions!D30</f>
        <v>1.5</v>
      </c>
      <c r="E23" s="4" t="n">
        <f aca="false">Assumptions!E30</f>
        <v>1.5</v>
      </c>
      <c r="F23" s="4" t="n">
        <f aca="false">Assumptions!F30</f>
        <v>1.5</v>
      </c>
      <c r="G23" s="4" t="n">
        <f aca="false">Assumptions!G30</f>
        <v>1.5</v>
      </c>
      <c r="H23" s="4" t="n">
        <f aca="false">Assumptions!H30</f>
        <v>1.5</v>
      </c>
      <c r="I23" s="4" t="n">
        <f aca="false">Assumptions!I30</f>
        <v>1.5</v>
      </c>
      <c r="J23" s="4" t="n">
        <f aca="false">Assumptions!J30</f>
        <v>1.5</v>
      </c>
      <c r="K23" s="4" t="n">
        <f aca="false">Assumptions!K30</f>
        <v>1.5</v>
      </c>
      <c r="L23" s="4" t="n">
        <f aca="false">Assumptions!L30</f>
        <v>1.5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-152.715455</v>
      </c>
      <c r="D24" s="0" t="n">
        <f aca="false">-D6*D23/100</f>
        <v>-149.2670415</v>
      </c>
      <c r="E24" s="0" t="n">
        <f aca="false">-E6*E23/100</f>
        <v>-153.745052745</v>
      </c>
      <c r="F24" s="0" t="n">
        <f aca="false">-F6*F23/100</f>
        <v>-159.126129591075</v>
      </c>
      <c r="G24" s="0" t="n">
        <f aca="false">-G6*G23/100</f>
        <v>-164.695544126763</v>
      </c>
      <c r="H24" s="0" t="n">
        <f aca="false">-H6*H23/100</f>
        <v>-169.636410450565</v>
      </c>
      <c r="I24" s="0" t="n">
        <f aca="false">-I6*I23/100</f>
        <v>-173.87732071183</v>
      </c>
      <c r="J24" s="0" t="n">
        <f aca="false">-J6*J23/100</f>
        <v>-178.224253729625</v>
      </c>
      <c r="K24" s="0" t="n">
        <f aca="false">-K6*K23/100</f>
        <v>-182.679860072866</v>
      </c>
      <c r="L24" s="0" t="n">
        <f aca="false">-L6*L23/100</f>
        <v>-187.246856574688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2471.87387832532</v>
      </c>
    </row>
    <row r="31" customFormat="false" ht="15" hidden="false" customHeight="false" outlineLevel="0" collapsed="false">
      <c r="A31" s="0" t="s">
        <v>125</v>
      </c>
      <c r="B31" s="0" t="n">
        <f aca="false">L19</f>
        <v>443.593892554104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6995.13445950702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6653.90838831156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6653.90838831156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2810.68281131668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5282.556689642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4867.556689642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7.29987505945111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0.0944340418967182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24.4679594334887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29.1029390862197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7.38021533917473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3637.46991894365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3.59483576243942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-5.5</v>
      </c>
      <c r="D5" s="4" t="n">
        <f aca="false">Assumptions!D41</f>
        <v>2.5</v>
      </c>
      <c r="E5" s="4" t="n">
        <f aca="false">Assumptions!E41</f>
        <v>4.5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10481.5</v>
      </c>
      <c r="C6" s="0" t="n">
        <f aca="false">B6*(1+C5/100)</f>
        <v>9905.0175</v>
      </c>
      <c r="D6" s="0" t="n">
        <f aca="false">C6*(1+D5/100)</f>
        <v>10152.6429375</v>
      </c>
      <c r="E6" s="0" t="n">
        <f aca="false">D6*(1+E5/100)</f>
        <v>10609.5118696875</v>
      </c>
      <c r="F6" s="0" t="n">
        <f aca="false">E6*(1+F5/100)</f>
        <v>11139.9874631719</v>
      </c>
      <c r="G6" s="0" t="n">
        <f aca="false">F6*(1+G5/100)</f>
        <v>11696.9868363305</v>
      </c>
      <c r="H6" s="0" t="n">
        <f aca="false">G6*(1+H5/100)</f>
        <v>12223.3512439653</v>
      </c>
      <c r="I6" s="0" t="n">
        <f aca="false">H6*(1+I5/100)</f>
        <v>12712.285293724</v>
      </c>
      <c r="J6" s="0" t="n">
        <f aca="false">I6*(1+J5/100)</f>
        <v>13157.2152790043</v>
      </c>
      <c r="K6" s="0" t="n">
        <f aca="false">J6*(1+K5/100)</f>
        <v>13551.9317373744</v>
      </c>
      <c r="L6" s="0" t="n">
        <f aca="false">K6*(1+L5/100)</f>
        <v>13958.4896894957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7.8</v>
      </c>
      <c r="D7" s="4" t="n">
        <f aca="false">Assumptions!D42</f>
        <v>8</v>
      </c>
      <c r="E7" s="4" t="n">
        <f aca="false">Assumptions!E42</f>
        <v>8.3</v>
      </c>
      <c r="F7" s="4" t="n">
        <f aca="false">Assumptions!F42</f>
        <v>8.6</v>
      </c>
      <c r="G7" s="4" t="n">
        <f aca="false">Assumptions!G42</f>
        <v>8.8</v>
      </c>
      <c r="H7" s="4" t="n">
        <f aca="false">Assumptions!H42</f>
        <v>8.9</v>
      </c>
      <c r="I7" s="4" t="n">
        <f aca="false">Assumptions!I42</f>
        <v>8.9</v>
      </c>
      <c r="J7" s="4" t="n">
        <f aca="false">Assumptions!J42</f>
        <v>8.9</v>
      </c>
      <c r="K7" s="4" t="n">
        <f aca="false">Assumptions!K42</f>
        <v>8.9</v>
      </c>
      <c r="L7" s="4" t="n">
        <f aca="false">Assumptions!L42</f>
        <v>8.9</v>
      </c>
    </row>
    <row r="8" customFormat="false" ht="15" hidden="false" customHeight="false" outlineLevel="0" collapsed="false">
      <c r="A8" s="0" t="s">
        <v>43</v>
      </c>
      <c r="C8" s="0" t="n">
        <f aca="false">C6*C7/100</f>
        <v>772.591365</v>
      </c>
      <c r="D8" s="0" t="n">
        <f aca="false">D6*D7/100</f>
        <v>812.211435</v>
      </c>
      <c r="E8" s="0" t="n">
        <f aca="false">E6*E7/100</f>
        <v>880.589485184062</v>
      </c>
      <c r="F8" s="0" t="n">
        <f aca="false">F6*F7/100</f>
        <v>958.038921832781</v>
      </c>
      <c r="G8" s="0" t="n">
        <f aca="false">G6*G7/100</f>
        <v>1029.33484159708</v>
      </c>
      <c r="H8" s="0" t="n">
        <f aca="false">H6*H7/100</f>
        <v>1087.87826071292</v>
      </c>
      <c r="I8" s="0" t="n">
        <f aca="false">I6*I7/100</f>
        <v>1131.39339114143</v>
      </c>
      <c r="J8" s="0" t="n">
        <f aca="false">J6*J7/100</f>
        <v>1170.99215983138</v>
      </c>
      <c r="K8" s="0" t="n">
        <f aca="false">K6*K7/100</f>
        <v>1206.12192462632</v>
      </c>
      <c r="L8" s="0" t="n">
        <f aca="false">L6*L7/100</f>
        <v>1242.30558236511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0.035</v>
      </c>
      <c r="D9" s="4" t="n">
        <f aca="false">Assumptions!D43</f>
        <v>0.035</v>
      </c>
      <c r="E9" s="4" t="n">
        <f aca="false">Assumptions!E43</f>
        <v>0.035</v>
      </c>
      <c r="F9" s="4" t="n">
        <f aca="false">Assumptions!F43</f>
        <v>0.035</v>
      </c>
      <c r="G9" s="4" t="n">
        <f aca="false">Assumptions!G43</f>
        <v>0.035</v>
      </c>
      <c r="H9" s="4" t="n">
        <f aca="false">Assumptions!H43</f>
        <v>0.035</v>
      </c>
      <c r="I9" s="4" t="n">
        <f aca="false">Assumptions!I43</f>
        <v>0.035</v>
      </c>
      <c r="J9" s="4" t="n">
        <f aca="false">Assumptions!J43</f>
        <v>0.035</v>
      </c>
      <c r="K9" s="4" t="n">
        <f aca="false">Assumptions!K43</f>
        <v>0.035</v>
      </c>
      <c r="L9" s="4" t="n">
        <f aca="false">Assumptions!L43</f>
        <v>0.035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-3.466756125</v>
      </c>
      <c r="D10" s="0" t="n">
        <f aca="false">-D6*D9/100</f>
        <v>-3.553425028125</v>
      </c>
      <c r="E10" s="0" t="n">
        <f aca="false">-E6*E9/100</f>
        <v>-3.71332915439062</v>
      </c>
      <c r="F10" s="0" t="n">
        <f aca="false">-F6*F9/100</f>
        <v>-3.89899561211016</v>
      </c>
      <c r="G10" s="0" t="n">
        <f aca="false">-G6*G9/100</f>
        <v>-4.09394539271566</v>
      </c>
      <c r="H10" s="0" t="n">
        <f aca="false">-H6*H9/100</f>
        <v>-4.27817293538787</v>
      </c>
      <c r="I10" s="0" t="n">
        <f aca="false">-I6*I9/100</f>
        <v>-4.44929985280338</v>
      </c>
      <c r="J10" s="0" t="n">
        <f aca="false">-J6*J9/100</f>
        <v>-4.6050253476515</v>
      </c>
      <c r="K10" s="0" t="n">
        <f aca="false">-K6*K9/100</f>
        <v>-4.74317610808105</v>
      </c>
      <c r="L10" s="0" t="n">
        <f aca="false">-L6*L9/100</f>
        <v>-4.88547139132348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615.596837625</v>
      </c>
      <c r="D11" s="0" t="n">
        <f aca="false">D8+D10+D24</f>
        <v>656.368365909375</v>
      </c>
      <c r="E11" s="0" t="n">
        <f aca="false">E8+E10+E24</f>
        <v>717.733477984359</v>
      </c>
      <c r="F11" s="0" t="n">
        <f aca="false">F8+F10+F24</f>
        <v>787.040114273093</v>
      </c>
      <c r="G11" s="0" t="n">
        <f aca="false">G8+G10+G24</f>
        <v>849.786093659409</v>
      </c>
      <c r="H11" s="0" t="n">
        <f aca="false">H8+H10+H24</f>
        <v>900.249819118047</v>
      </c>
      <c r="I11" s="0" t="n">
        <f aca="false">I8+I10+I24</f>
        <v>936.259811882769</v>
      </c>
      <c r="J11" s="0" t="n">
        <f aca="false">J8+J10+J24</f>
        <v>969.028905298666</v>
      </c>
      <c r="K11" s="0" t="n">
        <f aca="false">K8+K10+K24</f>
        <v>998.099772457626</v>
      </c>
      <c r="L11" s="0" t="n">
        <f aca="false">L8+L10+L24</f>
        <v>1028.04276563135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-183.24282375</v>
      </c>
      <c r="D12" s="4" t="n">
        <f aca="false">-D6*Assumptions!D45/100</f>
        <v>-182.747572875</v>
      </c>
      <c r="E12" s="4" t="n">
        <f aca="false">-E6*Assumptions!E45/100</f>
        <v>-185.666457719531</v>
      </c>
      <c r="F12" s="4" t="n">
        <f aca="false">-F6*Assumptions!F45/100</f>
        <v>-189.379786873922</v>
      </c>
      <c r="G12" s="4" t="n">
        <f aca="false">-G6*Assumptions!G45/100</f>
        <v>-198.848776217618</v>
      </c>
      <c r="H12" s="4" t="n">
        <f aca="false">-H6*Assumptions!H45/100</f>
        <v>-207.796971147411</v>
      </c>
      <c r="I12" s="4" t="n">
        <f aca="false">-I6*Assumptions!I45/100</f>
        <v>-216.108849993307</v>
      </c>
      <c r="J12" s="4" t="n">
        <f aca="false">-J6*Assumptions!J45/100</f>
        <v>-223.672659743073</v>
      </c>
      <c r="K12" s="4" t="n">
        <f aca="false">-K6*Assumptions!K45/100</f>
        <v>-230.382839535365</v>
      </c>
      <c r="L12" s="4" t="n">
        <f aca="false">-L6*Assumptions!L45/100</f>
        <v>-237.294324721426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432.354013875</v>
      </c>
      <c r="D13" s="0" t="n">
        <f aca="false">D11+D12</f>
        <v>473.620793034375</v>
      </c>
      <c r="E13" s="0" t="n">
        <f aca="false">E11+E12</f>
        <v>532.067020264828</v>
      </c>
      <c r="F13" s="0" t="n">
        <f aca="false">F11+F12</f>
        <v>597.660327399171</v>
      </c>
      <c r="G13" s="0" t="n">
        <f aca="false">G11+G12</f>
        <v>650.937317441791</v>
      </c>
      <c r="H13" s="0" t="n">
        <f aca="false">H11+H12</f>
        <v>692.452847970636</v>
      </c>
      <c r="I13" s="0" t="n">
        <f aca="false">I11+I12</f>
        <v>720.150961889462</v>
      </c>
      <c r="J13" s="0" t="n">
        <f aca="false">J11+J12</f>
        <v>745.356245555593</v>
      </c>
      <c r="K13" s="0" t="n">
        <f aca="false">K11+K12</f>
        <v>767.716932922261</v>
      </c>
      <c r="L13" s="0" t="n">
        <f aca="false">L11+L12</f>
        <v>790.748440909929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29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306.97134985125</v>
      </c>
      <c r="D15" s="0" t="n">
        <f aca="false">D13-MAX(0,D13)*D14/100</f>
        <v>331.534555124063</v>
      </c>
      <c r="E15" s="0" t="n">
        <f aca="false">E13-MAX(0,E13)*E14/100</f>
        <v>372.44691418538</v>
      </c>
      <c r="F15" s="0" t="n">
        <f aca="false">F13-MAX(0,F13)*F14/100</f>
        <v>418.36222917942</v>
      </c>
      <c r="G15" s="0" t="n">
        <f aca="false">G13-MAX(0,G13)*G14/100</f>
        <v>455.656122209254</v>
      </c>
      <c r="H15" s="0" t="n">
        <f aca="false">H13-MAX(0,H13)*H14/100</f>
        <v>484.716993579446</v>
      </c>
      <c r="I15" s="0" t="n">
        <f aca="false">I13-MAX(0,I13)*I14/100</f>
        <v>504.105673322624</v>
      </c>
      <c r="J15" s="0" t="n">
        <f aca="false">J13-MAX(0,J13)*J14/100</f>
        <v>521.749371888915</v>
      </c>
      <c r="K15" s="0" t="n">
        <f aca="false">K13-MAX(0,K13)*K14/100</f>
        <v>537.401853045583</v>
      </c>
      <c r="L15" s="0" t="n">
        <f aca="false">L13-MAX(0,L13)*L14/100</f>
        <v>553.52390863695</v>
      </c>
    </row>
    <row r="16" customFormat="false" ht="15" hidden="false" customHeight="false" outlineLevel="0" collapsed="false">
      <c r="A16" s="0" t="s">
        <v>116</v>
      </c>
      <c r="C16" s="0" t="n">
        <f aca="false">-C12</f>
        <v>183.24282375</v>
      </c>
      <c r="D16" s="0" t="n">
        <f aca="false">-D12</f>
        <v>182.747572875</v>
      </c>
      <c r="E16" s="0" t="n">
        <f aca="false">-E12</f>
        <v>185.666457719531</v>
      </c>
      <c r="F16" s="0" t="n">
        <f aca="false">-F12</f>
        <v>189.379786873922</v>
      </c>
      <c r="G16" s="0" t="n">
        <f aca="false">-G12</f>
        <v>198.848776217618</v>
      </c>
      <c r="H16" s="0" t="n">
        <f aca="false">-H12</f>
        <v>207.796971147411</v>
      </c>
      <c r="I16" s="0" t="n">
        <f aca="false">-I12</f>
        <v>216.108849993307</v>
      </c>
      <c r="J16" s="0" t="n">
        <f aca="false">-J12</f>
        <v>223.672659743073</v>
      </c>
      <c r="K16" s="0" t="n">
        <f aca="false">-K12</f>
        <v>230.382839535365</v>
      </c>
      <c r="L16" s="0" t="n">
        <f aca="false">-L12</f>
        <v>237.294324721426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-128.7652275</v>
      </c>
      <c r="D17" s="4" t="n">
        <f aca="false">-D6*Assumptions!D46/100</f>
        <v>-142.137001125</v>
      </c>
      <c r="E17" s="4" t="n">
        <f aca="false">-E6*Assumptions!E46/100</f>
        <v>-159.142678045312</v>
      </c>
      <c r="F17" s="4" t="n">
        <f aca="false">-F6*Assumptions!F46/100</f>
        <v>-167.099811947578</v>
      </c>
      <c r="G17" s="4" t="n">
        <f aca="false">-G6*Assumptions!G46/100</f>
        <v>-175.454802544957</v>
      </c>
      <c r="H17" s="4" t="n">
        <f aca="false">-H6*Assumptions!H46/100</f>
        <v>-183.35026865948</v>
      </c>
      <c r="I17" s="4" t="n">
        <f aca="false">-I6*Assumptions!I46/100</f>
        <v>-190.684279405859</v>
      </c>
      <c r="J17" s="4" t="n">
        <f aca="false">-J6*Assumptions!J46/100</f>
        <v>-197.358229185064</v>
      </c>
      <c r="K17" s="4" t="n">
        <f aca="false">-K6*Assumptions!K46/100</f>
        <v>-203.278976060616</v>
      </c>
      <c r="L17" s="4" t="n">
        <f aca="false">-L6*Assumptions!L46/100</f>
        <v>-209.377345342435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28.824125</v>
      </c>
      <c r="D18" s="4" t="n">
        <f aca="false">(D6-C6)*Assumptions!$B$51/100</f>
        <v>-12.3812718749999</v>
      </c>
      <c r="E18" s="4" t="n">
        <f aca="false">(E6-D6)*Assumptions!$B$51/100</f>
        <v>-22.843446609375</v>
      </c>
      <c r="F18" s="4" t="n">
        <f aca="false">(F6-E6)*Assumptions!$B$51/100</f>
        <v>-26.5237796742188</v>
      </c>
      <c r="G18" s="4" t="n">
        <f aca="false">(G6-F6)*Assumptions!$B$51/100</f>
        <v>-27.8499686579297</v>
      </c>
      <c r="H18" s="4" t="n">
        <f aca="false">(H6-G6)*Assumptions!$B$51/100</f>
        <v>-26.3182203817435</v>
      </c>
      <c r="I18" s="4" t="n">
        <f aca="false">(I6-H6)*Assumptions!$B$51/100</f>
        <v>-24.4467024879307</v>
      </c>
      <c r="J18" s="4" t="n">
        <f aca="false">(J6-I6)*Assumptions!$B$51/100</f>
        <v>-22.2464992640169</v>
      </c>
      <c r="K18" s="4" t="n">
        <f aca="false">(K6-J6)*Assumptions!$B$51/100</f>
        <v>-19.7358229185064</v>
      </c>
      <c r="L18" s="4" t="n">
        <f aca="false">(L6-K6)*Assumptions!$B$51/100</f>
        <v>-20.3278976060617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390.27307110125</v>
      </c>
      <c r="D19" s="0" t="n">
        <f aca="false">D15+D16+D17+D18</f>
        <v>359.763854999063</v>
      </c>
      <c r="E19" s="0" t="n">
        <f aca="false">E15+E16+E17+E18</f>
        <v>376.127247250224</v>
      </c>
      <c r="F19" s="0" t="n">
        <f aca="false">F15+F16+F17+F18</f>
        <v>414.118424431545</v>
      </c>
      <c r="G19" s="0" t="n">
        <f aca="false">G15+G16+G17+G18</f>
        <v>451.200127223985</v>
      </c>
      <c r="H19" s="0" t="n">
        <f aca="false">H15+H16+H17+H18</f>
        <v>482.845475685633</v>
      </c>
      <c r="I19" s="0" t="n">
        <f aca="false">I15+I16+I17+I18</f>
        <v>505.083541422141</v>
      </c>
      <c r="J19" s="0" t="n">
        <f aca="false">J15+J16+J17+J18</f>
        <v>525.817303182907</v>
      </c>
      <c r="K19" s="0" t="n">
        <f aca="false">K15+K16+K17+K18</f>
        <v>544.769893601825</v>
      </c>
      <c r="L19" s="0" t="n">
        <f aca="false">L15+L16+L17+L18</f>
        <v>561.11299040988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358.048689083716</v>
      </c>
      <c r="D21" s="0" t="n">
        <f aca="false">D19*D20</f>
        <v>302.806039053163</v>
      </c>
      <c r="E21" s="0" t="n">
        <f aca="false">E19*E20</f>
        <v>290.439246727466</v>
      </c>
      <c r="F21" s="0" t="n">
        <f aca="false">F19*F20</f>
        <v>293.371932233903</v>
      </c>
      <c r="G21" s="0" t="n">
        <f aca="false">G19*G20</f>
        <v>293.249124184674</v>
      </c>
      <c r="H21" s="0" t="n">
        <f aca="false">H19*H20</f>
        <v>287.904981082796</v>
      </c>
      <c r="I21" s="0" t="n">
        <f aca="false">I19*I20</f>
        <v>276.297993664649</v>
      </c>
      <c r="J21" s="0" t="n">
        <f aca="false">J19*J20</f>
        <v>263.889973735973</v>
      </c>
      <c r="K21" s="0" t="n">
        <f aca="false">K19*K20</f>
        <v>250.82719245842</v>
      </c>
      <c r="L21" s="0" t="n">
        <f aca="false">L19*L20</f>
        <v>237.02019103869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1.55</v>
      </c>
      <c r="D23" s="4" t="n">
        <f aca="false">Assumptions!D44</f>
        <v>1.5</v>
      </c>
      <c r="E23" s="4" t="n">
        <f aca="false">Assumptions!E44</f>
        <v>1.5</v>
      </c>
      <c r="F23" s="4" t="n">
        <f aca="false">Assumptions!F44</f>
        <v>1.5</v>
      </c>
      <c r="G23" s="4" t="n">
        <f aca="false">Assumptions!G44</f>
        <v>1.5</v>
      </c>
      <c r="H23" s="4" t="n">
        <f aca="false">Assumptions!H44</f>
        <v>1.5</v>
      </c>
      <c r="I23" s="4" t="n">
        <f aca="false">Assumptions!I44</f>
        <v>1.5</v>
      </c>
      <c r="J23" s="4" t="n">
        <f aca="false">Assumptions!J44</f>
        <v>1.5</v>
      </c>
      <c r="K23" s="4" t="n">
        <f aca="false">Assumptions!K44</f>
        <v>1.5</v>
      </c>
      <c r="L23" s="4" t="n">
        <f aca="false">Assumptions!L44</f>
        <v>1.5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-153.52777125</v>
      </c>
      <c r="D24" s="0" t="n">
        <f aca="false">-D6*D23/100</f>
        <v>-152.2896440625</v>
      </c>
      <c r="E24" s="0" t="n">
        <f aca="false">-E6*E23/100</f>
        <v>-159.142678045312</v>
      </c>
      <c r="F24" s="0" t="n">
        <f aca="false">-F6*F23/100</f>
        <v>-167.099811947578</v>
      </c>
      <c r="G24" s="0" t="n">
        <f aca="false">-G6*G23/100</f>
        <v>-175.454802544957</v>
      </c>
      <c r="H24" s="0" t="n">
        <f aca="false">-H6*H23/100</f>
        <v>-183.35026865948</v>
      </c>
      <c r="I24" s="0" t="n">
        <f aca="false">-I6*I23/100</f>
        <v>-190.684279405859</v>
      </c>
      <c r="J24" s="0" t="n">
        <f aca="false">-J6*J23/100</f>
        <v>-197.358229185064</v>
      </c>
      <c r="K24" s="0" t="n">
        <f aca="false">-K6*K23/100</f>
        <v>-203.278976060616</v>
      </c>
      <c r="L24" s="0" t="n">
        <f aca="false">-L6*L23/100</f>
        <v>-209.377345342435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2853.85536326345</v>
      </c>
    </row>
    <row r="31" customFormat="false" ht="15" hidden="false" customHeight="false" outlineLevel="0" collapsed="false">
      <c r="A31" s="0" t="s">
        <v>125</v>
      </c>
      <c r="B31" s="0" t="n">
        <f aca="false">L19</f>
        <v>561.11299040988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9632.43966870293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8416.69485614819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8416.69485614819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3555.30286558035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6409.1582288438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5994.1582288438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8.98943945537463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0.347742047282553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26.0051858031543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35.4264364974833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9.08156846302406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4816.21983435147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4.4381827547161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4.97838623451169</v>
      </c>
      <c r="C4" s="0" t="n">
        <f aca="false">B4/Assumptions!$B$2-1</f>
        <v>-0.25361525719465</v>
      </c>
      <c r="D4" s="4" t="n">
        <f aca="false">Assumptions!$B$24</f>
        <v>0.25</v>
      </c>
      <c r="E4" s="4" t="n">
        <f aca="false">DCF_Bear!$B$43</f>
        <v>5.04678251452082</v>
      </c>
      <c r="F4" s="4" t="n">
        <f aca="false">DCF_Bear!$B$47</f>
        <v>2.46633041863065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7.29987505945111</v>
      </c>
      <c r="C5" s="0" t="n">
        <f aca="false">B5/Assumptions!$B$2-1</f>
        <v>0.0944340418967182</v>
      </c>
      <c r="D5" s="4" t="n">
        <f aca="false">Assumptions!$B$38</f>
        <v>0.5</v>
      </c>
      <c r="E5" s="4" t="n">
        <f aca="false">DCF_Base!$B$43</f>
        <v>7.38021533917473</v>
      </c>
      <c r="F5" s="4" t="n">
        <f aca="false">DCF_Base!$B$47</f>
        <v>3.59483576243942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8.98943945537463</v>
      </c>
      <c r="C6" s="0" t="n">
        <f aca="false">B6/Assumptions!$B$2-1</f>
        <v>0.347742047282553</v>
      </c>
      <c r="D6" s="4" t="n">
        <f aca="false">Assumptions!$B$52</f>
        <v>0.25</v>
      </c>
      <c r="E6" s="4" t="n">
        <f aca="false">DCF_Bull!$B$43</f>
        <v>9.08156846302406</v>
      </c>
      <c r="F6" s="4" t="n">
        <f aca="false">DCF_Bull!$B$47</f>
        <v>4.4381827547161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7.14189395219713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7.22219541397358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0.0660740631764717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-587.653003765792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3.5235461745564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7.29987505945111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6.42565529668733</v>
      </c>
      <c r="C16" s="3" t="n">
        <v>10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5.59227938827653</v>
      </c>
      <c r="C17" s="3" t="n">
        <v>11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4.93472430039792</v>
      </c>
      <c r="C18" s="3" t="n">
        <v>12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3.59483576243942</v>
      </c>
      <c r="C19" s="3" t="n">
        <v>15</v>
      </c>
    </row>
    <row r="21" customFormat="false" ht="15" hidden="false" customHeight="false" outlineLevel="0" collapsed="false">
      <c r="A21" s="2" t="s">
        <v>161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8.52310325001755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8.52310325001755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8.52310325001755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8.52310325001755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8.52310325001755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7.88314184194881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7.88314184194881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7.88314184194881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7.88314184194881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7.88314184194881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6.88772401066775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7.17944131143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7.29987505945111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7.29987505945111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7.29987505945111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5.98309177796337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6.19054342736522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6.42565529668733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6.69435457591259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6.76763619751948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5.27021654191316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5.42230177491808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5.59227938827653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5.78350420330479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6.00022566033681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2026-09-22T09:49:41Z</dcterms:created>
  <dc:creator>openpyxl</dc:creator>
  <dc:description/>
  <dc:language>en-NZ</dc:language>
  <cp:lastModifiedBy/>
  <dcterms:modified xsi:type="dcterms:W3CDTF">2026-09-22T09:49:41Z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