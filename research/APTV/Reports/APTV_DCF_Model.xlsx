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<sst xmlns="http://schemas.openxmlformats.org/spreadsheetml/2006/main" count="381" uniqueCount="173">
  <si>
    <t xml:space="preserve">Ticker</t>
  </si>
  <si>
    <t xml:space="preserve">APTV</t>
  </si>
  <si>
    <t xml:space="preserve">Company</t>
  </si>
  <si>
    <t xml:space="preserve">Aptiv PLC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</si>
  <si>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</si>
  <si>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</si>
  <si>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</si>
  <si>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</si>
  <si>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2026-09-25T20:00:03Z regular close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</si>
  <si>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</si>
  <si>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</si>
  <si>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</si>
  <si>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</si>
  <si>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</si>
  <si>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</si>
  <si>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</si>
  <si>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</si>
  <si>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</si>
  <si>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</si>
  <si>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</si>
  <si>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</si>
  <si>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2026-09-25T22:43:58Z</t>
  </si>
  <si>
    <t xml:space="preserve">Drivers file</t>
  </si>
  <si>
    <t xml:space="preserve">APTV_Drivers.json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</si>
  <si>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</si>
  <si>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</si>
  <si>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</si>
  <si>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Aptiv is valued on a standard owner-FCF component DCF, routed as a US-GAAP-filing, USD-quoted operating industrial/auto-technology supplier per the dcf-methods routing table. The defining feature of this build is the 2026-04-01 spin-off of the Electrical Distribution Systems (wiring harness/connector) business as Versigent PLC (NYSE: VGNT): every historical revenue, margin and cash-flow figure prior to Q2 2026 in APTV_Metrics.csv describes a company that included the now-divested EDS business and is structurally incomparable to the post-spin entity being valued today. Rather than compute a historical CAGR across that break (which would misread a one-time ~37% divestment-driven revenue step-down as organic decline, or conversely dilute the forward projection with a business Aptiv no longer owns), the forward build is anchored entirely on the post-spin run rate: management's own FY2026 guidance (continuing operations, given at Q2 2026 earnings in August 2026 alongside a guidance cut driven by China demand weakness) supplies base_revenue, the FY0 FCF level, and the base-case growth rate. Q2 2026 (the first fully clean post-spin quarter, $3,274M revenue) is used only as a cross-check on the annualized run rate, not as the primary anchor, since a single quarter is noisy and embeds a concentrated chunk of one-time separation cash costs. The FY0 owner-FCF margin (4.6%) is well below the projected mature margin (~12.7% base-case terminal year) because FY2026 guided FCF ($625-725M) is depressed by residual separation/stranded costs (~$70M/quarter cited in Q2 2026) that management has signaled will taper -- the base-case margin path deliberately keeps Y1-Y2 margins close to the guided level rather than snapping back to a normalized figure in one year, and a 10-year horizon is used specifically because the margin is still maturing well past year 5. Net debt and shares outstanding are both taken from the 2026-06-30 balance sheet, the first quarter-end after the post-spin $1.8B senior-note redemption. Probability weights were shifted bear-heavy (30/45/25 vs. the 15/50/35 house default) because the China weakness behind the FY2026 guidance cut is an active, company-acknowledged, unresolved risk rather than a tail scenario, compounding a genuinely cyclical, customer-concentrated automotive end market and near-term separation execution risk.
key_risks_to_valuation: China domestic demand deterioration (retail sales down ~20% in 2026) is the single largest swing factor and already forced one guidance cut in 2026; a further deterioration or slower-than-modeled recovery would push results toward or below the bear case; The post-spin financial history is thin (one clean quarter, Q2 2026) -- the FY0 anchor rests on management guidance rather than several years of demonstrated continuing-operations actuals, and should be replaced with actual continuing-operations CAGRs once 2-3 years of clean data exist; Separation-related stranded costs and one-time cash costs may persist longer than management's implicit timeline, delaying the margin recovery the base case assumes starting Y2-Y3; Highly cyclical automotive end market (the large majority of revenue) remains exposed to global light-vehicle production swings, interest-rate-sensitive auto demand, and OEM production schedule volatility, independent of the China-specific risk; Rising Chinese electrical-architecture competitors (Yanfeng, Huawei Automotive) and potential OEM in-sourcing of software-defined-vehicle development both threaten the content-per-vehicle growth thesis underlying the base and bull cases; The loss-making Motional autonomous-driving JV remains a cash and reputational drag that is not separately modeled as a scenario (Aptiv is reducing, not increasing, its exposure, per management commentary)</t>
  </si>
  <si>
    <t xml:space="preserve">Data sources</t>
  </si>
  <si>
    <t xml:space="preserve">price: Yahoo Finance chart API at inputs.price_as_of; 52-week range 42.99-88.93
financials: research/APTV/Reports/APTV_Metrics.csv (XBRL-sourced, 95 periods FY2009-Q2 2026) and APTV.duckdb core_metrics/kpis tables, cross-checked via make dcf-context TICKER=APTV
qualitative: research/APTV/Reports/APTV_Analysis.json, including the guidance block (Q2 2026 earnings, August 2026) and recent_developments on the Versigent spin-off</t>
  </si>
  <si>
    <t xml:space="preserve">Scenario narrative: bear</t>
  </si>
  <si>
    <t xml:space="preserve">China weakness persists or deepens, competitive and in-sourcing pressure erodes content-per-vehicle, separation costs and Motional losses linger, and revenue contracts before stabilizing at sub-2% growth with margin capped well below the base case.</t>
  </si>
  <si>
    <t xml:space="preserve">Scenario narrative: base</t>
  </si>
  <si>
    <t xml:space="preserve">China domestic demand stabilizes at a weaker level, core automotive stays roughly flat, non-automotive keeps scaling double-digit off a small base, separation costs taper through FY2027-2028, and EBITDA margin recovers gradually from a transition-depressed 16.8% toward a mature ~20.5%.</t>
  </si>
  <si>
    <t xml:space="preserve">Scenario narrative: bull</t>
  </si>
  <si>
    <t xml:space="preserve">China recovers, SDV/ADAS content wins accelerate, non-automotive scales past its own medium-term target, separation costs roll off fully by FY2027, and margin reaches the low-23% range on a richer, less-cyclical revenue mix.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</si>
  <si>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</si>
  <si>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</si>
  <si>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</si>
  <si>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</si>
  <si>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</si>
  <si>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</si>
  <si>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</si>
  <si>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</si>
  <si>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</si>
  <si>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</si>
  <si>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</si>
  <si>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</si>
  <si>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</si>
  <si>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</si>
  <si>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</si>
  <si>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</si>
  <si>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</si>
  <si>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</si>
  <si>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</si>
  <si>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</si>
  <si>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</si>
  <si>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</si>
  <si>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</si>
  <si>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</si>
  <si>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</si>
  <si>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</si>
  <si>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</si>
  <si>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</si>
  <si>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</si>
  <si>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</si>
  <si>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</si>
  <si>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</si>
  <si>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</si>
  <si>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</si>
  <si>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</si>
  <si>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</si>
  <si>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</si>
  <si>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</si>
  <si>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</si>
  <si>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</si>
  <si>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</si>
  <si>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</si>
  <si>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</si>
  <si>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</si>
  <si>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</si>
  <si>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</si>
  <si>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</si>
  <si>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</si>
  <si>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</si>
  <si>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</si>
  <si>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</si>
  <si>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</si>
  <si>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</si>
  <si>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</si>
  <si>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</si>
  <si>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</si>
  <si>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</si>
  <si>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</si>
  <si>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</si>
  <si>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</si>
  <si>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</si>
  <si>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</si>
  <si>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</si>
  <si>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</si>
  <si>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</si>
  <si>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</si>
  <si>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</si>
  <si>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</si>
  <si>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</si>
  <si>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</si>
  <si>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</si>
  <si>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</si>
  <si>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</si>
  <si>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</si>
  <si>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</si>
  <si>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</si>
  <si>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</si>
  <si>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</si>
  <si>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</si>
  <si>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</si>
  <si>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</si>
  <si>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</si>
  <si>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APTV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</si>
  <si>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</si>
  <si>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</si>
  <si>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</si>
  <si>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</si>
  <si>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</si>
  <si>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</si>
  <si>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</si>
  <si>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</si>
  <si>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</si>
  <si>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</si>
  <si>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</si>
  <si>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</si>
  <si>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</si>
  <si>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</si>
  <si>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</si>
  <si>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</si>
  <si>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</si>
  <si>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</si>
  <si>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</si>
  <si>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</si>
  <si>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</si>
  <si>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</si>
  <si>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</si>
  <si>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</si>
  <si>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</si>
  <si>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</si>
  <si>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</si>
  <si>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</si>
  <si>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</si>
  <si>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</si>
  <si>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APTV owner-FCF component DCF: base case (millions, USD)</t>
  </si>
  <si>
    <t xml:space="preserve">APTV owner-FCF component DCF: bull case (millions, USD)</t>
  </si>
  <si>
    <t xml:space="preserve">APTV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</si>
  <si>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</si>
  <si>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</si>
  <si>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</si>
  <si>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</si>
  <si>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</si>
  <si>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</si>
  <si>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</si>
  <si>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</si>
  <si>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</si>
  <si>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</si>
  <si>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</si>
  <si>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</si>
  <si>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</si>
  <si>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</si>
  <si>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</si>
  <si>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</si>
  <si>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</si>
  <si>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</si>
  <si>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12.5% (WACC)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</si>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</sst>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44.79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5366</v>
      </c>
      <c r="S2" s="0" t="n">
        <v>3107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F3" s="0" t="n">
        <v>940</v>
      </c>
      <c r="H3" s="0" t="n">
        <v>1361</v>
      </c>
      <c r="I3" s="0" t="n">
        <v>703</v>
      </c>
      <c r="K3" s="0" t="n">
        <v>0.92</v>
      </c>
      <c r="L3" s="0" t="n">
        <v>1142</v>
      </c>
      <c r="M3" s="0" t="n">
        <v>500</v>
      </c>
      <c r="N3" s="0" t="n">
        <v>642</v>
      </c>
      <c r="O3" s="0" t="n">
        <v>6099</v>
      </c>
      <c r="S3" s="0" t="n">
        <v>3219</v>
      </c>
      <c r="T3" s="0" t="n">
        <v>686.02</v>
      </c>
      <c r="U3" s="0" t="n">
        <v>-5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D4" s="0" t="n">
        <v>2655</v>
      </c>
      <c r="F4" s="0" t="n">
        <v>1644</v>
      </c>
      <c r="H4" s="0" t="n">
        <v>2119</v>
      </c>
      <c r="I4" s="0" t="n">
        <v>1223</v>
      </c>
      <c r="K4" s="0" t="n">
        <v>2.72</v>
      </c>
      <c r="L4" s="0" t="n">
        <v>1377</v>
      </c>
      <c r="M4" s="0" t="n">
        <v>630</v>
      </c>
      <c r="N4" s="0" t="n">
        <v>747</v>
      </c>
      <c r="O4" s="0" t="n">
        <v>2171</v>
      </c>
      <c r="P4" s="0" t="n">
        <v>9128</v>
      </c>
      <c r="Q4" s="0" t="n">
        <v>6957</v>
      </c>
      <c r="R4" s="0" t="n">
        <v>2103</v>
      </c>
      <c r="S4" s="0" t="n">
        <v>1363</v>
      </c>
      <c r="T4" s="0" t="n">
        <v>421.26</v>
      </c>
      <c r="U4" s="0" t="n">
        <v>14</v>
      </c>
      <c r="V4" s="0" t="n">
        <v>0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D5" s="0" t="n">
        <v>2658</v>
      </c>
      <c r="F5" s="0" t="n">
        <v>1476</v>
      </c>
      <c r="H5" s="0" t="n">
        <v>1962</v>
      </c>
      <c r="I5" s="0" t="n">
        <v>1160</v>
      </c>
      <c r="K5" s="0" t="n">
        <v>3.34</v>
      </c>
      <c r="L5" s="0" t="n">
        <v>1478</v>
      </c>
      <c r="M5" s="0" t="n">
        <v>705</v>
      </c>
      <c r="N5" s="0" t="n">
        <v>773</v>
      </c>
      <c r="O5" s="0" t="n">
        <v>2830</v>
      </c>
      <c r="P5" s="0" t="n">
        <v>10176</v>
      </c>
      <c r="Q5" s="0" t="n">
        <v>7346</v>
      </c>
      <c r="R5" s="0" t="n">
        <v>2464</v>
      </c>
      <c r="S5" s="0" t="n">
        <v>1105</v>
      </c>
      <c r="T5" s="0" t="n">
        <v>323.29</v>
      </c>
      <c r="U5" s="0" t="n">
        <v>21</v>
      </c>
      <c r="V5" s="0" t="n">
        <v>0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D6" s="0" t="n">
        <v>2896</v>
      </c>
      <c r="F6" s="0" t="n">
        <v>1627</v>
      </c>
      <c r="H6" s="0" t="n">
        <v>2126</v>
      </c>
      <c r="I6" s="0" t="n">
        <v>1301</v>
      </c>
      <c r="K6" s="0" t="n">
        <v>3.9</v>
      </c>
      <c r="L6" s="0" t="n">
        <v>1750</v>
      </c>
      <c r="M6" s="0" t="n">
        <v>605</v>
      </c>
      <c r="N6" s="0" t="n">
        <v>1145</v>
      </c>
      <c r="O6" s="0" t="n">
        <v>3434</v>
      </c>
      <c r="P6" s="0" t="n">
        <v>11047</v>
      </c>
      <c r="Q6" s="0" t="n">
        <v>7613</v>
      </c>
      <c r="R6" s="0" t="n">
        <v>2412</v>
      </c>
      <c r="S6" s="0" t="n">
        <v>1337</v>
      </c>
      <c r="T6" s="0" t="n">
        <v>311.8</v>
      </c>
      <c r="U6" s="0" t="n">
        <v>46</v>
      </c>
      <c r="V6" s="0" t="n">
        <v>0.68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D7" s="0" t="n">
        <v>3028</v>
      </c>
      <c r="F7" s="0" t="n">
        <v>1758</v>
      </c>
      <c r="H7" s="0" t="n">
        <v>2298</v>
      </c>
      <c r="I7" s="0" t="n">
        <v>1440</v>
      </c>
      <c r="K7" s="0" t="n">
        <v>4.5</v>
      </c>
      <c r="L7" s="0" t="n">
        <v>2135</v>
      </c>
      <c r="M7" s="0" t="n">
        <v>779</v>
      </c>
      <c r="N7" s="0" t="n">
        <v>1356</v>
      </c>
      <c r="O7" s="0" t="n">
        <v>3013</v>
      </c>
      <c r="P7" s="0" t="n">
        <v>10721</v>
      </c>
      <c r="Q7" s="0" t="n">
        <v>7708</v>
      </c>
      <c r="R7" s="0" t="n">
        <v>2426</v>
      </c>
      <c r="S7" s="0" t="n">
        <v>859</v>
      </c>
      <c r="T7" s="0" t="n">
        <v>301.89</v>
      </c>
      <c r="U7" s="0" t="n">
        <v>73</v>
      </c>
      <c r="V7" s="0" t="n">
        <v>1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D8" s="0" t="n">
        <v>3010</v>
      </c>
      <c r="F8" s="0" t="n">
        <v>1235</v>
      </c>
      <c r="H8" s="0" t="n">
        <v>1579</v>
      </c>
      <c r="I8" s="0" t="n">
        <v>1535</v>
      </c>
      <c r="K8" s="0" t="n">
        <v>5.08</v>
      </c>
      <c r="L8" s="0" t="n">
        <v>1703</v>
      </c>
      <c r="M8" s="0" t="n">
        <v>503</v>
      </c>
      <c r="N8" s="0" t="n">
        <v>1200</v>
      </c>
      <c r="O8" s="0" t="n">
        <v>2733</v>
      </c>
      <c r="P8" s="0" t="n">
        <v>11973</v>
      </c>
      <c r="Q8" s="0" t="n">
        <v>9240</v>
      </c>
      <c r="R8" s="0" t="n">
        <v>4008</v>
      </c>
      <c r="S8" s="0" t="n">
        <v>427</v>
      </c>
      <c r="T8" s="0" t="n">
        <v>286.64</v>
      </c>
      <c r="U8" s="0" t="n">
        <v>67</v>
      </c>
      <c r="V8" s="0" t="n">
        <v>1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12274</v>
      </c>
      <c r="C9" s="0" t="n">
        <v>9527</v>
      </c>
      <c r="D9" s="0" t="n">
        <v>2747</v>
      </c>
      <c r="E9" s="0" t="n">
        <v>22.3806420074955</v>
      </c>
      <c r="F9" s="0" t="n">
        <v>1539</v>
      </c>
      <c r="G9" s="0" t="n">
        <v>12.5386996904025</v>
      </c>
      <c r="H9" s="0" t="n">
        <v>2028</v>
      </c>
      <c r="I9" s="0" t="n">
        <v>1326</v>
      </c>
      <c r="J9" s="0" t="n">
        <v>10.803324099723</v>
      </c>
      <c r="K9" s="0" t="n">
        <v>4.6</v>
      </c>
      <c r="L9" s="0" t="n">
        <v>1941</v>
      </c>
      <c r="M9" s="0" t="n">
        <v>657</v>
      </c>
      <c r="N9" s="0" t="n">
        <v>1284</v>
      </c>
      <c r="O9" s="0" t="n">
        <v>2763</v>
      </c>
      <c r="P9" s="0" t="n">
        <v>12292</v>
      </c>
      <c r="Q9" s="0" t="n">
        <v>9529</v>
      </c>
      <c r="R9" s="0" t="n">
        <v>3963</v>
      </c>
      <c r="S9" s="0" t="n">
        <v>737</v>
      </c>
      <c r="T9" s="0" t="n">
        <v>273.7</v>
      </c>
      <c r="U9" s="0" t="n">
        <v>62</v>
      </c>
      <c r="V9" s="0" t="n">
        <v>1.16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12884</v>
      </c>
      <c r="C10" s="0" t="n">
        <v>10270</v>
      </c>
      <c r="D10" s="0" t="n">
        <v>2614</v>
      </c>
      <c r="E10" s="0" t="n">
        <v>20.2887302080099</v>
      </c>
      <c r="F10" s="0" t="n">
        <v>1416</v>
      </c>
      <c r="G10" s="0" t="n">
        <v>10.990375659733</v>
      </c>
      <c r="H10" s="0" t="n">
        <v>1962</v>
      </c>
      <c r="I10" s="0" t="n">
        <v>1428</v>
      </c>
      <c r="J10" s="0" t="n">
        <v>11.0835144365104</v>
      </c>
      <c r="K10" s="0" t="n">
        <v>5.07</v>
      </c>
      <c r="L10" s="0" t="n">
        <v>1468</v>
      </c>
      <c r="M10" s="0" t="n">
        <v>698</v>
      </c>
      <c r="N10" s="0" t="n">
        <v>770</v>
      </c>
      <c r="O10" s="0" t="n">
        <v>3517</v>
      </c>
      <c r="P10" s="0" t="n">
        <v>12169</v>
      </c>
      <c r="Q10" s="0" t="n">
        <v>8652</v>
      </c>
      <c r="R10" s="0" t="n">
        <v>4149</v>
      </c>
      <c r="S10" s="0" t="n">
        <v>1596</v>
      </c>
      <c r="T10" s="0" t="n">
        <v>268.03</v>
      </c>
      <c r="U10" s="0" t="n">
        <v>62</v>
      </c>
      <c r="V10" s="0" t="n">
        <v>1.38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14435</v>
      </c>
      <c r="C11" s="0" t="n">
        <v>11706</v>
      </c>
      <c r="D11" s="0" t="n">
        <v>2729</v>
      </c>
      <c r="E11" s="0" t="n">
        <v>18.9054381711119</v>
      </c>
      <c r="F11" s="0" t="n">
        <v>1473</v>
      </c>
      <c r="G11" s="0" t="n">
        <v>10.2043643921025</v>
      </c>
      <c r="H11" s="0" t="n">
        <v>2149</v>
      </c>
      <c r="I11" s="0" t="n">
        <v>1107</v>
      </c>
      <c r="J11" s="0" t="n">
        <v>7.66886040872878</v>
      </c>
      <c r="K11" s="0" t="n">
        <v>4.04</v>
      </c>
      <c r="L11" s="0" t="n">
        <v>1628</v>
      </c>
      <c r="M11" s="0" t="n">
        <v>846</v>
      </c>
      <c r="N11" s="0" t="n">
        <v>782</v>
      </c>
      <c r="O11" s="0" t="n">
        <v>3670</v>
      </c>
      <c r="P11" s="0" t="n">
        <v>12480</v>
      </c>
      <c r="Q11" s="0" t="n">
        <v>8810</v>
      </c>
      <c r="R11" s="0" t="n">
        <v>4344</v>
      </c>
      <c r="S11" s="0" t="n">
        <v>567</v>
      </c>
      <c r="T11" s="0" t="n">
        <v>265.22</v>
      </c>
      <c r="U11" s="0" t="n">
        <v>58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14357</v>
      </c>
      <c r="C12" s="0" t="n">
        <v>11711</v>
      </c>
      <c r="D12" s="0" t="n">
        <v>2646</v>
      </c>
      <c r="E12" s="0" t="n">
        <v>18.4300341296928</v>
      </c>
      <c r="F12" s="0" t="n">
        <v>1276</v>
      </c>
      <c r="G12" s="0" t="n">
        <v>8.88765062338929</v>
      </c>
      <c r="H12" s="0" t="n">
        <v>1993</v>
      </c>
      <c r="I12" s="0" t="n">
        <v>1009</v>
      </c>
      <c r="J12" s="0" t="n">
        <v>7.02793062617539</v>
      </c>
      <c r="K12" s="0" t="n">
        <v>3.85</v>
      </c>
      <c r="L12" s="0" t="n">
        <v>1624</v>
      </c>
      <c r="M12" s="0" t="n">
        <v>781</v>
      </c>
      <c r="N12" s="0" t="n">
        <v>843</v>
      </c>
      <c r="O12" s="0" t="n">
        <v>4011</v>
      </c>
      <c r="P12" s="0" t="n">
        <v>13459</v>
      </c>
      <c r="Q12" s="0" t="n">
        <v>9448</v>
      </c>
      <c r="R12" s="0" t="n">
        <v>4364</v>
      </c>
      <c r="S12" s="0" t="n">
        <v>412</v>
      </c>
      <c r="T12" s="0" t="n">
        <v>257.39</v>
      </c>
      <c r="U12" s="0" t="n">
        <v>66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13066</v>
      </c>
      <c r="C13" s="0" t="n">
        <v>11126</v>
      </c>
      <c r="D13" s="0" t="n">
        <v>1940</v>
      </c>
      <c r="E13" s="0" t="n">
        <v>14.8476963110363</v>
      </c>
      <c r="F13" s="0" t="n">
        <v>2118</v>
      </c>
      <c r="G13" s="0" t="n">
        <v>16.2100107148324</v>
      </c>
      <c r="H13" s="0" t="n">
        <v>2882</v>
      </c>
      <c r="I13" s="0" t="n">
        <v>1822</v>
      </c>
      <c r="J13" s="0" t="n">
        <v>13.9445890096434</v>
      </c>
      <c r="K13" s="0" t="n">
        <v>6.72</v>
      </c>
      <c r="L13" s="0" t="n">
        <v>1413</v>
      </c>
      <c r="M13" s="0" t="n">
        <v>584</v>
      </c>
      <c r="N13" s="0" t="n">
        <v>829</v>
      </c>
      <c r="O13" s="0" t="n">
        <v>8100</v>
      </c>
      <c r="P13" s="0" t="n">
        <v>17522</v>
      </c>
      <c r="Q13" s="0" t="n">
        <v>9422</v>
      </c>
      <c r="R13" s="0" t="n">
        <v>4101</v>
      </c>
      <c r="S13" s="0" t="n">
        <v>2821</v>
      </c>
      <c r="T13" s="0" t="n">
        <v>270.7</v>
      </c>
      <c r="U13" s="0" t="n">
        <v>60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15618</v>
      </c>
      <c r="C14" s="0" t="n">
        <v>13182</v>
      </c>
      <c r="F14" s="0" t="n">
        <v>1189</v>
      </c>
      <c r="G14" s="0" t="n">
        <v>7.61301062876169</v>
      </c>
      <c r="H14" s="0" t="n">
        <v>1962</v>
      </c>
      <c r="I14" s="0" t="n">
        <v>609</v>
      </c>
      <c r="J14" s="0" t="n">
        <v>3.89934690741452</v>
      </c>
      <c r="K14" s="0" t="n">
        <v>1.95</v>
      </c>
      <c r="L14" s="0" t="n">
        <v>1222</v>
      </c>
      <c r="M14" s="0" t="n">
        <v>611</v>
      </c>
      <c r="N14" s="0" t="n">
        <v>611</v>
      </c>
      <c r="O14" s="0" t="n">
        <v>8561</v>
      </c>
      <c r="P14" s="0" t="n">
        <v>18007</v>
      </c>
      <c r="Q14" s="0" t="n">
        <v>9446</v>
      </c>
      <c r="R14" s="0" t="n">
        <v>4067</v>
      </c>
      <c r="S14" s="0" t="n">
        <v>3139</v>
      </c>
      <c r="T14" s="0" t="n">
        <v>271.22</v>
      </c>
      <c r="U14" s="0" t="n">
        <v>87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17489</v>
      </c>
      <c r="C15" s="0" t="n">
        <v>14854</v>
      </c>
      <c r="F15" s="0" t="n">
        <v>1263</v>
      </c>
      <c r="G15" s="0" t="n">
        <v>7.22168220024015</v>
      </c>
      <c r="H15" s="0" t="n">
        <v>2025</v>
      </c>
      <c r="I15" s="0" t="n">
        <v>594</v>
      </c>
      <c r="J15" s="0" t="n">
        <v>3.39642060723884</v>
      </c>
      <c r="K15" s="0" t="n">
        <v>1.96</v>
      </c>
      <c r="L15" s="0" t="n">
        <v>1263</v>
      </c>
      <c r="M15" s="0" t="n">
        <v>844</v>
      </c>
      <c r="N15" s="0" t="n">
        <v>419</v>
      </c>
      <c r="O15" s="0" t="n">
        <v>8998</v>
      </c>
      <c r="P15" s="0" t="n">
        <v>21884</v>
      </c>
      <c r="Q15" s="0" t="n">
        <v>12790</v>
      </c>
      <c r="R15" s="0" t="n">
        <v>6491</v>
      </c>
      <c r="S15" s="0" t="n">
        <v>1531</v>
      </c>
      <c r="T15" s="0" t="n">
        <v>271.18</v>
      </c>
      <c r="U15" s="0" t="n">
        <v>86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20051</v>
      </c>
      <c r="C16" s="0" t="n">
        <v>16612</v>
      </c>
      <c r="F16" s="0" t="n">
        <v>1559</v>
      </c>
      <c r="G16" s="0" t="n">
        <v>7.77517330806444</v>
      </c>
      <c r="H16" s="0" t="n">
        <v>2471</v>
      </c>
      <c r="I16" s="0" t="n">
        <v>2966</v>
      </c>
      <c r="J16" s="0" t="n">
        <v>14.7922796867987</v>
      </c>
      <c r="K16" s="0" t="n">
        <v>10.5</v>
      </c>
      <c r="L16" s="0" t="n">
        <v>1896</v>
      </c>
      <c r="M16" s="0" t="n">
        <v>906</v>
      </c>
      <c r="N16" s="0" t="n">
        <v>990</v>
      </c>
      <c r="O16" s="0" t="n">
        <v>11745</v>
      </c>
      <c r="P16" s="0" t="n">
        <v>24427</v>
      </c>
      <c r="Q16" s="0" t="n">
        <v>12583</v>
      </c>
      <c r="R16" s="0" t="n">
        <v>6213</v>
      </c>
      <c r="S16" s="0" t="n">
        <v>1640</v>
      </c>
      <c r="T16" s="0" t="n">
        <v>282.88</v>
      </c>
      <c r="U16" s="0" t="n">
        <v>115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19713</v>
      </c>
      <c r="C17" s="0" t="n">
        <v>16002</v>
      </c>
      <c r="F17" s="0" t="n">
        <v>1842</v>
      </c>
      <c r="G17" s="0" t="n">
        <v>9.34408765789073</v>
      </c>
      <c r="H17" s="0" t="n">
        <v>2806</v>
      </c>
      <c r="I17" s="0" t="n">
        <v>1810</v>
      </c>
      <c r="J17" s="0" t="n">
        <v>9.18175823060924</v>
      </c>
      <c r="K17" s="0" t="n">
        <v>6.97</v>
      </c>
      <c r="L17" s="0" t="n">
        <v>2446</v>
      </c>
      <c r="M17" s="0" t="n">
        <v>830</v>
      </c>
      <c r="N17" s="0" t="n">
        <v>1616</v>
      </c>
      <c r="O17" s="0" t="n">
        <v>8993</v>
      </c>
      <c r="P17" s="0" t="n">
        <v>23458</v>
      </c>
      <c r="Q17" s="0" t="n">
        <v>14373</v>
      </c>
      <c r="R17" s="0" t="n">
        <v>8352</v>
      </c>
      <c r="S17" s="0" t="n">
        <v>1573</v>
      </c>
      <c r="T17" s="0" t="n">
        <v>256.66</v>
      </c>
      <c r="U17" s="0" t="n">
        <v>120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20398</v>
      </c>
      <c r="C18" s="0" t="n">
        <v>16500</v>
      </c>
      <c r="F18" s="0" t="n">
        <v>1184</v>
      </c>
      <c r="G18" s="0" t="n">
        <v>5.8044906363369</v>
      </c>
      <c r="H18" s="0" t="n">
        <v>2175</v>
      </c>
      <c r="I18" s="0" t="n">
        <v>181</v>
      </c>
      <c r="J18" s="0" t="n">
        <v>0.88734189626434</v>
      </c>
      <c r="K18" s="0" t="n">
        <v>0.75</v>
      </c>
      <c r="L18" s="0" t="n">
        <v>2185</v>
      </c>
      <c r="M18" s="0" t="n">
        <v>656</v>
      </c>
      <c r="N18" s="0" t="n">
        <v>1529</v>
      </c>
      <c r="O18" s="0" t="n">
        <v>9397</v>
      </c>
      <c r="P18" s="0" t="n">
        <v>23413</v>
      </c>
      <c r="Q18" s="0" t="n">
        <v>13914</v>
      </c>
      <c r="R18" s="0" t="n">
        <v>7734</v>
      </c>
      <c r="S18" s="0" t="n">
        <v>1851</v>
      </c>
      <c r="T18" s="0" t="n">
        <v>220.75</v>
      </c>
      <c r="U18" s="0" t="n">
        <v>139</v>
      </c>
      <c r="AA18" s="0" t="s">
        <v>17</v>
      </c>
      <c r="AB18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80</v>
      </c>
      <c r="B1" s="2" t="s">
        <v>81</v>
      </c>
    </row>
    <row r="2" customFormat="false" ht="15" hidden="false" customHeight="false" outlineLevel="0" collapsed="false">
      <c r="A2" s="0" t="s">
        <v>82</v>
      </c>
      <c r="B2" s="3" t="n">
        <v>44.79</v>
      </c>
    </row>
    <row r="3" customFormat="false" ht="15" hidden="false" customHeight="false" outlineLevel="0" collapsed="false">
      <c r="A3" s="0" t="s">
        <v>83</v>
      </c>
      <c r="B3" s="3" t="n">
        <v>212.1</v>
      </c>
    </row>
    <row r="4" customFormat="false" ht="15" hidden="false" customHeight="false" outlineLevel="0" collapsed="false">
      <c r="A4" s="0" t="s">
        <v>84</v>
      </c>
      <c r="B4" s="3" t="n">
        <v>4593</v>
      </c>
    </row>
    <row r="5" customFormat="false" ht="15" hidden="false" customHeight="false" outlineLevel="0" collapsed="false">
      <c r="A5" s="0" t="s">
        <v>85</v>
      </c>
      <c r="B5" s="3" t="n">
        <v>0</v>
      </c>
    </row>
    <row r="6" customFormat="false" ht="15" hidden="false" customHeight="false" outlineLevel="0" collapsed="false">
      <c r="A6" s="0" t="s">
        <v>86</v>
      </c>
      <c r="B6" s="3" t="n">
        <v>15</v>
      </c>
    </row>
    <row r="7" customFormat="false" ht="15" hidden="false" customHeight="false" outlineLevel="0" collapsed="false">
      <c r="A7" s="0" t="s">
        <v>87</v>
      </c>
      <c r="B7" s="3" t="n">
        <v>12700</v>
      </c>
    </row>
    <row r="8" customFormat="false" ht="15" hidden="false" customHeight="false" outlineLevel="0" collapsed="false">
      <c r="A8" s="0" t="s">
        <v>88</v>
      </c>
      <c r="B8" s="3" t="s">
        <v>89</v>
      </c>
    </row>
    <row r="9" customFormat="false" ht="15" hidden="false" customHeight="false" outlineLevel="0" collapsed="false">
      <c r="A9" s="0" t="s">
        <v>90</v>
      </c>
      <c r="B9" s="3" t="s">
        <v>91</v>
      </c>
    </row>
    <row r="10" customFormat="false" ht="15" hidden="false" customHeight="false" outlineLevel="0" collapsed="false">
      <c r="A10" s="0" t="s">
        <v>92</v>
      </c>
      <c r="B10" s="3" t="n">
        <v>1</v>
      </c>
    </row>
    <row r="12" customFormat="false" ht="15" hidden="false" customHeight="false" outlineLevel="0" collapsed="false">
      <c r="A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  <c r="J12" s="2" t="s">
        <v>101</v>
      </c>
      <c r="K12" s="2" t="s">
        <v>102</v>
      </c>
      <c r="L12" s="2" t="s">
        <v>103</v>
      </c>
    </row>
    <row r="13" customFormat="false" ht="15" hidden="false" customHeight="false" outlineLevel="0" collapsed="false">
      <c r="A13" s="0" t="s">
        <v>104</v>
      </c>
      <c r="C13" s="3" t="n">
        <v>-1</v>
      </c>
      <c r="D13" s="3" t="n">
        <v>0</v>
      </c>
      <c r="E13" s="3" t="n">
        <v>1</v>
      </c>
      <c r="F13" s="3" t="n">
        <v>1</v>
      </c>
      <c r="G13" s="3" t="n">
        <v>1.5</v>
      </c>
      <c r="H13" s="3" t="n">
        <v>1.5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105</v>
      </c>
      <c r="C14" s="3" t="n">
        <v>15.5</v>
      </c>
      <c r="D14" s="3" t="n">
        <v>15.8</v>
      </c>
      <c r="E14" s="3" t="n">
        <v>16.2</v>
      </c>
      <c r="F14" s="3" t="n">
        <v>16.6</v>
      </c>
      <c r="G14" s="3" t="n">
        <v>17</v>
      </c>
      <c r="H14" s="3" t="n">
        <v>17.3</v>
      </c>
      <c r="I14" s="3" t="n">
        <v>17.5</v>
      </c>
      <c r="J14" s="3" t="n">
        <v>17.7</v>
      </c>
      <c r="K14" s="3" t="n">
        <v>17.8</v>
      </c>
      <c r="L14" s="3" t="n">
        <v>17.9</v>
      </c>
    </row>
    <row r="15" customFormat="false" ht="15" hidden="false" customHeight="false" outlineLevel="0" collapsed="false">
      <c r="A15" s="0" t="s">
        <v>106</v>
      </c>
      <c r="C15" s="3" t="n">
        <v>0.8</v>
      </c>
      <c r="D15" s="3" t="n">
        <v>0.78</v>
      </c>
      <c r="E15" s="3" t="n">
        <v>0.76</v>
      </c>
      <c r="F15" s="3" t="n">
        <v>0.74</v>
      </c>
      <c r="G15" s="3" t="n">
        <v>0.72</v>
      </c>
      <c r="H15" s="3" t="n">
        <v>0.7</v>
      </c>
      <c r="I15" s="3" t="n">
        <v>0.68</v>
      </c>
      <c r="J15" s="3" t="n">
        <v>0.67</v>
      </c>
      <c r="K15" s="3" t="n">
        <v>0.66</v>
      </c>
      <c r="L15" s="3" t="n">
        <v>0.65</v>
      </c>
    </row>
    <row r="16" customFormat="false" ht="15" hidden="false" customHeight="false" outlineLevel="0" collapsed="false">
      <c r="A16" s="0" t="s">
        <v>107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108</v>
      </c>
      <c r="C17" s="3" t="n">
        <v>5.1</v>
      </c>
      <c r="D17" s="3" t="n">
        <v>5</v>
      </c>
      <c r="E17" s="3" t="n">
        <v>4.9</v>
      </c>
      <c r="F17" s="3" t="n">
        <v>4.9</v>
      </c>
      <c r="G17" s="3" t="n">
        <v>4.8</v>
      </c>
      <c r="H17" s="3" t="n">
        <v>4.8</v>
      </c>
      <c r="I17" s="3" t="n">
        <v>4.7</v>
      </c>
      <c r="J17" s="3" t="n">
        <v>4.7</v>
      </c>
      <c r="K17" s="3" t="n">
        <v>4.6</v>
      </c>
      <c r="L17" s="3" t="n">
        <v>4.6</v>
      </c>
    </row>
    <row r="18" customFormat="false" ht="15" hidden="false" customHeight="false" outlineLevel="0" collapsed="false">
      <c r="A18" s="0" t="s">
        <v>109</v>
      </c>
      <c r="C18" s="3" t="n">
        <v>4</v>
      </c>
      <c r="D18" s="3" t="n">
        <v>3.9</v>
      </c>
      <c r="E18" s="3" t="n">
        <v>3.8</v>
      </c>
      <c r="F18" s="3" t="n">
        <v>3.7</v>
      </c>
      <c r="G18" s="3" t="n">
        <v>3.6</v>
      </c>
      <c r="H18" s="3" t="n">
        <v>3.6</v>
      </c>
      <c r="I18" s="3" t="n">
        <v>3.5</v>
      </c>
      <c r="J18" s="3" t="n">
        <v>3.5</v>
      </c>
      <c r="K18" s="3" t="n">
        <v>3.4</v>
      </c>
      <c r="L18" s="3" t="n">
        <v>3.4</v>
      </c>
    </row>
    <row r="19" customFormat="false" ht="15" hidden="false" customHeight="false" outlineLevel="0" collapsed="false">
      <c r="A19" s="0" t="s">
        <v>110</v>
      </c>
      <c r="C19" s="3" t="n">
        <v>23</v>
      </c>
      <c r="D19" s="3" t="n">
        <v>24</v>
      </c>
      <c r="E19" s="3" t="n">
        <v>24</v>
      </c>
      <c r="F19" s="3" t="n">
        <v>24.5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111</v>
      </c>
      <c r="B20" s="3" t="n">
        <v>13.5</v>
      </c>
    </row>
    <row r="21" customFormat="false" ht="15" hidden="false" customHeight="false" outlineLevel="0" collapsed="false">
      <c r="A21" s="0" t="s">
        <v>112</v>
      </c>
      <c r="B21" s="3" t="n">
        <v>1.5</v>
      </c>
    </row>
    <row r="22" customFormat="false" ht="15" hidden="false" customHeight="false" outlineLevel="0" collapsed="false">
      <c r="A22" s="0" t="s">
        <v>113</v>
      </c>
      <c r="B22" s="3" t="n">
        <v>9</v>
      </c>
    </row>
    <row r="23" customFormat="false" ht="15" hidden="false" customHeight="false" outlineLevel="0" collapsed="false">
      <c r="A23" s="0" t="s">
        <v>114</v>
      </c>
      <c r="B23" s="3" t="n">
        <v>-10</v>
      </c>
    </row>
    <row r="24" customFormat="false" ht="15" hidden="false" customHeight="false" outlineLevel="0" collapsed="false">
      <c r="A24" s="0" t="s">
        <v>115</v>
      </c>
      <c r="B24" s="3" t="n">
        <v>0.3</v>
      </c>
    </row>
    <row r="26" customFormat="false" ht="15" hidden="false" customHeight="false" outlineLevel="0" collapsed="false">
      <c r="A26" s="2" t="s">
        <v>116</v>
      </c>
      <c r="C26" s="2" t="s">
        <v>94</v>
      </c>
      <c r="D26" s="2" t="s">
        <v>95</v>
      </c>
      <c r="E26" s="2" t="s">
        <v>96</v>
      </c>
      <c r="F26" s="2" t="s">
        <v>97</v>
      </c>
      <c r="G26" s="2" t="s">
        <v>98</v>
      </c>
      <c r="H26" s="2" t="s">
        <v>99</v>
      </c>
      <c r="I26" s="2" t="s">
        <v>100</v>
      </c>
      <c r="J26" s="2" t="s">
        <v>101</v>
      </c>
      <c r="K26" s="2" t="s">
        <v>102</v>
      </c>
      <c r="L26" s="2" t="s">
        <v>103</v>
      </c>
    </row>
    <row r="27" customFormat="false" ht="15" hidden="false" customHeight="false" outlineLevel="0" collapsed="false">
      <c r="A27" s="0" t="s">
        <v>104</v>
      </c>
      <c r="C27" s="3" t="n">
        <v>2</v>
      </c>
      <c r="D27" s="3" t="n">
        <v>2.5</v>
      </c>
      <c r="E27" s="3" t="n">
        <v>3</v>
      </c>
      <c r="F27" s="3" t="n">
        <v>3</v>
      </c>
      <c r="G27" s="3" t="n">
        <v>3</v>
      </c>
      <c r="H27" s="3" t="n">
        <v>2.8</v>
      </c>
      <c r="I27" s="3" t="n">
        <v>2.7</v>
      </c>
      <c r="J27" s="3" t="n">
        <v>2.6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105</v>
      </c>
      <c r="C28" s="3" t="n">
        <v>16.8</v>
      </c>
      <c r="D28" s="3" t="n">
        <v>17.6</v>
      </c>
      <c r="E28" s="3" t="n">
        <v>18.4</v>
      </c>
      <c r="F28" s="3" t="n">
        <v>19</v>
      </c>
      <c r="G28" s="3" t="n">
        <v>19.5</v>
      </c>
      <c r="H28" s="3" t="n">
        <v>19.9</v>
      </c>
      <c r="I28" s="3" t="n">
        <v>20.1</v>
      </c>
      <c r="J28" s="3" t="n">
        <v>20.3</v>
      </c>
      <c r="K28" s="3" t="n">
        <v>20.4</v>
      </c>
      <c r="L28" s="3" t="n">
        <v>20.5</v>
      </c>
    </row>
    <row r="29" customFormat="false" ht="15" hidden="false" customHeight="false" outlineLevel="0" collapsed="false">
      <c r="A29" s="0" t="s">
        <v>106</v>
      </c>
      <c r="C29" s="3" t="n">
        <v>0.75</v>
      </c>
      <c r="D29" s="3" t="n">
        <v>0.73</v>
      </c>
      <c r="E29" s="3" t="n">
        <v>0.71</v>
      </c>
      <c r="F29" s="3" t="n">
        <v>0.69</v>
      </c>
      <c r="G29" s="3" t="n">
        <v>0.67</v>
      </c>
      <c r="H29" s="3" t="n">
        <v>0.65</v>
      </c>
      <c r="I29" s="3" t="n">
        <v>0.63</v>
      </c>
      <c r="J29" s="3" t="n">
        <v>0.61</v>
      </c>
      <c r="K29" s="3" t="n">
        <v>0.6</v>
      </c>
      <c r="L29" s="3" t="n">
        <v>0.6</v>
      </c>
    </row>
    <row r="30" customFormat="false" ht="15" hidden="false" customHeight="false" outlineLevel="0" collapsed="false">
      <c r="A30" s="0" t="s">
        <v>107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108</v>
      </c>
      <c r="C31" s="3" t="n">
        <v>4.9</v>
      </c>
      <c r="D31" s="3" t="n">
        <v>4.8</v>
      </c>
      <c r="E31" s="3" t="n">
        <v>4.7</v>
      </c>
      <c r="F31" s="3" t="n">
        <v>4.6</v>
      </c>
      <c r="G31" s="3" t="n">
        <v>4.5</v>
      </c>
      <c r="H31" s="3" t="n">
        <v>4.4</v>
      </c>
      <c r="I31" s="3" t="n">
        <v>4.3</v>
      </c>
      <c r="J31" s="3" t="n">
        <v>4.2</v>
      </c>
      <c r="K31" s="3" t="n">
        <v>4.1</v>
      </c>
      <c r="L31" s="3" t="n">
        <v>4</v>
      </c>
    </row>
    <row r="32" customFormat="false" ht="15" hidden="false" customHeight="false" outlineLevel="0" collapsed="false">
      <c r="A32" s="0" t="s">
        <v>109</v>
      </c>
      <c r="C32" s="3" t="n">
        <v>3.9</v>
      </c>
      <c r="D32" s="3" t="n">
        <v>3.8</v>
      </c>
      <c r="E32" s="3" t="n">
        <v>3.6</v>
      </c>
      <c r="F32" s="3" t="n">
        <v>3.5</v>
      </c>
      <c r="G32" s="3" t="n">
        <v>3.4</v>
      </c>
      <c r="H32" s="3" t="n">
        <v>3.4</v>
      </c>
      <c r="I32" s="3" t="n">
        <v>3.3</v>
      </c>
      <c r="J32" s="3" t="n">
        <v>3.3</v>
      </c>
      <c r="K32" s="3" t="n">
        <v>3.2</v>
      </c>
      <c r="L32" s="3" t="n">
        <v>3.2</v>
      </c>
    </row>
    <row r="33" customFormat="false" ht="15" hidden="false" customHeight="false" outlineLevel="0" collapsed="false">
      <c r="A33" s="0" t="s">
        <v>110</v>
      </c>
      <c r="C33" s="3" t="n">
        <v>21</v>
      </c>
      <c r="D33" s="3" t="n">
        <v>22</v>
      </c>
      <c r="E33" s="3" t="n">
        <v>23</v>
      </c>
      <c r="F33" s="3" t="n">
        <v>23</v>
      </c>
      <c r="G33" s="3" t="n">
        <v>23.5</v>
      </c>
      <c r="H33" s="3" t="n">
        <v>24</v>
      </c>
      <c r="I33" s="3" t="n">
        <v>24</v>
      </c>
      <c r="J33" s="3" t="n">
        <v>24</v>
      </c>
      <c r="K33" s="3" t="n">
        <v>24</v>
      </c>
      <c r="L33" s="3" t="n">
        <v>24</v>
      </c>
    </row>
    <row r="34" customFormat="false" ht="15" hidden="false" customHeight="false" outlineLevel="0" collapsed="false">
      <c r="A34" s="0" t="s">
        <v>111</v>
      </c>
      <c r="B34" s="3" t="n">
        <v>12.5</v>
      </c>
    </row>
    <row r="35" customFormat="false" ht="15" hidden="false" customHeight="false" outlineLevel="0" collapsed="false">
      <c r="A35" s="0" t="s">
        <v>112</v>
      </c>
      <c r="B35" s="3" t="n">
        <v>2.5</v>
      </c>
    </row>
    <row r="36" customFormat="false" ht="15" hidden="false" customHeight="false" outlineLevel="0" collapsed="false">
      <c r="A36" s="0" t="s">
        <v>113</v>
      </c>
      <c r="B36" s="3" t="n">
        <v>12</v>
      </c>
    </row>
    <row r="37" customFormat="false" ht="15" hidden="false" customHeight="false" outlineLevel="0" collapsed="false">
      <c r="A37" s="0" t="s">
        <v>114</v>
      </c>
      <c r="B37" s="3" t="n">
        <v>-8</v>
      </c>
    </row>
    <row r="38" customFormat="false" ht="15" hidden="false" customHeight="false" outlineLevel="0" collapsed="false">
      <c r="A38" s="0" t="s">
        <v>115</v>
      </c>
      <c r="B38" s="3" t="n">
        <v>0.45</v>
      </c>
    </row>
    <row r="40" customFormat="false" ht="15" hidden="false" customHeight="false" outlineLevel="0" collapsed="false">
      <c r="A40" s="2" t="s">
        <v>117</v>
      </c>
      <c r="C40" s="2" t="s">
        <v>94</v>
      </c>
      <c r="D40" s="2" t="s">
        <v>95</v>
      </c>
      <c r="E40" s="2" t="s">
        <v>96</v>
      </c>
      <c r="F40" s="2" t="s">
        <v>97</v>
      </c>
      <c r="G40" s="2" t="s">
        <v>98</v>
      </c>
      <c r="H40" s="2" t="s">
        <v>99</v>
      </c>
      <c r="I40" s="2" t="s">
        <v>100</v>
      </c>
      <c r="J40" s="2" t="s">
        <v>101</v>
      </c>
      <c r="K40" s="2" t="s">
        <v>102</v>
      </c>
      <c r="L40" s="2" t="s">
        <v>103</v>
      </c>
    </row>
    <row r="41" customFormat="false" ht="15" hidden="false" customHeight="false" outlineLevel="0" collapsed="false">
      <c r="A41" s="0" t="s">
        <v>104</v>
      </c>
      <c r="C41" s="3" t="n">
        <v>5</v>
      </c>
      <c r="D41" s="3" t="n">
        <v>6</v>
      </c>
      <c r="E41" s="3" t="n">
        <v>6</v>
      </c>
      <c r="F41" s="3" t="n">
        <v>5.5</v>
      </c>
      <c r="G41" s="3" t="n">
        <v>5</v>
      </c>
      <c r="H41" s="3" t="n">
        <v>4.5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105</v>
      </c>
      <c r="C42" s="3" t="n">
        <v>17.5</v>
      </c>
      <c r="D42" s="3" t="n">
        <v>18.5</v>
      </c>
      <c r="E42" s="3" t="n">
        <v>19.5</v>
      </c>
      <c r="F42" s="3" t="n">
        <v>20.5</v>
      </c>
      <c r="G42" s="3" t="n">
        <v>21.5</v>
      </c>
      <c r="H42" s="3" t="n">
        <v>22</v>
      </c>
      <c r="I42" s="3" t="n">
        <v>22.3</v>
      </c>
      <c r="J42" s="3" t="n">
        <v>22.5</v>
      </c>
      <c r="K42" s="3" t="n">
        <v>22.7</v>
      </c>
      <c r="L42" s="3" t="n">
        <v>22.8</v>
      </c>
    </row>
    <row r="43" customFormat="false" ht="15" hidden="false" customHeight="false" outlineLevel="0" collapsed="false">
      <c r="A43" s="0" t="s">
        <v>106</v>
      </c>
      <c r="C43" s="3" t="n">
        <v>0.7</v>
      </c>
      <c r="D43" s="3" t="n">
        <v>0.68</v>
      </c>
      <c r="E43" s="3" t="n">
        <v>0.65</v>
      </c>
      <c r="F43" s="3" t="n">
        <v>0.62</v>
      </c>
      <c r="G43" s="3" t="n">
        <v>0.6</v>
      </c>
      <c r="H43" s="3" t="n">
        <v>0.58</v>
      </c>
      <c r="I43" s="3" t="n">
        <v>0.56</v>
      </c>
      <c r="J43" s="3" t="n">
        <v>0.55</v>
      </c>
      <c r="K43" s="3" t="n">
        <v>0.54</v>
      </c>
      <c r="L43" s="3" t="n">
        <v>0.53</v>
      </c>
    </row>
    <row r="44" customFormat="false" ht="15" hidden="false" customHeight="false" outlineLevel="0" collapsed="false">
      <c r="A44" s="0" t="s">
        <v>107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108</v>
      </c>
      <c r="C45" s="3" t="n">
        <v>4.7</v>
      </c>
      <c r="D45" s="3" t="n">
        <v>4.6</v>
      </c>
      <c r="E45" s="3" t="n">
        <v>4.5</v>
      </c>
      <c r="F45" s="3" t="n">
        <v>4.4</v>
      </c>
      <c r="G45" s="3" t="n">
        <v>4.3</v>
      </c>
      <c r="H45" s="3" t="n">
        <v>4.2</v>
      </c>
      <c r="I45" s="3" t="n">
        <v>4.1</v>
      </c>
      <c r="J45" s="3" t="n">
        <v>4</v>
      </c>
      <c r="K45" s="3" t="n">
        <v>3.9</v>
      </c>
      <c r="L45" s="3" t="n">
        <v>3.8</v>
      </c>
    </row>
    <row r="46" customFormat="false" ht="15" hidden="false" customHeight="false" outlineLevel="0" collapsed="false">
      <c r="A46" s="0" t="s">
        <v>109</v>
      </c>
      <c r="C46" s="3" t="n">
        <v>3.9</v>
      </c>
      <c r="D46" s="3" t="n">
        <v>3.8</v>
      </c>
      <c r="E46" s="3" t="n">
        <v>3.7</v>
      </c>
      <c r="F46" s="3" t="n">
        <v>3.6</v>
      </c>
      <c r="G46" s="3" t="n">
        <v>3.5</v>
      </c>
      <c r="H46" s="3" t="n">
        <v>3.4</v>
      </c>
      <c r="I46" s="3" t="n">
        <v>3.3</v>
      </c>
      <c r="J46" s="3" t="n">
        <v>3.2</v>
      </c>
      <c r="K46" s="3" t="n">
        <v>3.1</v>
      </c>
      <c r="L46" s="3" t="n">
        <v>3</v>
      </c>
    </row>
    <row r="47" customFormat="false" ht="15" hidden="false" customHeight="false" outlineLevel="0" collapsed="false">
      <c r="A47" s="0" t="s">
        <v>110</v>
      </c>
      <c r="C47" s="3" t="n">
        <v>20</v>
      </c>
      <c r="D47" s="3" t="n">
        <v>21</v>
      </c>
      <c r="E47" s="3" t="n">
        <v>22</v>
      </c>
      <c r="F47" s="3" t="n">
        <v>22.5</v>
      </c>
      <c r="G47" s="3" t="n">
        <v>23</v>
      </c>
      <c r="H47" s="3" t="n">
        <v>23.5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111</v>
      </c>
      <c r="B48" s="3" t="n">
        <v>11</v>
      </c>
    </row>
    <row r="49" customFormat="false" ht="15" hidden="false" customHeight="false" outlineLevel="0" collapsed="false">
      <c r="A49" s="0" t="s">
        <v>112</v>
      </c>
      <c r="B49" s="3" t="n">
        <v>3</v>
      </c>
    </row>
    <row r="50" customFormat="false" ht="15" hidden="false" customHeight="false" outlineLevel="0" collapsed="false">
      <c r="A50" s="0" t="s">
        <v>113</v>
      </c>
      <c r="B50" s="3" t="n">
        <v>14</v>
      </c>
    </row>
    <row r="51" customFormat="false" ht="15" hidden="false" customHeight="false" outlineLevel="0" collapsed="false">
      <c r="A51" s="0" t="s">
        <v>114</v>
      </c>
      <c r="B51" s="3" t="n">
        <v>-6</v>
      </c>
    </row>
    <row r="52" customFormat="false" ht="15" hidden="false" customHeight="false" outlineLevel="0" collapsed="false">
      <c r="A52" s="0" t="s">
        <v>115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118</v>
      </c>
    </row>
    <row r="3" customFormat="false" ht="15" hidden="false" customHeight="false" outlineLevel="0" collapsed="false">
      <c r="A3" s="0" t="s">
        <v>119</v>
      </c>
      <c r="B3" s="0" t="s">
        <v>89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Assumptions!C13</f>
        <v>-1</v>
      </c>
      <c r="D5" s="4" t="n">
        <f aca="false">Assumptions!D13</f>
        <v>0</v>
      </c>
      <c r="E5" s="4" t="n">
        <f aca="false">Assumptions!E13</f>
        <v>1</v>
      </c>
      <c r="F5" s="4" t="n">
        <f aca="false">Assumptions!F13</f>
        <v>1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12700</v>
      </c>
      <c r="C6" s="0" t="n">
        <f aca="false">B6*(1+C5/100)</f>
        <v>12573</v>
      </c>
      <c r="D6" s="0" t="n">
        <f aca="false">C6*(1+D5/100)</f>
        <v>12573</v>
      </c>
      <c r="E6" s="0" t="n">
        <f aca="false">D6*(1+E5/100)</f>
        <v>12698.73</v>
      </c>
      <c r="F6" s="0" t="n">
        <f aca="false">E6*(1+F5/100)</f>
        <v>12825.7173</v>
      </c>
      <c r="G6" s="0" t="n">
        <f aca="false">F6*(1+G5/100)</f>
        <v>13018.1030595</v>
      </c>
      <c r="H6" s="0" t="n">
        <f aca="false">G6*(1+H5/100)</f>
        <v>13213.3746053925</v>
      </c>
      <c r="I6" s="0" t="n">
        <f aca="false">H6*(1+I5/100)</f>
        <v>13477.6420975004</v>
      </c>
      <c r="J6" s="0" t="n">
        <f aca="false">I6*(1+J5/100)</f>
        <v>13747.1949394504</v>
      </c>
      <c r="K6" s="0" t="n">
        <f aca="false">J6*(1+K5/100)</f>
        <v>14022.1388382394</v>
      </c>
      <c r="L6" s="0" t="n">
        <f aca="false">K6*(1+L5/100)</f>
        <v>14302.5816150042</v>
      </c>
    </row>
    <row r="7" customFormat="false" ht="15" hidden="false" customHeight="false" outlineLevel="0" collapsed="false">
      <c r="A7" s="0" t="s">
        <v>105</v>
      </c>
      <c r="C7" s="4" t="n">
        <f aca="false">Assumptions!C14</f>
        <v>15.5</v>
      </c>
      <c r="D7" s="4" t="n">
        <f aca="false">Assumptions!D14</f>
        <v>15.8</v>
      </c>
      <c r="E7" s="4" t="n">
        <f aca="false">Assumptions!E14</f>
        <v>16.2</v>
      </c>
      <c r="F7" s="4" t="n">
        <f aca="false">Assumptions!F14</f>
        <v>16.6</v>
      </c>
      <c r="G7" s="4" t="n">
        <f aca="false">Assumptions!G14</f>
        <v>17</v>
      </c>
      <c r="H7" s="4" t="n">
        <f aca="false">Assumptions!H14</f>
        <v>17.3</v>
      </c>
      <c r="I7" s="4" t="n">
        <f aca="false">Assumptions!I14</f>
        <v>17.5</v>
      </c>
      <c r="J7" s="4" t="n">
        <f aca="false">Assumptions!J14</f>
        <v>17.7</v>
      </c>
      <c r="K7" s="4" t="n">
        <f aca="false">Assumptions!K14</f>
        <v>17.8</v>
      </c>
      <c r="L7" s="4" t="n">
        <f aca="false">Assumptions!L14</f>
        <v>17.9</v>
      </c>
    </row>
    <row r="8" customFormat="false" ht="15" hidden="false" customHeight="false" outlineLevel="0" collapsed="false">
      <c r="A8" s="0" t="s">
        <v>43</v>
      </c>
      <c r="C8" s="0" t="n">
        <f aca="false">C6*C7/100</f>
        <v>1948.815</v>
      </c>
      <c r="D8" s="0" t="n">
        <f aca="false">D6*D7/100</f>
        <v>1986.534</v>
      </c>
      <c r="E8" s="0" t="n">
        <f aca="false">E6*E7/100</f>
        <v>2057.19426</v>
      </c>
      <c r="F8" s="0" t="n">
        <f aca="false">F6*F7/100</f>
        <v>2129.0690718</v>
      </c>
      <c r="G8" s="0" t="n">
        <f aca="false">G6*G7/100</f>
        <v>2213.077520115</v>
      </c>
      <c r="H8" s="0" t="n">
        <f aca="false">H6*H7/100</f>
        <v>2285.9138067329</v>
      </c>
      <c r="I8" s="0" t="n">
        <f aca="false">I6*I7/100</f>
        <v>2358.58736706256</v>
      </c>
      <c r="J8" s="0" t="n">
        <f aca="false">J6*J7/100</f>
        <v>2433.25350428271</v>
      </c>
      <c r="K8" s="0" t="n">
        <f aca="false">K6*K7/100</f>
        <v>2495.94071320661</v>
      </c>
      <c r="L8" s="0" t="n">
        <f aca="false">L6*L7/100</f>
        <v>2560.16210908574</v>
      </c>
    </row>
    <row r="9" customFormat="false" ht="15" hidden="false" customHeight="false" outlineLevel="0" collapsed="false">
      <c r="A9" s="0" t="s">
        <v>106</v>
      </c>
      <c r="C9" s="4" t="n">
        <f aca="false">Assumptions!C15</f>
        <v>0.8</v>
      </c>
      <c r="D9" s="4" t="n">
        <f aca="false">Assumptions!D15</f>
        <v>0.78</v>
      </c>
      <c r="E9" s="4" t="n">
        <f aca="false">Assumptions!E15</f>
        <v>0.76</v>
      </c>
      <c r="F9" s="4" t="n">
        <f aca="false">Assumptions!F15</f>
        <v>0.74</v>
      </c>
      <c r="G9" s="4" t="n">
        <f aca="false">Assumptions!G15</f>
        <v>0.72</v>
      </c>
      <c r="H9" s="4" t="n">
        <f aca="false">Assumptions!H15</f>
        <v>0.7</v>
      </c>
      <c r="I9" s="4" t="n">
        <f aca="false">Assumptions!I15</f>
        <v>0.68</v>
      </c>
      <c r="J9" s="4" t="n">
        <f aca="false">Assumptions!J15</f>
        <v>0.67</v>
      </c>
      <c r="K9" s="4" t="n">
        <f aca="false">Assumptions!K15</f>
        <v>0.66</v>
      </c>
      <c r="L9" s="4" t="n">
        <f aca="false">Assumptions!L15</f>
        <v>0.65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-100.584</v>
      </c>
      <c r="D10" s="0" t="n">
        <f aca="false">-D6*D9/100</f>
        <v>-98.0694</v>
      </c>
      <c r="E10" s="0" t="n">
        <f aca="false">-E6*E9/100</f>
        <v>-96.510348</v>
      </c>
      <c r="F10" s="0" t="n">
        <f aca="false">-F6*F9/100</f>
        <v>-94.91030802</v>
      </c>
      <c r="G10" s="0" t="n">
        <f aca="false">-G6*G9/100</f>
        <v>-93.7303420284</v>
      </c>
      <c r="H10" s="0" t="n">
        <f aca="false">-H6*H9/100</f>
        <v>-92.4936222377475</v>
      </c>
      <c r="I10" s="0" t="n">
        <f aca="false">-I6*I9/100</f>
        <v>-91.6479662630024</v>
      </c>
      <c r="J10" s="0" t="n">
        <f aca="false">-J6*J9/100</f>
        <v>-92.1062060943174</v>
      </c>
      <c r="K10" s="0" t="n">
        <f aca="false">-K6*K9/100</f>
        <v>-92.5461163323798</v>
      </c>
      <c r="L10" s="0" t="n">
        <f aca="false">-L6*L9/100</f>
        <v>-92.966780497527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1848.231</v>
      </c>
      <c r="D11" s="0" t="n">
        <f aca="false">D8+D10+D24</f>
        <v>1888.4646</v>
      </c>
      <c r="E11" s="0" t="n">
        <f aca="false">E8+E10+E24</f>
        <v>1960.683912</v>
      </c>
      <c r="F11" s="0" t="n">
        <f aca="false">F8+F10+F24</f>
        <v>2034.15876378</v>
      </c>
      <c r="G11" s="0" t="n">
        <f aca="false">G8+G10+G24</f>
        <v>2119.3471780866</v>
      </c>
      <c r="H11" s="0" t="n">
        <f aca="false">H8+H10+H24</f>
        <v>2193.42018449516</v>
      </c>
      <c r="I11" s="0" t="n">
        <f aca="false">I8+I10+I24</f>
        <v>2266.93940079956</v>
      </c>
      <c r="J11" s="0" t="n">
        <f aca="false">J8+J10+J24</f>
        <v>2341.1472981884</v>
      </c>
      <c r="K11" s="0" t="n">
        <f aca="false">K8+K10+K24</f>
        <v>2403.39459687423</v>
      </c>
      <c r="L11" s="0" t="n">
        <f aca="false">L8+L10+L24</f>
        <v>2467.19532858822</v>
      </c>
    </row>
    <row r="12" customFormat="false" ht="15" hidden="false" customHeight="false" outlineLevel="0" collapsed="false">
      <c r="A12" s="0" t="s">
        <v>123</v>
      </c>
      <c r="C12" s="4" t="n">
        <f aca="false">-C6*Assumptions!C17/100</f>
        <v>-641.223</v>
      </c>
      <c r="D12" s="4" t="n">
        <f aca="false">-D6*Assumptions!D17/100</f>
        <v>-628.65</v>
      </c>
      <c r="E12" s="4" t="n">
        <f aca="false">-E6*Assumptions!E17/100</f>
        <v>-622.23777</v>
      </c>
      <c r="F12" s="4" t="n">
        <f aca="false">-F6*Assumptions!F17/100</f>
        <v>-628.4601477</v>
      </c>
      <c r="G12" s="4" t="n">
        <f aca="false">-G6*Assumptions!G17/100</f>
        <v>-624.868946856</v>
      </c>
      <c r="H12" s="4" t="n">
        <f aca="false">-H6*Assumptions!H17/100</f>
        <v>-634.24198105884</v>
      </c>
      <c r="I12" s="4" t="n">
        <f aca="false">-I6*Assumptions!I17/100</f>
        <v>-633.449178582516</v>
      </c>
      <c r="J12" s="4" t="n">
        <f aca="false">-J6*Assumptions!J17/100</f>
        <v>-646.118162154167</v>
      </c>
      <c r="K12" s="4" t="n">
        <f aca="false">-K6*Assumptions!K17/100</f>
        <v>-645.018386559011</v>
      </c>
      <c r="L12" s="4" t="n">
        <f aca="false">-L6*Assumptions!L17/100</f>
        <v>-657.918754290191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1207.008</v>
      </c>
      <c r="D13" s="0" t="n">
        <f aca="false">D11+D12</f>
        <v>1259.8146</v>
      </c>
      <c r="E13" s="0" t="n">
        <f aca="false">E11+E12</f>
        <v>1338.446142</v>
      </c>
      <c r="F13" s="0" t="n">
        <f aca="false">F11+F12</f>
        <v>1405.69861608</v>
      </c>
      <c r="G13" s="0" t="n">
        <f aca="false">G11+G12</f>
        <v>1494.4782312306</v>
      </c>
      <c r="H13" s="0" t="n">
        <f aca="false">H11+H12</f>
        <v>1559.17820343632</v>
      </c>
      <c r="I13" s="0" t="n">
        <f aca="false">I11+I12</f>
        <v>1633.49022221704</v>
      </c>
      <c r="J13" s="0" t="n">
        <f aca="false">J11+J12</f>
        <v>1695.02913603423</v>
      </c>
      <c r="K13" s="0" t="n">
        <f aca="false">K11+K12</f>
        <v>1758.37621031522</v>
      </c>
      <c r="L13" s="0" t="n">
        <f aca="false">L11+L12</f>
        <v>1809.27657429803</v>
      </c>
    </row>
    <row r="14" customFormat="false" ht="15" hidden="false" customHeight="false" outlineLevel="0" collapsed="false">
      <c r="A14" s="0" t="s">
        <v>110</v>
      </c>
      <c r="C14" s="4" t="n">
        <f aca="false">Assumptions!C19</f>
        <v>23</v>
      </c>
      <c r="D14" s="4" t="n">
        <f aca="false">Assumptions!D19</f>
        <v>24</v>
      </c>
      <c r="E14" s="4" t="n">
        <f aca="false">Assumptions!E19</f>
        <v>24</v>
      </c>
      <c r="F14" s="4" t="n">
        <f aca="false">Assumptions!F19</f>
        <v>24.5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929.39616</v>
      </c>
      <c r="D15" s="0" t="n">
        <f aca="false">D13-MAX(0,D13)*D14/100</f>
        <v>957.459096</v>
      </c>
      <c r="E15" s="0" t="n">
        <f aca="false">E13-MAX(0,E13)*E14/100</f>
        <v>1017.21906792</v>
      </c>
      <c r="F15" s="0" t="n">
        <f aca="false">F13-MAX(0,F13)*F14/100</f>
        <v>1061.3024551404</v>
      </c>
      <c r="G15" s="0" t="n">
        <f aca="false">G13-MAX(0,G13)*G14/100</f>
        <v>1120.85867342295</v>
      </c>
      <c r="H15" s="0" t="n">
        <f aca="false">H13-MAX(0,H13)*H14/100</f>
        <v>1169.38365257724</v>
      </c>
      <c r="I15" s="0" t="n">
        <f aca="false">I13-MAX(0,I13)*I14/100</f>
        <v>1225.11766666278</v>
      </c>
      <c r="J15" s="0" t="n">
        <f aca="false">J13-MAX(0,J13)*J14/100</f>
        <v>1271.27185202567</v>
      </c>
      <c r="K15" s="0" t="n">
        <f aca="false">K13-MAX(0,K13)*K14/100</f>
        <v>1318.78215773641</v>
      </c>
      <c r="L15" s="0" t="n">
        <f aca="false">L13-MAX(0,L13)*L14/100</f>
        <v>1356.95743072352</v>
      </c>
    </row>
    <row r="16" customFormat="false" ht="15" hidden="false" customHeight="false" outlineLevel="0" collapsed="false">
      <c r="A16" s="0" t="s">
        <v>126</v>
      </c>
      <c r="C16" s="0" t="n">
        <f aca="false">-C12</f>
        <v>641.223</v>
      </c>
      <c r="D16" s="0" t="n">
        <f aca="false">-D12</f>
        <v>628.65</v>
      </c>
      <c r="E16" s="0" t="n">
        <f aca="false">-E12</f>
        <v>622.23777</v>
      </c>
      <c r="F16" s="0" t="n">
        <f aca="false">-F12</f>
        <v>628.4601477</v>
      </c>
      <c r="G16" s="0" t="n">
        <f aca="false">-G12</f>
        <v>624.868946856</v>
      </c>
      <c r="H16" s="0" t="n">
        <f aca="false">-H12</f>
        <v>634.24198105884</v>
      </c>
      <c r="I16" s="0" t="n">
        <f aca="false">-I12</f>
        <v>633.449178582516</v>
      </c>
      <c r="J16" s="0" t="n">
        <f aca="false">-J12</f>
        <v>646.118162154167</v>
      </c>
      <c r="K16" s="0" t="n">
        <f aca="false">-K12</f>
        <v>645.018386559011</v>
      </c>
      <c r="L16" s="0" t="n">
        <f aca="false">-L12</f>
        <v>657.918754290191</v>
      </c>
    </row>
    <row r="17" customFormat="false" ht="15" hidden="false" customHeight="false" outlineLevel="0" collapsed="false">
      <c r="A17" s="0" t="s">
        <v>127</v>
      </c>
      <c r="C17" s="4" t="n">
        <f aca="false">-C6*Assumptions!C18/100</f>
        <v>-502.92</v>
      </c>
      <c r="D17" s="4" t="n">
        <f aca="false">-D6*Assumptions!D18/100</f>
        <v>-490.347</v>
      </c>
      <c r="E17" s="4" t="n">
        <f aca="false">-E6*Assumptions!E18/100</f>
        <v>-482.55174</v>
      </c>
      <c r="F17" s="4" t="n">
        <f aca="false">-F6*Assumptions!F18/100</f>
        <v>-474.5515401</v>
      </c>
      <c r="G17" s="4" t="n">
        <f aca="false">-G6*Assumptions!G18/100</f>
        <v>-468.651710142</v>
      </c>
      <c r="H17" s="4" t="n">
        <f aca="false">-H6*Assumptions!H18/100</f>
        <v>-475.68148579413</v>
      </c>
      <c r="I17" s="4" t="n">
        <f aca="false">-I6*Assumptions!I18/100</f>
        <v>-471.717473412512</v>
      </c>
      <c r="J17" s="4" t="n">
        <f aca="false">-J6*Assumptions!J18/100</f>
        <v>-481.151822880763</v>
      </c>
      <c r="K17" s="4" t="n">
        <f aca="false">-K6*Assumptions!K18/100</f>
        <v>-476.752720500138</v>
      </c>
      <c r="L17" s="4" t="n">
        <f aca="false">-L6*Assumptions!L18/100</f>
        <v>-486.287774910141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(C6-B6)*Assumptions!$B$23/100</f>
        <v>12.7</v>
      </c>
      <c r="D18" s="4" t="n">
        <f aca="false">(D6-C6)*Assumptions!$B$23/100</f>
        <v>-0</v>
      </c>
      <c r="E18" s="4" t="n">
        <f aca="false">(E6-D6)*Assumptions!$B$23/100</f>
        <v>-12.573</v>
      </c>
      <c r="F18" s="4" t="n">
        <f aca="false">(F6-E6)*Assumptions!$B$23/100</f>
        <v>-12.6987300000001</v>
      </c>
      <c r="G18" s="4" t="n">
        <f aca="false">(G6-F6)*Assumptions!$B$23/100</f>
        <v>-19.2385759499999</v>
      </c>
      <c r="H18" s="4" t="n">
        <f aca="false">(H6-G6)*Assumptions!$B$23/100</f>
        <v>-19.52715458925</v>
      </c>
      <c r="I18" s="4" t="n">
        <f aca="false">(I6-H6)*Assumptions!$B$23/100</f>
        <v>-26.4267492107851</v>
      </c>
      <c r="J18" s="4" t="n">
        <f aca="false">(J6-I6)*Assumptions!$B$23/100</f>
        <v>-26.9552841950008</v>
      </c>
      <c r="K18" s="4" t="n">
        <f aca="false">(K6-J6)*Assumptions!$B$23/100</f>
        <v>-27.4943898789008</v>
      </c>
      <c r="L18" s="4" t="n">
        <f aca="false">(L6-K6)*Assumptions!$B$23/100</f>
        <v>-28.0442776764787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1080.39916</v>
      </c>
      <c r="D19" s="0" t="n">
        <f aca="false">D15+D16+D17+D18</f>
        <v>1095.762096</v>
      </c>
      <c r="E19" s="0" t="n">
        <f aca="false">E15+E16+E17+E18</f>
        <v>1144.33209792</v>
      </c>
      <c r="F19" s="0" t="n">
        <f aca="false">F15+F16+F17+F18</f>
        <v>1202.5123327404</v>
      </c>
      <c r="G19" s="0" t="n">
        <f aca="false">G15+G16+G17+G18</f>
        <v>1257.83733418695</v>
      </c>
      <c r="H19" s="0" t="n">
        <f aca="false">H15+H16+H17+H18</f>
        <v>1308.4169932527</v>
      </c>
      <c r="I19" s="0" t="n">
        <f aca="false">I15+I16+I17+I18</f>
        <v>1360.422622622</v>
      </c>
      <c r="J19" s="0" t="n">
        <f aca="false">J15+J16+J17+J18</f>
        <v>1409.28290710408</v>
      </c>
      <c r="K19" s="0" t="n">
        <f aca="false">K15+K16+K17+K18</f>
        <v>1459.55343391638</v>
      </c>
      <c r="L19" s="0" t="n">
        <f aca="false">L15+L16+L17+L18</f>
        <v>1500.54413242709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0.881057268722467</v>
      </c>
      <c r="D20" s="0" t="n">
        <f aca="false">1/(1+$B$27/100)^D4</f>
        <v>0.776261910768693</v>
      </c>
      <c r="E20" s="0" t="n">
        <f aca="false">1/(1+$B$27/100)^E4</f>
        <v>0.683931198915148</v>
      </c>
      <c r="F20" s="0" t="n">
        <f aca="false">1/(1+$B$27/100)^F4</f>
        <v>0.602582554110263</v>
      </c>
      <c r="G20" s="0" t="n">
        <f aca="false">1/(1+$B$27/100)^G4</f>
        <v>0.530909739304196</v>
      </c>
      <c r="H20" s="0" t="n">
        <f aca="false">1/(1+$B$27/100)^H4</f>
        <v>0.467761884849512</v>
      </c>
      <c r="I20" s="0" t="n">
        <f aca="false">1/(1+$B$27/100)^I4</f>
        <v>0.412125008677984</v>
      </c>
      <c r="J20" s="0" t="n">
        <f aca="false">1/(1+$B$27/100)^J4</f>
        <v>0.363105734518048</v>
      </c>
      <c r="K20" s="0" t="n">
        <f aca="false">1/(1+$B$27/100)^K4</f>
        <v>0.319916946711936</v>
      </c>
      <c r="L20" s="0" t="n">
        <f aca="false">1/(1+$B$27/100)^L4</f>
        <v>0.28186515128805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951.893533039648</v>
      </c>
      <c r="D21" s="0" t="n">
        <f aca="false">D19*D20</f>
        <v>850.598378388869</v>
      </c>
      <c r="E21" s="0" t="n">
        <f aca="false">E19*E20</f>
        <v>782.644423687513</v>
      </c>
      <c r="F21" s="0" t="n">
        <f aca="false">F19*F20</f>
        <v>724.612952811801</v>
      </c>
      <c r="G21" s="0" t="n">
        <f aca="false">G19*G20</f>
        <v>667.798091180279</v>
      </c>
      <c r="H21" s="0" t="n">
        <f aca="false">H19*H20</f>
        <v>612.027598933013</v>
      </c>
      <c r="I21" s="0" t="n">
        <f aca="false">I19*I20</f>
        <v>560.664185153818</v>
      </c>
      <c r="J21" s="0" t="n">
        <f aca="false">J19*J20</f>
        <v>511.718705127755</v>
      </c>
      <c r="K21" s="0" t="n">
        <f aca="false">K19*K20</f>
        <v>466.935878141452</v>
      </c>
      <c r="L21" s="0" t="n">
        <f aca="false">L19*L20</f>
        <v>422.951098900957</v>
      </c>
    </row>
    <row r="23" customFormat="false" ht="15" hidden="false" customHeight="false" outlineLevel="0" collapsed="false">
      <c r="A23" s="0" t="s">
        <v>107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Assumptions!$B$20</f>
        <v>13.5</v>
      </c>
    </row>
    <row r="28" customFormat="false" ht="15" hidden="false" customHeight="false" outlineLevel="0" collapsed="false">
      <c r="A28" s="0" t="s">
        <v>112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113</v>
      </c>
      <c r="B29" s="4" t="n">
        <f aca="false">Assumptions!$B$22</f>
        <v>9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6551.8448453651</v>
      </c>
    </row>
    <row r="31" customFormat="false" ht="15" hidden="false" customHeight="false" outlineLevel="0" collapsed="false">
      <c r="A31" s="0" t="s">
        <v>135</v>
      </c>
      <c r="B31" s="0" t="n">
        <f aca="false">L19</f>
        <v>1500.54413242709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12692.1024534458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13504.8971918438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12692.1024534458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3577.46137820393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10129.306223569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5536.30622356903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26.1023395736399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-0.41722840871534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507.998757634048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221.642975703699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29.5424231820216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11281.8688475074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20.5217543754871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119</v>
      </c>
      <c r="B3" s="0" t="s">
        <v>89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Assumptions!C27</f>
        <v>2</v>
      </c>
      <c r="D5" s="4" t="n">
        <f aca="false">Assumptions!D27</f>
        <v>2.5</v>
      </c>
      <c r="E5" s="4" t="n">
        <f aca="false">Assumptions!E27</f>
        <v>3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2.8</v>
      </c>
      <c r="I5" s="4" t="n">
        <f aca="false">Assumptions!I27</f>
        <v>2.7</v>
      </c>
      <c r="J5" s="4" t="n">
        <f aca="false">Assumptions!J27</f>
        <v>2.6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12700</v>
      </c>
      <c r="C6" s="0" t="n">
        <f aca="false">B6*(1+C5/100)</f>
        <v>12954</v>
      </c>
      <c r="D6" s="0" t="n">
        <f aca="false">C6*(1+D5/100)</f>
        <v>13277.85</v>
      </c>
      <c r="E6" s="0" t="n">
        <f aca="false">D6*(1+E5/100)</f>
        <v>13676.1855</v>
      </c>
      <c r="F6" s="0" t="n">
        <f aca="false">E6*(1+F5/100)</f>
        <v>14086.471065</v>
      </c>
      <c r="G6" s="0" t="n">
        <f aca="false">F6*(1+G5/100)</f>
        <v>14509.06519695</v>
      </c>
      <c r="H6" s="0" t="n">
        <f aca="false">G6*(1+H5/100)</f>
        <v>14915.3190224646</v>
      </c>
      <c r="I6" s="0" t="n">
        <f aca="false">H6*(1+I5/100)</f>
        <v>15318.0326360711</v>
      </c>
      <c r="J6" s="0" t="n">
        <f aca="false">I6*(1+J5/100)</f>
        <v>15716.301484609</v>
      </c>
      <c r="K6" s="0" t="n">
        <f aca="false">J6*(1+K5/100)</f>
        <v>16109.2090217242</v>
      </c>
      <c r="L6" s="0" t="n">
        <f aca="false">K6*(1+L5/100)</f>
        <v>16511.9392472673</v>
      </c>
    </row>
    <row r="7" customFormat="false" ht="15" hidden="false" customHeight="false" outlineLevel="0" collapsed="false">
      <c r="A7" s="0" t="s">
        <v>105</v>
      </c>
      <c r="C7" s="4" t="n">
        <f aca="false">Assumptions!C28</f>
        <v>16.8</v>
      </c>
      <c r="D7" s="4" t="n">
        <f aca="false">Assumptions!D28</f>
        <v>17.6</v>
      </c>
      <c r="E7" s="4" t="n">
        <f aca="false">Assumptions!E28</f>
        <v>18.4</v>
      </c>
      <c r="F7" s="4" t="n">
        <f aca="false">Assumptions!F28</f>
        <v>19</v>
      </c>
      <c r="G7" s="4" t="n">
        <f aca="false">Assumptions!G28</f>
        <v>19.5</v>
      </c>
      <c r="H7" s="4" t="n">
        <f aca="false">Assumptions!H28</f>
        <v>19.9</v>
      </c>
      <c r="I7" s="4" t="n">
        <f aca="false">Assumptions!I28</f>
        <v>20.1</v>
      </c>
      <c r="J7" s="4" t="n">
        <f aca="false">Assumptions!J28</f>
        <v>20.3</v>
      </c>
      <c r="K7" s="4" t="n">
        <f aca="false">Assumptions!K28</f>
        <v>20.4</v>
      </c>
      <c r="L7" s="4" t="n">
        <f aca="false">Assumptions!L28</f>
        <v>20.5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2176.272</v>
      </c>
      <c r="D8" s="0" t="n">
        <f aca="false">D6*D7/100</f>
        <v>2336.9016</v>
      </c>
      <c r="E8" s="0" t="n">
        <f aca="false">E6*E7/100</f>
        <v>2516.418132</v>
      </c>
      <c r="F8" s="0" t="n">
        <f aca="false">F6*F7/100</f>
        <v>2676.42950235</v>
      </c>
      <c r="G8" s="0" t="n">
        <f aca="false">G6*G7/100</f>
        <v>2829.26771340525</v>
      </c>
      <c r="H8" s="0" t="n">
        <f aca="false">H6*H7/100</f>
        <v>2968.14848547046</v>
      </c>
      <c r="I8" s="0" t="n">
        <f aca="false">I6*I7/100</f>
        <v>3078.9245598503</v>
      </c>
      <c r="J8" s="0" t="n">
        <f aca="false">J6*J7/100</f>
        <v>3190.40920137563</v>
      </c>
      <c r="K8" s="0" t="n">
        <f aca="false">K6*K7/100</f>
        <v>3286.27864043174</v>
      </c>
      <c r="L8" s="0" t="n">
        <f aca="false">L6*L7/100</f>
        <v>3384.9475456898</v>
      </c>
    </row>
    <row r="9" customFormat="false" ht="15" hidden="false" customHeight="false" outlineLevel="0" collapsed="false">
      <c r="A9" s="0" t="s">
        <v>106</v>
      </c>
      <c r="C9" s="4" t="n">
        <f aca="false">Assumptions!C29</f>
        <v>0.75</v>
      </c>
      <c r="D9" s="4" t="n">
        <f aca="false">Assumptions!D29</f>
        <v>0.73</v>
      </c>
      <c r="E9" s="4" t="n">
        <f aca="false">Assumptions!E29</f>
        <v>0.71</v>
      </c>
      <c r="F9" s="4" t="n">
        <f aca="false">Assumptions!F29</f>
        <v>0.69</v>
      </c>
      <c r="G9" s="4" t="n">
        <f aca="false">Assumptions!G29</f>
        <v>0.67</v>
      </c>
      <c r="H9" s="4" t="n">
        <f aca="false">Assumptions!H29</f>
        <v>0.65</v>
      </c>
      <c r="I9" s="4" t="n">
        <f aca="false">Assumptions!I29</f>
        <v>0.63</v>
      </c>
      <c r="J9" s="4" t="n">
        <f aca="false">Assumptions!J29</f>
        <v>0.61</v>
      </c>
      <c r="K9" s="4" t="n">
        <f aca="false">Assumptions!K29</f>
        <v>0.6</v>
      </c>
      <c r="L9" s="4" t="n">
        <f aca="false">Assumptions!L29</f>
        <v>0.6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-97.155</v>
      </c>
      <c r="D10" s="0" t="n">
        <f aca="false">-D6*D9/100</f>
        <v>-96.928305</v>
      </c>
      <c r="E10" s="0" t="n">
        <f aca="false">-E6*E9/100</f>
        <v>-97.10091705</v>
      </c>
      <c r="F10" s="0" t="n">
        <f aca="false">-F6*F9/100</f>
        <v>-97.1966503485</v>
      </c>
      <c r="G10" s="0" t="n">
        <f aca="false">-G6*G9/100</f>
        <v>-97.210736819565</v>
      </c>
      <c r="H10" s="0" t="n">
        <f aca="false">-H6*H9/100</f>
        <v>-96.9495736460199</v>
      </c>
      <c r="I10" s="0" t="n">
        <f aca="false">-I6*I9/100</f>
        <v>-96.5036056072482</v>
      </c>
      <c r="J10" s="0" t="n">
        <f aca="false">-J6*J9/100</f>
        <v>-95.8694390561149</v>
      </c>
      <c r="K10" s="0" t="n">
        <f aca="false">-K6*K9/100</f>
        <v>-96.6552541303453</v>
      </c>
      <c r="L10" s="0" t="n">
        <f aca="false">-L6*L9/100</f>
        <v>-99.0716354836039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2079.117</v>
      </c>
      <c r="D11" s="0" t="n">
        <f aca="false">D8+D10+D24</f>
        <v>2239.973295</v>
      </c>
      <c r="E11" s="0" t="n">
        <f aca="false">E8+E10+E24</f>
        <v>2419.31721495</v>
      </c>
      <c r="F11" s="0" t="n">
        <f aca="false">F8+F10+F24</f>
        <v>2579.2328520015</v>
      </c>
      <c r="G11" s="0" t="n">
        <f aca="false">G8+G10+G24</f>
        <v>2732.05697658569</v>
      </c>
      <c r="H11" s="0" t="n">
        <f aca="false">H8+H10+H24</f>
        <v>2871.19891182444</v>
      </c>
      <c r="I11" s="0" t="n">
        <f aca="false">I8+I10+I24</f>
        <v>2982.42095424305</v>
      </c>
      <c r="J11" s="0" t="n">
        <f aca="false">J8+J10+J24</f>
        <v>3094.53976231951</v>
      </c>
      <c r="K11" s="0" t="n">
        <f aca="false">K8+K10+K24</f>
        <v>3189.6233863014</v>
      </c>
      <c r="L11" s="0" t="n">
        <f aca="false">L8+L10+L24</f>
        <v>3285.8759102062</v>
      </c>
    </row>
    <row r="12" customFormat="false" ht="15" hidden="false" customHeight="false" outlineLevel="0" collapsed="false">
      <c r="A12" s="0" t="s">
        <v>123</v>
      </c>
      <c r="C12" s="4" t="n">
        <f aca="false">-C6*Assumptions!C31/100</f>
        <v>-634.746</v>
      </c>
      <c r="D12" s="4" t="n">
        <f aca="false">-D6*Assumptions!D31/100</f>
        <v>-637.3368</v>
      </c>
      <c r="E12" s="4" t="n">
        <f aca="false">-E6*Assumptions!E31/100</f>
        <v>-642.7807185</v>
      </c>
      <c r="F12" s="4" t="n">
        <f aca="false">-F6*Assumptions!F31/100</f>
        <v>-647.97766899</v>
      </c>
      <c r="G12" s="4" t="n">
        <f aca="false">-G6*Assumptions!G31/100</f>
        <v>-652.90793386275</v>
      </c>
      <c r="H12" s="4" t="n">
        <f aca="false">-H6*Assumptions!H31/100</f>
        <v>-656.274036988443</v>
      </c>
      <c r="I12" s="4" t="n">
        <f aca="false">-I6*Assumptions!I31/100</f>
        <v>-658.675403351059</v>
      </c>
      <c r="J12" s="4" t="n">
        <f aca="false">-J6*Assumptions!J31/100</f>
        <v>-660.084662353578</v>
      </c>
      <c r="K12" s="4" t="n">
        <f aca="false">-K6*Assumptions!K31/100</f>
        <v>-660.477569890693</v>
      </c>
      <c r="L12" s="4" t="n">
        <f aca="false">-L6*Assumptions!L31/100</f>
        <v>-660.477569890693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1444.371</v>
      </c>
      <c r="D13" s="0" t="n">
        <f aca="false">D11+D12</f>
        <v>1602.636495</v>
      </c>
      <c r="E13" s="0" t="n">
        <f aca="false">E11+E12</f>
        <v>1776.53649645</v>
      </c>
      <c r="F13" s="0" t="n">
        <f aca="false">F11+F12</f>
        <v>1931.2551830115</v>
      </c>
      <c r="G13" s="0" t="n">
        <f aca="false">G11+G12</f>
        <v>2079.14904272293</v>
      </c>
      <c r="H13" s="0" t="n">
        <f aca="false">H11+H12</f>
        <v>2214.92487483599</v>
      </c>
      <c r="I13" s="0" t="n">
        <f aca="false">I11+I12</f>
        <v>2323.74555089199</v>
      </c>
      <c r="J13" s="0" t="n">
        <f aca="false">J11+J12</f>
        <v>2434.45509996593</v>
      </c>
      <c r="K13" s="0" t="n">
        <f aca="false">K11+K12</f>
        <v>2529.1458164107</v>
      </c>
      <c r="L13" s="0" t="n">
        <f aca="false">L11+L12</f>
        <v>2625.3983403155</v>
      </c>
    </row>
    <row r="14" customFormat="false" ht="15" hidden="false" customHeight="false" outlineLevel="0" collapsed="false">
      <c r="A14" s="0" t="s">
        <v>110</v>
      </c>
      <c r="C14" s="4" t="n">
        <f aca="false">Assumptions!C33</f>
        <v>21</v>
      </c>
      <c r="D14" s="4" t="n">
        <f aca="false">Assumptions!D33</f>
        <v>22</v>
      </c>
      <c r="E14" s="4" t="n">
        <f aca="false">Assumptions!E33</f>
        <v>23</v>
      </c>
      <c r="F14" s="4" t="n">
        <f aca="false">Assumptions!F33</f>
        <v>23</v>
      </c>
      <c r="G14" s="4" t="n">
        <f aca="false">Assumptions!G33</f>
        <v>23.5</v>
      </c>
      <c r="H14" s="4" t="n">
        <f aca="false">Assumptions!H33</f>
        <v>24</v>
      </c>
      <c r="I14" s="4" t="n">
        <f aca="false">Assumptions!I33</f>
        <v>24</v>
      </c>
      <c r="J14" s="4" t="n">
        <f aca="false">Assumptions!J33</f>
        <v>24</v>
      </c>
      <c r="K14" s="4" t="n">
        <f aca="false">Assumptions!K33</f>
        <v>24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1141.05309</v>
      </c>
      <c r="D15" s="0" t="n">
        <f aca="false">D13-MAX(0,D13)*D14/100</f>
        <v>1250.0564661</v>
      </c>
      <c r="E15" s="0" t="n">
        <f aca="false">E13-MAX(0,E13)*E14/100</f>
        <v>1367.9331022665</v>
      </c>
      <c r="F15" s="0" t="n">
        <f aca="false">F13-MAX(0,F13)*F14/100</f>
        <v>1487.06649091886</v>
      </c>
      <c r="G15" s="0" t="n">
        <f aca="false">G13-MAX(0,G13)*G14/100</f>
        <v>1590.54901768305</v>
      </c>
      <c r="H15" s="0" t="n">
        <f aca="false">H13-MAX(0,H13)*H14/100</f>
        <v>1683.34290487535</v>
      </c>
      <c r="I15" s="0" t="n">
        <f aca="false">I13-MAX(0,I13)*I14/100</f>
        <v>1766.04661867791</v>
      </c>
      <c r="J15" s="0" t="n">
        <f aca="false">J13-MAX(0,J13)*J14/100</f>
        <v>1850.18587597411</v>
      </c>
      <c r="K15" s="0" t="n">
        <f aca="false">K13-MAX(0,K13)*K14/100</f>
        <v>1922.15082047213</v>
      </c>
      <c r="L15" s="0" t="n">
        <f aca="false">L13-MAX(0,L13)*L14/100</f>
        <v>1995.30273863978</v>
      </c>
    </row>
    <row r="16" customFormat="false" ht="15" hidden="false" customHeight="false" outlineLevel="0" collapsed="false">
      <c r="A16" s="0" t="s">
        <v>126</v>
      </c>
      <c r="C16" s="0" t="n">
        <f aca="false">-C12</f>
        <v>634.746</v>
      </c>
      <c r="D16" s="0" t="n">
        <f aca="false">-D12</f>
        <v>637.3368</v>
      </c>
      <c r="E16" s="0" t="n">
        <f aca="false">-E12</f>
        <v>642.7807185</v>
      </c>
      <c r="F16" s="0" t="n">
        <f aca="false">-F12</f>
        <v>647.97766899</v>
      </c>
      <c r="G16" s="0" t="n">
        <f aca="false">-G12</f>
        <v>652.90793386275</v>
      </c>
      <c r="H16" s="0" t="n">
        <f aca="false">-H12</f>
        <v>656.274036988443</v>
      </c>
      <c r="I16" s="0" t="n">
        <f aca="false">-I12</f>
        <v>658.675403351059</v>
      </c>
      <c r="J16" s="0" t="n">
        <f aca="false">-J12</f>
        <v>660.084662353578</v>
      </c>
      <c r="K16" s="0" t="n">
        <f aca="false">-K12</f>
        <v>660.477569890693</v>
      </c>
      <c r="L16" s="0" t="n">
        <f aca="false">-L12</f>
        <v>660.477569890693</v>
      </c>
    </row>
    <row r="17" customFormat="false" ht="15" hidden="false" customHeight="false" outlineLevel="0" collapsed="false">
      <c r="A17" s="0" t="s">
        <v>127</v>
      </c>
      <c r="C17" s="4" t="n">
        <f aca="false">-C6*Assumptions!C32/100</f>
        <v>-505.206</v>
      </c>
      <c r="D17" s="4" t="n">
        <f aca="false">-D6*Assumptions!D32/100</f>
        <v>-504.5583</v>
      </c>
      <c r="E17" s="4" t="n">
        <f aca="false">-E6*Assumptions!E32/100</f>
        <v>-492.342678</v>
      </c>
      <c r="F17" s="4" t="n">
        <f aca="false">-F6*Assumptions!F32/100</f>
        <v>-493.026487275</v>
      </c>
      <c r="G17" s="4" t="n">
        <f aca="false">-G6*Assumptions!G32/100</f>
        <v>-493.3082166963</v>
      </c>
      <c r="H17" s="4" t="n">
        <f aca="false">-H6*Assumptions!H32/100</f>
        <v>-507.120846763796</v>
      </c>
      <c r="I17" s="4" t="n">
        <f aca="false">-I6*Assumptions!I32/100</f>
        <v>-505.495076990348</v>
      </c>
      <c r="J17" s="4" t="n">
        <f aca="false">-J6*Assumptions!J32/100</f>
        <v>-518.637948992097</v>
      </c>
      <c r="K17" s="4" t="n">
        <f aca="false">-K6*Assumptions!K32/100</f>
        <v>-515.494688695175</v>
      </c>
      <c r="L17" s="4" t="n">
        <f aca="false">-L6*Assumptions!L32/100</f>
        <v>-528.382055912554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(C6-B6)*Assumptions!$B$37/100</f>
        <v>-20.32</v>
      </c>
      <c r="D18" s="4" t="n">
        <f aca="false">(D6-C6)*Assumptions!$B$37/100</f>
        <v>-25.9079999999999</v>
      </c>
      <c r="E18" s="4" t="n">
        <f aca="false">(E6-D6)*Assumptions!$B$37/100</f>
        <v>-31.8668400000001</v>
      </c>
      <c r="F18" s="4" t="n">
        <f aca="false">(F6-E6)*Assumptions!$B$37/100</f>
        <v>-32.8228452</v>
      </c>
      <c r="G18" s="4" t="n">
        <f aca="false">(G6-F6)*Assumptions!$B$37/100</f>
        <v>-33.807530556</v>
      </c>
      <c r="H18" s="4" t="n">
        <f aca="false">(H6-G6)*Assumptions!$B$37/100</f>
        <v>-32.5003060411681</v>
      </c>
      <c r="I18" s="4" t="n">
        <f aca="false">(I6-H6)*Assumptions!$B$37/100</f>
        <v>-32.2170890885235</v>
      </c>
      <c r="J18" s="4" t="n">
        <f aca="false">(J6-I6)*Assumptions!$B$37/100</f>
        <v>-31.861507883028</v>
      </c>
      <c r="K18" s="4" t="n">
        <f aca="false">(K6-J6)*Assumptions!$B$37/100</f>
        <v>-31.4326029692178</v>
      </c>
      <c r="L18" s="4" t="n">
        <f aca="false">(L6-K6)*Assumptions!$B$37/100</f>
        <v>-32.2184180434483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1250.27309</v>
      </c>
      <c r="D19" s="0" t="n">
        <f aca="false">D15+D16+D17+D18</f>
        <v>1356.9269661</v>
      </c>
      <c r="E19" s="0" t="n">
        <f aca="false">E15+E16+E17+E18</f>
        <v>1486.5043027665</v>
      </c>
      <c r="F19" s="0" t="n">
        <f aca="false">F15+F16+F17+F18</f>
        <v>1609.19482743386</v>
      </c>
      <c r="G19" s="0" t="n">
        <f aca="false">G15+G16+G17+G18</f>
        <v>1716.3412042935</v>
      </c>
      <c r="H19" s="0" t="n">
        <f aca="false">H15+H16+H17+H18</f>
        <v>1799.99578905883</v>
      </c>
      <c r="I19" s="0" t="n">
        <f aca="false">I15+I16+I17+I18</f>
        <v>1887.0098559501</v>
      </c>
      <c r="J19" s="0" t="n">
        <f aca="false">J15+J16+J17+J18</f>
        <v>1959.77108145256</v>
      </c>
      <c r="K19" s="0" t="n">
        <f aca="false">K15+K16+K17+K18</f>
        <v>2035.70109869843</v>
      </c>
      <c r="L19" s="0" t="n">
        <f aca="false">L15+L16+L17+L18</f>
        <v>2095.17983457447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0.888888888888889</v>
      </c>
      <c r="D20" s="0" t="n">
        <f aca="false">1/(1+$B$27/100)^D4</f>
        <v>0.790123456790123</v>
      </c>
      <c r="E20" s="0" t="n">
        <f aca="false">1/(1+$B$27/100)^E4</f>
        <v>0.702331961591221</v>
      </c>
      <c r="F20" s="0" t="n">
        <f aca="false">1/(1+$B$27/100)^F4</f>
        <v>0.624295076969974</v>
      </c>
      <c r="G20" s="0" t="n">
        <f aca="false">1/(1+$B$27/100)^G4</f>
        <v>0.554928957306644</v>
      </c>
      <c r="H20" s="0" t="n">
        <f aca="false">1/(1+$B$27/100)^H4</f>
        <v>0.493270184272572</v>
      </c>
      <c r="I20" s="0" t="n">
        <f aca="false">1/(1+$B$27/100)^I4</f>
        <v>0.438462386020064</v>
      </c>
      <c r="J20" s="0" t="n">
        <f aca="false">1/(1+$B$27/100)^J4</f>
        <v>0.389744343128946</v>
      </c>
      <c r="K20" s="0" t="n">
        <f aca="false">1/(1+$B$27/100)^K4</f>
        <v>0.346439416114619</v>
      </c>
      <c r="L20" s="0" t="n">
        <f aca="false">1/(1+$B$27/100)^L4</f>
        <v>0.307946147657439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1111.35385777778</v>
      </c>
      <c r="D21" s="0" t="n">
        <f aca="false">D19*D20</f>
        <v>1072.13982506667</v>
      </c>
      <c r="E21" s="0" t="n">
        <f aca="false">E19*E20</f>
        <v>1044.01948287579</v>
      </c>
      <c r="F21" s="0" t="n">
        <f aca="false">F19*F20</f>
        <v>1004.6124086525</v>
      </c>
      <c r="G21" s="0" t="n">
        <f aca="false">G19*G20</f>
        <v>952.447434881018</v>
      </c>
      <c r="H21" s="0" t="n">
        <f aca="false">H19*H20</f>
        <v>887.884254558904</v>
      </c>
      <c r="I21" s="0" t="n">
        <f aca="false">I19*I20</f>
        <v>827.382843883259</v>
      </c>
      <c r="J21" s="0" t="n">
        <f aca="false">J19*J20</f>
        <v>763.809692823833</v>
      </c>
      <c r="K21" s="0" t="n">
        <f aca="false">K19*K20</f>
        <v>705.247100016973</v>
      </c>
      <c r="L21" s="0" t="n">
        <f aca="false">L19*L20</f>
        <v>645.202558706759</v>
      </c>
    </row>
    <row r="23" customFormat="false" ht="15" hidden="false" customHeight="false" outlineLevel="0" collapsed="false">
      <c r="A23" s="0" t="s">
        <v>107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Assumptions!$B$34</f>
        <v>12.5</v>
      </c>
    </row>
    <row r="28" customFormat="false" ht="15" hidden="false" customHeight="false" outlineLevel="0" collapsed="false">
      <c r="A28" s="0" t="s">
        <v>112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113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9014.09945924348</v>
      </c>
    </row>
    <row r="31" customFormat="false" ht="15" hidden="false" customHeight="false" outlineLevel="0" collapsed="false">
      <c r="A31" s="0" t="s">
        <v>135</v>
      </c>
      <c r="B31" s="0" t="n">
        <f aca="false">L19</f>
        <v>2095.17983457447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21475.5933043884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25142.1580148937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21475.5933043884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6613.32622674428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15627.4256859878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11034.4256859878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52.0246378405835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0.16152350615279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537.260873161576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312.714467015303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56.0320651870091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17180.4746435107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36.5043441813576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119</v>
      </c>
      <c r="B3" s="0" t="s">
        <v>89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Assumptions!C41</f>
        <v>5</v>
      </c>
      <c r="D5" s="4" t="n">
        <f aca="false">Assumptions!D41</f>
        <v>6</v>
      </c>
      <c r="E5" s="4" t="n">
        <f aca="false">Assumptions!E41</f>
        <v>6</v>
      </c>
      <c r="F5" s="4" t="n">
        <f aca="false">Assumptions!F41</f>
        <v>5.5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12700</v>
      </c>
      <c r="C6" s="0" t="n">
        <f aca="false">B6*(1+C5/100)</f>
        <v>13335</v>
      </c>
      <c r="D6" s="0" t="n">
        <f aca="false">C6*(1+D5/100)</f>
        <v>14135.1</v>
      </c>
      <c r="E6" s="0" t="n">
        <f aca="false">D6*(1+E5/100)</f>
        <v>14983.206</v>
      </c>
      <c r="F6" s="0" t="n">
        <f aca="false">E6*(1+F5/100)</f>
        <v>15807.28233</v>
      </c>
      <c r="G6" s="0" t="n">
        <f aca="false">F6*(1+G5/100)</f>
        <v>16597.6464465</v>
      </c>
      <c r="H6" s="0" t="n">
        <f aca="false">G6*(1+H5/100)</f>
        <v>17344.5405365925</v>
      </c>
      <c r="I6" s="0" t="n">
        <f aca="false">H6*(1+I5/100)</f>
        <v>18038.3221580562</v>
      </c>
      <c r="J6" s="0" t="n">
        <f aca="false">I6*(1+J5/100)</f>
        <v>18669.6634335882</v>
      </c>
      <c r="K6" s="0" t="n">
        <f aca="false">J6*(1+K5/100)</f>
        <v>19229.7533365958</v>
      </c>
      <c r="L6" s="0" t="n">
        <f aca="false">K6*(1+L5/100)</f>
        <v>19806.6459366937</v>
      </c>
    </row>
    <row r="7" customFormat="false" ht="15" hidden="false" customHeight="false" outlineLevel="0" collapsed="false">
      <c r="A7" s="0" t="s">
        <v>105</v>
      </c>
      <c r="C7" s="4" t="n">
        <f aca="false">Assumptions!C42</f>
        <v>17.5</v>
      </c>
      <c r="D7" s="4" t="n">
        <f aca="false">Assumptions!D42</f>
        <v>18.5</v>
      </c>
      <c r="E7" s="4" t="n">
        <f aca="false">Assumptions!E42</f>
        <v>19.5</v>
      </c>
      <c r="F7" s="4" t="n">
        <f aca="false">Assumptions!F42</f>
        <v>20.5</v>
      </c>
      <c r="G7" s="4" t="n">
        <f aca="false">Assumptions!G42</f>
        <v>21.5</v>
      </c>
      <c r="H7" s="4" t="n">
        <f aca="false">Assumptions!H42</f>
        <v>22</v>
      </c>
      <c r="I7" s="4" t="n">
        <f aca="false">Assumptions!I42</f>
        <v>22.3</v>
      </c>
      <c r="J7" s="4" t="n">
        <f aca="false">Assumptions!J42</f>
        <v>22.5</v>
      </c>
      <c r="K7" s="4" t="n">
        <f aca="false">Assumptions!K42</f>
        <v>22.7</v>
      </c>
      <c r="L7" s="4" t="n">
        <f aca="false">Assumptions!L42</f>
        <v>22.8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2333.625</v>
      </c>
      <c r="D8" s="0" t="n">
        <f aca="false">D6*D7/100</f>
        <v>2614.9935</v>
      </c>
      <c r="E8" s="0" t="n">
        <f aca="false">E6*E7/100</f>
        <v>2921.72517</v>
      </c>
      <c r="F8" s="0" t="n">
        <f aca="false">F6*F7/100</f>
        <v>3240.49287765</v>
      </c>
      <c r="G8" s="0" t="n">
        <f aca="false">G6*G7/100</f>
        <v>3568.4939859975</v>
      </c>
      <c r="H8" s="0" t="n">
        <f aca="false">H6*H7/100</f>
        <v>3815.79891805035</v>
      </c>
      <c r="I8" s="0" t="n">
        <f aca="false">I6*I7/100</f>
        <v>4022.54584124653</v>
      </c>
      <c r="J8" s="0" t="n">
        <f aca="false">J6*J7/100</f>
        <v>4200.67427255734</v>
      </c>
      <c r="K8" s="0" t="n">
        <f aca="false">K6*K7/100</f>
        <v>4365.15400740725</v>
      </c>
      <c r="L8" s="0" t="n">
        <f aca="false">L6*L7/100</f>
        <v>4515.91527356616</v>
      </c>
    </row>
    <row r="9" customFormat="false" ht="15" hidden="false" customHeight="false" outlineLevel="0" collapsed="false">
      <c r="A9" s="0" t="s">
        <v>106</v>
      </c>
      <c r="C9" s="4" t="n">
        <f aca="false">Assumptions!C43</f>
        <v>0.7</v>
      </c>
      <c r="D9" s="4" t="n">
        <f aca="false">Assumptions!D43</f>
        <v>0.68</v>
      </c>
      <c r="E9" s="4" t="n">
        <f aca="false">Assumptions!E43</f>
        <v>0.65</v>
      </c>
      <c r="F9" s="4" t="n">
        <f aca="false">Assumptions!F43</f>
        <v>0.62</v>
      </c>
      <c r="G9" s="4" t="n">
        <f aca="false">Assumptions!G43</f>
        <v>0.6</v>
      </c>
      <c r="H9" s="4" t="n">
        <f aca="false">Assumptions!H43</f>
        <v>0.58</v>
      </c>
      <c r="I9" s="4" t="n">
        <f aca="false">Assumptions!I43</f>
        <v>0.56</v>
      </c>
      <c r="J9" s="4" t="n">
        <f aca="false">Assumptions!J43</f>
        <v>0.55</v>
      </c>
      <c r="K9" s="4" t="n">
        <f aca="false">Assumptions!K43</f>
        <v>0.54</v>
      </c>
      <c r="L9" s="4" t="n">
        <f aca="false">Assumptions!L43</f>
        <v>0.53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-93.345</v>
      </c>
      <c r="D10" s="0" t="n">
        <f aca="false">-D6*D9/100</f>
        <v>-96.11868</v>
      </c>
      <c r="E10" s="0" t="n">
        <f aca="false">-E6*E9/100</f>
        <v>-97.390839</v>
      </c>
      <c r="F10" s="0" t="n">
        <f aca="false">-F6*F9/100</f>
        <v>-98.005150446</v>
      </c>
      <c r="G10" s="0" t="n">
        <f aca="false">-G6*G9/100</f>
        <v>-99.585878679</v>
      </c>
      <c r="H10" s="0" t="n">
        <f aca="false">-H6*H9/100</f>
        <v>-100.598335112237</v>
      </c>
      <c r="I10" s="0" t="n">
        <f aca="false">-I6*I9/100</f>
        <v>-101.014604085115</v>
      </c>
      <c r="J10" s="0" t="n">
        <f aca="false">-J6*J9/100</f>
        <v>-102.683148884735</v>
      </c>
      <c r="K10" s="0" t="n">
        <f aca="false">-K6*K9/100</f>
        <v>-103.840668017617</v>
      </c>
      <c r="L10" s="0" t="n">
        <f aca="false">-L6*L9/100</f>
        <v>-104.975223464477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2240.28</v>
      </c>
      <c r="D11" s="0" t="n">
        <f aca="false">D8+D10+D24</f>
        <v>2518.87482</v>
      </c>
      <c r="E11" s="0" t="n">
        <f aca="false">E8+E10+E24</f>
        <v>2824.334331</v>
      </c>
      <c r="F11" s="0" t="n">
        <f aca="false">F8+F10+F24</f>
        <v>3142.487727204</v>
      </c>
      <c r="G11" s="0" t="n">
        <f aca="false">G8+G10+G24</f>
        <v>3468.9081073185</v>
      </c>
      <c r="H11" s="0" t="n">
        <f aca="false">H8+H10+H24</f>
        <v>3715.20058293811</v>
      </c>
      <c r="I11" s="0" t="n">
        <f aca="false">I8+I10+I24</f>
        <v>3921.53123716142</v>
      </c>
      <c r="J11" s="0" t="n">
        <f aca="false">J8+J10+J24</f>
        <v>4097.9911236726</v>
      </c>
      <c r="K11" s="0" t="n">
        <f aca="false">K8+K10+K24</f>
        <v>4261.31333938963</v>
      </c>
      <c r="L11" s="0" t="n">
        <f aca="false">L8+L10+L24</f>
        <v>4410.94005010169</v>
      </c>
    </row>
    <row r="12" customFormat="false" ht="15" hidden="false" customHeight="false" outlineLevel="0" collapsed="false">
      <c r="A12" s="0" t="s">
        <v>123</v>
      </c>
      <c r="C12" s="4" t="n">
        <f aca="false">-C6*Assumptions!C45/100</f>
        <v>-626.745</v>
      </c>
      <c r="D12" s="4" t="n">
        <f aca="false">-D6*Assumptions!D45/100</f>
        <v>-650.2146</v>
      </c>
      <c r="E12" s="4" t="n">
        <f aca="false">-E6*Assumptions!E45/100</f>
        <v>-674.24427</v>
      </c>
      <c r="F12" s="4" t="n">
        <f aca="false">-F6*Assumptions!F45/100</f>
        <v>-695.52042252</v>
      </c>
      <c r="G12" s="4" t="n">
        <f aca="false">-G6*Assumptions!G45/100</f>
        <v>-713.6987971995</v>
      </c>
      <c r="H12" s="4" t="n">
        <f aca="false">-H6*Assumptions!H45/100</f>
        <v>-728.470702536885</v>
      </c>
      <c r="I12" s="4" t="n">
        <f aca="false">-I6*Assumptions!I45/100</f>
        <v>-739.571208480304</v>
      </c>
      <c r="J12" s="4" t="n">
        <f aca="false">-J6*Assumptions!J45/100</f>
        <v>-746.786537343527</v>
      </c>
      <c r="K12" s="4" t="n">
        <f aca="false">-K6*Assumptions!K45/100</f>
        <v>-749.960380127237</v>
      </c>
      <c r="L12" s="4" t="n">
        <f aca="false">-L6*Assumptions!L45/100</f>
        <v>-752.65254559436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1613.535</v>
      </c>
      <c r="D13" s="0" t="n">
        <f aca="false">D11+D12</f>
        <v>1868.66022</v>
      </c>
      <c r="E13" s="0" t="n">
        <f aca="false">E11+E12</f>
        <v>2150.090061</v>
      </c>
      <c r="F13" s="0" t="n">
        <f aca="false">F11+F12</f>
        <v>2446.967304684</v>
      </c>
      <c r="G13" s="0" t="n">
        <f aca="false">G11+G12</f>
        <v>2755.209310119</v>
      </c>
      <c r="H13" s="0" t="n">
        <f aca="false">H11+H12</f>
        <v>2986.72988040123</v>
      </c>
      <c r="I13" s="0" t="n">
        <f aca="false">I11+I12</f>
        <v>3181.96002868111</v>
      </c>
      <c r="J13" s="0" t="n">
        <f aca="false">J11+J12</f>
        <v>3351.20458632908</v>
      </c>
      <c r="K13" s="0" t="n">
        <f aca="false">K11+K12</f>
        <v>3511.3529592624</v>
      </c>
      <c r="L13" s="0" t="n">
        <f aca="false">L11+L12</f>
        <v>3658.28750450733</v>
      </c>
    </row>
    <row r="14" customFormat="false" ht="15" hidden="false" customHeight="false" outlineLevel="0" collapsed="false">
      <c r="A14" s="0" t="s">
        <v>110</v>
      </c>
      <c r="C14" s="4" t="n">
        <f aca="false">Assumptions!C47</f>
        <v>20</v>
      </c>
      <c r="D14" s="4" t="n">
        <f aca="false">Assumptions!D47</f>
        <v>21</v>
      </c>
      <c r="E14" s="4" t="n">
        <f aca="false">Assumptions!E47</f>
        <v>22</v>
      </c>
      <c r="F14" s="4" t="n">
        <f aca="false">Assumptions!F47</f>
        <v>22.5</v>
      </c>
      <c r="G14" s="4" t="n">
        <f aca="false">Assumptions!G47</f>
        <v>23</v>
      </c>
      <c r="H14" s="4" t="n">
        <f aca="false">Assumptions!H47</f>
        <v>23.5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1290.828</v>
      </c>
      <c r="D15" s="0" t="n">
        <f aca="false">D13-MAX(0,D13)*D14/100</f>
        <v>1476.2415738</v>
      </c>
      <c r="E15" s="0" t="n">
        <f aca="false">E13-MAX(0,E13)*E14/100</f>
        <v>1677.07024758</v>
      </c>
      <c r="F15" s="0" t="n">
        <f aca="false">F13-MAX(0,F13)*F14/100</f>
        <v>1896.3996611301</v>
      </c>
      <c r="G15" s="0" t="n">
        <f aca="false">G13-MAX(0,G13)*G14/100</f>
        <v>2121.51116879163</v>
      </c>
      <c r="H15" s="0" t="n">
        <f aca="false">H13-MAX(0,H13)*H14/100</f>
        <v>2284.84835850694</v>
      </c>
      <c r="I15" s="0" t="n">
        <f aca="false">I13-MAX(0,I13)*I14/100</f>
        <v>2418.28962179765</v>
      </c>
      <c r="J15" s="0" t="n">
        <f aca="false">J13-MAX(0,J13)*J14/100</f>
        <v>2546.9154856101</v>
      </c>
      <c r="K15" s="0" t="n">
        <f aca="false">K13-MAX(0,K13)*K14/100</f>
        <v>2668.62824903942</v>
      </c>
      <c r="L15" s="0" t="n">
        <f aca="false">L13-MAX(0,L13)*L14/100</f>
        <v>2780.29850342557</v>
      </c>
    </row>
    <row r="16" customFormat="false" ht="15" hidden="false" customHeight="false" outlineLevel="0" collapsed="false">
      <c r="A16" s="0" t="s">
        <v>126</v>
      </c>
      <c r="C16" s="0" t="n">
        <f aca="false">-C12</f>
        <v>626.745</v>
      </c>
      <c r="D16" s="0" t="n">
        <f aca="false">-D12</f>
        <v>650.2146</v>
      </c>
      <c r="E16" s="0" t="n">
        <f aca="false">-E12</f>
        <v>674.24427</v>
      </c>
      <c r="F16" s="0" t="n">
        <f aca="false">-F12</f>
        <v>695.52042252</v>
      </c>
      <c r="G16" s="0" t="n">
        <f aca="false">-G12</f>
        <v>713.6987971995</v>
      </c>
      <c r="H16" s="0" t="n">
        <f aca="false">-H12</f>
        <v>728.470702536885</v>
      </c>
      <c r="I16" s="0" t="n">
        <f aca="false">-I12</f>
        <v>739.571208480304</v>
      </c>
      <c r="J16" s="0" t="n">
        <f aca="false">-J12</f>
        <v>746.786537343527</v>
      </c>
      <c r="K16" s="0" t="n">
        <f aca="false">-K12</f>
        <v>749.960380127237</v>
      </c>
      <c r="L16" s="0" t="n">
        <f aca="false">-L12</f>
        <v>752.65254559436</v>
      </c>
    </row>
    <row r="17" customFormat="false" ht="15" hidden="false" customHeight="false" outlineLevel="0" collapsed="false">
      <c r="A17" s="0" t="s">
        <v>127</v>
      </c>
      <c r="C17" s="4" t="n">
        <f aca="false">-C6*Assumptions!C46/100</f>
        <v>-520.065</v>
      </c>
      <c r="D17" s="4" t="n">
        <f aca="false">-D6*Assumptions!D46/100</f>
        <v>-537.1338</v>
      </c>
      <c r="E17" s="4" t="n">
        <f aca="false">-E6*Assumptions!E46/100</f>
        <v>-554.378622</v>
      </c>
      <c r="F17" s="4" t="n">
        <f aca="false">-F6*Assumptions!F46/100</f>
        <v>-569.06216388</v>
      </c>
      <c r="G17" s="4" t="n">
        <f aca="false">-G6*Assumptions!G46/100</f>
        <v>-580.9176256275</v>
      </c>
      <c r="H17" s="4" t="n">
        <f aca="false">-H6*Assumptions!H46/100</f>
        <v>-589.714378244145</v>
      </c>
      <c r="I17" s="4" t="n">
        <f aca="false">-I6*Assumptions!I46/100</f>
        <v>-595.264631215855</v>
      </c>
      <c r="J17" s="4" t="n">
        <f aca="false">-J6*Assumptions!J46/100</f>
        <v>-597.429229874821</v>
      </c>
      <c r="K17" s="4" t="n">
        <f aca="false">-K6*Assumptions!K46/100</f>
        <v>-596.12235343447</v>
      </c>
      <c r="L17" s="4" t="n">
        <f aca="false">-L6*Assumptions!L46/100</f>
        <v>-594.199378100811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(C6-B6)*Assumptions!$B$51/100</f>
        <v>-38.1</v>
      </c>
      <c r="D18" s="4" t="n">
        <f aca="false">(D6-C6)*Assumptions!$B$51/100</f>
        <v>-48.006</v>
      </c>
      <c r="E18" s="4" t="n">
        <f aca="false">(E6-D6)*Assumptions!$B$51/100</f>
        <v>-50.8863600000001</v>
      </c>
      <c r="F18" s="4" t="n">
        <f aca="false">(F6-E6)*Assumptions!$B$51/100</f>
        <v>-49.4445798</v>
      </c>
      <c r="G18" s="4" t="n">
        <f aca="false">(G6-F6)*Assumptions!$B$51/100</f>
        <v>-47.4218469900001</v>
      </c>
      <c r="H18" s="4" t="n">
        <f aca="false">(H6-G6)*Assumptions!$B$51/100</f>
        <v>-44.8136454055498</v>
      </c>
      <c r="I18" s="4" t="n">
        <f aca="false">(I6-H6)*Assumptions!$B$51/100</f>
        <v>-41.6268972878221</v>
      </c>
      <c r="J18" s="4" t="n">
        <f aca="false">(J6-I6)*Assumptions!$B$51/100</f>
        <v>-37.880476531918</v>
      </c>
      <c r="K18" s="4" t="n">
        <f aca="false">(K6-J6)*Assumptions!$B$51/100</f>
        <v>-33.6053941804588</v>
      </c>
      <c r="L18" s="4" t="n">
        <f aca="false">(L6-K6)*Assumptions!$B$51/100</f>
        <v>-34.6135560058725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1359.408</v>
      </c>
      <c r="D19" s="0" t="n">
        <f aca="false">D15+D16+D17+D18</f>
        <v>1541.3163738</v>
      </c>
      <c r="E19" s="0" t="n">
        <f aca="false">E15+E16+E17+E18</f>
        <v>1746.04953558</v>
      </c>
      <c r="F19" s="0" t="n">
        <f aca="false">F15+F16+F17+F18</f>
        <v>1973.4133399701</v>
      </c>
      <c r="G19" s="0" t="n">
        <f aca="false">G15+G16+G17+G18</f>
        <v>2206.87049337363</v>
      </c>
      <c r="H19" s="0" t="n">
        <f aca="false">H15+H16+H17+H18</f>
        <v>2378.79103739413</v>
      </c>
      <c r="I19" s="0" t="n">
        <f aca="false">I15+I16+I17+I18</f>
        <v>2520.96930177427</v>
      </c>
      <c r="J19" s="0" t="n">
        <f aca="false">J15+J16+J17+J18</f>
        <v>2658.39231654689</v>
      </c>
      <c r="K19" s="0" t="n">
        <f aca="false">K15+K16+K17+K18</f>
        <v>2788.86088155173</v>
      </c>
      <c r="L19" s="0" t="n">
        <f aca="false">L15+L16+L17+L18</f>
        <v>2904.13811491324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1224.69189189189</v>
      </c>
      <c r="D21" s="0" t="n">
        <f aca="false">D19*D20</f>
        <v>1250.96694570246</v>
      </c>
      <c r="E21" s="0" t="n">
        <f aca="false">E19*E20</f>
        <v>1276.69637174062</v>
      </c>
      <c r="F21" s="0" t="n">
        <f aca="false">F19*F20</f>
        <v>1299.94849182924</v>
      </c>
      <c r="G21" s="0" t="n">
        <f aca="false">G19*G20</f>
        <v>1309.67022514583</v>
      </c>
      <c r="H21" s="0" t="n">
        <f aca="false">H19*H20</f>
        <v>1271.79882911292</v>
      </c>
      <c r="I21" s="0" t="n">
        <f aca="false">I19*I20</f>
        <v>1214.24606779709</v>
      </c>
      <c r="J21" s="0" t="n">
        <f aca="false">J19*J20</f>
        <v>1153.54686370477</v>
      </c>
      <c r="K21" s="0" t="n">
        <f aca="false">K19*K20</f>
        <v>1090.23480269761</v>
      </c>
      <c r="L21" s="0" t="n">
        <f aca="false">L19*L20</f>
        <v>1022.79236828978</v>
      </c>
    </row>
    <row r="23" customFormat="false" ht="15" hidden="false" customHeight="false" outlineLevel="0" collapsed="false">
      <c r="A23" s="0" t="s">
        <v>107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Assumptions!$B$48</f>
        <v>11</v>
      </c>
    </row>
    <row r="28" customFormat="false" ht="15" hidden="false" customHeight="false" outlineLevel="0" collapsed="false">
      <c r="A28" s="0" t="s">
        <v>112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113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12114.5928579122</v>
      </c>
    </row>
    <row r="31" customFormat="false" ht="15" hidden="false" customHeight="false" outlineLevel="0" collapsed="false">
      <c r="A31" s="0" t="s">
        <v>135</v>
      </c>
      <c r="B31" s="0" t="n">
        <f aca="false">L19</f>
        <v>2904.13811491324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37390.778229508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40657.9336087854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37390.778229508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13168.451741731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25283.0445996432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20690.0445996432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97.548536537686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1.1779088309374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581.536398282668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475.9970461359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102.534549948429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24927.1854863387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54.9058857495643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2" t="s">
        <v>152</v>
      </c>
      <c r="B3" s="2" t="s">
        <v>153</v>
      </c>
      <c r="C3" s="2" t="s">
        <v>143</v>
      </c>
      <c r="D3" s="2" t="s">
        <v>154</v>
      </c>
      <c r="E3" s="2" t="s">
        <v>146</v>
      </c>
      <c r="F3" s="2" t="s">
        <v>155</v>
      </c>
    </row>
    <row r="4" customFormat="false" ht="15" hidden="false" customHeight="false" outlineLevel="0" collapsed="false">
      <c r="A4" s="0" t="s">
        <v>156</v>
      </c>
      <c r="B4" s="4" t="n">
        <f aca="false">DCF_Bear!$B$38</f>
        <v>26.1023395736399</v>
      </c>
      <c r="C4" s="0" t="n">
        <f aca="false">B4/Assumptions!$B$2-1</f>
        <v>-0.41722840871534</v>
      </c>
      <c r="D4" s="4" t="n">
        <f aca="false">Assumptions!$B$24</f>
        <v>0.3</v>
      </c>
      <c r="E4" s="4" t="n">
        <f aca="false">DCF_Bear!$B$43</f>
        <v>29.5424231820216</v>
      </c>
      <c r="F4" s="4" t="n">
        <f aca="false">DCF_Bear!$B$47</f>
        <v>20.5217543754871</v>
      </c>
    </row>
    <row r="5" customFormat="false" ht="15" hidden="false" customHeight="false" outlineLevel="0" collapsed="false">
      <c r="A5" s="0" t="s">
        <v>157</v>
      </c>
      <c r="B5" s="4" t="n">
        <f aca="false">DCF_Base!$B$38</f>
        <v>52.0246378405835</v>
      </c>
      <c r="C5" s="0" t="n">
        <f aca="false">B5/Assumptions!$B$2-1</f>
        <v>0.16152350615279</v>
      </c>
      <c r="D5" s="4" t="n">
        <f aca="false">Assumptions!$B$38</f>
        <v>0.45</v>
      </c>
      <c r="E5" s="4" t="n">
        <f aca="false">DCF_Base!$B$43</f>
        <v>56.0320651870091</v>
      </c>
      <c r="F5" s="4" t="n">
        <f aca="false">DCF_Base!$B$47</f>
        <v>36.5043441813576</v>
      </c>
    </row>
    <row r="6" customFormat="false" ht="15" hidden="false" customHeight="false" outlineLevel="0" collapsed="false">
      <c r="A6" s="0" t="s">
        <v>158</v>
      </c>
      <c r="B6" s="4" t="n">
        <f aca="false">DCF_Bull!$B$38</f>
        <v>97.548536537686</v>
      </c>
      <c r="C6" s="0" t="n">
        <f aca="false">B6/Assumptions!$B$2-1</f>
        <v>1.1779088309374</v>
      </c>
      <c r="D6" s="4" t="n">
        <f aca="false">Assumptions!$B$52</f>
        <v>0.25</v>
      </c>
      <c r="E6" s="4" t="n">
        <f aca="false">DCF_Bull!$B$43</f>
        <v>102.534549948429</v>
      </c>
      <c r="F6" s="4" t="n">
        <f aca="false">DCF_Bull!$B$47</f>
        <v>54.9058857495643</v>
      </c>
    </row>
    <row r="8" customFormat="false" ht="15" hidden="false" customHeight="false" outlineLevel="0" collapsed="false">
      <c r="A8" s="0" t="s">
        <v>159</v>
      </c>
      <c r="B8" s="0" t="n">
        <f aca="false">SUMPRODUCT(B4:B6,D4:D6)</f>
        <v>55.628923034776</v>
      </c>
    </row>
    <row r="9" customFormat="false" ht="15" hidden="false" customHeight="false" outlineLevel="0" collapsed="false">
      <c r="A9" s="0" t="s">
        <v>160</v>
      </c>
      <c r="B9" s="0" t="n">
        <f aca="false">SUMPRODUCT(E4:E6,D4:D6)</f>
        <v>59.7107937758678</v>
      </c>
    </row>
    <row r="10" customFormat="false" ht="15" hidden="false" customHeight="false" outlineLevel="0" collapsed="false">
      <c r="A10" s="0" t="s">
        <v>161</v>
      </c>
      <c r="B10" s="0" t="n">
        <f aca="false">1-Assumptions!$B$2/B8</f>
        <v>0.194843301711956</v>
      </c>
    </row>
    <row r="11" customFormat="false" ht="15" hidden="false" customHeight="false" outlineLevel="0" collapsed="false">
      <c r="A11" s="0" t="s">
        <v>162</v>
      </c>
      <c r="B11" s="0" t="n">
        <f aca="false">IF(ABS(B9-B8)&gt;0.01*ABS(B8),(Assumptions!$B$2-B8)/(B9-B8)*100,"n/a")</f>
        <v>-265.53812509695</v>
      </c>
    </row>
    <row r="12" customFormat="false" ht="15" hidden="false" customHeight="false" outlineLevel="0" collapsed="false">
      <c r="A12" s="0" t="s">
        <v>163</v>
      </c>
      <c r="B12" s="0" t="n">
        <f aca="false">SUMPRODUCT(F4:F6,D4:D6)</f>
        <v>36.3099526316481</v>
      </c>
    </row>
    <row r="14" customFormat="false" ht="15" hidden="false" customHeight="false" outlineLevel="0" collapsed="false">
      <c r="A14" s="2" t="s">
        <v>164</v>
      </c>
      <c r="C14" s="0" t="s">
        <v>165</v>
      </c>
    </row>
    <row r="15" customFormat="false" ht="15" hidden="false" customHeight="false" outlineLevel="0" collapsed="false">
      <c r="A15" s="0" t="s">
        <v>166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78.4121168649079</v>
      </c>
      <c r="C15" s="3" t="n">
        <v>9</v>
      </c>
    </row>
    <row r="16" customFormat="false" ht="15" hidden="false" customHeight="false" outlineLevel="0" collapsed="false">
      <c r="A16" s="0" t="s">
        <v>167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71.7106459886398</v>
      </c>
      <c r="C16" s="3" t="n">
        <v>10</v>
      </c>
    </row>
    <row r="17" customFormat="false" ht="15" hidden="false" customHeight="false" outlineLevel="0" collapsed="false">
      <c r="A17" s="0" t="s">
        <v>168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65.5832660936187</v>
      </c>
      <c r="C17" s="3" t="n">
        <v>11</v>
      </c>
    </row>
    <row r="18" customFormat="false" ht="15" hidden="false" customHeight="false" outlineLevel="0" collapsed="false">
      <c r="A18" s="0" t="s">
        <v>169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56.124002318133</v>
      </c>
      <c r="C18" s="3" t="n">
        <v>12</v>
      </c>
    </row>
    <row r="19" customFormat="false" ht="15" hidden="false" customHeight="false" outlineLevel="0" collapsed="false">
      <c r="A19" s="0" t="s">
        <v>170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52.0246378405835</v>
      </c>
      <c r="C19" s="3" t="n">
        <v>12.5</v>
      </c>
    </row>
    <row r="20" customFormat="false" ht="15" hidden="false" customHeight="false" outlineLevel="0" collapsed="false">
      <c r="A20" s="0" t="s">
        <v>171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36.5043441813576</v>
      </c>
      <c r="C20" s="3" t="n">
        <v>15</v>
      </c>
    </row>
    <row r="22" customFormat="false" ht="15" hidden="false" customHeight="false" outlineLevel="0" collapsed="false">
      <c r="A22" s="2" t="s">
        <v>172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10.5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65.9502083814327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68.5788338048395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68.5788338048395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68.5788338048395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68.5788338048395</v>
      </c>
    </row>
    <row r="25" customFormat="false" ht="15" hidden="false" customHeight="false" outlineLevel="0" collapsed="false">
      <c r="A25" s="3" t="n">
        <v>11.5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56.5639275989052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58.515808117952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60.6845642502262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62.7171652889944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62.7171652889944</v>
      </c>
    </row>
    <row r="26" customFormat="false" ht="15" hidden="false" customHeight="false" outlineLevel="0" collapsed="false">
      <c r="A26" s="3" t="n">
        <v>12.5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48.9135286787597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50.3950092320091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52.0246378405835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53.825806302692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55.8271045939237</v>
      </c>
    </row>
    <row r="27" customFormat="false" ht="15" hidden="false" customHeight="false" outlineLevel="0" collapsed="false">
      <c r="A27" s="3" t="n">
        <v>13.5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42.5632412875071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43.7082500260183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44.9573504680305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46.325412856901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47.8302814846585</v>
      </c>
    </row>
    <row r="28" customFormat="false" ht="15" hidden="false" customHeight="false" outlineLevel="0" collapsed="false">
      <c r="A28" s="3" t="n">
        <v>14.5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37.2115111015062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38.1100727859674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39.0835146108005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40.1416035508363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41.2958823945119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2026-09-25T22:43:58Z</dcterms:created>
  <dc:creator>openpyxl</dc:creator>
  <dc:description/>
  <dc:language>en-NZ</dc:language>
  <cp:lastModifiedBy/>
  <dcterms:modified xsi:type="dcterms:W3CDTF">2026-09-25T22:43:58Z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