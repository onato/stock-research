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<sst xmlns="http://schemas.openxmlformats.org/spreadsheetml/2006/main" count="389" uniqueCount="174">
  <si>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</si>
  <si>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STLD</t>
  </si>
  <si>
    <t xml:space="preserve">Company</t>
  </si>
  <si>
    <t xml:space="preserve">Steel Dynamics,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</si>
  <si>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</si>
  <si>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</si>
  <si>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</si>
  <si>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</si>
  <si>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</si>
  <si>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</si>
  <si>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</si>
  <si>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</si>
  <si>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</si>
  <si>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</si>
  <si>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</si>
  <si>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</si>
  <si>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</si>
  <si>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</si>
  <si>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</si>
  <si>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</si>
  <si>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</si>
  <si>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2026-10-02T08:59:57Z</t>
  </si>
  <si>
    <t xml:space="preserve">Drivers file</t>
  </si>
  <si>
    <t xml:space="preserve">STLD_Drivers.json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</si>
  <si>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</si>
  <si>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</si>
  <si>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</si>
  <si>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Steel Dynamics is valued on a mid-cycle owner-FCF basis: the current guided up-leg is modelled explicitly for FY2026-27 but never capitalised, and the terminal year carries the decade-average 16% EBITDA margin with capex at D&amp;A. Cyclicality is priced in the scenario flows and a beta-built 10% WACC, once. The terminal value is capped at 12x owner FCF (~7x EBITDA), a normal US steel multiple.
key_risks_to_valuation: Cycle position: today's price embeds the tariff-supported 2026 spread; a single year of FY2024-25 margins on the current revenue base removes ~$1.5B of EBITDA; Section 232 sunset (December 2027) is a binary policy input the model treats as a gradual normalisation; Columbus aluminum ramp: the base case assumes it reaches profitability by FY2028; slippage keeps a loss-making segment inside a 16% consolidated margin; Capex: management's $250-300M sustaining figure is well below D&amp;A (~$700M); the model rises to D&amp;A by the terminal year, and holding to management's figure would add materially to value; Working capital: price-driven revenue swings move inventory and receivables by ~20% of the revenue change, so the FY2026 up-leg absorbs ~$1B of cash</t>
  </si>
  <si>
    <t xml:space="preserve">Data sources</t>
  </si>
  <si>
    <t xml:space="preserve">price: Yahoo Finance chart API at inputs.price_as_of; 52-week range 140.87-288.74
financials: SEC XBRL (10-K FY2007-FY2025, 10-Q through Q2 2026) via research/STLD/Reports/STLD_Metrics.csv and STLD.duckdb core_metrics/kpis (D&amp;A, cash taxes, buybacks, interest income)
qualitative: research/STLD/Reports/STLD_Analysis.json (2026-10-02): Q2 2026 results, Q3 2026 EPS guidance, capex framework, Section 232 changes, Columbus aluminum ramp</t>
  </si>
  <si>
    <t xml:space="preserve">Scenario narrative: bear</t>
  </si>
  <si>
    <t xml:space="preserve">The axes break against it: tariff support is withdrawn at the 2027 sunset and imports return, the wave of new domestic EAF flat-rolled capacity drives a price war, and a US industrial slowdown hits auto, construction and fabrication at once. Columbus stays loss-making longer against entrenched rollers (the 2026 satellite-slab relocation and $16M impairment are the warning). Mid-cycle margin 13%, two years of revenue decline, higher capex intensity relative to a shrunken revenue base.</t>
  </si>
  <si>
    <t xml:space="preserve">Scenario narrative: base</t>
  </si>
  <si>
    <t xml:space="preserve">Mid-cycle. FY2026 is the guided up-leg (record shipments, Q3 EPS guide $5.34-5.38, tariff-supported spreads) and is not capitalised: revenue eases ~4% in FY2028 as steel prices normalise, while Columbus aluminum moves from ramp losses to profit and the fabrication backlog (+45% YoY into Q1 2027) carries FY2027. The long-run EBITDA margin of 16% equals the FY2016-25 average, which already includes the 2021-22 super-cycle and the 2019-20 and 2024-25 troughs. Capex follows management's step-down ($500-600M FY2027, then sustaining) before rising to D&amp;A as the asset base ages.</t>
  </si>
  <si>
    <t xml:space="preserve">Scenario narrative: bull</t>
  </si>
  <si>
    <t xml:space="preserve">The axes break STLD's way: Section 232 protection outlives its December 2027 sunset, US reshoring and data-centre construction keep domestic steel demand and spreads above the last decade's average, and the Columbus aluminum mill (650kt, recycled-content can stock and auto sheet) proves the steel playbook transfers, adding a ~$650-700M EBITDA leg. Margin 18% through the cycle, growth 3% long run.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</si>
  <si>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</si>
  <si>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</si>
  <si>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</si>
  <si>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</si>
  <si>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</si>
  <si>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</si>
  <si>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</si>
  <si>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</si>
  <si>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</si>
  <si>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</si>
  <si>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</si>
  <si>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</si>
  <si>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</si>
  <si>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</si>
  <si>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</si>
  <si>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</si>
  <si>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</si>
  <si>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</si>
  <si>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</si>
  <si>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</si>
  <si>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</si>
  <si>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</si>
  <si>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</si>
  <si>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</si>
  <si>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</si>
  <si>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</si>
  <si>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</si>
  <si>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</si>
  <si>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</si>
  <si>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</si>
  <si>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</si>
  <si>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</si>
  <si>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</si>
  <si>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</si>
  <si>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</si>
  <si>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</si>
  <si>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</si>
  <si>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</si>
  <si>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</si>
  <si>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</si>
  <si>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</si>
  <si>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</si>
  <si>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</si>
  <si>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</si>
  <si>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</si>
  <si>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</si>
  <si>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</si>
  <si>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</si>
  <si>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</si>
  <si>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</si>
  <si>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</si>
  <si>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</si>
  <si>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</si>
  <si>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</si>
  <si>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</si>
  <si>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</si>
  <si>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</si>
  <si>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</si>
  <si>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</si>
  <si>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</si>
  <si>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</si>
  <si>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</si>
  <si>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</si>
  <si>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</si>
  <si>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</si>
  <si>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</si>
  <si>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</si>
  <si>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</si>
  <si>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</si>
  <si>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</si>
  <si>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</si>
  <si>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</si>
  <si>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</si>
  <si>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</si>
  <si>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</si>
  <si>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</si>
  <si>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</si>
  <si>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</si>
  <si>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</si>
  <si>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</si>
  <si>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</si>
  <si>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</si>
  <si>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</si>
  <si>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</si>
  <si>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STLD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</si>
  <si>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</si>
  <si>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</si>
  <si>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</si>
  <si>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</si>
  <si>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</si>
  <si>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</si>
  <si>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</si>
  <si>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</si>
  <si>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</si>
  <si>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</si>
  <si>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</si>
  <si>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</si>
  <si>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</si>
  <si>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</si>
  <si>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</si>
  <si>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</si>
  <si>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</si>
  <si>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</si>
  <si>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</si>
  <si>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</si>
  <si>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</si>
  <si>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</si>
  <si>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</si>
  <si>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</si>
  <si>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</si>
  <si>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</si>
  <si>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</si>
  <si>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</si>
  <si>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</si>
  <si>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</si>
  <si>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STLD owner-FCF component DCF: base case (millions, USD)</t>
  </si>
  <si>
    <t xml:space="preserve">STLD owner-FCF component DCF: bull case (millions, USD)</t>
  </si>
  <si>
    <t xml:space="preserve">STLD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</si>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</sst>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226.17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1232.532</v>
      </c>
      <c r="S2" s="0" t="n">
        <v>29.373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4384.549</v>
      </c>
      <c r="D3" s="0" t="n">
        <v>915.694</v>
      </c>
      <c r="E3" s="0" t="n">
        <v>20.8845653224539</v>
      </c>
      <c r="F3" s="0" t="n">
        <v>690.745</v>
      </c>
      <c r="G3" s="0" t="n">
        <v>15.754071855509</v>
      </c>
      <c r="H3" s="0" t="n">
        <v>828.881</v>
      </c>
      <c r="I3" s="0" t="n">
        <v>394.566</v>
      </c>
      <c r="J3" s="0" t="n">
        <v>8.99900993237845</v>
      </c>
      <c r="K3" s="0" t="n">
        <v>2.12</v>
      </c>
      <c r="L3" s="0" t="n">
        <v>418.203</v>
      </c>
      <c r="M3" s="0" t="n">
        <v>395.198</v>
      </c>
      <c r="N3" s="0" t="n">
        <v>23.005</v>
      </c>
      <c r="O3" s="0" t="n">
        <v>1540.234</v>
      </c>
      <c r="S3" s="0" t="n">
        <v>28.486</v>
      </c>
      <c r="T3" s="0" t="n">
        <v>196.805</v>
      </c>
      <c r="U3" s="0" t="n">
        <v>8.073</v>
      </c>
      <c r="V3" s="0" t="n">
        <v>0.3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8080.521</v>
      </c>
      <c r="D4" s="0" t="n">
        <v>1231.259</v>
      </c>
      <c r="E4" s="0" t="n">
        <v>15.2373714516675</v>
      </c>
      <c r="F4" s="0" t="n">
        <v>846.368</v>
      </c>
      <c r="G4" s="0" t="n">
        <v>10.474176108199</v>
      </c>
      <c r="H4" s="0" t="n">
        <v>1055.12</v>
      </c>
      <c r="I4" s="0" t="n">
        <v>463.386</v>
      </c>
      <c r="J4" s="0" t="n">
        <v>5.7346054790279</v>
      </c>
      <c r="K4" s="0" t="n">
        <v>2.45</v>
      </c>
      <c r="L4" s="0" t="n">
        <v>770.301</v>
      </c>
      <c r="M4" s="0" t="n">
        <v>412.497</v>
      </c>
      <c r="N4" s="0" t="n">
        <v>357.804</v>
      </c>
      <c r="O4" s="0" t="n">
        <v>1632.313</v>
      </c>
      <c r="P4" s="0" t="n">
        <v>5253.577</v>
      </c>
      <c r="R4" s="0" t="n">
        <v>2219.161</v>
      </c>
      <c r="S4" s="0" t="n">
        <v>16.233</v>
      </c>
      <c r="T4" s="0" t="n">
        <v>194.586</v>
      </c>
      <c r="U4" s="0" t="n">
        <v>14.278</v>
      </c>
      <c r="V4" s="0" t="n">
        <v>0.4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3958.806</v>
      </c>
      <c r="D5" s="0" t="n">
        <v>399.076</v>
      </c>
      <c r="E5" s="0" t="n">
        <v>10.0807162563662</v>
      </c>
      <c r="F5" s="0" t="n">
        <v>119.531</v>
      </c>
      <c r="G5" s="0" t="n">
        <v>3.01936998175713</v>
      </c>
      <c r="H5" s="0" t="n">
        <v>340.957</v>
      </c>
      <c r="I5" s="0" t="n">
        <v>-11.019</v>
      </c>
      <c r="J5" s="0" t="n">
        <v>-0.278341499937102</v>
      </c>
      <c r="K5" s="0" t="n">
        <v>-0.04</v>
      </c>
      <c r="L5" s="0" t="n">
        <v>445.556</v>
      </c>
      <c r="M5" s="0" t="n">
        <v>330.052</v>
      </c>
      <c r="N5" s="0" t="n">
        <v>115.504</v>
      </c>
      <c r="O5" s="0" t="n">
        <v>2003.265</v>
      </c>
      <c r="P5" s="0" t="n">
        <v>5129.872</v>
      </c>
      <c r="Q5" s="0" t="n">
        <v>3126.607</v>
      </c>
      <c r="R5" s="0" t="n">
        <v>2054.572</v>
      </c>
      <c r="S5" s="0" t="n">
        <v>9.008</v>
      </c>
      <c r="T5" s="0" t="n">
        <v>215.999801</v>
      </c>
      <c r="U5" s="0" t="n">
        <v>17.589</v>
      </c>
      <c r="V5" s="0" t="n">
        <v>0.325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6300.887</v>
      </c>
      <c r="D6" s="0" t="n">
        <v>675.666</v>
      </c>
      <c r="E6" s="0" t="n">
        <v>10.7233473636331</v>
      </c>
      <c r="F6" s="0" t="n">
        <v>364.753</v>
      </c>
      <c r="G6" s="0" t="n">
        <v>5.78891511623681</v>
      </c>
      <c r="H6" s="0" t="n">
        <v>589.451</v>
      </c>
      <c r="I6" s="0" t="n">
        <v>129.599</v>
      </c>
      <c r="J6" s="0" t="n">
        <v>2.05683739448113</v>
      </c>
      <c r="K6" s="0" t="n">
        <v>0.65</v>
      </c>
      <c r="L6" s="0" t="n">
        <v>169.307</v>
      </c>
      <c r="M6" s="0" t="n">
        <v>133.394</v>
      </c>
      <c r="N6" s="0" t="n">
        <v>35.913</v>
      </c>
      <c r="O6" s="0" t="n">
        <v>2092.87</v>
      </c>
      <c r="P6" s="0" t="n">
        <v>5589.934</v>
      </c>
      <c r="Q6" s="0" t="n">
        <v>3458.804</v>
      </c>
      <c r="R6" s="0" t="n">
        <v>2395.745</v>
      </c>
      <c r="S6" s="0" t="n">
        <v>186.513</v>
      </c>
      <c r="T6" s="0" t="n">
        <v>234.717</v>
      </c>
      <c r="U6" s="0" t="n">
        <v>14.7</v>
      </c>
      <c r="V6" s="0" t="n">
        <v>0.3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7997.5</v>
      </c>
      <c r="D7" s="0" t="n">
        <v>931.518</v>
      </c>
      <c r="E7" s="0" t="n">
        <v>11.6476148796499</v>
      </c>
      <c r="F7" s="0" t="n">
        <v>584.82</v>
      </c>
      <c r="G7" s="0" t="n">
        <v>7.31253516723976</v>
      </c>
      <c r="H7" s="0" t="n">
        <v>807.427</v>
      </c>
      <c r="I7" s="0" t="n">
        <v>265.692</v>
      </c>
      <c r="J7" s="0" t="n">
        <v>3.32218818380744</v>
      </c>
      <c r="K7" s="0" t="n">
        <v>1.27</v>
      </c>
      <c r="M7" s="0" t="n">
        <v>167.007</v>
      </c>
      <c r="O7" s="0" t="n">
        <v>2315.941</v>
      </c>
      <c r="P7" s="0" t="n">
        <v>5979.226</v>
      </c>
      <c r="Q7" s="0" t="n">
        <v>3608.632</v>
      </c>
      <c r="R7" s="0" t="n">
        <v>2824.178</v>
      </c>
      <c r="S7" s="0" t="n">
        <v>390.761</v>
      </c>
      <c r="T7" s="0" t="n">
        <v>235.992</v>
      </c>
      <c r="U7" s="0" t="n">
        <v>17.3</v>
      </c>
      <c r="V7" s="0" t="n">
        <v>0.4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7290.234</v>
      </c>
      <c r="D8" s="0" t="n">
        <v>719.898</v>
      </c>
      <c r="E8" s="0" t="n">
        <v>9.87482706316423</v>
      </c>
      <c r="F8" s="0" t="n">
        <v>391.165</v>
      </c>
      <c r="G8" s="0" t="n">
        <v>5.36560280506771</v>
      </c>
      <c r="H8" s="0" t="n">
        <v>616.381</v>
      </c>
      <c r="I8" s="0" t="n">
        <v>142.281</v>
      </c>
      <c r="J8" s="0" t="n">
        <v>1.95166574900065</v>
      </c>
      <c r="K8" s="0" t="n">
        <v>0.75</v>
      </c>
      <c r="M8" s="0" t="n">
        <v>223.525</v>
      </c>
      <c r="O8" s="0" t="n">
        <v>2377.842</v>
      </c>
      <c r="P8" s="0" t="n">
        <v>5815.416</v>
      </c>
      <c r="Q8" s="0" t="n">
        <v>3338.76</v>
      </c>
      <c r="R8" s="0" t="n">
        <v>2231.868</v>
      </c>
      <c r="S8" s="0" t="n">
        <v>375.917</v>
      </c>
      <c r="T8" s="0" t="n">
        <v>236.624</v>
      </c>
      <c r="U8" s="0" t="n">
        <v>12.5</v>
      </c>
      <c r="V8" s="0" t="n">
        <v>0.4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7372.924</v>
      </c>
      <c r="D9" s="0" t="n">
        <v>719.144</v>
      </c>
      <c r="E9" s="0" t="n">
        <v>9.75385071106118</v>
      </c>
      <c r="F9" s="0" t="n">
        <v>386.525</v>
      </c>
      <c r="G9" s="0" t="n">
        <v>5.24249266641023</v>
      </c>
      <c r="H9" s="0" t="n">
        <v>617.453</v>
      </c>
      <c r="I9" s="0" t="n">
        <v>163.516</v>
      </c>
      <c r="J9" s="0" t="n">
        <v>2.21779039089512</v>
      </c>
      <c r="K9" s="0" t="n">
        <v>0.86</v>
      </c>
      <c r="M9" s="0" t="n">
        <v>186.843</v>
      </c>
      <c r="O9" s="0" t="n">
        <v>2495.855</v>
      </c>
      <c r="P9" s="0" t="n">
        <v>5888.534</v>
      </c>
      <c r="Q9" s="0" t="n">
        <v>3276.165</v>
      </c>
      <c r="R9" s="0" t="n">
        <v>2449.133</v>
      </c>
      <c r="S9" s="0" t="n">
        <v>395.156</v>
      </c>
      <c r="T9" s="0" t="n">
        <v>238.996</v>
      </c>
      <c r="U9" s="0" t="n">
        <v>15.504</v>
      </c>
      <c r="V9" s="0" t="n">
        <v>0.44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8755.952</v>
      </c>
      <c r="D10" s="0" t="n">
        <v>966.211</v>
      </c>
      <c r="E10" s="0" t="n">
        <v>11.0349051707913</v>
      </c>
      <c r="F10" s="0" t="n">
        <v>320.32</v>
      </c>
      <c r="G10" s="0" t="n">
        <v>3.65831151198636</v>
      </c>
      <c r="H10" s="0" t="n">
        <v>583.645</v>
      </c>
      <c r="I10" s="0" t="n">
        <v>91.65</v>
      </c>
      <c r="J10" s="0" t="n">
        <v>1.04671656491493</v>
      </c>
      <c r="K10" s="0" t="n">
        <v>0.68</v>
      </c>
      <c r="M10" s="0" t="n">
        <v>111.785</v>
      </c>
      <c r="O10" s="0" t="n">
        <v>2795.527</v>
      </c>
      <c r="P10" s="0" t="n">
        <v>7233.159</v>
      </c>
      <c r="Q10" s="0" t="n">
        <v>4311.292</v>
      </c>
      <c r="R10" s="0" t="n">
        <v>3028.309</v>
      </c>
      <c r="S10" s="0" t="n">
        <v>361.363</v>
      </c>
      <c r="T10" s="0" t="n">
        <v>242.078</v>
      </c>
      <c r="U10" s="0" t="n">
        <v>22.8</v>
      </c>
      <c r="V10" s="0" t="n">
        <v>0.46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7594.411</v>
      </c>
      <c r="D11" s="0" t="n">
        <v>731.718</v>
      </c>
      <c r="E11" s="0" t="n">
        <v>9.63495391545177</v>
      </c>
      <c r="F11" s="0" t="n">
        <v>-72.784</v>
      </c>
      <c r="G11" s="0" t="n">
        <v>-0.958389004756261</v>
      </c>
      <c r="H11" s="0" t="n">
        <v>221.811</v>
      </c>
      <c r="I11" s="0" t="n">
        <v>-145.17</v>
      </c>
      <c r="J11" s="0" t="n">
        <v>-1.91153731342694</v>
      </c>
      <c r="K11" s="0" t="n">
        <v>-0.54</v>
      </c>
      <c r="M11" s="0" t="n">
        <v>114.501</v>
      </c>
      <c r="O11" s="0" t="n">
        <v>2545.111</v>
      </c>
      <c r="P11" s="0" t="n">
        <v>6202.082</v>
      </c>
      <c r="Q11" s="0" t="n">
        <v>3530.631</v>
      </c>
      <c r="R11" s="0" t="n">
        <v>2611.336</v>
      </c>
      <c r="S11" s="0" t="n">
        <v>727.032</v>
      </c>
      <c r="T11" s="0" t="n">
        <v>243.089514</v>
      </c>
      <c r="U11" s="0" t="n">
        <v>27.1</v>
      </c>
      <c r="V11" s="0" t="n">
        <v>0.55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7607.18</v>
      </c>
      <c r="C12" s="0" t="n">
        <v>6442.245</v>
      </c>
      <c r="D12" s="0" t="n">
        <v>1334.864</v>
      </c>
      <c r="E12" s="0" t="n">
        <v>17.5474223036658</v>
      </c>
      <c r="F12" s="0" t="n">
        <v>727.966</v>
      </c>
      <c r="G12" s="0" t="n">
        <v>9.56945937916547</v>
      </c>
      <c r="H12" s="0" t="n">
        <v>1024.075</v>
      </c>
      <c r="I12" s="0" t="n">
        <v>360.006</v>
      </c>
      <c r="J12" s="0" t="n">
        <v>4.73245013263785</v>
      </c>
      <c r="K12" s="0" t="n">
        <v>1.57</v>
      </c>
      <c r="L12" s="0" t="n">
        <v>852.76</v>
      </c>
      <c r="M12" s="0" t="n">
        <v>198.16</v>
      </c>
      <c r="N12" s="0" t="n">
        <v>654.6</v>
      </c>
      <c r="O12" s="0" t="n">
        <v>2777.459</v>
      </c>
      <c r="P12" s="0" t="n">
        <v>6423.732</v>
      </c>
      <c r="Q12" s="0" t="n">
        <v>3535.033</v>
      </c>
      <c r="R12" s="0" t="n">
        <v>2360.458</v>
      </c>
      <c r="S12" s="0" t="n">
        <v>841.483</v>
      </c>
      <c r="T12" s="0" t="n">
        <v>245.298</v>
      </c>
      <c r="U12" s="0" t="n">
        <v>31.656</v>
      </c>
      <c r="V12" s="0" t="n">
        <v>0.56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9364.213</v>
      </c>
      <c r="C13" s="0" t="n">
        <v>7956.783</v>
      </c>
      <c r="D13" s="0" t="n">
        <v>1582.014</v>
      </c>
      <c r="E13" s="0" t="n">
        <v>16.8942547547776</v>
      </c>
      <c r="F13" s="0" t="n">
        <v>1066.881</v>
      </c>
      <c r="G13" s="0" t="n">
        <v>11.3931731369203</v>
      </c>
      <c r="H13" s="0" t="n">
        <v>1365.88</v>
      </c>
      <c r="I13" s="0" t="n">
        <v>805.796</v>
      </c>
      <c r="J13" s="0" t="n">
        <v>8.60505842829504</v>
      </c>
      <c r="K13" s="0" t="n">
        <v>3.38</v>
      </c>
      <c r="L13" s="0" t="n">
        <v>739.42</v>
      </c>
      <c r="M13" s="0" t="n">
        <v>164.935</v>
      </c>
      <c r="N13" s="0" t="n">
        <v>574.485</v>
      </c>
      <c r="O13" s="0" t="n">
        <v>3195.068</v>
      </c>
      <c r="P13" s="0" t="n">
        <v>6855.732</v>
      </c>
      <c r="Q13" s="0" t="n">
        <v>3549.424</v>
      </c>
      <c r="R13" s="0" t="n">
        <v>2410.735</v>
      </c>
      <c r="S13" s="0" t="n">
        <v>1028.649</v>
      </c>
      <c r="T13" s="0" t="n">
        <v>241.781</v>
      </c>
      <c r="U13" s="0" t="n">
        <v>36.6</v>
      </c>
      <c r="V13" s="0" t="n">
        <v>0.62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11801.609</v>
      </c>
      <c r="C14" s="0" t="n">
        <v>9499.025</v>
      </c>
      <c r="D14" s="0" t="n">
        <v>2322.814</v>
      </c>
      <c r="E14" s="0" t="n">
        <v>19.6821806246928</v>
      </c>
      <c r="F14" s="0" t="n">
        <v>1722.409</v>
      </c>
      <c r="G14" s="0" t="n">
        <v>14.5946963672496</v>
      </c>
      <c r="H14" s="0" t="n">
        <v>2039.607</v>
      </c>
      <c r="I14" s="0" t="n">
        <v>1255.805</v>
      </c>
      <c r="J14" s="0" t="n">
        <v>10.6409642956312</v>
      </c>
      <c r="K14" s="0" t="n">
        <v>5.38</v>
      </c>
      <c r="L14" s="0" t="n">
        <v>1415.469</v>
      </c>
      <c r="M14" s="0" t="n">
        <v>239.39</v>
      </c>
      <c r="N14" s="0" t="n">
        <v>1176.079</v>
      </c>
      <c r="O14" s="0" t="n">
        <v>3775.989</v>
      </c>
      <c r="P14" s="0" t="n">
        <v>7703.563</v>
      </c>
      <c r="Q14" s="0" t="n">
        <v>3816.334</v>
      </c>
      <c r="R14" s="0" t="n">
        <v>2400.957</v>
      </c>
      <c r="S14" s="0" t="n">
        <v>828.22</v>
      </c>
      <c r="T14" s="0" t="n">
        <v>235.193</v>
      </c>
      <c r="U14" s="0" t="n">
        <v>43.317</v>
      </c>
      <c r="V14" s="0" t="n">
        <v>0.75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10451.132</v>
      </c>
      <c r="C15" s="0" t="n">
        <v>8934.007</v>
      </c>
      <c r="D15" s="0" t="n">
        <v>1530.984</v>
      </c>
      <c r="E15" s="0" t="n">
        <v>14.6489777375312</v>
      </c>
      <c r="F15" s="0" t="n">
        <v>986.88</v>
      </c>
      <c r="G15" s="0" t="n">
        <v>9.44280485597158</v>
      </c>
      <c r="H15" s="0" t="n">
        <v>1307.962</v>
      </c>
      <c r="I15" s="0" t="n">
        <v>677.9</v>
      </c>
      <c r="J15" s="0" t="n">
        <v>6.48637870041255</v>
      </c>
      <c r="K15" s="0" t="n">
        <v>3.06</v>
      </c>
      <c r="L15" s="0" t="n">
        <v>1396.29</v>
      </c>
      <c r="M15" s="0" t="n">
        <v>451.945</v>
      </c>
      <c r="N15" s="0" t="n">
        <v>944.345</v>
      </c>
      <c r="O15" s="0" t="n">
        <v>3921.241</v>
      </c>
      <c r="P15" s="0" t="n">
        <v>8275.765</v>
      </c>
      <c r="Q15" s="0" t="n">
        <v>4210.91</v>
      </c>
      <c r="R15" s="0" t="n">
        <v>2823.7</v>
      </c>
      <c r="S15" s="0" t="n">
        <v>1381.46</v>
      </c>
      <c r="T15" s="0" t="n">
        <v>220.748</v>
      </c>
      <c r="U15" s="0" t="n">
        <v>47.631</v>
      </c>
      <c r="V15" s="0" t="n">
        <v>0.96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9587.691</v>
      </c>
      <c r="C16" s="0" t="n">
        <v>8166.754</v>
      </c>
      <c r="D16" s="0" t="n">
        <v>1434.728</v>
      </c>
      <c r="E16" s="0" t="n">
        <v>14.9642703337018</v>
      </c>
      <c r="F16" s="0" t="n">
        <v>847.142</v>
      </c>
      <c r="G16" s="0" t="n">
        <v>8.83572488933988</v>
      </c>
      <c r="H16" s="0" t="n">
        <v>1172.931</v>
      </c>
      <c r="I16" s="0" t="n">
        <v>570.828</v>
      </c>
      <c r="J16" s="0" t="n">
        <v>5.95375883515645</v>
      </c>
      <c r="K16" s="0" t="n">
        <v>2.61</v>
      </c>
      <c r="L16" s="0" t="n">
        <v>987.032</v>
      </c>
      <c r="M16" s="0" t="n">
        <v>1198.055</v>
      </c>
      <c r="N16" s="0" t="n">
        <v>-211.023</v>
      </c>
      <c r="O16" s="0" t="n">
        <v>4189.612</v>
      </c>
      <c r="P16" s="0" t="n">
        <v>9265.562</v>
      </c>
      <c r="Q16" s="0" t="n">
        <v>4917.336</v>
      </c>
      <c r="R16" s="0" t="n">
        <v>3189.57</v>
      </c>
      <c r="S16" s="0" t="n">
        <v>1368.618</v>
      </c>
      <c r="T16" s="0" t="n">
        <v>212.345</v>
      </c>
      <c r="U16" s="0" t="n">
        <v>55.598</v>
      </c>
      <c r="V16" s="0" t="n">
        <v>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18408.85</v>
      </c>
      <c r="C17" s="0" t="n">
        <v>13046.426</v>
      </c>
      <c r="D17" s="0" t="n">
        <v>5362.424</v>
      </c>
      <c r="E17" s="0" t="n">
        <v>29.12959799227</v>
      </c>
      <c r="F17" s="0" t="n">
        <v>4301.105</v>
      </c>
      <c r="G17" s="0" t="n">
        <v>23.3643329159616</v>
      </c>
      <c r="H17" s="0" t="n">
        <v>4648.758</v>
      </c>
      <c r="I17" s="0" t="n">
        <v>3246.814</v>
      </c>
      <c r="J17" s="0" t="n">
        <v>17.6372451293807</v>
      </c>
      <c r="K17" s="0" t="n">
        <v>15.67</v>
      </c>
      <c r="L17" s="0" t="n">
        <v>2204.136</v>
      </c>
      <c r="M17" s="0" t="n">
        <v>1006.239</v>
      </c>
      <c r="N17" s="0" t="n">
        <v>1197.897</v>
      </c>
      <c r="O17" s="0" t="n">
        <v>6108.757</v>
      </c>
      <c r="P17" s="0" t="n">
        <v>12531.234</v>
      </c>
      <c r="Q17" s="0" t="n">
        <v>6211.063</v>
      </c>
      <c r="R17" s="0" t="n">
        <v>3203.05</v>
      </c>
      <c r="S17" s="0" t="n">
        <v>1243.868</v>
      </c>
      <c r="T17" s="0" t="n">
        <v>206.615</v>
      </c>
      <c r="U17" s="0" t="n">
        <v>80.2</v>
      </c>
      <c r="V17" s="0" t="n">
        <v>1.04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22260.774</v>
      </c>
      <c r="C18" s="0" t="n">
        <v>16142.943</v>
      </c>
      <c r="D18" s="0" t="n">
        <v>6117.831</v>
      </c>
      <c r="E18" s="0" t="n">
        <v>27.482561927092</v>
      </c>
      <c r="F18" s="0" t="n">
        <v>5091.822</v>
      </c>
      <c r="G18" s="0" t="n">
        <v>22.8735173359201</v>
      </c>
      <c r="H18" s="0" t="n">
        <v>5476.024</v>
      </c>
      <c r="I18" s="0" t="n">
        <v>3879.492</v>
      </c>
      <c r="J18" s="0" t="n">
        <v>17.4274802843783</v>
      </c>
      <c r="K18" s="0" t="n">
        <v>21.06</v>
      </c>
      <c r="L18" s="0" t="n">
        <v>4460.403</v>
      </c>
      <c r="M18" s="0" t="n">
        <v>908.902</v>
      </c>
      <c r="N18" s="0" t="n">
        <v>3551.501</v>
      </c>
      <c r="O18" s="0" t="n">
        <v>7914.302</v>
      </c>
      <c r="P18" s="0" t="n">
        <v>14159.984</v>
      </c>
      <c r="Q18" s="0" t="n">
        <v>6064.179</v>
      </c>
      <c r="R18" s="0" t="n">
        <v>3127.909</v>
      </c>
      <c r="S18" s="0" t="n">
        <v>1628.417</v>
      </c>
      <c r="T18" s="0" t="n">
        <v>184.622</v>
      </c>
      <c r="U18" s="0" t="n">
        <v>69.2</v>
      </c>
      <c r="V18" s="0" t="n">
        <v>1.36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18795.316</v>
      </c>
      <c r="C19" s="0" t="n">
        <v>14749.433</v>
      </c>
      <c r="D19" s="0" t="n">
        <v>4045.883</v>
      </c>
      <c r="E19" s="0" t="n">
        <v>21.5260174396642</v>
      </c>
      <c r="F19" s="0" t="n">
        <v>3151.181</v>
      </c>
      <c r="G19" s="0" t="n">
        <v>16.7657782396423</v>
      </c>
      <c r="H19" s="0" t="n">
        <v>3588.985</v>
      </c>
      <c r="I19" s="0" t="n">
        <v>2467.332</v>
      </c>
      <c r="J19" s="0" t="n">
        <v>13.1273770550067</v>
      </c>
      <c r="K19" s="0" t="n">
        <v>14.72</v>
      </c>
      <c r="L19" s="0" t="n">
        <v>3519.928</v>
      </c>
      <c r="M19" s="0" t="n">
        <v>1657.905</v>
      </c>
      <c r="N19" s="0" t="n">
        <v>1862.023</v>
      </c>
      <c r="O19" s="0" t="n">
        <v>8668.315</v>
      </c>
      <c r="P19" s="0" t="n">
        <v>14908.42</v>
      </c>
      <c r="Q19" s="0" t="n">
        <v>6068.893</v>
      </c>
      <c r="R19" s="0" t="n">
        <v>3531.043</v>
      </c>
      <c r="S19" s="0" t="n">
        <v>1400.887</v>
      </c>
      <c r="T19" s="0" t="n">
        <v>167.431</v>
      </c>
      <c r="U19" s="0" t="n">
        <v>61.744</v>
      </c>
      <c r="V19" s="0" t="n">
        <v>1.7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17540.39</v>
      </c>
      <c r="C20" s="0" t="n">
        <v>14737.804</v>
      </c>
      <c r="D20" s="0" t="n">
        <v>2802.586</v>
      </c>
      <c r="E20" s="0" t="n">
        <v>15.9779001493125</v>
      </c>
      <c r="F20" s="0" t="n">
        <v>1943.037</v>
      </c>
      <c r="G20" s="0" t="n">
        <v>11.0775016975107</v>
      </c>
      <c r="H20" s="0" t="n">
        <v>2421.944</v>
      </c>
      <c r="I20" s="0" t="n">
        <v>1549.956</v>
      </c>
      <c r="J20" s="0" t="n">
        <v>8.83649679397094</v>
      </c>
      <c r="K20" s="0" t="n">
        <v>9.89</v>
      </c>
      <c r="L20" s="0" t="n">
        <v>1844.503</v>
      </c>
      <c r="M20" s="0" t="n">
        <v>1868.006</v>
      </c>
      <c r="N20" s="0" t="n">
        <v>-23.5030000000002</v>
      </c>
      <c r="O20" s="0" t="n">
        <v>8934.287</v>
      </c>
      <c r="P20" s="0" t="n">
        <v>14935.233</v>
      </c>
      <c r="Q20" s="0" t="n">
        <v>5989.987</v>
      </c>
      <c r="R20" s="0" t="n">
        <v>3657.997</v>
      </c>
      <c r="S20" s="0" t="n">
        <v>589.464</v>
      </c>
      <c r="T20" s="0" t="n">
        <v>156.136</v>
      </c>
      <c r="U20" s="0" t="n">
        <v>66.589</v>
      </c>
      <c r="V20" s="0" t="n">
        <v>1.84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18176.581</v>
      </c>
      <c r="C21" s="0" t="n">
        <v>15784.398</v>
      </c>
      <c r="D21" s="0" t="n">
        <v>2392.183</v>
      </c>
      <c r="E21" s="0" t="n">
        <v>13.1607974018876</v>
      </c>
      <c r="F21" s="0" t="n">
        <v>1475.986</v>
      </c>
      <c r="G21" s="0" t="n">
        <v>8.12026200086804</v>
      </c>
      <c r="H21" s="0" t="n">
        <v>2027.376</v>
      </c>
      <c r="I21" s="0" t="n">
        <v>1187.311</v>
      </c>
      <c r="J21" s="0" t="n">
        <v>6.53209203645064</v>
      </c>
      <c r="K21" s="0" t="n">
        <v>8.02</v>
      </c>
      <c r="L21" s="0" t="n">
        <v>1449.534</v>
      </c>
      <c r="M21" s="0" t="n">
        <v>948.025</v>
      </c>
      <c r="N21" s="0" t="n">
        <v>501.509</v>
      </c>
      <c r="O21" s="0" t="n">
        <v>8957.182</v>
      </c>
      <c r="P21" s="0" t="n">
        <v>16419.78</v>
      </c>
      <c r="Q21" s="0" t="n">
        <v>7489.369</v>
      </c>
      <c r="R21" s="0" t="n">
        <v>4245.818</v>
      </c>
      <c r="S21" s="0" t="n">
        <v>769.878</v>
      </c>
      <c r="T21" s="0" t="n">
        <v>148.404</v>
      </c>
      <c r="U21" s="0" t="n">
        <v>68.983</v>
      </c>
      <c r="V21" s="0" t="n">
        <v>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226.17</v>
      </c>
    </row>
    <row r="3" customFormat="false" ht="15" hidden="false" customHeight="false" outlineLevel="0" collapsed="false">
      <c r="A3" s="0" t="s">
        <v>86</v>
      </c>
      <c r="B3" s="3" t="n">
        <v>144.6</v>
      </c>
    </row>
    <row r="4" customFormat="false" ht="15" hidden="false" customHeight="false" outlineLevel="0" collapsed="false">
      <c r="A4" s="0" t="s">
        <v>87</v>
      </c>
      <c r="B4" s="3" t="n">
        <v>3633.6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18176.6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27</v>
      </c>
      <c r="D13" s="3" t="n">
        <v>-6</v>
      </c>
      <c r="E13" s="3" t="n">
        <v>-10</v>
      </c>
      <c r="F13" s="3" t="n">
        <v>-2</v>
      </c>
      <c r="G13" s="3" t="n">
        <v>2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15.5</v>
      </c>
      <c r="D14" s="3" t="n">
        <v>13.5</v>
      </c>
      <c r="E14" s="3" t="n">
        <v>12</v>
      </c>
      <c r="F14" s="3" t="n">
        <v>12</v>
      </c>
      <c r="G14" s="3" t="n">
        <v>12.5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108</v>
      </c>
      <c r="C15" s="3" t="n">
        <v>0.38</v>
      </c>
      <c r="D15" s="3" t="n">
        <v>0.38</v>
      </c>
      <c r="E15" s="3" t="n">
        <v>0.38</v>
      </c>
      <c r="F15" s="3" t="n">
        <v>0.38</v>
      </c>
      <c r="G15" s="3" t="n">
        <v>0.38</v>
      </c>
      <c r="H15" s="3" t="n">
        <v>0.38</v>
      </c>
      <c r="I15" s="3" t="n">
        <v>0.38</v>
      </c>
      <c r="J15" s="3" t="n">
        <v>0.38</v>
      </c>
      <c r="K15" s="3" t="n">
        <v>0.38</v>
      </c>
      <c r="L15" s="3" t="n">
        <v>0.38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</v>
      </c>
      <c r="D17" s="3" t="n">
        <v>3.2</v>
      </c>
      <c r="E17" s="3" t="n">
        <v>3.5</v>
      </c>
      <c r="F17" s="3" t="n">
        <v>3.5</v>
      </c>
      <c r="G17" s="3" t="n">
        <v>3.4</v>
      </c>
      <c r="H17" s="3" t="n">
        <v>3.3</v>
      </c>
      <c r="I17" s="3" t="n">
        <v>3.2</v>
      </c>
      <c r="J17" s="3" t="n">
        <v>3.1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111</v>
      </c>
      <c r="C18" s="3" t="n">
        <v>2.5</v>
      </c>
      <c r="D18" s="3" t="n">
        <v>2.6</v>
      </c>
      <c r="E18" s="3" t="n">
        <v>2.2</v>
      </c>
      <c r="F18" s="3" t="n">
        <v>2.4</v>
      </c>
      <c r="G18" s="3" t="n">
        <v>2.6</v>
      </c>
      <c r="H18" s="3" t="n">
        <v>2.8</v>
      </c>
      <c r="I18" s="3" t="n">
        <v>2.9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20</v>
      </c>
      <c r="D19" s="3" t="n">
        <v>22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-20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29</v>
      </c>
      <c r="D27" s="3" t="n">
        <v>2</v>
      </c>
      <c r="E27" s="3" t="n">
        <v>-4</v>
      </c>
      <c r="F27" s="3" t="n">
        <v>1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16</v>
      </c>
      <c r="D28" s="3" t="n">
        <v>16.5</v>
      </c>
      <c r="E28" s="3" t="n">
        <v>15.5</v>
      </c>
      <c r="F28" s="3" t="n">
        <v>15.5</v>
      </c>
      <c r="G28" s="3" t="n">
        <v>16</v>
      </c>
      <c r="H28" s="3" t="n">
        <v>16</v>
      </c>
      <c r="I28" s="3" t="n">
        <v>16</v>
      </c>
      <c r="J28" s="3" t="n">
        <v>16</v>
      </c>
      <c r="K28" s="3" t="n">
        <v>16</v>
      </c>
      <c r="L28" s="3" t="n">
        <v>16</v>
      </c>
    </row>
    <row r="29" customFormat="false" ht="15" hidden="false" customHeight="false" outlineLevel="0" collapsed="false">
      <c r="A29" s="0" t="s">
        <v>108</v>
      </c>
      <c r="C29" s="3" t="n">
        <v>0.38</v>
      </c>
      <c r="D29" s="3" t="n">
        <v>0.38</v>
      </c>
      <c r="E29" s="3" t="n">
        <v>0.38</v>
      </c>
      <c r="F29" s="3" t="n">
        <v>0.38</v>
      </c>
      <c r="G29" s="3" t="n">
        <v>0.38</v>
      </c>
      <c r="H29" s="3" t="n">
        <v>0.38</v>
      </c>
      <c r="I29" s="3" t="n">
        <v>0.38</v>
      </c>
      <c r="J29" s="3" t="n">
        <v>0.38</v>
      </c>
      <c r="K29" s="3" t="n">
        <v>0.38</v>
      </c>
      <c r="L29" s="3" t="n">
        <v>0.38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</v>
      </c>
      <c r="D31" s="3" t="n">
        <v>3</v>
      </c>
      <c r="E31" s="3" t="n">
        <v>3.1</v>
      </c>
      <c r="F31" s="3" t="n">
        <v>3</v>
      </c>
      <c r="G31" s="3" t="n">
        <v>3</v>
      </c>
      <c r="H31" s="3" t="n">
        <v>2.9</v>
      </c>
      <c r="I31" s="3" t="n">
        <v>2.9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111</v>
      </c>
      <c r="C32" s="3" t="n">
        <v>2.5</v>
      </c>
      <c r="D32" s="3" t="n">
        <v>2.3</v>
      </c>
      <c r="E32" s="3" t="n">
        <v>1.8</v>
      </c>
      <c r="F32" s="3" t="n">
        <v>2</v>
      </c>
      <c r="G32" s="3" t="n">
        <v>2.3</v>
      </c>
      <c r="H32" s="3" t="n">
        <v>2.5</v>
      </c>
      <c r="I32" s="3" t="n">
        <v>2.6</v>
      </c>
      <c r="J32" s="3" t="n">
        <v>2.7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112</v>
      </c>
      <c r="C33" s="3" t="n">
        <v>20</v>
      </c>
      <c r="D33" s="3" t="n">
        <v>22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-20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30</v>
      </c>
      <c r="D41" s="3" t="n">
        <v>6</v>
      </c>
      <c r="E41" s="3" t="n">
        <v>1</v>
      </c>
      <c r="F41" s="3" t="n">
        <v>3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16.5</v>
      </c>
      <c r="D42" s="3" t="n">
        <v>18.5</v>
      </c>
      <c r="E42" s="3" t="n">
        <v>18</v>
      </c>
      <c r="F42" s="3" t="n">
        <v>18</v>
      </c>
      <c r="G42" s="3" t="n">
        <v>18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108</v>
      </c>
      <c r="C43" s="3" t="n">
        <v>0.38</v>
      </c>
      <c r="D43" s="3" t="n">
        <v>0.38</v>
      </c>
      <c r="E43" s="3" t="n">
        <v>0.38</v>
      </c>
      <c r="F43" s="3" t="n">
        <v>0.38</v>
      </c>
      <c r="G43" s="3" t="n">
        <v>0.38</v>
      </c>
      <c r="H43" s="3" t="n">
        <v>0.38</v>
      </c>
      <c r="I43" s="3" t="n">
        <v>0.38</v>
      </c>
      <c r="J43" s="3" t="n">
        <v>0.38</v>
      </c>
      <c r="K43" s="3" t="n">
        <v>0.38</v>
      </c>
      <c r="L43" s="3" t="n">
        <v>0.38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</v>
      </c>
      <c r="D45" s="3" t="n">
        <v>2.9</v>
      </c>
      <c r="E45" s="3" t="n">
        <v>2.9</v>
      </c>
      <c r="F45" s="3" t="n">
        <v>2.8</v>
      </c>
      <c r="G45" s="3" t="n">
        <v>2.8</v>
      </c>
      <c r="H45" s="3" t="n">
        <v>2.8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111</v>
      </c>
      <c r="C46" s="3" t="n">
        <v>2.5</v>
      </c>
      <c r="D46" s="3" t="n">
        <v>2.2</v>
      </c>
      <c r="E46" s="3" t="n">
        <v>1.7</v>
      </c>
      <c r="F46" s="3" t="n">
        <v>1.9</v>
      </c>
      <c r="G46" s="3" t="n">
        <v>2.2</v>
      </c>
      <c r="H46" s="3" t="n">
        <v>2.4</v>
      </c>
      <c r="I46" s="3" t="n">
        <v>2.5</v>
      </c>
      <c r="J46" s="3" t="n">
        <v>2.6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112</v>
      </c>
      <c r="C47" s="3" t="n">
        <v>20</v>
      </c>
      <c r="D47" s="3" t="n">
        <v>22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12</v>
      </c>
    </row>
    <row r="51" customFormat="false" ht="15" hidden="false" customHeight="false" outlineLevel="0" collapsed="false">
      <c r="A51" s="0" t="s">
        <v>116</v>
      </c>
      <c r="B51" s="3" t="n">
        <v>-20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27</v>
      </c>
      <c r="D5" s="4" t="n">
        <f aca="false">Assumptions!D13</f>
        <v>-6</v>
      </c>
      <c r="E5" s="4" t="n">
        <f aca="false">Assumptions!E13</f>
        <v>-10</v>
      </c>
      <c r="F5" s="4" t="n">
        <f aca="false">Assumptions!F13</f>
        <v>-2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18176.6</v>
      </c>
      <c r="C6" s="0" t="n">
        <f aca="false">B6*(1+C5/100)</f>
        <v>23084.282</v>
      </c>
      <c r="D6" s="0" t="n">
        <f aca="false">C6*(1+D5/100)</f>
        <v>21699.22508</v>
      </c>
      <c r="E6" s="0" t="n">
        <f aca="false">D6*(1+E5/100)</f>
        <v>19529.302572</v>
      </c>
      <c r="F6" s="0" t="n">
        <f aca="false">E6*(1+F5/100)</f>
        <v>19138.71652056</v>
      </c>
      <c r="G6" s="0" t="n">
        <f aca="false">F6*(1+G5/100)</f>
        <v>19521.4908509712</v>
      </c>
      <c r="H6" s="0" t="n">
        <f aca="false">G6*(1+H5/100)</f>
        <v>20009.5281222455</v>
      </c>
      <c r="I6" s="0" t="n">
        <f aca="false">H6*(1+I5/100)</f>
        <v>20409.7186846904</v>
      </c>
      <c r="J6" s="0" t="n">
        <f aca="false">I6*(1+J5/100)</f>
        <v>20817.9130583842</v>
      </c>
      <c r="K6" s="0" t="n">
        <f aca="false">J6*(1+K5/100)</f>
        <v>21234.2713195519</v>
      </c>
      <c r="L6" s="0" t="n">
        <f aca="false">K6*(1+L5/100)</f>
        <v>21658.9567459429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15.5</v>
      </c>
      <c r="D7" s="4" t="n">
        <f aca="false">Assumptions!D14</f>
        <v>13.5</v>
      </c>
      <c r="E7" s="4" t="n">
        <f aca="false">Assumptions!E14</f>
        <v>12</v>
      </c>
      <c r="F7" s="4" t="n">
        <f aca="false">Assumptions!F14</f>
        <v>12</v>
      </c>
      <c r="G7" s="4" t="n">
        <f aca="false">Assumptions!G14</f>
        <v>12.5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3578.06371</v>
      </c>
      <c r="D8" s="0" t="n">
        <f aca="false">D6*D7/100</f>
        <v>2929.3953858</v>
      </c>
      <c r="E8" s="0" t="n">
        <f aca="false">E6*E7/100</f>
        <v>2343.51630864</v>
      </c>
      <c r="F8" s="0" t="n">
        <f aca="false">F6*F7/100</f>
        <v>2296.6459824672</v>
      </c>
      <c r="G8" s="0" t="n">
        <f aca="false">G6*G7/100</f>
        <v>2440.1863563714</v>
      </c>
      <c r="H8" s="0" t="n">
        <f aca="false">H6*H7/100</f>
        <v>2601.23865589191</v>
      </c>
      <c r="I8" s="0" t="n">
        <f aca="false">I6*I7/100</f>
        <v>2653.26342900975</v>
      </c>
      <c r="J8" s="0" t="n">
        <f aca="false">J6*J7/100</f>
        <v>2706.32869758995</v>
      </c>
      <c r="K8" s="0" t="n">
        <f aca="false">K6*K7/100</f>
        <v>2760.45527154174</v>
      </c>
      <c r="L8" s="0" t="n">
        <f aca="false">L6*L7/100</f>
        <v>2815.66437697258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0.38</v>
      </c>
      <c r="G9" s="4" t="n">
        <f aca="false">Assumptions!G15</f>
        <v>0.38</v>
      </c>
      <c r="H9" s="4" t="n">
        <f aca="false">Assumptions!H15</f>
        <v>0.38</v>
      </c>
      <c r="I9" s="4" t="n">
        <f aca="false">Assumptions!I15</f>
        <v>0.38</v>
      </c>
      <c r="J9" s="4" t="n">
        <f aca="false">Assumptions!J15</f>
        <v>0.38</v>
      </c>
      <c r="K9" s="4" t="n">
        <f aca="false">Assumptions!K15</f>
        <v>0.38</v>
      </c>
      <c r="L9" s="4" t="n">
        <f aca="false">Assumptions!L15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-87.7202716</v>
      </c>
      <c r="D10" s="0" t="n">
        <f aca="false">-D6*D9/100</f>
        <v>-82.457055304</v>
      </c>
      <c r="E10" s="0" t="n">
        <f aca="false">-E6*E9/100</f>
        <v>-74.2113497736</v>
      </c>
      <c r="F10" s="0" t="n">
        <f aca="false">-F6*F9/100</f>
        <v>-72.727122778128</v>
      </c>
      <c r="G10" s="0" t="n">
        <f aca="false">-G6*G9/100</f>
        <v>-74.1816652336906</v>
      </c>
      <c r="H10" s="0" t="n">
        <f aca="false">-H6*H9/100</f>
        <v>-76.0362068645328</v>
      </c>
      <c r="I10" s="0" t="n">
        <f aca="false">-I6*I9/100</f>
        <v>-77.5569310018235</v>
      </c>
      <c r="J10" s="0" t="n">
        <f aca="false">-J6*J9/100</f>
        <v>-79.1080696218599</v>
      </c>
      <c r="K10" s="0" t="n">
        <f aca="false">-K6*K9/100</f>
        <v>-80.6902310142971</v>
      </c>
      <c r="L10" s="0" t="n">
        <f aca="false">-L6*L9/100</f>
        <v>-82.3040356345831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3490.3434384</v>
      </c>
      <c r="D11" s="0" t="n">
        <f aca="false">D8+D10+D24</f>
        <v>2846.938330496</v>
      </c>
      <c r="E11" s="0" t="n">
        <f aca="false">E8+E10+E24</f>
        <v>2269.3049588664</v>
      </c>
      <c r="F11" s="0" t="n">
        <f aca="false">F8+F10+F24</f>
        <v>2223.91885968907</v>
      </c>
      <c r="G11" s="0" t="n">
        <f aca="false">G8+G10+G24</f>
        <v>2366.00469113771</v>
      </c>
      <c r="H11" s="0" t="n">
        <f aca="false">H8+H10+H24</f>
        <v>2525.20244902738</v>
      </c>
      <c r="I11" s="0" t="n">
        <f aca="false">I8+I10+I24</f>
        <v>2575.70649800793</v>
      </c>
      <c r="J11" s="0" t="n">
        <f aca="false">J8+J10+J24</f>
        <v>2627.22062796809</v>
      </c>
      <c r="K11" s="0" t="n">
        <f aca="false">K8+K10+K24</f>
        <v>2679.76504052745</v>
      </c>
      <c r="L11" s="0" t="n">
        <f aca="false">L8+L10+L24</f>
        <v>2733.360341338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-692.52846</v>
      </c>
      <c r="D12" s="4" t="n">
        <f aca="false">-D6*Assumptions!D17/100</f>
        <v>-694.37520256</v>
      </c>
      <c r="E12" s="4" t="n">
        <f aca="false">-E6*Assumptions!E17/100</f>
        <v>-683.52559002</v>
      </c>
      <c r="F12" s="4" t="n">
        <f aca="false">-F6*Assumptions!F17/100</f>
        <v>-669.8550782196</v>
      </c>
      <c r="G12" s="4" t="n">
        <f aca="false">-G6*Assumptions!G17/100</f>
        <v>-663.730688933021</v>
      </c>
      <c r="H12" s="4" t="n">
        <f aca="false">-H6*Assumptions!H17/100</f>
        <v>-660.314428034101</v>
      </c>
      <c r="I12" s="4" t="n">
        <f aca="false">-I6*Assumptions!I17/100</f>
        <v>-653.110997910093</v>
      </c>
      <c r="J12" s="4" t="n">
        <f aca="false">-J6*Assumptions!J17/100</f>
        <v>-645.35530480991</v>
      </c>
      <c r="K12" s="4" t="n">
        <f aca="false">-K6*Assumptions!K17/100</f>
        <v>-637.028139586556</v>
      </c>
      <c r="L12" s="4" t="n">
        <f aca="false">-L6*Assumptions!L17/100</f>
        <v>-649.768702378288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2797.8149784</v>
      </c>
      <c r="D13" s="0" t="n">
        <f aca="false">D11+D12</f>
        <v>2152.563127936</v>
      </c>
      <c r="E13" s="0" t="n">
        <f aca="false">E11+E12</f>
        <v>1585.7793688464</v>
      </c>
      <c r="F13" s="0" t="n">
        <f aca="false">F11+F12</f>
        <v>1554.06378146947</v>
      </c>
      <c r="G13" s="0" t="n">
        <f aca="false">G11+G12</f>
        <v>1702.27400220469</v>
      </c>
      <c r="H13" s="0" t="n">
        <f aca="false">H11+H12</f>
        <v>1864.88802099328</v>
      </c>
      <c r="I13" s="0" t="n">
        <f aca="false">I11+I12</f>
        <v>1922.59550009783</v>
      </c>
      <c r="J13" s="0" t="n">
        <f aca="false">J11+J12</f>
        <v>1981.86532315818</v>
      </c>
      <c r="K13" s="0" t="n">
        <f aca="false">K11+K12</f>
        <v>2042.73690094089</v>
      </c>
      <c r="L13" s="0" t="n">
        <f aca="false">L11+L12</f>
        <v>2083.59163895971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20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2238.25198272</v>
      </c>
      <c r="D15" s="0" t="n">
        <f aca="false">D13-MAX(0,D13)*D14/100</f>
        <v>1678.99923979008</v>
      </c>
      <c r="E15" s="0" t="n">
        <f aca="false">E13-MAX(0,E13)*E14/100</f>
        <v>1221.05011401173</v>
      </c>
      <c r="F15" s="0" t="n">
        <f aca="false">F13-MAX(0,F13)*F14/100</f>
        <v>1196.62911173149</v>
      </c>
      <c r="G15" s="0" t="n">
        <f aca="false">G13-MAX(0,G13)*G14/100</f>
        <v>1310.75098169761</v>
      </c>
      <c r="H15" s="0" t="n">
        <f aca="false">H13-MAX(0,H13)*H14/100</f>
        <v>1435.96377616482</v>
      </c>
      <c r="I15" s="0" t="n">
        <f aca="false">I13-MAX(0,I13)*I14/100</f>
        <v>1480.39853507533</v>
      </c>
      <c r="J15" s="0" t="n">
        <f aca="false">J13-MAX(0,J13)*J14/100</f>
        <v>1526.0362988318</v>
      </c>
      <c r="K15" s="0" t="n">
        <f aca="false">K13-MAX(0,K13)*K14/100</f>
        <v>1572.90741372449</v>
      </c>
      <c r="L15" s="0" t="n">
        <f aca="false">L13-MAX(0,L13)*L14/100</f>
        <v>1604.36556199898</v>
      </c>
    </row>
    <row r="16" customFormat="false" ht="15" hidden="false" customHeight="false" outlineLevel="0" collapsed="false">
      <c r="A16" s="0" t="s">
        <v>128</v>
      </c>
      <c r="C16" s="0" t="n">
        <f aca="false">-C12</f>
        <v>692.52846</v>
      </c>
      <c r="D16" s="0" t="n">
        <f aca="false">-D12</f>
        <v>694.37520256</v>
      </c>
      <c r="E16" s="0" t="n">
        <f aca="false">-E12</f>
        <v>683.52559002</v>
      </c>
      <c r="F16" s="0" t="n">
        <f aca="false">-F12</f>
        <v>669.8550782196</v>
      </c>
      <c r="G16" s="0" t="n">
        <f aca="false">-G12</f>
        <v>663.730688933021</v>
      </c>
      <c r="H16" s="0" t="n">
        <f aca="false">-H12</f>
        <v>660.314428034101</v>
      </c>
      <c r="I16" s="0" t="n">
        <f aca="false">-I12</f>
        <v>653.110997910093</v>
      </c>
      <c r="J16" s="0" t="n">
        <f aca="false">-J12</f>
        <v>645.35530480991</v>
      </c>
      <c r="K16" s="0" t="n">
        <f aca="false">-K12</f>
        <v>637.028139586556</v>
      </c>
      <c r="L16" s="0" t="n">
        <f aca="false">-L12</f>
        <v>649.768702378288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-577.10705</v>
      </c>
      <c r="D17" s="4" t="n">
        <f aca="false">-D6*Assumptions!D18/100</f>
        <v>-564.17985208</v>
      </c>
      <c r="E17" s="4" t="n">
        <f aca="false">-E6*Assumptions!E18/100</f>
        <v>-429.644656584</v>
      </c>
      <c r="F17" s="4" t="n">
        <f aca="false">-F6*Assumptions!F18/100</f>
        <v>-459.32919649344</v>
      </c>
      <c r="G17" s="4" t="n">
        <f aca="false">-G6*Assumptions!G18/100</f>
        <v>-507.558762125251</v>
      </c>
      <c r="H17" s="4" t="n">
        <f aca="false">-H6*Assumptions!H18/100</f>
        <v>-560.266787422873</v>
      </c>
      <c r="I17" s="4" t="n">
        <f aca="false">-I6*Assumptions!I18/100</f>
        <v>-591.881841856021</v>
      </c>
      <c r="J17" s="4" t="n">
        <f aca="false">-J6*Assumptions!J18/100</f>
        <v>-624.537391751526</v>
      </c>
      <c r="K17" s="4" t="n">
        <f aca="false">-K6*Assumptions!K18/100</f>
        <v>-637.028139586556</v>
      </c>
      <c r="L17" s="4" t="n">
        <f aca="false">-L6*Assumptions!L18/100</f>
        <v>-649.768702378288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-981.5364</v>
      </c>
      <c r="D18" s="4" t="n">
        <f aca="false">(D6-C6)*Assumptions!$B$23/100</f>
        <v>277.011384000001</v>
      </c>
      <c r="E18" s="4" t="n">
        <f aca="false">(E6-D6)*Assumptions!$B$23/100</f>
        <v>433.9845016</v>
      </c>
      <c r="F18" s="4" t="n">
        <f aca="false">(F6-E6)*Assumptions!$B$23/100</f>
        <v>78.1172102880002</v>
      </c>
      <c r="G18" s="4" t="n">
        <f aca="false">(G6-F6)*Assumptions!$B$23/100</f>
        <v>-76.5548660822402</v>
      </c>
      <c r="H18" s="4" t="n">
        <f aca="false">(H6-G6)*Assumptions!$B$23/100</f>
        <v>-97.6074542548558</v>
      </c>
      <c r="I18" s="4" t="n">
        <f aca="false">(I6-H6)*Assumptions!$B$23/100</f>
        <v>-80.038112488982</v>
      </c>
      <c r="J18" s="4" t="n">
        <f aca="false">(J6-I6)*Assumptions!$B$23/100</f>
        <v>-81.6388747387617</v>
      </c>
      <c r="K18" s="4" t="n">
        <f aca="false">(K6-J6)*Assumptions!$B$23/100</f>
        <v>-83.2716522335366</v>
      </c>
      <c r="L18" s="4" t="n">
        <f aca="false">(L6-K6)*Assumptions!$B$23/100</f>
        <v>-84.9370852782078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1372.13699272</v>
      </c>
      <c r="D19" s="0" t="n">
        <f aca="false">D15+D16+D17+D18</f>
        <v>2086.20597427008</v>
      </c>
      <c r="E19" s="0" t="n">
        <f aca="false">E15+E16+E17+E18</f>
        <v>1908.91554904773</v>
      </c>
      <c r="F19" s="0" t="n">
        <f aca="false">F15+F16+F17+F18</f>
        <v>1485.27220374565</v>
      </c>
      <c r="G19" s="0" t="n">
        <f aca="false">G15+G16+G17+G18</f>
        <v>1390.36804242314</v>
      </c>
      <c r="H19" s="0" t="n">
        <f aca="false">H15+H16+H17+H18</f>
        <v>1438.4039625212</v>
      </c>
      <c r="I19" s="0" t="n">
        <f aca="false">I15+I16+I17+I18</f>
        <v>1461.58957864042</v>
      </c>
      <c r="J19" s="0" t="n">
        <f aca="false">J15+J16+J17+J18</f>
        <v>1465.21533715142</v>
      </c>
      <c r="K19" s="0" t="n">
        <f aca="false">K15+K16+K17+K18</f>
        <v>1489.63576149095</v>
      </c>
      <c r="L19" s="0" t="n">
        <f aca="false">L15+L16+L17+L18</f>
        <v>1519.42847672077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1247.39726610909</v>
      </c>
      <c r="D21" s="0" t="n">
        <f aca="false">D19*D20</f>
        <v>1724.13716881825</v>
      </c>
      <c r="E21" s="0" t="n">
        <f aca="false">E19*E20</f>
        <v>1434.19650567072</v>
      </c>
      <c r="F21" s="0" t="n">
        <f aca="false">F19*F20</f>
        <v>1014.46090003801</v>
      </c>
      <c r="G21" s="0" t="n">
        <f aca="false">G19*G20</f>
        <v>863.309164440543</v>
      </c>
      <c r="H21" s="0" t="n">
        <f aca="false">H19*H20</f>
        <v>811.941537729266</v>
      </c>
      <c r="I21" s="0" t="n">
        <f aca="false">I19*I20</f>
        <v>750.02655780073</v>
      </c>
      <c r="J21" s="0" t="n">
        <f aca="false">J19*J20</f>
        <v>683.533768377629</v>
      </c>
      <c r="K21" s="0" t="n">
        <f aca="false">K19*K20</f>
        <v>631.750978690794</v>
      </c>
      <c r="L21" s="0" t="n">
        <f aca="false">L19*L20</f>
        <v>585.805452967827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9746.55930064286</v>
      </c>
    </row>
    <row r="31" customFormat="false" ht="15" hidden="false" customHeight="false" outlineLevel="0" collapsed="false">
      <c r="A31" s="0" t="s">
        <v>137</v>
      </c>
      <c r="B31" s="0" t="n">
        <f aca="false">L19</f>
        <v>1519.42847672077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19372.7130781898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18233.1417206492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18233.1417206492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7029.66543561392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16776.2247362568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13142.6247362568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90.8895209976264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-0.598136264767094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484.958921810503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404.580050056502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97.0412427947703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11921.6695865783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50.6835066015317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29</v>
      </c>
      <c r="D5" s="4" t="n">
        <f aca="false">Assumptions!D27</f>
        <v>2</v>
      </c>
      <c r="E5" s="4" t="n">
        <f aca="false">Assumptions!E27</f>
        <v>-4</v>
      </c>
      <c r="F5" s="4" t="n">
        <f aca="false">Assumptions!F27</f>
        <v>1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18176.6</v>
      </c>
      <c r="C6" s="0" t="n">
        <f aca="false">B6*(1+C5/100)</f>
        <v>23447.814</v>
      </c>
      <c r="D6" s="0" t="n">
        <f aca="false">C6*(1+D5/100)</f>
        <v>23916.77028</v>
      </c>
      <c r="E6" s="0" t="n">
        <f aca="false">D6*(1+E5/100)</f>
        <v>22960.0994688</v>
      </c>
      <c r="F6" s="0" t="n">
        <f aca="false">E6*(1+F5/100)</f>
        <v>23189.700463488</v>
      </c>
      <c r="G6" s="0" t="n">
        <f aca="false">F6*(1+G5/100)</f>
        <v>23885.3914773926</v>
      </c>
      <c r="H6" s="0" t="n">
        <f aca="false">G6*(1+H5/100)</f>
        <v>24601.9532217144</v>
      </c>
      <c r="I6" s="0" t="n">
        <f aca="false">H6*(1+I5/100)</f>
        <v>25217.0020522573</v>
      </c>
      <c r="J6" s="0" t="n">
        <f aca="false">I6*(1+J5/100)</f>
        <v>25847.4271035637</v>
      </c>
      <c r="K6" s="0" t="n">
        <f aca="false">J6*(1+K5/100)</f>
        <v>26493.6127811528</v>
      </c>
      <c r="L6" s="0" t="n">
        <f aca="false">K6*(1+L5/100)</f>
        <v>27155.9531006816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16</v>
      </c>
      <c r="D7" s="4" t="n">
        <f aca="false">Assumptions!D28</f>
        <v>16.5</v>
      </c>
      <c r="E7" s="4" t="n">
        <f aca="false">Assumptions!E28</f>
        <v>15.5</v>
      </c>
      <c r="F7" s="4" t="n">
        <f aca="false">Assumptions!F28</f>
        <v>15.5</v>
      </c>
      <c r="G7" s="4" t="n">
        <f aca="false">Assumptions!G28</f>
        <v>16</v>
      </c>
      <c r="H7" s="4" t="n">
        <f aca="false">Assumptions!H28</f>
        <v>16</v>
      </c>
      <c r="I7" s="4" t="n">
        <f aca="false">Assumptions!I28</f>
        <v>16</v>
      </c>
      <c r="J7" s="4" t="n">
        <f aca="false">Assumptions!J28</f>
        <v>16</v>
      </c>
      <c r="K7" s="4" t="n">
        <f aca="false">Assumptions!K28</f>
        <v>16</v>
      </c>
      <c r="L7" s="4" t="n">
        <f aca="false">Assumptions!L28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3751.65024</v>
      </c>
      <c r="D8" s="0" t="n">
        <f aca="false">D6*D7/100</f>
        <v>3946.2670962</v>
      </c>
      <c r="E8" s="0" t="n">
        <f aca="false">E6*E7/100</f>
        <v>3558.815417664</v>
      </c>
      <c r="F8" s="0" t="n">
        <f aca="false">F6*F7/100</f>
        <v>3594.40357184064</v>
      </c>
      <c r="G8" s="0" t="n">
        <f aca="false">G6*G7/100</f>
        <v>3821.66263638282</v>
      </c>
      <c r="H8" s="0" t="n">
        <f aca="false">H6*H7/100</f>
        <v>3936.31251547431</v>
      </c>
      <c r="I8" s="0" t="n">
        <f aca="false">I6*I7/100</f>
        <v>4034.72032836117</v>
      </c>
      <c r="J8" s="0" t="n">
        <f aca="false">J6*J7/100</f>
        <v>4135.58833657019</v>
      </c>
      <c r="K8" s="0" t="n">
        <f aca="false">K6*K7/100</f>
        <v>4238.97804498445</v>
      </c>
      <c r="L8" s="0" t="n">
        <f aca="false">L6*L7/100</f>
        <v>4344.95249610906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0.38</v>
      </c>
      <c r="D9" s="4" t="n">
        <f aca="false">Assumptions!D29</f>
        <v>0.38</v>
      </c>
      <c r="E9" s="4" t="n">
        <f aca="false">Assumptions!E29</f>
        <v>0.38</v>
      </c>
      <c r="F9" s="4" t="n">
        <f aca="false">Assumptions!F29</f>
        <v>0.38</v>
      </c>
      <c r="G9" s="4" t="n">
        <f aca="false">Assumptions!G29</f>
        <v>0.38</v>
      </c>
      <c r="H9" s="4" t="n">
        <f aca="false">Assumptions!H29</f>
        <v>0.38</v>
      </c>
      <c r="I9" s="4" t="n">
        <f aca="false">Assumptions!I29</f>
        <v>0.38</v>
      </c>
      <c r="J9" s="4" t="n">
        <f aca="false">Assumptions!J29</f>
        <v>0.38</v>
      </c>
      <c r="K9" s="4" t="n">
        <f aca="false">Assumptions!K29</f>
        <v>0.38</v>
      </c>
      <c r="L9" s="4" t="n">
        <f aca="false">Assumptions!L29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-89.1016932</v>
      </c>
      <c r="D10" s="0" t="n">
        <f aca="false">-D6*D9/100</f>
        <v>-90.883727064</v>
      </c>
      <c r="E10" s="0" t="n">
        <f aca="false">-E6*E9/100</f>
        <v>-87.24837798144</v>
      </c>
      <c r="F10" s="0" t="n">
        <f aca="false">-F6*F9/100</f>
        <v>-88.1208617612544</v>
      </c>
      <c r="G10" s="0" t="n">
        <f aca="false">-G6*G9/100</f>
        <v>-90.764487614092</v>
      </c>
      <c r="H10" s="0" t="n">
        <f aca="false">-H6*H9/100</f>
        <v>-93.4874222425148</v>
      </c>
      <c r="I10" s="0" t="n">
        <f aca="false">-I6*I9/100</f>
        <v>-95.8246077985777</v>
      </c>
      <c r="J10" s="0" t="n">
        <f aca="false">-J6*J9/100</f>
        <v>-98.2202229935421</v>
      </c>
      <c r="K10" s="0" t="n">
        <f aca="false">-K6*K9/100</f>
        <v>-100.675728568381</v>
      </c>
      <c r="L10" s="0" t="n">
        <f aca="false">-L6*L9/100</f>
        <v>-103.19262178259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3662.5485468</v>
      </c>
      <c r="D11" s="0" t="n">
        <f aca="false">D8+D10+D24</f>
        <v>3855.383369136</v>
      </c>
      <c r="E11" s="0" t="n">
        <f aca="false">E8+E10+E24</f>
        <v>3471.56703968256</v>
      </c>
      <c r="F11" s="0" t="n">
        <f aca="false">F8+F10+F24</f>
        <v>3506.28271007939</v>
      </c>
      <c r="G11" s="0" t="n">
        <f aca="false">G8+G10+G24</f>
        <v>3730.89814876873</v>
      </c>
      <c r="H11" s="0" t="n">
        <f aca="false">H8+H10+H24</f>
        <v>3842.82509323179</v>
      </c>
      <c r="I11" s="0" t="n">
        <f aca="false">I8+I10+I24</f>
        <v>3938.89572056259</v>
      </c>
      <c r="J11" s="0" t="n">
        <f aca="false">J8+J10+J24</f>
        <v>4037.36811357665</v>
      </c>
      <c r="K11" s="0" t="n">
        <f aca="false">K8+K10+K24</f>
        <v>4138.30231641607</v>
      </c>
      <c r="L11" s="0" t="n">
        <f aca="false">L8+L10+L24</f>
        <v>4241.75987432647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-703.43442</v>
      </c>
      <c r="D12" s="4" t="n">
        <f aca="false">-D6*Assumptions!D31/100</f>
        <v>-717.5031084</v>
      </c>
      <c r="E12" s="4" t="n">
        <f aca="false">-E6*Assumptions!E31/100</f>
        <v>-711.7630835328</v>
      </c>
      <c r="F12" s="4" t="n">
        <f aca="false">-F6*Assumptions!F31/100</f>
        <v>-695.69101390464</v>
      </c>
      <c r="G12" s="4" t="n">
        <f aca="false">-G6*Assumptions!G31/100</f>
        <v>-716.561744321779</v>
      </c>
      <c r="H12" s="4" t="n">
        <f aca="false">-H6*Assumptions!H31/100</f>
        <v>-713.456643429718</v>
      </c>
      <c r="I12" s="4" t="n">
        <f aca="false">-I6*Assumptions!I31/100</f>
        <v>-731.293059515461</v>
      </c>
      <c r="J12" s="4" t="n">
        <f aca="false">-J6*Assumptions!J31/100</f>
        <v>-723.727958899784</v>
      </c>
      <c r="K12" s="4" t="n">
        <f aca="false">-K6*Assumptions!K31/100</f>
        <v>-741.821157872278</v>
      </c>
      <c r="L12" s="4" t="n">
        <f aca="false">-L6*Assumptions!L31/100</f>
        <v>-760.366686819085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2959.1141268</v>
      </c>
      <c r="D13" s="0" t="n">
        <f aca="false">D11+D12</f>
        <v>3137.880260736</v>
      </c>
      <c r="E13" s="0" t="n">
        <f aca="false">E11+E12</f>
        <v>2759.80395614976</v>
      </c>
      <c r="F13" s="0" t="n">
        <f aca="false">F11+F12</f>
        <v>2810.59169617475</v>
      </c>
      <c r="G13" s="0" t="n">
        <f aca="false">G11+G12</f>
        <v>3014.33640444695</v>
      </c>
      <c r="H13" s="0" t="n">
        <f aca="false">H11+H12</f>
        <v>3129.36844980208</v>
      </c>
      <c r="I13" s="0" t="n">
        <f aca="false">I11+I12</f>
        <v>3207.60266104713</v>
      </c>
      <c r="J13" s="0" t="n">
        <f aca="false">J11+J12</f>
        <v>3313.64015467687</v>
      </c>
      <c r="K13" s="0" t="n">
        <f aca="false">K11+K12</f>
        <v>3396.48115854379</v>
      </c>
      <c r="L13" s="0" t="n">
        <f aca="false">L11+L12</f>
        <v>3481.39318750738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2367.29130144</v>
      </c>
      <c r="D15" s="0" t="n">
        <f aca="false">D13-MAX(0,D13)*D14/100</f>
        <v>2447.54660337408</v>
      </c>
      <c r="E15" s="0" t="n">
        <f aca="false">E13-MAX(0,E13)*E14/100</f>
        <v>2125.04904623532</v>
      </c>
      <c r="F15" s="0" t="n">
        <f aca="false">F13-MAX(0,F13)*F14/100</f>
        <v>2164.15560605455</v>
      </c>
      <c r="G15" s="0" t="n">
        <f aca="false">G13-MAX(0,G13)*G14/100</f>
        <v>2321.03903142415</v>
      </c>
      <c r="H15" s="0" t="n">
        <f aca="false">H13-MAX(0,H13)*H14/100</f>
        <v>2409.6137063476</v>
      </c>
      <c r="I15" s="0" t="n">
        <f aca="false">I13-MAX(0,I13)*I14/100</f>
        <v>2469.85404900629</v>
      </c>
      <c r="J15" s="0" t="n">
        <f aca="false">J13-MAX(0,J13)*J14/100</f>
        <v>2551.50291910119</v>
      </c>
      <c r="K15" s="0" t="n">
        <f aca="false">K13-MAX(0,K13)*K14/100</f>
        <v>2615.29049207872</v>
      </c>
      <c r="L15" s="0" t="n">
        <f aca="false">L13-MAX(0,L13)*L14/100</f>
        <v>2680.67275438069</v>
      </c>
    </row>
    <row r="16" customFormat="false" ht="15" hidden="false" customHeight="false" outlineLevel="0" collapsed="false">
      <c r="A16" s="0" t="s">
        <v>128</v>
      </c>
      <c r="C16" s="0" t="n">
        <f aca="false">-C12</f>
        <v>703.43442</v>
      </c>
      <c r="D16" s="0" t="n">
        <f aca="false">-D12</f>
        <v>717.5031084</v>
      </c>
      <c r="E16" s="0" t="n">
        <f aca="false">-E12</f>
        <v>711.7630835328</v>
      </c>
      <c r="F16" s="0" t="n">
        <f aca="false">-F12</f>
        <v>695.69101390464</v>
      </c>
      <c r="G16" s="0" t="n">
        <f aca="false">-G12</f>
        <v>716.561744321779</v>
      </c>
      <c r="H16" s="0" t="n">
        <f aca="false">-H12</f>
        <v>713.456643429718</v>
      </c>
      <c r="I16" s="0" t="n">
        <f aca="false">-I12</f>
        <v>731.293059515461</v>
      </c>
      <c r="J16" s="0" t="n">
        <f aca="false">-J12</f>
        <v>723.727958899784</v>
      </c>
      <c r="K16" s="0" t="n">
        <f aca="false">-K12</f>
        <v>741.821157872278</v>
      </c>
      <c r="L16" s="0" t="n">
        <f aca="false">-L12</f>
        <v>760.366686819085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-586.19535</v>
      </c>
      <c r="D17" s="4" t="n">
        <f aca="false">-D6*Assumptions!D32/100</f>
        <v>-550.08571644</v>
      </c>
      <c r="E17" s="4" t="n">
        <f aca="false">-E6*Assumptions!E32/100</f>
        <v>-413.2817904384</v>
      </c>
      <c r="F17" s="4" t="n">
        <f aca="false">-F6*Assumptions!F32/100</f>
        <v>-463.79400926976</v>
      </c>
      <c r="G17" s="4" t="n">
        <f aca="false">-G6*Assumptions!G32/100</f>
        <v>-549.364003980031</v>
      </c>
      <c r="H17" s="4" t="n">
        <f aca="false">-H6*Assumptions!H32/100</f>
        <v>-615.048830542861</v>
      </c>
      <c r="I17" s="4" t="n">
        <f aca="false">-I6*Assumptions!I32/100</f>
        <v>-655.642053358689</v>
      </c>
      <c r="J17" s="4" t="n">
        <f aca="false">-J6*Assumptions!J32/100</f>
        <v>-697.88053179622</v>
      </c>
      <c r="K17" s="4" t="n">
        <f aca="false">-K6*Assumptions!K32/100</f>
        <v>-741.821157872278</v>
      </c>
      <c r="L17" s="4" t="n">
        <f aca="false">-L6*Assumptions!L32/100</f>
        <v>-760.366686819085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-1054.2428</v>
      </c>
      <c r="D18" s="4" t="n">
        <f aca="false">(D6-C6)*Assumptions!$B$37/100</f>
        <v>-93.7912560000004</v>
      </c>
      <c r="E18" s="4" t="n">
        <f aca="false">(E6-D6)*Assumptions!$B$37/100</f>
        <v>191.33416224</v>
      </c>
      <c r="F18" s="4" t="n">
        <f aca="false">(F6-E6)*Assumptions!$B$37/100</f>
        <v>-45.9201989376001</v>
      </c>
      <c r="G18" s="4" t="n">
        <f aca="false">(G6-F6)*Assumptions!$B$37/100</f>
        <v>-139.138202780928</v>
      </c>
      <c r="H18" s="4" t="n">
        <f aca="false">(H6-G6)*Assumptions!$B$37/100</f>
        <v>-143.312348864356</v>
      </c>
      <c r="I18" s="4" t="n">
        <f aca="false">(I6-H6)*Assumptions!$B$37/100</f>
        <v>-123.009766108572</v>
      </c>
      <c r="J18" s="4" t="n">
        <f aca="false">(J6-I6)*Assumptions!$B$37/100</f>
        <v>-126.085010261286</v>
      </c>
      <c r="K18" s="4" t="n">
        <f aca="false">(K6-J6)*Assumptions!$B$37/100</f>
        <v>-129.237135517818</v>
      </c>
      <c r="L18" s="4" t="n">
        <f aca="false">(L6-K6)*Assumptions!$B$37/100</f>
        <v>-132.468063905764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1430.28757144</v>
      </c>
      <c r="D19" s="0" t="n">
        <f aca="false">D15+D16+D17+D18</f>
        <v>2521.17273933408</v>
      </c>
      <c r="E19" s="0" t="n">
        <f aca="false">E15+E16+E17+E18</f>
        <v>2614.86450156972</v>
      </c>
      <c r="F19" s="0" t="n">
        <f aca="false">F15+F16+F17+F18</f>
        <v>2350.13241175183</v>
      </c>
      <c r="G19" s="0" t="n">
        <f aca="false">G15+G16+G17+G18</f>
        <v>2349.09856898497</v>
      </c>
      <c r="H19" s="0" t="n">
        <f aca="false">H15+H16+H17+H18</f>
        <v>2364.7091703701</v>
      </c>
      <c r="I19" s="0" t="n">
        <f aca="false">I15+I16+I17+I18</f>
        <v>2422.49528905449</v>
      </c>
      <c r="J19" s="0" t="n">
        <f aca="false">J15+J16+J17+J18</f>
        <v>2451.26533594347</v>
      </c>
      <c r="K19" s="0" t="n">
        <f aca="false">K15+K16+K17+K18</f>
        <v>2486.0533565609</v>
      </c>
      <c r="L19" s="0" t="n">
        <f aca="false">L15+L16+L17+L18</f>
        <v>2548.20469047492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1300.26142858182</v>
      </c>
      <c r="D21" s="0" t="n">
        <f aca="false">D19*D20</f>
        <v>2083.6138341604</v>
      </c>
      <c r="E21" s="0" t="n">
        <f aca="false">E19*E20</f>
        <v>1964.58640238145</v>
      </c>
      <c r="F21" s="0" t="n">
        <f aca="false">F19*F20</f>
        <v>1605.17205911607</v>
      </c>
      <c r="G21" s="0" t="n">
        <f aca="false">G19*G20</f>
        <v>1458.60539145052</v>
      </c>
      <c r="H21" s="0" t="n">
        <f aca="false">H19*H20</f>
        <v>1334.81667883302</v>
      </c>
      <c r="I21" s="0" t="n">
        <f aca="false">I19*I20</f>
        <v>1243.12312395395</v>
      </c>
      <c r="J21" s="0" t="n">
        <f aca="false">J19*J20</f>
        <v>1143.53337006992</v>
      </c>
      <c r="K21" s="0" t="n">
        <f aca="false">K19*K20</f>
        <v>1054.3293076644</v>
      </c>
      <c r="L21" s="0" t="n">
        <f aca="false">L19*L20</f>
        <v>982.443218505462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14170.484814717</v>
      </c>
    </row>
    <row r="31" customFormat="false" ht="15" hidden="false" customHeight="false" outlineLevel="0" collapsed="false">
      <c r="A31" s="0" t="s">
        <v>137</v>
      </c>
      <c r="B31" s="0" t="n">
        <f aca="false">L19</f>
        <v>2548.20469047492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34825.4641031573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30578.4562856991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30578.4562856991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11789.3186220655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25959.8034367825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22326.2034367825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154.399747142341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-0.317328791871861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568.454801791938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543.73137890787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162.09121450541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20895.2784618944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89.7880063155803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30</v>
      </c>
      <c r="D5" s="4" t="n">
        <f aca="false">Assumptions!D41</f>
        <v>6</v>
      </c>
      <c r="E5" s="4" t="n">
        <f aca="false">Assumptions!E41</f>
        <v>1</v>
      </c>
      <c r="F5" s="4" t="n">
        <f aca="false">Assumptions!F41</f>
        <v>3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18176.6</v>
      </c>
      <c r="C6" s="0" t="n">
        <f aca="false">B6*(1+C5/100)</f>
        <v>23629.58</v>
      </c>
      <c r="D6" s="0" t="n">
        <f aca="false">C6*(1+D5/100)</f>
        <v>25047.3548</v>
      </c>
      <c r="E6" s="0" t="n">
        <f aca="false">D6*(1+E5/100)</f>
        <v>25297.828348</v>
      </c>
      <c r="F6" s="0" t="n">
        <f aca="false">E6*(1+F5/100)</f>
        <v>26056.76319844</v>
      </c>
      <c r="G6" s="0" t="n">
        <f aca="false">F6*(1+G5/100)</f>
        <v>27099.0337263776</v>
      </c>
      <c r="H6" s="0" t="n">
        <f aca="false">G6*(1+H5/100)</f>
        <v>28047.4999068008</v>
      </c>
      <c r="I6" s="0" t="n">
        <f aca="false">H6*(1+I5/100)</f>
        <v>28888.9249040048</v>
      </c>
      <c r="J6" s="0" t="n">
        <f aca="false">I6*(1+J5/100)</f>
        <v>29755.592651125</v>
      </c>
      <c r="K6" s="0" t="n">
        <f aca="false">J6*(1+K5/100)</f>
        <v>30648.2604306587</v>
      </c>
      <c r="L6" s="0" t="n">
        <f aca="false">K6*(1+L5/100)</f>
        <v>31567.7082435785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16.5</v>
      </c>
      <c r="D7" s="4" t="n">
        <f aca="false">Assumptions!D42</f>
        <v>18.5</v>
      </c>
      <c r="E7" s="4" t="n">
        <f aca="false">Assumptions!E42</f>
        <v>18</v>
      </c>
      <c r="F7" s="4" t="n">
        <f aca="false">Assumptions!F42</f>
        <v>18</v>
      </c>
      <c r="G7" s="4" t="n">
        <f aca="false">Assumptions!G42</f>
        <v>18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3898.8807</v>
      </c>
      <c r="D8" s="0" t="n">
        <f aca="false">D6*D7/100</f>
        <v>4633.760638</v>
      </c>
      <c r="E8" s="0" t="n">
        <f aca="false">E6*E7/100</f>
        <v>4553.60910264</v>
      </c>
      <c r="F8" s="0" t="n">
        <f aca="false">F6*F7/100</f>
        <v>4690.2173757192</v>
      </c>
      <c r="G8" s="0" t="n">
        <f aca="false">G6*G7/100</f>
        <v>4877.82607074797</v>
      </c>
      <c r="H8" s="0" t="n">
        <f aca="false">H6*H7/100</f>
        <v>5048.54998322415</v>
      </c>
      <c r="I8" s="0" t="n">
        <f aca="false">I6*I7/100</f>
        <v>5200.00648272087</v>
      </c>
      <c r="J8" s="0" t="n">
        <f aca="false">J6*J7/100</f>
        <v>5356.0066772025</v>
      </c>
      <c r="K8" s="0" t="n">
        <f aca="false">K6*K7/100</f>
        <v>5516.68687751857</v>
      </c>
      <c r="L8" s="0" t="n">
        <f aca="false">L6*L7/100</f>
        <v>5682.18748384413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0.38</v>
      </c>
      <c r="D9" s="4" t="n">
        <f aca="false">Assumptions!D43</f>
        <v>0.38</v>
      </c>
      <c r="E9" s="4" t="n">
        <f aca="false">Assumptions!E43</f>
        <v>0.38</v>
      </c>
      <c r="F9" s="4" t="n">
        <f aca="false">Assumptions!F43</f>
        <v>0.38</v>
      </c>
      <c r="G9" s="4" t="n">
        <f aca="false">Assumptions!G43</f>
        <v>0.38</v>
      </c>
      <c r="H9" s="4" t="n">
        <f aca="false">Assumptions!H43</f>
        <v>0.38</v>
      </c>
      <c r="I9" s="4" t="n">
        <f aca="false">Assumptions!I43</f>
        <v>0.38</v>
      </c>
      <c r="J9" s="4" t="n">
        <f aca="false">Assumptions!J43</f>
        <v>0.38</v>
      </c>
      <c r="K9" s="4" t="n">
        <f aca="false">Assumptions!K43</f>
        <v>0.38</v>
      </c>
      <c r="L9" s="4" t="n">
        <f aca="false">Assumptions!L43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-89.792404</v>
      </c>
      <c r="D10" s="0" t="n">
        <f aca="false">-D6*D9/100</f>
        <v>-95.17994824</v>
      </c>
      <c r="E10" s="0" t="n">
        <f aca="false">-E6*E9/100</f>
        <v>-96.1317477224</v>
      </c>
      <c r="F10" s="0" t="n">
        <f aca="false">-F6*F9/100</f>
        <v>-99.015700154072</v>
      </c>
      <c r="G10" s="0" t="n">
        <f aca="false">-G6*G9/100</f>
        <v>-102.976328160235</v>
      </c>
      <c r="H10" s="0" t="n">
        <f aca="false">-H6*H9/100</f>
        <v>-106.580499645843</v>
      </c>
      <c r="I10" s="0" t="n">
        <f aca="false">-I6*I9/100</f>
        <v>-109.777914635218</v>
      </c>
      <c r="J10" s="0" t="n">
        <f aca="false">-J6*J9/100</f>
        <v>-113.071252074275</v>
      </c>
      <c r="K10" s="0" t="n">
        <f aca="false">-K6*K9/100</f>
        <v>-116.463389636503</v>
      </c>
      <c r="L10" s="0" t="n">
        <f aca="false">-L6*L9/100</f>
        <v>-119.957291325598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3809.088296</v>
      </c>
      <c r="D11" s="0" t="n">
        <f aca="false">D8+D10+D24</f>
        <v>4538.58068976</v>
      </c>
      <c r="E11" s="0" t="n">
        <f aca="false">E8+E10+E24</f>
        <v>4457.4773549176</v>
      </c>
      <c r="F11" s="0" t="n">
        <f aca="false">F8+F10+F24</f>
        <v>4591.20167556513</v>
      </c>
      <c r="G11" s="0" t="n">
        <f aca="false">G8+G10+G24</f>
        <v>4774.84974258774</v>
      </c>
      <c r="H11" s="0" t="n">
        <f aca="false">H8+H10+H24</f>
        <v>4941.9694835783</v>
      </c>
      <c r="I11" s="0" t="n">
        <f aca="false">I8+I10+I24</f>
        <v>5090.22856808565</v>
      </c>
      <c r="J11" s="0" t="n">
        <f aca="false">J8+J10+J24</f>
        <v>5242.93542512822</v>
      </c>
      <c r="K11" s="0" t="n">
        <f aca="false">K8+K10+K24</f>
        <v>5400.22348788207</v>
      </c>
      <c r="L11" s="0" t="n">
        <f aca="false">L8+L10+L24</f>
        <v>5562.23019251853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-708.8874</v>
      </c>
      <c r="D12" s="4" t="n">
        <f aca="false">-D6*Assumptions!D45/100</f>
        <v>-726.3732892</v>
      </c>
      <c r="E12" s="4" t="n">
        <f aca="false">-E6*Assumptions!E45/100</f>
        <v>-733.637022092</v>
      </c>
      <c r="F12" s="4" t="n">
        <f aca="false">-F6*Assumptions!F45/100</f>
        <v>-729.58936955632</v>
      </c>
      <c r="G12" s="4" t="n">
        <f aca="false">-G6*Assumptions!G45/100</f>
        <v>-758.772944338573</v>
      </c>
      <c r="H12" s="4" t="n">
        <f aca="false">-H6*Assumptions!H45/100</f>
        <v>-785.329997390423</v>
      </c>
      <c r="I12" s="4" t="n">
        <f aca="false">-I6*Assumptions!I45/100</f>
        <v>-780.000972408131</v>
      </c>
      <c r="J12" s="4" t="n">
        <f aca="false">-J6*Assumptions!J45/100</f>
        <v>-803.401001580375</v>
      </c>
      <c r="K12" s="4" t="n">
        <f aca="false">-K6*Assumptions!K45/100</f>
        <v>-827.503031627786</v>
      </c>
      <c r="L12" s="4" t="n">
        <f aca="false">-L6*Assumptions!L45/100</f>
        <v>-852.32812257662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3100.200896</v>
      </c>
      <c r="D13" s="0" t="n">
        <f aca="false">D11+D12</f>
        <v>3812.20740056</v>
      </c>
      <c r="E13" s="0" t="n">
        <f aca="false">E11+E12</f>
        <v>3723.8403328256</v>
      </c>
      <c r="F13" s="0" t="n">
        <f aca="false">F11+F12</f>
        <v>3861.61230600881</v>
      </c>
      <c r="G13" s="0" t="n">
        <f aca="false">G11+G12</f>
        <v>4016.07679824916</v>
      </c>
      <c r="H13" s="0" t="n">
        <f aca="false">H11+H12</f>
        <v>4156.63948618788</v>
      </c>
      <c r="I13" s="0" t="n">
        <f aca="false">I11+I12</f>
        <v>4310.22759567752</v>
      </c>
      <c r="J13" s="0" t="n">
        <f aca="false">J11+J12</f>
        <v>4439.53442354785</v>
      </c>
      <c r="K13" s="0" t="n">
        <f aca="false">K11+K12</f>
        <v>4572.72045625428</v>
      </c>
      <c r="L13" s="0" t="n">
        <f aca="false">L11+L12</f>
        <v>4709.90206994191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2480.1607168</v>
      </c>
      <c r="D15" s="0" t="n">
        <f aca="false">D13-MAX(0,D13)*D14/100</f>
        <v>2973.5217724368</v>
      </c>
      <c r="E15" s="0" t="n">
        <f aca="false">E13-MAX(0,E13)*E14/100</f>
        <v>2867.35705627571</v>
      </c>
      <c r="F15" s="0" t="n">
        <f aca="false">F13-MAX(0,F13)*F14/100</f>
        <v>2973.44147562678</v>
      </c>
      <c r="G15" s="0" t="n">
        <f aca="false">G13-MAX(0,G13)*G14/100</f>
        <v>3092.37913465185</v>
      </c>
      <c r="H15" s="0" t="n">
        <f aca="false">H13-MAX(0,H13)*H14/100</f>
        <v>3200.61240436467</v>
      </c>
      <c r="I15" s="0" t="n">
        <f aca="false">I13-MAX(0,I13)*I14/100</f>
        <v>3318.87524867169</v>
      </c>
      <c r="J15" s="0" t="n">
        <f aca="false">J13-MAX(0,J13)*J14/100</f>
        <v>3418.44150613184</v>
      </c>
      <c r="K15" s="0" t="n">
        <f aca="false">K13-MAX(0,K13)*K14/100</f>
        <v>3520.9947513158</v>
      </c>
      <c r="L15" s="0" t="n">
        <f aca="false">L13-MAX(0,L13)*L14/100</f>
        <v>3626.62459385527</v>
      </c>
    </row>
    <row r="16" customFormat="false" ht="15" hidden="false" customHeight="false" outlineLevel="0" collapsed="false">
      <c r="A16" s="0" t="s">
        <v>128</v>
      </c>
      <c r="C16" s="0" t="n">
        <f aca="false">-C12</f>
        <v>708.8874</v>
      </c>
      <c r="D16" s="0" t="n">
        <f aca="false">-D12</f>
        <v>726.3732892</v>
      </c>
      <c r="E16" s="0" t="n">
        <f aca="false">-E12</f>
        <v>733.637022092</v>
      </c>
      <c r="F16" s="0" t="n">
        <f aca="false">-F12</f>
        <v>729.58936955632</v>
      </c>
      <c r="G16" s="0" t="n">
        <f aca="false">-G12</f>
        <v>758.772944338573</v>
      </c>
      <c r="H16" s="0" t="n">
        <f aca="false">-H12</f>
        <v>785.329997390423</v>
      </c>
      <c r="I16" s="0" t="n">
        <f aca="false">-I12</f>
        <v>780.000972408131</v>
      </c>
      <c r="J16" s="0" t="n">
        <f aca="false">-J12</f>
        <v>803.401001580375</v>
      </c>
      <c r="K16" s="0" t="n">
        <f aca="false">-K12</f>
        <v>827.503031627786</v>
      </c>
      <c r="L16" s="0" t="n">
        <f aca="false">-L12</f>
        <v>852.32812257662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-590.7395</v>
      </c>
      <c r="D17" s="4" t="n">
        <f aca="false">-D6*Assumptions!D46/100</f>
        <v>-551.0418056</v>
      </c>
      <c r="E17" s="4" t="n">
        <f aca="false">-E6*Assumptions!E46/100</f>
        <v>-430.063081916</v>
      </c>
      <c r="F17" s="4" t="n">
        <f aca="false">-F6*Assumptions!F46/100</f>
        <v>-495.07850077036</v>
      </c>
      <c r="G17" s="4" t="n">
        <f aca="false">-G6*Assumptions!G46/100</f>
        <v>-596.178741980307</v>
      </c>
      <c r="H17" s="4" t="n">
        <f aca="false">-H6*Assumptions!H46/100</f>
        <v>-673.13999776322</v>
      </c>
      <c r="I17" s="4" t="n">
        <f aca="false">-I6*Assumptions!I46/100</f>
        <v>-722.223122600121</v>
      </c>
      <c r="J17" s="4" t="n">
        <f aca="false">-J6*Assumptions!J46/100</f>
        <v>-773.64540892925</v>
      </c>
      <c r="K17" s="4" t="n">
        <f aca="false">-K6*Assumptions!K46/100</f>
        <v>-827.503031627786</v>
      </c>
      <c r="L17" s="4" t="n">
        <f aca="false">-L6*Assumptions!L46/100</f>
        <v>-852.32812257662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-1090.596</v>
      </c>
      <c r="D18" s="4" t="n">
        <f aca="false">(D6-C6)*Assumptions!$B$51/100</f>
        <v>-283.554960000001</v>
      </c>
      <c r="E18" s="4" t="n">
        <f aca="false">(E6-D6)*Assumptions!$B$51/100</f>
        <v>-50.0947096000004</v>
      </c>
      <c r="F18" s="4" t="n">
        <f aca="false">(F6-E6)*Assumptions!$B$51/100</f>
        <v>-151.786970088</v>
      </c>
      <c r="G18" s="4" t="n">
        <f aca="false">(G6-F6)*Assumptions!$B$51/100</f>
        <v>-208.45410558752</v>
      </c>
      <c r="H18" s="4" t="n">
        <f aca="false">(H6-G6)*Assumptions!$B$51/100</f>
        <v>-189.693236084643</v>
      </c>
      <c r="I18" s="4" t="n">
        <f aca="false">(I6-H6)*Assumptions!$B$51/100</f>
        <v>-168.284999440805</v>
      </c>
      <c r="J18" s="4" t="n">
        <f aca="false">(J6-I6)*Assumptions!$B$51/100</f>
        <v>-173.333549424029</v>
      </c>
      <c r="K18" s="4" t="n">
        <f aca="false">(K6-J6)*Assumptions!$B$51/100</f>
        <v>-178.53355590675</v>
      </c>
      <c r="L18" s="4" t="n">
        <f aca="false">(L6-K6)*Assumptions!$B$51/100</f>
        <v>-183.889562583953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1507.7126168</v>
      </c>
      <c r="D19" s="0" t="n">
        <f aca="false">D15+D16+D17+D18</f>
        <v>2865.2982960368</v>
      </c>
      <c r="E19" s="0" t="n">
        <f aca="false">E15+E16+E17+E18</f>
        <v>3120.83628685171</v>
      </c>
      <c r="F19" s="0" t="n">
        <f aca="false">F15+F16+F17+F18</f>
        <v>3056.16537432474</v>
      </c>
      <c r="G19" s="0" t="n">
        <f aca="false">G15+G16+G17+G18</f>
        <v>3046.5192314226</v>
      </c>
      <c r="H19" s="0" t="n">
        <f aca="false">H15+H16+H17+H18</f>
        <v>3123.10916790723</v>
      </c>
      <c r="I19" s="0" t="n">
        <f aca="false">I15+I16+I17+I18</f>
        <v>3208.3680990389</v>
      </c>
      <c r="J19" s="0" t="n">
        <f aca="false">J15+J16+J17+J18</f>
        <v>3274.86354935894</v>
      </c>
      <c r="K19" s="0" t="n">
        <f aca="false">K15+K16+K17+K18</f>
        <v>3342.46119540905</v>
      </c>
      <c r="L19" s="0" t="n">
        <f aca="false">L15+L16+L17+L18</f>
        <v>3442.73503127132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1370.64783345455</v>
      </c>
      <c r="D21" s="0" t="n">
        <f aca="false">D19*D20</f>
        <v>2368.01512069157</v>
      </c>
      <c r="E21" s="0" t="n">
        <f aca="false">E19*E20</f>
        <v>2344.73049350241</v>
      </c>
      <c r="F21" s="0" t="n">
        <f aca="false">F19*F20</f>
        <v>2087.40207248463</v>
      </c>
      <c r="G21" s="0" t="n">
        <f aca="false">G19*G20</f>
        <v>1891.64875190008</v>
      </c>
      <c r="H21" s="0" t="n">
        <f aca="false">H19*H20</f>
        <v>1762.91370599558</v>
      </c>
      <c r="I21" s="0" t="n">
        <f aca="false">I19*I20</f>
        <v>1646.40013629423</v>
      </c>
      <c r="J21" s="0" t="n">
        <f aca="false">J19*J20</f>
        <v>1527.74801495579</v>
      </c>
      <c r="K21" s="0" t="n">
        <f aca="false">K19*K20</f>
        <v>1417.52983247543</v>
      </c>
      <c r="L21" s="0" t="n">
        <f aca="false">L19*L20</f>
        <v>1327.32338859063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17744.3593503449</v>
      </c>
    </row>
    <row r="31" customFormat="false" ht="15" hidden="false" customHeight="false" outlineLevel="0" collapsed="false">
      <c r="A31" s="0" t="s">
        <v>137</v>
      </c>
      <c r="B31" s="0" t="n">
        <f aca="false">L19</f>
        <v>3442.73503127132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50657.3868887066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41312.8203752559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41312.8203752559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15927.8806630875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33672.2400134324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30038.6400134324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207.736099677956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-0.0815046218421733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628.969520795823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680.517007848423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216.792023112563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29550.1423517455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123.723673962759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90.8895209976264</v>
      </c>
      <c r="C4" s="0" t="n">
        <f aca="false">B4/Assumptions!$B$2-1</f>
        <v>-0.598136264767094</v>
      </c>
      <c r="D4" s="4" t="n">
        <f aca="false">Assumptions!$B$24</f>
        <v>0.25</v>
      </c>
      <c r="E4" s="4" t="n">
        <f aca="false">DCF_Bear!$B$43</f>
        <v>97.0412427947703</v>
      </c>
      <c r="F4" s="4" t="n">
        <f aca="false">DCF_Bear!$B$47</f>
        <v>50.6835066015317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154.399747142341</v>
      </c>
      <c r="C5" s="0" t="n">
        <f aca="false">B5/Assumptions!$B$2-1</f>
        <v>-0.317328791871861</v>
      </c>
      <c r="D5" s="4" t="n">
        <f aca="false">Assumptions!$B$38</f>
        <v>0.5</v>
      </c>
      <c r="E5" s="4" t="n">
        <f aca="false">DCF_Base!$B$43</f>
        <v>162.09121450541</v>
      </c>
      <c r="F5" s="4" t="n">
        <f aca="false">DCF_Base!$B$47</f>
        <v>89.7880063155803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207.736099677956</v>
      </c>
      <c r="C6" s="0" t="n">
        <f aca="false">B6/Assumptions!$B$2-1</f>
        <v>-0.0815046218421733</v>
      </c>
      <c r="D6" s="4" t="n">
        <f aca="false">Assumptions!$B$52</f>
        <v>0.25</v>
      </c>
      <c r="E6" s="4" t="n">
        <f aca="false">DCF_Bull!$B$43</f>
        <v>216.792023112563</v>
      </c>
      <c r="F6" s="4" t="n">
        <f aca="false">DCF_Bull!$B$47</f>
        <v>123.723673962759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151.856278740066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159.503923729539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-0.489368776032879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971.720331712995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88.4957982988627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166.767039611503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154.399747142341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143.074998256536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125.823619381377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89.7880063155803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180.289696653963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180.289696653963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180.289696653963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180.289696653963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180.289696653963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166.767039611503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166.767039611503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166.767039611503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166.767039611503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166.767039611503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154.000087546497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154.399747142341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154.399747142341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154.399747142341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154.399747142341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134.9087488869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138.937431909254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143.074998256536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143.074998256536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143.074998256536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119.452864298023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122.478972962616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125.823619381377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129.53989318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132.692089705617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2026-10-02T08:59:57Z</dcterms:created>
  <dc:creator>openpyxl</dc:creator>
  <dc:description/>
  <dc:language>en-NZ</dc:language>
  <cp:lastModifiedBy/>
  <dcterms:modified xsi:type="dcterms:W3CDTF">2026-10-02T08:59:57Z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