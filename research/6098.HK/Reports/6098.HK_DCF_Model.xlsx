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Reconciliation" sheetId="2" state="visible" r:id="rId4"/>
    <sheet name="Actuals" sheetId="3" state="visible" r:id="rId5"/>
    <sheet name="Assumptions" sheetId="4" state="visible" r:id="rId6"/>
    <sheet name="DCF_Bear" sheetId="5" state="visible" r:id="rId7"/>
    <sheet name="DCF_Base" sheetId="6" state="visible" r:id="rId8"/>
    <sheet name="DCF_Bull" sheetId="7" state="visible" r:id="rId9"/>
    <sheet name="Valuatio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<sst xmlns="http://schemas.openxmlformats.org/spreadsheetml/2006/main" count="388" uniqueCount="193">
  <si>
    <t xml:space="preserve">Ticker</t>
  </si>
  <si>
    <t xml:space="preserve">6098.HK</t>
  </si>
  <si>
    <t xml:space="preserve">Company</t>
  </si>
  <si>
    <t xml:space="preserve">Country Garden Services Holdings Company Limited</t>
  </si>
  <si>
    <t xml:space="preserve">Valuation date</t>
  </si>
  <si>
    <t xml:space="preserve">2026-10-24</t>
  </si>
  <si>
    <t xml:space="preserve">Current price</t>
  </si>
  <si>
    <t xml:space="preserve">Price as of</t>
  </si>
  <si>
    <t xml:space="preserve">2026-10-23T08:08:08Z HKEX regular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</si>
  <si>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</si>
  <si>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</si>
  <si>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</si>
  <si>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</si>
  <si>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</si>
  <si>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</si>
  <si>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</si>
  <si>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</si>
  <si>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</si>
  <si>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</si>
  <si>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</si>
  <si>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</si>
  <si>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</si>
  <si>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2026-10-23T12:39:15Z</t>
  </si>
  <si>
    <t xml:space="preserve">Drivers file</t>
  </si>
  <si>
    <t xml:space="preserve">6098.HK_Drivers.json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</si>
  <si>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</si>
  <si>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</si>
  <si>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</si>
  <si>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Market capitalisation at the current price is roughly equal to net cash (about RMB4.1 per share, HK$4.9), so the market is paying ~nothing for operations that generated RMB2.5bn of core profit and ~RMB1.4-1.9bn of owner FCF in a bad year and that fund RMB1.5bn/yr of dividends plus ~RMB0.4bn of cancelled buybacks (~12% of market cap returned annually). The model values the operations on a normalised 8.2-8.4% EBITDA margin that already carries ~RMB1.6bn/yr of receivable impairments as a recurring cost, holds the share count flat with SBC expensed, strips finance income and counts the cash once in the bridge. WACC: the discount rate is 15.0% in every scenario, built as a 10.5% base cost of equity (1.8% CGB + 1.25 x 7.0% ERP) plus two explicit structural premia under the Step 8c.5 structural-WACC-understatement fix: +2.5% for single-counterparty concentration (49% of GFA and ~RMB2.0bn of receivables from the distressed, related Country Garden Holdings) and +2.0% for the regulatory/structural single point of failure (dual chairmanship, Feb-2026 SSE sanction, RMB1.0bn related-party loan from the cash pile, RMB907m of judicially frozen deposits). The premia were added on 2026-10-24 after the multiples sanity check tripped: at 10.5% the weighted IV of HK$13.40 implied 112.9x FY2025 SBC-adjusted EPS against a 10yr average of 47.0x (ceiling 94x). MULTIPLES VS HISTORY: the implied P/E is high in part because the denominator is FY2025 statutory EPS depressed by a RMB969m goodwill impairment and RMB1,088m of acquired-intangible amortisation (statutory profit ~RMB0.5bn against core profit ~RMB2.5bn); on core earnings the weighted IV is roughly 11-15x, inside the 10yr P/E range (11.8x-84.6x) and far below the 47x average that was set in the FY2018-22 growth-premium era. Implied P/B (~1.3x) and P/S (~1.0x) sit well below their 10yr averages (6.7x, 4.8x), which is the bear-market-sector reality rather than a model artefact. Even the bear case lands above the price because net cash alone covers it; the thesis therefore rests less on growth than on whether the cash is, and stays, shareholders' money. The dividend and cancel-on-repurchase record says it is; the related-party loan says watch it. The 15% rate equals the 15% hurdle, so the base entry price and base intrinsic value coincide: at today's price the model is saying a 15% required return is cleared with a margin, provided the cash is real.
wacc_premium: base_cost_of_equity_pct: 10.5
counterparty_concentration_premium_pct: 2.5
structural_single_point_of_failure_premium_pct: 2.0
total_wacc_pct: 15.0
applied_to: bear; base; bull
trigger: sanity_check 2026-10-23: implied P/E 112.9x vs 10yr average 47.0x (2x ceiling 94x); diagnosis wacc_too_low / regulatory single point of failure
overlap_note: The bear scenario's 30% weight and its flows also price CGH-contagion outcomes; the rate premium and the weights deliberately overlap under the fix playbook.
key_risks_to_valuation: Cash leakage to the controlling shareholder's other entities: a repeat of the RMB1.0bn FY2025 related-party loan, or dividends increasingly settled by offset against such loans, would convert bridge cash into impaired receivables; the model credits none of the existing loan but all of the deposits; CGH-estate attrition and receivable write-offs beyond the bear path: ~49% of revenue-bearing GFA and ~RMB2.0bn of receivables are CGH-linked; the bear case assumes ~12% cumulative revenue decline and ~RMB4bn of further write-offs, not a wholesale loss of the CGH book; Margin erosion continuing past 8.2%: gross margin fell 19.1% -&gt; 17.5% -&gt; 18.1% (H1) and the developing business (31% of revenue) keeps losing margin; the base assumes the slide stops in FY2026; Restricted or trapped cash: 907m of frozen/performance deposits is already excluded, but a further portion of the 15.3bn could be judicially frozen if CGH litigation spills over, or pledged beyond the 2.2bn already backing FX forwards; Recurring 'non-recurring' items: goodwill impairments (969m FY2025, 990m FY2024) are excluded as non-cash sunk M&amp;A cost, but guarantee losses, equity-pledged-loan impairments and the 'material arbitration' keep appearing; the base absorbs ~0.5pp of margin for them, which may not be enough; Terminal value: at a 15% WACC the Gordon multiple (7.8x base) governs rather than the 12x cap; the sector has traded at 5-8x core earnings for three years, so the terminal assumes little re-rating from today, but a 15% rate applied to a cash annuity is harsh if the governance discount ever lifts (base IV at 10.5% was HK$14.09); Implied multiple optics: the implied P/E against FY2025 SBC-adjusted statutory EPS stays elevated (impairment- and amortisation-depressed denominator) even after the WACC premium; a reader comparing to the 47x 10yr average should use core EPS, on which the valuation is ~11-15x</t>
  </si>
  <si>
    <t xml:space="preserve">Data sources</t>
  </si>
  <si>
    <t xml:space="preserve">price: Yahoo Finance chart API at inputs.price_as_of; 52-week range 4.80-6.74 HKD. FX: Yahoo CNYHKD=X same day.
financials: 6098.HK_Metrics.csv (FY2017-FY2025 plus H1 FY2023-FY2026) and the annual/interim filings: FY2025 annual report (P&amp;L, non-HKFRS reconciliation, D&amp;A and lease notes, cash flow statement, tax note) and H1 FY2026 interim report (30 June 2026 balance sheet, deposits note, borrowings note, EPS note, scrip-dividend note).
qualitative: 6098.HK_Analysis.json (2026-10-24): CGH exposure, high-risk-customer revenue suppression, PARA strategy, FY2026 dividend floor, SSE disciplinary action.</t>
  </si>
  <si>
    <t xml:space="preserve">Scenario narrative: bear</t>
  </si>
  <si>
    <t xml:space="preserve">The parent overhang bites operationally rather than just reputationally: CGH-estate attrition, non-renewal of low-margin contracts, and a further round of receivable write-offs shrink revenue and halve the owner-FCF margin; governance (dual chairmanship, related-party loans funded from the cash pile) keeps the multiple pinned near net cash.</t>
  </si>
  <si>
    <t xml:space="preserve">Scenario narrative: base</t>
  </si>
  <si>
    <t xml:space="preserve">Stable recurring property-management core (~70% of revenue, 90% of growth) grows mid-single digits as third-party GFA replaces the flat CGH pipeline; margins settle near 8.2-8.4% after a last leg of developing-business erosion; the recurring 'non-core' credit items are treated as a cost of doing business; RMB1.5bn dividends plus buybacks are covered by ~RMB1.9bn owner FCF without touching the cash pile. Discounted at 15% (10.5% base plus 4.5% of structural premia for the CGH counterparty and governance single point of failure).</t>
  </si>
  <si>
    <t xml:space="preserve">Scenario narrative: bull</t>
  </si>
  <si>
    <t xml:space="preserve">Bifu IFM and third-party wins keep growth at 6-7%, PARA technology delivers the labour productivity management promises, gross margin stops falling, receivable collections normalise and the cash-tax drag unwinds; the market re-rates part-way toward SOE-backed peers. Same 15% rate: a good operating year does not dissolve the shareholder structure.</t>
  </si>
  <si>
    <t xml:space="preserve">Item</t>
  </si>
  <si>
    <t xml:space="preserve">Value</t>
  </si>
  <si>
    <t xml:space="preserve">Note</t>
  </si>
  <si>
    <t xml:space="preserve">Prior valuation_date</t>
  </si>
  <si>
    <t xml:space="preserve">Prior price_then</t>
  </si>
  <si>
    <t xml:space="preserve">Prior bear</t>
  </si>
  <si>
    <t xml:space="preserve">Prior base</t>
  </si>
  <si>
    <t xml:space="preserve">Prior bull</t>
  </si>
  <si>
    <t xml:space="preserve">Prior weighted</t>
  </si>
  <si>
    <t xml:space="preserve">Prior note</t>
  </si>
  <si>
    <t xml:space="preserve">Same-day prior build at WACC 10.5%, before the sanity-check fix pass. HKD per share.</t>
  </si>
  <si>
    <t xml:space="preserve">New valuation_date</t>
  </si>
  <si>
    <t xml:space="preserve">New price_then</t>
  </si>
  <si>
    <t xml:space="preserve">New bear</t>
  </si>
  <si>
    <t xml:space="preserve">New base</t>
  </si>
  <si>
    <t xml:space="preserve">New bull</t>
  </si>
  <si>
    <t xml:space="preserve">New weighted</t>
  </si>
  <si>
    <t xml:space="preserve">Bridge</t>
  </si>
  <si>
    <t xml:space="preserve">Prior weighted IV (WACC 10.5%)</t>
  </si>
  <si>
    <t xml:space="preserve">Anchor refresh (price, FX, net cash, shares)</t>
  </si>
  <si>
    <t xml:space="preserve">none; same-day</t>
  </si>
  <si>
    <t xml:space="preserve">Driver paths (growth, margin, SBC, tax, WC, terminal g and caps)</t>
  </si>
  <si>
    <t xml:space="preserve">unchanged</t>
  </si>
  <si>
    <t xml:space="preserve">WACC +2.5% single-counterparty concentration premium and +2.0% structural single-point-of-failure premium, all scenarios (10.5% -&gt; 15.0%)</t>
  </si>
  <si>
    <t xml:space="preserve">13.40 -&gt; 10.37 from make build-dcf; the whole move is this one cause (bear 8.81 -&gt; 7.75, base 14.09 -&gt; 10.77, bull 18.56 -&gt; 13.30)</t>
  </si>
  <si>
    <t xml:space="preserve">New weighted IV (WACC 15.0%)</t>
  </si>
  <si>
    <t xml:space="preserve">ties to probability_weighted.weighted_iv after make build-dcf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</si>
  <si>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</si>
  <si>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</si>
  <si>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</si>
  <si>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</si>
  <si>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</si>
  <si>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</si>
  <si>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</si>
  <si>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</si>
  <si>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</si>
  <si>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</si>
  <si>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</si>
  <si>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</si>
  <si>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</si>
  <si>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</si>
  <si>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</si>
  <si>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</si>
  <si>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</si>
  <si>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</si>
  <si>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</si>
  <si>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</si>
  <si>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</si>
  <si>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</si>
  <si>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</si>
  <si>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</si>
  <si>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</si>
  <si>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</si>
  <si>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</si>
  <si>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ContractedGFA</t>
  </si>
  <si>
    <t xml:space="preserve">ManagedGFA</t>
  </si>
  <si>
    <t xml:space="preserve">PropertyManagementContracts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</si>
  <si>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</si>
  <si>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</si>
  <si>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</si>
  <si>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</si>
  <si>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</si>
  <si>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</si>
  <si>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</si>
  <si>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</si>
  <si>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</si>
  <si>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</si>
  <si>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</si>
  <si>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</si>
  <si>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</si>
  <si>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</si>
  <si>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</si>
  <si>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</si>
  <si>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</si>
  <si>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</si>
  <si>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</si>
  <si>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</si>
  <si>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</si>
  <si>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</si>
  <si>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</si>
  <si>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</si>
  <si>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</si>
  <si>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</si>
  <si>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</si>
  <si>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</si>
  <si>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</si>
  <si>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</si>
  <si>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</si>
  <si>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</si>
  <si>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</si>
  <si>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</si>
  <si>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</si>
  <si>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</si>
  <si>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</si>
  <si>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</si>
  <si>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</si>
  <si>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</si>
  <si>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</si>
  <si>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</si>
  <si>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</si>
  <si>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</si>
  <si>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</si>
  <si>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6098.HK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</si>
  <si>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</si>
  <si>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</si>
  <si>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</si>
  <si>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</si>
  <si>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</si>
  <si>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</si>
  <si>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</si>
  <si>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</si>
  <si>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</si>
  <si>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</si>
  <si>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</si>
  <si>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</si>
  <si>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</si>
  <si>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</si>
  <si>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</si>
  <si>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</si>
  <si>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</si>
  <si>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</si>
  <si>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</si>
  <si>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</si>
  <si>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</si>
  <si>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</si>
  <si>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</si>
  <si>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</si>
  <si>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</si>
  <si>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</si>
  <si>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</si>
  <si>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</si>
  <si>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</si>
  <si>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</si>
  <si>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6098.HK owner-FCF component DCF: base case (millions, CNY)</t>
  </si>
  <si>
    <t xml:space="preserve">6098.HK owner-FCF component DCF: bull case (millions, CNY)</t>
  </si>
  <si>
    <t xml:space="preserve">6098.HK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</si>
  <si>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</si>
  <si>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</si>
  <si>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</si>
  <si>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</si>
  <si>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</si>
  <si>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</si>
  <si>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</si>
  <si>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</si>
  <si>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</si>
  <si>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</si>
  <si>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</si>
  <si>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</si>
  <si>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</si>
  <si>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</si>
  <si>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</si>
  <si>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</si>
  <si>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</si>
  <si>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</si>
  <si>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 (WACC)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</si>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</sst>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4.975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102.2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</cols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</row>
    <row r="2" customFormat="false" ht="15" hidden="false" customHeight="false" outlineLevel="0" collapsed="false">
      <c r="A2" s="0" t="s">
        <v>40</v>
      </c>
      <c r="B2" s="0" t="s">
        <v>5</v>
      </c>
    </row>
    <row r="3" customFormat="false" ht="15" hidden="false" customHeight="false" outlineLevel="0" collapsed="false">
      <c r="A3" s="0" t="s">
        <v>41</v>
      </c>
      <c r="B3" s="0" t="n">
        <v>4.975</v>
      </c>
    </row>
    <row r="4" customFormat="false" ht="15" hidden="false" customHeight="false" outlineLevel="0" collapsed="false">
      <c r="A4" s="0" t="s">
        <v>42</v>
      </c>
      <c r="B4" s="0" t="n">
        <v>8.81</v>
      </c>
    </row>
    <row r="5" customFormat="false" ht="15" hidden="false" customHeight="false" outlineLevel="0" collapsed="false">
      <c r="A5" s="0" t="s">
        <v>43</v>
      </c>
      <c r="B5" s="0" t="n">
        <v>14.09</v>
      </c>
    </row>
    <row r="6" customFormat="false" ht="15" hidden="false" customHeight="false" outlineLevel="0" collapsed="false">
      <c r="A6" s="0" t="s">
        <v>44</v>
      </c>
      <c r="B6" s="0" t="n">
        <v>18.56</v>
      </c>
    </row>
    <row r="7" customFormat="false" ht="15" hidden="false" customHeight="false" outlineLevel="0" collapsed="false">
      <c r="A7" s="0" t="s">
        <v>45</v>
      </c>
      <c r="B7" s="0" t="n">
        <v>13.4</v>
      </c>
    </row>
    <row r="8" customFormat="false" ht="15" hidden="false" customHeight="false" outlineLevel="0" collapsed="false">
      <c r="A8" s="0" t="s">
        <v>46</v>
      </c>
      <c r="B8" s="0" t="s">
        <v>47</v>
      </c>
    </row>
    <row r="9" customFormat="false" ht="15" hidden="false" customHeight="false" outlineLevel="0" collapsed="false">
      <c r="A9" s="0" t="s">
        <v>48</v>
      </c>
      <c r="B9" s="0" t="s">
        <v>5</v>
      </c>
    </row>
    <row r="10" customFormat="false" ht="15" hidden="false" customHeight="false" outlineLevel="0" collapsed="false">
      <c r="A10" s="0" t="s">
        <v>49</v>
      </c>
      <c r="B10" s="0" t="n">
        <v>4.975</v>
      </c>
    </row>
    <row r="11" customFormat="false" ht="15" hidden="false" customHeight="false" outlineLevel="0" collapsed="false">
      <c r="A11" s="0" t="s">
        <v>50</v>
      </c>
      <c r="B11" s="0" t="n">
        <v>7.75</v>
      </c>
    </row>
    <row r="12" customFormat="false" ht="15" hidden="false" customHeight="false" outlineLevel="0" collapsed="false">
      <c r="A12" s="0" t="s">
        <v>51</v>
      </c>
      <c r="B12" s="0" t="n">
        <v>10.77</v>
      </c>
    </row>
    <row r="13" customFormat="false" ht="15" hidden="false" customHeight="false" outlineLevel="0" collapsed="false">
      <c r="A13" s="0" t="s">
        <v>52</v>
      </c>
      <c r="B13" s="0" t="n">
        <v>13.3</v>
      </c>
    </row>
    <row r="14" customFormat="false" ht="15" hidden="false" customHeight="false" outlineLevel="0" collapsed="false">
      <c r="A14" s="0" t="s">
        <v>53</v>
      </c>
      <c r="B14" s="0" t="n">
        <v>10.37</v>
      </c>
    </row>
    <row r="16" customFormat="false" ht="15" hidden="false" customHeight="false" outlineLevel="0" collapsed="false">
      <c r="A16" s="2" t="s">
        <v>54</v>
      </c>
    </row>
    <row r="17" customFormat="false" ht="15" hidden="false" customHeight="false" outlineLevel="0" collapsed="false">
      <c r="A17" s="0" t="s">
        <v>55</v>
      </c>
      <c r="B17" s="0" t="n">
        <v>13.4</v>
      </c>
    </row>
    <row r="18" customFormat="false" ht="15" hidden="false" customHeight="false" outlineLevel="0" collapsed="false">
      <c r="A18" s="0" t="s">
        <v>56</v>
      </c>
      <c r="B18" s="0" t="n">
        <v>0</v>
      </c>
      <c r="C18" s="0" t="s">
        <v>57</v>
      </c>
    </row>
    <row r="19" customFormat="false" ht="15" hidden="false" customHeight="false" outlineLevel="0" collapsed="false">
      <c r="A19" s="0" t="s">
        <v>58</v>
      </c>
      <c r="B19" s="0" t="n">
        <v>0</v>
      </c>
      <c r="C19" s="0" t="s">
        <v>59</v>
      </c>
    </row>
    <row r="20" customFormat="false" ht="15" hidden="false" customHeight="false" outlineLevel="0" collapsed="false">
      <c r="A20" s="0" t="s">
        <v>60</v>
      </c>
      <c r="B20" s="0" t="n">
        <v>-3.03</v>
      </c>
      <c r="C20" s="0" t="s">
        <v>61</v>
      </c>
    </row>
    <row r="21" customFormat="false" ht="15" hidden="false" customHeight="false" outlineLevel="0" collapsed="false">
      <c r="A21" s="0" t="s">
        <v>62</v>
      </c>
      <c r="B21" s="0" t="n">
        <v>10.37</v>
      </c>
      <c r="C21" s="0" t="s"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64</v>
      </c>
      <c r="B1" s="2" t="s">
        <v>65</v>
      </c>
      <c r="C1" s="2" t="s">
        <v>66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71</v>
      </c>
      <c r="I1" s="2" t="s">
        <v>72</v>
      </c>
      <c r="J1" s="2" t="s">
        <v>73</v>
      </c>
      <c r="K1" s="2" t="s">
        <v>74</v>
      </c>
      <c r="L1" s="2" t="s">
        <v>75</v>
      </c>
      <c r="M1" s="2" t="s">
        <v>76</v>
      </c>
      <c r="N1" s="2" t="s">
        <v>77</v>
      </c>
      <c r="O1" s="2" t="s">
        <v>78</v>
      </c>
      <c r="P1" s="2" t="s">
        <v>79</v>
      </c>
      <c r="Q1" s="2" t="s">
        <v>80</v>
      </c>
      <c r="R1" s="2" t="s">
        <v>81</v>
      </c>
      <c r="S1" s="2" t="s">
        <v>82</v>
      </c>
      <c r="T1" s="2" t="s">
        <v>83</v>
      </c>
      <c r="U1" s="2" t="s">
        <v>84</v>
      </c>
      <c r="V1" s="2" t="s">
        <v>85</v>
      </c>
      <c r="W1" s="2" t="s">
        <v>86</v>
      </c>
      <c r="X1" s="2" t="s">
        <v>87</v>
      </c>
      <c r="Y1" s="2" t="s">
        <v>88</v>
      </c>
      <c r="Z1" s="2" t="s">
        <v>89</v>
      </c>
      <c r="AA1" s="2" t="s">
        <v>17</v>
      </c>
      <c r="AB1" s="2" t="s">
        <v>90</v>
      </c>
      <c r="AC1" s="2" t="s">
        <v>91</v>
      </c>
      <c r="AD1" s="2" t="s">
        <v>92</v>
      </c>
      <c r="AE1" s="2" t="s">
        <v>93</v>
      </c>
    </row>
    <row r="2" customFormat="false" ht="15" hidden="false" customHeight="false" outlineLevel="0" collapsed="false">
      <c r="A2" s="0" t="s">
        <v>94</v>
      </c>
      <c r="B2" s="0" t="n">
        <v>3121.852</v>
      </c>
      <c r="D2" s="0" t="n">
        <v>1035.586</v>
      </c>
      <c r="E2" s="0" t="n">
        <v>33.2</v>
      </c>
      <c r="F2" s="0" t="n">
        <v>581.131</v>
      </c>
      <c r="G2" s="0" t="n">
        <v>18.6</v>
      </c>
      <c r="I2" s="0" t="n">
        <v>401.743</v>
      </c>
      <c r="J2" s="0" t="n">
        <v>12.9</v>
      </c>
      <c r="K2" s="0" t="n">
        <v>0.1607</v>
      </c>
      <c r="L2" s="0" t="n">
        <v>885.341</v>
      </c>
      <c r="O2" s="0" t="n">
        <v>1421.173</v>
      </c>
      <c r="P2" s="0" t="n">
        <v>3477.12</v>
      </c>
      <c r="Q2" s="0" t="n">
        <v>1935.014</v>
      </c>
      <c r="S2" s="0" t="n">
        <v>2634.297</v>
      </c>
      <c r="T2" s="0" t="n">
        <v>2500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95</v>
      </c>
      <c r="B3" s="0" t="n">
        <v>4675.287</v>
      </c>
      <c r="C3" s="0" t="n">
        <v>2913.665</v>
      </c>
      <c r="D3" s="0" t="n">
        <v>1761.622</v>
      </c>
      <c r="E3" s="0" t="n">
        <v>37.7</v>
      </c>
      <c r="F3" s="0" t="n">
        <v>1012.149</v>
      </c>
      <c r="G3" s="0" t="n">
        <v>21.6</v>
      </c>
      <c r="I3" s="0" t="n">
        <v>923.154</v>
      </c>
      <c r="J3" s="0" t="n">
        <v>19.7</v>
      </c>
      <c r="K3" s="0" t="n">
        <v>0.3693</v>
      </c>
      <c r="L3" s="0" t="n">
        <v>1548.676</v>
      </c>
      <c r="M3" s="0" t="n">
        <v>85.886</v>
      </c>
      <c r="N3" s="0" t="n">
        <v>1462.79</v>
      </c>
      <c r="O3" s="0" t="n">
        <v>2260.787</v>
      </c>
      <c r="P3" s="0" t="n">
        <v>5521.894</v>
      </c>
      <c r="Q3" s="0" t="n">
        <v>3192.188</v>
      </c>
      <c r="R3" s="0" t="n">
        <v>0</v>
      </c>
      <c r="S3" s="0" t="n">
        <v>3868.921</v>
      </c>
      <c r="T3" s="0" t="n">
        <v>2527.1</v>
      </c>
      <c r="U3" s="0" t="n">
        <v>20.537</v>
      </c>
      <c r="AA3" s="0" t="s">
        <v>18</v>
      </c>
      <c r="AB3" s="0" t="s">
        <v>14</v>
      </c>
      <c r="AC3" s="0" t="n">
        <v>505</v>
      </c>
      <c r="AD3" s="0" t="n">
        <v>181.5</v>
      </c>
    </row>
    <row r="4" customFormat="false" ht="15" hidden="false" customHeight="false" outlineLevel="0" collapsed="false">
      <c r="A4" s="0" t="s">
        <v>96</v>
      </c>
      <c r="B4" s="0" t="n">
        <v>9644.947</v>
      </c>
      <c r="C4" s="0" t="n">
        <v>6592.706</v>
      </c>
      <c r="D4" s="0" t="n">
        <v>3052.241</v>
      </c>
      <c r="E4" s="0" t="n">
        <v>31.6</v>
      </c>
      <c r="F4" s="0" t="n">
        <v>1976.384</v>
      </c>
      <c r="G4" s="0" t="n">
        <v>20.5</v>
      </c>
      <c r="I4" s="0" t="n">
        <v>1670.664</v>
      </c>
      <c r="J4" s="0" t="n">
        <v>17.3</v>
      </c>
      <c r="K4" s="0" t="n">
        <v>0.6273</v>
      </c>
      <c r="L4" s="0" t="n">
        <v>3257.206</v>
      </c>
      <c r="M4" s="0" t="n">
        <v>106.742</v>
      </c>
      <c r="N4" s="0" t="n">
        <v>3150.464</v>
      </c>
      <c r="O4" s="0" t="n">
        <v>5373.156</v>
      </c>
      <c r="P4" s="0" t="n">
        <v>12269.322</v>
      </c>
      <c r="Q4" s="0" t="n">
        <v>6589.796</v>
      </c>
      <c r="R4" s="0" t="n">
        <v>0</v>
      </c>
      <c r="S4" s="0" t="n">
        <v>6914.148</v>
      </c>
      <c r="T4" s="0" t="n">
        <v>2709</v>
      </c>
      <c r="U4" s="0" t="n">
        <v>14.371</v>
      </c>
      <c r="AA4" s="0" t="s">
        <v>18</v>
      </c>
      <c r="AB4" s="0" t="s">
        <v>14</v>
      </c>
      <c r="AC4" s="0" t="n">
        <v>684.7</v>
      </c>
      <c r="AD4" s="0" t="n">
        <v>276.1</v>
      </c>
      <c r="AE4" s="0" t="n">
        <v>2405</v>
      </c>
    </row>
    <row r="5" customFormat="false" ht="15" hidden="false" customHeight="false" outlineLevel="0" collapsed="false">
      <c r="A5" s="0" t="s">
        <v>97</v>
      </c>
      <c r="B5" s="0" t="n">
        <v>15600.421</v>
      </c>
      <c r="C5" s="0" t="n">
        <v>10300.653</v>
      </c>
      <c r="D5" s="0" t="n">
        <v>5299.768</v>
      </c>
      <c r="E5" s="0" t="n">
        <v>34</v>
      </c>
      <c r="F5" s="0" t="n">
        <v>3630.482</v>
      </c>
      <c r="G5" s="0" t="n">
        <v>23.3</v>
      </c>
      <c r="I5" s="0" t="n">
        <v>2686.128</v>
      </c>
      <c r="J5" s="0" t="n">
        <v>17.2</v>
      </c>
      <c r="K5" s="0" t="n">
        <v>0.9762</v>
      </c>
      <c r="L5" s="0" t="n">
        <v>3613.664</v>
      </c>
      <c r="M5" s="0" t="n">
        <v>345.447</v>
      </c>
      <c r="N5" s="0" t="n">
        <v>3268.217</v>
      </c>
      <c r="O5" s="0" t="n">
        <v>14565.74</v>
      </c>
      <c r="P5" s="0" t="n">
        <v>31203.877</v>
      </c>
      <c r="Q5" s="0" t="n">
        <v>15044.839</v>
      </c>
      <c r="R5" s="0" t="n">
        <v>3811.937</v>
      </c>
      <c r="S5" s="0" t="n">
        <v>15215.224</v>
      </c>
      <c r="T5" s="0" t="n">
        <v>2788.8</v>
      </c>
      <c r="U5" s="0" t="n">
        <v>233.749</v>
      </c>
      <c r="AA5" s="0" t="s">
        <v>18</v>
      </c>
      <c r="AB5" s="0" t="s">
        <v>14</v>
      </c>
      <c r="AC5" s="0" t="n">
        <v>820.5</v>
      </c>
      <c r="AD5" s="0" t="n">
        <v>377.3</v>
      </c>
    </row>
    <row r="6" customFormat="false" ht="15" hidden="false" customHeight="false" outlineLevel="0" collapsed="false">
      <c r="A6" s="0" t="s">
        <v>98</v>
      </c>
      <c r="B6" s="0" t="n">
        <v>28843.011</v>
      </c>
      <c r="C6" s="0" t="n">
        <v>19979.014</v>
      </c>
      <c r="D6" s="0" t="n">
        <v>8863.997</v>
      </c>
      <c r="E6" s="0" t="n">
        <v>30.7</v>
      </c>
      <c r="F6" s="0" t="n">
        <v>5729.266</v>
      </c>
      <c r="G6" s="0" t="n">
        <v>19.9</v>
      </c>
      <c r="I6" s="0" t="n">
        <v>4033.395</v>
      </c>
      <c r="J6" s="0" t="n">
        <v>14</v>
      </c>
      <c r="K6" s="0" t="n">
        <v>1.2842</v>
      </c>
      <c r="L6" s="0" t="n">
        <v>3407.373</v>
      </c>
      <c r="M6" s="0" t="n">
        <v>600.89</v>
      </c>
      <c r="N6" s="0" t="n">
        <v>2806.483</v>
      </c>
      <c r="O6" s="0" t="n">
        <v>36186.874</v>
      </c>
      <c r="P6" s="0" t="n">
        <v>66812.758</v>
      </c>
      <c r="Q6" s="0" t="n">
        <v>28439.265</v>
      </c>
      <c r="R6" s="0" t="n">
        <v>5187.365</v>
      </c>
      <c r="S6" s="0" t="n">
        <v>11618.619</v>
      </c>
      <c r="T6" s="0" t="n">
        <v>3150.8</v>
      </c>
      <c r="U6" s="0" t="n">
        <v>217.348</v>
      </c>
      <c r="AA6" s="0" t="s">
        <v>18</v>
      </c>
      <c r="AB6" s="0" t="s">
        <v>14</v>
      </c>
      <c r="AC6" s="0" t="n">
        <v>1437.9</v>
      </c>
      <c r="AD6" s="0" t="n">
        <v>765.7</v>
      </c>
    </row>
    <row r="7" customFormat="false" ht="15" hidden="false" customHeight="false" outlineLevel="0" collapsed="false">
      <c r="A7" s="0" t="s">
        <v>99</v>
      </c>
      <c r="B7" s="0" t="n">
        <v>41366.573</v>
      </c>
      <c r="C7" s="0" t="n">
        <v>31109.107</v>
      </c>
      <c r="D7" s="0" t="n">
        <v>10257.466</v>
      </c>
      <c r="E7" s="0" t="n">
        <v>24.8</v>
      </c>
      <c r="F7" s="0" t="n">
        <v>3523.345</v>
      </c>
      <c r="G7" s="0" t="n">
        <v>8.5</v>
      </c>
      <c r="I7" s="0" t="n">
        <v>1943.422</v>
      </c>
      <c r="J7" s="0" t="n">
        <v>4.7</v>
      </c>
      <c r="K7" s="0" t="n">
        <v>0.5768</v>
      </c>
      <c r="L7" s="0" t="n">
        <v>3321.292</v>
      </c>
      <c r="M7" s="0" t="n">
        <v>895.591</v>
      </c>
      <c r="N7" s="0" t="n">
        <v>2425.701</v>
      </c>
      <c r="O7" s="0" t="n">
        <v>37456.431</v>
      </c>
      <c r="P7" s="0" t="n">
        <v>70076.896</v>
      </c>
      <c r="Q7" s="0" t="n">
        <v>30167.896</v>
      </c>
      <c r="R7" s="0" t="n">
        <v>2253.565</v>
      </c>
      <c r="S7" s="0" t="n">
        <v>11215.77</v>
      </c>
      <c r="T7" s="0" t="n">
        <v>3369.3</v>
      </c>
      <c r="U7" s="0" t="n">
        <v>55.464</v>
      </c>
      <c r="AA7" s="0" t="s">
        <v>18</v>
      </c>
      <c r="AB7" s="0" t="s">
        <v>14</v>
      </c>
      <c r="AC7" s="0" t="n">
        <v>1601.9</v>
      </c>
      <c r="AD7" s="0" t="n">
        <v>869.1</v>
      </c>
    </row>
    <row r="8" customFormat="false" ht="15" hidden="false" customHeight="false" outlineLevel="0" collapsed="false">
      <c r="A8" s="0" t="s">
        <v>100</v>
      </c>
      <c r="B8" s="0" t="n">
        <v>42611.511</v>
      </c>
      <c r="C8" s="0" t="n">
        <v>33879.564</v>
      </c>
      <c r="D8" s="0" t="n">
        <v>8731.947</v>
      </c>
      <c r="E8" s="0" t="n">
        <v>20.5</v>
      </c>
      <c r="F8" s="0" t="n">
        <v>1092.39</v>
      </c>
      <c r="G8" s="0" t="n">
        <v>2.6</v>
      </c>
      <c r="I8" s="0" t="n">
        <v>292.335</v>
      </c>
      <c r="J8" s="0" t="n">
        <v>0.7</v>
      </c>
      <c r="K8" s="0" t="n">
        <v>0.0869</v>
      </c>
      <c r="L8" s="0" t="n">
        <v>4614.791</v>
      </c>
      <c r="M8" s="0" t="n">
        <v>940.69</v>
      </c>
      <c r="N8" s="0" t="n">
        <v>3674.101</v>
      </c>
      <c r="O8" s="0" t="n">
        <v>36155.873</v>
      </c>
      <c r="P8" s="0" t="n">
        <v>69244.074</v>
      </c>
      <c r="Q8" s="0" t="n">
        <v>30461.997</v>
      </c>
      <c r="R8" s="0" t="n">
        <v>1569.548</v>
      </c>
      <c r="S8" s="0" t="n">
        <v>12637.187</v>
      </c>
      <c r="T8" s="0" t="n">
        <v>3364</v>
      </c>
      <c r="U8" s="0" t="n">
        <v>-202.649</v>
      </c>
      <c r="AA8" s="0" t="s">
        <v>18</v>
      </c>
      <c r="AB8" s="0" t="s">
        <v>14</v>
      </c>
      <c r="AC8" s="0" t="n">
        <v>1633</v>
      </c>
      <c r="AD8" s="0" t="n">
        <v>956.9</v>
      </c>
      <c r="AE8" s="0" t="n">
        <v>7345</v>
      </c>
    </row>
    <row r="9" customFormat="false" ht="15" hidden="false" customHeight="false" outlineLevel="0" collapsed="false">
      <c r="A9" s="0" t="s">
        <v>101</v>
      </c>
      <c r="B9" s="0" t="n">
        <v>43992.889</v>
      </c>
      <c r="C9" s="0" t="n">
        <v>35592.282</v>
      </c>
      <c r="D9" s="0" t="n">
        <v>8400.607</v>
      </c>
      <c r="E9" s="0" t="n">
        <v>19.1</v>
      </c>
      <c r="F9" s="0" t="n">
        <v>2670.111</v>
      </c>
      <c r="G9" s="0" t="n">
        <v>6.1</v>
      </c>
      <c r="I9" s="0" t="n">
        <v>1808.357</v>
      </c>
      <c r="J9" s="0" t="n">
        <v>4.1</v>
      </c>
      <c r="K9" s="0" t="n">
        <v>0.5416</v>
      </c>
      <c r="L9" s="0" t="n">
        <v>3873.099</v>
      </c>
      <c r="M9" s="0" t="n">
        <v>746.831</v>
      </c>
      <c r="N9" s="0" t="n">
        <v>3126.268</v>
      </c>
      <c r="O9" s="0" t="n">
        <v>36617.03</v>
      </c>
      <c r="P9" s="0" t="n">
        <v>71254.531</v>
      </c>
      <c r="Q9" s="0" t="n">
        <v>32175.809</v>
      </c>
      <c r="R9" s="0" t="n">
        <v>870.256</v>
      </c>
      <c r="S9" s="0" t="n">
        <v>15337.225</v>
      </c>
      <c r="T9" s="0" t="n">
        <v>3338.9</v>
      </c>
      <c r="U9" s="0" t="n">
        <v>123.265</v>
      </c>
      <c r="AA9" s="0" t="s">
        <v>18</v>
      </c>
      <c r="AB9" s="0" t="s">
        <v>14</v>
      </c>
      <c r="AD9" s="0" t="n">
        <v>1036.9</v>
      </c>
    </row>
    <row r="10" customFormat="false" ht="15" hidden="false" customHeight="false" outlineLevel="0" collapsed="false">
      <c r="A10" s="0" t="s">
        <v>102</v>
      </c>
      <c r="B10" s="0" t="n">
        <v>48353.748</v>
      </c>
      <c r="C10" s="0" t="n">
        <v>39897.806</v>
      </c>
      <c r="D10" s="0" t="n">
        <v>8455.942</v>
      </c>
      <c r="E10" s="0" t="n">
        <v>17.5</v>
      </c>
      <c r="F10" s="0" t="n">
        <v>1029.273</v>
      </c>
      <c r="G10" s="0" t="n">
        <v>2.1</v>
      </c>
      <c r="I10" s="0" t="n">
        <v>601.497</v>
      </c>
      <c r="J10" s="0" t="n">
        <v>1.2</v>
      </c>
      <c r="K10" s="0" t="n">
        <v>0.1804</v>
      </c>
      <c r="L10" s="0" t="n">
        <v>2507.9</v>
      </c>
      <c r="M10" s="0" t="n">
        <v>621.235</v>
      </c>
      <c r="N10" s="0" t="n">
        <v>1886.665</v>
      </c>
      <c r="O10" s="0" t="n">
        <v>35958.29</v>
      </c>
      <c r="P10" s="0" t="n">
        <v>71840.309</v>
      </c>
      <c r="Q10" s="0" t="n">
        <v>33489.772</v>
      </c>
      <c r="R10" s="0" t="n">
        <v>1626.779</v>
      </c>
      <c r="S10" s="0" t="n">
        <v>11851.493</v>
      </c>
      <c r="T10" s="0" t="n">
        <v>3352.8</v>
      </c>
      <c r="U10" s="0" t="n">
        <v>183.123</v>
      </c>
      <c r="AA10" s="0" t="s">
        <v>18</v>
      </c>
      <c r="AB10" s="0" t="s">
        <v>14</v>
      </c>
      <c r="AD10" s="0" t="n">
        <v>1070.4</v>
      </c>
      <c r="AE10" s="0" t="n">
        <v>8268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103</v>
      </c>
      <c r="B1" s="2" t="s">
        <v>38</v>
      </c>
    </row>
    <row r="2" customFormat="false" ht="15" hidden="false" customHeight="false" outlineLevel="0" collapsed="false">
      <c r="A2" s="0" t="s">
        <v>104</v>
      </c>
      <c r="B2" s="3" t="n">
        <v>4.975</v>
      </c>
    </row>
    <row r="3" customFormat="false" ht="15" hidden="false" customHeight="false" outlineLevel="0" collapsed="false">
      <c r="A3" s="0" t="s">
        <v>105</v>
      </c>
      <c r="B3" s="3" t="n">
        <v>3325.8</v>
      </c>
    </row>
    <row r="4" customFormat="false" ht="15" hidden="false" customHeight="false" outlineLevel="0" collapsed="false">
      <c r="A4" s="0" t="s">
        <v>106</v>
      </c>
      <c r="B4" s="3" t="n">
        <v>-13766.6</v>
      </c>
    </row>
    <row r="5" customFormat="false" ht="15" hidden="false" customHeight="false" outlineLevel="0" collapsed="false">
      <c r="A5" s="0" t="s">
        <v>107</v>
      </c>
      <c r="B5" s="3" t="n">
        <v>0</v>
      </c>
    </row>
    <row r="6" customFormat="false" ht="15" hidden="false" customHeight="false" outlineLevel="0" collapsed="false">
      <c r="A6" s="0" t="s">
        <v>108</v>
      </c>
      <c r="B6" s="3" t="n">
        <v>15</v>
      </c>
    </row>
    <row r="7" customFormat="false" ht="15" hidden="false" customHeight="false" outlineLevel="0" collapsed="false">
      <c r="A7" s="0" t="s">
        <v>109</v>
      </c>
      <c r="B7" s="3" t="n">
        <v>48353.748</v>
      </c>
    </row>
    <row r="8" customFormat="false" ht="15" hidden="false" customHeight="false" outlineLevel="0" collapsed="false">
      <c r="A8" s="0" t="s">
        <v>110</v>
      </c>
      <c r="B8" s="3" t="s">
        <v>102</v>
      </c>
    </row>
    <row r="9" customFormat="false" ht="15" hidden="false" customHeight="false" outlineLevel="0" collapsed="false">
      <c r="A9" s="0" t="s">
        <v>111</v>
      </c>
      <c r="B9" s="3" t="s">
        <v>112</v>
      </c>
    </row>
    <row r="10" customFormat="false" ht="15" hidden="false" customHeight="false" outlineLevel="0" collapsed="false">
      <c r="A10" s="0" t="s">
        <v>113</v>
      </c>
      <c r="B10" s="3" t="n">
        <v>1.1748</v>
      </c>
    </row>
    <row r="12" customFormat="false" ht="15" hidden="false" customHeight="false" outlineLevel="0" collapsed="false">
      <c r="A12" s="2" t="s">
        <v>114</v>
      </c>
      <c r="C12" s="2" t="s">
        <v>115</v>
      </c>
      <c r="D12" s="2" t="s">
        <v>116</v>
      </c>
      <c r="E12" s="2" t="s">
        <v>117</v>
      </c>
      <c r="F12" s="2" t="s">
        <v>118</v>
      </c>
      <c r="G12" s="2" t="s">
        <v>119</v>
      </c>
      <c r="H12" s="2" t="s">
        <v>120</v>
      </c>
      <c r="I12" s="2" t="s">
        <v>121</v>
      </c>
      <c r="J12" s="2" t="s">
        <v>122</v>
      </c>
      <c r="K12" s="2" t="s">
        <v>123</v>
      </c>
      <c r="L12" s="2" t="s">
        <v>124</v>
      </c>
    </row>
    <row r="13" customFormat="false" ht="15" hidden="false" customHeight="false" outlineLevel="0" collapsed="false">
      <c r="A13" s="0" t="s">
        <v>125</v>
      </c>
      <c r="C13" s="3" t="n">
        <v>0</v>
      </c>
      <c r="D13" s="3" t="n">
        <v>-3</v>
      </c>
      <c r="E13" s="3" t="n">
        <v>-4</v>
      </c>
      <c r="F13" s="3" t="n">
        <v>-3</v>
      </c>
      <c r="G13" s="3" t="n">
        <v>-2</v>
      </c>
      <c r="H13" s="3" t="n">
        <v>-1</v>
      </c>
      <c r="I13" s="3" t="n">
        <v>0</v>
      </c>
      <c r="J13" s="3" t="n">
        <v>0.5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126</v>
      </c>
      <c r="C14" s="3" t="n">
        <v>7.5</v>
      </c>
      <c r="D14" s="3" t="n">
        <v>7</v>
      </c>
      <c r="E14" s="3" t="n">
        <v>6.5</v>
      </c>
      <c r="F14" s="3" t="n">
        <v>6</v>
      </c>
      <c r="G14" s="3" t="n">
        <v>5.5</v>
      </c>
      <c r="H14" s="3" t="n">
        <v>5.5</v>
      </c>
      <c r="I14" s="3" t="n">
        <v>5.5</v>
      </c>
      <c r="J14" s="3" t="n">
        <v>5.5</v>
      </c>
      <c r="K14" s="3" t="n">
        <v>5.5</v>
      </c>
      <c r="L14" s="3" t="n">
        <v>5.5</v>
      </c>
    </row>
    <row r="15" customFormat="false" ht="15" hidden="false" customHeight="false" outlineLevel="0" collapsed="false">
      <c r="A15" s="0" t="s">
        <v>127</v>
      </c>
      <c r="C15" s="3" t="n">
        <v>0.4</v>
      </c>
      <c r="D15" s="3" t="n">
        <v>0.4</v>
      </c>
      <c r="E15" s="3" t="n">
        <v>0.4</v>
      </c>
      <c r="F15" s="3" t="n">
        <v>0.4</v>
      </c>
      <c r="G15" s="3" t="n">
        <v>0.4</v>
      </c>
      <c r="H15" s="3" t="n">
        <v>0.4</v>
      </c>
      <c r="I15" s="3" t="n">
        <v>0.4</v>
      </c>
      <c r="J15" s="3" t="n">
        <v>0.4</v>
      </c>
      <c r="K15" s="3" t="n">
        <v>0.4</v>
      </c>
      <c r="L15" s="3" t="n">
        <v>0.4</v>
      </c>
    </row>
    <row r="16" customFormat="false" ht="15" hidden="false" customHeight="false" outlineLevel="0" collapsed="false">
      <c r="A16" s="0" t="s">
        <v>128</v>
      </c>
      <c r="C16" s="3" t="n">
        <v>0.5</v>
      </c>
      <c r="D16" s="3" t="n">
        <v>0.5</v>
      </c>
      <c r="E16" s="3" t="n">
        <v>0.5</v>
      </c>
      <c r="F16" s="3" t="n">
        <v>0.5</v>
      </c>
      <c r="G16" s="3" t="n">
        <v>0.5</v>
      </c>
      <c r="H16" s="3" t="n">
        <v>0.5</v>
      </c>
      <c r="I16" s="3" t="n">
        <v>0.5</v>
      </c>
      <c r="J16" s="3" t="n">
        <v>0.5</v>
      </c>
      <c r="K16" s="3" t="n">
        <v>0.5</v>
      </c>
      <c r="L16" s="3" t="n">
        <v>0.5</v>
      </c>
    </row>
    <row r="17" customFormat="false" ht="15" hidden="false" customHeight="false" outlineLevel="0" collapsed="false">
      <c r="A17" s="0" t="s">
        <v>129</v>
      </c>
      <c r="C17" s="3" t="n">
        <v>1.6</v>
      </c>
      <c r="D17" s="3" t="n">
        <v>1.6</v>
      </c>
      <c r="E17" s="3" t="n">
        <v>1.6</v>
      </c>
      <c r="F17" s="3" t="n">
        <v>1.6</v>
      </c>
      <c r="G17" s="3" t="n">
        <v>1.6</v>
      </c>
      <c r="H17" s="3" t="n">
        <v>1.6</v>
      </c>
      <c r="I17" s="3" t="n">
        <v>1.6</v>
      </c>
      <c r="J17" s="3" t="n">
        <v>1.6</v>
      </c>
      <c r="K17" s="3" t="n">
        <v>1.6</v>
      </c>
      <c r="L17" s="3" t="n">
        <v>1.6</v>
      </c>
    </row>
    <row r="18" customFormat="false" ht="15" hidden="false" customHeight="false" outlineLevel="0" collapsed="false">
      <c r="A18" s="0" t="s">
        <v>130</v>
      </c>
      <c r="C18" s="3" t="n">
        <v>1.3</v>
      </c>
      <c r="D18" s="3" t="n">
        <v>1.3</v>
      </c>
      <c r="E18" s="3" t="n">
        <v>1.3</v>
      </c>
      <c r="F18" s="3" t="n">
        <v>1.3</v>
      </c>
      <c r="G18" s="3" t="n">
        <v>1.3</v>
      </c>
      <c r="H18" s="3" t="n">
        <v>1.3</v>
      </c>
      <c r="I18" s="3" t="n">
        <v>1.3</v>
      </c>
      <c r="J18" s="3" t="n">
        <v>1.3</v>
      </c>
      <c r="K18" s="3" t="n">
        <v>1.3</v>
      </c>
      <c r="L18" s="3" t="n">
        <v>1.3</v>
      </c>
    </row>
    <row r="19" customFormat="false" ht="15" hidden="false" customHeight="false" outlineLevel="0" collapsed="false">
      <c r="A19" s="0" t="s">
        <v>131</v>
      </c>
      <c r="C19" s="3" t="n">
        <v>33</v>
      </c>
      <c r="D19" s="3" t="n">
        <v>33</v>
      </c>
      <c r="E19" s="3" t="n">
        <v>33</v>
      </c>
      <c r="F19" s="3" t="n">
        <v>33</v>
      </c>
      <c r="G19" s="3" t="n">
        <v>33</v>
      </c>
      <c r="H19" s="3" t="n">
        <v>33</v>
      </c>
      <c r="I19" s="3" t="n">
        <v>33</v>
      </c>
      <c r="J19" s="3" t="n">
        <v>33</v>
      </c>
      <c r="K19" s="3" t="n">
        <v>33</v>
      </c>
      <c r="L19" s="3" t="n">
        <v>33</v>
      </c>
    </row>
    <row r="20" customFormat="false" ht="15" hidden="false" customHeight="false" outlineLevel="0" collapsed="false">
      <c r="A20" s="0" t="s">
        <v>132</v>
      </c>
      <c r="B20" s="3" t="n">
        <v>15</v>
      </c>
    </row>
    <row r="21" customFormat="false" ht="15" hidden="false" customHeight="false" outlineLevel="0" collapsed="false">
      <c r="A21" s="0" t="s">
        <v>133</v>
      </c>
      <c r="B21" s="3" t="n">
        <v>1</v>
      </c>
    </row>
    <row r="22" customFormat="false" ht="15" hidden="false" customHeight="false" outlineLevel="0" collapsed="false">
      <c r="A22" s="0" t="s">
        <v>134</v>
      </c>
      <c r="B22" s="3" t="n">
        <v>10</v>
      </c>
    </row>
    <row r="23" customFormat="false" ht="15" hidden="false" customHeight="false" outlineLevel="0" collapsed="false">
      <c r="A23" s="0" t="s">
        <v>135</v>
      </c>
      <c r="B23" s="3" t="n">
        <v>0</v>
      </c>
    </row>
    <row r="24" customFormat="false" ht="15" hidden="false" customHeight="false" outlineLevel="0" collapsed="false">
      <c r="A24" s="0" t="s">
        <v>136</v>
      </c>
      <c r="B24" s="3" t="n">
        <v>0.3</v>
      </c>
    </row>
    <row r="26" customFormat="false" ht="15" hidden="false" customHeight="false" outlineLevel="0" collapsed="false">
      <c r="A26" s="2" t="s">
        <v>137</v>
      </c>
      <c r="C26" s="2" t="s">
        <v>115</v>
      </c>
      <c r="D26" s="2" t="s">
        <v>116</v>
      </c>
      <c r="E26" s="2" t="s">
        <v>117</v>
      </c>
      <c r="F26" s="2" t="s">
        <v>118</v>
      </c>
      <c r="G26" s="2" t="s">
        <v>119</v>
      </c>
      <c r="H26" s="2" t="s">
        <v>120</v>
      </c>
      <c r="I26" s="2" t="s">
        <v>121</v>
      </c>
      <c r="J26" s="2" t="s">
        <v>122</v>
      </c>
      <c r="K26" s="2" t="s">
        <v>123</v>
      </c>
      <c r="L26" s="2" t="s">
        <v>124</v>
      </c>
    </row>
    <row r="27" customFormat="false" ht="15" hidden="false" customHeight="false" outlineLevel="0" collapsed="false">
      <c r="A27" s="0" t="s">
        <v>125</v>
      </c>
      <c r="C27" s="3" t="n">
        <v>5</v>
      </c>
      <c r="D27" s="3" t="n">
        <v>4.5</v>
      </c>
      <c r="E27" s="3" t="n">
        <v>4</v>
      </c>
      <c r="F27" s="3" t="n">
        <v>3.5</v>
      </c>
      <c r="G27" s="3" t="n">
        <v>3</v>
      </c>
      <c r="H27" s="3" t="n">
        <v>3</v>
      </c>
      <c r="I27" s="3" t="n">
        <v>2.5</v>
      </c>
      <c r="J27" s="3" t="n">
        <v>2.5</v>
      </c>
      <c r="K27" s="3" t="n">
        <v>2.5</v>
      </c>
      <c r="L27" s="3" t="n">
        <v>2</v>
      </c>
    </row>
    <row r="28" customFormat="false" ht="15" hidden="false" customHeight="false" outlineLevel="0" collapsed="false">
      <c r="A28" s="0" t="s">
        <v>126</v>
      </c>
      <c r="C28" s="3" t="n">
        <v>8.2</v>
      </c>
      <c r="D28" s="3" t="n">
        <v>8.2</v>
      </c>
      <c r="E28" s="3" t="n">
        <v>8.3</v>
      </c>
      <c r="F28" s="3" t="n">
        <v>8.3</v>
      </c>
      <c r="G28" s="3" t="n">
        <v>8.4</v>
      </c>
      <c r="H28" s="3" t="n">
        <v>8.4</v>
      </c>
      <c r="I28" s="3" t="n">
        <v>8.4</v>
      </c>
      <c r="J28" s="3" t="n">
        <v>8.4</v>
      </c>
      <c r="K28" s="3" t="n">
        <v>8.4</v>
      </c>
      <c r="L28" s="3" t="n">
        <v>8.4</v>
      </c>
    </row>
    <row r="29" customFormat="false" ht="15" hidden="false" customHeight="false" outlineLevel="0" collapsed="false">
      <c r="A29" s="0" t="s">
        <v>127</v>
      </c>
      <c r="C29" s="3" t="n">
        <v>0.38</v>
      </c>
      <c r="D29" s="3" t="n">
        <v>0.37</v>
      </c>
      <c r="E29" s="3" t="n">
        <v>0.36</v>
      </c>
      <c r="F29" s="3" t="n">
        <v>0.35</v>
      </c>
      <c r="G29" s="3" t="n">
        <v>0.34</v>
      </c>
      <c r="H29" s="3" t="n">
        <v>0.33</v>
      </c>
      <c r="I29" s="3" t="n">
        <v>0.32</v>
      </c>
      <c r="J29" s="3" t="n">
        <v>0.31</v>
      </c>
      <c r="K29" s="3" t="n">
        <v>0.3</v>
      </c>
      <c r="L29" s="3" t="n">
        <v>0.3</v>
      </c>
    </row>
    <row r="30" customFormat="false" ht="15" hidden="false" customHeight="false" outlineLevel="0" collapsed="false">
      <c r="A30" s="0" t="s">
        <v>128</v>
      </c>
      <c r="C30" s="3" t="n">
        <v>0.48</v>
      </c>
      <c r="D30" s="3" t="n">
        <v>0.48</v>
      </c>
      <c r="E30" s="3" t="n">
        <v>0.48</v>
      </c>
      <c r="F30" s="3" t="n">
        <v>0.48</v>
      </c>
      <c r="G30" s="3" t="n">
        <v>0.48</v>
      </c>
      <c r="H30" s="3" t="n">
        <v>0.48</v>
      </c>
      <c r="I30" s="3" t="n">
        <v>0.48</v>
      </c>
      <c r="J30" s="3" t="n">
        <v>0.48</v>
      </c>
      <c r="K30" s="3" t="n">
        <v>0.48</v>
      </c>
      <c r="L30" s="3" t="n">
        <v>0.48</v>
      </c>
    </row>
    <row r="31" customFormat="false" ht="15" hidden="false" customHeight="false" outlineLevel="0" collapsed="false">
      <c r="A31" s="0" t="s">
        <v>129</v>
      </c>
      <c r="C31" s="3" t="n">
        <v>1.55</v>
      </c>
      <c r="D31" s="3" t="n">
        <v>1.55</v>
      </c>
      <c r="E31" s="3" t="n">
        <v>1.5</v>
      </c>
      <c r="F31" s="3" t="n">
        <v>1.5</v>
      </c>
      <c r="G31" s="3" t="n">
        <v>1.5</v>
      </c>
      <c r="H31" s="3" t="n">
        <v>1.5</v>
      </c>
      <c r="I31" s="3" t="n">
        <v>1.5</v>
      </c>
      <c r="J31" s="3" t="n">
        <v>1.5</v>
      </c>
      <c r="K31" s="3" t="n">
        <v>1.5</v>
      </c>
      <c r="L31" s="3" t="n">
        <v>1.5</v>
      </c>
    </row>
    <row r="32" customFormat="false" ht="15" hidden="false" customHeight="false" outlineLevel="0" collapsed="false">
      <c r="A32" s="0" t="s">
        <v>130</v>
      </c>
      <c r="C32" s="3" t="n">
        <v>1.3</v>
      </c>
      <c r="D32" s="3" t="n">
        <v>1.35</v>
      </c>
      <c r="E32" s="3" t="n">
        <v>1.4</v>
      </c>
      <c r="F32" s="3" t="n">
        <v>1.4</v>
      </c>
      <c r="G32" s="3" t="n">
        <v>1.4</v>
      </c>
      <c r="H32" s="3" t="n">
        <v>1.4</v>
      </c>
      <c r="I32" s="3" t="n">
        <v>1.4</v>
      </c>
      <c r="J32" s="3" t="n">
        <v>1.4</v>
      </c>
      <c r="K32" s="3" t="n">
        <v>1.4</v>
      </c>
      <c r="L32" s="3" t="n">
        <v>1.4</v>
      </c>
    </row>
    <row r="33" customFormat="false" ht="15" hidden="false" customHeight="false" outlineLevel="0" collapsed="false">
      <c r="A33" s="0" t="s">
        <v>131</v>
      </c>
      <c r="C33" s="3" t="n">
        <v>31</v>
      </c>
      <c r="D33" s="3" t="n">
        <v>31</v>
      </c>
      <c r="E33" s="3" t="n">
        <v>30</v>
      </c>
      <c r="F33" s="3" t="n">
        <v>30</v>
      </c>
      <c r="G33" s="3" t="n">
        <v>29</v>
      </c>
      <c r="H33" s="3" t="n">
        <v>29</v>
      </c>
      <c r="I33" s="3" t="n">
        <v>29</v>
      </c>
      <c r="J33" s="3" t="n">
        <v>29</v>
      </c>
      <c r="K33" s="3" t="n">
        <v>29</v>
      </c>
      <c r="L33" s="3" t="n">
        <v>29</v>
      </c>
    </row>
    <row r="34" customFormat="false" ht="15" hidden="false" customHeight="false" outlineLevel="0" collapsed="false">
      <c r="A34" s="0" t="s">
        <v>132</v>
      </c>
      <c r="B34" s="3" t="n">
        <v>15</v>
      </c>
    </row>
    <row r="35" customFormat="false" ht="15" hidden="false" customHeight="false" outlineLevel="0" collapsed="false">
      <c r="A35" s="0" t="s">
        <v>133</v>
      </c>
      <c r="B35" s="3" t="n">
        <v>2</v>
      </c>
    </row>
    <row r="36" customFormat="false" ht="15" hidden="false" customHeight="false" outlineLevel="0" collapsed="false">
      <c r="A36" s="0" t="s">
        <v>134</v>
      </c>
      <c r="B36" s="3" t="n">
        <v>12</v>
      </c>
    </row>
    <row r="37" customFormat="false" ht="15" hidden="false" customHeight="false" outlineLevel="0" collapsed="false">
      <c r="A37" s="0" t="s">
        <v>135</v>
      </c>
      <c r="B37" s="3" t="n">
        <v>-12</v>
      </c>
    </row>
    <row r="38" customFormat="false" ht="15" hidden="false" customHeight="false" outlineLevel="0" collapsed="false">
      <c r="A38" s="0" t="s">
        <v>136</v>
      </c>
      <c r="B38" s="3" t="n">
        <v>0.5</v>
      </c>
    </row>
    <row r="40" customFormat="false" ht="15" hidden="false" customHeight="false" outlineLevel="0" collapsed="false">
      <c r="A40" s="2" t="s">
        <v>138</v>
      </c>
      <c r="C40" s="2" t="s">
        <v>115</v>
      </c>
      <c r="D40" s="2" t="s">
        <v>116</v>
      </c>
      <c r="E40" s="2" t="s">
        <v>117</v>
      </c>
      <c r="F40" s="2" t="s">
        <v>118</v>
      </c>
      <c r="G40" s="2" t="s">
        <v>119</v>
      </c>
      <c r="H40" s="2" t="s">
        <v>120</v>
      </c>
      <c r="I40" s="2" t="s">
        <v>121</v>
      </c>
      <c r="J40" s="2" t="s">
        <v>122</v>
      </c>
      <c r="K40" s="2" t="s">
        <v>123</v>
      </c>
      <c r="L40" s="2" t="s">
        <v>124</v>
      </c>
    </row>
    <row r="41" customFormat="false" ht="15" hidden="false" customHeight="false" outlineLevel="0" collapsed="false">
      <c r="A41" s="0" t="s">
        <v>125</v>
      </c>
      <c r="C41" s="3" t="n">
        <v>7</v>
      </c>
      <c r="D41" s="3" t="n">
        <v>7</v>
      </c>
      <c r="E41" s="3" t="n">
        <v>6</v>
      </c>
      <c r="F41" s="3" t="n">
        <v>5.5</v>
      </c>
      <c r="G41" s="3" t="n">
        <v>5</v>
      </c>
      <c r="H41" s="3" t="n">
        <v>4.5</v>
      </c>
      <c r="I41" s="3" t="n">
        <v>4</v>
      </c>
      <c r="J41" s="3" t="n">
        <v>3.5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126</v>
      </c>
      <c r="C42" s="3" t="n">
        <v>8.8</v>
      </c>
      <c r="D42" s="3" t="n">
        <v>9.1</v>
      </c>
      <c r="E42" s="3" t="n">
        <v>9.4</v>
      </c>
      <c r="F42" s="3" t="n">
        <v>9.7</v>
      </c>
      <c r="G42" s="3" t="n">
        <v>10</v>
      </c>
      <c r="H42" s="3" t="n">
        <v>10</v>
      </c>
      <c r="I42" s="3" t="n">
        <v>10</v>
      </c>
      <c r="J42" s="3" t="n">
        <v>10</v>
      </c>
      <c r="K42" s="3" t="n">
        <v>10</v>
      </c>
      <c r="L42" s="3" t="n">
        <v>10</v>
      </c>
    </row>
    <row r="43" customFormat="false" ht="15" hidden="false" customHeight="false" outlineLevel="0" collapsed="false">
      <c r="A43" s="0" t="s">
        <v>127</v>
      </c>
      <c r="C43" s="3" t="n">
        <v>0.38</v>
      </c>
      <c r="D43" s="3" t="n">
        <v>0.37</v>
      </c>
      <c r="E43" s="3" t="n">
        <v>0.36</v>
      </c>
      <c r="F43" s="3" t="n">
        <v>0.35</v>
      </c>
      <c r="G43" s="3" t="n">
        <v>0.34</v>
      </c>
      <c r="H43" s="3" t="n">
        <v>0.33</v>
      </c>
      <c r="I43" s="3" t="n">
        <v>0.32</v>
      </c>
      <c r="J43" s="3" t="n">
        <v>0.31</v>
      </c>
      <c r="K43" s="3" t="n">
        <v>0.3</v>
      </c>
      <c r="L43" s="3" t="n">
        <v>0.3</v>
      </c>
    </row>
    <row r="44" customFormat="false" ht="15" hidden="false" customHeight="false" outlineLevel="0" collapsed="false">
      <c r="A44" s="0" t="s">
        <v>128</v>
      </c>
      <c r="C44" s="3" t="n">
        <v>0.48</v>
      </c>
      <c r="D44" s="3" t="n">
        <v>0.48</v>
      </c>
      <c r="E44" s="3" t="n">
        <v>0.48</v>
      </c>
      <c r="F44" s="3" t="n">
        <v>0.48</v>
      </c>
      <c r="G44" s="3" t="n">
        <v>0.48</v>
      </c>
      <c r="H44" s="3" t="n">
        <v>0.48</v>
      </c>
      <c r="I44" s="3" t="n">
        <v>0.48</v>
      </c>
      <c r="J44" s="3" t="n">
        <v>0.48</v>
      </c>
      <c r="K44" s="3" t="n">
        <v>0.48</v>
      </c>
      <c r="L44" s="3" t="n">
        <v>0.48</v>
      </c>
    </row>
    <row r="45" customFormat="false" ht="15" hidden="false" customHeight="false" outlineLevel="0" collapsed="false">
      <c r="A45" s="0" t="s">
        <v>129</v>
      </c>
      <c r="C45" s="3" t="n">
        <v>1.55</v>
      </c>
      <c r="D45" s="3" t="n">
        <v>1.55</v>
      </c>
      <c r="E45" s="3" t="n">
        <v>1.5</v>
      </c>
      <c r="F45" s="3" t="n">
        <v>1.5</v>
      </c>
      <c r="G45" s="3" t="n">
        <v>1.5</v>
      </c>
      <c r="H45" s="3" t="n">
        <v>1.5</v>
      </c>
      <c r="I45" s="3" t="n">
        <v>1.5</v>
      </c>
      <c r="J45" s="3" t="n">
        <v>1.5</v>
      </c>
      <c r="K45" s="3" t="n">
        <v>1.5</v>
      </c>
      <c r="L45" s="3" t="n">
        <v>1.5</v>
      </c>
    </row>
    <row r="46" customFormat="false" ht="15" hidden="false" customHeight="false" outlineLevel="0" collapsed="false">
      <c r="A46" s="0" t="s">
        <v>130</v>
      </c>
      <c r="C46" s="3" t="n">
        <v>1.3</v>
      </c>
      <c r="D46" s="3" t="n">
        <v>1.35</v>
      </c>
      <c r="E46" s="3" t="n">
        <v>1.4</v>
      </c>
      <c r="F46" s="3" t="n">
        <v>1.4</v>
      </c>
      <c r="G46" s="3" t="n">
        <v>1.4</v>
      </c>
      <c r="H46" s="3" t="n">
        <v>1.4</v>
      </c>
      <c r="I46" s="3" t="n">
        <v>1.4</v>
      </c>
      <c r="J46" s="3" t="n">
        <v>1.4</v>
      </c>
      <c r="K46" s="3" t="n">
        <v>1.4</v>
      </c>
      <c r="L46" s="3" t="n">
        <v>1.4</v>
      </c>
    </row>
    <row r="47" customFormat="false" ht="15" hidden="false" customHeight="false" outlineLevel="0" collapsed="false">
      <c r="A47" s="0" t="s">
        <v>131</v>
      </c>
      <c r="C47" s="3" t="n">
        <v>29</v>
      </c>
      <c r="D47" s="3" t="n">
        <v>29</v>
      </c>
      <c r="E47" s="3" t="n">
        <v>28</v>
      </c>
      <c r="F47" s="3" t="n">
        <v>28</v>
      </c>
      <c r="G47" s="3" t="n">
        <v>27</v>
      </c>
      <c r="H47" s="3" t="n">
        <v>27</v>
      </c>
      <c r="I47" s="3" t="n">
        <v>27</v>
      </c>
      <c r="J47" s="3" t="n">
        <v>27</v>
      </c>
      <c r="K47" s="3" t="n">
        <v>27</v>
      </c>
      <c r="L47" s="3" t="n">
        <v>27</v>
      </c>
    </row>
    <row r="48" customFormat="false" ht="15" hidden="false" customHeight="false" outlineLevel="0" collapsed="false">
      <c r="A48" s="0" t="s">
        <v>132</v>
      </c>
      <c r="B48" s="3" t="n">
        <v>15</v>
      </c>
    </row>
    <row r="49" customFormat="false" ht="15" hidden="false" customHeight="false" outlineLevel="0" collapsed="false">
      <c r="A49" s="0" t="s">
        <v>133</v>
      </c>
      <c r="B49" s="3" t="n">
        <v>2.5</v>
      </c>
    </row>
    <row r="50" customFormat="false" ht="15" hidden="false" customHeight="false" outlineLevel="0" collapsed="false">
      <c r="A50" s="0" t="s">
        <v>134</v>
      </c>
      <c r="B50" s="3" t="n">
        <v>14</v>
      </c>
    </row>
    <row r="51" customFormat="false" ht="15" hidden="false" customHeight="false" outlineLevel="0" collapsed="false">
      <c r="A51" s="0" t="s">
        <v>135</v>
      </c>
      <c r="B51" s="3" t="n">
        <v>-10</v>
      </c>
    </row>
    <row r="52" customFormat="false" ht="15" hidden="false" customHeight="false" outlineLevel="0" collapsed="false">
      <c r="A52" s="0" t="s">
        <v>136</v>
      </c>
      <c r="B52" s="3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140</v>
      </c>
      <c r="B3" s="0" t="s">
        <v>102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</row>
    <row r="4" customFormat="false" ht="15" hidden="false" customHeight="false" outlineLevel="0" collapsed="false">
      <c r="A4" s="0" t="s">
        <v>141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125</v>
      </c>
      <c r="C5" s="4" t="n">
        <f aca="false">Assumptions!C13</f>
        <v>0</v>
      </c>
      <c r="D5" s="4" t="n">
        <f aca="false">Assumptions!D13</f>
        <v>-3</v>
      </c>
      <c r="E5" s="4" t="n">
        <f aca="false">Assumptions!E13</f>
        <v>-4</v>
      </c>
      <c r="F5" s="4" t="n">
        <f aca="false">Assumptions!F13</f>
        <v>-3</v>
      </c>
      <c r="G5" s="4" t="n">
        <f aca="false">Assumptions!G13</f>
        <v>-2</v>
      </c>
      <c r="H5" s="4" t="n">
        <f aca="false">Assumptions!H13</f>
        <v>-1</v>
      </c>
      <c r="I5" s="4" t="n">
        <f aca="false">Assumptions!I13</f>
        <v>0</v>
      </c>
      <c r="J5" s="4" t="n">
        <f aca="false">Assumptions!J13</f>
        <v>0.5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65</v>
      </c>
      <c r="B6" s="3" t="n">
        <v>48353.748</v>
      </c>
      <c r="C6" s="0" t="n">
        <f aca="false">B6*(1+C5/100)</f>
        <v>48353.748</v>
      </c>
      <c r="D6" s="0" t="n">
        <f aca="false">C6*(1+D5/100)</f>
        <v>46903.13556</v>
      </c>
      <c r="E6" s="0" t="n">
        <f aca="false">D6*(1+E5/100)</f>
        <v>45027.0101376</v>
      </c>
      <c r="F6" s="0" t="n">
        <f aca="false">E6*(1+F5/100)</f>
        <v>43676.199833472</v>
      </c>
      <c r="G6" s="0" t="n">
        <f aca="false">F6*(1+G5/100)</f>
        <v>42802.6758368026</v>
      </c>
      <c r="H6" s="0" t="n">
        <f aca="false">G6*(1+H5/100)</f>
        <v>42374.6490784345</v>
      </c>
      <c r="I6" s="0" t="n">
        <f aca="false">H6*(1+I5/100)</f>
        <v>42374.6490784345</v>
      </c>
      <c r="J6" s="0" t="n">
        <f aca="false">I6*(1+J5/100)</f>
        <v>42586.5223238267</v>
      </c>
      <c r="K6" s="0" t="n">
        <f aca="false">J6*(1+K5/100)</f>
        <v>43012.387547065</v>
      </c>
      <c r="L6" s="0" t="n">
        <f aca="false">K6*(1+L5/100)</f>
        <v>43442.5114225356</v>
      </c>
    </row>
    <row r="7" customFormat="false" ht="15" hidden="false" customHeight="false" outlineLevel="0" collapsed="false">
      <c r="A7" s="0" t="s">
        <v>126</v>
      </c>
      <c r="C7" s="4" t="n">
        <f aca="false">Assumptions!C14</f>
        <v>7.5</v>
      </c>
      <c r="D7" s="4" t="n">
        <f aca="false">Assumptions!D14</f>
        <v>7</v>
      </c>
      <c r="E7" s="4" t="n">
        <f aca="false">Assumptions!E14</f>
        <v>6.5</v>
      </c>
      <c r="F7" s="4" t="n">
        <f aca="false">Assumptions!F14</f>
        <v>6</v>
      </c>
      <c r="G7" s="4" t="n">
        <f aca="false">Assumptions!G14</f>
        <v>5.5</v>
      </c>
      <c r="H7" s="4" t="n">
        <f aca="false">Assumptions!H14</f>
        <v>5.5</v>
      </c>
      <c r="I7" s="4" t="n">
        <f aca="false">Assumptions!I14</f>
        <v>5.5</v>
      </c>
      <c r="J7" s="4" t="n">
        <f aca="false">Assumptions!J14</f>
        <v>5.5</v>
      </c>
      <c r="K7" s="4" t="n">
        <f aca="false">Assumptions!K14</f>
        <v>5.5</v>
      </c>
      <c r="L7" s="4" t="n">
        <f aca="false">Assumptions!L14</f>
        <v>5.5</v>
      </c>
    </row>
    <row r="8" customFormat="false" ht="15" hidden="false" customHeight="false" outlineLevel="0" collapsed="false">
      <c r="A8" s="0" t="s">
        <v>71</v>
      </c>
      <c r="C8" s="0" t="n">
        <f aca="false">C6*C7/100</f>
        <v>3626.5311</v>
      </c>
      <c r="D8" s="0" t="n">
        <f aca="false">D6*D7/100</f>
        <v>3283.2194892</v>
      </c>
      <c r="E8" s="0" t="n">
        <f aca="false">E6*E7/100</f>
        <v>2926.755658944</v>
      </c>
      <c r="F8" s="0" t="n">
        <f aca="false">F6*F7/100</f>
        <v>2620.57199000832</v>
      </c>
      <c r="G8" s="0" t="n">
        <f aca="false">G6*G7/100</f>
        <v>2354.14717102414</v>
      </c>
      <c r="H8" s="0" t="n">
        <f aca="false">H6*H7/100</f>
        <v>2330.6056993139</v>
      </c>
      <c r="I8" s="0" t="n">
        <f aca="false">I6*I7/100</f>
        <v>2330.6056993139</v>
      </c>
      <c r="J8" s="0" t="n">
        <f aca="false">J6*J7/100</f>
        <v>2342.25872781047</v>
      </c>
      <c r="K8" s="0" t="n">
        <f aca="false">K6*K7/100</f>
        <v>2365.68131508857</v>
      </c>
      <c r="L8" s="0" t="n">
        <f aca="false">L6*L7/100</f>
        <v>2389.33812823946</v>
      </c>
    </row>
    <row r="9" customFormat="false" ht="15" hidden="false" customHeight="false" outlineLevel="0" collapsed="false">
      <c r="A9" s="0" t="s">
        <v>127</v>
      </c>
      <c r="C9" s="4" t="n">
        <f aca="false">Assumptions!C15</f>
        <v>0.4</v>
      </c>
      <c r="D9" s="4" t="n">
        <f aca="false">Assumptions!D15</f>
        <v>0.4</v>
      </c>
      <c r="E9" s="4" t="n">
        <f aca="false">Assumptions!E15</f>
        <v>0.4</v>
      </c>
      <c r="F9" s="4" t="n">
        <f aca="false">Assumptions!F15</f>
        <v>0.4</v>
      </c>
      <c r="G9" s="4" t="n">
        <f aca="false">Assumptions!G15</f>
        <v>0.4</v>
      </c>
      <c r="H9" s="4" t="n">
        <f aca="false">Assumptions!H15</f>
        <v>0.4</v>
      </c>
      <c r="I9" s="4" t="n">
        <f aca="false">Assumptions!I15</f>
        <v>0.4</v>
      </c>
      <c r="J9" s="4" t="n">
        <f aca="false">Assumptions!J15</f>
        <v>0.4</v>
      </c>
      <c r="K9" s="4" t="n">
        <f aca="false">Assumptions!K15</f>
        <v>0.4</v>
      </c>
      <c r="L9" s="4" t="n">
        <f aca="false">Assumptions!L15</f>
        <v>0.4</v>
      </c>
    </row>
    <row r="10" customFormat="false" ht="15" hidden="false" customHeight="false" outlineLevel="0" collapsed="false">
      <c r="A10" s="0" t="s">
        <v>142</v>
      </c>
      <c r="C10" s="0" t="n">
        <f aca="false">-C6*C9/100</f>
        <v>-193.414992</v>
      </c>
      <c r="D10" s="0" t="n">
        <f aca="false">-D6*D9/100</f>
        <v>-187.61254224</v>
      </c>
      <c r="E10" s="0" t="n">
        <f aca="false">-E6*E9/100</f>
        <v>-180.1080405504</v>
      </c>
      <c r="F10" s="0" t="n">
        <f aca="false">-F6*F9/100</f>
        <v>-174.704799333888</v>
      </c>
      <c r="G10" s="0" t="n">
        <f aca="false">-G6*G9/100</f>
        <v>-171.21070334721</v>
      </c>
      <c r="H10" s="0" t="n">
        <f aca="false">-H6*H9/100</f>
        <v>-169.498596313738</v>
      </c>
      <c r="I10" s="0" t="n">
        <f aca="false">-I6*I9/100</f>
        <v>-169.498596313738</v>
      </c>
      <c r="J10" s="0" t="n">
        <f aca="false">-J6*J9/100</f>
        <v>-170.346089295307</v>
      </c>
      <c r="K10" s="0" t="n">
        <f aca="false">-K6*K9/100</f>
        <v>-172.04955018826</v>
      </c>
      <c r="L10" s="0" t="n">
        <f aca="false">-L6*L9/100</f>
        <v>-173.770045690142</v>
      </c>
    </row>
    <row r="11" customFormat="false" ht="15" hidden="false" customHeight="false" outlineLevel="0" collapsed="false">
      <c r="A11" s="0" t="s">
        <v>143</v>
      </c>
      <c r="C11" s="0" t="n">
        <f aca="false">C8+C10+C24</f>
        <v>3191.347368</v>
      </c>
      <c r="D11" s="0" t="n">
        <f aca="false">D8+D10+D24</f>
        <v>2861.09126916</v>
      </c>
      <c r="E11" s="0" t="n">
        <f aca="false">E8+E10+E24</f>
        <v>2521.5125677056</v>
      </c>
      <c r="F11" s="0" t="n">
        <f aca="false">F8+F10+F24</f>
        <v>2227.48619150707</v>
      </c>
      <c r="G11" s="0" t="n">
        <f aca="false">G8+G10+G24</f>
        <v>1968.92308849292</v>
      </c>
      <c r="H11" s="0" t="n">
        <f aca="false">H8+H10+H24</f>
        <v>1949.23385760799</v>
      </c>
      <c r="I11" s="0" t="n">
        <f aca="false">I8+I10+I24</f>
        <v>1949.23385760799</v>
      </c>
      <c r="J11" s="0" t="n">
        <f aca="false">J8+J10+J24</f>
        <v>1958.98002689603</v>
      </c>
      <c r="K11" s="0" t="n">
        <f aca="false">K8+K10+K24</f>
        <v>1978.56982716499</v>
      </c>
      <c r="L11" s="0" t="n">
        <f aca="false">L8+L10+L24</f>
        <v>1998.35552543664</v>
      </c>
    </row>
    <row r="12" customFormat="false" ht="15" hidden="false" customHeight="false" outlineLevel="0" collapsed="false">
      <c r="A12" s="0" t="s">
        <v>144</v>
      </c>
      <c r="C12" s="4" t="n">
        <f aca="false">-C6*Assumptions!C17/100</f>
        <v>-773.659968</v>
      </c>
      <c r="D12" s="4" t="n">
        <f aca="false">-D6*Assumptions!D17/100</f>
        <v>-750.45016896</v>
      </c>
      <c r="E12" s="4" t="n">
        <f aca="false">-E6*Assumptions!E17/100</f>
        <v>-720.4321622016</v>
      </c>
      <c r="F12" s="4" t="n">
        <f aca="false">-F6*Assumptions!F17/100</f>
        <v>-698.819197335552</v>
      </c>
      <c r="G12" s="4" t="n">
        <f aca="false">-G6*Assumptions!G17/100</f>
        <v>-684.842813388841</v>
      </c>
      <c r="H12" s="4" t="n">
        <f aca="false">-H6*Assumptions!H17/100</f>
        <v>-677.994385254952</v>
      </c>
      <c r="I12" s="4" t="n">
        <f aca="false">-I6*Assumptions!I17/100</f>
        <v>-677.994385254952</v>
      </c>
      <c r="J12" s="4" t="n">
        <f aca="false">-J6*Assumptions!J17/100</f>
        <v>-681.384357181227</v>
      </c>
      <c r="K12" s="4" t="n">
        <f aca="false">-K6*Assumptions!K17/100</f>
        <v>-688.198200753039</v>
      </c>
      <c r="L12" s="4" t="n">
        <f aca="false">-L6*Assumptions!L17/100</f>
        <v>-695.08018276057</v>
      </c>
    </row>
    <row r="13" customFormat="false" ht="15" hidden="false" customHeight="false" outlineLevel="0" collapsed="false">
      <c r="A13" s="0" t="s">
        <v>145</v>
      </c>
      <c r="C13" s="0" t="n">
        <f aca="false">C11+C12</f>
        <v>2417.6874</v>
      </c>
      <c r="D13" s="0" t="n">
        <f aca="false">D11+D12</f>
        <v>2110.6411002</v>
      </c>
      <c r="E13" s="0" t="n">
        <f aca="false">E11+E12</f>
        <v>1801.080405504</v>
      </c>
      <c r="F13" s="0" t="n">
        <f aca="false">F11+F12</f>
        <v>1528.66699417152</v>
      </c>
      <c r="G13" s="0" t="n">
        <f aca="false">G11+G12</f>
        <v>1284.08027510408</v>
      </c>
      <c r="H13" s="0" t="n">
        <f aca="false">H11+H12</f>
        <v>1271.23947235304</v>
      </c>
      <c r="I13" s="0" t="n">
        <f aca="false">I11+I12</f>
        <v>1271.23947235304</v>
      </c>
      <c r="J13" s="0" t="n">
        <f aca="false">J11+J12</f>
        <v>1277.5956697148</v>
      </c>
      <c r="K13" s="0" t="n">
        <f aca="false">K11+K12</f>
        <v>1290.37162641195</v>
      </c>
      <c r="L13" s="0" t="n">
        <f aca="false">L11+L12</f>
        <v>1303.27534267607</v>
      </c>
    </row>
    <row r="14" customFormat="false" ht="15" hidden="false" customHeight="false" outlineLevel="0" collapsed="false">
      <c r="A14" s="0" t="s">
        <v>131</v>
      </c>
      <c r="C14" s="4" t="n">
        <f aca="false">Assumptions!C19</f>
        <v>33</v>
      </c>
      <c r="D14" s="4" t="n">
        <f aca="false">Assumptions!D19</f>
        <v>33</v>
      </c>
      <c r="E14" s="4" t="n">
        <f aca="false">Assumptions!E19</f>
        <v>33</v>
      </c>
      <c r="F14" s="4" t="n">
        <f aca="false">Assumptions!F19</f>
        <v>33</v>
      </c>
      <c r="G14" s="4" t="n">
        <f aca="false">Assumptions!G19</f>
        <v>33</v>
      </c>
      <c r="H14" s="4" t="n">
        <f aca="false">Assumptions!H19</f>
        <v>33</v>
      </c>
      <c r="I14" s="4" t="n">
        <f aca="false">Assumptions!I19</f>
        <v>33</v>
      </c>
      <c r="J14" s="4" t="n">
        <f aca="false">Assumptions!J19</f>
        <v>33</v>
      </c>
      <c r="K14" s="4" t="n">
        <f aca="false">Assumptions!K19</f>
        <v>33</v>
      </c>
      <c r="L14" s="4" t="n">
        <f aca="false">Assumptions!L19</f>
        <v>33</v>
      </c>
    </row>
    <row r="15" customFormat="false" ht="15" hidden="false" customHeight="false" outlineLevel="0" collapsed="false">
      <c r="A15" s="0" t="s">
        <v>146</v>
      </c>
      <c r="C15" s="0" t="n">
        <f aca="false">C13-MAX(0,C13)*C14/100</f>
        <v>1619.850558</v>
      </c>
      <c r="D15" s="0" t="n">
        <f aca="false">D13-MAX(0,D13)*D14/100</f>
        <v>1414.129537134</v>
      </c>
      <c r="E15" s="0" t="n">
        <f aca="false">E13-MAX(0,E13)*E14/100</f>
        <v>1206.72387168768</v>
      </c>
      <c r="F15" s="0" t="n">
        <f aca="false">F13-MAX(0,F13)*F14/100</f>
        <v>1024.20688609492</v>
      </c>
      <c r="G15" s="0" t="n">
        <f aca="false">G13-MAX(0,G13)*G14/100</f>
        <v>860.333784319731</v>
      </c>
      <c r="H15" s="0" t="n">
        <f aca="false">H13-MAX(0,H13)*H14/100</f>
        <v>851.730446476534</v>
      </c>
      <c r="I15" s="0" t="n">
        <f aca="false">I13-MAX(0,I13)*I14/100</f>
        <v>851.730446476534</v>
      </c>
      <c r="J15" s="0" t="n">
        <f aca="false">J13-MAX(0,J13)*J14/100</f>
        <v>855.989098708917</v>
      </c>
      <c r="K15" s="0" t="n">
        <f aca="false">K13-MAX(0,K13)*K14/100</f>
        <v>864.548989696006</v>
      </c>
      <c r="L15" s="0" t="n">
        <f aca="false">L13-MAX(0,L13)*L14/100</f>
        <v>873.194479592966</v>
      </c>
    </row>
    <row r="16" customFormat="false" ht="15" hidden="false" customHeight="false" outlineLevel="0" collapsed="false">
      <c r="A16" s="0" t="s">
        <v>147</v>
      </c>
      <c r="C16" s="0" t="n">
        <f aca="false">-C12</f>
        <v>773.659968</v>
      </c>
      <c r="D16" s="0" t="n">
        <f aca="false">-D12</f>
        <v>750.45016896</v>
      </c>
      <c r="E16" s="0" t="n">
        <f aca="false">-E12</f>
        <v>720.4321622016</v>
      </c>
      <c r="F16" s="0" t="n">
        <f aca="false">-F12</f>
        <v>698.819197335552</v>
      </c>
      <c r="G16" s="0" t="n">
        <f aca="false">-G12</f>
        <v>684.842813388841</v>
      </c>
      <c r="H16" s="0" t="n">
        <f aca="false">-H12</f>
        <v>677.994385254952</v>
      </c>
      <c r="I16" s="0" t="n">
        <f aca="false">-I12</f>
        <v>677.994385254952</v>
      </c>
      <c r="J16" s="0" t="n">
        <f aca="false">-J12</f>
        <v>681.384357181227</v>
      </c>
      <c r="K16" s="0" t="n">
        <f aca="false">-K12</f>
        <v>688.198200753039</v>
      </c>
      <c r="L16" s="0" t="n">
        <f aca="false">-L12</f>
        <v>695.08018276057</v>
      </c>
    </row>
    <row r="17" customFormat="false" ht="15" hidden="false" customHeight="false" outlineLevel="0" collapsed="false">
      <c r="A17" s="0" t="s">
        <v>148</v>
      </c>
      <c r="C17" s="4" t="n">
        <f aca="false">-C6*Assumptions!C18/100</f>
        <v>-628.598724</v>
      </c>
      <c r="D17" s="4" t="n">
        <f aca="false">-D6*Assumptions!D18/100</f>
        <v>-609.74076228</v>
      </c>
      <c r="E17" s="4" t="n">
        <f aca="false">-E6*Assumptions!E18/100</f>
        <v>-585.3511317888</v>
      </c>
      <c r="F17" s="4" t="n">
        <f aca="false">-F6*Assumptions!F18/100</f>
        <v>-567.790597835136</v>
      </c>
      <c r="G17" s="4" t="n">
        <f aca="false">-G6*Assumptions!G18/100</f>
        <v>-556.434785878433</v>
      </c>
      <c r="H17" s="4" t="n">
        <f aca="false">-H6*Assumptions!H18/100</f>
        <v>-550.870438019649</v>
      </c>
      <c r="I17" s="4" t="n">
        <f aca="false">-I6*Assumptions!I18/100</f>
        <v>-550.870438019649</v>
      </c>
      <c r="J17" s="4" t="n">
        <f aca="false">-J6*Assumptions!J18/100</f>
        <v>-553.624790209747</v>
      </c>
      <c r="K17" s="4" t="n">
        <f aca="false">-K6*Assumptions!K18/100</f>
        <v>-559.161038111845</v>
      </c>
      <c r="L17" s="4" t="n">
        <f aca="false">-L6*Assumptions!L18/100</f>
        <v>-564.752648492963</v>
      </c>
    </row>
    <row r="18" customFormat="false" ht="15" hidden="false" customHeight="false" outlineLevel="0" collapsed="false">
      <c r="A18" s="0" t="s">
        <v>149</v>
      </c>
      <c r="C18" s="4" t="n">
        <f aca="false">(C6-B6)*Assumptions!$B$23/100</f>
        <v>0</v>
      </c>
      <c r="D18" s="4" t="n">
        <f aca="false">(D6-C6)*Assumptions!$B$23/100</f>
        <v>-0</v>
      </c>
      <c r="E18" s="4" t="n">
        <f aca="false">(E6-D6)*Assumptions!$B$23/100</f>
        <v>-0</v>
      </c>
      <c r="F18" s="4" t="n">
        <f aca="false">(F6-E6)*Assumptions!$B$23/100</f>
        <v>-0</v>
      </c>
      <c r="G18" s="4" t="n">
        <f aca="false">(G6-F6)*Assumptions!$B$23/100</f>
        <v>-0</v>
      </c>
      <c r="H18" s="4" t="n">
        <f aca="false">(H6-G6)*Assumptions!$B$23/100</f>
        <v>-0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150</v>
      </c>
      <c r="C19" s="0" t="n">
        <f aca="false">C15+C16+C17+C18</f>
        <v>1764.911802</v>
      </c>
      <c r="D19" s="0" t="n">
        <f aca="false">D15+D16+D17+D18</f>
        <v>1554.838943814</v>
      </c>
      <c r="E19" s="0" t="n">
        <f aca="false">E15+E16+E17+E18</f>
        <v>1341.80490210048</v>
      </c>
      <c r="F19" s="0" t="n">
        <f aca="false">F15+F16+F17+F18</f>
        <v>1155.23548559533</v>
      </c>
      <c r="G19" s="0" t="n">
        <f aca="false">G15+G16+G17+G18</f>
        <v>988.741811830138</v>
      </c>
      <c r="H19" s="0" t="n">
        <f aca="false">H15+H16+H17+H18</f>
        <v>978.854393711837</v>
      </c>
      <c r="I19" s="0" t="n">
        <f aca="false">I15+I16+I17+I18</f>
        <v>978.854393711837</v>
      </c>
      <c r="J19" s="0" t="n">
        <f aca="false">J15+J16+J17+J18</f>
        <v>983.748665680397</v>
      </c>
      <c r="K19" s="0" t="n">
        <f aca="false">K15+K16+K17+K18</f>
        <v>993.586152337201</v>
      </c>
      <c r="L19" s="0" t="n">
        <f aca="false">L15+L16+L17+L18</f>
        <v>1003.52201386057</v>
      </c>
    </row>
    <row r="20" customFormat="false" ht="15" hidden="false" customHeight="false" outlineLevel="0" collapsed="false">
      <c r="A20" s="0" t="s">
        <v>151</v>
      </c>
      <c r="C20" s="0" t="n">
        <f aca="false">1/(1+$B$27/100)^C4</f>
        <v>0.869565217391304</v>
      </c>
      <c r="D20" s="0" t="n">
        <f aca="false">1/(1+$B$27/100)^D4</f>
        <v>0.756143667296787</v>
      </c>
      <c r="E20" s="0" t="n">
        <f aca="false">1/(1+$B$27/100)^E4</f>
        <v>0.657516232431988</v>
      </c>
      <c r="F20" s="0" t="n">
        <f aca="false">1/(1+$B$27/100)^F4</f>
        <v>0.571753245593033</v>
      </c>
      <c r="G20" s="0" t="n">
        <f aca="false">1/(1+$B$27/100)^G4</f>
        <v>0.49717673529829</v>
      </c>
      <c r="H20" s="0" t="n">
        <f aca="false">1/(1+$B$27/100)^H4</f>
        <v>0.432327595911556</v>
      </c>
      <c r="I20" s="0" t="n">
        <f aca="false">1/(1+$B$27/100)^I4</f>
        <v>0.375937039923093</v>
      </c>
      <c r="J20" s="0" t="n">
        <f aca="false">1/(1+$B$27/100)^J4</f>
        <v>0.326901773846168</v>
      </c>
      <c r="K20" s="0" t="n">
        <f aca="false">1/(1+$B$27/100)^K4</f>
        <v>0.284262412040146</v>
      </c>
      <c r="L20" s="0" t="n">
        <f aca="false">1/(1+$B$27/100)^L4</f>
        <v>0.247184706121866</v>
      </c>
    </row>
    <row r="21" customFormat="false" ht="15" hidden="false" customHeight="false" outlineLevel="0" collapsed="false">
      <c r="A21" s="0" t="s">
        <v>152</v>
      </c>
      <c r="C21" s="0" t="n">
        <f aca="false">C19*C20</f>
        <v>1534.70591478261</v>
      </c>
      <c r="D21" s="0" t="n">
        <f aca="false">D19*D20</f>
        <v>1175.68162103138</v>
      </c>
      <c r="E21" s="0" t="n">
        <f aca="false">E19*E20</f>
        <v>882.258503887881</v>
      </c>
      <c r="F21" s="0" t="n">
        <f aca="false">F19*F20</f>
        <v>660.509638313376</v>
      </c>
      <c r="G21" s="0" t="n">
        <f aca="false">G19*G20</f>
        <v>491.579426058624</v>
      </c>
      <c r="H21" s="0" t="n">
        <f aca="false">H19*H20</f>
        <v>423.185766780903</v>
      </c>
      <c r="I21" s="0" t="n">
        <f aca="false">I19*I20</f>
        <v>367.987623287742</v>
      </c>
      <c r="J21" s="0" t="n">
        <f aca="false">J19*J20</f>
        <v>321.589183829722</v>
      </c>
      <c r="K21" s="0" t="n">
        <f aca="false">K19*K20</f>
        <v>282.43919623306</v>
      </c>
      <c r="L21" s="0" t="n">
        <f aca="false">L19*L20</f>
        <v>248.055294082949</v>
      </c>
    </row>
    <row r="23" customFormat="false" ht="15" hidden="false" customHeight="false" outlineLevel="0" collapsed="false">
      <c r="A23" s="0" t="s">
        <v>128</v>
      </c>
      <c r="C23" s="4" t="n">
        <f aca="false">Assumptions!C16</f>
        <v>0.5</v>
      </c>
      <c r="D23" s="4" t="n">
        <f aca="false">Assumptions!D16</f>
        <v>0.5</v>
      </c>
      <c r="E23" s="4" t="n">
        <f aca="false">Assumptions!E16</f>
        <v>0.5</v>
      </c>
      <c r="F23" s="4" t="n">
        <f aca="false">Assumptions!F16</f>
        <v>0.5</v>
      </c>
      <c r="G23" s="4" t="n">
        <f aca="false">Assumptions!G16</f>
        <v>0.5</v>
      </c>
      <c r="H23" s="4" t="n">
        <f aca="false">Assumptions!H16</f>
        <v>0.5</v>
      </c>
      <c r="I23" s="4" t="n">
        <f aca="false">Assumptions!I16</f>
        <v>0.5</v>
      </c>
      <c r="J23" s="4" t="n">
        <f aca="false">Assumptions!J16</f>
        <v>0.5</v>
      </c>
      <c r="K23" s="4" t="n">
        <f aca="false">Assumptions!K16</f>
        <v>0.5</v>
      </c>
      <c r="L23" s="4" t="n">
        <f aca="false">Assumptions!L16</f>
        <v>0.5</v>
      </c>
    </row>
    <row r="24" customFormat="false" ht="15" hidden="false" customHeight="false" outlineLevel="0" collapsed="false">
      <c r="A24" s="0" t="s">
        <v>153</v>
      </c>
      <c r="C24" s="0" t="n">
        <f aca="false">-C6*C23/100</f>
        <v>-241.76874</v>
      </c>
      <c r="D24" s="0" t="n">
        <f aca="false">-D6*D23/100</f>
        <v>-234.5156778</v>
      </c>
      <c r="E24" s="0" t="n">
        <f aca="false">-E6*E23/100</f>
        <v>-225.135050688</v>
      </c>
      <c r="F24" s="0" t="n">
        <f aca="false">-F6*F23/100</f>
        <v>-218.38099916736</v>
      </c>
      <c r="G24" s="0" t="n">
        <f aca="false">-G6*G23/100</f>
        <v>-214.013379184013</v>
      </c>
      <c r="H24" s="0" t="n">
        <f aca="false">-H6*H23/100</f>
        <v>-211.873245392173</v>
      </c>
      <c r="I24" s="0" t="n">
        <f aca="false">-I6*I23/100</f>
        <v>-211.873245392173</v>
      </c>
      <c r="J24" s="0" t="n">
        <f aca="false">-J6*J23/100</f>
        <v>-212.932611619133</v>
      </c>
      <c r="K24" s="0" t="n">
        <f aca="false">-K6*K23/100</f>
        <v>-215.061937735325</v>
      </c>
      <c r="L24" s="0" t="n">
        <f aca="false">-L6*L23/100</f>
        <v>-217.212557112678</v>
      </c>
    </row>
    <row r="26" customFormat="false" ht="15" hidden="false" customHeight="false" outlineLevel="0" collapsed="false">
      <c r="A26" s="2" t="s">
        <v>154</v>
      </c>
    </row>
    <row r="27" customFormat="false" ht="15" hidden="false" customHeight="false" outlineLevel="0" collapsed="false">
      <c r="A27" s="0" t="s">
        <v>132</v>
      </c>
      <c r="B27" s="4" t="n">
        <f aca="false">Assumptions!$B$20</f>
        <v>15</v>
      </c>
    </row>
    <row r="28" customFormat="false" ht="15" hidden="false" customHeight="false" outlineLevel="0" collapsed="false">
      <c r="A28" s="0" t="s">
        <v>133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134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155</v>
      </c>
      <c r="B30" s="0" t="n">
        <f aca="false">SUM(C21:L21)</f>
        <v>6387.99216828825</v>
      </c>
    </row>
    <row r="31" customFormat="false" ht="15" hidden="false" customHeight="false" outlineLevel="0" collapsed="false">
      <c r="A31" s="0" t="s">
        <v>156</v>
      </c>
      <c r="B31" s="0" t="n">
        <f aca="false">L19</f>
        <v>1003.52201386057</v>
      </c>
    </row>
    <row r="32" customFormat="false" ht="15" hidden="false" customHeight="false" outlineLevel="0" collapsed="false">
      <c r="A32" s="0" t="s">
        <v>157</v>
      </c>
      <c r="B32" s="0" t="n">
        <f aca="false">IF(B27&gt;B28,B31*(1+B28/100)/((B27-B28)/100),B31*B29)</f>
        <v>7239.69452856556</v>
      </c>
    </row>
    <row r="33" customFormat="false" ht="15" hidden="false" customHeight="false" outlineLevel="0" collapsed="false">
      <c r="A33" s="0" t="s">
        <v>158</v>
      </c>
      <c r="B33" s="0" t="n">
        <f aca="false">B31*B29</f>
        <v>10035.2201386057</v>
      </c>
    </row>
    <row r="34" customFormat="false" ht="15" hidden="false" customHeight="false" outlineLevel="0" collapsed="false">
      <c r="A34" s="0" t="s">
        <v>159</v>
      </c>
      <c r="B34" s="0" t="n">
        <f aca="false">MAX(0,MIN(B32,B33))</f>
        <v>7239.69452856556</v>
      </c>
    </row>
    <row r="35" customFormat="false" ht="15" hidden="false" customHeight="false" outlineLevel="0" collapsed="false">
      <c r="A35" s="0" t="s">
        <v>160</v>
      </c>
      <c r="B35" s="0" t="n">
        <f aca="false">B34/(1+B27/100)^L4</f>
        <v>1789.54176445556</v>
      </c>
    </row>
    <row r="36" customFormat="false" ht="15" hidden="false" customHeight="false" outlineLevel="0" collapsed="false">
      <c r="A36" s="0" t="s">
        <v>161</v>
      </c>
      <c r="B36" s="0" t="n">
        <f aca="false">B30+B35</f>
        <v>8177.5339327438</v>
      </c>
    </row>
    <row r="37" customFormat="false" ht="15" hidden="false" customHeight="false" outlineLevel="0" collapsed="false">
      <c r="A37" s="0" t="s">
        <v>162</v>
      </c>
      <c r="B37" s="0" t="n">
        <f aca="false">B36+Assumptions!$B$5-Assumptions!$B$4</f>
        <v>21944.1339327438</v>
      </c>
    </row>
    <row r="38" customFormat="false" ht="15" hidden="false" customHeight="false" outlineLevel="0" collapsed="false">
      <c r="A38" s="0" t="s">
        <v>163</v>
      </c>
      <c r="B38" s="0" t="n">
        <f aca="false">B37/Assumptions!$B$3*Assumptions!$B$10</f>
        <v>7.75150897353642</v>
      </c>
    </row>
    <row r="39" customFormat="false" ht="15" hidden="false" customHeight="false" outlineLevel="0" collapsed="false">
      <c r="A39" s="0" t="s">
        <v>164</v>
      </c>
      <c r="B39" s="4" t="n">
        <f aca="false">B38/Assumptions!$B$2-1</f>
        <v>0.55809225598722</v>
      </c>
    </row>
    <row r="41" customFormat="false" ht="15" hidden="false" customHeight="false" outlineLevel="0" collapsed="false">
      <c r="A41" s="0" t="s">
        <v>165</v>
      </c>
      <c r="B41" s="0" t="n">
        <f aca="false">SUMPRODUCT(-C10:L10/(1+$B$27/100)^C4:L4)</f>
        <v>898.02963790301</v>
      </c>
    </row>
    <row r="42" customFormat="false" ht="15" hidden="false" customHeight="false" outlineLevel="0" collapsed="false">
      <c r="A42" s="0" t="s">
        <v>166</v>
      </c>
      <c r="B42" s="0" t="n">
        <f aca="false">IF(B27&gt;B28,-L10*(1+B28/100)/((B27-B28)/100),-L10*20)/(1+B27/100)^L4</f>
        <v>309.877361810486</v>
      </c>
    </row>
    <row r="43" customFormat="false" ht="15" hidden="false" customHeight="false" outlineLevel="0" collapsed="false">
      <c r="A43" s="0" t="s">
        <v>167</v>
      </c>
      <c r="B43" s="0" t="n">
        <f aca="false">(B37+B41+B42)/Assumptions!$B$3*Assumptions!$B$10</f>
        <v>8.17818801114043</v>
      </c>
    </row>
    <row r="45" customFormat="false" ht="15" hidden="false" customHeight="false" outlineLevel="0" collapsed="false">
      <c r="A45" s="0" t="s">
        <v>108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168</v>
      </c>
      <c r="B46" s="0" t="n">
        <f aca="false">MAX(0,MIN(IF(B45&gt;B28,B31*(1+B28/100)/((B45-B28)/100),B31*B29),B31*B29))</f>
        <v>7239.69452856556</v>
      </c>
    </row>
    <row r="47" customFormat="false" ht="15" hidden="false" customHeight="false" outlineLevel="0" collapsed="false">
      <c r="A47" s="0" t="s">
        <v>169</v>
      </c>
      <c r="B47" s="0" t="n">
        <f aca="false">(SUMPRODUCT(C19:L19/(1+B45/100)^C4:L4)+B46/(1+B45/100)^L4+Assumptions!$B$5-Assumptions!$B$4)/Assumptions!$B$3*Assumptions!$B$10</f>
        <v>7.75150897353642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170</v>
      </c>
    </row>
    <row r="3" customFormat="false" ht="15" hidden="false" customHeight="false" outlineLevel="0" collapsed="false">
      <c r="A3" s="0" t="s">
        <v>140</v>
      </c>
      <c r="B3" s="0" t="s">
        <v>102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</row>
    <row r="4" customFormat="false" ht="15" hidden="false" customHeight="false" outlineLevel="0" collapsed="false">
      <c r="A4" s="0" t="s">
        <v>141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125</v>
      </c>
      <c r="C5" s="4" t="n">
        <f aca="false">Assumptions!C27</f>
        <v>5</v>
      </c>
      <c r="D5" s="4" t="n">
        <f aca="false">Assumptions!D27</f>
        <v>4.5</v>
      </c>
      <c r="E5" s="4" t="n">
        <f aca="false">Assumptions!E27</f>
        <v>4</v>
      </c>
      <c r="F5" s="4" t="n">
        <f aca="false">Assumptions!F27</f>
        <v>3.5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2.5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65</v>
      </c>
      <c r="B6" s="3" t="n">
        <v>48353.748</v>
      </c>
      <c r="C6" s="0" t="n">
        <f aca="false">B6*(1+C5/100)</f>
        <v>50771.4354</v>
      </c>
      <c r="D6" s="0" t="n">
        <f aca="false">C6*(1+D5/100)</f>
        <v>53056.149993</v>
      </c>
      <c r="E6" s="0" t="n">
        <f aca="false">D6*(1+E5/100)</f>
        <v>55178.39599272</v>
      </c>
      <c r="F6" s="0" t="n">
        <f aca="false">E6*(1+F5/100)</f>
        <v>57109.6398524652</v>
      </c>
      <c r="G6" s="0" t="n">
        <f aca="false">F6*(1+G5/100)</f>
        <v>58822.9290480392</v>
      </c>
      <c r="H6" s="0" t="n">
        <f aca="false">G6*(1+H5/100)</f>
        <v>60587.6169194803</v>
      </c>
      <c r="I6" s="0" t="n">
        <f aca="false">H6*(1+I5/100)</f>
        <v>62102.3073424673</v>
      </c>
      <c r="J6" s="0" t="n">
        <f aca="false">I6*(1+J5/100)</f>
        <v>63654.865026029</v>
      </c>
      <c r="K6" s="0" t="n">
        <f aca="false">J6*(1+K5/100)</f>
        <v>65246.2366516797</v>
      </c>
      <c r="L6" s="0" t="n">
        <f aca="false">K6*(1+L5/100)</f>
        <v>66551.1613847133</v>
      </c>
    </row>
    <row r="7" customFormat="false" ht="15" hidden="false" customHeight="false" outlineLevel="0" collapsed="false">
      <c r="A7" s="0" t="s">
        <v>126</v>
      </c>
      <c r="C7" s="4" t="n">
        <f aca="false">Assumptions!C28</f>
        <v>8.2</v>
      </c>
      <c r="D7" s="4" t="n">
        <f aca="false">Assumptions!D28</f>
        <v>8.2</v>
      </c>
      <c r="E7" s="4" t="n">
        <f aca="false">Assumptions!E28</f>
        <v>8.3</v>
      </c>
      <c r="F7" s="4" t="n">
        <f aca="false">Assumptions!F28</f>
        <v>8.3</v>
      </c>
      <c r="G7" s="4" t="n">
        <f aca="false">Assumptions!G28</f>
        <v>8.4</v>
      </c>
      <c r="H7" s="4" t="n">
        <f aca="false">Assumptions!H28</f>
        <v>8.4</v>
      </c>
      <c r="I7" s="4" t="n">
        <f aca="false">Assumptions!I28</f>
        <v>8.4</v>
      </c>
      <c r="J7" s="4" t="n">
        <f aca="false">Assumptions!J28</f>
        <v>8.4</v>
      </c>
      <c r="K7" s="4" t="n">
        <f aca="false">Assumptions!K28</f>
        <v>8.4</v>
      </c>
      <c r="L7" s="4" t="n">
        <f aca="false">Assumptions!L28</f>
        <v>8.4</v>
      </c>
    </row>
    <row r="8" customFormat="false" ht="15" hidden="false" customHeight="false" outlineLevel="0" collapsed="false">
      <c r="A8" s="0" t="s">
        <v>71</v>
      </c>
      <c r="C8" s="0" t="n">
        <f aca="false">C6*C7/100</f>
        <v>4163.2577028</v>
      </c>
      <c r="D8" s="0" t="n">
        <f aca="false">D6*D7/100</f>
        <v>4350.604299426</v>
      </c>
      <c r="E8" s="0" t="n">
        <f aca="false">E6*E7/100</f>
        <v>4579.80686739576</v>
      </c>
      <c r="F8" s="0" t="n">
        <f aca="false">F6*F7/100</f>
        <v>4740.10010775461</v>
      </c>
      <c r="G8" s="0" t="n">
        <f aca="false">G6*G7/100</f>
        <v>4941.12604003529</v>
      </c>
      <c r="H8" s="0" t="n">
        <f aca="false">H6*H7/100</f>
        <v>5089.35982123635</v>
      </c>
      <c r="I8" s="0" t="n">
        <f aca="false">I6*I7/100</f>
        <v>5216.59381676726</v>
      </c>
      <c r="J8" s="0" t="n">
        <f aca="false">J6*J7/100</f>
        <v>5347.00866218644</v>
      </c>
      <c r="K8" s="0" t="n">
        <f aca="false">K6*K7/100</f>
        <v>5480.6838787411</v>
      </c>
      <c r="L8" s="0" t="n">
        <f aca="false">L6*L7/100</f>
        <v>5590.29755631592</v>
      </c>
    </row>
    <row r="9" customFormat="false" ht="15" hidden="false" customHeight="false" outlineLevel="0" collapsed="false">
      <c r="A9" s="0" t="s">
        <v>127</v>
      </c>
      <c r="C9" s="4" t="n">
        <f aca="false">Assumptions!C29</f>
        <v>0.38</v>
      </c>
      <c r="D9" s="4" t="n">
        <f aca="false">Assumptions!D29</f>
        <v>0.37</v>
      </c>
      <c r="E9" s="4" t="n">
        <f aca="false">Assumptions!E29</f>
        <v>0.36</v>
      </c>
      <c r="F9" s="4" t="n">
        <f aca="false">Assumptions!F29</f>
        <v>0.35</v>
      </c>
      <c r="G9" s="4" t="n">
        <f aca="false">Assumptions!G29</f>
        <v>0.34</v>
      </c>
      <c r="H9" s="4" t="n">
        <f aca="false">Assumptions!H29</f>
        <v>0.33</v>
      </c>
      <c r="I9" s="4" t="n">
        <f aca="false">Assumptions!I29</f>
        <v>0.32</v>
      </c>
      <c r="J9" s="4" t="n">
        <f aca="false">Assumptions!J29</f>
        <v>0.31</v>
      </c>
      <c r="K9" s="4" t="n">
        <f aca="false">Assumptions!K29</f>
        <v>0.3</v>
      </c>
      <c r="L9" s="4" t="n">
        <f aca="false">Assumptions!L29</f>
        <v>0.3</v>
      </c>
    </row>
    <row r="10" customFormat="false" ht="15" hidden="false" customHeight="false" outlineLevel="0" collapsed="false">
      <c r="A10" s="0" t="s">
        <v>142</v>
      </c>
      <c r="C10" s="0" t="n">
        <f aca="false">-C6*C9/100</f>
        <v>-192.93145452</v>
      </c>
      <c r="D10" s="0" t="n">
        <f aca="false">-D6*D9/100</f>
        <v>-196.3077549741</v>
      </c>
      <c r="E10" s="0" t="n">
        <f aca="false">-E6*E9/100</f>
        <v>-198.642225573792</v>
      </c>
      <c r="F10" s="0" t="n">
        <f aca="false">-F6*F9/100</f>
        <v>-199.883739483628</v>
      </c>
      <c r="G10" s="0" t="n">
        <f aca="false">-G6*G9/100</f>
        <v>-199.997958763333</v>
      </c>
      <c r="H10" s="0" t="n">
        <f aca="false">-H6*H9/100</f>
        <v>-199.939135834285</v>
      </c>
      <c r="I10" s="0" t="n">
        <f aca="false">-I6*I9/100</f>
        <v>-198.727383495895</v>
      </c>
      <c r="J10" s="0" t="n">
        <f aca="false">-J6*J9/100</f>
        <v>-197.33008158069</v>
      </c>
      <c r="K10" s="0" t="n">
        <f aca="false">-K6*K9/100</f>
        <v>-195.738709955039</v>
      </c>
      <c r="L10" s="0" t="n">
        <f aca="false">-L6*L9/100</f>
        <v>-199.65348415414</v>
      </c>
    </row>
    <row r="11" customFormat="false" ht="15" hidden="false" customHeight="false" outlineLevel="0" collapsed="false">
      <c r="A11" s="0" t="s">
        <v>143</v>
      </c>
      <c r="C11" s="0" t="n">
        <f aca="false">C8+C10+C24</f>
        <v>3726.62335836</v>
      </c>
      <c r="D11" s="0" t="n">
        <f aca="false">D8+D10+D24</f>
        <v>3899.6270244855</v>
      </c>
      <c r="E11" s="0" t="n">
        <f aca="false">E8+E10+E24</f>
        <v>4116.30834105691</v>
      </c>
      <c r="F11" s="0" t="n">
        <f aca="false">F8+F10+F24</f>
        <v>4266.09009697915</v>
      </c>
      <c r="G11" s="0" t="n">
        <f aca="false">G8+G10+G24</f>
        <v>4458.77802184137</v>
      </c>
      <c r="H11" s="0" t="n">
        <f aca="false">H8+H10+H24</f>
        <v>4598.60012418856</v>
      </c>
      <c r="I11" s="0" t="n">
        <f aca="false">I8+I10+I24</f>
        <v>4719.77535802752</v>
      </c>
      <c r="J11" s="0" t="n">
        <f aca="false">J8+J10+J24</f>
        <v>4844.13522848081</v>
      </c>
      <c r="K11" s="0" t="n">
        <f aca="false">K8+K10+K24</f>
        <v>4971.763232858</v>
      </c>
      <c r="L11" s="0" t="n">
        <f aca="false">L8+L10+L24</f>
        <v>5071.19849751516</v>
      </c>
    </row>
    <row r="12" customFormat="false" ht="15" hidden="false" customHeight="false" outlineLevel="0" collapsed="false">
      <c r="A12" s="0" t="s">
        <v>144</v>
      </c>
      <c r="C12" s="4" t="n">
        <f aca="false">-C6*Assumptions!C31/100</f>
        <v>-786.9572487</v>
      </c>
      <c r="D12" s="4" t="n">
        <f aca="false">-D6*Assumptions!D31/100</f>
        <v>-822.3703248915</v>
      </c>
      <c r="E12" s="4" t="n">
        <f aca="false">-E6*Assumptions!E31/100</f>
        <v>-827.6759398908</v>
      </c>
      <c r="F12" s="4" t="n">
        <f aca="false">-F6*Assumptions!F31/100</f>
        <v>-856.644597786978</v>
      </c>
      <c r="G12" s="4" t="n">
        <f aca="false">-G6*Assumptions!G31/100</f>
        <v>-882.343935720587</v>
      </c>
      <c r="H12" s="4" t="n">
        <f aca="false">-H6*Assumptions!H31/100</f>
        <v>-908.814253792205</v>
      </c>
      <c r="I12" s="4" t="n">
        <f aca="false">-I6*Assumptions!I31/100</f>
        <v>-931.53461013701</v>
      </c>
      <c r="J12" s="4" t="n">
        <f aca="false">-J6*Assumptions!J31/100</f>
        <v>-954.822975390435</v>
      </c>
      <c r="K12" s="4" t="n">
        <f aca="false">-K6*Assumptions!K31/100</f>
        <v>-978.693549775196</v>
      </c>
      <c r="L12" s="4" t="n">
        <f aca="false">-L6*Assumptions!L31/100</f>
        <v>-998.2674207707</v>
      </c>
    </row>
    <row r="13" customFormat="false" ht="15" hidden="false" customHeight="false" outlineLevel="0" collapsed="false">
      <c r="A13" s="0" t="s">
        <v>145</v>
      </c>
      <c r="C13" s="0" t="n">
        <f aca="false">C11+C12</f>
        <v>2939.66610966</v>
      </c>
      <c r="D13" s="0" t="n">
        <f aca="false">D11+D12</f>
        <v>3077.256699594</v>
      </c>
      <c r="E13" s="0" t="n">
        <f aca="false">E11+E12</f>
        <v>3288.63240116611</v>
      </c>
      <c r="F13" s="0" t="n">
        <f aca="false">F11+F12</f>
        <v>3409.44549919217</v>
      </c>
      <c r="G13" s="0" t="n">
        <f aca="false">G11+G12</f>
        <v>3576.43408612078</v>
      </c>
      <c r="H13" s="0" t="n">
        <f aca="false">H11+H12</f>
        <v>3689.78587039635</v>
      </c>
      <c r="I13" s="0" t="n">
        <f aca="false">I11+I12</f>
        <v>3788.24074789051</v>
      </c>
      <c r="J13" s="0" t="n">
        <f aca="false">J11+J12</f>
        <v>3889.31225309037</v>
      </c>
      <c r="K13" s="0" t="n">
        <f aca="false">K11+K12</f>
        <v>3993.0696830828</v>
      </c>
      <c r="L13" s="0" t="n">
        <f aca="false">L11+L12</f>
        <v>4072.93107674446</v>
      </c>
    </row>
    <row r="14" customFormat="false" ht="15" hidden="false" customHeight="false" outlineLevel="0" collapsed="false">
      <c r="A14" s="0" t="s">
        <v>131</v>
      </c>
      <c r="C14" s="4" t="n">
        <f aca="false">Assumptions!C33</f>
        <v>31</v>
      </c>
      <c r="D14" s="4" t="n">
        <f aca="false">Assumptions!D33</f>
        <v>31</v>
      </c>
      <c r="E14" s="4" t="n">
        <f aca="false">Assumptions!E33</f>
        <v>30</v>
      </c>
      <c r="F14" s="4" t="n">
        <f aca="false">Assumptions!F33</f>
        <v>30</v>
      </c>
      <c r="G14" s="4" t="n">
        <f aca="false">Assumptions!G33</f>
        <v>29</v>
      </c>
      <c r="H14" s="4" t="n">
        <f aca="false">Assumptions!H33</f>
        <v>29</v>
      </c>
      <c r="I14" s="4" t="n">
        <f aca="false">Assumptions!I33</f>
        <v>29</v>
      </c>
      <c r="J14" s="4" t="n">
        <f aca="false">Assumptions!J33</f>
        <v>29</v>
      </c>
      <c r="K14" s="4" t="n">
        <f aca="false">Assumptions!K33</f>
        <v>29</v>
      </c>
      <c r="L14" s="4" t="n">
        <f aca="false">Assumptions!L33</f>
        <v>29</v>
      </c>
    </row>
    <row r="15" customFormat="false" ht="15" hidden="false" customHeight="false" outlineLevel="0" collapsed="false">
      <c r="A15" s="0" t="s">
        <v>146</v>
      </c>
      <c r="C15" s="0" t="n">
        <f aca="false">C13-MAX(0,C13)*C14/100</f>
        <v>2028.3696156654</v>
      </c>
      <c r="D15" s="0" t="n">
        <f aca="false">D13-MAX(0,D13)*D14/100</f>
        <v>2123.30712271986</v>
      </c>
      <c r="E15" s="0" t="n">
        <f aca="false">E13-MAX(0,E13)*E14/100</f>
        <v>2302.04268081628</v>
      </c>
      <c r="F15" s="0" t="n">
        <f aca="false">F13-MAX(0,F13)*F14/100</f>
        <v>2386.61184943452</v>
      </c>
      <c r="G15" s="0" t="n">
        <f aca="false">G13-MAX(0,G13)*G14/100</f>
        <v>2539.26820114575</v>
      </c>
      <c r="H15" s="0" t="n">
        <f aca="false">H13-MAX(0,H13)*H14/100</f>
        <v>2619.74796798141</v>
      </c>
      <c r="I15" s="0" t="n">
        <f aca="false">I13-MAX(0,I13)*I14/100</f>
        <v>2689.65093100226</v>
      </c>
      <c r="J15" s="0" t="n">
        <f aca="false">J13-MAX(0,J13)*J14/100</f>
        <v>2761.41169969417</v>
      </c>
      <c r="K15" s="0" t="n">
        <f aca="false">K13-MAX(0,K13)*K14/100</f>
        <v>2835.07947498879</v>
      </c>
      <c r="L15" s="0" t="n">
        <f aca="false">L13-MAX(0,L13)*L14/100</f>
        <v>2891.78106448856</v>
      </c>
    </row>
    <row r="16" customFormat="false" ht="15" hidden="false" customHeight="false" outlineLevel="0" collapsed="false">
      <c r="A16" s="0" t="s">
        <v>147</v>
      </c>
      <c r="C16" s="0" t="n">
        <f aca="false">-C12</f>
        <v>786.9572487</v>
      </c>
      <c r="D16" s="0" t="n">
        <f aca="false">-D12</f>
        <v>822.3703248915</v>
      </c>
      <c r="E16" s="0" t="n">
        <f aca="false">-E12</f>
        <v>827.6759398908</v>
      </c>
      <c r="F16" s="0" t="n">
        <f aca="false">-F12</f>
        <v>856.644597786978</v>
      </c>
      <c r="G16" s="0" t="n">
        <f aca="false">-G12</f>
        <v>882.343935720587</v>
      </c>
      <c r="H16" s="0" t="n">
        <f aca="false">-H12</f>
        <v>908.814253792205</v>
      </c>
      <c r="I16" s="0" t="n">
        <f aca="false">-I12</f>
        <v>931.53461013701</v>
      </c>
      <c r="J16" s="0" t="n">
        <f aca="false">-J12</f>
        <v>954.822975390435</v>
      </c>
      <c r="K16" s="0" t="n">
        <f aca="false">-K12</f>
        <v>978.693549775196</v>
      </c>
      <c r="L16" s="0" t="n">
        <f aca="false">-L12</f>
        <v>998.2674207707</v>
      </c>
    </row>
    <row r="17" customFormat="false" ht="15" hidden="false" customHeight="false" outlineLevel="0" collapsed="false">
      <c r="A17" s="0" t="s">
        <v>148</v>
      </c>
      <c r="C17" s="4" t="n">
        <f aca="false">-C6*Assumptions!C32/100</f>
        <v>-660.0286602</v>
      </c>
      <c r="D17" s="4" t="n">
        <f aca="false">-D6*Assumptions!D32/100</f>
        <v>-716.2580249055</v>
      </c>
      <c r="E17" s="4" t="n">
        <f aca="false">-E6*Assumptions!E32/100</f>
        <v>-772.49754389808</v>
      </c>
      <c r="F17" s="4" t="n">
        <f aca="false">-F6*Assumptions!F32/100</f>
        <v>-799.534957934513</v>
      </c>
      <c r="G17" s="4" t="n">
        <f aca="false">-G6*Assumptions!G32/100</f>
        <v>-823.521006672548</v>
      </c>
      <c r="H17" s="4" t="n">
        <f aca="false">-H6*Assumptions!H32/100</f>
        <v>-848.226636872725</v>
      </c>
      <c r="I17" s="4" t="n">
        <f aca="false">-I6*Assumptions!I32/100</f>
        <v>-869.432302794543</v>
      </c>
      <c r="J17" s="4" t="n">
        <f aca="false">-J6*Assumptions!J32/100</f>
        <v>-891.168110364406</v>
      </c>
      <c r="K17" s="4" t="n">
        <f aca="false">-K6*Assumptions!K32/100</f>
        <v>-913.447313123516</v>
      </c>
      <c r="L17" s="4" t="n">
        <f aca="false">-L6*Assumptions!L32/100</f>
        <v>-931.716259385987</v>
      </c>
    </row>
    <row r="18" customFormat="false" ht="15" hidden="false" customHeight="false" outlineLevel="0" collapsed="false">
      <c r="A18" s="0" t="s">
        <v>149</v>
      </c>
      <c r="C18" s="4" t="n">
        <f aca="false">(C6-B6)*Assumptions!$B$37/100</f>
        <v>-290.122488</v>
      </c>
      <c r="D18" s="4" t="n">
        <f aca="false">(D6-C6)*Assumptions!$B$37/100</f>
        <v>-274.16575116</v>
      </c>
      <c r="E18" s="4" t="n">
        <f aca="false">(E6-D6)*Assumptions!$B$37/100</f>
        <v>-254.6695199664</v>
      </c>
      <c r="F18" s="4" t="n">
        <f aca="false">(F6-E6)*Assumptions!$B$37/100</f>
        <v>-231.749263169424</v>
      </c>
      <c r="G18" s="4" t="n">
        <f aca="false">(G6-F6)*Assumptions!$B$37/100</f>
        <v>-205.594703468875</v>
      </c>
      <c r="H18" s="4" t="n">
        <f aca="false">(H6-G6)*Assumptions!$B$37/100</f>
        <v>-211.762544572942</v>
      </c>
      <c r="I18" s="4" t="n">
        <f aca="false">(I6-H6)*Assumptions!$B$37/100</f>
        <v>-181.762850758441</v>
      </c>
      <c r="J18" s="4" t="n">
        <f aca="false">(J6-I6)*Assumptions!$B$37/100</f>
        <v>-186.306922027402</v>
      </c>
      <c r="K18" s="4" t="n">
        <f aca="false">(K6-J6)*Assumptions!$B$37/100</f>
        <v>-190.964595078086</v>
      </c>
      <c r="L18" s="4" t="n">
        <f aca="false">(L6-K6)*Assumptions!$B$37/100</f>
        <v>-156.590967964031</v>
      </c>
    </row>
    <row r="19" customFormat="false" ht="15" hidden="false" customHeight="false" outlineLevel="0" collapsed="false">
      <c r="A19" s="0" t="s">
        <v>150</v>
      </c>
      <c r="C19" s="0" t="n">
        <f aca="false">C15+C16+C17+C18</f>
        <v>1865.1757161654</v>
      </c>
      <c r="D19" s="0" t="n">
        <f aca="false">D15+D16+D17+D18</f>
        <v>1955.25367154586</v>
      </c>
      <c r="E19" s="0" t="n">
        <f aca="false">E15+E16+E17+E18</f>
        <v>2102.5515568426</v>
      </c>
      <c r="F19" s="0" t="n">
        <f aca="false">F15+F16+F17+F18</f>
        <v>2211.97222611756</v>
      </c>
      <c r="G19" s="0" t="n">
        <f aca="false">G15+G16+G17+G18</f>
        <v>2392.49642672492</v>
      </c>
      <c r="H19" s="0" t="n">
        <f aca="false">H15+H16+H17+H18</f>
        <v>2468.57304032795</v>
      </c>
      <c r="I19" s="0" t="n">
        <f aca="false">I15+I16+I17+I18</f>
        <v>2569.99038758629</v>
      </c>
      <c r="J19" s="0" t="n">
        <f aca="false">J15+J16+J17+J18</f>
        <v>2638.75964269279</v>
      </c>
      <c r="K19" s="0" t="n">
        <f aca="false">K15+K16+K17+K18</f>
        <v>2709.36111656238</v>
      </c>
      <c r="L19" s="0" t="n">
        <f aca="false">L15+L16+L17+L18</f>
        <v>2801.74125790925</v>
      </c>
    </row>
    <row r="20" customFormat="false" ht="15" hidden="false" customHeight="false" outlineLevel="0" collapsed="false">
      <c r="A20" s="0" t="s">
        <v>151</v>
      </c>
      <c r="C20" s="0" t="n">
        <f aca="false">1/(1+$B$27/100)^C4</f>
        <v>0.869565217391304</v>
      </c>
      <c r="D20" s="0" t="n">
        <f aca="false">1/(1+$B$27/100)^D4</f>
        <v>0.756143667296787</v>
      </c>
      <c r="E20" s="0" t="n">
        <f aca="false">1/(1+$B$27/100)^E4</f>
        <v>0.657516232431988</v>
      </c>
      <c r="F20" s="0" t="n">
        <f aca="false">1/(1+$B$27/100)^F4</f>
        <v>0.571753245593033</v>
      </c>
      <c r="G20" s="0" t="n">
        <f aca="false">1/(1+$B$27/100)^G4</f>
        <v>0.49717673529829</v>
      </c>
      <c r="H20" s="0" t="n">
        <f aca="false">1/(1+$B$27/100)^H4</f>
        <v>0.432327595911556</v>
      </c>
      <c r="I20" s="0" t="n">
        <f aca="false">1/(1+$B$27/100)^I4</f>
        <v>0.375937039923093</v>
      </c>
      <c r="J20" s="0" t="n">
        <f aca="false">1/(1+$B$27/100)^J4</f>
        <v>0.326901773846168</v>
      </c>
      <c r="K20" s="0" t="n">
        <f aca="false">1/(1+$B$27/100)^K4</f>
        <v>0.284262412040146</v>
      </c>
      <c r="L20" s="0" t="n">
        <f aca="false">1/(1+$B$27/100)^L4</f>
        <v>0.247184706121866</v>
      </c>
    </row>
    <row r="21" customFormat="false" ht="15" hidden="false" customHeight="false" outlineLevel="0" collapsed="false">
      <c r="A21" s="0" t="s">
        <v>152</v>
      </c>
      <c r="C21" s="0" t="n">
        <f aca="false">C19*C20</f>
        <v>1621.89192710035</v>
      </c>
      <c r="D21" s="0" t="n">
        <f aca="false">D19*D20</f>
        <v>1478.45268169819</v>
      </c>
      <c r="E21" s="0" t="n">
        <f aca="false">E19*E20</f>
        <v>1382.46177814916</v>
      </c>
      <c r="F21" s="0" t="n">
        <f aca="false">F19*F20</f>
        <v>1264.70229944436</v>
      </c>
      <c r="G21" s="0" t="n">
        <f aca="false">G19*G20</f>
        <v>1189.49356265192</v>
      </c>
      <c r="H21" s="0" t="n">
        <f aca="false">H19*H20</f>
        <v>1067.23224785706</v>
      </c>
      <c r="I21" s="0" t="n">
        <f aca="false">I19*I20</f>
        <v>966.154578939991</v>
      </c>
      <c r="J21" s="0" t="n">
        <f aca="false">J19*J20</f>
        <v>862.615207949953</v>
      </c>
      <c r="K21" s="0" t="n">
        <f aca="false">K19*K20</f>
        <v>770.169526081805</v>
      </c>
      <c r="L21" s="0" t="n">
        <f aca="false">L19*L20</f>
        <v>692.547589465804</v>
      </c>
    </row>
    <row r="23" customFormat="false" ht="15" hidden="false" customHeight="false" outlineLevel="0" collapsed="false">
      <c r="A23" s="0" t="s">
        <v>128</v>
      </c>
      <c r="C23" s="4" t="n">
        <f aca="false">Assumptions!C30</f>
        <v>0.48</v>
      </c>
      <c r="D23" s="4" t="n">
        <f aca="false">Assumptions!D30</f>
        <v>0.48</v>
      </c>
      <c r="E23" s="4" t="n">
        <f aca="false">Assumptions!E30</f>
        <v>0.48</v>
      </c>
      <c r="F23" s="4" t="n">
        <f aca="false">Assumptions!F30</f>
        <v>0.48</v>
      </c>
      <c r="G23" s="4" t="n">
        <f aca="false">Assumptions!G30</f>
        <v>0.48</v>
      </c>
      <c r="H23" s="4" t="n">
        <f aca="false">Assumptions!H30</f>
        <v>0.48</v>
      </c>
      <c r="I23" s="4" t="n">
        <f aca="false">Assumptions!I30</f>
        <v>0.48</v>
      </c>
      <c r="J23" s="4" t="n">
        <f aca="false">Assumptions!J30</f>
        <v>0.48</v>
      </c>
      <c r="K23" s="4" t="n">
        <f aca="false">Assumptions!K30</f>
        <v>0.48</v>
      </c>
      <c r="L23" s="4" t="n">
        <f aca="false">Assumptions!L30</f>
        <v>0.48</v>
      </c>
    </row>
    <row r="24" customFormat="false" ht="15" hidden="false" customHeight="false" outlineLevel="0" collapsed="false">
      <c r="A24" s="0" t="s">
        <v>153</v>
      </c>
      <c r="C24" s="0" t="n">
        <f aca="false">-C6*C23/100</f>
        <v>-243.70288992</v>
      </c>
      <c r="D24" s="0" t="n">
        <f aca="false">-D6*D23/100</f>
        <v>-254.6695199664</v>
      </c>
      <c r="E24" s="0" t="n">
        <f aca="false">-E6*E23/100</f>
        <v>-264.856300765056</v>
      </c>
      <c r="F24" s="0" t="n">
        <f aca="false">-F6*F23/100</f>
        <v>-274.126271291833</v>
      </c>
      <c r="G24" s="0" t="n">
        <f aca="false">-G6*G23/100</f>
        <v>-282.350059430588</v>
      </c>
      <c r="H24" s="0" t="n">
        <f aca="false">-H6*H23/100</f>
        <v>-290.820561213506</v>
      </c>
      <c r="I24" s="0" t="n">
        <f aca="false">-I6*I23/100</f>
        <v>-298.091075243843</v>
      </c>
      <c r="J24" s="0" t="n">
        <f aca="false">-J6*J23/100</f>
        <v>-305.543352124939</v>
      </c>
      <c r="K24" s="0" t="n">
        <f aca="false">-K6*K23/100</f>
        <v>-313.181935928063</v>
      </c>
      <c r="L24" s="0" t="n">
        <f aca="false">-L6*L23/100</f>
        <v>-319.445574646624</v>
      </c>
    </row>
    <row r="26" customFormat="false" ht="15" hidden="false" customHeight="false" outlineLevel="0" collapsed="false">
      <c r="A26" s="2" t="s">
        <v>154</v>
      </c>
    </row>
    <row r="27" customFormat="false" ht="15" hidden="false" customHeight="false" outlineLevel="0" collapsed="false">
      <c r="A27" s="0" t="s">
        <v>132</v>
      </c>
      <c r="B27" s="4" t="n">
        <f aca="false">Assumptions!$B$34</f>
        <v>15</v>
      </c>
    </row>
    <row r="28" customFormat="false" ht="15" hidden="false" customHeight="false" outlineLevel="0" collapsed="false">
      <c r="A28" s="0" t="s">
        <v>133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134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155</v>
      </c>
      <c r="B30" s="0" t="n">
        <f aca="false">SUM(C21:L21)</f>
        <v>11295.7213993386</v>
      </c>
    </row>
    <row r="31" customFormat="false" ht="15" hidden="false" customHeight="false" outlineLevel="0" collapsed="false">
      <c r="A31" s="0" t="s">
        <v>156</v>
      </c>
      <c r="B31" s="0" t="n">
        <f aca="false">L19</f>
        <v>2801.74125790925</v>
      </c>
    </row>
    <row r="32" customFormat="false" ht="15" hidden="false" customHeight="false" outlineLevel="0" collapsed="false">
      <c r="A32" s="0" t="s">
        <v>157</v>
      </c>
      <c r="B32" s="0" t="n">
        <f aca="false">IF(B27&gt;B28,B31*(1+B28/100)/((B27-B28)/100),B31*B29)</f>
        <v>21982.8929466725</v>
      </c>
    </row>
    <row r="33" customFormat="false" ht="15" hidden="false" customHeight="false" outlineLevel="0" collapsed="false">
      <c r="A33" s="0" t="s">
        <v>158</v>
      </c>
      <c r="B33" s="0" t="n">
        <f aca="false">B31*B29</f>
        <v>33620.895094911</v>
      </c>
    </row>
    <row r="34" customFormat="false" ht="15" hidden="false" customHeight="false" outlineLevel="0" collapsed="false">
      <c r="A34" s="0" t="s">
        <v>159</v>
      </c>
      <c r="B34" s="0" t="n">
        <f aca="false">MAX(0,MIN(B32,B33))</f>
        <v>21982.8929466725</v>
      </c>
    </row>
    <row r="35" customFormat="false" ht="15" hidden="false" customHeight="false" outlineLevel="0" collapsed="false">
      <c r="A35" s="0" t="s">
        <v>160</v>
      </c>
      <c r="B35" s="0" t="n">
        <f aca="false">B34/(1+B27/100)^L4</f>
        <v>5433.83493273169</v>
      </c>
    </row>
    <row r="36" customFormat="false" ht="15" hidden="false" customHeight="false" outlineLevel="0" collapsed="false">
      <c r="A36" s="0" t="s">
        <v>161</v>
      </c>
      <c r="B36" s="0" t="n">
        <f aca="false">B30+B35</f>
        <v>16729.5563320703</v>
      </c>
    </row>
    <row r="37" customFormat="false" ht="15" hidden="false" customHeight="false" outlineLevel="0" collapsed="false">
      <c r="A37" s="0" t="s">
        <v>162</v>
      </c>
      <c r="B37" s="0" t="n">
        <f aca="false">B36+Assumptions!$B$5-Assumptions!$B$4</f>
        <v>30496.1563320703</v>
      </c>
    </row>
    <row r="38" customFormat="false" ht="15" hidden="false" customHeight="false" outlineLevel="0" collapsed="false">
      <c r="A38" s="0" t="s">
        <v>163</v>
      </c>
      <c r="B38" s="0" t="n">
        <f aca="false">B37/Assumptions!$B$3*Assumptions!$B$10</f>
        <v>10.7724109865044</v>
      </c>
    </row>
    <row r="39" customFormat="false" ht="15" hidden="false" customHeight="false" outlineLevel="0" collapsed="false">
      <c r="A39" s="0" t="s">
        <v>164</v>
      </c>
      <c r="B39" s="4" t="n">
        <f aca="false">B38/Assumptions!$B$2-1</f>
        <v>1.1653087410059</v>
      </c>
    </row>
    <row r="41" customFormat="false" ht="15" hidden="false" customHeight="false" outlineLevel="0" collapsed="false">
      <c r="A41" s="0" t="s">
        <v>165</v>
      </c>
      <c r="B41" s="0" t="n">
        <f aca="false">SUMPRODUCT(-C10:L10/(1+$B$27/100)^C4:L4)</f>
        <v>991.180534269926</v>
      </c>
    </row>
    <row r="42" customFormat="false" ht="15" hidden="false" customHeight="false" outlineLevel="0" collapsed="false">
      <c r="A42" s="0" t="s">
        <v>166</v>
      </c>
      <c r="B42" s="0" t="n">
        <f aca="false">IF(B27&gt;B28,-L10*(1+B28/100)/((B27-B28)/100),-L10*20)/(1+B27/100)^L4</f>
        <v>387.217796638344</v>
      </c>
    </row>
    <row r="43" customFormat="false" ht="15" hidden="false" customHeight="false" outlineLevel="0" collapsed="false">
      <c r="A43" s="0" t="s">
        <v>167</v>
      </c>
      <c r="B43" s="0" t="n">
        <f aca="false">(B37+B41+B42)/Assumptions!$B$3*Assumptions!$B$10</f>
        <v>11.2593140952755</v>
      </c>
    </row>
    <row r="45" customFormat="false" ht="15" hidden="false" customHeight="false" outlineLevel="0" collapsed="false">
      <c r="A45" s="0" t="s">
        <v>108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168</v>
      </c>
      <c r="B46" s="0" t="n">
        <f aca="false">MAX(0,MIN(IF(B45&gt;B28,B31*(1+B28/100)/((B45-B28)/100),B31*B29),B31*B29))</f>
        <v>21982.8929466725</v>
      </c>
    </row>
    <row r="47" customFormat="false" ht="15" hidden="false" customHeight="false" outlineLevel="0" collapsed="false">
      <c r="A47" s="0" t="s">
        <v>169</v>
      </c>
      <c r="B47" s="0" t="n">
        <f aca="false">(SUMPRODUCT(C19:L19/(1+B45/100)^C4:L4)+B46/(1+B45/100)^L4+Assumptions!$B$5-Assumptions!$B$4)/Assumptions!$B$3*Assumptions!$B$10</f>
        <v>10.7724109865044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171</v>
      </c>
    </row>
    <row r="3" customFormat="false" ht="15" hidden="false" customHeight="false" outlineLevel="0" collapsed="false">
      <c r="A3" s="0" t="s">
        <v>140</v>
      </c>
      <c r="B3" s="0" t="s">
        <v>102</v>
      </c>
      <c r="C3" s="2" t="s">
        <v>115</v>
      </c>
      <c r="D3" s="2" t="s">
        <v>116</v>
      </c>
      <c r="E3" s="2" t="s">
        <v>117</v>
      </c>
      <c r="F3" s="2" t="s">
        <v>118</v>
      </c>
      <c r="G3" s="2" t="s">
        <v>119</v>
      </c>
      <c r="H3" s="2" t="s">
        <v>120</v>
      </c>
      <c r="I3" s="2" t="s">
        <v>121</v>
      </c>
      <c r="J3" s="2" t="s">
        <v>122</v>
      </c>
      <c r="K3" s="2" t="s">
        <v>123</v>
      </c>
      <c r="L3" s="2" t="s">
        <v>124</v>
      </c>
    </row>
    <row r="4" customFormat="false" ht="15" hidden="false" customHeight="false" outlineLevel="0" collapsed="false">
      <c r="A4" s="0" t="s">
        <v>141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125</v>
      </c>
      <c r="C5" s="4" t="n">
        <f aca="false">Assumptions!C41</f>
        <v>7</v>
      </c>
      <c r="D5" s="4" t="n">
        <f aca="false">Assumptions!D41</f>
        <v>7</v>
      </c>
      <c r="E5" s="4" t="n">
        <f aca="false">Assumptions!E41</f>
        <v>6</v>
      </c>
      <c r="F5" s="4" t="n">
        <f aca="false">Assumptions!F41</f>
        <v>5.5</v>
      </c>
      <c r="G5" s="4" t="n">
        <f aca="false">Assumptions!G41</f>
        <v>5</v>
      </c>
      <c r="H5" s="4" t="n">
        <f aca="false">Assumptions!H41</f>
        <v>4.5</v>
      </c>
      <c r="I5" s="4" t="n">
        <f aca="false">Assumptions!I41</f>
        <v>4</v>
      </c>
      <c r="J5" s="4" t="n">
        <f aca="false">Assumptions!J41</f>
        <v>3.5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65</v>
      </c>
      <c r="B6" s="3" t="n">
        <v>48353.748</v>
      </c>
      <c r="C6" s="0" t="n">
        <f aca="false">B6*(1+C5/100)</f>
        <v>51738.51036</v>
      </c>
      <c r="D6" s="0" t="n">
        <f aca="false">C6*(1+D5/100)</f>
        <v>55360.2060852</v>
      </c>
      <c r="E6" s="0" t="n">
        <f aca="false">D6*(1+E5/100)</f>
        <v>58681.818450312</v>
      </c>
      <c r="F6" s="0" t="n">
        <f aca="false">E6*(1+F5/100)</f>
        <v>61909.3184650792</v>
      </c>
      <c r="G6" s="0" t="n">
        <f aca="false">F6*(1+G5/100)</f>
        <v>65004.7843883331</v>
      </c>
      <c r="H6" s="0" t="n">
        <f aca="false">G6*(1+H5/100)</f>
        <v>67929.9996858081</v>
      </c>
      <c r="I6" s="0" t="n">
        <f aca="false">H6*(1+I5/100)</f>
        <v>70647.1996732405</v>
      </c>
      <c r="J6" s="0" t="n">
        <f aca="false">I6*(1+J5/100)</f>
        <v>73119.8516618039</v>
      </c>
      <c r="K6" s="0" t="n">
        <f aca="false">J6*(1+K5/100)</f>
        <v>75313.447211658</v>
      </c>
      <c r="L6" s="0" t="n">
        <f aca="false">K6*(1+L5/100)</f>
        <v>77572.8506280077</v>
      </c>
    </row>
    <row r="7" customFormat="false" ht="15" hidden="false" customHeight="false" outlineLevel="0" collapsed="false">
      <c r="A7" s="0" t="s">
        <v>126</v>
      </c>
      <c r="C7" s="4" t="n">
        <f aca="false">Assumptions!C42</f>
        <v>8.8</v>
      </c>
      <c r="D7" s="4" t="n">
        <f aca="false">Assumptions!D42</f>
        <v>9.1</v>
      </c>
      <c r="E7" s="4" t="n">
        <f aca="false">Assumptions!E42</f>
        <v>9.4</v>
      </c>
      <c r="F7" s="4" t="n">
        <f aca="false">Assumptions!F42</f>
        <v>9.7</v>
      </c>
      <c r="G7" s="4" t="n">
        <f aca="false">Assumptions!G42</f>
        <v>10</v>
      </c>
      <c r="H7" s="4" t="n">
        <f aca="false">Assumptions!H42</f>
        <v>10</v>
      </c>
      <c r="I7" s="4" t="n">
        <f aca="false">Assumptions!I42</f>
        <v>10</v>
      </c>
      <c r="J7" s="4" t="n">
        <f aca="false">Assumptions!J42</f>
        <v>10</v>
      </c>
      <c r="K7" s="4" t="n">
        <f aca="false">Assumptions!K42</f>
        <v>10</v>
      </c>
      <c r="L7" s="4" t="n">
        <f aca="false">Assumptions!L42</f>
        <v>10</v>
      </c>
    </row>
    <row r="8" customFormat="false" ht="15" hidden="false" customHeight="false" outlineLevel="0" collapsed="false">
      <c r="A8" s="0" t="s">
        <v>71</v>
      </c>
      <c r="C8" s="0" t="n">
        <f aca="false">C6*C7/100</f>
        <v>4552.98891168</v>
      </c>
      <c r="D8" s="0" t="n">
        <f aca="false">D6*D7/100</f>
        <v>5037.7787537532</v>
      </c>
      <c r="E8" s="0" t="n">
        <f aca="false">E6*E7/100</f>
        <v>5516.09093432933</v>
      </c>
      <c r="F8" s="0" t="n">
        <f aca="false">F6*F7/100</f>
        <v>6005.20389111268</v>
      </c>
      <c r="G8" s="0" t="n">
        <f aca="false">G6*G7/100</f>
        <v>6500.47843883331</v>
      </c>
      <c r="H8" s="0" t="n">
        <f aca="false">H6*H7/100</f>
        <v>6792.99996858081</v>
      </c>
      <c r="I8" s="0" t="n">
        <f aca="false">I6*I7/100</f>
        <v>7064.71996732405</v>
      </c>
      <c r="J8" s="0" t="n">
        <f aca="false">J6*J7/100</f>
        <v>7311.98516618039</v>
      </c>
      <c r="K8" s="0" t="n">
        <f aca="false">K6*K7/100</f>
        <v>7531.3447211658</v>
      </c>
      <c r="L8" s="0" t="n">
        <f aca="false">L6*L7/100</f>
        <v>7757.28506280077</v>
      </c>
    </row>
    <row r="9" customFormat="false" ht="15" hidden="false" customHeight="false" outlineLevel="0" collapsed="false">
      <c r="A9" s="0" t="s">
        <v>127</v>
      </c>
      <c r="C9" s="4" t="n">
        <f aca="false">Assumptions!C43</f>
        <v>0.38</v>
      </c>
      <c r="D9" s="4" t="n">
        <f aca="false">Assumptions!D43</f>
        <v>0.37</v>
      </c>
      <c r="E9" s="4" t="n">
        <f aca="false">Assumptions!E43</f>
        <v>0.36</v>
      </c>
      <c r="F9" s="4" t="n">
        <f aca="false">Assumptions!F43</f>
        <v>0.35</v>
      </c>
      <c r="G9" s="4" t="n">
        <f aca="false">Assumptions!G43</f>
        <v>0.34</v>
      </c>
      <c r="H9" s="4" t="n">
        <f aca="false">Assumptions!H43</f>
        <v>0.33</v>
      </c>
      <c r="I9" s="4" t="n">
        <f aca="false">Assumptions!I43</f>
        <v>0.32</v>
      </c>
      <c r="J9" s="4" t="n">
        <f aca="false">Assumptions!J43</f>
        <v>0.31</v>
      </c>
      <c r="K9" s="4" t="n">
        <f aca="false">Assumptions!K43</f>
        <v>0.3</v>
      </c>
      <c r="L9" s="4" t="n">
        <f aca="false">Assumptions!L43</f>
        <v>0.3</v>
      </c>
    </row>
    <row r="10" customFormat="false" ht="15" hidden="false" customHeight="false" outlineLevel="0" collapsed="false">
      <c r="A10" s="0" t="s">
        <v>142</v>
      </c>
      <c r="C10" s="0" t="n">
        <f aca="false">-C6*C9/100</f>
        <v>-196.606339368</v>
      </c>
      <c r="D10" s="0" t="n">
        <f aca="false">-D6*D9/100</f>
        <v>-204.83276251524</v>
      </c>
      <c r="E10" s="0" t="n">
        <f aca="false">-E6*E9/100</f>
        <v>-211.254546421123</v>
      </c>
      <c r="F10" s="0" t="n">
        <f aca="false">-F6*F9/100</f>
        <v>-216.682614627777</v>
      </c>
      <c r="G10" s="0" t="n">
        <f aca="false">-G6*G9/100</f>
        <v>-221.016266920333</v>
      </c>
      <c r="H10" s="0" t="n">
        <f aca="false">-H6*H9/100</f>
        <v>-224.168998963167</v>
      </c>
      <c r="I10" s="0" t="n">
        <f aca="false">-I6*I9/100</f>
        <v>-226.071038954369</v>
      </c>
      <c r="J10" s="0" t="n">
        <f aca="false">-J6*J9/100</f>
        <v>-226.671540151592</v>
      </c>
      <c r="K10" s="0" t="n">
        <f aca="false">-K6*K9/100</f>
        <v>-225.940341634974</v>
      </c>
      <c r="L10" s="0" t="n">
        <f aca="false">-L6*L9/100</f>
        <v>-232.718551884023</v>
      </c>
    </row>
    <row r="11" customFormat="false" ht="15" hidden="false" customHeight="false" outlineLevel="0" collapsed="false">
      <c r="A11" s="0" t="s">
        <v>143</v>
      </c>
      <c r="C11" s="0" t="n">
        <f aca="false">C8+C10+C24</f>
        <v>4108.037722584</v>
      </c>
      <c r="D11" s="0" t="n">
        <f aca="false">D8+D10+D24</f>
        <v>4567.217002029</v>
      </c>
      <c r="E11" s="0" t="n">
        <f aca="false">E8+E10+E24</f>
        <v>5023.16365934671</v>
      </c>
      <c r="F11" s="0" t="n">
        <f aca="false">F8+F10+F24</f>
        <v>5491.35654785252</v>
      </c>
      <c r="G11" s="0" t="n">
        <f aca="false">G8+G10+G24</f>
        <v>5967.43920684898</v>
      </c>
      <c r="H11" s="0" t="n">
        <f aca="false">H8+H10+H24</f>
        <v>6242.76697112577</v>
      </c>
      <c r="I11" s="0" t="n">
        <f aca="false">I8+I10+I24</f>
        <v>6499.54236993812</v>
      </c>
      <c r="J11" s="0" t="n">
        <f aca="false">J8+J10+J24</f>
        <v>6734.33833805213</v>
      </c>
      <c r="K11" s="0" t="n">
        <f aca="false">K8+K10+K24</f>
        <v>6943.89983291487</v>
      </c>
      <c r="L11" s="0" t="n">
        <f aca="false">L8+L10+L24</f>
        <v>7152.21682790231</v>
      </c>
    </row>
    <row r="12" customFormat="false" ht="15" hidden="false" customHeight="false" outlineLevel="0" collapsed="false">
      <c r="A12" s="0" t="s">
        <v>144</v>
      </c>
      <c r="C12" s="4" t="n">
        <f aca="false">-C6*Assumptions!C45/100</f>
        <v>-801.94691058</v>
      </c>
      <c r="D12" s="4" t="n">
        <f aca="false">-D6*Assumptions!D45/100</f>
        <v>-858.0831943206</v>
      </c>
      <c r="E12" s="4" t="n">
        <f aca="false">-E6*Assumptions!E45/100</f>
        <v>-880.22727675468</v>
      </c>
      <c r="F12" s="4" t="n">
        <f aca="false">-F6*Assumptions!F45/100</f>
        <v>-928.639776976188</v>
      </c>
      <c r="G12" s="4" t="n">
        <f aca="false">-G6*Assumptions!G45/100</f>
        <v>-975.071765824997</v>
      </c>
      <c r="H12" s="4" t="n">
        <f aca="false">-H6*Assumptions!H45/100</f>
        <v>-1018.94999528712</v>
      </c>
      <c r="I12" s="4" t="n">
        <f aca="false">-I6*Assumptions!I45/100</f>
        <v>-1059.70799509861</v>
      </c>
      <c r="J12" s="4" t="n">
        <f aca="false">-J6*Assumptions!J45/100</f>
        <v>-1096.79777492706</v>
      </c>
      <c r="K12" s="4" t="n">
        <f aca="false">-K6*Assumptions!K45/100</f>
        <v>-1129.70170817487</v>
      </c>
      <c r="L12" s="4" t="n">
        <f aca="false">-L6*Assumptions!L45/100</f>
        <v>-1163.59275942012</v>
      </c>
    </row>
    <row r="13" customFormat="false" ht="15" hidden="false" customHeight="false" outlineLevel="0" collapsed="false">
      <c r="A13" s="0" t="s">
        <v>145</v>
      </c>
      <c r="C13" s="0" t="n">
        <f aca="false">C11+C12</f>
        <v>3306.090812004</v>
      </c>
      <c r="D13" s="0" t="n">
        <f aca="false">D11+D12</f>
        <v>3709.1338077084</v>
      </c>
      <c r="E13" s="0" t="n">
        <f aca="false">E11+E12</f>
        <v>4142.93638259203</v>
      </c>
      <c r="F13" s="0" t="n">
        <f aca="false">F11+F12</f>
        <v>4562.71677087634</v>
      </c>
      <c r="G13" s="0" t="n">
        <f aca="false">G11+G12</f>
        <v>4992.36744102399</v>
      </c>
      <c r="H13" s="0" t="n">
        <f aca="false">H11+H12</f>
        <v>5223.81697583865</v>
      </c>
      <c r="I13" s="0" t="n">
        <f aca="false">I11+I12</f>
        <v>5439.83437483952</v>
      </c>
      <c r="J13" s="0" t="n">
        <f aca="false">J11+J12</f>
        <v>5637.54056312508</v>
      </c>
      <c r="K13" s="0" t="n">
        <f aca="false">K11+K12</f>
        <v>5814.19812474</v>
      </c>
      <c r="L13" s="0" t="n">
        <f aca="false">L11+L12</f>
        <v>5988.6240684822</v>
      </c>
    </row>
    <row r="14" customFormat="false" ht="15" hidden="false" customHeight="false" outlineLevel="0" collapsed="false">
      <c r="A14" s="0" t="s">
        <v>131</v>
      </c>
      <c r="C14" s="4" t="n">
        <f aca="false">Assumptions!C47</f>
        <v>29</v>
      </c>
      <c r="D14" s="4" t="n">
        <f aca="false">Assumptions!D47</f>
        <v>29</v>
      </c>
      <c r="E14" s="4" t="n">
        <f aca="false">Assumptions!E47</f>
        <v>28</v>
      </c>
      <c r="F14" s="4" t="n">
        <f aca="false">Assumptions!F47</f>
        <v>28</v>
      </c>
      <c r="G14" s="4" t="n">
        <f aca="false">Assumptions!G47</f>
        <v>27</v>
      </c>
      <c r="H14" s="4" t="n">
        <f aca="false">Assumptions!H47</f>
        <v>27</v>
      </c>
      <c r="I14" s="4" t="n">
        <f aca="false">Assumptions!I47</f>
        <v>27</v>
      </c>
      <c r="J14" s="4" t="n">
        <f aca="false">Assumptions!J47</f>
        <v>27</v>
      </c>
      <c r="K14" s="4" t="n">
        <f aca="false">Assumptions!K47</f>
        <v>27</v>
      </c>
      <c r="L14" s="4" t="n">
        <f aca="false">Assumptions!L47</f>
        <v>27</v>
      </c>
    </row>
    <row r="15" customFormat="false" ht="15" hidden="false" customHeight="false" outlineLevel="0" collapsed="false">
      <c r="A15" s="0" t="s">
        <v>146</v>
      </c>
      <c r="C15" s="0" t="n">
        <f aca="false">C13-MAX(0,C13)*C14/100</f>
        <v>2347.32447652284</v>
      </c>
      <c r="D15" s="0" t="n">
        <f aca="false">D13-MAX(0,D13)*D14/100</f>
        <v>2633.48500347296</v>
      </c>
      <c r="E15" s="0" t="n">
        <f aca="false">E13-MAX(0,E13)*E14/100</f>
        <v>2982.91419546626</v>
      </c>
      <c r="F15" s="0" t="n">
        <f aca="false">F13-MAX(0,F13)*F14/100</f>
        <v>3285.15607503096</v>
      </c>
      <c r="G15" s="0" t="n">
        <f aca="false">G13-MAX(0,G13)*G14/100</f>
        <v>3644.42823194751</v>
      </c>
      <c r="H15" s="0" t="n">
        <f aca="false">H13-MAX(0,H13)*H14/100</f>
        <v>3813.38639236221</v>
      </c>
      <c r="I15" s="0" t="n">
        <f aca="false">I13-MAX(0,I13)*I14/100</f>
        <v>3971.07909363285</v>
      </c>
      <c r="J15" s="0" t="n">
        <f aca="false">J13-MAX(0,J13)*J14/100</f>
        <v>4115.40461108131</v>
      </c>
      <c r="K15" s="0" t="n">
        <f aca="false">K13-MAX(0,K13)*K14/100</f>
        <v>4244.3646310602</v>
      </c>
      <c r="L15" s="0" t="n">
        <f aca="false">L13-MAX(0,L13)*L14/100</f>
        <v>4371.695569992</v>
      </c>
    </row>
    <row r="16" customFormat="false" ht="15" hidden="false" customHeight="false" outlineLevel="0" collapsed="false">
      <c r="A16" s="0" t="s">
        <v>147</v>
      </c>
      <c r="C16" s="0" t="n">
        <f aca="false">-C12</f>
        <v>801.94691058</v>
      </c>
      <c r="D16" s="0" t="n">
        <f aca="false">-D12</f>
        <v>858.0831943206</v>
      </c>
      <c r="E16" s="0" t="n">
        <f aca="false">-E12</f>
        <v>880.22727675468</v>
      </c>
      <c r="F16" s="0" t="n">
        <f aca="false">-F12</f>
        <v>928.639776976188</v>
      </c>
      <c r="G16" s="0" t="n">
        <f aca="false">-G12</f>
        <v>975.071765824997</v>
      </c>
      <c r="H16" s="0" t="n">
        <f aca="false">-H12</f>
        <v>1018.94999528712</v>
      </c>
      <c r="I16" s="0" t="n">
        <f aca="false">-I12</f>
        <v>1059.70799509861</v>
      </c>
      <c r="J16" s="0" t="n">
        <f aca="false">-J12</f>
        <v>1096.79777492706</v>
      </c>
      <c r="K16" s="0" t="n">
        <f aca="false">-K12</f>
        <v>1129.70170817487</v>
      </c>
      <c r="L16" s="0" t="n">
        <f aca="false">-L12</f>
        <v>1163.59275942012</v>
      </c>
    </row>
    <row r="17" customFormat="false" ht="15" hidden="false" customHeight="false" outlineLevel="0" collapsed="false">
      <c r="A17" s="0" t="s">
        <v>148</v>
      </c>
      <c r="C17" s="4" t="n">
        <f aca="false">-C6*Assumptions!C46/100</f>
        <v>-672.60063468</v>
      </c>
      <c r="D17" s="4" t="n">
        <f aca="false">-D6*Assumptions!D46/100</f>
        <v>-747.3627821502</v>
      </c>
      <c r="E17" s="4" t="n">
        <f aca="false">-E6*Assumptions!E46/100</f>
        <v>-821.545458304368</v>
      </c>
      <c r="F17" s="4" t="n">
        <f aca="false">-F6*Assumptions!F46/100</f>
        <v>-866.730458511108</v>
      </c>
      <c r="G17" s="4" t="n">
        <f aca="false">-G6*Assumptions!G46/100</f>
        <v>-910.066981436664</v>
      </c>
      <c r="H17" s="4" t="n">
        <f aca="false">-H6*Assumptions!H46/100</f>
        <v>-951.019995601314</v>
      </c>
      <c r="I17" s="4" t="n">
        <f aca="false">-I6*Assumptions!I46/100</f>
        <v>-989.060795425366</v>
      </c>
      <c r="J17" s="4" t="n">
        <f aca="false">-J6*Assumptions!J46/100</f>
        <v>-1023.67792326525</v>
      </c>
      <c r="K17" s="4" t="n">
        <f aca="false">-K6*Assumptions!K46/100</f>
        <v>-1054.38826096321</v>
      </c>
      <c r="L17" s="4" t="n">
        <f aca="false">-L6*Assumptions!L46/100</f>
        <v>-1086.01990879211</v>
      </c>
    </row>
    <row r="18" customFormat="false" ht="15" hidden="false" customHeight="false" outlineLevel="0" collapsed="false">
      <c r="A18" s="0" t="s">
        <v>149</v>
      </c>
      <c r="C18" s="4" t="n">
        <f aca="false">(C6-B6)*Assumptions!$B$51/100</f>
        <v>-338.476236</v>
      </c>
      <c r="D18" s="4" t="n">
        <f aca="false">(D6-C6)*Assumptions!$B$51/100</f>
        <v>-362.169572520001</v>
      </c>
      <c r="E18" s="4" t="n">
        <f aca="false">(E6-D6)*Assumptions!$B$51/100</f>
        <v>-332.161236511201</v>
      </c>
      <c r="F18" s="4" t="n">
        <f aca="false">(F6-E6)*Assumptions!$B$51/100</f>
        <v>-322.750001476716</v>
      </c>
      <c r="G18" s="4" t="n">
        <f aca="false">(G6-F6)*Assumptions!$B$51/100</f>
        <v>-309.546592325396</v>
      </c>
      <c r="H18" s="4" t="n">
        <f aca="false">(H6-G6)*Assumptions!$B$51/100</f>
        <v>-292.521529747499</v>
      </c>
      <c r="I18" s="4" t="n">
        <f aca="false">(I6-H6)*Assumptions!$B$51/100</f>
        <v>-271.719998743232</v>
      </c>
      <c r="J18" s="4" t="n">
        <f aca="false">(J6-I6)*Assumptions!$B$51/100</f>
        <v>-247.26519885634</v>
      </c>
      <c r="K18" s="4" t="n">
        <f aca="false">(K6-J6)*Assumptions!$B$51/100</f>
        <v>-219.359554985412</v>
      </c>
      <c r="L18" s="4" t="n">
        <f aca="false">(L6-K6)*Assumptions!$B$51/100</f>
        <v>-225.940341634974</v>
      </c>
    </row>
    <row r="19" customFormat="false" ht="15" hidden="false" customHeight="false" outlineLevel="0" collapsed="false">
      <c r="A19" s="0" t="s">
        <v>150</v>
      </c>
      <c r="C19" s="0" t="n">
        <f aca="false">C15+C16+C17+C18</f>
        <v>2138.19451642284</v>
      </c>
      <c r="D19" s="0" t="n">
        <f aca="false">D15+D16+D17+D18</f>
        <v>2382.03584312336</v>
      </c>
      <c r="E19" s="0" t="n">
        <f aca="false">E15+E16+E17+E18</f>
        <v>2709.43477740537</v>
      </c>
      <c r="F19" s="0" t="n">
        <f aca="false">F15+F16+F17+F18</f>
        <v>3024.31539201933</v>
      </c>
      <c r="G19" s="0" t="n">
        <f aca="false">G15+G16+G17+G18</f>
        <v>3399.88642401045</v>
      </c>
      <c r="H19" s="0" t="n">
        <f aca="false">H15+H16+H17+H18</f>
        <v>3588.79486230052</v>
      </c>
      <c r="I19" s="0" t="n">
        <f aca="false">I15+I16+I17+I18</f>
        <v>3770.00629456285</v>
      </c>
      <c r="J19" s="0" t="n">
        <f aca="false">J15+J16+J17+J18</f>
        <v>3941.25926388677</v>
      </c>
      <c r="K19" s="0" t="n">
        <f aca="false">K15+K16+K17+K18</f>
        <v>4100.31852328644</v>
      </c>
      <c r="L19" s="0" t="n">
        <f aca="false">L15+L16+L17+L18</f>
        <v>4223.32807898504</v>
      </c>
    </row>
    <row r="20" customFormat="false" ht="15" hidden="false" customHeight="false" outlineLevel="0" collapsed="false">
      <c r="A20" s="0" t="s">
        <v>151</v>
      </c>
      <c r="C20" s="0" t="n">
        <f aca="false">1/(1+$B$27/100)^C4</f>
        <v>0.869565217391304</v>
      </c>
      <c r="D20" s="0" t="n">
        <f aca="false">1/(1+$B$27/100)^D4</f>
        <v>0.756143667296787</v>
      </c>
      <c r="E20" s="0" t="n">
        <f aca="false">1/(1+$B$27/100)^E4</f>
        <v>0.657516232431988</v>
      </c>
      <c r="F20" s="0" t="n">
        <f aca="false">1/(1+$B$27/100)^F4</f>
        <v>0.571753245593033</v>
      </c>
      <c r="G20" s="0" t="n">
        <f aca="false">1/(1+$B$27/100)^G4</f>
        <v>0.49717673529829</v>
      </c>
      <c r="H20" s="0" t="n">
        <f aca="false">1/(1+$B$27/100)^H4</f>
        <v>0.432327595911556</v>
      </c>
      <c r="I20" s="0" t="n">
        <f aca="false">1/(1+$B$27/100)^I4</f>
        <v>0.375937039923093</v>
      </c>
      <c r="J20" s="0" t="n">
        <f aca="false">1/(1+$B$27/100)^J4</f>
        <v>0.326901773846168</v>
      </c>
      <c r="K20" s="0" t="n">
        <f aca="false">1/(1+$B$27/100)^K4</f>
        <v>0.284262412040146</v>
      </c>
      <c r="L20" s="0" t="n">
        <f aca="false">1/(1+$B$27/100)^L4</f>
        <v>0.247184706121866</v>
      </c>
    </row>
    <row r="21" customFormat="false" ht="15" hidden="false" customHeight="false" outlineLevel="0" collapsed="false">
      <c r="A21" s="0" t="s">
        <v>152</v>
      </c>
      <c r="C21" s="0" t="n">
        <f aca="false">C19*C20</f>
        <v>1859.29957949812</v>
      </c>
      <c r="D21" s="0" t="n">
        <f aca="false">D19*D20</f>
        <v>1801.16131805169</v>
      </c>
      <c r="E21" s="0" t="n">
        <f aca="false">E19*E20</f>
        <v>1781.49734685978</v>
      </c>
      <c r="F21" s="0" t="n">
        <f aca="false">F19*F20</f>
        <v>1729.16214108402</v>
      </c>
      <c r="G21" s="0" t="n">
        <f aca="false">G19*G20</f>
        <v>1690.34443267449</v>
      </c>
      <c r="H21" s="0" t="n">
        <f aca="false">H19*H20</f>
        <v>1551.53505503813</v>
      </c>
      <c r="I21" s="0" t="n">
        <f aca="false">I19*I20</f>
        <v>1417.28500686939</v>
      </c>
      <c r="J21" s="0" t="n">
        <f aca="false">J19*J20</f>
        <v>1288.40464455223</v>
      </c>
      <c r="K21" s="0" t="n">
        <f aca="false">K19*K20</f>
        <v>1165.56643356229</v>
      </c>
      <c r="L21" s="0" t="n">
        <f aca="false">L19*L20</f>
        <v>1043.94211006014</v>
      </c>
    </row>
    <row r="23" customFormat="false" ht="15" hidden="false" customHeight="false" outlineLevel="0" collapsed="false">
      <c r="A23" s="0" t="s">
        <v>128</v>
      </c>
      <c r="C23" s="4" t="n">
        <f aca="false">Assumptions!C44</f>
        <v>0.48</v>
      </c>
      <c r="D23" s="4" t="n">
        <f aca="false">Assumptions!D44</f>
        <v>0.48</v>
      </c>
      <c r="E23" s="4" t="n">
        <f aca="false">Assumptions!E44</f>
        <v>0.48</v>
      </c>
      <c r="F23" s="4" t="n">
        <f aca="false">Assumptions!F44</f>
        <v>0.48</v>
      </c>
      <c r="G23" s="4" t="n">
        <f aca="false">Assumptions!G44</f>
        <v>0.48</v>
      </c>
      <c r="H23" s="4" t="n">
        <f aca="false">Assumptions!H44</f>
        <v>0.48</v>
      </c>
      <c r="I23" s="4" t="n">
        <f aca="false">Assumptions!I44</f>
        <v>0.48</v>
      </c>
      <c r="J23" s="4" t="n">
        <f aca="false">Assumptions!J44</f>
        <v>0.48</v>
      </c>
      <c r="K23" s="4" t="n">
        <f aca="false">Assumptions!K44</f>
        <v>0.48</v>
      </c>
      <c r="L23" s="4" t="n">
        <f aca="false">Assumptions!L44</f>
        <v>0.48</v>
      </c>
    </row>
    <row r="24" customFormat="false" ht="15" hidden="false" customHeight="false" outlineLevel="0" collapsed="false">
      <c r="A24" s="0" t="s">
        <v>153</v>
      </c>
      <c r="C24" s="0" t="n">
        <f aca="false">-C6*C23/100</f>
        <v>-248.344849728</v>
      </c>
      <c r="D24" s="0" t="n">
        <f aca="false">-D6*D23/100</f>
        <v>-265.72898920896</v>
      </c>
      <c r="E24" s="0" t="n">
        <f aca="false">-E6*E23/100</f>
        <v>-281.672728561498</v>
      </c>
      <c r="F24" s="0" t="n">
        <f aca="false">-F6*F23/100</f>
        <v>-297.16472863238</v>
      </c>
      <c r="G24" s="0" t="n">
        <f aca="false">-G6*G23/100</f>
        <v>-312.022965063999</v>
      </c>
      <c r="H24" s="0" t="n">
        <f aca="false">-H6*H23/100</f>
        <v>-326.063998491879</v>
      </c>
      <c r="I24" s="0" t="n">
        <f aca="false">-I6*I23/100</f>
        <v>-339.106558431554</v>
      </c>
      <c r="J24" s="0" t="n">
        <f aca="false">-J6*J23/100</f>
        <v>-350.975287976659</v>
      </c>
      <c r="K24" s="0" t="n">
        <f aca="false">-K6*K23/100</f>
        <v>-361.504546615958</v>
      </c>
      <c r="L24" s="0" t="n">
        <f aca="false">-L6*L23/100</f>
        <v>-372.349683014437</v>
      </c>
    </row>
    <row r="26" customFormat="false" ht="15" hidden="false" customHeight="false" outlineLevel="0" collapsed="false">
      <c r="A26" s="2" t="s">
        <v>154</v>
      </c>
    </row>
    <row r="27" customFormat="false" ht="15" hidden="false" customHeight="false" outlineLevel="0" collapsed="false">
      <c r="A27" s="0" t="s">
        <v>132</v>
      </c>
      <c r="B27" s="4" t="n">
        <f aca="false">Assumptions!$B$48</f>
        <v>15</v>
      </c>
    </row>
    <row r="28" customFormat="false" ht="15" hidden="false" customHeight="false" outlineLevel="0" collapsed="false">
      <c r="A28" s="0" t="s">
        <v>133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134</v>
      </c>
      <c r="B29" s="4" t="n">
        <f aca="false">Assumptions!$B$50</f>
        <v>14</v>
      </c>
    </row>
    <row r="30" customFormat="false" ht="15" hidden="false" customHeight="false" outlineLevel="0" collapsed="false">
      <c r="A30" s="0" t="s">
        <v>155</v>
      </c>
      <c r="B30" s="0" t="n">
        <f aca="false">SUM(C21:L21)</f>
        <v>15328.1980682503</v>
      </c>
    </row>
    <row r="31" customFormat="false" ht="15" hidden="false" customHeight="false" outlineLevel="0" collapsed="false">
      <c r="A31" s="0" t="s">
        <v>156</v>
      </c>
      <c r="B31" s="0" t="n">
        <f aca="false">L19</f>
        <v>4223.32807898504</v>
      </c>
    </row>
    <row r="32" customFormat="false" ht="15" hidden="false" customHeight="false" outlineLevel="0" collapsed="false">
      <c r="A32" s="0" t="s">
        <v>157</v>
      </c>
      <c r="B32" s="0" t="n">
        <f aca="false">IF(B27&gt;B28,B31*(1+B28/100)/((B27-B28)/100),B31*B29)</f>
        <v>34631.2902476773</v>
      </c>
    </row>
    <row r="33" customFormat="false" ht="15" hidden="false" customHeight="false" outlineLevel="0" collapsed="false">
      <c r="A33" s="0" t="s">
        <v>158</v>
      </c>
      <c r="B33" s="0" t="n">
        <f aca="false">B31*B29</f>
        <v>59126.5931057905</v>
      </c>
    </row>
    <row r="34" customFormat="false" ht="15" hidden="false" customHeight="false" outlineLevel="0" collapsed="false">
      <c r="A34" s="0" t="s">
        <v>159</v>
      </c>
      <c r="B34" s="0" t="n">
        <f aca="false">MAX(0,MIN(B32,B33))</f>
        <v>34631.2902476773</v>
      </c>
    </row>
    <row r="35" customFormat="false" ht="15" hidden="false" customHeight="false" outlineLevel="0" collapsed="false">
      <c r="A35" s="0" t="s">
        <v>160</v>
      </c>
      <c r="B35" s="0" t="n">
        <f aca="false">B34/(1+B27/100)^L4</f>
        <v>8560.32530249316</v>
      </c>
    </row>
    <row r="36" customFormat="false" ht="15" hidden="false" customHeight="false" outlineLevel="0" collapsed="false">
      <c r="A36" s="0" t="s">
        <v>161</v>
      </c>
      <c r="B36" s="0" t="n">
        <f aca="false">B30+B35</f>
        <v>23888.5233707434</v>
      </c>
    </row>
    <row r="37" customFormat="false" ht="15" hidden="false" customHeight="false" outlineLevel="0" collapsed="false">
      <c r="A37" s="0" t="s">
        <v>162</v>
      </c>
      <c r="B37" s="0" t="n">
        <f aca="false">B36+Assumptions!$B$5-Assumptions!$B$4</f>
        <v>37655.1233707434</v>
      </c>
    </row>
    <row r="38" customFormat="false" ht="15" hidden="false" customHeight="false" outlineLevel="0" collapsed="false">
      <c r="A38" s="0" t="s">
        <v>163</v>
      </c>
      <c r="B38" s="0" t="n">
        <f aca="false">B37/Assumptions!$B$3*Assumptions!$B$10</f>
        <v>13.3012324661583</v>
      </c>
    </row>
    <row r="39" customFormat="false" ht="15" hidden="false" customHeight="false" outlineLevel="0" collapsed="false">
      <c r="A39" s="0" t="s">
        <v>164</v>
      </c>
      <c r="B39" s="4" t="n">
        <f aca="false">B38/Assumptions!$B$2-1</f>
        <v>1.67361456606198</v>
      </c>
    </row>
    <row r="41" customFormat="false" ht="15" hidden="false" customHeight="false" outlineLevel="0" collapsed="false">
      <c r="A41" s="0" t="s">
        <v>165</v>
      </c>
      <c r="B41" s="0" t="n">
        <f aca="false">SUMPRODUCT(-C10:L10/(1+$B$27/100)^C4:L4)</f>
        <v>1076.27452162246</v>
      </c>
    </row>
    <row r="42" customFormat="false" ht="15" hidden="false" customHeight="false" outlineLevel="0" collapsed="false">
      <c r="A42" s="0" t="s">
        <v>166</v>
      </c>
      <c r="B42" s="0" t="n">
        <f aca="false">IF(B27&gt;B28,-L10*(1+B28/100)/((B27-B28)/100),-L10*20)/(1+B27/100)^L4</f>
        <v>471.700628223779</v>
      </c>
    </row>
    <row r="43" customFormat="false" ht="15" hidden="false" customHeight="false" outlineLevel="0" collapsed="false">
      <c r="A43" s="0" t="s">
        <v>167</v>
      </c>
      <c r="B43" s="0" t="n">
        <f aca="false">(B37+B41+B42)/Assumptions!$B$3*Assumptions!$B$10</f>
        <v>13.8480366053247</v>
      </c>
    </row>
    <row r="45" customFormat="false" ht="15" hidden="false" customHeight="false" outlineLevel="0" collapsed="false">
      <c r="A45" s="0" t="s">
        <v>108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168</v>
      </c>
      <c r="B46" s="0" t="n">
        <f aca="false">MAX(0,MIN(IF(B45&gt;B28,B31*(1+B28/100)/((B45-B28)/100),B31*B29),B31*B29))</f>
        <v>34631.2902476773</v>
      </c>
    </row>
    <row r="47" customFormat="false" ht="15" hidden="false" customHeight="false" outlineLevel="0" collapsed="false">
      <c r="A47" s="0" t="s">
        <v>169</v>
      </c>
      <c r="B47" s="0" t="n">
        <f aca="false">(SUMPRODUCT(C19:L19/(1+B45/100)^C4:L4)+B46/(1+B45/100)^L4+Assumptions!$B$5-Assumptions!$B$4)/Assumptions!$B$3*Assumptions!$B$10</f>
        <v>13.3012324661583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172</v>
      </c>
    </row>
    <row r="3" customFormat="false" ht="15" hidden="false" customHeight="false" outlineLevel="0" collapsed="false">
      <c r="A3" s="2" t="s">
        <v>173</v>
      </c>
      <c r="B3" s="2" t="s">
        <v>174</v>
      </c>
      <c r="C3" s="2" t="s">
        <v>164</v>
      </c>
      <c r="D3" s="2" t="s">
        <v>175</v>
      </c>
      <c r="E3" s="2" t="s">
        <v>167</v>
      </c>
      <c r="F3" s="2" t="s">
        <v>176</v>
      </c>
    </row>
    <row r="4" customFormat="false" ht="15" hidden="false" customHeight="false" outlineLevel="0" collapsed="false">
      <c r="A4" s="0" t="s">
        <v>177</v>
      </c>
      <c r="B4" s="4" t="n">
        <f aca="false">DCF_Bear!$B$38</f>
        <v>7.75150897353642</v>
      </c>
      <c r="C4" s="0" t="n">
        <f aca="false">B4/Assumptions!$B$2-1</f>
        <v>0.55809225598722</v>
      </c>
      <c r="D4" s="4" t="n">
        <f aca="false">Assumptions!$B$24</f>
        <v>0.3</v>
      </c>
      <c r="E4" s="4" t="n">
        <f aca="false">DCF_Bear!$B$43</f>
        <v>8.17818801114043</v>
      </c>
      <c r="F4" s="4" t="n">
        <f aca="false">DCF_Bear!$B$47</f>
        <v>7.75150897353642</v>
      </c>
    </row>
    <row r="5" customFormat="false" ht="15" hidden="false" customHeight="false" outlineLevel="0" collapsed="false">
      <c r="A5" s="0" t="s">
        <v>178</v>
      </c>
      <c r="B5" s="4" t="n">
        <f aca="false">DCF_Base!$B$38</f>
        <v>10.7724109865044</v>
      </c>
      <c r="C5" s="0" t="n">
        <f aca="false">B5/Assumptions!$B$2-1</f>
        <v>1.1653087410059</v>
      </c>
      <c r="D5" s="4" t="n">
        <f aca="false">Assumptions!$B$38</f>
        <v>0.5</v>
      </c>
      <c r="E5" s="4" t="n">
        <f aca="false">DCF_Base!$B$43</f>
        <v>11.2593140952755</v>
      </c>
      <c r="F5" s="4" t="n">
        <f aca="false">DCF_Base!$B$47</f>
        <v>10.7724109865044</v>
      </c>
    </row>
    <row r="6" customFormat="false" ht="15" hidden="false" customHeight="false" outlineLevel="0" collapsed="false">
      <c r="A6" s="0" t="s">
        <v>179</v>
      </c>
      <c r="B6" s="4" t="n">
        <f aca="false">DCF_Bull!$B$38</f>
        <v>13.3012324661583</v>
      </c>
      <c r="C6" s="0" t="n">
        <f aca="false">B6/Assumptions!$B$2-1</f>
        <v>1.67361456606198</v>
      </c>
      <c r="D6" s="4" t="n">
        <f aca="false">Assumptions!$B$52</f>
        <v>0.2</v>
      </c>
      <c r="E6" s="4" t="n">
        <f aca="false">DCF_Bull!$B$43</f>
        <v>13.8480366053247</v>
      </c>
      <c r="F6" s="4" t="n">
        <f aca="false">DCF_Bull!$B$47</f>
        <v>13.3012324661583</v>
      </c>
    </row>
    <row r="8" customFormat="false" ht="15" hidden="false" customHeight="false" outlineLevel="0" collapsed="false">
      <c r="A8" s="0" t="s">
        <v>180</v>
      </c>
      <c r="B8" s="0" t="n">
        <f aca="false">SUMPRODUCT(B4:B6,D4:D6)</f>
        <v>10.3719046785448</v>
      </c>
    </row>
    <row r="9" customFormat="false" ht="15" hidden="false" customHeight="false" outlineLevel="0" collapsed="false">
      <c r="A9" s="0" t="s">
        <v>181</v>
      </c>
      <c r="B9" s="0" t="n">
        <f aca="false">SUMPRODUCT(E4:E6,D4:D6)</f>
        <v>10.8527207720448</v>
      </c>
    </row>
    <row r="10" customFormat="false" ht="15" hidden="false" customHeight="false" outlineLevel="0" collapsed="false">
      <c r="A10" s="0" t="s">
        <v>182</v>
      </c>
      <c r="B10" s="0" t="n">
        <f aca="false">1-Assumptions!$B$2/B8</f>
        <v>0.520338823563309</v>
      </c>
    </row>
    <row r="11" customFormat="false" ht="15" hidden="false" customHeight="false" outlineLevel="0" collapsed="false">
      <c r="A11" s="0" t="s">
        <v>183</v>
      </c>
      <c r="B11" s="0" t="n">
        <f aca="false">IF(ABS(B9-B8)&gt;0.01*ABS(B8),(Assumptions!$B$2-B8)/(B9-B8)*100,"n/a")</f>
        <v>-1122.44676322266</v>
      </c>
    </row>
    <row r="12" customFormat="false" ht="15" hidden="false" customHeight="false" outlineLevel="0" collapsed="false">
      <c r="A12" s="0" t="s">
        <v>184</v>
      </c>
      <c r="B12" s="0" t="n">
        <f aca="false">SUMPRODUCT(F4:F6,D4:D6)</f>
        <v>10.3719046785448</v>
      </c>
    </row>
    <row r="14" customFormat="false" ht="15" hidden="false" customHeight="false" outlineLevel="0" collapsed="false">
      <c r="A14" s="2" t="s">
        <v>185</v>
      </c>
      <c r="C14" s="0" t="s">
        <v>186</v>
      </c>
    </row>
    <row r="15" customFormat="false" ht="15" hidden="false" customHeight="false" outlineLevel="0" collapsed="false">
      <c r="A15" s="0" t="s">
        <v>187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15.0846489890558</v>
      </c>
      <c r="C15" s="3" t="n">
        <v>9</v>
      </c>
    </row>
    <row r="16" customFormat="false" ht="15" hidden="false" customHeight="false" outlineLevel="0" collapsed="false">
      <c r="A16" s="0" t="s">
        <v>188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14.4082227251139</v>
      </c>
      <c r="C16" s="3" t="n">
        <v>10</v>
      </c>
    </row>
    <row r="17" customFormat="false" ht="15" hidden="false" customHeight="false" outlineLevel="0" collapsed="false">
      <c r="A17" s="0" t="s">
        <v>189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13.5571692121581</v>
      </c>
      <c r="C17" s="3" t="n">
        <v>11</v>
      </c>
    </row>
    <row r="18" customFormat="false" ht="15" hidden="false" customHeight="false" outlineLevel="0" collapsed="false">
      <c r="A18" s="0" t="s">
        <v>190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12.6494090496722</v>
      </c>
      <c r="C18" s="3" t="n">
        <v>12</v>
      </c>
    </row>
    <row r="19" customFormat="false" ht="15" hidden="false" customHeight="false" outlineLevel="0" collapsed="false">
      <c r="A19" s="0" t="s">
        <v>191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10.7724109865044</v>
      </c>
      <c r="C19" s="3" t="n">
        <v>15</v>
      </c>
    </row>
    <row r="21" customFormat="false" ht="15" hidden="false" customHeight="false" outlineLevel="0" collapsed="false">
      <c r="A21" s="2" t="s">
        <v>192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13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11.6588300110256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11.7781960440705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11.9084135346649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12.0510326910303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12.2079137630322</v>
      </c>
    </row>
    <row r="24" customFormat="false" ht="15" hidden="false" customHeight="false" outlineLevel="0" collapsed="false">
      <c r="A24" s="3" t="n">
        <v>14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11.0973029507628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11.1909445476897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11.2923896110271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11.4026559842199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11.5229465731575</v>
      </c>
    </row>
    <row r="25" customFormat="false" ht="15" hidden="false" customHeight="false" outlineLevel="0" collapsed="false">
      <c r="A25" s="3" t="n">
        <v>15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10.6178343392728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10.6922601323843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10.7724109865044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10.858973908954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10.9527504082745</v>
      </c>
    </row>
    <row r="26" customFormat="false" ht="15" hidden="false" customHeight="false" outlineLevel="0" collapsed="false">
      <c r="A26" s="3" t="n">
        <v>16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10.2038984670263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10.263723737999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10.3278222426127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10.3966687846052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10.4708112144432</v>
      </c>
    </row>
    <row r="27" customFormat="false" ht="15" hidden="false" customHeight="false" outlineLevel="0" collapsed="false">
      <c r="A27" s="3" t="n">
        <v>17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9.84310953008863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9.89167654399926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9.94348135883727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9.99885891952618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10.0581920202643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2026-10-23T12:39:15Z</dcterms:created>
  <dc:creator>openpyxl</dc:creator>
  <dc:description/>
  <dc:language>en-NZ</dc:language>
  <cp:lastModifiedBy/>
  <dcterms:modified xsi:type="dcterms:W3CDTF">2026-10-23T12:39:15Z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