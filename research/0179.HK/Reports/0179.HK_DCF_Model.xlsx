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<sst xmlns="http://schemas.openxmlformats.org/spreadsheetml/2006/main" count="359" uniqueCount="165">
  <si>
    <t xml:space="preserve">Ticker</t>
  </si>
  <si>
    <t xml:space="preserve">0179.HK</t>
  </si>
  <si>
    <t xml:space="preserve">Company</t>
  </si>
  <si>
    <t xml:space="preserve">Johnson Electric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</si>
  <si>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</si>
  <si>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</si>
  <si>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</si>
  <si>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</si>
  <si>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HKEX regular close (Friday); 52-week range HK$16.39-38.10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</si>
  <si>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</si>
  <si>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</si>
  <si>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</si>
  <si>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</si>
  <si>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</si>
  <si>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</si>
  <si>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</si>
  <si>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</si>
  <si>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</si>
  <si>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</si>
  <si>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</si>
  <si>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</si>
  <si>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</si>
  <si>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2026-10-10T21:30:14Z</t>
  </si>
  <si>
    <t xml:space="preserve">Drivers file</t>
  </si>
  <si>
    <t xml:space="preserve">0179.HK_Drivers.json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</si>
  <si>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</si>
  <si>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</si>
  <si>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</si>
  <si>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valuation of a net-cash global auto/industrial motor supplier. The 2025 AI/robotics re-rating has fully unwound; the question now is whether a business earning ~US$175m owner FCF with ~US$0.58bn net cash is worth more than its ~US$2.0bn market cap on ordinary auto-supplier economics, with the new businesses treated as bull-case optionality only.
key_risks_to_valuation: Light-vehicle production cycle and APG's 84% revenue weight; Pace of Sino-foreign JV share loss in China versus domestic-OEM wins; US tariff regime and in-region-for-region relocation costs; Copper and input-cost pass-through lag compressing margins; Capex staying at the FY26 7.9% level rather than normalising; Impairment / M&amp;A integration risk (US$22.4m European intangible impairment FY26)</t>
  </si>
  <si>
    <t xml:space="preserve">Data sources</t>
  </si>
  <si>
    <t xml:space="preserve">price: Yahoo Finance chart API at inputs.price_as_of; 52-week range HK$16.39-38.10. FX from Yahoo HKD=X.
financials: 0179.HK_Metrics.csv / core_metrics and kpis (FY2017-FY2026); FY2026 Annual Report balance sheet, cash flow statement, notes 15, 16, 29.
qualitative: 0179.HK_Analysis.json (2026-10-11)</t>
  </si>
  <si>
    <t xml:space="preserve">Scenario narrative: bear</t>
  </si>
  <si>
    <t xml:space="preserve">The China JV share loss and US tariff regime compound a light-vehicle downturn: two years of falling sales, margins stuck at the FY22-23 trough, copper costs not fully recovered, and the robotics/cooling bets remain rounding errors.</t>
  </si>
  <si>
    <t xml:space="preserve">Scenario narrative: base</t>
  </si>
  <si>
    <t xml:space="preserve">Auto volumes stay soft and the China JV customer mix keeps shrinking in FY27, but domestic-OEM, India and thermal-management wins plus IPG's liquid-cooling pumps restore ~2.5-3% growth; adjusted EBITDA margin back to a mid-cycle 15%, capex normalising after the India expansion. Net cash of ~US$0.58bn is a fifth of the market cap.</t>
  </si>
  <si>
    <t xml:space="preserve">Scenario narrative: bull</t>
  </si>
  <si>
    <t xml:space="preserve">The new-growth optionality the market priced in 2025 (AI liquid cooling, humanoid-robot actuators, SOFC components) starts to show in sales, and APG's re-positioning toward domestic Chinese OEMs works; growth runs 5-6% mid-decade and margins return to the FY18-19 peak of ~16.5%.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</si>
  <si>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</si>
  <si>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</si>
  <si>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</si>
  <si>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</si>
  <si>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</si>
  <si>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</si>
  <si>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</si>
  <si>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</si>
  <si>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</si>
  <si>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</si>
  <si>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</si>
  <si>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</si>
  <si>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</si>
  <si>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</si>
  <si>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</si>
  <si>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</si>
  <si>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</si>
  <si>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</si>
  <si>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</si>
  <si>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</si>
  <si>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</si>
  <si>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</si>
  <si>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</si>
  <si>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</si>
  <si>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</si>
  <si>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</si>
  <si>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</si>
  <si>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</si>
  <si>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</si>
  <si>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</si>
  <si>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</si>
  <si>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</si>
  <si>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</si>
  <si>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</si>
  <si>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</si>
  <si>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</si>
  <si>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</si>
  <si>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</si>
  <si>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</si>
  <si>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</si>
  <si>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</si>
  <si>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</si>
  <si>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</si>
  <si>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</si>
  <si>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</si>
  <si>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</si>
  <si>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</si>
  <si>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</si>
  <si>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</si>
  <si>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</si>
  <si>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</si>
  <si>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</si>
  <si>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</si>
  <si>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</si>
  <si>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</si>
  <si>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</si>
  <si>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</si>
  <si>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</si>
  <si>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</si>
  <si>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</si>
  <si>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</si>
  <si>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</si>
  <si>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</si>
  <si>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</si>
  <si>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</si>
  <si>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</si>
  <si>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</si>
  <si>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</si>
  <si>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</si>
  <si>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</si>
  <si>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</si>
  <si>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</si>
  <si>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</si>
  <si>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</si>
  <si>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0179.HK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</si>
  <si>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</si>
  <si>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</si>
  <si>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</si>
  <si>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</si>
  <si>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</si>
  <si>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</si>
  <si>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</si>
  <si>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</si>
  <si>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</si>
  <si>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</si>
  <si>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</si>
  <si>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</si>
  <si>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</si>
  <si>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</si>
  <si>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</si>
  <si>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</si>
  <si>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</si>
  <si>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</si>
  <si>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</si>
  <si>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</si>
  <si>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</si>
  <si>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</si>
  <si>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</si>
  <si>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</si>
  <si>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</si>
  <si>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</si>
  <si>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</si>
  <si>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</si>
  <si>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</si>
  <si>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</si>
  <si>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0179.HK owner-FCF component DCF: base case (millions, USD)</t>
  </si>
  <si>
    <t xml:space="preserve">0179.HK owner-FCF component DCF: bull case (millions, USD)</t>
  </si>
  <si>
    <t xml:space="preserve">0179.HK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</si>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</sst>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2776.101</v>
      </c>
      <c r="C2" s="0" t="n">
        <v>2028.334</v>
      </c>
      <c r="D2" s="0" t="n">
        <v>747.767</v>
      </c>
      <c r="E2" s="0" t="n">
        <v>26.9359</v>
      </c>
      <c r="F2" s="0" t="n">
        <v>295.514</v>
      </c>
      <c r="G2" s="0" t="n">
        <v>10.6449</v>
      </c>
      <c r="H2" s="0" t="n">
        <v>448.353</v>
      </c>
      <c r="I2" s="0" t="n">
        <v>237.92</v>
      </c>
      <c r="J2" s="0" t="n">
        <v>8.5703</v>
      </c>
      <c r="K2" s="0" t="n">
        <v>0.2691</v>
      </c>
      <c r="L2" s="0" t="n">
        <v>399.945</v>
      </c>
      <c r="M2" s="0" t="n">
        <v>246.971</v>
      </c>
      <c r="N2" s="0" t="n">
        <v>152.974</v>
      </c>
      <c r="O2" s="0" t="n">
        <v>1992.19</v>
      </c>
      <c r="P2" s="0" t="n">
        <v>3368.673</v>
      </c>
      <c r="Q2" s="0" t="n">
        <v>1343.678</v>
      </c>
      <c r="R2" s="0" t="n">
        <v>383.971</v>
      </c>
      <c r="S2" s="0" t="n">
        <v>127.689</v>
      </c>
      <c r="T2" s="0" t="n">
        <v>908.066</v>
      </c>
      <c r="U2" s="0" t="n">
        <v>12.376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3236.56</v>
      </c>
      <c r="C3" s="0" t="n">
        <v>2445.328</v>
      </c>
      <c r="D3" s="0" t="n">
        <v>791.232</v>
      </c>
      <c r="E3" s="0" t="n">
        <v>24.4467</v>
      </c>
      <c r="F3" s="0" t="n">
        <v>335.198</v>
      </c>
      <c r="G3" s="0" t="n">
        <v>10.3566</v>
      </c>
      <c r="H3" s="0" t="n">
        <v>519.857</v>
      </c>
      <c r="I3" s="0" t="n">
        <v>264.047</v>
      </c>
      <c r="J3" s="0" t="n">
        <v>8.1583</v>
      </c>
      <c r="K3" s="0" t="n">
        <v>0.2965</v>
      </c>
      <c r="L3" s="0" t="n">
        <v>400.801</v>
      </c>
      <c r="M3" s="0" t="n">
        <v>314.55</v>
      </c>
      <c r="N3" s="0" t="n">
        <v>86.251</v>
      </c>
      <c r="O3" s="0" t="n">
        <v>2298.446</v>
      </c>
      <c r="P3" s="0" t="n">
        <v>4002.279</v>
      </c>
      <c r="Q3" s="0" t="n">
        <v>1636.474</v>
      </c>
      <c r="R3" s="0" t="n">
        <v>492.184</v>
      </c>
      <c r="S3" s="0" t="n">
        <v>168.942</v>
      </c>
      <c r="T3" s="0" t="n">
        <v>912.932</v>
      </c>
      <c r="U3" s="0" t="n">
        <v>12.685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3280.381</v>
      </c>
      <c r="C4" s="0" t="n">
        <v>2528.935</v>
      </c>
      <c r="D4" s="0" t="n">
        <v>751.446</v>
      </c>
      <c r="E4" s="0" t="n">
        <v>22.9073</v>
      </c>
      <c r="F4" s="0" t="n">
        <v>344.246</v>
      </c>
      <c r="G4" s="0" t="n">
        <v>10.4941</v>
      </c>
      <c r="H4" s="0" t="n">
        <v>549.258</v>
      </c>
      <c r="I4" s="0" t="n">
        <v>281.329</v>
      </c>
      <c r="J4" s="0" t="n">
        <v>8.5761</v>
      </c>
      <c r="K4" s="0" t="n">
        <v>0.316</v>
      </c>
      <c r="L4" s="0" t="n">
        <v>455.84</v>
      </c>
      <c r="M4" s="0" t="n">
        <v>402.625</v>
      </c>
      <c r="N4" s="0" t="n">
        <v>53.215</v>
      </c>
      <c r="O4" s="0" t="n">
        <v>2487.199</v>
      </c>
      <c r="P4" s="0" t="n">
        <v>4278.002</v>
      </c>
      <c r="Q4" s="0" t="n">
        <v>1719.525</v>
      </c>
      <c r="R4" s="0" t="n">
        <v>685.681</v>
      </c>
      <c r="S4" s="0" t="n">
        <v>339.986</v>
      </c>
      <c r="T4" s="0" t="n">
        <v>907.794</v>
      </c>
      <c r="U4" s="0" t="n">
        <v>10.4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3070.485</v>
      </c>
      <c r="C5" s="0" t="n">
        <v>2398.222</v>
      </c>
      <c r="D5" s="0" t="n">
        <v>672.263</v>
      </c>
      <c r="E5" s="0" t="n">
        <v>21.8944</v>
      </c>
      <c r="F5" s="0" t="n">
        <v>340.596</v>
      </c>
      <c r="G5" s="0" t="n">
        <v>11.0926</v>
      </c>
      <c r="H5" s="0" t="n">
        <v>-209.236</v>
      </c>
      <c r="I5" s="0" t="n">
        <v>-493.657</v>
      </c>
      <c r="J5" s="0" t="n">
        <v>-16.0775</v>
      </c>
      <c r="K5" s="0" t="n">
        <v>-0.5555</v>
      </c>
      <c r="L5" s="0" t="n">
        <v>545.792</v>
      </c>
      <c r="M5" s="0" t="n">
        <v>291.201</v>
      </c>
      <c r="N5" s="0" t="n">
        <v>254.591</v>
      </c>
      <c r="O5" s="0" t="n">
        <v>1828.209</v>
      </c>
      <c r="P5" s="0" t="n">
        <v>3460.355</v>
      </c>
      <c r="Q5" s="0" t="n">
        <v>1558.639</v>
      </c>
      <c r="R5" s="0" t="n">
        <v>415.465</v>
      </c>
      <c r="S5" s="0" t="n">
        <v>384.369</v>
      </c>
      <c r="T5" s="0" t="n">
        <v>888.672</v>
      </c>
      <c r="U5" s="0" t="n">
        <v>5.473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3156.163</v>
      </c>
      <c r="C6" s="0" t="n">
        <v>2432.869</v>
      </c>
      <c r="D6" s="0" t="n">
        <v>723.294</v>
      </c>
      <c r="E6" s="0" t="n">
        <v>22.9169</v>
      </c>
      <c r="F6" s="0" t="n">
        <v>258.492</v>
      </c>
      <c r="G6" s="0" t="n">
        <v>8.1901</v>
      </c>
      <c r="H6" s="0" t="n">
        <v>509.635</v>
      </c>
      <c r="I6" s="0" t="n">
        <v>212.035</v>
      </c>
      <c r="J6" s="0" t="n">
        <v>6.7181</v>
      </c>
      <c r="K6" s="0" t="n">
        <v>0.236</v>
      </c>
      <c r="L6" s="0" t="n">
        <v>434.383</v>
      </c>
      <c r="M6" s="0" t="n">
        <v>269.215</v>
      </c>
      <c r="N6" s="0" t="n">
        <v>165.168</v>
      </c>
      <c r="O6" s="0" t="n">
        <v>2224.601</v>
      </c>
      <c r="P6" s="0" t="n">
        <v>4018.44</v>
      </c>
      <c r="Q6" s="0" t="n">
        <v>1710.407</v>
      </c>
      <c r="R6" s="0" t="n">
        <v>426.19</v>
      </c>
      <c r="S6" s="0" t="n">
        <v>539.467</v>
      </c>
      <c r="T6" s="0" t="n">
        <v>898.504</v>
      </c>
      <c r="U6" s="0" t="n">
        <v>9.536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3446.055</v>
      </c>
      <c r="C7" s="0" t="n">
        <v>2744.148</v>
      </c>
      <c r="D7" s="0" t="n">
        <v>701.907</v>
      </c>
      <c r="E7" s="0" t="n">
        <v>20.3684</v>
      </c>
      <c r="F7" s="0" t="n">
        <v>187.484</v>
      </c>
      <c r="G7" s="0" t="n">
        <v>5.4405</v>
      </c>
      <c r="H7" s="0" t="n">
        <v>470.769</v>
      </c>
      <c r="I7" s="0" t="n">
        <v>146.352</v>
      </c>
      <c r="J7" s="0" t="n">
        <v>4.2469</v>
      </c>
      <c r="K7" s="0" t="n">
        <v>0.1623</v>
      </c>
      <c r="L7" s="0" t="n">
        <v>183.589</v>
      </c>
      <c r="M7" s="0" t="n">
        <v>319.842</v>
      </c>
      <c r="N7" s="0" t="n">
        <v>-136.253</v>
      </c>
      <c r="O7" s="0" t="n">
        <v>2416.285</v>
      </c>
      <c r="P7" s="0" t="n">
        <v>4338.776</v>
      </c>
      <c r="Q7" s="0" t="n">
        <v>1837.062</v>
      </c>
      <c r="R7" s="0" t="n">
        <v>490.807</v>
      </c>
      <c r="S7" s="0" t="n">
        <v>345.404</v>
      </c>
      <c r="T7" s="0" t="n">
        <v>901.736</v>
      </c>
      <c r="U7" s="0" t="n">
        <v>7.632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3646.119</v>
      </c>
      <c r="C8" s="0" t="n">
        <v>2930.208</v>
      </c>
      <c r="D8" s="0" t="n">
        <v>715.911</v>
      </c>
      <c r="E8" s="0" t="n">
        <v>19.6349</v>
      </c>
      <c r="F8" s="0" t="n">
        <v>198.714</v>
      </c>
      <c r="G8" s="0" t="n">
        <v>5.45</v>
      </c>
      <c r="H8" s="0" t="n">
        <v>472.867</v>
      </c>
      <c r="I8" s="0" t="n">
        <v>157.805</v>
      </c>
      <c r="J8" s="0" t="n">
        <v>4.328</v>
      </c>
      <c r="K8" s="0" t="n">
        <v>0.1733</v>
      </c>
      <c r="L8" s="0" t="n">
        <v>432.492</v>
      </c>
      <c r="M8" s="0" t="n">
        <v>228.443</v>
      </c>
      <c r="N8" s="0" t="n">
        <v>204.049</v>
      </c>
      <c r="O8" s="0" t="n">
        <v>2446.938</v>
      </c>
      <c r="P8" s="0" t="n">
        <v>4101.59</v>
      </c>
      <c r="Q8" s="0" t="n">
        <v>1606.199</v>
      </c>
      <c r="R8" s="0" t="n">
        <v>474.024</v>
      </c>
      <c r="S8" s="0" t="n">
        <v>408.664</v>
      </c>
      <c r="T8" s="0" t="n">
        <v>910.456</v>
      </c>
      <c r="U8" s="0" t="n">
        <v>4.991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3814.213</v>
      </c>
      <c r="C9" s="0" t="n">
        <v>2963.493</v>
      </c>
      <c r="D9" s="0" t="n">
        <v>850.72</v>
      </c>
      <c r="E9" s="0" t="n">
        <v>22.3039</v>
      </c>
      <c r="F9" s="0" t="n">
        <v>285.322</v>
      </c>
      <c r="G9" s="0" t="n">
        <v>7.4805</v>
      </c>
      <c r="H9" s="0" t="n">
        <v>560.202</v>
      </c>
      <c r="I9" s="0" t="n">
        <v>229.229</v>
      </c>
      <c r="J9" s="0" t="n">
        <v>6.0099</v>
      </c>
      <c r="K9" s="0" t="n">
        <v>0.2471</v>
      </c>
      <c r="L9" s="0" t="n">
        <v>581.883</v>
      </c>
      <c r="M9" s="0" t="n">
        <v>186.154</v>
      </c>
      <c r="N9" s="0" t="n">
        <v>395.729</v>
      </c>
      <c r="O9" s="0" t="n">
        <v>2552.009</v>
      </c>
      <c r="P9" s="0" t="n">
        <v>4221.468</v>
      </c>
      <c r="Q9" s="0" t="n">
        <v>1624.801</v>
      </c>
      <c r="R9" s="0" t="n">
        <v>560.804</v>
      </c>
      <c r="S9" s="0" t="n">
        <v>809.859</v>
      </c>
      <c r="T9" s="0" t="n">
        <v>927.77</v>
      </c>
      <c r="U9" s="0" t="n">
        <v>7.079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3647.606</v>
      </c>
      <c r="C10" s="0" t="n">
        <v>2804.271</v>
      </c>
      <c r="D10" s="0" t="n">
        <v>843.335</v>
      </c>
      <c r="E10" s="0" t="n">
        <v>23.1202</v>
      </c>
      <c r="F10" s="0" t="n">
        <v>305.872</v>
      </c>
      <c r="G10" s="0" t="n">
        <v>8.3856</v>
      </c>
      <c r="H10" s="0" t="n">
        <v>568.605</v>
      </c>
      <c r="I10" s="0" t="n">
        <v>262.803</v>
      </c>
      <c r="J10" s="0" t="n">
        <v>7.2048</v>
      </c>
      <c r="K10" s="0" t="n">
        <v>0.2816</v>
      </c>
      <c r="L10" s="0" t="n">
        <v>448.087</v>
      </c>
      <c r="M10" s="0" t="n">
        <v>197.253</v>
      </c>
      <c r="N10" s="0" t="n">
        <v>250.834</v>
      </c>
      <c r="O10" s="0" t="n">
        <v>2666.04</v>
      </c>
      <c r="P10" s="0" t="n">
        <v>4064.283</v>
      </c>
      <c r="Q10" s="0" t="n">
        <v>1356.386</v>
      </c>
      <c r="R10" s="0" t="n">
        <v>359.335</v>
      </c>
      <c r="S10" s="0" t="n">
        <v>790.633</v>
      </c>
      <c r="T10" s="0" t="n">
        <v>933.178</v>
      </c>
      <c r="U10" s="0" t="n">
        <v>9.639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3650.418</v>
      </c>
      <c r="C11" s="0" t="n">
        <v>2809.965</v>
      </c>
      <c r="D11" s="0" t="n">
        <v>840.453</v>
      </c>
      <c r="E11" s="0" t="n">
        <v>23.0235</v>
      </c>
      <c r="F11" s="0" t="n">
        <v>228.658</v>
      </c>
      <c r="G11" s="0" t="n">
        <v>6.2639</v>
      </c>
      <c r="H11" s="0" t="n">
        <v>503.678</v>
      </c>
      <c r="I11" s="0" t="n">
        <v>202.127</v>
      </c>
      <c r="J11" s="0" t="n">
        <v>5.5371</v>
      </c>
      <c r="K11" s="0" t="n">
        <v>0.2159</v>
      </c>
      <c r="L11" s="0" t="n">
        <v>471.09</v>
      </c>
      <c r="M11" s="0" t="n">
        <v>286.981</v>
      </c>
      <c r="N11" s="0" t="n">
        <v>184.109</v>
      </c>
      <c r="O11" s="0" t="n">
        <v>2838.863</v>
      </c>
      <c r="P11" s="0" t="n">
        <v>4288.463</v>
      </c>
      <c r="Q11" s="0" t="n">
        <v>1406.782</v>
      </c>
      <c r="R11" s="0" t="n">
        <v>324.305</v>
      </c>
      <c r="S11" s="0" t="n">
        <v>901.944</v>
      </c>
      <c r="T11" s="0" t="n">
        <v>936.208</v>
      </c>
      <c r="U11" s="0" t="n">
        <v>8.437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16.92</v>
      </c>
    </row>
    <row r="3" customFormat="false" ht="15" hidden="false" customHeight="false" outlineLevel="0" collapsed="false">
      <c r="A3" s="0" t="s">
        <v>77</v>
      </c>
      <c r="B3" s="3" t="n">
        <v>936.208</v>
      </c>
    </row>
    <row r="4" customFormat="false" ht="15" hidden="false" customHeight="false" outlineLevel="0" collapsed="false">
      <c r="A4" s="0" t="s">
        <v>78</v>
      </c>
      <c r="B4" s="3" t="n">
        <v>-577.639</v>
      </c>
    </row>
    <row r="5" customFormat="false" ht="15" hidden="false" customHeight="false" outlineLevel="0" collapsed="false">
      <c r="A5" s="0" t="s">
        <v>79</v>
      </c>
      <c r="B5" s="3" t="n">
        <v>-57.031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3650.418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7.8472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-4</v>
      </c>
      <c r="D13" s="3" t="n">
        <v>-2</v>
      </c>
      <c r="E13" s="3" t="n">
        <v>0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13</v>
      </c>
      <c r="D14" s="3" t="n">
        <v>13</v>
      </c>
      <c r="E14" s="3" t="n">
        <v>13.2</v>
      </c>
      <c r="F14" s="3" t="n">
        <v>13.4</v>
      </c>
      <c r="G14" s="3" t="n">
        <v>13.5</v>
      </c>
      <c r="H14" s="3" t="n">
        <v>13.5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99</v>
      </c>
      <c r="C15" s="3" t="n">
        <v>0.23</v>
      </c>
      <c r="D15" s="3" t="n">
        <v>0.23</v>
      </c>
      <c r="E15" s="3" t="n">
        <v>0.23</v>
      </c>
      <c r="F15" s="3" t="n">
        <v>0.23</v>
      </c>
      <c r="G15" s="3" t="n">
        <v>0.23</v>
      </c>
      <c r="H15" s="3" t="n">
        <v>0.23</v>
      </c>
      <c r="I15" s="3" t="n">
        <v>0.23</v>
      </c>
      <c r="J15" s="3" t="n">
        <v>0.23</v>
      </c>
      <c r="K15" s="3" t="n">
        <v>0.23</v>
      </c>
      <c r="L15" s="3" t="n">
        <v>0.23</v>
      </c>
    </row>
    <row r="16" customFormat="false" ht="15" hidden="false" customHeight="false" outlineLevel="0" collapsed="false">
      <c r="A16" s="0" t="s">
        <v>100</v>
      </c>
      <c r="C16" s="3" t="n">
        <v>0.6</v>
      </c>
      <c r="D16" s="3" t="n">
        <v>0.6</v>
      </c>
      <c r="E16" s="3" t="n">
        <v>0.6</v>
      </c>
      <c r="F16" s="3" t="n">
        <v>0.6</v>
      </c>
      <c r="G16" s="3" t="n">
        <v>0.6</v>
      </c>
      <c r="H16" s="3" t="n">
        <v>0.6</v>
      </c>
      <c r="I16" s="3" t="n">
        <v>0.6</v>
      </c>
      <c r="J16" s="3" t="n">
        <v>0.6</v>
      </c>
      <c r="K16" s="3" t="n">
        <v>0.6</v>
      </c>
      <c r="L16" s="3" t="n">
        <v>0.6</v>
      </c>
    </row>
    <row r="17" customFormat="false" ht="15" hidden="false" customHeight="false" outlineLevel="0" collapsed="false">
      <c r="A17" s="0" t="s">
        <v>101</v>
      </c>
      <c r="C17" s="3" t="n">
        <v>7.1</v>
      </c>
      <c r="D17" s="3" t="n">
        <v>7</v>
      </c>
      <c r="E17" s="3" t="n">
        <v>6.9</v>
      </c>
      <c r="F17" s="3" t="n">
        <v>6.7</v>
      </c>
      <c r="G17" s="3" t="n">
        <v>6.5</v>
      </c>
      <c r="H17" s="3" t="n">
        <v>6.4</v>
      </c>
      <c r="I17" s="3" t="n">
        <v>6.4</v>
      </c>
      <c r="J17" s="3" t="n">
        <v>6.4</v>
      </c>
      <c r="K17" s="3" t="n">
        <v>6.4</v>
      </c>
      <c r="L17" s="3" t="n">
        <v>6.4</v>
      </c>
    </row>
    <row r="18" customFormat="false" ht="15" hidden="false" customHeight="false" outlineLevel="0" collapsed="false">
      <c r="A18" s="0" t="s">
        <v>102</v>
      </c>
      <c r="C18" s="3" t="n">
        <v>7.5</v>
      </c>
      <c r="D18" s="3" t="n">
        <v>6.8</v>
      </c>
      <c r="E18" s="3" t="n">
        <v>6.5</v>
      </c>
      <c r="F18" s="3" t="n">
        <v>6.4</v>
      </c>
      <c r="G18" s="3" t="n">
        <v>6.4</v>
      </c>
      <c r="H18" s="3" t="n">
        <v>6.4</v>
      </c>
      <c r="I18" s="3" t="n">
        <v>6.4</v>
      </c>
      <c r="J18" s="3" t="n">
        <v>6.4</v>
      </c>
      <c r="K18" s="3" t="n">
        <v>6.4</v>
      </c>
      <c r="L18" s="3" t="n">
        <v>6.4</v>
      </c>
    </row>
    <row r="19" customFormat="false" ht="15" hidden="false" customHeight="false" outlineLevel="0" collapsed="false">
      <c r="A19" s="0" t="s">
        <v>103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-18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0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14.3</v>
      </c>
      <c r="D28" s="3" t="n">
        <v>14.5</v>
      </c>
      <c r="E28" s="3" t="n">
        <v>14.7</v>
      </c>
      <c r="F28" s="3" t="n">
        <v>14.9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99</v>
      </c>
      <c r="C29" s="3" t="n">
        <v>0.23</v>
      </c>
      <c r="D29" s="3" t="n">
        <v>0.23</v>
      </c>
      <c r="E29" s="3" t="n">
        <v>0.23</v>
      </c>
      <c r="F29" s="3" t="n">
        <v>0.23</v>
      </c>
      <c r="G29" s="3" t="n">
        <v>0.23</v>
      </c>
      <c r="H29" s="3" t="n">
        <v>0.23</v>
      </c>
      <c r="I29" s="3" t="n">
        <v>0.23</v>
      </c>
      <c r="J29" s="3" t="n">
        <v>0.23</v>
      </c>
      <c r="K29" s="3" t="n">
        <v>0.23</v>
      </c>
      <c r="L29" s="3" t="n">
        <v>0.23</v>
      </c>
    </row>
    <row r="30" customFormat="false" ht="15" hidden="false" customHeight="false" outlineLevel="0" collapsed="false">
      <c r="A30" s="0" t="s">
        <v>100</v>
      </c>
      <c r="C30" s="3" t="n">
        <v>0.58</v>
      </c>
      <c r="D30" s="3" t="n">
        <v>0.58</v>
      </c>
      <c r="E30" s="3" t="n">
        <v>0.58</v>
      </c>
      <c r="F30" s="3" t="n">
        <v>0.58</v>
      </c>
      <c r="G30" s="3" t="n">
        <v>0.58</v>
      </c>
      <c r="H30" s="3" t="n">
        <v>0.58</v>
      </c>
      <c r="I30" s="3" t="n">
        <v>0.58</v>
      </c>
      <c r="J30" s="3" t="n">
        <v>0.58</v>
      </c>
      <c r="K30" s="3" t="n">
        <v>0.58</v>
      </c>
      <c r="L30" s="3" t="n">
        <v>0.58</v>
      </c>
    </row>
    <row r="31" customFormat="false" ht="15" hidden="false" customHeight="false" outlineLevel="0" collapsed="false">
      <c r="A31" s="0" t="s">
        <v>101</v>
      </c>
      <c r="C31" s="3" t="n">
        <v>7</v>
      </c>
      <c r="D31" s="3" t="n">
        <v>6.9</v>
      </c>
      <c r="E31" s="3" t="n">
        <v>6.8</v>
      </c>
      <c r="F31" s="3" t="n">
        <v>6.7</v>
      </c>
      <c r="G31" s="3" t="n">
        <v>6.6</v>
      </c>
      <c r="H31" s="3" t="n">
        <v>6.6</v>
      </c>
      <c r="I31" s="3" t="n">
        <v>6.6</v>
      </c>
      <c r="J31" s="3" t="n">
        <v>6.6</v>
      </c>
      <c r="K31" s="3" t="n">
        <v>6.6</v>
      </c>
      <c r="L31" s="3" t="n">
        <v>6.6</v>
      </c>
    </row>
    <row r="32" customFormat="false" ht="15" hidden="false" customHeight="false" outlineLevel="0" collapsed="false">
      <c r="A32" s="0" t="s">
        <v>102</v>
      </c>
      <c r="C32" s="3" t="n">
        <v>7.8</v>
      </c>
      <c r="D32" s="3" t="n">
        <v>7.2</v>
      </c>
      <c r="E32" s="3" t="n">
        <v>6.9</v>
      </c>
      <c r="F32" s="3" t="n">
        <v>6.7</v>
      </c>
      <c r="G32" s="3" t="n">
        <v>6.6</v>
      </c>
      <c r="H32" s="3" t="n">
        <v>6.6</v>
      </c>
      <c r="I32" s="3" t="n">
        <v>6.6</v>
      </c>
      <c r="J32" s="3" t="n">
        <v>6.6</v>
      </c>
      <c r="K32" s="3" t="n">
        <v>6.6</v>
      </c>
      <c r="L32" s="3" t="n">
        <v>6.6</v>
      </c>
    </row>
    <row r="33" customFormat="false" ht="15" hidden="false" customHeight="false" outlineLevel="0" collapsed="false">
      <c r="A33" s="0" t="s">
        <v>103</v>
      </c>
      <c r="C33" s="3" t="n">
        <v>17</v>
      </c>
      <c r="D33" s="3" t="n">
        <v>17</v>
      </c>
      <c r="E33" s="3" t="n">
        <v>17.5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-18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5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14.8</v>
      </c>
      <c r="D42" s="3" t="n">
        <v>15.3</v>
      </c>
      <c r="E42" s="3" t="n">
        <v>15.8</v>
      </c>
      <c r="F42" s="3" t="n">
        <v>16.2</v>
      </c>
      <c r="G42" s="3" t="n">
        <v>16.5</v>
      </c>
      <c r="H42" s="3" t="n">
        <v>16.5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99</v>
      </c>
      <c r="C43" s="3" t="n">
        <v>0.23</v>
      </c>
      <c r="D43" s="3" t="n">
        <v>0.23</v>
      </c>
      <c r="E43" s="3" t="n">
        <v>0.23</v>
      </c>
      <c r="F43" s="3" t="n">
        <v>0.23</v>
      </c>
      <c r="G43" s="3" t="n">
        <v>0.23</v>
      </c>
      <c r="H43" s="3" t="n">
        <v>0.23</v>
      </c>
      <c r="I43" s="3" t="n">
        <v>0.23</v>
      </c>
      <c r="J43" s="3" t="n">
        <v>0.23</v>
      </c>
      <c r="K43" s="3" t="n">
        <v>0.23</v>
      </c>
      <c r="L43" s="3" t="n">
        <v>0.23</v>
      </c>
    </row>
    <row r="44" customFormat="false" ht="15" hidden="false" customHeight="false" outlineLevel="0" collapsed="false">
      <c r="A44" s="0" t="s">
        <v>100</v>
      </c>
      <c r="C44" s="3" t="n">
        <v>0.58</v>
      </c>
      <c r="D44" s="3" t="n">
        <v>0.58</v>
      </c>
      <c r="E44" s="3" t="n">
        <v>0.58</v>
      </c>
      <c r="F44" s="3" t="n">
        <v>0.58</v>
      </c>
      <c r="G44" s="3" t="n">
        <v>0.58</v>
      </c>
      <c r="H44" s="3" t="n">
        <v>0.58</v>
      </c>
      <c r="I44" s="3" t="n">
        <v>0.58</v>
      </c>
      <c r="J44" s="3" t="n">
        <v>0.58</v>
      </c>
      <c r="K44" s="3" t="n">
        <v>0.58</v>
      </c>
      <c r="L44" s="3" t="n">
        <v>0.58</v>
      </c>
    </row>
    <row r="45" customFormat="false" ht="15" hidden="false" customHeight="false" outlineLevel="0" collapsed="false">
      <c r="A45" s="0" t="s">
        <v>101</v>
      </c>
      <c r="C45" s="3" t="n">
        <v>7</v>
      </c>
      <c r="D45" s="3" t="n">
        <v>6.9</v>
      </c>
      <c r="E45" s="3" t="n">
        <v>6.8</v>
      </c>
      <c r="F45" s="3" t="n">
        <v>6.7</v>
      </c>
      <c r="G45" s="3" t="n">
        <v>6.6</v>
      </c>
      <c r="H45" s="3" t="n">
        <v>6.6</v>
      </c>
      <c r="I45" s="3" t="n">
        <v>6.6</v>
      </c>
      <c r="J45" s="3" t="n">
        <v>6.6</v>
      </c>
      <c r="K45" s="3" t="n">
        <v>6.6</v>
      </c>
      <c r="L45" s="3" t="n">
        <v>6.6</v>
      </c>
    </row>
    <row r="46" customFormat="false" ht="15" hidden="false" customHeight="false" outlineLevel="0" collapsed="false">
      <c r="A46" s="0" t="s">
        <v>102</v>
      </c>
      <c r="C46" s="3" t="n">
        <v>7.8</v>
      </c>
      <c r="D46" s="3" t="n">
        <v>7.4</v>
      </c>
      <c r="E46" s="3" t="n">
        <v>7.1</v>
      </c>
      <c r="F46" s="3" t="n">
        <v>6.9</v>
      </c>
      <c r="G46" s="3" t="n">
        <v>6.8</v>
      </c>
      <c r="H46" s="3" t="n">
        <v>6.8</v>
      </c>
      <c r="I46" s="3" t="n">
        <v>6.8</v>
      </c>
      <c r="J46" s="3" t="n">
        <v>6.8</v>
      </c>
      <c r="K46" s="3" t="n">
        <v>6.8</v>
      </c>
      <c r="L46" s="3" t="n">
        <v>6.8</v>
      </c>
    </row>
    <row r="47" customFormat="false" ht="15" hidden="false" customHeight="false" outlineLevel="0" collapsed="false">
      <c r="A47" s="0" t="s">
        <v>103</v>
      </c>
      <c r="C47" s="3" t="n">
        <v>17</v>
      </c>
      <c r="D47" s="3" t="n">
        <v>17</v>
      </c>
      <c r="E47" s="3" t="n">
        <v>17.5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-18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-4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3650.418</v>
      </c>
      <c r="C6" s="0" t="n">
        <f aca="false">B6*(1+C5/100)</f>
        <v>3504.40128</v>
      </c>
      <c r="D6" s="0" t="n">
        <f aca="false">C6*(1+D5/100)</f>
        <v>3434.3132544</v>
      </c>
      <c r="E6" s="0" t="n">
        <f aca="false">D6*(1+E5/100)</f>
        <v>3434.3132544</v>
      </c>
      <c r="F6" s="0" t="n">
        <f aca="false">E6*(1+F5/100)</f>
        <v>3468.656386944</v>
      </c>
      <c r="G6" s="0" t="n">
        <f aca="false">F6*(1+G5/100)</f>
        <v>3520.68623274816</v>
      </c>
      <c r="H6" s="0" t="n">
        <f aca="false">G6*(1+H5/100)</f>
        <v>3573.49652623938</v>
      </c>
      <c r="I6" s="0" t="n">
        <f aca="false">H6*(1+I5/100)</f>
        <v>3627.09897413297</v>
      </c>
      <c r="J6" s="0" t="n">
        <f aca="false">I6*(1+J5/100)</f>
        <v>3681.50545874497</v>
      </c>
      <c r="K6" s="0" t="n">
        <f aca="false">J6*(1+K5/100)</f>
        <v>3736.72804062614</v>
      </c>
      <c r="L6" s="0" t="n">
        <f aca="false">K6*(1+L5/100)</f>
        <v>3792.77896123553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13</v>
      </c>
      <c r="D7" s="4" t="n">
        <f aca="false">Assumptions!D14</f>
        <v>13</v>
      </c>
      <c r="E7" s="4" t="n">
        <f aca="false">Assumptions!E14</f>
        <v>13.2</v>
      </c>
      <c r="F7" s="4" t="n">
        <f aca="false">Assumptions!F14</f>
        <v>13.4</v>
      </c>
      <c r="G7" s="4" t="n">
        <f aca="false">Assumptions!G14</f>
        <v>13.5</v>
      </c>
      <c r="H7" s="4" t="n">
        <f aca="false">Assumptions!H14</f>
        <v>13.5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455.5721664</v>
      </c>
      <c r="D8" s="0" t="n">
        <f aca="false">D6*D7/100</f>
        <v>446.460723072</v>
      </c>
      <c r="E8" s="0" t="n">
        <f aca="false">E6*E7/100</f>
        <v>453.3293495808</v>
      </c>
      <c r="F8" s="0" t="n">
        <f aca="false">F6*F7/100</f>
        <v>464.799955850496</v>
      </c>
      <c r="G8" s="0" t="n">
        <f aca="false">G6*G7/100</f>
        <v>475.292641421002</v>
      </c>
      <c r="H8" s="0" t="n">
        <f aca="false">H6*H7/100</f>
        <v>482.422031042317</v>
      </c>
      <c r="I8" s="0" t="n">
        <f aca="false">I6*I7/100</f>
        <v>489.658361507951</v>
      </c>
      <c r="J8" s="0" t="n">
        <f aca="false">J6*J7/100</f>
        <v>497.003236930571</v>
      </c>
      <c r="K8" s="0" t="n">
        <f aca="false">K6*K7/100</f>
        <v>504.458285484529</v>
      </c>
      <c r="L8" s="0" t="n">
        <f aca="false">L6*L7/100</f>
        <v>512.025159766797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0.23</v>
      </c>
      <c r="D9" s="4" t="n">
        <f aca="false">Assumptions!D15</f>
        <v>0.23</v>
      </c>
      <c r="E9" s="4" t="n">
        <f aca="false">Assumptions!E15</f>
        <v>0.23</v>
      </c>
      <c r="F9" s="4" t="n">
        <f aca="false">Assumptions!F15</f>
        <v>0.23</v>
      </c>
      <c r="G9" s="4" t="n">
        <f aca="false">Assumptions!G15</f>
        <v>0.23</v>
      </c>
      <c r="H9" s="4" t="n">
        <f aca="false">Assumptions!H15</f>
        <v>0.23</v>
      </c>
      <c r="I9" s="4" t="n">
        <f aca="false">Assumptions!I15</f>
        <v>0.23</v>
      </c>
      <c r="J9" s="4" t="n">
        <f aca="false">Assumptions!J15</f>
        <v>0.23</v>
      </c>
      <c r="K9" s="4" t="n">
        <f aca="false">Assumptions!K15</f>
        <v>0.23</v>
      </c>
      <c r="L9" s="4" t="n">
        <f aca="false">Assumptions!L15</f>
        <v>0.23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-8.060122944</v>
      </c>
      <c r="D10" s="0" t="n">
        <f aca="false">-D6*D9/100</f>
        <v>-7.89892048512</v>
      </c>
      <c r="E10" s="0" t="n">
        <f aca="false">-E6*E9/100</f>
        <v>-7.89892048512</v>
      </c>
      <c r="F10" s="0" t="n">
        <f aca="false">-F6*F9/100</f>
        <v>-7.9779096899712</v>
      </c>
      <c r="G10" s="0" t="n">
        <f aca="false">-G6*G9/100</f>
        <v>-8.09757833532077</v>
      </c>
      <c r="H10" s="0" t="n">
        <f aca="false">-H6*H9/100</f>
        <v>-8.21904201035058</v>
      </c>
      <c r="I10" s="0" t="n">
        <f aca="false">-I6*I9/100</f>
        <v>-8.34232764050584</v>
      </c>
      <c r="J10" s="0" t="n">
        <f aca="false">-J6*J9/100</f>
        <v>-8.46746255511342</v>
      </c>
      <c r="K10" s="0" t="n">
        <f aca="false">-K6*K9/100</f>
        <v>-8.59447449344012</v>
      </c>
      <c r="L10" s="0" t="n">
        <f aca="false">-L6*L9/100</f>
        <v>-8.72339161084173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426.485635776</v>
      </c>
      <c r="D11" s="0" t="n">
        <f aca="false">D8+D10+D24</f>
        <v>417.95592306048</v>
      </c>
      <c r="E11" s="0" t="n">
        <f aca="false">E8+E10+E24</f>
        <v>424.82454956928</v>
      </c>
      <c r="F11" s="0" t="n">
        <f aca="false">F8+F10+F24</f>
        <v>436.010107838861</v>
      </c>
      <c r="G11" s="0" t="n">
        <f aca="false">G8+G10+G24</f>
        <v>446.070945689192</v>
      </c>
      <c r="H11" s="0" t="n">
        <f aca="false">H8+H10+H24</f>
        <v>452.76200987453</v>
      </c>
      <c r="I11" s="0" t="n">
        <f aca="false">I8+I10+I24</f>
        <v>459.553440022648</v>
      </c>
      <c r="J11" s="0" t="n">
        <f aca="false">J8+J10+J24</f>
        <v>466.446741622987</v>
      </c>
      <c r="K11" s="0" t="n">
        <f aca="false">K8+K10+K24</f>
        <v>473.443442747332</v>
      </c>
      <c r="L11" s="0" t="n">
        <f aca="false">L8+L10+L24</f>
        <v>480.545094388542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-248.81249088</v>
      </c>
      <c r="D12" s="4" t="n">
        <f aca="false">-D6*Assumptions!D17/100</f>
        <v>-240.401927808</v>
      </c>
      <c r="E12" s="4" t="n">
        <f aca="false">-E6*Assumptions!E17/100</f>
        <v>-236.9676145536</v>
      </c>
      <c r="F12" s="4" t="n">
        <f aca="false">-F6*Assumptions!F17/100</f>
        <v>-232.399977925248</v>
      </c>
      <c r="G12" s="4" t="n">
        <f aca="false">-G6*Assumptions!G17/100</f>
        <v>-228.84460512863</v>
      </c>
      <c r="H12" s="4" t="n">
        <f aca="false">-H6*Assumptions!H17/100</f>
        <v>-228.703777679321</v>
      </c>
      <c r="I12" s="4" t="n">
        <f aca="false">-I6*Assumptions!I17/100</f>
        <v>-232.13433434451</v>
      </c>
      <c r="J12" s="4" t="n">
        <f aca="false">-J6*Assumptions!J17/100</f>
        <v>-235.616349359678</v>
      </c>
      <c r="K12" s="4" t="n">
        <f aca="false">-K6*Assumptions!K17/100</f>
        <v>-239.150594600073</v>
      </c>
      <c r="L12" s="4" t="n">
        <f aca="false">-L6*Assumptions!L17/100</f>
        <v>-242.737853519074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177.673144896</v>
      </c>
      <c r="D13" s="0" t="n">
        <f aca="false">D11+D12</f>
        <v>177.55399525248</v>
      </c>
      <c r="E13" s="0" t="n">
        <f aca="false">E11+E12</f>
        <v>187.85693501568</v>
      </c>
      <c r="F13" s="0" t="n">
        <f aca="false">F11+F12</f>
        <v>203.610129913613</v>
      </c>
      <c r="G13" s="0" t="n">
        <f aca="false">G11+G12</f>
        <v>217.226340560562</v>
      </c>
      <c r="H13" s="0" t="n">
        <f aca="false">H11+H12</f>
        <v>224.058232195209</v>
      </c>
      <c r="I13" s="0" t="n">
        <f aca="false">I11+I12</f>
        <v>227.419105678137</v>
      </c>
      <c r="J13" s="0" t="n">
        <f aca="false">J11+J12</f>
        <v>230.830392263309</v>
      </c>
      <c r="K13" s="0" t="n">
        <f aca="false">K11+K12</f>
        <v>234.292848147259</v>
      </c>
      <c r="L13" s="0" t="n">
        <f aca="false">L11+L12</f>
        <v>237.807240869468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145.69197881472</v>
      </c>
      <c r="D15" s="0" t="n">
        <f aca="false">D13-MAX(0,D13)*D14/100</f>
        <v>145.594276107034</v>
      </c>
      <c r="E15" s="0" t="n">
        <f aca="false">E13-MAX(0,E13)*E14/100</f>
        <v>154.042686712858</v>
      </c>
      <c r="F15" s="0" t="n">
        <f aca="false">F13-MAX(0,F13)*F14/100</f>
        <v>166.960306529163</v>
      </c>
      <c r="G15" s="0" t="n">
        <f aca="false">G13-MAX(0,G13)*G14/100</f>
        <v>178.12559925966</v>
      </c>
      <c r="H15" s="0" t="n">
        <f aca="false">H13-MAX(0,H13)*H14/100</f>
        <v>183.727750400072</v>
      </c>
      <c r="I15" s="0" t="n">
        <f aca="false">I13-MAX(0,I13)*I14/100</f>
        <v>186.483666656073</v>
      </c>
      <c r="J15" s="0" t="n">
        <f aca="false">J13-MAX(0,J13)*J14/100</f>
        <v>189.280921655914</v>
      </c>
      <c r="K15" s="0" t="n">
        <f aca="false">K13-MAX(0,K13)*K14/100</f>
        <v>192.120135480752</v>
      </c>
      <c r="L15" s="0" t="n">
        <f aca="false">L13-MAX(0,L13)*L14/100</f>
        <v>195.001937512964</v>
      </c>
    </row>
    <row r="16" customFormat="false" ht="15" hidden="false" customHeight="false" outlineLevel="0" collapsed="false">
      <c r="A16" s="0" t="s">
        <v>119</v>
      </c>
      <c r="C16" s="0" t="n">
        <f aca="false">-C12</f>
        <v>248.81249088</v>
      </c>
      <c r="D16" s="0" t="n">
        <f aca="false">-D12</f>
        <v>240.401927808</v>
      </c>
      <c r="E16" s="0" t="n">
        <f aca="false">-E12</f>
        <v>236.9676145536</v>
      </c>
      <c r="F16" s="0" t="n">
        <f aca="false">-F12</f>
        <v>232.399977925248</v>
      </c>
      <c r="G16" s="0" t="n">
        <f aca="false">-G12</f>
        <v>228.84460512863</v>
      </c>
      <c r="H16" s="0" t="n">
        <f aca="false">-H12</f>
        <v>228.703777679321</v>
      </c>
      <c r="I16" s="0" t="n">
        <f aca="false">-I12</f>
        <v>232.13433434451</v>
      </c>
      <c r="J16" s="0" t="n">
        <f aca="false">-J12</f>
        <v>235.616349359678</v>
      </c>
      <c r="K16" s="0" t="n">
        <f aca="false">-K12</f>
        <v>239.150594600073</v>
      </c>
      <c r="L16" s="0" t="n">
        <f aca="false">-L12</f>
        <v>242.737853519074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-262.830096</v>
      </c>
      <c r="D17" s="4" t="n">
        <f aca="false">-D6*Assumptions!D18/100</f>
        <v>-233.5333012992</v>
      </c>
      <c r="E17" s="4" t="n">
        <f aca="false">-E6*Assumptions!E18/100</f>
        <v>-223.230361536</v>
      </c>
      <c r="F17" s="4" t="n">
        <f aca="false">-F6*Assumptions!F18/100</f>
        <v>-221.994008764416</v>
      </c>
      <c r="G17" s="4" t="n">
        <f aca="false">-G6*Assumptions!G18/100</f>
        <v>-225.323918895882</v>
      </c>
      <c r="H17" s="4" t="n">
        <f aca="false">-H6*Assumptions!H18/100</f>
        <v>-228.703777679321</v>
      </c>
      <c r="I17" s="4" t="n">
        <f aca="false">-I6*Assumptions!I18/100</f>
        <v>-232.13433434451</v>
      </c>
      <c r="J17" s="4" t="n">
        <f aca="false">-J6*Assumptions!J18/100</f>
        <v>-235.616349359678</v>
      </c>
      <c r="K17" s="4" t="n">
        <f aca="false">-K6*Assumptions!K18/100</f>
        <v>-239.150594600073</v>
      </c>
      <c r="L17" s="4" t="n">
        <f aca="false">-L6*Assumptions!L18/100</f>
        <v>-242.737853519074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26.2830096</v>
      </c>
      <c r="D18" s="4" t="n">
        <f aca="false">(D6-C6)*Assumptions!$B$23/100</f>
        <v>12.615844608</v>
      </c>
      <c r="E18" s="4" t="n">
        <f aca="false">(E6-D6)*Assumptions!$B$23/100</f>
        <v>-0</v>
      </c>
      <c r="F18" s="4" t="n">
        <f aca="false">(F6-E6)*Assumptions!$B$23/100</f>
        <v>-6.18176385792002</v>
      </c>
      <c r="G18" s="4" t="n">
        <f aca="false">(G6-F6)*Assumptions!$B$23/100</f>
        <v>-9.36537224474876</v>
      </c>
      <c r="H18" s="4" t="n">
        <f aca="false">(H6-G6)*Assumptions!$B$23/100</f>
        <v>-9.50585282841999</v>
      </c>
      <c r="I18" s="4" t="n">
        <f aca="false">(I6-H6)*Assumptions!$B$23/100</f>
        <v>-9.64844062084631</v>
      </c>
      <c r="J18" s="4" t="n">
        <f aca="false">(J6-I6)*Assumptions!$B$23/100</f>
        <v>-9.79316723015893</v>
      </c>
      <c r="K18" s="4" t="n">
        <f aca="false">(K6-J6)*Assumptions!$B$23/100</f>
        <v>-9.94006473861131</v>
      </c>
      <c r="L18" s="4" t="n">
        <f aca="false">(L6-K6)*Assumptions!$B$23/100</f>
        <v>-10.0891657096905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157.95738329472</v>
      </c>
      <c r="D19" s="0" t="n">
        <f aca="false">D15+D16+D17+D18</f>
        <v>165.078747223834</v>
      </c>
      <c r="E19" s="0" t="n">
        <f aca="false">E15+E16+E17+E18</f>
        <v>167.779939730458</v>
      </c>
      <c r="F19" s="0" t="n">
        <f aca="false">F15+F16+F17+F18</f>
        <v>171.184511832074</v>
      </c>
      <c r="G19" s="0" t="n">
        <f aca="false">G15+G16+G17+G18</f>
        <v>172.28091324766</v>
      </c>
      <c r="H19" s="0" t="n">
        <f aca="false">H15+H16+H17+H18</f>
        <v>174.221897571652</v>
      </c>
      <c r="I19" s="0" t="n">
        <f aca="false">I15+I16+I17+I18</f>
        <v>176.835226035226</v>
      </c>
      <c r="J19" s="0" t="n">
        <f aca="false">J15+J16+J17+J18</f>
        <v>179.487754425755</v>
      </c>
      <c r="K19" s="0" t="n">
        <f aca="false">K15+K16+K17+K18</f>
        <v>182.180070742141</v>
      </c>
      <c r="L19" s="0" t="n">
        <f aca="false">L15+L16+L17+L18</f>
        <v>184.912771803273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143.597621177018</v>
      </c>
      <c r="D21" s="0" t="n">
        <f aca="false">D19*D20</f>
        <v>136.428716713912</v>
      </c>
      <c r="E21" s="0" t="n">
        <f aca="false">E19*E20</f>
        <v>126.055552013867</v>
      </c>
      <c r="F21" s="0" t="n">
        <f aca="false">F19*F20</f>
        <v>116.921324931408</v>
      </c>
      <c r="G21" s="0" t="n">
        <f aca="false">G19*G20</f>
        <v>106.972892591576</v>
      </c>
      <c r="H21" s="0" t="n">
        <f aca="false">H19*H20</f>
        <v>98.3437192236968</v>
      </c>
      <c r="I21" s="0" t="n">
        <f aca="false">I19*I20</f>
        <v>90.7444318291384</v>
      </c>
      <c r="J21" s="0" t="n">
        <f aca="false">J19*J20</f>
        <v>83.7323620968868</v>
      </c>
      <c r="K21" s="0" t="n">
        <f aca="false">K19*K20</f>
        <v>77.2621341166728</v>
      </c>
      <c r="L21" s="0" t="n">
        <f aca="false">L19*L20</f>
        <v>71.2918782985662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0.6</v>
      </c>
      <c r="D23" s="4" t="n">
        <f aca="false">Assumptions!D16</f>
        <v>0.6</v>
      </c>
      <c r="E23" s="4" t="n">
        <f aca="false">Assumptions!E16</f>
        <v>0.6</v>
      </c>
      <c r="F23" s="4" t="n">
        <f aca="false">Assumptions!F16</f>
        <v>0.6</v>
      </c>
      <c r="G23" s="4" t="n">
        <f aca="false">Assumptions!G16</f>
        <v>0.6</v>
      </c>
      <c r="H23" s="4" t="n">
        <f aca="false">Assumptions!H16</f>
        <v>0.6</v>
      </c>
      <c r="I23" s="4" t="n">
        <f aca="false">Assumptions!I16</f>
        <v>0.6</v>
      </c>
      <c r="J23" s="4" t="n">
        <f aca="false">Assumptions!J16</f>
        <v>0.6</v>
      </c>
      <c r="K23" s="4" t="n">
        <f aca="false">Assumptions!K16</f>
        <v>0.6</v>
      </c>
      <c r="L23" s="4" t="n">
        <f aca="false">Assumptions!L16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-21.02640768</v>
      </c>
      <c r="D24" s="0" t="n">
        <f aca="false">-D6*D23/100</f>
        <v>-20.6058795264</v>
      </c>
      <c r="E24" s="0" t="n">
        <f aca="false">-E6*E23/100</f>
        <v>-20.6058795264</v>
      </c>
      <c r="F24" s="0" t="n">
        <f aca="false">-F6*F23/100</f>
        <v>-20.811938321664</v>
      </c>
      <c r="G24" s="0" t="n">
        <f aca="false">-G6*G23/100</f>
        <v>-21.124117396489</v>
      </c>
      <c r="H24" s="0" t="n">
        <f aca="false">-H6*H23/100</f>
        <v>-21.4409791574363</v>
      </c>
      <c r="I24" s="0" t="n">
        <f aca="false">-I6*I23/100</f>
        <v>-21.7625938447978</v>
      </c>
      <c r="J24" s="0" t="n">
        <f aca="false">-J6*J23/100</f>
        <v>-22.0890327524698</v>
      </c>
      <c r="K24" s="0" t="n">
        <f aca="false">-K6*K23/100</f>
        <v>-22.4203682437568</v>
      </c>
      <c r="L24" s="0" t="n">
        <f aca="false">-L6*L23/100</f>
        <v>-22.7566737674132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1051.35063299274</v>
      </c>
    </row>
    <row r="31" customFormat="false" ht="15" hidden="false" customHeight="false" outlineLevel="0" collapsed="false">
      <c r="A31" s="0" t="s">
        <v>128</v>
      </c>
      <c r="B31" s="0" t="n">
        <f aca="false">L19</f>
        <v>184.912771803273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2075.1322169034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1849.12771803273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1849.12771803273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712.918782985662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1764.26941597841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2284.87741597841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19.1516095340627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0.131891816433964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50.1456156750104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37.7430838621351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19.8882836524294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1334.01356800933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14.2856871686634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0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3650.418</v>
      </c>
      <c r="C6" s="0" t="n">
        <f aca="false">B6*(1+C5/100)</f>
        <v>3650.418</v>
      </c>
      <c r="D6" s="0" t="n">
        <f aca="false">C6*(1+D5/100)</f>
        <v>3723.42636</v>
      </c>
      <c r="E6" s="0" t="n">
        <f aca="false">D6*(1+E5/100)</f>
        <v>3835.1291508</v>
      </c>
      <c r="F6" s="0" t="n">
        <f aca="false">E6*(1+F5/100)</f>
        <v>3950.183025324</v>
      </c>
      <c r="G6" s="0" t="n">
        <f aca="false">F6*(1+G5/100)</f>
        <v>4068.68851608372</v>
      </c>
      <c r="H6" s="0" t="n">
        <f aca="false">G6*(1+H5/100)</f>
        <v>4170.40572898581</v>
      </c>
      <c r="I6" s="0" t="n">
        <f aca="false">H6*(1+I5/100)</f>
        <v>4274.66587221046</v>
      </c>
      <c r="J6" s="0" t="n">
        <f aca="false">I6*(1+J5/100)</f>
        <v>4381.53251901572</v>
      </c>
      <c r="K6" s="0" t="n">
        <f aca="false">J6*(1+K5/100)</f>
        <v>4469.16316939603</v>
      </c>
      <c r="L6" s="0" t="n">
        <f aca="false">K6*(1+L5/100)</f>
        <v>4558.54643278395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14.3</v>
      </c>
      <c r="D7" s="4" t="n">
        <f aca="false">Assumptions!D28</f>
        <v>14.5</v>
      </c>
      <c r="E7" s="4" t="n">
        <f aca="false">Assumptions!E28</f>
        <v>14.7</v>
      </c>
      <c r="F7" s="4" t="n">
        <f aca="false">Assumptions!F28</f>
        <v>14.9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522.009774</v>
      </c>
      <c r="D8" s="0" t="n">
        <f aca="false">D6*D7/100</f>
        <v>539.8968222</v>
      </c>
      <c r="E8" s="0" t="n">
        <f aca="false">E6*E7/100</f>
        <v>563.7639851676</v>
      </c>
      <c r="F8" s="0" t="n">
        <f aca="false">F6*F7/100</f>
        <v>588.577270773276</v>
      </c>
      <c r="G8" s="0" t="n">
        <f aca="false">G6*G7/100</f>
        <v>610.303277412558</v>
      </c>
      <c r="H8" s="0" t="n">
        <f aca="false">H6*H7/100</f>
        <v>625.560859347872</v>
      </c>
      <c r="I8" s="0" t="n">
        <f aca="false">I6*I7/100</f>
        <v>641.199880831569</v>
      </c>
      <c r="J8" s="0" t="n">
        <f aca="false">J6*J7/100</f>
        <v>657.229877852358</v>
      </c>
      <c r="K8" s="0" t="n">
        <f aca="false">K6*K7/100</f>
        <v>670.374475409405</v>
      </c>
      <c r="L8" s="0" t="n">
        <f aca="false">L6*L7/100</f>
        <v>683.781964917593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0.23</v>
      </c>
      <c r="D9" s="4" t="n">
        <f aca="false">Assumptions!D29</f>
        <v>0.23</v>
      </c>
      <c r="E9" s="4" t="n">
        <f aca="false">Assumptions!E29</f>
        <v>0.23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0.23</v>
      </c>
      <c r="J9" s="4" t="n">
        <f aca="false">Assumptions!J29</f>
        <v>0.23</v>
      </c>
      <c r="K9" s="4" t="n">
        <f aca="false">Assumptions!K29</f>
        <v>0.23</v>
      </c>
      <c r="L9" s="4" t="n">
        <f aca="false">Assumptions!L29</f>
        <v>0.23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-8.3959614</v>
      </c>
      <c r="D10" s="0" t="n">
        <f aca="false">-D6*D9/100</f>
        <v>-8.563880628</v>
      </c>
      <c r="E10" s="0" t="n">
        <f aca="false">-E6*E9/100</f>
        <v>-8.82079704684</v>
      </c>
      <c r="F10" s="0" t="n">
        <f aca="false">-F6*F9/100</f>
        <v>-9.0854209582452</v>
      </c>
      <c r="G10" s="0" t="n">
        <f aca="false">-G6*G9/100</f>
        <v>-9.35798358699256</v>
      </c>
      <c r="H10" s="0" t="n">
        <f aca="false">-H6*H9/100</f>
        <v>-9.59193317666737</v>
      </c>
      <c r="I10" s="0" t="n">
        <f aca="false">-I6*I9/100</f>
        <v>-9.83173150608405</v>
      </c>
      <c r="J10" s="0" t="n">
        <f aca="false">-J6*J9/100</f>
        <v>-10.0775247937362</v>
      </c>
      <c r="K10" s="0" t="n">
        <f aca="false">-K6*K9/100</f>
        <v>-10.2790752896109</v>
      </c>
      <c r="L10" s="0" t="n">
        <f aca="false">-L6*L9/100</f>
        <v>-10.4846567954031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492.4413882</v>
      </c>
      <c r="D11" s="0" t="n">
        <f aca="false">D8+D10+D24</f>
        <v>509.737068684</v>
      </c>
      <c r="E11" s="0" t="n">
        <f aca="false">E8+E10+E24</f>
        <v>532.69943904612</v>
      </c>
      <c r="F11" s="0" t="n">
        <f aca="false">F8+F10+F24</f>
        <v>556.580788268152</v>
      </c>
      <c r="G11" s="0" t="n">
        <f aca="false">G8+G10+G24</f>
        <v>577.34690043228</v>
      </c>
      <c r="H11" s="0" t="n">
        <f aca="false">H8+H10+H24</f>
        <v>591.780572943087</v>
      </c>
      <c r="I11" s="0" t="n">
        <f aca="false">I8+I10+I24</f>
        <v>606.575087266664</v>
      </c>
      <c r="J11" s="0" t="n">
        <f aca="false">J8+J10+J24</f>
        <v>621.73946444833</v>
      </c>
      <c r="K11" s="0" t="n">
        <f aca="false">K8+K10+K24</f>
        <v>634.174253737297</v>
      </c>
      <c r="L11" s="0" t="n">
        <f aca="false">L8+L10+L24</f>
        <v>646.857738812043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-255.52926</v>
      </c>
      <c r="D12" s="4" t="n">
        <f aca="false">-D6*Assumptions!D31/100</f>
        <v>-256.91641884</v>
      </c>
      <c r="E12" s="4" t="n">
        <f aca="false">-E6*Assumptions!E31/100</f>
        <v>-260.7887822544</v>
      </c>
      <c r="F12" s="4" t="n">
        <f aca="false">-F6*Assumptions!F31/100</f>
        <v>-264.662262696708</v>
      </c>
      <c r="G12" s="4" t="n">
        <f aca="false">-G6*Assumptions!G31/100</f>
        <v>-268.533442061526</v>
      </c>
      <c r="H12" s="4" t="n">
        <f aca="false">-H6*Assumptions!H31/100</f>
        <v>-275.246778113064</v>
      </c>
      <c r="I12" s="4" t="n">
        <f aca="false">-I6*Assumptions!I31/100</f>
        <v>-282.12794756589</v>
      </c>
      <c r="J12" s="4" t="n">
        <f aca="false">-J6*Assumptions!J31/100</f>
        <v>-289.181146255037</v>
      </c>
      <c r="K12" s="4" t="n">
        <f aca="false">-K6*Assumptions!K31/100</f>
        <v>-294.964769180138</v>
      </c>
      <c r="L12" s="4" t="n">
        <f aca="false">-L6*Assumptions!L31/100</f>
        <v>-300.864064563741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236.9121282</v>
      </c>
      <c r="D13" s="0" t="n">
        <f aca="false">D11+D12</f>
        <v>252.820649844</v>
      </c>
      <c r="E13" s="0" t="n">
        <f aca="false">E11+E12</f>
        <v>271.91065679172</v>
      </c>
      <c r="F13" s="0" t="n">
        <f aca="false">F11+F12</f>
        <v>291.918525571444</v>
      </c>
      <c r="G13" s="0" t="n">
        <f aca="false">G11+G12</f>
        <v>308.813458370754</v>
      </c>
      <c r="H13" s="0" t="n">
        <f aca="false">H11+H12</f>
        <v>316.533794830023</v>
      </c>
      <c r="I13" s="0" t="n">
        <f aca="false">I11+I12</f>
        <v>324.447139700774</v>
      </c>
      <c r="J13" s="0" t="n">
        <f aca="false">J11+J12</f>
        <v>332.558318193293</v>
      </c>
      <c r="K13" s="0" t="n">
        <f aca="false">K11+K12</f>
        <v>339.209484557159</v>
      </c>
      <c r="L13" s="0" t="n">
        <f aca="false">L11+L12</f>
        <v>345.993674248302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17.5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196.637066406</v>
      </c>
      <c r="D15" s="0" t="n">
        <f aca="false">D13-MAX(0,D13)*D14/100</f>
        <v>209.84113937052</v>
      </c>
      <c r="E15" s="0" t="n">
        <f aca="false">E13-MAX(0,E13)*E14/100</f>
        <v>224.326291853169</v>
      </c>
      <c r="F15" s="0" t="n">
        <f aca="false">F13-MAX(0,F13)*F14/100</f>
        <v>239.373190968584</v>
      </c>
      <c r="G15" s="0" t="n">
        <f aca="false">G13-MAX(0,G13)*G14/100</f>
        <v>253.227035864019</v>
      </c>
      <c r="H15" s="0" t="n">
        <f aca="false">H13-MAX(0,H13)*H14/100</f>
        <v>259.557711760619</v>
      </c>
      <c r="I15" s="0" t="n">
        <f aca="false">I13-MAX(0,I13)*I14/100</f>
        <v>266.046654554635</v>
      </c>
      <c r="J15" s="0" t="n">
        <f aca="false">J13-MAX(0,J13)*J14/100</f>
        <v>272.6978209185</v>
      </c>
      <c r="K15" s="0" t="n">
        <f aca="false">K13-MAX(0,K13)*K14/100</f>
        <v>278.15177733687</v>
      </c>
      <c r="L15" s="0" t="n">
        <f aca="false">L13-MAX(0,L13)*L14/100</f>
        <v>283.714812883608</v>
      </c>
    </row>
    <row r="16" customFormat="false" ht="15" hidden="false" customHeight="false" outlineLevel="0" collapsed="false">
      <c r="A16" s="0" t="s">
        <v>119</v>
      </c>
      <c r="C16" s="0" t="n">
        <f aca="false">-C12</f>
        <v>255.52926</v>
      </c>
      <c r="D16" s="0" t="n">
        <f aca="false">-D12</f>
        <v>256.91641884</v>
      </c>
      <c r="E16" s="0" t="n">
        <f aca="false">-E12</f>
        <v>260.7887822544</v>
      </c>
      <c r="F16" s="0" t="n">
        <f aca="false">-F12</f>
        <v>264.662262696708</v>
      </c>
      <c r="G16" s="0" t="n">
        <f aca="false">-G12</f>
        <v>268.533442061526</v>
      </c>
      <c r="H16" s="0" t="n">
        <f aca="false">-H12</f>
        <v>275.246778113064</v>
      </c>
      <c r="I16" s="0" t="n">
        <f aca="false">-I12</f>
        <v>282.12794756589</v>
      </c>
      <c r="J16" s="0" t="n">
        <f aca="false">-J12</f>
        <v>289.181146255037</v>
      </c>
      <c r="K16" s="0" t="n">
        <f aca="false">-K12</f>
        <v>294.964769180138</v>
      </c>
      <c r="L16" s="0" t="n">
        <f aca="false">-L12</f>
        <v>300.864064563741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-284.732604</v>
      </c>
      <c r="D17" s="4" t="n">
        <f aca="false">-D6*Assumptions!D32/100</f>
        <v>-268.08669792</v>
      </c>
      <c r="E17" s="4" t="n">
        <f aca="false">-E6*Assumptions!E32/100</f>
        <v>-264.6239114052</v>
      </c>
      <c r="F17" s="4" t="n">
        <f aca="false">-F6*Assumptions!F32/100</f>
        <v>-264.662262696708</v>
      </c>
      <c r="G17" s="4" t="n">
        <f aca="false">-G6*Assumptions!G32/100</f>
        <v>-268.533442061526</v>
      </c>
      <c r="H17" s="4" t="n">
        <f aca="false">-H6*Assumptions!H32/100</f>
        <v>-275.246778113064</v>
      </c>
      <c r="I17" s="4" t="n">
        <f aca="false">-I6*Assumptions!I32/100</f>
        <v>-282.12794756589</v>
      </c>
      <c r="J17" s="4" t="n">
        <f aca="false">-J6*Assumptions!J32/100</f>
        <v>-289.181146255037</v>
      </c>
      <c r="K17" s="4" t="n">
        <f aca="false">-K6*Assumptions!K32/100</f>
        <v>-294.964769180138</v>
      </c>
      <c r="L17" s="4" t="n">
        <f aca="false">-L6*Assumptions!L32/100</f>
        <v>-300.864064563741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-13.1415048</v>
      </c>
      <c r="E18" s="4" t="n">
        <f aca="false">(E6-D6)*Assumptions!$B$37/100</f>
        <v>-20.106502344</v>
      </c>
      <c r="F18" s="4" t="n">
        <f aca="false">(F6-E6)*Assumptions!$B$37/100</f>
        <v>-20.70969741432</v>
      </c>
      <c r="G18" s="4" t="n">
        <f aca="false">(G6-F6)*Assumptions!$B$37/100</f>
        <v>-21.3309883367496</v>
      </c>
      <c r="H18" s="4" t="n">
        <f aca="false">(H6-G6)*Assumptions!$B$37/100</f>
        <v>-18.3090983223766</v>
      </c>
      <c r="I18" s="4" t="n">
        <f aca="false">(I6-H6)*Assumptions!$B$37/100</f>
        <v>-18.766825780436</v>
      </c>
      <c r="J18" s="4" t="n">
        <f aca="false">(J6-I6)*Assumptions!$B$37/100</f>
        <v>-19.2359964249469</v>
      </c>
      <c r="K18" s="4" t="n">
        <f aca="false">(K6-J6)*Assumptions!$B$37/100</f>
        <v>-15.7735170684566</v>
      </c>
      <c r="L18" s="4" t="n">
        <f aca="false">(L6-K6)*Assumptions!$B$37/100</f>
        <v>-16.0889874098258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167.433722406</v>
      </c>
      <c r="D19" s="0" t="n">
        <f aca="false">D15+D16+D17+D18</f>
        <v>185.52935549052</v>
      </c>
      <c r="E19" s="0" t="n">
        <f aca="false">E15+E16+E17+E18</f>
        <v>200.384660358369</v>
      </c>
      <c r="F19" s="0" t="n">
        <f aca="false">F15+F16+F17+F18</f>
        <v>218.663493554264</v>
      </c>
      <c r="G19" s="0" t="n">
        <f aca="false">G15+G16+G17+G18</f>
        <v>231.896047527269</v>
      </c>
      <c r="H19" s="0" t="n">
        <f aca="false">H15+H16+H17+H18</f>
        <v>241.248613438243</v>
      </c>
      <c r="I19" s="0" t="n">
        <f aca="false">I15+I16+I17+I18</f>
        <v>247.279828774198</v>
      </c>
      <c r="J19" s="0" t="n">
        <f aca="false">J15+J16+J17+J18</f>
        <v>253.461824493553</v>
      </c>
      <c r="K19" s="0" t="n">
        <f aca="false">K15+K16+K17+K18</f>
        <v>262.378260268414</v>
      </c>
      <c r="L19" s="0" t="n">
        <f aca="false">L15+L16+L17+L18</f>
        <v>267.625825473782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152.212474914545</v>
      </c>
      <c r="D21" s="0" t="n">
        <f aca="false">D19*D20</f>
        <v>153.330045859934</v>
      </c>
      <c r="E21" s="0" t="n">
        <f aca="false">E19*E20</f>
        <v>150.551961200878</v>
      </c>
      <c r="F21" s="0" t="n">
        <f aca="false">F19*F20</f>
        <v>149.350108294696</v>
      </c>
      <c r="G21" s="0" t="n">
        <f aca="false">G19*G20</f>
        <v>143.989200642821</v>
      </c>
      <c r="H21" s="0" t="n">
        <f aca="false">H19*H20</f>
        <v>136.178552947509</v>
      </c>
      <c r="I21" s="0" t="n">
        <f aca="false">I19*I20</f>
        <v>126.893651610179</v>
      </c>
      <c r="J21" s="0" t="n">
        <f aca="false">J19*J20</f>
        <v>118.241811727667</v>
      </c>
      <c r="K21" s="0" t="n">
        <f aca="false">K19*K20</f>
        <v>111.27399529255</v>
      </c>
      <c r="L21" s="0" t="n">
        <f aca="false">L19*L20</f>
        <v>103.181341089456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0.58</v>
      </c>
      <c r="D23" s="4" t="n">
        <f aca="false">Assumptions!D30</f>
        <v>0.58</v>
      </c>
      <c r="E23" s="4" t="n">
        <f aca="false">Assumptions!E30</f>
        <v>0.58</v>
      </c>
      <c r="F23" s="4" t="n">
        <f aca="false">Assumptions!F30</f>
        <v>0.58</v>
      </c>
      <c r="G23" s="4" t="n">
        <f aca="false">Assumptions!G30</f>
        <v>0.58</v>
      </c>
      <c r="H23" s="4" t="n">
        <f aca="false">Assumptions!H30</f>
        <v>0.58</v>
      </c>
      <c r="I23" s="4" t="n">
        <f aca="false">Assumptions!I30</f>
        <v>0.58</v>
      </c>
      <c r="J23" s="4" t="n">
        <f aca="false">Assumptions!J30</f>
        <v>0.58</v>
      </c>
      <c r="K23" s="4" t="n">
        <f aca="false">Assumptions!K30</f>
        <v>0.58</v>
      </c>
      <c r="L23" s="4" t="n">
        <f aca="false">Assumptions!L30</f>
        <v>0.58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-21.1724244</v>
      </c>
      <c r="D24" s="0" t="n">
        <f aca="false">-D6*D23/100</f>
        <v>-21.595872888</v>
      </c>
      <c r="E24" s="0" t="n">
        <f aca="false">-E6*E23/100</f>
        <v>-22.24374907464</v>
      </c>
      <c r="F24" s="0" t="n">
        <f aca="false">-F6*F23/100</f>
        <v>-22.9110615468792</v>
      </c>
      <c r="G24" s="0" t="n">
        <f aca="false">-G6*G23/100</f>
        <v>-23.5983933932856</v>
      </c>
      <c r="H24" s="0" t="n">
        <f aca="false">-H6*H23/100</f>
        <v>-24.1883532281177</v>
      </c>
      <c r="I24" s="0" t="n">
        <f aca="false">-I6*I23/100</f>
        <v>-24.7930620588207</v>
      </c>
      <c r="J24" s="0" t="n">
        <f aca="false">-J6*J23/100</f>
        <v>-25.4128886102912</v>
      </c>
      <c r="K24" s="0" t="n">
        <f aca="false">-K6*K23/100</f>
        <v>-25.921146382497</v>
      </c>
      <c r="L24" s="0" t="n">
        <f aca="false">-L6*L23/100</f>
        <v>-26.4395693101469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1345.20314358023</v>
      </c>
    </row>
    <row r="31" customFormat="false" ht="15" hidden="false" customHeight="false" outlineLevel="0" collapsed="false">
      <c r="A31" s="0" t="s">
        <v>128</v>
      </c>
      <c r="B31" s="0" t="n">
        <f aca="false">L19</f>
        <v>267.625825473782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3412.22927479072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3211.50990568538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3211.50990568538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1238.17609307347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2583.3792366537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3103.9872366537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26.0173045343224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0.537665752619528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56.9160003318819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51.5391856353523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26.9263648449821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2099.83339987121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17.7567293613247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3650.418</v>
      </c>
      <c r="C6" s="0" t="n">
        <f aca="false">B6*(1+C5/100)</f>
        <v>3759.93054</v>
      </c>
      <c r="D6" s="0" t="n">
        <f aca="false">C6*(1+D5/100)</f>
        <v>3947.927067</v>
      </c>
      <c r="E6" s="0" t="n">
        <f aca="false">D6*(1+E5/100)</f>
        <v>4184.80269102</v>
      </c>
      <c r="F6" s="0" t="n">
        <f aca="false">E6*(1+F5/100)</f>
        <v>4435.8908524812</v>
      </c>
      <c r="G6" s="0" t="n">
        <f aca="false">F6*(1+G5/100)</f>
        <v>4657.68539510526</v>
      </c>
      <c r="H6" s="0" t="n">
        <f aca="false">G6*(1+H5/100)</f>
        <v>4843.99281090947</v>
      </c>
      <c r="I6" s="0" t="n">
        <f aca="false">H6*(1+I5/100)</f>
        <v>5013.5325592913</v>
      </c>
      <c r="J6" s="0" t="n">
        <f aca="false">I6*(1+J5/100)</f>
        <v>5163.93853607004</v>
      </c>
      <c r="K6" s="0" t="n">
        <f aca="false">J6*(1+K5/100)</f>
        <v>5293.03699947179</v>
      </c>
      <c r="L6" s="0" t="n">
        <f aca="false">K6*(1+L5/100)</f>
        <v>5425.36292445859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14.8</v>
      </c>
      <c r="D7" s="4" t="n">
        <f aca="false">Assumptions!D42</f>
        <v>15.3</v>
      </c>
      <c r="E7" s="4" t="n">
        <f aca="false">Assumptions!E42</f>
        <v>15.8</v>
      </c>
      <c r="F7" s="4" t="n">
        <f aca="false">Assumptions!F42</f>
        <v>16.2</v>
      </c>
      <c r="G7" s="4" t="n">
        <f aca="false">Assumptions!G42</f>
        <v>16.5</v>
      </c>
      <c r="H7" s="4" t="n">
        <f aca="false">Assumptions!H42</f>
        <v>16.5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556.46971992</v>
      </c>
      <c r="D8" s="0" t="n">
        <f aca="false">D6*D7/100</f>
        <v>604.032841251</v>
      </c>
      <c r="E8" s="0" t="n">
        <f aca="false">E6*E7/100</f>
        <v>661.19882518116</v>
      </c>
      <c r="F8" s="0" t="n">
        <f aca="false">F6*F7/100</f>
        <v>718.614318101954</v>
      </c>
      <c r="G8" s="0" t="n">
        <f aca="false">G6*G7/100</f>
        <v>768.518090192368</v>
      </c>
      <c r="H8" s="0" t="n">
        <f aca="false">H6*H7/100</f>
        <v>799.258813800063</v>
      </c>
      <c r="I8" s="0" t="n">
        <f aca="false">I6*I7/100</f>
        <v>827.232872283065</v>
      </c>
      <c r="J8" s="0" t="n">
        <f aca="false">J6*J7/100</f>
        <v>852.049858451557</v>
      </c>
      <c r="K8" s="0" t="n">
        <f aca="false">K6*K7/100</f>
        <v>873.351104912846</v>
      </c>
      <c r="L8" s="0" t="n">
        <f aca="false">L6*L7/100</f>
        <v>895.184882535667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0.23</v>
      </c>
      <c r="D9" s="4" t="n">
        <f aca="false">Assumptions!D43</f>
        <v>0.23</v>
      </c>
      <c r="E9" s="4" t="n">
        <f aca="false">Assumptions!E43</f>
        <v>0.23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0.23</v>
      </c>
      <c r="J9" s="4" t="n">
        <f aca="false">Assumptions!J43</f>
        <v>0.23</v>
      </c>
      <c r="K9" s="4" t="n">
        <f aca="false">Assumptions!K43</f>
        <v>0.23</v>
      </c>
      <c r="L9" s="4" t="n">
        <f aca="false">Assumptions!L43</f>
        <v>0.23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-8.647840242</v>
      </c>
      <c r="D10" s="0" t="n">
        <f aca="false">-D6*D9/100</f>
        <v>-9.0802322541</v>
      </c>
      <c r="E10" s="0" t="n">
        <f aca="false">-E6*E9/100</f>
        <v>-9.625046189346</v>
      </c>
      <c r="F10" s="0" t="n">
        <f aca="false">-F6*F9/100</f>
        <v>-10.2025489607068</v>
      </c>
      <c r="G10" s="0" t="n">
        <f aca="false">-G6*G9/100</f>
        <v>-10.7126764087421</v>
      </c>
      <c r="H10" s="0" t="n">
        <f aca="false">-H6*H9/100</f>
        <v>-11.1411834650918</v>
      </c>
      <c r="I10" s="0" t="n">
        <f aca="false">-I6*I9/100</f>
        <v>-11.53112488637</v>
      </c>
      <c r="J10" s="0" t="n">
        <f aca="false">-J6*J9/100</f>
        <v>-11.8770586329611</v>
      </c>
      <c r="K10" s="0" t="n">
        <f aca="false">-K6*K9/100</f>
        <v>-12.1739850987851</v>
      </c>
      <c r="L10" s="0" t="n">
        <f aca="false">-L6*L9/100</f>
        <v>-12.4783347262548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526.014282546</v>
      </c>
      <c r="D11" s="0" t="n">
        <f aca="false">D8+D10+D24</f>
        <v>572.0546320083</v>
      </c>
      <c r="E11" s="0" t="n">
        <f aca="false">E8+E10+E24</f>
        <v>627.301923383898</v>
      </c>
      <c r="F11" s="0" t="n">
        <f aca="false">F8+F10+F24</f>
        <v>682.683602196857</v>
      </c>
      <c r="G11" s="0" t="n">
        <f aca="false">G8+G10+G24</f>
        <v>730.790838492015</v>
      </c>
      <c r="H11" s="0" t="n">
        <f aca="false">H8+H10+H24</f>
        <v>760.022472031696</v>
      </c>
      <c r="I11" s="0" t="n">
        <f aca="false">I8+I10+I24</f>
        <v>786.623258552806</v>
      </c>
      <c r="J11" s="0" t="n">
        <f aca="false">J8+J10+J24</f>
        <v>810.22195630939</v>
      </c>
      <c r="K11" s="0" t="n">
        <f aca="false">K8+K10+K24</f>
        <v>830.477505217124</v>
      </c>
      <c r="L11" s="0" t="n">
        <f aca="false">L8+L10+L24</f>
        <v>851.239442847552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-263.1951378</v>
      </c>
      <c r="D12" s="4" t="n">
        <f aca="false">-D6*Assumptions!D45/100</f>
        <v>-272.406967623</v>
      </c>
      <c r="E12" s="4" t="n">
        <f aca="false">-E6*Assumptions!E45/100</f>
        <v>-284.56658298936</v>
      </c>
      <c r="F12" s="4" t="n">
        <f aca="false">-F6*Assumptions!F45/100</f>
        <v>-297.20468711624</v>
      </c>
      <c r="G12" s="4" t="n">
        <f aca="false">-G6*Assumptions!G45/100</f>
        <v>-307.407236076947</v>
      </c>
      <c r="H12" s="4" t="n">
        <f aca="false">-H6*Assumptions!H45/100</f>
        <v>-319.703525520025</v>
      </c>
      <c r="I12" s="4" t="n">
        <f aca="false">-I6*Assumptions!I45/100</f>
        <v>-330.893148913226</v>
      </c>
      <c r="J12" s="4" t="n">
        <f aca="false">-J6*Assumptions!J45/100</f>
        <v>-340.819943380623</v>
      </c>
      <c r="K12" s="4" t="n">
        <f aca="false">-K6*Assumptions!K45/100</f>
        <v>-349.340441965138</v>
      </c>
      <c r="L12" s="4" t="n">
        <f aca="false">-L6*Assumptions!L45/100</f>
        <v>-358.073953014267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262.819144746</v>
      </c>
      <c r="D13" s="0" t="n">
        <f aca="false">D11+D12</f>
        <v>299.6476643853</v>
      </c>
      <c r="E13" s="0" t="n">
        <f aca="false">E11+E12</f>
        <v>342.735340394538</v>
      </c>
      <c r="F13" s="0" t="n">
        <f aca="false">F11+F12</f>
        <v>385.478915080616</v>
      </c>
      <c r="G13" s="0" t="n">
        <f aca="false">G11+G12</f>
        <v>423.383602415068</v>
      </c>
      <c r="H13" s="0" t="n">
        <f aca="false">H11+H12</f>
        <v>440.318946511671</v>
      </c>
      <c r="I13" s="0" t="n">
        <f aca="false">I11+I12</f>
        <v>455.73010963958</v>
      </c>
      <c r="J13" s="0" t="n">
        <f aca="false">J11+J12</f>
        <v>469.402012928767</v>
      </c>
      <c r="K13" s="0" t="n">
        <f aca="false">K11+K12</f>
        <v>481.137063251986</v>
      </c>
      <c r="L13" s="0" t="n">
        <f aca="false">L11+L12</f>
        <v>493.165489833286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17.5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218.13989013918</v>
      </c>
      <c r="D15" s="0" t="n">
        <f aca="false">D13-MAX(0,D13)*D14/100</f>
        <v>248.707561439799</v>
      </c>
      <c r="E15" s="0" t="n">
        <f aca="false">E13-MAX(0,E13)*E14/100</f>
        <v>282.756655825494</v>
      </c>
      <c r="F15" s="0" t="n">
        <f aca="false">F13-MAX(0,F13)*F14/100</f>
        <v>316.092710366105</v>
      </c>
      <c r="G15" s="0" t="n">
        <f aca="false">G13-MAX(0,G13)*G14/100</f>
        <v>347.174553980356</v>
      </c>
      <c r="H15" s="0" t="n">
        <f aca="false">H13-MAX(0,H13)*H14/100</f>
        <v>361.06153613957</v>
      </c>
      <c r="I15" s="0" t="n">
        <f aca="false">I13-MAX(0,I13)*I14/100</f>
        <v>373.698689904455</v>
      </c>
      <c r="J15" s="0" t="n">
        <f aca="false">J13-MAX(0,J13)*J14/100</f>
        <v>384.909650601589</v>
      </c>
      <c r="K15" s="0" t="n">
        <f aca="false">K13-MAX(0,K13)*K14/100</f>
        <v>394.532391866629</v>
      </c>
      <c r="L15" s="0" t="n">
        <f aca="false">L13-MAX(0,L13)*L14/100</f>
        <v>404.395701663294</v>
      </c>
    </row>
    <row r="16" customFormat="false" ht="15" hidden="false" customHeight="false" outlineLevel="0" collapsed="false">
      <c r="A16" s="0" t="s">
        <v>119</v>
      </c>
      <c r="C16" s="0" t="n">
        <f aca="false">-C12</f>
        <v>263.1951378</v>
      </c>
      <c r="D16" s="0" t="n">
        <f aca="false">-D12</f>
        <v>272.406967623</v>
      </c>
      <c r="E16" s="0" t="n">
        <f aca="false">-E12</f>
        <v>284.56658298936</v>
      </c>
      <c r="F16" s="0" t="n">
        <f aca="false">-F12</f>
        <v>297.20468711624</v>
      </c>
      <c r="G16" s="0" t="n">
        <f aca="false">-G12</f>
        <v>307.407236076947</v>
      </c>
      <c r="H16" s="0" t="n">
        <f aca="false">-H12</f>
        <v>319.703525520025</v>
      </c>
      <c r="I16" s="0" t="n">
        <f aca="false">-I12</f>
        <v>330.893148913226</v>
      </c>
      <c r="J16" s="0" t="n">
        <f aca="false">-J12</f>
        <v>340.819943380623</v>
      </c>
      <c r="K16" s="0" t="n">
        <f aca="false">-K12</f>
        <v>349.340441965138</v>
      </c>
      <c r="L16" s="0" t="n">
        <f aca="false">-L12</f>
        <v>358.073953014267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-293.27458212</v>
      </c>
      <c r="D17" s="4" t="n">
        <f aca="false">-D6*Assumptions!D46/100</f>
        <v>-292.146602958</v>
      </c>
      <c r="E17" s="4" t="n">
        <f aca="false">-E6*Assumptions!E46/100</f>
        <v>-297.12099106242</v>
      </c>
      <c r="F17" s="4" t="n">
        <f aca="false">-F6*Assumptions!F46/100</f>
        <v>-306.076468821203</v>
      </c>
      <c r="G17" s="4" t="n">
        <f aca="false">-G6*Assumptions!G46/100</f>
        <v>-316.722606867158</v>
      </c>
      <c r="H17" s="4" t="n">
        <f aca="false">-H6*Assumptions!H46/100</f>
        <v>-329.391511141844</v>
      </c>
      <c r="I17" s="4" t="n">
        <f aca="false">-I6*Assumptions!I46/100</f>
        <v>-340.920214031809</v>
      </c>
      <c r="J17" s="4" t="n">
        <f aca="false">-J6*Assumptions!J46/100</f>
        <v>-351.147820452763</v>
      </c>
      <c r="K17" s="4" t="n">
        <f aca="false">-K6*Assumptions!K46/100</f>
        <v>-359.926515964082</v>
      </c>
      <c r="L17" s="4" t="n">
        <f aca="false">-L6*Assumptions!L46/100</f>
        <v>-368.924678863184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-19.7122572</v>
      </c>
      <c r="D18" s="4" t="n">
        <f aca="false">(D6-C6)*Assumptions!$B$51/100</f>
        <v>-33.83937486</v>
      </c>
      <c r="E18" s="4" t="n">
        <f aca="false">(E6-D6)*Assumptions!$B$51/100</f>
        <v>-42.6376123236</v>
      </c>
      <c r="F18" s="4" t="n">
        <f aca="false">(F6-E6)*Assumptions!$B$51/100</f>
        <v>-45.195869063016</v>
      </c>
      <c r="G18" s="4" t="n">
        <f aca="false">(G6-F6)*Assumptions!$B$51/100</f>
        <v>-39.9230176723309</v>
      </c>
      <c r="H18" s="4" t="n">
        <f aca="false">(H6-G6)*Assumptions!$B$51/100</f>
        <v>-33.535334844758</v>
      </c>
      <c r="I18" s="4" t="n">
        <f aca="false">(I6-H6)*Assumptions!$B$51/100</f>
        <v>-30.5171547087297</v>
      </c>
      <c r="J18" s="4" t="n">
        <f aca="false">(J6-I6)*Assumptions!$B$51/100</f>
        <v>-27.0730758201731</v>
      </c>
      <c r="K18" s="4" t="n">
        <f aca="false">(K6-J6)*Assumptions!$B$51/100</f>
        <v>-23.2377234123151</v>
      </c>
      <c r="L18" s="4" t="n">
        <f aca="false">(L6-K6)*Assumptions!$B$51/100</f>
        <v>-23.818666497623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168.34818861918</v>
      </c>
      <c r="D19" s="0" t="n">
        <f aca="false">D15+D16+D17+D18</f>
        <v>195.128551244799</v>
      </c>
      <c r="E19" s="0" t="n">
        <f aca="false">E15+E16+E17+E18</f>
        <v>227.564635428834</v>
      </c>
      <c r="F19" s="0" t="n">
        <f aca="false">F15+F16+F17+F18</f>
        <v>262.025059598127</v>
      </c>
      <c r="G19" s="0" t="n">
        <f aca="false">G15+G16+G17+G18</f>
        <v>297.936165517814</v>
      </c>
      <c r="H19" s="0" t="n">
        <f aca="false">H15+H16+H17+H18</f>
        <v>317.838215672993</v>
      </c>
      <c r="I19" s="0" t="n">
        <f aca="false">I15+I16+I17+I18</f>
        <v>333.154470077143</v>
      </c>
      <c r="J19" s="0" t="n">
        <f aca="false">J15+J16+J17+J18</f>
        <v>347.508697709276</v>
      </c>
      <c r="K19" s="0" t="n">
        <f aca="false">K15+K16+K17+K18</f>
        <v>360.70859445537</v>
      </c>
      <c r="L19" s="0" t="n">
        <f aca="false">L15+L16+L17+L18</f>
        <v>369.726309316754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153.043807835618</v>
      </c>
      <c r="D21" s="0" t="n">
        <f aca="false">D19*D20</f>
        <v>161.26326549157</v>
      </c>
      <c r="E21" s="0" t="n">
        <f aca="false">E19*E20</f>
        <v>170.972678759454</v>
      </c>
      <c r="F21" s="0" t="n">
        <f aca="false">F19*F20</f>
        <v>178.966641348355</v>
      </c>
      <c r="G21" s="0" t="n">
        <f aca="false">G19*G20</f>
        <v>184.994918080493</v>
      </c>
      <c r="H21" s="0" t="n">
        <f aca="false">H19*H20</f>
        <v>179.411386722214</v>
      </c>
      <c r="I21" s="0" t="n">
        <f aca="false">I19*I20</f>
        <v>170.960920944935</v>
      </c>
      <c r="J21" s="0" t="n">
        <f aca="false">J19*J20</f>
        <v>162.11537216845</v>
      </c>
      <c r="K21" s="0" t="n">
        <f aca="false">K19*K20</f>
        <v>152.975655835009</v>
      </c>
      <c r="L21" s="0" t="n">
        <f aca="false">L19*L20</f>
        <v>142.545497482622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0.58</v>
      </c>
      <c r="D23" s="4" t="n">
        <f aca="false">Assumptions!D44</f>
        <v>0.58</v>
      </c>
      <c r="E23" s="4" t="n">
        <f aca="false">Assumptions!E44</f>
        <v>0.58</v>
      </c>
      <c r="F23" s="4" t="n">
        <f aca="false">Assumptions!F44</f>
        <v>0.58</v>
      </c>
      <c r="G23" s="4" t="n">
        <f aca="false">Assumptions!G44</f>
        <v>0.58</v>
      </c>
      <c r="H23" s="4" t="n">
        <f aca="false">Assumptions!H44</f>
        <v>0.58</v>
      </c>
      <c r="I23" s="4" t="n">
        <f aca="false">Assumptions!I44</f>
        <v>0.58</v>
      </c>
      <c r="J23" s="4" t="n">
        <f aca="false">Assumptions!J44</f>
        <v>0.58</v>
      </c>
      <c r="K23" s="4" t="n">
        <f aca="false">Assumptions!K44</f>
        <v>0.58</v>
      </c>
      <c r="L23" s="4" t="n">
        <f aca="false">Assumptions!L44</f>
        <v>0.58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-21.807597132</v>
      </c>
      <c r="D24" s="0" t="n">
        <f aca="false">-D6*D23/100</f>
        <v>-22.8979769886</v>
      </c>
      <c r="E24" s="0" t="n">
        <f aca="false">-E6*E23/100</f>
        <v>-24.271855607916</v>
      </c>
      <c r="F24" s="0" t="n">
        <f aca="false">-F6*F23/100</f>
        <v>-25.728166944391</v>
      </c>
      <c r="G24" s="0" t="n">
        <f aca="false">-G6*G23/100</f>
        <v>-27.0145752916105</v>
      </c>
      <c r="H24" s="0" t="n">
        <f aca="false">-H6*H23/100</f>
        <v>-28.0951583032749</v>
      </c>
      <c r="I24" s="0" t="n">
        <f aca="false">-I6*I23/100</f>
        <v>-29.0784888438896</v>
      </c>
      <c r="J24" s="0" t="n">
        <f aca="false">-J6*J23/100</f>
        <v>-29.9508435092062</v>
      </c>
      <c r="K24" s="0" t="n">
        <f aca="false">-K6*K23/100</f>
        <v>-30.6996145969364</v>
      </c>
      <c r="L24" s="0" t="n">
        <f aca="false">-L6*L23/100</f>
        <v>-31.4671049618598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1657.25014466872</v>
      </c>
    </row>
    <row r="31" customFormat="false" ht="15" hidden="false" customHeight="false" outlineLevel="0" collapsed="false">
      <c r="A31" s="0" t="s">
        <v>128</v>
      </c>
      <c r="B31" s="0" t="n">
        <f aca="false">L19</f>
        <v>369.726309316754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5052.92622732897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4806.4420211178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4806.4420211178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1853.09146727408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3510.3416119428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4030.9496119428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33.7870086506819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0.996868123562757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63.9384739887196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65.7494889651611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34.8740399331444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3031.75573639738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21.6395275554531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19.1516095340627</v>
      </c>
      <c r="C4" s="0" t="n">
        <f aca="false">B4/Assumptions!$B$2-1</f>
        <v>0.131891816433964</v>
      </c>
      <c r="D4" s="4" t="n">
        <f aca="false">Assumptions!$B$24</f>
        <v>0.25</v>
      </c>
      <c r="E4" s="4" t="n">
        <f aca="false">DCF_Bear!$B$43</f>
        <v>19.8882836524294</v>
      </c>
      <c r="F4" s="4" t="n">
        <f aca="false">DCF_Bear!$B$47</f>
        <v>14.2856871686634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26.0173045343224</v>
      </c>
      <c r="C5" s="0" t="n">
        <f aca="false">B5/Assumptions!$B$2-1</f>
        <v>0.537665752619528</v>
      </c>
      <c r="D5" s="4" t="n">
        <f aca="false">Assumptions!$B$38</f>
        <v>0.5</v>
      </c>
      <c r="E5" s="4" t="n">
        <f aca="false">DCF_Base!$B$43</f>
        <v>26.9263648449821</v>
      </c>
      <c r="F5" s="4" t="n">
        <f aca="false">DCF_Base!$B$47</f>
        <v>17.7567293613247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33.7870086506819</v>
      </c>
      <c r="C6" s="0" t="n">
        <f aca="false">B6/Assumptions!$B$2-1</f>
        <v>0.996868123562757</v>
      </c>
      <c r="D6" s="4" t="n">
        <f aca="false">Assumptions!$B$52</f>
        <v>0.25</v>
      </c>
      <c r="E6" s="4" t="n">
        <f aca="false">DCF_Bull!$B$43</f>
        <v>34.8740399331444</v>
      </c>
      <c r="F6" s="4" t="n">
        <f aca="false">DCF_Bull!$B$47</f>
        <v>21.6395275554531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26.2433068133473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27.1537633188845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0.355264177630447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-1024.02550332118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17.8596683616915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27.5553570057116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26.0173045343224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24.0837873539099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22.0220575380766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17.7567293613247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29.2389039682064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29.2389039682064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29.2389039682064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29.2389039682064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29.2389039682064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27.5553570057116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27.5553570057116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27.5553570057116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27.5553570057116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27.5553570057116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25.3446391605095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25.9664306825214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26.0173045343224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26.0173045343224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26.0173045343224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23.1094237009155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23.5709643786497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24.0837873539099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24.6104704095825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24.6104704095825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21.2866712898173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21.6368552175598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22.0220575380766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22.4478074712793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22.9208629526157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2026-10-10T21:30:14Z</dcterms:created>
  <dc:creator>openpyxl</dc:creator>
  <dc:description/>
  <dc:language>en-NZ</dc:language>
  <cp:lastModifiedBy/>
  <dcterms:modified xsi:type="dcterms:W3CDTF">2026-10-10T21:30:14Z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