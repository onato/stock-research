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<sst xmlns="http://schemas.openxmlformats.org/spreadsheetml/2006/main" count="364" uniqueCount="169">
  <si>
    <t xml:space="preserve">Ticker</t>
  </si>
  <si>
    <t xml:space="preserve">WAF.AX</t>
  </si>
  <si>
    <t xml:space="preserve">Company</t>
  </si>
  <si>
    <t xml:space="preserve">West African Resources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</si>
  <si>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</si>
  <si>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</si>
  <si>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</si>
  <si>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</si>
  <si>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2026-09-25T05:38:41Z regular session (ASX)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</si>
  <si>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</si>
  <si>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</si>
  <si>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</si>
  <si>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</si>
  <si>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</si>
  <si>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</si>
  <si>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</si>
  <si>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</si>
  <si>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</si>
  <si>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</si>
  <si>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</si>
  <si>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</si>
  <si>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2026-09-25T06:04:11Z</t>
  </si>
  <si>
    <t xml:space="preserve">Drivers file</t>
  </si>
  <si>
    <t xml:space="preserve">WAF.AX_Drivers.json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</si>
  <si>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</si>
  <si>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</si>
  <si>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</si>
  <si>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component DCF. WAF has completed its transition from single-mine cash generator (funding Kiaka construction, FCF negative FY2023-24) to a two-mine steady-state producer (Sanbrado mature since 2020, Kiaka in operations since August 2025), so a risked pre-revenue NPV model is no longer appropriate -- but FY2025 and especially H1 2026 sit at a gold-price-cycle peak (realised US$3,525/oz and US$4,744/oz against a 5-years-ago spot near US$1,780/oz and current spot ~US$4,308/oz) that must not be naively annualized or extrapolated. The model separates the two things that are actually happening: (1) a REAL, disclosed operating ramp -- Kiaka's first full year of production, the 10-year target averaging 533,000oz/yr -- captured directly as physical ounces; and (2) a CYCLICAL gold-price input, normalized to a mid-cycle US$3,200/oz (a real haircut off both spot and the recent realised prices) rather than carried forward from the peak. Burkina Faso jurisdictional risk (military government since 2022, an active insurgency, a 2025 trading suspension, and a completed pattern of forced-but-paid equity dilution at Kiaka) is charged once, in the discount rate (+4.5pp WACC premium) and via a materially elevated bear-case probability weight (30%, vs the house default 15%) -- not doubled up in the flows. The Kiaka government stake increase (WAF's interest 85%-&gt;60%) is modelled explicitly as a step-up in the combined tax+NCI leakage rate from ~29% (FY2025 actual, pre-increase) to ~53% (post-transaction, calibrated to tie almost exactly to H1 2026's actual pre-transaction leakage of 48.6%), which is the single largest driver of the gap between this valuation and a naive extrapolation of recent reported profit.
key_risks_to_valuation: Gold price: the entire model is a bet that US$3,200/oz is a reasonable mid-cycle anchor -- if gold instead holds near the current US$4,300+/oz spot or the H1 2026 realised US$4,744/oz indefinitely, this valuation understates fair value materially; if gold reverts toward pre-2024 levels (sub-US$2,500/oz), it overstates it; Further Burkina Faso resource-nationalism beyond the announced Kiaka SA stake increase -- a similar demand at Sanbrado or Toega is not modelled in the base case beyond the bear-scenario probability weight; Kiaka ramp execution -- the 2026 explosives-permit issue shows operational/permitting risk persists even post-construction; Royalty regime escalation is now uncapped and price-linked; a further increase in the escalation schedule is a downside not separately modelled; AUD/USD assumption (0.66 long-run vs H1 2026's actual 0.70) -- a structurally weaker AUD would lift AUD-denominated revenue/margins beyond this model; band_position in the generated DCF JSON reads -1514.3, an engine artefact: SBC is ~0.4% of revenue here (effectively an SBC-near-zero market per adaptations section 7e), so house (A$4.60) and street (A$4.67) intrinsic values differ by only A$0.07 -- the engine's 1%-of-IV threshold for collapsing the band to null is not quite met by this small absolute gap, producing a large but meaningless ratio. Read band_position as n/a, not as a real reading of where price sits in an SBC-driven band; house and street values themselves (A$4.60 vs A$4.67) are the correct pair to compare.</t>
  </si>
  <si>
    <t xml:space="preserve">Data sources</t>
  </si>
  <si>
    <t xml:space="preserve">price: Yahoo Finance chart API at inputs.price_as_of; 52-week range A$2.51-4.06
financials: research/WAF.AX/Reports/WAF.AX_Metrics.csv, WAF.AX.duckdb core_metrics/kpis; WAF.AX_HalfYear_H1-FY2026.txt (segment note 2, cost-per-ounce table 3, balance sheet, NCI note 19) and WAF.AX_Annual_FY2026.txt (which is in substance the FY2025 annual report; comparative diluted share count and NCI figures cross-checked against it)
qualitative: research/WAF.AX/Reports/WAF.AX_Analysis.json</t>
  </si>
  <si>
    <t xml:space="preserve">Scenario narrative: bear</t>
  </si>
  <si>
    <t xml:space="preserve">Gold price reverts sharply from the current cycle peak, Kiaka execution risk recurs, and Burkina Faso's resource-nationalism pattern extends beyond Kiaka to Sanbrado/Toega or is mirrored elsewhere in the group.</t>
  </si>
  <si>
    <t xml:space="preserve">Scenario narrative: base</t>
  </si>
  <si>
    <t xml:space="preserve">Two-mine steady-state producer at guided/targeted physical volumes and a normalized mid-cycle gold price; the Kiaka government stake increase to 40% completes on the announced paid (not expropriated) terms and no further BF demands materialize.</t>
  </si>
  <si>
    <t xml:space="preserve">Scenario narrative: bull</t>
  </si>
  <si>
    <t xml:space="preserve">Higher-for-longer gold price, faster Kiaka ramp to the top of the 10-year target range, and the Kiaka stake dilution proves to be the final BF ask rather than a template for further demands.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</si>
  <si>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</si>
  <si>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</si>
  <si>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</si>
  <si>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</si>
  <si>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</si>
  <si>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</si>
  <si>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</si>
  <si>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</si>
  <si>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</si>
  <si>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</si>
  <si>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</si>
  <si>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</si>
  <si>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</si>
  <si>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</si>
  <si>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</si>
  <si>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</si>
  <si>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</si>
  <si>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</si>
  <si>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</si>
  <si>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</si>
  <si>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</si>
  <si>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</si>
  <si>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</si>
  <si>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</si>
  <si>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</si>
  <si>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</si>
  <si>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</si>
  <si>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</si>
  <si>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GoldPriceAchieved</t>
  </si>
  <si>
    <t xml:space="preserve">GoldProduction</t>
  </si>
  <si>
    <t xml:space="preserve">LeasePrincipalPaid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</si>
  <si>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</si>
  <si>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</si>
  <si>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</si>
  <si>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</si>
  <si>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</si>
  <si>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</si>
  <si>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</si>
  <si>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</si>
  <si>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</si>
  <si>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</si>
  <si>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</si>
  <si>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</si>
  <si>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</si>
  <si>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</si>
  <si>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</si>
  <si>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</si>
  <si>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</si>
  <si>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</si>
  <si>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</si>
  <si>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</si>
  <si>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</si>
  <si>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</si>
  <si>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</si>
  <si>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</si>
  <si>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</si>
  <si>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</si>
  <si>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</si>
  <si>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</si>
  <si>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</si>
  <si>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</si>
  <si>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</si>
  <si>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</si>
  <si>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</si>
  <si>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</si>
  <si>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</si>
  <si>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</si>
  <si>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</si>
  <si>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</si>
  <si>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</si>
  <si>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</si>
  <si>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</si>
  <si>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</si>
  <si>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</si>
  <si>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</si>
  <si>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</si>
  <si>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</si>
  <si>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</si>
  <si>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WAF.AX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</si>
  <si>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</si>
  <si>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</si>
  <si>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</si>
  <si>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</si>
  <si>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</si>
  <si>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</si>
  <si>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</si>
  <si>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</si>
  <si>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</si>
  <si>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</si>
  <si>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</si>
  <si>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</si>
  <si>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</si>
  <si>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</si>
  <si>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</si>
  <si>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</si>
  <si>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</si>
  <si>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</si>
  <si>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</si>
  <si>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</si>
  <si>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</si>
  <si>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</si>
  <si>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</si>
  <si>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</si>
  <si>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</si>
  <si>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</si>
  <si>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</si>
  <si>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</si>
  <si>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</si>
  <si>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</si>
  <si>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WAF.AX owner-FCF component DCF: base case (millions, AUD)</t>
  </si>
  <si>
    <t xml:space="preserve">WAF.AX owner-FCF component DCF: bull case (millions, AUD)</t>
  </si>
  <si>
    <t xml:space="preserve">WAF.AX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</si>
  <si>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</si>
  <si>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</si>
  <si>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</si>
  <si>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</si>
  <si>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</si>
  <si>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</si>
  <si>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</si>
  <si>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</si>
  <si>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</si>
  <si>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</si>
  <si>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</si>
  <si>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</si>
  <si>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</si>
  <si>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</si>
  <si>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</si>
  <si>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</si>
  <si>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</si>
  <si>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</si>
  <si>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13.5%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</si>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</sst>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0.034995</v>
      </c>
      <c r="I2" s="0" t="n">
        <v>-7.805445</v>
      </c>
      <c r="K2" s="0" t="n">
        <v>-0.026</v>
      </c>
      <c r="L2" s="0" t="n">
        <v>-6.273819</v>
      </c>
      <c r="M2" s="0" t="n">
        <v>0.021409</v>
      </c>
      <c r="N2" s="0" t="n">
        <v>-6.295228</v>
      </c>
      <c r="O2" s="0" t="n">
        <v>3.189902</v>
      </c>
      <c r="P2" s="0" t="n">
        <v>11.656632</v>
      </c>
      <c r="Q2" s="0" t="n">
        <v>8.46673</v>
      </c>
      <c r="R2" s="0" t="n">
        <v>6.756756</v>
      </c>
      <c r="S2" s="0" t="n">
        <v>11.376615</v>
      </c>
      <c r="T2" s="0" t="n">
        <v>300.085223</v>
      </c>
      <c r="U2" s="0" t="n">
        <v>0.081579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68</v>
      </c>
      <c r="B3" s="0" t="n">
        <v>0.256663</v>
      </c>
      <c r="I3" s="0" t="n">
        <v>-14.323895</v>
      </c>
      <c r="K3" s="0" t="n">
        <v>-0.03</v>
      </c>
      <c r="L3" s="0" t="n">
        <v>-14.209786</v>
      </c>
      <c r="M3" s="0" t="n">
        <v>0.121411</v>
      </c>
      <c r="N3" s="0" t="n">
        <v>-14.331197</v>
      </c>
      <c r="O3" s="0" t="n">
        <v>9.081122</v>
      </c>
      <c r="P3" s="0" t="n">
        <v>11.051621</v>
      </c>
      <c r="Q3" s="0" t="n">
        <v>1.970499</v>
      </c>
      <c r="R3" s="0" t="n">
        <v>0</v>
      </c>
      <c r="S3" s="0" t="n">
        <v>10.54995</v>
      </c>
      <c r="T3" s="0" t="n">
        <v>473.135959</v>
      </c>
      <c r="U3" s="0" t="n">
        <v>0.141531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69</v>
      </c>
      <c r="B4" s="0" t="n">
        <v>0.461</v>
      </c>
      <c r="I4" s="0" t="n">
        <v>-25.3</v>
      </c>
      <c r="K4" s="0" t="n">
        <v>-0.043</v>
      </c>
      <c r="L4" s="0" t="n">
        <v>-23.046</v>
      </c>
      <c r="M4" s="0" t="n">
        <v>0.316</v>
      </c>
      <c r="N4" s="0" t="n">
        <v>-23.362</v>
      </c>
      <c r="O4" s="0" t="n">
        <v>39.292</v>
      </c>
      <c r="P4" s="0" t="n">
        <v>43.689</v>
      </c>
      <c r="Q4" s="0" t="n">
        <v>4.397</v>
      </c>
      <c r="R4" s="0" t="n">
        <v>0</v>
      </c>
      <c r="S4" s="0" t="n">
        <v>42.565</v>
      </c>
      <c r="T4" s="0" t="n">
        <v>583.840378</v>
      </c>
      <c r="U4" s="0" t="n">
        <v>0.297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70</v>
      </c>
      <c r="B5" s="0" t="n">
        <v>1.239</v>
      </c>
      <c r="I5" s="0" t="n">
        <v>-4.275</v>
      </c>
      <c r="K5" s="0" t="n">
        <v>-0.005</v>
      </c>
      <c r="L5" s="0" t="n">
        <v>-6.587</v>
      </c>
      <c r="M5" s="0" t="n">
        <v>200.081</v>
      </c>
      <c r="N5" s="0" t="n">
        <v>-206.668</v>
      </c>
      <c r="O5" s="0" t="n">
        <v>76.352</v>
      </c>
      <c r="P5" s="0" t="n">
        <v>335.959</v>
      </c>
      <c r="Q5" s="0" t="n">
        <v>261.728</v>
      </c>
      <c r="R5" s="0" t="n">
        <v>235.085</v>
      </c>
      <c r="S5" s="0" t="n">
        <v>83.584</v>
      </c>
      <c r="T5" s="0" t="n">
        <v>876.071746</v>
      </c>
      <c r="U5" s="0" t="n">
        <v>0.533</v>
      </c>
      <c r="AA5" s="0" t="s">
        <v>17</v>
      </c>
      <c r="AB5" s="0" t="s">
        <v>14</v>
      </c>
      <c r="AF5" s="0" t="n">
        <v>1.13</v>
      </c>
    </row>
    <row r="6" customFormat="false" ht="15" hidden="false" customHeight="false" outlineLevel="0" collapsed="false">
      <c r="A6" s="0" t="s">
        <v>71</v>
      </c>
      <c r="B6" s="0" t="n">
        <v>311.167</v>
      </c>
      <c r="C6" s="0" t="n">
        <v>145.148</v>
      </c>
      <c r="D6" s="0" t="n">
        <v>166.019</v>
      </c>
      <c r="E6" s="0" t="n">
        <v>53.4</v>
      </c>
      <c r="I6" s="0" t="n">
        <v>89.362</v>
      </c>
      <c r="J6" s="0" t="n">
        <v>28.7</v>
      </c>
      <c r="K6" s="0" t="n">
        <v>0.113</v>
      </c>
      <c r="L6" s="0" t="n">
        <v>147.921</v>
      </c>
      <c r="M6" s="0" t="n">
        <v>109.456</v>
      </c>
      <c r="N6" s="0" t="n">
        <v>38.465</v>
      </c>
      <c r="O6" s="0" t="n">
        <v>165.229</v>
      </c>
      <c r="P6" s="0" t="n">
        <v>530.713</v>
      </c>
      <c r="Q6" s="0" t="n">
        <v>358.448</v>
      </c>
      <c r="R6" s="0" t="n">
        <v>226.333</v>
      </c>
      <c r="S6" s="0" t="n">
        <v>95.027</v>
      </c>
      <c r="T6" s="0" t="n">
        <v>880.451906</v>
      </c>
      <c r="U6" s="0" t="n">
        <v>2.343</v>
      </c>
      <c r="AA6" s="0" t="s">
        <v>17</v>
      </c>
      <c r="AB6" s="0" t="s">
        <v>14</v>
      </c>
      <c r="AC6" s="0" t="n">
        <v>1478</v>
      </c>
      <c r="AE6" s="0" t="n">
        <v>133534</v>
      </c>
      <c r="AF6" s="0" t="n">
        <v>2.949</v>
      </c>
    </row>
    <row r="7" customFormat="false" ht="15" hidden="false" customHeight="false" outlineLevel="0" collapsed="false">
      <c r="A7" s="0" t="s">
        <v>72</v>
      </c>
      <c r="B7" s="0" t="n">
        <v>712.14</v>
      </c>
      <c r="C7" s="0" t="n">
        <v>306.805</v>
      </c>
      <c r="D7" s="0" t="n">
        <v>405.335</v>
      </c>
      <c r="E7" s="0" t="n">
        <v>56.9</v>
      </c>
      <c r="I7" s="0" t="n">
        <v>188.964</v>
      </c>
      <c r="J7" s="0" t="n">
        <v>26.5</v>
      </c>
      <c r="K7" s="0" t="n">
        <v>0.209</v>
      </c>
      <c r="L7" s="0" t="n">
        <v>349.66</v>
      </c>
      <c r="M7" s="0" t="n">
        <v>55.257</v>
      </c>
      <c r="N7" s="0" t="n">
        <v>294.403</v>
      </c>
      <c r="O7" s="0" t="n">
        <v>525.047</v>
      </c>
      <c r="P7" s="0" t="n">
        <v>804.247</v>
      </c>
      <c r="Q7" s="0" t="n">
        <v>249.841</v>
      </c>
      <c r="R7" s="0" t="n">
        <v>13.118</v>
      </c>
      <c r="S7" s="0" t="n">
        <v>183.374</v>
      </c>
      <c r="T7" s="0" t="n">
        <v>912.120649</v>
      </c>
      <c r="U7" s="0" t="n">
        <v>2.492</v>
      </c>
      <c r="AA7" s="0" t="s">
        <v>17</v>
      </c>
      <c r="AB7" s="0" t="s">
        <v>14</v>
      </c>
      <c r="AC7" s="0" t="n">
        <v>1060</v>
      </c>
      <c r="AE7" s="0" t="n">
        <v>287619</v>
      </c>
      <c r="AF7" s="0" t="n">
        <v>5.331</v>
      </c>
    </row>
    <row r="8" customFormat="false" ht="15" hidden="false" customHeight="false" outlineLevel="0" collapsed="false">
      <c r="A8" s="0" t="s">
        <v>73</v>
      </c>
      <c r="B8" s="0" t="n">
        <v>608.228</v>
      </c>
      <c r="C8" s="0" t="n">
        <v>324.677</v>
      </c>
      <c r="D8" s="0" t="n">
        <v>283.551</v>
      </c>
      <c r="E8" s="0" t="n">
        <v>46.6</v>
      </c>
      <c r="I8" s="0" t="n">
        <v>164.443</v>
      </c>
      <c r="J8" s="0" t="n">
        <v>27</v>
      </c>
      <c r="K8" s="0" t="n">
        <v>0.161</v>
      </c>
      <c r="L8" s="0" t="n">
        <v>184.098</v>
      </c>
      <c r="M8" s="0" t="n">
        <v>114.881</v>
      </c>
      <c r="N8" s="0" t="n">
        <v>69.217</v>
      </c>
      <c r="O8" s="0" t="n">
        <v>700.498</v>
      </c>
      <c r="P8" s="0" t="n">
        <v>878.705</v>
      </c>
      <c r="Q8" s="0" t="n">
        <v>138.138</v>
      </c>
      <c r="R8" s="0" t="n">
        <v>14.106</v>
      </c>
      <c r="S8" s="0" t="n">
        <v>173.393</v>
      </c>
      <c r="T8" s="0" t="n">
        <v>1021.110697</v>
      </c>
      <c r="U8" s="0" t="n">
        <v>2.456</v>
      </c>
      <c r="AA8" s="0" t="s">
        <v>17</v>
      </c>
      <c r="AB8" s="0" t="s">
        <v>14</v>
      </c>
      <c r="AC8" s="0" t="n">
        <v>1561</v>
      </c>
      <c r="AE8" s="0" t="n">
        <v>230424</v>
      </c>
      <c r="AF8" s="0" t="n">
        <v>7.544</v>
      </c>
    </row>
    <row r="9" customFormat="false" ht="15" hidden="false" customHeight="false" outlineLevel="0" collapsed="false">
      <c r="A9" s="0" t="s">
        <v>74</v>
      </c>
      <c r="B9" s="0" t="n">
        <v>661.225</v>
      </c>
      <c r="C9" s="0" t="n">
        <v>390.874</v>
      </c>
      <c r="D9" s="0" t="n">
        <v>270.351</v>
      </c>
      <c r="E9" s="0" t="n">
        <v>40.9</v>
      </c>
      <c r="I9" s="0" t="n">
        <v>146.873</v>
      </c>
      <c r="J9" s="0" t="n">
        <v>22.2</v>
      </c>
      <c r="K9" s="0" t="n">
        <v>0.143</v>
      </c>
      <c r="L9" s="0" t="n">
        <v>208.612</v>
      </c>
      <c r="M9" s="0" t="n">
        <v>228.337</v>
      </c>
      <c r="N9" s="0" t="n">
        <v>-19.725</v>
      </c>
      <c r="O9" s="0" t="n">
        <v>861.204</v>
      </c>
      <c r="P9" s="0" t="n">
        <v>1220.839</v>
      </c>
      <c r="Q9" s="0" t="n">
        <v>315.008</v>
      </c>
      <c r="R9" s="0" t="n">
        <v>147.18</v>
      </c>
      <c r="S9" s="0" t="n">
        <v>135.08</v>
      </c>
      <c r="T9" s="0" t="n">
        <v>1024.736383</v>
      </c>
      <c r="U9" s="0" t="n">
        <v>2.597</v>
      </c>
      <c r="AA9" s="0" t="s">
        <v>17</v>
      </c>
      <c r="AB9" s="0" t="s">
        <v>14</v>
      </c>
      <c r="AC9" s="0" t="n">
        <v>1708</v>
      </c>
      <c r="AD9" s="0" t="n">
        <v>2923</v>
      </c>
      <c r="AE9" s="0" t="n">
        <v>222778</v>
      </c>
      <c r="AF9" s="0" t="n">
        <v>5.328</v>
      </c>
    </row>
    <row r="10" customFormat="false" ht="15" hidden="false" customHeight="false" outlineLevel="0" collapsed="false">
      <c r="A10" s="0" t="s">
        <v>75</v>
      </c>
      <c r="B10" s="0" t="n">
        <v>729.984</v>
      </c>
      <c r="C10" s="0" t="n">
        <v>377.704</v>
      </c>
      <c r="D10" s="0" t="n">
        <v>352.28</v>
      </c>
      <c r="E10" s="0" t="n">
        <v>48.3</v>
      </c>
      <c r="I10" s="0" t="n">
        <v>223.844</v>
      </c>
      <c r="J10" s="0" t="n">
        <v>30.7</v>
      </c>
      <c r="K10" s="0" t="n">
        <v>0.207</v>
      </c>
      <c r="L10" s="0" t="n">
        <v>251.64</v>
      </c>
      <c r="M10" s="0" t="n">
        <v>487.347</v>
      </c>
      <c r="N10" s="0" t="n">
        <v>-235.707</v>
      </c>
      <c r="O10" s="0" t="n">
        <v>1246.984</v>
      </c>
      <c r="P10" s="0" t="n">
        <v>1974.3</v>
      </c>
      <c r="Q10" s="0" t="n">
        <v>660.423</v>
      </c>
      <c r="R10" s="0" t="n">
        <v>406.491</v>
      </c>
      <c r="S10" s="0" t="n">
        <v>391.67</v>
      </c>
      <c r="T10" s="0" t="n">
        <v>1086.151959</v>
      </c>
      <c r="U10" s="0" t="n">
        <v>3.082</v>
      </c>
      <c r="AA10" s="0" t="s">
        <v>17</v>
      </c>
      <c r="AB10" s="0" t="s">
        <v>14</v>
      </c>
      <c r="AC10" s="0" t="n">
        <v>1879</v>
      </c>
      <c r="AD10" s="0" t="n">
        <v>3624</v>
      </c>
      <c r="AE10" s="0" t="n">
        <v>211120</v>
      </c>
      <c r="AF10" s="0" t="n">
        <v>8.155</v>
      </c>
    </row>
    <row r="11" customFormat="false" ht="15" hidden="false" customHeight="false" outlineLevel="0" collapsed="false">
      <c r="A11" s="0" t="s">
        <v>76</v>
      </c>
      <c r="B11" s="0" t="n">
        <v>1543</v>
      </c>
      <c r="C11" s="0" t="n">
        <v>663</v>
      </c>
      <c r="D11" s="0" t="n">
        <v>880</v>
      </c>
      <c r="E11" s="0" t="n">
        <v>57</v>
      </c>
      <c r="I11" s="0" t="n">
        <v>473.9</v>
      </c>
      <c r="J11" s="0" t="n">
        <v>30.7</v>
      </c>
      <c r="K11" s="0" t="n">
        <v>0.416</v>
      </c>
      <c r="L11" s="0" t="n">
        <v>789.7</v>
      </c>
      <c r="M11" s="0" t="n">
        <v>431.3</v>
      </c>
      <c r="N11" s="0" t="n">
        <v>358.4</v>
      </c>
      <c r="O11" s="0" t="n">
        <v>1720</v>
      </c>
      <c r="P11" s="0" t="n">
        <v>2715.6</v>
      </c>
      <c r="Q11" s="0" t="n">
        <v>957.4</v>
      </c>
      <c r="R11" s="0" t="n">
        <v>438.2</v>
      </c>
      <c r="S11" s="0" t="n">
        <v>584.1</v>
      </c>
      <c r="T11" s="0" t="n">
        <v>1147.820978</v>
      </c>
      <c r="U11" s="0" t="n">
        <v>6.1</v>
      </c>
      <c r="AA11" s="0" t="s">
        <v>17</v>
      </c>
      <c r="AB11" s="0" t="s">
        <v>14</v>
      </c>
      <c r="AC11" s="0" t="n">
        <v>2308</v>
      </c>
      <c r="AD11" s="0" t="n">
        <v>5466</v>
      </c>
      <c r="AE11" s="0" t="n">
        <v>294503</v>
      </c>
      <c r="AF11" s="0" t="n">
        <v>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3.54</v>
      </c>
    </row>
    <row r="3" customFormat="false" ht="15" hidden="false" customHeight="false" outlineLevel="0" collapsed="false">
      <c r="A3" s="0" t="s">
        <v>80</v>
      </c>
      <c r="B3" s="3" t="n">
        <v>1150.261</v>
      </c>
    </row>
    <row r="4" customFormat="false" ht="15" hidden="false" customHeight="false" outlineLevel="0" collapsed="false">
      <c r="A4" s="0" t="s">
        <v>81</v>
      </c>
      <c r="B4" s="3" t="n">
        <v>-465.1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1543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-1.11</v>
      </c>
      <c r="D13" s="3" t="n">
        <v>4.65</v>
      </c>
      <c r="E13" s="3" t="n">
        <v>4.44</v>
      </c>
      <c r="F13" s="3" t="n">
        <v>2.13</v>
      </c>
      <c r="G13" s="3" t="n">
        <v>2.08</v>
      </c>
      <c r="H13" s="3" t="n">
        <v>-4.08</v>
      </c>
      <c r="I13" s="3" t="n">
        <v>-4.26</v>
      </c>
      <c r="J13" s="3" t="n">
        <v>-2.22</v>
      </c>
      <c r="K13" s="3" t="n">
        <v>-2.27</v>
      </c>
      <c r="L13" s="3" t="n">
        <v>-2.33</v>
      </c>
    </row>
    <row r="14" customFormat="false" ht="15" hidden="false" customHeight="false" outlineLevel="0" collapsed="false">
      <c r="A14" s="0" t="s">
        <v>101</v>
      </c>
      <c r="C14" s="3" t="n">
        <v>48</v>
      </c>
      <c r="D14" s="3" t="n">
        <v>50</v>
      </c>
      <c r="E14" s="3" t="n">
        <v>50</v>
      </c>
      <c r="F14" s="3" t="n">
        <v>49</v>
      </c>
      <c r="G14" s="3" t="n">
        <v>48</v>
      </c>
      <c r="H14" s="3" t="n">
        <v>47</v>
      </c>
      <c r="I14" s="3" t="n">
        <v>46</v>
      </c>
      <c r="J14" s="3" t="n">
        <v>45</v>
      </c>
      <c r="K14" s="3" t="n">
        <v>44</v>
      </c>
      <c r="L14" s="3" t="n">
        <v>44</v>
      </c>
    </row>
    <row r="15" customFormat="false" ht="15" hidden="false" customHeight="false" outlineLevel="0" collapsed="false">
      <c r="A15" s="0" t="s">
        <v>102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6.3</v>
      </c>
      <c r="D17" s="3" t="n">
        <v>6.2</v>
      </c>
      <c r="E17" s="3" t="n">
        <v>6</v>
      </c>
      <c r="F17" s="3" t="n">
        <v>5.8</v>
      </c>
      <c r="G17" s="3" t="n">
        <v>5.6</v>
      </c>
      <c r="H17" s="3" t="n">
        <v>5.6</v>
      </c>
      <c r="I17" s="3" t="n">
        <v>5.6</v>
      </c>
      <c r="J17" s="3" t="n">
        <v>5.6</v>
      </c>
      <c r="K17" s="3" t="n">
        <v>5.6</v>
      </c>
      <c r="L17" s="3" t="n">
        <v>5.6</v>
      </c>
    </row>
    <row r="18" customFormat="false" ht="15" hidden="false" customHeight="false" outlineLevel="0" collapsed="false">
      <c r="A18" s="0" t="s">
        <v>105</v>
      </c>
      <c r="C18" s="3" t="n">
        <v>13</v>
      </c>
      <c r="D18" s="3" t="n">
        <v>10</v>
      </c>
      <c r="E18" s="3" t="n">
        <v>8.5</v>
      </c>
      <c r="F18" s="3" t="n">
        <v>7.5</v>
      </c>
      <c r="G18" s="3" t="n">
        <v>7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106</v>
      </c>
      <c r="C19" s="3" t="n">
        <v>52</v>
      </c>
      <c r="D19" s="3" t="n">
        <v>58</v>
      </c>
      <c r="E19" s="3" t="n">
        <v>60</v>
      </c>
      <c r="F19" s="3" t="n">
        <v>60</v>
      </c>
      <c r="G19" s="3" t="n">
        <v>60</v>
      </c>
      <c r="H19" s="3" t="n">
        <v>60</v>
      </c>
      <c r="I19" s="3" t="n">
        <v>60</v>
      </c>
      <c r="J19" s="3" t="n">
        <v>60</v>
      </c>
      <c r="K19" s="3" t="n">
        <v>60</v>
      </c>
      <c r="L19" s="3" t="n">
        <v>60</v>
      </c>
    </row>
    <row r="20" customFormat="false" ht="15" hidden="false" customHeight="false" outlineLevel="0" collapsed="false">
      <c r="A20" s="0" t="s">
        <v>107</v>
      </c>
      <c r="B20" s="3" t="n">
        <v>15.5</v>
      </c>
    </row>
    <row r="21" customFormat="false" ht="15" hidden="false" customHeight="false" outlineLevel="0" collapsed="false">
      <c r="A21" s="0" t="s">
        <v>108</v>
      </c>
      <c r="B21" s="3" t="n">
        <v>1</v>
      </c>
    </row>
    <row r="22" customFormat="false" ht="15" hidden="false" customHeight="false" outlineLevel="0" collapsed="false">
      <c r="A22" s="0" t="s">
        <v>109</v>
      </c>
      <c r="B22" s="3" t="n">
        <v>8</v>
      </c>
    </row>
    <row r="23" customFormat="false" ht="15" hidden="false" customHeight="false" outlineLevel="0" collapsed="false">
      <c r="A23" s="0" t="s">
        <v>110</v>
      </c>
      <c r="B23" s="3" t="n">
        <v>-8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44.54</v>
      </c>
      <c r="D27" s="3" t="n">
        <v>8.7</v>
      </c>
      <c r="E27" s="3" t="n">
        <v>6</v>
      </c>
      <c r="F27" s="3" t="n">
        <v>5.66</v>
      </c>
      <c r="G27" s="3" t="n">
        <v>6.43</v>
      </c>
      <c r="H27" s="3" t="n">
        <v>-6.04</v>
      </c>
      <c r="I27" s="3" t="n">
        <v>-3.57</v>
      </c>
      <c r="J27" s="3" t="n">
        <v>-1.85</v>
      </c>
      <c r="K27" s="3" t="n">
        <v>-0.94</v>
      </c>
      <c r="L27" s="3" t="n">
        <v>-0.95</v>
      </c>
    </row>
    <row r="28" customFormat="false" ht="15" hidden="false" customHeight="false" outlineLevel="0" collapsed="false">
      <c r="A28" s="0" t="s">
        <v>101</v>
      </c>
      <c r="C28" s="3" t="n">
        <v>58.2</v>
      </c>
      <c r="D28" s="3" t="n">
        <v>60.1</v>
      </c>
      <c r="E28" s="3" t="n">
        <v>61.4</v>
      </c>
      <c r="F28" s="3" t="n">
        <v>62</v>
      </c>
      <c r="G28" s="3" t="n">
        <v>62.3</v>
      </c>
      <c r="H28" s="3" t="n">
        <v>62.3</v>
      </c>
      <c r="I28" s="3" t="n">
        <v>62.3</v>
      </c>
      <c r="J28" s="3" t="n">
        <v>62.3</v>
      </c>
      <c r="K28" s="3" t="n">
        <v>62.3</v>
      </c>
      <c r="L28" s="3" t="n">
        <v>62.3</v>
      </c>
    </row>
    <row r="29" customFormat="false" ht="15" hidden="false" customHeight="false" outlineLevel="0" collapsed="false">
      <c r="A29" s="0" t="s">
        <v>102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6</v>
      </c>
      <c r="D31" s="3" t="n">
        <v>5.8</v>
      </c>
      <c r="E31" s="3" t="n">
        <v>5.5</v>
      </c>
      <c r="F31" s="3" t="n">
        <v>5.3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105</v>
      </c>
      <c r="C32" s="3" t="n">
        <v>11.5</v>
      </c>
      <c r="D32" s="3" t="n">
        <v>8.5</v>
      </c>
      <c r="E32" s="3" t="n">
        <v>6.8</v>
      </c>
      <c r="F32" s="3" t="n">
        <v>6</v>
      </c>
      <c r="G32" s="3" t="n">
        <v>5.8</v>
      </c>
      <c r="H32" s="3" t="n">
        <v>5.7</v>
      </c>
      <c r="I32" s="3" t="n">
        <v>5.7</v>
      </c>
      <c r="J32" s="3" t="n">
        <v>5.7</v>
      </c>
      <c r="K32" s="3" t="n">
        <v>5.7</v>
      </c>
      <c r="L32" s="3" t="n">
        <v>5.7</v>
      </c>
    </row>
    <row r="33" customFormat="false" ht="15" hidden="false" customHeight="false" outlineLevel="0" collapsed="false">
      <c r="A33" s="0" t="s">
        <v>106</v>
      </c>
      <c r="C33" s="3" t="n">
        <v>48.5</v>
      </c>
      <c r="D33" s="3" t="n">
        <v>54.6</v>
      </c>
      <c r="E33" s="3" t="n">
        <v>53.6</v>
      </c>
      <c r="F33" s="3" t="n">
        <v>52.6</v>
      </c>
      <c r="G33" s="3" t="n">
        <v>52.6</v>
      </c>
      <c r="H33" s="3" t="n">
        <v>52.6</v>
      </c>
      <c r="I33" s="3" t="n">
        <v>52.6</v>
      </c>
      <c r="J33" s="3" t="n">
        <v>52.6</v>
      </c>
      <c r="K33" s="3" t="n">
        <v>52.6</v>
      </c>
      <c r="L33" s="3" t="n">
        <v>52.6</v>
      </c>
    </row>
    <row r="34" customFormat="false" ht="15" hidden="false" customHeight="false" outlineLevel="0" collapsed="false">
      <c r="A34" s="0" t="s">
        <v>107</v>
      </c>
      <c r="B34" s="3" t="n">
        <v>13.5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10</v>
      </c>
    </row>
    <row r="37" customFormat="false" ht="15" hidden="false" customHeight="false" outlineLevel="0" collapsed="false">
      <c r="A37" s="0" t="s">
        <v>110</v>
      </c>
      <c r="B37" s="3" t="n">
        <v>-5</v>
      </c>
    </row>
    <row r="38" customFormat="false" ht="15" hidden="false" customHeight="false" outlineLevel="0" collapsed="false">
      <c r="A38" s="0" t="s">
        <v>111</v>
      </c>
      <c r="B38" s="3" t="n">
        <v>0.45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73.84</v>
      </c>
      <c r="D41" s="3" t="n">
        <v>8.33</v>
      </c>
      <c r="E41" s="3" t="n">
        <v>6.73</v>
      </c>
      <c r="F41" s="3" t="n">
        <v>4.5</v>
      </c>
      <c r="G41" s="3" t="n">
        <v>6.9</v>
      </c>
      <c r="H41" s="3" t="n">
        <v>-3.23</v>
      </c>
      <c r="I41" s="3" t="n">
        <v>-3.33</v>
      </c>
      <c r="J41" s="3" t="n">
        <v>-2.59</v>
      </c>
      <c r="K41" s="3" t="n">
        <v>-1.77</v>
      </c>
      <c r="L41" s="3" t="n">
        <v>-0.9</v>
      </c>
    </row>
    <row r="42" customFormat="false" ht="15" hidden="false" customHeight="false" outlineLevel="0" collapsed="false">
      <c r="A42" s="0" t="s">
        <v>101</v>
      </c>
      <c r="C42" s="3" t="n">
        <v>61</v>
      </c>
      <c r="D42" s="3" t="n">
        <v>63</v>
      </c>
      <c r="E42" s="3" t="n">
        <v>65</v>
      </c>
      <c r="F42" s="3" t="n">
        <v>66</v>
      </c>
      <c r="G42" s="3" t="n">
        <v>66.5</v>
      </c>
      <c r="H42" s="3" t="n">
        <v>66.5</v>
      </c>
      <c r="I42" s="3" t="n">
        <v>66.5</v>
      </c>
      <c r="J42" s="3" t="n">
        <v>66.5</v>
      </c>
      <c r="K42" s="3" t="n">
        <v>66.5</v>
      </c>
      <c r="L42" s="3" t="n">
        <v>66.5</v>
      </c>
    </row>
    <row r="43" customFormat="false" ht="15" hidden="false" customHeight="false" outlineLevel="0" collapsed="false">
      <c r="A43" s="0" t="s">
        <v>102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5.8</v>
      </c>
      <c r="D45" s="3" t="n">
        <v>5.5</v>
      </c>
      <c r="E45" s="3" t="n">
        <v>5.2</v>
      </c>
      <c r="F45" s="3" t="n">
        <v>5</v>
      </c>
      <c r="G45" s="3" t="n">
        <v>4.8</v>
      </c>
      <c r="H45" s="3" t="n">
        <v>4.8</v>
      </c>
      <c r="I45" s="3" t="n">
        <v>4.8</v>
      </c>
      <c r="J45" s="3" t="n">
        <v>4.8</v>
      </c>
      <c r="K45" s="3" t="n">
        <v>4.8</v>
      </c>
      <c r="L45" s="3" t="n">
        <v>4.8</v>
      </c>
    </row>
    <row r="46" customFormat="false" ht="15" hidden="false" customHeight="false" outlineLevel="0" collapsed="false">
      <c r="A46" s="0" t="s">
        <v>105</v>
      </c>
      <c r="C46" s="3" t="n">
        <v>10.5</v>
      </c>
      <c r="D46" s="3" t="n">
        <v>7.5</v>
      </c>
      <c r="E46" s="3" t="n">
        <v>6</v>
      </c>
      <c r="F46" s="3" t="n">
        <v>5.3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106</v>
      </c>
      <c r="C47" s="3" t="n">
        <v>45</v>
      </c>
      <c r="D47" s="3" t="n">
        <v>48</v>
      </c>
      <c r="E47" s="3" t="n">
        <v>48</v>
      </c>
      <c r="F47" s="3" t="n">
        <v>48</v>
      </c>
      <c r="G47" s="3" t="n">
        <v>48</v>
      </c>
      <c r="H47" s="3" t="n">
        <v>48</v>
      </c>
      <c r="I47" s="3" t="n">
        <v>48</v>
      </c>
      <c r="J47" s="3" t="n">
        <v>48</v>
      </c>
      <c r="K47" s="3" t="n">
        <v>48</v>
      </c>
      <c r="L47" s="3" t="n">
        <v>48</v>
      </c>
    </row>
    <row r="48" customFormat="false" ht="15" hidden="false" customHeight="false" outlineLevel="0" collapsed="false">
      <c r="A48" s="0" t="s">
        <v>107</v>
      </c>
      <c r="B48" s="3" t="n">
        <v>12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12</v>
      </c>
    </row>
    <row r="51" customFormat="false" ht="15" hidden="false" customHeight="false" outlineLevel="0" collapsed="false">
      <c r="A51" s="0" t="s">
        <v>110</v>
      </c>
      <c r="B51" s="3" t="n">
        <v>-3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-1.11</v>
      </c>
      <c r="D5" s="4" t="n">
        <f aca="false">Assumptions!D13</f>
        <v>4.65</v>
      </c>
      <c r="E5" s="4" t="n">
        <f aca="false">Assumptions!E13</f>
        <v>4.44</v>
      </c>
      <c r="F5" s="4" t="n">
        <f aca="false">Assumptions!F13</f>
        <v>2.13</v>
      </c>
      <c r="G5" s="4" t="n">
        <f aca="false">Assumptions!G13</f>
        <v>2.08</v>
      </c>
      <c r="H5" s="4" t="n">
        <f aca="false">Assumptions!H13</f>
        <v>-4.08</v>
      </c>
      <c r="I5" s="4" t="n">
        <f aca="false">Assumptions!I13</f>
        <v>-4.26</v>
      </c>
      <c r="J5" s="4" t="n">
        <f aca="false">Assumptions!J13</f>
        <v>-2.22</v>
      </c>
      <c r="K5" s="4" t="n">
        <f aca="false">Assumptions!K13</f>
        <v>-2.27</v>
      </c>
      <c r="L5" s="4" t="n">
        <f aca="false">Assumptions!L13</f>
        <v>-2.33</v>
      </c>
    </row>
    <row r="6" customFormat="false" ht="15" hidden="false" customHeight="false" outlineLevel="0" collapsed="false">
      <c r="A6" s="0" t="s">
        <v>37</v>
      </c>
      <c r="B6" s="3" t="n">
        <v>1543</v>
      </c>
      <c r="C6" s="0" t="n">
        <f aca="false">B6*(1+C5/100)</f>
        <v>1525.8727</v>
      </c>
      <c r="D6" s="0" t="n">
        <f aca="false">C6*(1+D5/100)</f>
        <v>1596.82578055</v>
      </c>
      <c r="E6" s="0" t="n">
        <f aca="false">D6*(1+E5/100)</f>
        <v>1667.72484520642</v>
      </c>
      <c r="F6" s="0" t="n">
        <f aca="false">E6*(1+F5/100)</f>
        <v>1703.24738440932</v>
      </c>
      <c r="G6" s="0" t="n">
        <f aca="false">F6*(1+G5/100)</f>
        <v>1738.67493000503</v>
      </c>
      <c r="H6" s="0" t="n">
        <f aca="false">G6*(1+H5/100)</f>
        <v>1667.73699286083</v>
      </c>
      <c r="I6" s="0" t="n">
        <f aca="false">H6*(1+I5/100)</f>
        <v>1596.69139696495</v>
      </c>
      <c r="J6" s="0" t="n">
        <f aca="false">I6*(1+J5/100)</f>
        <v>1561.24484795233</v>
      </c>
      <c r="K6" s="0" t="n">
        <f aca="false">J6*(1+K5/100)</f>
        <v>1525.80458990381</v>
      </c>
      <c r="L6" s="0" t="n">
        <f aca="false">K6*(1+L5/100)</f>
        <v>1490.25334295906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48</v>
      </c>
      <c r="D7" s="4" t="n">
        <f aca="false">Assumptions!D14</f>
        <v>50</v>
      </c>
      <c r="E7" s="4" t="n">
        <f aca="false">Assumptions!E14</f>
        <v>50</v>
      </c>
      <c r="F7" s="4" t="n">
        <f aca="false">Assumptions!F14</f>
        <v>49</v>
      </c>
      <c r="G7" s="4" t="n">
        <f aca="false">Assumptions!G14</f>
        <v>48</v>
      </c>
      <c r="H7" s="4" t="n">
        <f aca="false">Assumptions!H14</f>
        <v>47</v>
      </c>
      <c r="I7" s="4" t="n">
        <f aca="false">Assumptions!I14</f>
        <v>46</v>
      </c>
      <c r="J7" s="4" t="n">
        <f aca="false">Assumptions!J14</f>
        <v>45</v>
      </c>
      <c r="K7" s="4" t="n">
        <f aca="false">Assumptions!K14</f>
        <v>44</v>
      </c>
      <c r="L7" s="4" t="n">
        <f aca="false">Assumptions!L14</f>
        <v>44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732.418896</v>
      </c>
      <c r="D8" s="0" t="n">
        <f aca="false">D6*D7/100</f>
        <v>798.412890275</v>
      </c>
      <c r="E8" s="0" t="n">
        <f aca="false">E6*E7/100</f>
        <v>833.86242260321</v>
      </c>
      <c r="F8" s="0" t="n">
        <f aca="false">F6*F7/100</f>
        <v>834.591218360565</v>
      </c>
      <c r="G8" s="0" t="n">
        <f aca="false">G6*G7/100</f>
        <v>834.563966402415</v>
      </c>
      <c r="H8" s="0" t="n">
        <f aca="false">H6*H7/100</f>
        <v>783.836386644588</v>
      </c>
      <c r="I8" s="0" t="n">
        <f aca="false">I6*I7/100</f>
        <v>734.478042603879</v>
      </c>
      <c r="J8" s="0" t="n">
        <f aca="false">J6*J7/100</f>
        <v>702.560181578549</v>
      </c>
      <c r="K8" s="0" t="n">
        <f aca="false">K6*K7/100</f>
        <v>671.354019557678</v>
      </c>
      <c r="L8" s="0" t="n">
        <f aca="false">L6*L7/100</f>
        <v>655.711470901984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-6.1034908</v>
      </c>
      <c r="D10" s="0" t="n">
        <f aca="false">-D6*D9/100</f>
        <v>-6.3873031222</v>
      </c>
      <c r="E10" s="0" t="n">
        <f aca="false">-E6*E9/100</f>
        <v>-6.67089938082568</v>
      </c>
      <c r="F10" s="0" t="n">
        <f aca="false">-F6*F9/100</f>
        <v>-6.81298953763727</v>
      </c>
      <c r="G10" s="0" t="n">
        <f aca="false">-G6*G9/100</f>
        <v>-6.95469972002012</v>
      </c>
      <c r="H10" s="0" t="n">
        <f aca="false">-H6*H9/100</f>
        <v>-6.6709479714433</v>
      </c>
      <c r="I10" s="0" t="n">
        <f aca="false">-I6*I9/100</f>
        <v>-6.38676558785982</v>
      </c>
      <c r="J10" s="0" t="n">
        <f aca="false">-J6*J9/100</f>
        <v>-6.24497939180933</v>
      </c>
      <c r="K10" s="0" t="n">
        <f aca="false">-K6*K9/100</f>
        <v>-6.10321835961526</v>
      </c>
      <c r="L10" s="0" t="n">
        <f aca="false">-L6*L9/100</f>
        <v>-5.96101337183622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726.3154052</v>
      </c>
      <c r="D11" s="0" t="n">
        <f aca="false">D8+D10+D24</f>
        <v>792.0255871528</v>
      </c>
      <c r="E11" s="0" t="n">
        <f aca="false">E8+E10+E24</f>
        <v>827.191523222384</v>
      </c>
      <c r="F11" s="0" t="n">
        <f aca="false">F8+F10+F24</f>
        <v>827.778228822928</v>
      </c>
      <c r="G11" s="0" t="n">
        <f aca="false">G8+G10+G24</f>
        <v>827.609266682394</v>
      </c>
      <c r="H11" s="0" t="n">
        <f aca="false">H8+H10+H24</f>
        <v>777.165438673145</v>
      </c>
      <c r="I11" s="0" t="n">
        <f aca="false">I8+I10+I24</f>
        <v>728.091277016019</v>
      </c>
      <c r="J11" s="0" t="n">
        <f aca="false">J8+J10+J24</f>
        <v>696.31520218674</v>
      </c>
      <c r="K11" s="0" t="n">
        <f aca="false">K8+K10+K24</f>
        <v>665.250801198063</v>
      </c>
      <c r="L11" s="0" t="n">
        <f aca="false">L8+L10+L24</f>
        <v>649.750457530148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-96.1299801</v>
      </c>
      <c r="D12" s="4" t="n">
        <f aca="false">-D6*Assumptions!D17/100</f>
        <v>-99.0031983941</v>
      </c>
      <c r="E12" s="4" t="n">
        <f aca="false">-E6*Assumptions!E17/100</f>
        <v>-100.063490712385</v>
      </c>
      <c r="F12" s="4" t="n">
        <f aca="false">-F6*Assumptions!F17/100</f>
        <v>-98.7883482957404</v>
      </c>
      <c r="G12" s="4" t="n">
        <f aca="false">-G6*Assumptions!G17/100</f>
        <v>-97.3657960802817</v>
      </c>
      <c r="H12" s="4" t="n">
        <f aca="false">-H6*Assumptions!H17/100</f>
        <v>-93.3932716002062</v>
      </c>
      <c r="I12" s="4" t="n">
        <f aca="false">-I6*Assumptions!I17/100</f>
        <v>-89.4147182300374</v>
      </c>
      <c r="J12" s="4" t="n">
        <f aca="false">-J6*Assumptions!J17/100</f>
        <v>-87.4297114853306</v>
      </c>
      <c r="K12" s="4" t="n">
        <f aca="false">-K6*Assumptions!K17/100</f>
        <v>-85.4450570346136</v>
      </c>
      <c r="L12" s="4" t="n">
        <f aca="false">-L6*Assumptions!L17/100</f>
        <v>-83.4541872057071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630.1854251</v>
      </c>
      <c r="D13" s="0" t="n">
        <f aca="false">D11+D12</f>
        <v>693.0223887587</v>
      </c>
      <c r="E13" s="0" t="n">
        <f aca="false">E11+E12</f>
        <v>727.128032509999</v>
      </c>
      <c r="F13" s="0" t="n">
        <f aca="false">F11+F12</f>
        <v>728.989880527188</v>
      </c>
      <c r="G13" s="0" t="n">
        <f aca="false">G11+G12</f>
        <v>730.243470602113</v>
      </c>
      <c r="H13" s="0" t="n">
        <f aca="false">H11+H12</f>
        <v>683.772167072939</v>
      </c>
      <c r="I13" s="0" t="n">
        <f aca="false">I11+I12</f>
        <v>638.676558785982</v>
      </c>
      <c r="J13" s="0" t="n">
        <f aca="false">J11+J12</f>
        <v>608.88549070141</v>
      </c>
      <c r="K13" s="0" t="n">
        <f aca="false">K11+K12</f>
        <v>579.805744163449</v>
      </c>
      <c r="L13" s="0" t="n">
        <f aca="false">L11+L12</f>
        <v>566.296270324441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52</v>
      </c>
      <c r="D14" s="4" t="n">
        <f aca="false">Assumptions!D19</f>
        <v>58</v>
      </c>
      <c r="E14" s="4" t="n">
        <f aca="false">Assumptions!E19</f>
        <v>60</v>
      </c>
      <c r="F14" s="4" t="n">
        <f aca="false">Assumptions!F19</f>
        <v>60</v>
      </c>
      <c r="G14" s="4" t="n">
        <f aca="false">Assumptions!G19</f>
        <v>60</v>
      </c>
      <c r="H14" s="4" t="n">
        <f aca="false">Assumptions!H19</f>
        <v>60</v>
      </c>
      <c r="I14" s="4" t="n">
        <f aca="false">Assumptions!I19</f>
        <v>60</v>
      </c>
      <c r="J14" s="4" t="n">
        <f aca="false">Assumptions!J19</f>
        <v>60</v>
      </c>
      <c r="K14" s="4" t="n">
        <f aca="false">Assumptions!K19</f>
        <v>60</v>
      </c>
      <c r="L14" s="4" t="n">
        <f aca="false">Assumptions!L19</f>
        <v>60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302.489004048</v>
      </c>
      <c r="D15" s="0" t="n">
        <f aca="false">D13-MAX(0,D13)*D14/100</f>
        <v>291.069403278654</v>
      </c>
      <c r="E15" s="0" t="n">
        <f aca="false">E13-MAX(0,E13)*E14/100</f>
        <v>290.851213004</v>
      </c>
      <c r="F15" s="0" t="n">
        <f aca="false">F13-MAX(0,F13)*F14/100</f>
        <v>291.595952210875</v>
      </c>
      <c r="G15" s="0" t="n">
        <f aca="false">G13-MAX(0,G13)*G14/100</f>
        <v>292.097388240845</v>
      </c>
      <c r="H15" s="0" t="n">
        <f aca="false">H13-MAX(0,H13)*H14/100</f>
        <v>273.508866829175</v>
      </c>
      <c r="I15" s="0" t="n">
        <f aca="false">I13-MAX(0,I13)*I14/100</f>
        <v>255.470623514393</v>
      </c>
      <c r="J15" s="0" t="n">
        <f aca="false">J13-MAX(0,J13)*J14/100</f>
        <v>243.554196280564</v>
      </c>
      <c r="K15" s="0" t="n">
        <f aca="false">K13-MAX(0,K13)*K14/100</f>
        <v>231.92229766538</v>
      </c>
      <c r="L15" s="0" t="n">
        <f aca="false">L13-MAX(0,L13)*L14/100</f>
        <v>226.518508129776</v>
      </c>
    </row>
    <row r="16" customFormat="false" ht="15" hidden="false" customHeight="false" outlineLevel="0" collapsed="false">
      <c r="A16" s="0" t="s">
        <v>122</v>
      </c>
      <c r="C16" s="0" t="n">
        <f aca="false">-C12</f>
        <v>96.1299801</v>
      </c>
      <c r="D16" s="0" t="n">
        <f aca="false">-D12</f>
        <v>99.0031983941</v>
      </c>
      <c r="E16" s="0" t="n">
        <f aca="false">-E12</f>
        <v>100.063490712385</v>
      </c>
      <c r="F16" s="0" t="n">
        <f aca="false">-F12</f>
        <v>98.7883482957404</v>
      </c>
      <c r="G16" s="0" t="n">
        <f aca="false">-G12</f>
        <v>97.3657960802817</v>
      </c>
      <c r="H16" s="0" t="n">
        <f aca="false">-H12</f>
        <v>93.3932716002062</v>
      </c>
      <c r="I16" s="0" t="n">
        <f aca="false">-I12</f>
        <v>89.4147182300374</v>
      </c>
      <c r="J16" s="0" t="n">
        <f aca="false">-J12</f>
        <v>87.4297114853306</v>
      </c>
      <c r="K16" s="0" t="n">
        <f aca="false">-K12</f>
        <v>85.4450570346136</v>
      </c>
      <c r="L16" s="0" t="n">
        <f aca="false">-L12</f>
        <v>83.4541872057071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-198.363451</v>
      </c>
      <c r="D17" s="4" t="n">
        <f aca="false">-D6*Assumptions!D18/100</f>
        <v>-159.682578055</v>
      </c>
      <c r="E17" s="4" t="n">
        <f aca="false">-E6*Assumptions!E18/100</f>
        <v>-141.756611842546</v>
      </c>
      <c r="F17" s="4" t="n">
        <f aca="false">-F6*Assumptions!F18/100</f>
        <v>-127.743553830699</v>
      </c>
      <c r="G17" s="4" t="n">
        <f aca="false">-G6*Assumptions!G18/100</f>
        <v>-121.707245100352</v>
      </c>
      <c r="H17" s="4" t="n">
        <f aca="false">-H6*Assumptions!H18/100</f>
        <v>-116.741589500258</v>
      </c>
      <c r="I17" s="4" t="n">
        <f aca="false">-I6*Assumptions!I18/100</f>
        <v>-111.768397787547</v>
      </c>
      <c r="J17" s="4" t="n">
        <f aca="false">-J6*Assumptions!J18/100</f>
        <v>-109.287139356663</v>
      </c>
      <c r="K17" s="4" t="n">
        <f aca="false">-K6*Assumptions!K18/100</f>
        <v>-106.806321293267</v>
      </c>
      <c r="L17" s="4" t="n">
        <f aca="false">-L6*Assumptions!L18/100</f>
        <v>-104.317734007134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1.37018400000001</v>
      </c>
      <c r="D18" s="4" t="n">
        <f aca="false">(D6-C6)*Assumptions!$B$23/100</f>
        <v>-5.67624644399999</v>
      </c>
      <c r="E18" s="4" t="n">
        <f aca="false">(E6-D6)*Assumptions!$B$23/100</f>
        <v>-5.6719251725136</v>
      </c>
      <c r="F18" s="4" t="n">
        <f aca="false">(F6-E6)*Assumptions!$B$23/100</f>
        <v>-2.84180313623176</v>
      </c>
      <c r="G18" s="4" t="n">
        <f aca="false">(G6-F6)*Assumptions!$B$23/100</f>
        <v>-2.83420364765709</v>
      </c>
      <c r="H18" s="4" t="n">
        <f aca="false">(H6-G6)*Assumptions!$B$23/100</f>
        <v>5.67503497153641</v>
      </c>
      <c r="I18" s="4" t="n">
        <f aca="false">(I6-H6)*Assumptions!$B$23/100</f>
        <v>5.6836476716697</v>
      </c>
      <c r="J18" s="4" t="n">
        <f aca="false">(J6-I6)*Assumptions!$B$23/100</f>
        <v>2.83572392100976</v>
      </c>
      <c r="K18" s="4" t="n">
        <f aca="false">(K6-J6)*Assumptions!$B$23/100</f>
        <v>2.83522064388144</v>
      </c>
      <c r="L18" s="4" t="n">
        <f aca="false">(L6-K6)*Assumptions!$B$23/100</f>
        <v>2.8440997555807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201.625717148</v>
      </c>
      <c r="D19" s="0" t="n">
        <f aca="false">D15+D16+D17+D18</f>
        <v>224.713777173754</v>
      </c>
      <c r="E19" s="0" t="n">
        <f aca="false">E15+E16+E17+E18</f>
        <v>243.486166701326</v>
      </c>
      <c r="F19" s="0" t="n">
        <f aca="false">F15+F16+F17+F18</f>
        <v>259.798943539685</v>
      </c>
      <c r="G19" s="0" t="n">
        <f aca="false">G15+G16+G17+G18</f>
        <v>264.921735573118</v>
      </c>
      <c r="H19" s="0" t="n">
        <f aca="false">H15+H16+H17+H18</f>
        <v>255.83558390066</v>
      </c>
      <c r="I19" s="0" t="n">
        <f aca="false">I15+I16+I17+I18</f>
        <v>238.800591628553</v>
      </c>
      <c r="J19" s="0" t="n">
        <f aca="false">J15+J16+J17+J18</f>
        <v>224.532492330241</v>
      </c>
      <c r="K19" s="0" t="n">
        <f aca="false">K15+K16+K17+K18</f>
        <v>213.396254050608</v>
      </c>
      <c r="L19" s="0" t="n">
        <f aca="false">L15+L16+L17+L18</f>
        <v>208.49906108393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0.865800865800866</v>
      </c>
      <c r="D20" s="0" t="n">
        <f aca="false">1/(1+$B$27/100)^D4</f>
        <v>0.749611139221529</v>
      </c>
      <c r="E20" s="0" t="n">
        <f aca="false">1/(1+$B$27/100)^E4</f>
        <v>0.649013973351973</v>
      </c>
      <c r="F20" s="0" t="n">
        <f aca="false">1/(1+$B$27/100)^F4</f>
        <v>0.561916860044998</v>
      </c>
      <c r="G20" s="0" t="n">
        <f aca="false">1/(1+$B$27/100)^G4</f>
        <v>0.486508103935063</v>
      </c>
      <c r="H20" s="0" t="n">
        <f aca="false">1/(1+$B$27/100)^H4</f>
        <v>0.421219137606115</v>
      </c>
      <c r="I20" s="0" t="n">
        <f aca="false">1/(1+$B$27/100)^I4</f>
        <v>0.364691894031269</v>
      </c>
      <c r="J20" s="0" t="n">
        <f aca="false">1/(1+$B$27/100)^J4</f>
        <v>0.31575055760283</v>
      </c>
      <c r="K20" s="0" t="n">
        <f aca="false">1/(1+$B$27/100)^K4</f>
        <v>0.273377106149636</v>
      </c>
      <c r="L20" s="0" t="n">
        <f aca="false">1/(1+$B$27/100)^L4</f>
        <v>0.23669013519449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174.567720474459</v>
      </c>
      <c r="D21" s="0" t="n">
        <f aca="false">D19*D20</f>
        <v>168.447950505991</v>
      </c>
      <c r="E21" s="0" t="n">
        <f aca="false">E19*E20</f>
        <v>158.025924507068</v>
      </c>
      <c r="F21" s="0" t="n">
        <f aca="false">F19*F20</f>
        <v>145.985406596828</v>
      </c>
      <c r="G21" s="0" t="n">
        <f aca="false">G19*G20</f>
        <v>128.886571264864</v>
      </c>
      <c r="H21" s="0" t="n">
        <f aca="false">H19*H20</f>
        <v>107.762844019593</v>
      </c>
      <c r="I21" s="0" t="n">
        <f aca="false">I19*I20</f>
        <v>87.0886400568045</v>
      </c>
      <c r="J21" s="0" t="n">
        <f aca="false">J19*J20</f>
        <v>70.8962596532267</v>
      </c>
      <c r="K21" s="0" t="n">
        <f aca="false">K19*K20</f>
        <v>58.3376503955278</v>
      </c>
      <c r="L21" s="0" t="n">
        <f aca="false">L19*L20</f>
        <v>49.3496709558798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15.5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1149.34863843024</v>
      </c>
    </row>
    <row r="31" customFormat="false" ht="15" hidden="false" customHeight="false" outlineLevel="0" collapsed="false">
      <c r="A31" s="0" t="s">
        <v>131</v>
      </c>
      <c r="B31" s="0" t="n">
        <f aca="false">L19</f>
        <v>208.49906108393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1452.30380479152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1667.99248867144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1452.30380479152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343.745983899577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1493.09462232982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1958.19462232982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1.7023915635928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-0.519098428363616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31.8041411146733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9.8277392516196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1.73858498436104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1504.17179781978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1.74610627260344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44.54</v>
      </c>
      <c r="D5" s="4" t="n">
        <f aca="false">Assumptions!D27</f>
        <v>8.7</v>
      </c>
      <c r="E5" s="4" t="n">
        <f aca="false">Assumptions!E27</f>
        <v>6</v>
      </c>
      <c r="F5" s="4" t="n">
        <f aca="false">Assumptions!F27</f>
        <v>5.66</v>
      </c>
      <c r="G5" s="4" t="n">
        <f aca="false">Assumptions!G27</f>
        <v>6.43</v>
      </c>
      <c r="H5" s="4" t="n">
        <f aca="false">Assumptions!H27</f>
        <v>-6.04</v>
      </c>
      <c r="I5" s="4" t="n">
        <f aca="false">Assumptions!I27</f>
        <v>-3.57</v>
      </c>
      <c r="J5" s="4" t="n">
        <f aca="false">Assumptions!J27</f>
        <v>-1.85</v>
      </c>
      <c r="K5" s="4" t="n">
        <f aca="false">Assumptions!K27</f>
        <v>-0.94</v>
      </c>
      <c r="L5" s="4" t="n">
        <f aca="false">Assumptions!L27</f>
        <v>-0.95</v>
      </c>
    </row>
    <row r="6" customFormat="false" ht="15" hidden="false" customHeight="false" outlineLevel="0" collapsed="false">
      <c r="A6" s="0" t="s">
        <v>37</v>
      </c>
      <c r="B6" s="3" t="n">
        <v>1543</v>
      </c>
      <c r="C6" s="0" t="n">
        <f aca="false">B6*(1+C5/100)</f>
        <v>2230.2522</v>
      </c>
      <c r="D6" s="0" t="n">
        <f aca="false">C6*(1+D5/100)</f>
        <v>2424.2841414</v>
      </c>
      <c r="E6" s="0" t="n">
        <f aca="false">D6*(1+E5/100)</f>
        <v>2569.741189884</v>
      </c>
      <c r="F6" s="0" t="n">
        <f aca="false">E6*(1+F5/100)</f>
        <v>2715.18854123143</v>
      </c>
      <c r="G6" s="0" t="n">
        <f aca="false">F6*(1+G5/100)</f>
        <v>2889.77516443262</v>
      </c>
      <c r="H6" s="0" t="n">
        <f aca="false">G6*(1+H5/100)</f>
        <v>2715.23274450089</v>
      </c>
      <c r="I6" s="0" t="n">
        <f aca="false">H6*(1+I5/100)</f>
        <v>2618.2989355222</v>
      </c>
      <c r="J6" s="0" t="n">
        <f aca="false">I6*(1+J5/100)</f>
        <v>2569.86040521504</v>
      </c>
      <c r="K6" s="0" t="n">
        <f aca="false">J6*(1+K5/100)</f>
        <v>2545.70371740602</v>
      </c>
      <c r="L6" s="0" t="n">
        <f aca="false">K6*(1+L5/100)</f>
        <v>2521.51953209067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58.2</v>
      </c>
      <c r="D7" s="4" t="n">
        <f aca="false">Assumptions!D28</f>
        <v>60.1</v>
      </c>
      <c r="E7" s="4" t="n">
        <f aca="false">Assumptions!E28</f>
        <v>61.4</v>
      </c>
      <c r="F7" s="4" t="n">
        <f aca="false">Assumptions!F28</f>
        <v>62</v>
      </c>
      <c r="G7" s="4" t="n">
        <f aca="false">Assumptions!G28</f>
        <v>62.3</v>
      </c>
      <c r="H7" s="4" t="n">
        <f aca="false">Assumptions!H28</f>
        <v>62.3</v>
      </c>
      <c r="I7" s="4" t="n">
        <f aca="false">Assumptions!I28</f>
        <v>62.3</v>
      </c>
      <c r="J7" s="4" t="n">
        <f aca="false">Assumptions!J28</f>
        <v>62.3</v>
      </c>
      <c r="K7" s="4" t="n">
        <f aca="false">Assumptions!K28</f>
        <v>62.3</v>
      </c>
      <c r="L7" s="4" t="n">
        <f aca="false">Assumptions!L28</f>
        <v>62.3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1298.0067804</v>
      </c>
      <c r="D8" s="0" t="n">
        <f aca="false">D6*D7/100</f>
        <v>1456.9947689814</v>
      </c>
      <c r="E8" s="0" t="n">
        <f aca="false">E6*E7/100</f>
        <v>1577.82109058878</v>
      </c>
      <c r="F8" s="0" t="n">
        <f aca="false">F6*F7/100</f>
        <v>1683.41689556349</v>
      </c>
      <c r="G8" s="0" t="n">
        <f aca="false">G6*G7/100</f>
        <v>1800.32992744152</v>
      </c>
      <c r="H8" s="0" t="n">
        <f aca="false">H6*H7/100</f>
        <v>1691.58999982405</v>
      </c>
      <c r="I8" s="0" t="n">
        <f aca="false">I6*I7/100</f>
        <v>1631.20023683033</v>
      </c>
      <c r="J8" s="0" t="n">
        <f aca="false">J6*J7/100</f>
        <v>1601.02303244897</v>
      </c>
      <c r="K8" s="0" t="n">
        <f aca="false">K6*K7/100</f>
        <v>1585.97341594395</v>
      </c>
      <c r="L8" s="0" t="n">
        <f aca="false">L6*L7/100</f>
        <v>1570.90666849248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-8.9210088</v>
      </c>
      <c r="D10" s="0" t="n">
        <f aca="false">-D6*D9/100</f>
        <v>-9.6971365656</v>
      </c>
      <c r="E10" s="0" t="n">
        <f aca="false">-E6*E9/100</f>
        <v>-10.278964759536</v>
      </c>
      <c r="F10" s="0" t="n">
        <f aca="false">-F6*F9/100</f>
        <v>-10.8607541649257</v>
      </c>
      <c r="G10" s="0" t="n">
        <f aca="false">-G6*G9/100</f>
        <v>-11.5591006577305</v>
      </c>
      <c r="H10" s="0" t="n">
        <f aca="false">-H6*H9/100</f>
        <v>-10.8609309780035</v>
      </c>
      <c r="I10" s="0" t="n">
        <f aca="false">-I6*I9/100</f>
        <v>-10.4731957420888</v>
      </c>
      <c r="J10" s="0" t="n">
        <f aca="false">-J6*J9/100</f>
        <v>-10.2794416208602</v>
      </c>
      <c r="K10" s="0" t="n">
        <f aca="false">-K6*K9/100</f>
        <v>-10.1828148696241</v>
      </c>
      <c r="L10" s="0" t="n">
        <f aca="false">-L6*L9/100</f>
        <v>-10.0860781283627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1289.0857716</v>
      </c>
      <c r="D11" s="0" t="n">
        <f aca="false">D8+D10+D24</f>
        <v>1447.2976324158</v>
      </c>
      <c r="E11" s="0" t="n">
        <f aca="false">E8+E10+E24</f>
        <v>1567.54212582924</v>
      </c>
      <c r="F11" s="0" t="n">
        <f aca="false">F8+F10+F24</f>
        <v>1672.55614139856</v>
      </c>
      <c r="G11" s="0" t="n">
        <f aca="false">G8+G10+G24</f>
        <v>1788.77082678379</v>
      </c>
      <c r="H11" s="0" t="n">
        <f aca="false">H8+H10+H24</f>
        <v>1680.72906884605</v>
      </c>
      <c r="I11" s="0" t="n">
        <f aca="false">I8+I10+I24</f>
        <v>1620.72704108824</v>
      </c>
      <c r="J11" s="0" t="n">
        <f aca="false">J8+J10+J24</f>
        <v>1590.74359082811</v>
      </c>
      <c r="K11" s="0" t="n">
        <f aca="false">K8+K10+K24</f>
        <v>1575.79060107433</v>
      </c>
      <c r="L11" s="0" t="n">
        <f aca="false">L8+L10+L24</f>
        <v>1560.82059036412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-133.815132</v>
      </c>
      <c r="D12" s="4" t="n">
        <f aca="false">-D6*Assumptions!D31/100</f>
        <v>-140.6084802012</v>
      </c>
      <c r="E12" s="4" t="n">
        <f aca="false">-E6*Assumptions!E31/100</f>
        <v>-141.33576544362</v>
      </c>
      <c r="F12" s="4" t="n">
        <f aca="false">-F6*Assumptions!F31/100</f>
        <v>-143.904992685266</v>
      </c>
      <c r="G12" s="4" t="n">
        <f aca="false">-G6*Assumptions!G31/100</f>
        <v>-144.488758221631</v>
      </c>
      <c r="H12" s="4" t="n">
        <f aca="false">-H6*Assumptions!H31/100</f>
        <v>-135.761637225044</v>
      </c>
      <c r="I12" s="4" t="n">
        <f aca="false">-I6*Assumptions!I31/100</f>
        <v>-130.91494677611</v>
      </c>
      <c r="J12" s="4" t="n">
        <f aca="false">-J6*Assumptions!J31/100</f>
        <v>-128.493020260752</v>
      </c>
      <c r="K12" s="4" t="n">
        <f aca="false">-K6*Assumptions!K31/100</f>
        <v>-127.285185870301</v>
      </c>
      <c r="L12" s="4" t="n">
        <f aca="false">-L6*Assumptions!L31/100</f>
        <v>-126.075976604533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1155.2706396</v>
      </c>
      <c r="D13" s="0" t="n">
        <f aca="false">D11+D12</f>
        <v>1306.6891522146</v>
      </c>
      <c r="E13" s="0" t="n">
        <f aca="false">E11+E12</f>
        <v>1426.20636038562</v>
      </c>
      <c r="F13" s="0" t="n">
        <f aca="false">F11+F12</f>
        <v>1528.6511487133</v>
      </c>
      <c r="G13" s="0" t="n">
        <f aca="false">G11+G12</f>
        <v>1644.28206856216</v>
      </c>
      <c r="H13" s="0" t="n">
        <f aca="false">H11+H12</f>
        <v>1544.967431621</v>
      </c>
      <c r="I13" s="0" t="n">
        <f aca="false">I11+I12</f>
        <v>1489.81209431213</v>
      </c>
      <c r="J13" s="0" t="n">
        <f aca="false">J11+J12</f>
        <v>1462.25057056736</v>
      </c>
      <c r="K13" s="0" t="n">
        <f aca="false">K11+K12</f>
        <v>1448.50541520403</v>
      </c>
      <c r="L13" s="0" t="n">
        <f aca="false">L11+L12</f>
        <v>1434.74461375959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48.5</v>
      </c>
      <c r="D14" s="4" t="n">
        <f aca="false">Assumptions!D33</f>
        <v>54.6</v>
      </c>
      <c r="E14" s="4" t="n">
        <f aca="false">Assumptions!E33</f>
        <v>53.6</v>
      </c>
      <c r="F14" s="4" t="n">
        <f aca="false">Assumptions!F33</f>
        <v>52.6</v>
      </c>
      <c r="G14" s="4" t="n">
        <f aca="false">Assumptions!G33</f>
        <v>52.6</v>
      </c>
      <c r="H14" s="4" t="n">
        <f aca="false">Assumptions!H33</f>
        <v>52.6</v>
      </c>
      <c r="I14" s="4" t="n">
        <f aca="false">Assumptions!I33</f>
        <v>52.6</v>
      </c>
      <c r="J14" s="4" t="n">
        <f aca="false">Assumptions!J33</f>
        <v>52.6</v>
      </c>
      <c r="K14" s="4" t="n">
        <f aca="false">Assumptions!K33</f>
        <v>52.6</v>
      </c>
      <c r="L14" s="4" t="n">
        <f aca="false">Assumptions!L33</f>
        <v>52.6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594.964379394</v>
      </c>
      <c r="D15" s="0" t="n">
        <f aca="false">D13-MAX(0,D13)*D14/100</f>
        <v>593.236875105429</v>
      </c>
      <c r="E15" s="0" t="n">
        <f aca="false">E13-MAX(0,E13)*E14/100</f>
        <v>661.759751218928</v>
      </c>
      <c r="F15" s="0" t="n">
        <f aca="false">F13-MAX(0,F13)*F14/100</f>
        <v>724.580644490103</v>
      </c>
      <c r="G15" s="0" t="n">
        <f aca="false">G13-MAX(0,G13)*G14/100</f>
        <v>779.389700498463</v>
      </c>
      <c r="H15" s="0" t="n">
        <f aca="false">H13-MAX(0,H13)*H14/100</f>
        <v>732.314562588356</v>
      </c>
      <c r="I15" s="0" t="n">
        <f aca="false">I13-MAX(0,I13)*I14/100</f>
        <v>706.170932703952</v>
      </c>
      <c r="J15" s="0" t="n">
        <f aca="false">J13-MAX(0,J13)*J14/100</f>
        <v>693.106770448929</v>
      </c>
      <c r="K15" s="0" t="n">
        <f aca="false">K13-MAX(0,K13)*K14/100</f>
        <v>686.591566806709</v>
      </c>
      <c r="L15" s="0" t="n">
        <f aca="false">L13-MAX(0,L13)*L14/100</f>
        <v>680.068946922045</v>
      </c>
    </row>
    <row r="16" customFormat="false" ht="15" hidden="false" customHeight="false" outlineLevel="0" collapsed="false">
      <c r="A16" s="0" t="s">
        <v>122</v>
      </c>
      <c r="C16" s="0" t="n">
        <f aca="false">-C12</f>
        <v>133.815132</v>
      </c>
      <c r="D16" s="0" t="n">
        <f aca="false">-D12</f>
        <v>140.6084802012</v>
      </c>
      <c r="E16" s="0" t="n">
        <f aca="false">-E12</f>
        <v>141.33576544362</v>
      </c>
      <c r="F16" s="0" t="n">
        <f aca="false">-F12</f>
        <v>143.904992685266</v>
      </c>
      <c r="G16" s="0" t="n">
        <f aca="false">-G12</f>
        <v>144.488758221631</v>
      </c>
      <c r="H16" s="0" t="n">
        <f aca="false">-H12</f>
        <v>135.761637225044</v>
      </c>
      <c r="I16" s="0" t="n">
        <f aca="false">-I12</f>
        <v>130.91494677611</v>
      </c>
      <c r="J16" s="0" t="n">
        <f aca="false">-J12</f>
        <v>128.493020260752</v>
      </c>
      <c r="K16" s="0" t="n">
        <f aca="false">-K12</f>
        <v>127.285185870301</v>
      </c>
      <c r="L16" s="0" t="n">
        <f aca="false">-L12</f>
        <v>126.075976604533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-256.479003</v>
      </c>
      <c r="D17" s="4" t="n">
        <f aca="false">-D6*Assumptions!D32/100</f>
        <v>-206.064152019</v>
      </c>
      <c r="E17" s="4" t="n">
        <f aca="false">-E6*Assumptions!E32/100</f>
        <v>-174.742400912112</v>
      </c>
      <c r="F17" s="4" t="n">
        <f aca="false">-F6*Assumptions!F32/100</f>
        <v>-162.911312473886</v>
      </c>
      <c r="G17" s="4" t="n">
        <f aca="false">-G6*Assumptions!G32/100</f>
        <v>-167.606959537092</v>
      </c>
      <c r="H17" s="4" t="n">
        <f aca="false">-H6*Assumptions!H32/100</f>
        <v>-154.768266436551</v>
      </c>
      <c r="I17" s="4" t="n">
        <f aca="false">-I6*Assumptions!I32/100</f>
        <v>-149.243039324766</v>
      </c>
      <c r="J17" s="4" t="n">
        <f aca="false">-J6*Assumptions!J32/100</f>
        <v>-146.482043097257</v>
      </c>
      <c r="K17" s="4" t="n">
        <f aca="false">-K6*Assumptions!K32/100</f>
        <v>-145.105111892143</v>
      </c>
      <c r="L17" s="4" t="n">
        <f aca="false">-L6*Assumptions!L32/100</f>
        <v>-143.726613329168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-34.36261</v>
      </c>
      <c r="D18" s="4" t="n">
        <f aca="false">(D6-C6)*Assumptions!$B$37/100</f>
        <v>-9.70159707</v>
      </c>
      <c r="E18" s="4" t="n">
        <f aca="false">(E6-D6)*Assumptions!$B$37/100</f>
        <v>-7.27285242420001</v>
      </c>
      <c r="F18" s="4" t="n">
        <f aca="false">(F6-E6)*Assumptions!$B$37/100</f>
        <v>-7.27236756737173</v>
      </c>
      <c r="G18" s="4" t="n">
        <f aca="false">(G6-F6)*Assumptions!$B$37/100</f>
        <v>-8.72933116005907</v>
      </c>
      <c r="H18" s="4" t="n">
        <f aca="false">(H6-G6)*Assumptions!$B$37/100</f>
        <v>8.7271209965865</v>
      </c>
      <c r="I18" s="4" t="n">
        <f aca="false">(I6-H6)*Assumptions!$B$37/100</f>
        <v>4.84669044893408</v>
      </c>
      <c r="J18" s="4" t="n">
        <f aca="false">(J6-I6)*Assumptions!$B$37/100</f>
        <v>2.42192651535804</v>
      </c>
      <c r="K18" s="4" t="n">
        <f aca="false">(K6-J6)*Assumptions!$B$37/100</f>
        <v>1.20783439045106</v>
      </c>
      <c r="L18" s="4" t="n">
        <f aca="false">(L6-K6)*Assumptions!$B$37/100</f>
        <v>1.20920926576785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437.937898394</v>
      </c>
      <c r="D19" s="0" t="n">
        <f aca="false">D15+D16+D17+D18</f>
        <v>518.079606217628</v>
      </c>
      <c r="E19" s="0" t="n">
        <f aca="false">E15+E16+E17+E18</f>
        <v>621.080263326236</v>
      </c>
      <c r="F19" s="0" t="n">
        <f aca="false">F15+F16+F17+F18</f>
        <v>698.301957134112</v>
      </c>
      <c r="G19" s="0" t="n">
        <f aca="false">G15+G16+G17+G18</f>
        <v>747.542168022943</v>
      </c>
      <c r="H19" s="0" t="n">
        <f aca="false">H15+H16+H17+H18</f>
        <v>722.035054373436</v>
      </c>
      <c r="I19" s="0" t="n">
        <f aca="false">I15+I16+I17+I18</f>
        <v>692.68953060423</v>
      </c>
      <c r="J19" s="0" t="n">
        <f aca="false">J15+J16+J17+J18</f>
        <v>677.539674127781</v>
      </c>
      <c r="K19" s="0" t="n">
        <f aca="false">K15+K16+K17+K18</f>
        <v>669.979475175318</v>
      </c>
      <c r="L19" s="0" t="n">
        <f aca="false">L15+L16+L17+L18</f>
        <v>663.627519463178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0.881057268722467</v>
      </c>
      <c r="D20" s="0" t="n">
        <f aca="false">1/(1+$B$27/100)^D4</f>
        <v>0.776261910768693</v>
      </c>
      <c r="E20" s="0" t="n">
        <f aca="false">1/(1+$B$27/100)^E4</f>
        <v>0.683931198915148</v>
      </c>
      <c r="F20" s="0" t="n">
        <f aca="false">1/(1+$B$27/100)^F4</f>
        <v>0.602582554110263</v>
      </c>
      <c r="G20" s="0" t="n">
        <f aca="false">1/(1+$B$27/100)^G4</f>
        <v>0.530909739304196</v>
      </c>
      <c r="H20" s="0" t="n">
        <f aca="false">1/(1+$B$27/100)^H4</f>
        <v>0.467761884849512</v>
      </c>
      <c r="I20" s="0" t="n">
        <f aca="false">1/(1+$B$27/100)^I4</f>
        <v>0.412125008677984</v>
      </c>
      <c r="J20" s="0" t="n">
        <f aca="false">1/(1+$B$27/100)^J4</f>
        <v>0.363105734518048</v>
      </c>
      <c r="K20" s="0" t="n">
        <f aca="false">1/(1+$B$27/100)^K4</f>
        <v>0.319916946711936</v>
      </c>
      <c r="L20" s="0" t="n">
        <f aca="false">1/(1+$B$27/100)^L4</f>
        <v>0.28186515128805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385.848368629075</v>
      </c>
      <c r="D21" s="0" t="n">
        <f aca="false">D19*D20</f>
        <v>402.165465052788</v>
      </c>
      <c r="E21" s="0" t="n">
        <f aca="false">E19*E20</f>
        <v>424.776169119248</v>
      </c>
      <c r="F21" s="0" t="n">
        <f aca="false">F19*F20</f>
        <v>420.784576870068</v>
      </c>
      <c r="G21" s="0" t="n">
        <f aca="false">G19*G20</f>
        <v>396.877417543954</v>
      </c>
      <c r="H21" s="0" t="n">
        <f aca="false">H19*H20</f>
        <v>337.740477961139</v>
      </c>
      <c r="I21" s="0" t="n">
        <f aca="false">I19*I20</f>
        <v>285.474678811417</v>
      </c>
      <c r="J21" s="0" t="n">
        <f aca="false">J19*J20</f>
        <v>246.018541039287</v>
      </c>
      <c r="K21" s="0" t="n">
        <f aca="false">K19*K20</f>
        <v>214.337788057753</v>
      </c>
      <c r="L21" s="0" t="n">
        <f aca="false">L19*L20</f>
        <v>187.053471172402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13.5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3301.07695425713</v>
      </c>
    </row>
    <row r="31" customFormat="false" ht="15" hidden="false" customHeight="false" outlineLevel="0" collapsed="false">
      <c r="A31" s="0" t="s">
        <v>131</v>
      </c>
      <c r="B31" s="0" t="n">
        <f aca="false">L19</f>
        <v>663.627519463178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5886.08756393428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6636.27519463178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5886.08756393428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1659.08296170304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4960.15991596018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5425.25991596018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4.71654686715465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0.332357872077585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54.3285708109629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25.2154105765662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4.78569985190118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5206.92361424955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4.21865838070277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73.84</v>
      </c>
      <c r="D5" s="4" t="n">
        <f aca="false">Assumptions!D41</f>
        <v>8.33</v>
      </c>
      <c r="E5" s="4" t="n">
        <f aca="false">Assumptions!E41</f>
        <v>6.73</v>
      </c>
      <c r="F5" s="4" t="n">
        <f aca="false">Assumptions!F41</f>
        <v>4.5</v>
      </c>
      <c r="G5" s="4" t="n">
        <f aca="false">Assumptions!G41</f>
        <v>6.9</v>
      </c>
      <c r="H5" s="4" t="n">
        <f aca="false">Assumptions!H41</f>
        <v>-3.23</v>
      </c>
      <c r="I5" s="4" t="n">
        <f aca="false">Assumptions!I41</f>
        <v>-3.33</v>
      </c>
      <c r="J5" s="4" t="n">
        <f aca="false">Assumptions!J41</f>
        <v>-2.59</v>
      </c>
      <c r="K5" s="4" t="n">
        <f aca="false">Assumptions!K41</f>
        <v>-1.77</v>
      </c>
      <c r="L5" s="4" t="n">
        <f aca="false">Assumptions!L41</f>
        <v>-0.9</v>
      </c>
    </row>
    <row r="6" customFormat="false" ht="15" hidden="false" customHeight="false" outlineLevel="0" collapsed="false">
      <c r="A6" s="0" t="s">
        <v>37</v>
      </c>
      <c r="B6" s="3" t="n">
        <v>1543</v>
      </c>
      <c r="C6" s="0" t="n">
        <f aca="false">B6*(1+C5/100)</f>
        <v>2682.3512</v>
      </c>
      <c r="D6" s="0" t="n">
        <f aca="false">C6*(1+D5/100)</f>
        <v>2905.79105496</v>
      </c>
      <c r="E6" s="0" t="n">
        <f aca="false">D6*(1+E5/100)</f>
        <v>3101.35079295881</v>
      </c>
      <c r="F6" s="0" t="n">
        <f aca="false">E6*(1+F5/100)</f>
        <v>3240.91157864195</v>
      </c>
      <c r="G6" s="0" t="n">
        <f aca="false">F6*(1+G5/100)</f>
        <v>3464.53447756825</v>
      </c>
      <c r="H6" s="0" t="n">
        <f aca="false">G6*(1+H5/100)</f>
        <v>3352.63001394279</v>
      </c>
      <c r="I6" s="0" t="n">
        <f aca="false">H6*(1+I5/100)</f>
        <v>3240.9874344785</v>
      </c>
      <c r="J6" s="0" t="n">
        <f aca="false">I6*(1+J5/100)</f>
        <v>3157.04585992551</v>
      </c>
      <c r="K6" s="0" t="n">
        <f aca="false">J6*(1+K5/100)</f>
        <v>3101.16614820482</v>
      </c>
      <c r="L6" s="0" t="n">
        <f aca="false">K6*(1+L5/100)</f>
        <v>3073.25565287098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61</v>
      </c>
      <c r="D7" s="4" t="n">
        <f aca="false">Assumptions!D42</f>
        <v>63</v>
      </c>
      <c r="E7" s="4" t="n">
        <f aca="false">Assumptions!E42</f>
        <v>65</v>
      </c>
      <c r="F7" s="4" t="n">
        <f aca="false">Assumptions!F42</f>
        <v>66</v>
      </c>
      <c r="G7" s="4" t="n">
        <f aca="false">Assumptions!G42</f>
        <v>66.5</v>
      </c>
      <c r="H7" s="4" t="n">
        <f aca="false">Assumptions!H42</f>
        <v>66.5</v>
      </c>
      <c r="I7" s="4" t="n">
        <f aca="false">Assumptions!I42</f>
        <v>66.5</v>
      </c>
      <c r="J7" s="4" t="n">
        <f aca="false">Assumptions!J42</f>
        <v>66.5</v>
      </c>
      <c r="K7" s="4" t="n">
        <f aca="false">Assumptions!K42</f>
        <v>66.5</v>
      </c>
      <c r="L7" s="4" t="n">
        <f aca="false">Assumptions!L42</f>
        <v>66.5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1636.234232</v>
      </c>
      <c r="D8" s="0" t="n">
        <f aca="false">D6*D7/100</f>
        <v>1830.6483646248</v>
      </c>
      <c r="E8" s="0" t="n">
        <f aca="false">E6*E7/100</f>
        <v>2015.87801542322</v>
      </c>
      <c r="F8" s="0" t="n">
        <f aca="false">F6*F7/100</f>
        <v>2139.00164190369</v>
      </c>
      <c r="G8" s="0" t="n">
        <f aca="false">G6*G7/100</f>
        <v>2303.91542758288</v>
      </c>
      <c r="H8" s="0" t="n">
        <f aca="false">H6*H7/100</f>
        <v>2229.49895927196</v>
      </c>
      <c r="I8" s="0" t="n">
        <f aca="false">I6*I7/100</f>
        <v>2155.2566439282</v>
      </c>
      <c r="J8" s="0" t="n">
        <f aca="false">J6*J7/100</f>
        <v>2099.43549685046</v>
      </c>
      <c r="K8" s="0" t="n">
        <f aca="false">K6*K7/100</f>
        <v>2062.27548855621</v>
      </c>
      <c r="L8" s="0" t="n">
        <f aca="false">L6*L7/100</f>
        <v>2043.7150091592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-10.7294048</v>
      </c>
      <c r="D10" s="0" t="n">
        <f aca="false">-D6*D9/100</f>
        <v>-11.62316421984</v>
      </c>
      <c r="E10" s="0" t="n">
        <f aca="false">-E6*E9/100</f>
        <v>-12.4054031718352</v>
      </c>
      <c r="F10" s="0" t="n">
        <f aca="false">-F6*F9/100</f>
        <v>-12.9636463145678</v>
      </c>
      <c r="G10" s="0" t="n">
        <f aca="false">-G6*G9/100</f>
        <v>-13.858137910273</v>
      </c>
      <c r="H10" s="0" t="n">
        <f aca="false">-H6*H9/100</f>
        <v>-13.4105200557712</v>
      </c>
      <c r="I10" s="0" t="n">
        <f aca="false">-I6*I9/100</f>
        <v>-12.963949737914</v>
      </c>
      <c r="J10" s="0" t="n">
        <f aca="false">-J6*J9/100</f>
        <v>-12.628183439702</v>
      </c>
      <c r="K10" s="0" t="n">
        <f aca="false">-K6*K9/100</f>
        <v>-12.4046645928193</v>
      </c>
      <c r="L10" s="0" t="n">
        <f aca="false">-L6*L9/100</f>
        <v>-12.2930226114839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1625.5048272</v>
      </c>
      <c r="D11" s="0" t="n">
        <f aca="false">D8+D10+D24</f>
        <v>1819.02520040496</v>
      </c>
      <c r="E11" s="0" t="n">
        <f aca="false">E8+E10+E24</f>
        <v>2003.47261225139</v>
      </c>
      <c r="F11" s="0" t="n">
        <f aca="false">F8+F10+F24</f>
        <v>2126.03799558912</v>
      </c>
      <c r="G11" s="0" t="n">
        <f aca="false">G8+G10+G24</f>
        <v>2290.05728967261</v>
      </c>
      <c r="H11" s="0" t="n">
        <f aca="false">H8+H10+H24</f>
        <v>2216.08843921619</v>
      </c>
      <c r="I11" s="0" t="n">
        <f aca="false">I8+I10+I24</f>
        <v>2142.29269419029</v>
      </c>
      <c r="J11" s="0" t="n">
        <f aca="false">J8+J10+J24</f>
        <v>2086.80731341076</v>
      </c>
      <c r="K11" s="0" t="n">
        <f aca="false">K8+K10+K24</f>
        <v>2049.87082396339</v>
      </c>
      <c r="L11" s="0" t="n">
        <f aca="false">L8+L10+L24</f>
        <v>2031.42198654772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-155.5763696</v>
      </c>
      <c r="D12" s="4" t="n">
        <f aca="false">-D6*Assumptions!D45/100</f>
        <v>-159.8185080228</v>
      </c>
      <c r="E12" s="4" t="n">
        <f aca="false">-E6*Assumptions!E45/100</f>
        <v>-161.270241233858</v>
      </c>
      <c r="F12" s="4" t="n">
        <f aca="false">-F6*Assumptions!F45/100</f>
        <v>-162.045578932098</v>
      </c>
      <c r="G12" s="4" t="n">
        <f aca="false">-G6*Assumptions!G45/100</f>
        <v>-166.297654923276</v>
      </c>
      <c r="H12" s="4" t="n">
        <f aca="false">-H6*Assumptions!H45/100</f>
        <v>-160.926240669254</v>
      </c>
      <c r="I12" s="4" t="n">
        <f aca="false">-I6*Assumptions!I45/100</f>
        <v>-155.567396854968</v>
      </c>
      <c r="J12" s="4" t="n">
        <f aca="false">-J6*Assumptions!J45/100</f>
        <v>-151.538201276424</v>
      </c>
      <c r="K12" s="4" t="n">
        <f aca="false">-K6*Assumptions!K45/100</f>
        <v>-148.855975113832</v>
      </c>
      <c r="L12" s="4" t="n">
        <f aca="false">-L6*Assumptions!L45/100</f>
        <v>-147.516271337807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1469.9284576</v>
      </c>
      <c r="D13" s="0" t="n">
        <f aca="false">D11+D12</f>
        <v>1659.20669238216</v>
      </c>
      <c r="E13" s="0" t="n">
        <f aca="false">E11+E12</f>
        <v>1842.20237101753</v>
      </c>
      <c r="F13" s="0" t="n">
        <f aca="false">F11+F12</f>
        <v>1963.99241665702</v>
      </c>
      <c r="G13" s="0" t="n">
        <f aca="false">G11+G12</f>
        <v>2123.75963474934</v>
      </c>
      <c r="H13" s="0" t="n">
        <f aca="false">H11+H12</f>
        <v>2055.16219854693</v>
      </c>
      <c r="I13" s="0" t="n">
        <f aca="false">I11+I12</f>
        <v>1986.72529733532</v>
      </c>
      <c r="J13" s="0" t="n">
        <f aca="false">J11+J12</f>
        <v>1935.26911213434</v>
      </c>
      <c r="K13" s="0" t="n">
        <f aca="false">K11+K12</f>
        <v>1901.01484884956</v>
      </c>
      <c r="L13" s="0" t="n">
        <f aca="false">L11+L12</f>
        <v>1883.90571520991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45</v>
      </c>
      <c r="D14" s="4" t="n">
        <f aca="false">Assumptions!D47</f>
        <v>48</v>
      </c>
      <c r="E14" s="4" t="n">
        <f aca="false">Assumptions!E47</f>
        <v>48</v>
      </c>
      <c r="F14" s="4" t="n">
        <f aca="false">Assumptions!F47</f>
        <v>48</v>
      </c>
      <c r="G14" s="4" t="n">
        <f aca="false">Assumptions!G47</f>
        <v>48</v>
      </c>
      <c r="H14" s="4" t="n">
        <f aca="false">Assumptions!H47</f>
        <v>48</v>
      </c>
      <c r="I14" s="4" t="n">
        <f aca="false">Assumptions!I47</f>
        <v>48</v>
      </c>
      <c r="J14" s="4" t="n">
        <f aca="false">Assumptions!J47</f>
        <v>48</v>
      </c>
      <c r="K14" s="4" t="n">
        <f aca="false">Assumptions!K47</f>
        <v>48</v>
      </c>
      <c r="L14" s="4" t="n">
        <f aca="false">Assumptions!L47</f>
        <v>48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808.46065168</v>
      </c>
      <c r="D15" s="0" t="n">
        <f aca="false">D13-MAX(0,D13)*D14/100</f>
        <v>862.787480038723</v>
      </c>
      <c r="E15" s="0" t="n">
        <f aca="false">E13-MAX(0,E13)*E14/100</f>
        <v>957.945232929117</v>
      </c>
      <c r="F15" s="0" t="n">
        <f aca="false">F13-MAX(0,F13)*F14/100</f>
        <v>1021.27605666165</v>
      </c>
      <c r="G15" s="0" t="n">
        <f aca="false">G13-MAX(0,G13)*G14/100</f>
        <v>1104.35501006965</v>
      </c>
      <c r="H15" s="0" t="n">
        <f aca="false">H13-MAX(0,H13)*H14/100</f>
        <v>1068.6843432444</v>
      </c>
      <c r="I15" s="0" t="n">
        <f aca="false">I13-MAX(0,I13)*I14/100</f>
        <v>1033.09715461437</v>
      </c>
      <c r="J15" s="0" t="n">
        <f aca="false">J13-MAX(0,J13)*J14/100</f>
        <v>1006.33993830985</v>
      </c>
      <c r="K15" s="0" t="n">
        <f aca="false">K13-MAX(0,K13)*K14/100</f>
        <v>988.52772140177</v>
      </c>
      <c r="L15" s="0" t="n">
        <f aca="false">L13-MAX(0,L13)*L14/100</f>
        <v>979.630971909154</v>
      </c>
    </row>
    <row r="16" customFormat="false" ht="15" hidden="false" customHeight="false" outlineLevel="0" collapsed="false">
      <c r="A16" s="0" t="s">
        <v>122</v>
      </c>
      <c r="C16" s="0" t="n">
        <f aca="false">-C12</f>
        <v>155.5763696</v>
      </c>
      <c r="D16" s="0" t="n">
        <f aca="false">-D12</f>
        <v>159.8185080228</v>
      </c>
      <c r="E16" s="0" t="n">
        <f aca="false">-E12</f>
        <v>161.270241233858</v>
      </c>
      <c r="F16" s="0" t="n">
        <f aca="false">-F12</f>
        <v>162.045578932098</v>
      </c>
      <c r="G16" s="0" t="n">
        <f aca="false">-G12</f>
        <v>166.297654923276</v>
      </c>
      <c r="H16" s="0" t="n">
        <f aca="false">-H12</f>
        <v>160.926240669254</v>
      </c>
      <c r="I16" s="0" t="n">
        <f aca="false">-I12</f>
        <v>155.567396854968</v>
      </c>
      <c r="J16" s="0" t="n">
        <f aca="false">-J12</f>
        <v>151.538201276424</v>
      </c>
      <c r="K16" s="0" t="n">
        <f aca="false">-K12</f>
        <v>148.855975113832</v>
      </c>
      <c r="L16" s="0" t="n">
        <f aca="false">-L12</f>
        <v>147.516271337807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-281.646876</v>
      </c>
      <c r="D17" s="4" t="n">
        <f aca="false">-D6*Assumptions!D46/100</f>
        <v>-217.934329122</v>
      </c>
      <c r="E17" s="4" t="n">
        <f aca="false">-E6*Assumptions!E46/100</f>
        <v>-186.081047577528</v>
      </c>
      <c r="F17" s="4" t="n">
        <f aca="false">-F6*Assumptions!F46/100</f>
        <v>-171.768313668024</v>
      </c>
      <c r="G17" s="4" t="n">
        <f aca="false">-G6*Assumptions!G46/100</f>
        <v>-173.226723878412</v>
      </c>
      <c r="H17" s="4" t="n">
        <f aca="false">-H6*Assumptions!H46/100</f>
        <v>-167.63150069714</v>
      </c>
      <c r="I17" s="4" t="n">
        <f aca="false">-I6*Assumptions!I46/100</f>
        <v>-162.049371723925</v>
      </c>
      <c r="J17" s="4" t="n">
        <f aca="false">-J6*Assumptions!J46/100</f>
        <v>-157.852292996275</v>
      </c>
      <c r="K17" s="4" t="n">
        <f aca="false">-K6*Assumptions!K46/100</f>
        <v>-155.058307410241</v>
      </c>
      <c r="L17" s="4" t="n">
        <f aca="false">-L6*Assumptions!L46/100</f>
        <v>-153.662782643549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-34.180536</v>
      </c>
      <c r="D18" s="4" t="n">
        <f aca="false">(D6-C6)*Assumptions!$B$51/100</f>
        <v>-6.70319564879999</v>
      </c>
      <c r="E18" s="4" t="n">
        <f aca="false">(E6-D6)*Assumptions!$B$51/100</f>
        <v>-5.86679213996423</v>
      </c>
      <c r="F18" s="4" t="n">
        <f aca="false">(F6-E6)*Assumptions!$B$51/100</f>
        <v>-4.18682357049439</v>
      </c>
      <c r="G18" s="4" t="n">
        <f aca="false">(G6-F6)*Assumptions!$B$51/100</f>
        <v>-6.70868696778884</v>
      </c>
      <c r="H18" s="4" t="n">
        <f aca="false">(H6-G6)*Assumptions!$B$51/100</f>
        <v>3.35713390876363</v>
      </c>
      <c r="I18" s="4" t="n">
        <f aca="false">(I6-H6)*Assumptions!$B$51/100</f>
        <v>3.34927738392885</v>
      </c>
      <c r="J18" s="4" t="n">
        <f aca="false">(J6-I6)*Assumptions!$B$51/100</f>
        <v>2.5182472365898</v>
      </c>
      <c r="K18" s="4" t="n">
        <f aca="false">(K6-J6)*Assumptions!$B$51/100</f>
        <v>1.67639135162044</v>
      </c>
      <c r="L18" s="4" t="n">
        <f aca="false">(L6-K6)*Assumptions!$B$51/100</f>
        <v>0.837314860015299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648.20960928</v>
      </c>
      <c r="D19" s="0" t="n">
        <f aca="false">D15+D16+D17+D18</f>
        <v>797.968463290723</v>
      </c>
      <c r="E19" s="0" t="n">
        <f aca="false">E15+E16+E17+E18</f>
        <v>927.267634445482</v>
      </c>
      <c r="F19" s="0" t="n">
        <f aca="false">F15+F16+F17+F18</f>
        <v>1007.36649835523</v>
      </c>
      <c r="G19" s="0" t="n">
        <f aca="false">G15+G16+G17+G18</f>
        <v>1090.71725414673</v>
      </c>
      <c r="H19" s="0" t="n">
        <f aca="false">H15+H16+H17+H18</f>
        <v>1065.33621712528</v>
      </c>
      <c r="I19" s="0" t="n">
        <f aca="false">I15+I16+I17+I18</f>
        <v>1029.96445712934</v>
      </c>
      <c r="J19" s="0" t="n">
        <f aca="false">J15+J16+J17+J18</f>
        <v>1002.54409382659</v>
      </c>
      <c r="K19" s="0" t="n">
        <f aca="false">K15+K16+K17+K18</f>
        <v>984.00178045698</v>
      </c>
      <c r="L19" s="0" t="n">
        <f aca="false">L15+L16+L17+L18</f>
        <v>974.321775463427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578.758579714286</v>
      </c>
      <c r="D21" s="0" t="n">
        <f aca="false">D19*D20</f>
        <v>636.135573414161</v>
      </c>
      <c r="E21" s="0" t="n">
        <f aca="false">E19*E20</f>
        <v>660.01078663496</v>
      </c>
      <c r="F21" s="0" t="n">
        <f aca="false">F19*F20</f>
        <v>640.19962128412</v>
      </c>
      <c r="G21" s="0" t="n">
        <f aca="false">G19*G20</f>
        <v>618.902261998503</v>
      </c>
      <c r="H21" s="0" t="n">
        <f aca="false">H19*H20</f>
        <v>539.732482112988</v>
      </c>
      <c r="I21" s="0" t="n">
        <f aca="false">I19*I20</f>
        <v>465.903614007346</v>
      </c>
      <c r="J21" s="0" t="n">
        <f aca="false">J19*J20</f>
        <v>404.910744806336</v>
      </c>
      <c r="K21" s="0" t="n">
        <f aca="false">K19*K20</f>
        <v>354.84090663251</v>
      </c>
      <c r="L21" s="0" t="n">
        <f aca="false">L19*L20</f>
        <v>313.705535526753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5213.10010613196</v>
      </c>
    </row>
    <row r="31" customFormat="false" ht="15" hidden="false" customHeight="false" outlineLevel="0" collapsed="false">
      <c r="A31" s="0" t="s">
        <v>131</v>
      </c>
      <c r="B31" s="0" t="n">
        <f aca="false">L19</f>
        <v>974.321775463427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10512.4191563159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11691.8613055611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10512.4191563159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3384.71762015707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8597.81772628903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9062.91772628903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7.87900983019422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1.22570899158029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69.9677747080692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42.7049987857331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7.9769639236511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7989.4385588001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6.1125308264519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1.7023915635928</v>
      </c>
      <c r="C4" s="0" t="n">
        <f aca="false">B4/Assumptions!$B$2-1</f>
        <v>-0.519098428363616</v>
      </c>
      <c r="D4" s="4" t="n">
        <f aca="false">Assumptions!$B$24</f>
        <v>0.3</v>
      </c>
      <c r="E4" s="4" t="n">
        <f aca="false">DCF_Bear!$B$43</f>
        <v>1.73858498436104</v>
      </c>
      <c r="F4" s="4" t="n">
        <f aca="false">DCF_Bear!$B$47</f>
        <v>1.74610627260344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4.71654686715465</v>
      </c>
      <c r="C5" s="0" t="n">
        <f aca="false">B5/Assumptions!$B$2-1</f>
        <v>0.332357872077585</v>
      </c>
      <c r="D5" s="4" t="n">
        <f aca="false">Assumptions!$B$38</f>
        <v>0.45</v>
      </c>
      <c r="E5" s="4" t="n">
        <f aca="false">DCF_Base!$B$43</f>
        <v>4.78569985190118</v>
      </c>
      <c r="F5" s="4" t="n">
        <f aca="false">DCF_Base!$B$47</f>
        <v>4.21865838070277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7.87900983019422</v>
      </c>
      <c r="C6" s="0" t="n">
        <f aca="false">B6/Assumptions!$B$2-1</f>
        <v>1.22570899158029</v>
      </c>
      <c r="D6" s="4" t="n">
        <f aca="false">Assumptions!$B$52</f>
        <v>0.25</v>
      </c>
      <c r="E6" s="4" t="n">
        <f aca="false">DCF_Bull!$B$43</f>
        <v>7.9769639236511</v>
      </c>
      <c r="F6" s="4" t="n">
        <f aca="false">DCF_Bull!$B$47</f>
        <v>6.1125308264519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4.60291601684599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4.66938140957662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0.230922313801919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-1599.2021910617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3.95036085971025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6.35037522392014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5.97847211102037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5.6373038993691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5.32394133057393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4.71654686715465</v>
      </c>
      <c r="C19" s="3" t="n">
        <v>13.5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4.21865838070277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11.5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5.40331437684773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5.47731749348983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5.47731749348983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5.47731749348983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5.47731749348983</v>
      </c>
    </row>
    <row r="25" customFormat="false" ht="15" hidden="false" customHeight="false" outlineLevel="0" collapsed="false">
      <c r="A25" s="3" t="n">
        <v>12.5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4.96056890792124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5.03957030450767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5.12609564362614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5.17685717590897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5.17685717590897</v>
      </c>
    </row>
    <row r="26" customFormat="false" ht="15" hidden="false" customHeight="false" outlineLevel="0" collapsed="false">
      <c r="A26" s="3" t="n">
        <v>13.5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4.58814912557249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4.64967304341394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4.71654686715465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4.78950012941724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4.86940132141913</v>
      </c>
    </row>
    <row r="27" customFormat="false" ht="15" hidden="false" customHeight="false" outlineLevel="0" collapsed="false">
      <c r="A27" s="3" t="n">
        <v>14.5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4.27049088230441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4.31908363429231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4.37156380643925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4.4284173262651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4.49021463042363</v>
      </c>
    </row>
    <row r="28" customFormat="false" ht="15" hidden="false" customHeight="false" outlineLevel="0" collapsed="false">
      <c r="A28" s="3" t="n">
        <v>15.5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3.9963174976588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4.03516508934719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4.07689028041991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4.12182510157514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4.17035470842279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2026-09-25T06:04:11Z</dcterms:created>
  <dc:creator>openpyxl</dc:creator>
  <dc:description/>
  <dc:language>en-NZ</dc:language>
  <cp:lastModifiedBy/>
  <dcterms:modified xsi:type="dcterms:W3CDTF">2026-09-25T06:04:11Z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