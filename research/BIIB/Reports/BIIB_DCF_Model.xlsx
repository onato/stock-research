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<sst xmlns="http://schemas.openxmlformats.org/spreadsheetml/2006/main" count="390" uniqueCount="175">
  <si>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</si>
  <si>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BIIB</t>
  </si>
  <si>
    <t xml:space="preserve">Company</t>
  </si>
  <si>
    <t xml:space="preserve">Biogen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</si>
  <si>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</si>
  <si>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</si>
  <si>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</si>
  <si>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</si>
  <si>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API); 52-week range 135.39-229.19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</si>
  <si>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</si>
  <si>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</si>
  <si>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</si>
  <si>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</si>
  <si>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</si>
  <si>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</si>
  <si>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</si>
  <si>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</si>
  <si>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</si>
  <si>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</si>
  <si>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</si>
  <si>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</si>
  <si>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2026-09-25T23:27:29Z</t>
  </si>
  <si>
    <t xml:space="preserve">Drivers file</t>
  </si>
  <si>
    <t xml:space="preserve">BIIB_Drivers.json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</si>
  <si>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</si>
  <si>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</si>
  <si>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</si>
  <si>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Biogen is valued as a mid-cycle owner-FCF DCF: FY2026 reported financials are a genuine trough (Apellis acquisition integration/IPR&amp;D charges, purchase-accounting intangible amortization, and legacy-MS patent-cliff erosion still running), not a representative steady state, so margins are built up from components to a normalized mature level over a 10-year horizon rather than extrapolated from the depressed current year. The balance sheet flipped from net cash to ~$6.8B net debt when the ~$5.6B Apellis deal was funded mostly in cash plus new borrowings in May 2026, so interest income is no longer stripped from FCF. The investment case is a race between a shrinking, capital-light legacy MS/biosimilar base and a faster-growing but partly acquired and partly still-unproven Growth Portfolio (LEQEMBI, SKYCLARYS, EMPAVELI, SYFOVRE) layered with genuinely binary near-term pipeline readouts -- which is why the bear weight is raised above the house default and the terminal multiple is capped well below a typical tech comparable.
key_risks_to_valuation: Five Phase 3 pipeline readouts (litifilimab, felzartamab, dapirolizumab pegol, zorevunersen) over the next four quarters are binary and could each remove a pillar of the growth story; LEQEMBI's commercial ramp continues to trail Eli Lilly's more-conveniently-dosed KISUNLA, capping the addressable share of the Alzheimer's market; Apellis accretion is guided for 2027 but integration risk (retaining key talent, realizing synergies) could push that out, prolonging the current margin trough; Legacy MS franchise (TECFIDERA, VUMERITY, SPINRAZA) faces structurally more convenient/differentiated competitors (Evrysdi, Zolgensma, Kesimpta) and its near-term resilience (SPINRAZA high-dose conversion) may not persist; Elevated leverage post-Apellis (~$8.1B total debt) increases interest-rate and refinancing sensitivity versus Biogen's historically low-leverage profile; Drug-pricing policy (IRA Medicare negotiation exposure) and international HTA/reimbursement negotiations for new launches are an ongoing regulatory overhang</t>
  </si>
  <si>
    <t xml:space="preserve">Data sources</t>
  </si>
  <si>
    <t xml:space="preserve">price: Yahoo Finance chart API at inputs.price_as_of; 52-week range 135.39-229.19
financials: SEC XBRL via scripts/build_facts_xbrl.py through Q1 2026 (BIIB_Metrics.csv); Q2 2026 10-Q (filed 2026-07-29, accession 0000875045-26-000075, period 2026-06-30) read directly from EDGAR for the post-Apellis balance sheet, H1 2026 cash flow statement and income statement, and diluted share count -- the CSV/DB had not yet been extended past Q1 2026
qualitative: research/BIIB/Reports/BIIB_Analysis.json (2026-09-26): business model, growth drivers, bull/bear case, FY2026 guidance</t>
  </si>
  <si>
    <t xml:space="preserve">Scenario narrative: bear</t>
  </si>
  <si>
    <t xml:space="preserve">Legacy erosion outruns the Growth Portfolio, KISUNLA takes the lion's share of Alzheimer's, every near-term pipeline readout disappoints, and Apellis integration drags -- revenue stagnates/shrinks and margin never escapes the high-teens trough.</t>
  </si>
  <si>
    <t xml:space="preserve">Scenario narrative: base</t>
  </si>
  <si>
    <t xml:space="preserve">Growth Portfolio (LEQEMBI, SKYCLARYS, EMPAVELI/SYFOVRE) keeps growing faster than legacy MS/biosimilars decline, delivering the guided mid-single-digit consolidated growth; margin recovers from the FY2026 Apellis-integration trough toward a mature ~32% as deal costs fade; pipeline readouts land at a normal biotech hit rate.</t>
  </si>
  <si>
    <t xml:space="preserve">Scenario narrative: bull</t>
  </si>
  <si>
    <t xml:space="preserve">LEQEMBI IQLIK and the Apellis complement franchise both scale faster than expected, several Phase 3 readouts succeed, and integration costs fade ahead of schedule -- margin matures near 37% on a faster-growing revenue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</si>
  <si>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</si>
  <si>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</si>
  <si>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</si>
  <si>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</si>
  <si>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</si>
  <si>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</si>
  <si>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</si>
  <si>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</si>
  <si>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</si>
  <si>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</si>
  <si>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</si>
  <si>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</si>
  <si>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</si>
  <si>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</si>
  <si>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</si>
  <si>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</si>
  <si>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</si>
  <si>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</si>
  <si>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</si>
  <si>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</si>
  <si>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</si>
  <si>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</si>
  <si>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</si>
  <si>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</si>
  <si>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</si>
  <si>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</si>
  <si>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</si>
  <si>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</si>
  <si>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</si>
  <si>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</si>
  <si>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</si>
  <si>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</si>
  <si>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</si>
  <si>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</si>
  <si>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</si>
  <si>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</si>
  <si>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</si>
  <si>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</si>
  <si>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</si>
  <si>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</si>
  <si>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</si>
  <si>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</si>
  <si>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</si>
  <si>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</si>
  <si>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</si>
  <si>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</si>
  <si>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</si>
  <si>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</si>
  <si>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</si>
  <si>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</si>
  <si>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</si>
  <si>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</si>
  <si>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</si>
  <si>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</si>
  <si>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</si>
  <si>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</si>
  <si>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</si>
  <si>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</si>
  <si>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</si>
  <si>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</si>
  <si>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</si>
  <si>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</si>
  <si>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</si>
  <si>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</si>
  <si>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</si>
  <si>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</si>
  <si>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</si>
  <si>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</si>
  <si>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</si>
  <si>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</si>
  <si>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</si>
  <si>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</si>
  <si>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</si>
  <si>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</si>
  <si>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</si>
  <si>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</si>
  <si>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</si>
  <si>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</si>
  <si>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</si>
  <si>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</si>
  <si>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</si>
  <si>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</si>
  <si>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</si>
  <si>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</si>
  <si>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BIIB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</si>
  <si>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</si>
  <si>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</si>
  <si>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</si>
  <si>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</si>
  <si>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</si>
  <si>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</si>
  <si>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</si>
  <si>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</si>
  <si>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</si>
  <si>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</si>
  <si>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</si>
  <si>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</si>
  <si>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</si>
  <si>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</si>
  <si>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</si>
  <si>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</si>
  <si>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</si>
  <si>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</si>
  <si>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</si>
  <si>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</si>
  <si>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</si>
  <si>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</si>
  <si>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</si>
  <si>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</si>
  <si>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</si>
  <si>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</si>
  <si>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</si>
  <si>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</si>
  <si>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</si>
  <si>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</si>
  <si>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BIIB owner-FCF component DCF: base case (millions, USD)</t>
  </si>
  <si>
    <t xml:space="preserve">BIIB owner-FCF component DCF: bull case (millions, USD)</t>
  </si>
  <si>
    <t xml:space="preserve">BIIB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</si>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</sst>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227.6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7159.617</v>
      </c>
      <c r="S2" s="0" t="n">
        <v>661.377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3171.617</v>
      </c>
      <c r="C3" s="0" t="n">
        <v>335.192</v>
      </c>
      <c r="F3" s="0" t="n">
        <v>779.772</v>
      </c>
      <c r="G3" s="0" t="n">
        <v>24.5859446459015</v>
      </c>
      <c r="H3" s="0" t="n">
        <v>1160.065</v>
      </c>
      <c r="I3" s="0" t="n">
        <v>638.172</v>
      </c>
      <c r="J3" s="0" t="n">
        <v>20.1213450426076</v>
      </c>
      <c r="K3" s="0" t="n">
        <v>2.02</v>
      </c>
      <c r="L3" s="0" t="n">
        <v>1018.754</v>
      </c>
      <c r="M3" s="0" t="n">
        <v>284.106</v>
      </c>
      <c r="N3" s="0" t="n">
        <v>734.648</v>
      </c>
      <c r="O3" s="0" t="n">
        <v>5554.023</v>
      </c>
      <c r="S3" s="0" t="n">
        <v>659.662</v>
      </c>
      <c r="T3" s="0" t="n">
        <v>320.171</v>
      </c>
      <c r="U3" s="0" t="n">
        <v>128.101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4097.507</v>
      </c>
      <c r="C4" s="0" t="n">
        <v>401.989</v>
      </c>
      <c r="F4" s="0" t="n">
        <v>1213.611</v>
      </c>
      <c r="G4" s="0" t="n">
        <v>29.6182776502883</v>
      </c>
      <c r="H4" s="0" t="n">
        <v>1675.67</v>
      </c>
      <c r="I4" s="0" t="n">
        <v>790.107</v>
      </c>
      <c r="J4" s="0" t="n">
        <v>19.2826272169883</v>
      </c>
      <c r="K4" s="0" t="n">
        <v>2.67</v>
      </c>
      <c r="L4" s="0" t="n">
        <v>1562.445</v>
      </c>
      <c r="M4" s="0" t="n">
        <v>275.954</v>
      </c>
      <c r="N4" s="0" t="n">
        <v>1286.491</v>
      </c>
      <c r="O4" s="0" t="n">
        <v>5833.952</v>
      </c>
      <c r="P4" s="0" t="n">
        <v>8478.991</v>
      </c>
      <c r="Q4" s="0" t="n">
        <v>2645.039</v>
      </c>
      <c r="S4" s="0" t="n">
        <v>622.385</v>
      </c>
      <c r="T4" s="0" t="n">
        <v>294.984</v>
      </c>
      <c r="U4" s="0" t="n">
        <v>153.748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4377.348</v>
      </c>
      <c r="C5" s="0" t="n">
        <v>382.104</v>
      </c>
      <c r="D5" s="0" t="n">
        <v>3995.2</v>
      </c>
      <c r="E5" s="0" t="n">
        <v>91.2698739053875</v>
      </c>
      <c r="F5" s="0" t="n">
        <v>1295.427</v>
      </c>
      <c r="G5" s="0" t="n">
        <v>29.5938773887751</v>
      </c>
      <c r="H5" s="0" t="n">
        <v>1723.388</v>
      </c>
      <c r="I5" s="0" t="n">
        <v>977.062</v>
      </c>
      <c r="J5" s="0" t="n">
        <v>22.3208664241454</v>
      </c>
      <c r="K5" s="0" t="n">
        <v>3.37</v>
      </c>
      <c r="L5" s="0" t="n">
        <v>1074.898</v>
      </c>
      <c r="M5" s="0" t="n">
        <v>165.646</v>
      </c>
      <c r="N5" s="0" t="n">
        <v>909.252</v>
      </c>
      <c r="O5" s="0" t="n">
        <v>6261.882</v>
      </c>
      <c r="P5" s="0" t="n">
        <v>8551.854</v>
      </c>
      <c r="Q5" s="0" t="n">
        <v>2289.972</v>
      </c>
      <c r="S5" s="0" t="n">
        <v>581.889</v>
      </c>
      <c r="T5" s="0" t="n">
        <v>289.476</v>
      </c>
      <c r="U5" s="0" t="n">
        <v>167.207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4716.423</v>
      </c>
      <c r="C6" s="0" t="n">
        <v>400.262</v>
      </c>
      <c r="D6" s="0" t="n">
        <v>4316.2</v>
      </c>
      <c r="E6" s="0" t="n">
        <v>91.5142683342864</v>
      </c>
      <c r="F6" s="0" t="n">
        <v>1248.889</v>
      </c>
      <c r="G6" s="0" t="n">
        <v>26.4795799698204</v>
      </c>
      <c r="H6" s="0" t="n">
        <v>1604.633</v>
      </c>
      <c r="I6" s="0" t="n">
        <v>1005.273</v>
      </c>
      <c r="J6" s="0" t="n">
        <v>21.3143095943685</v>
      </c>
      <c r="K6" s="0" t="n">
        <v>3.98</v>
      </c>
      <c r="L6" s="0" t="n">
        <v>1624.673</v>
      </c>
      <c r="M6" s="0" t="n">
        <v>173.055</v>
      </c>
      <c r="N6" s="0" t="n">
        <v>1451.618</v>
      </c>
      <c r="O6" s="0" t="n">
        <v>5449.443</v>
      </c>
      <c r="P6" s="0" t="n">
        <v>8092.493</v>
      </c>
      <c r="Q6" s="0" t="n">
        <v>2643.05</v>
      </c>
      <c r="R6" s="0" t="n">
        <v>1035.2</v>
      </c>
      <c r="S6" s="0" t="n">
        <v>759.598</v>
      </c>
      <c r="T6" s="0" t="n">
        <v>254.867</v>
      </c>
      <c r="U6" s="0" t="n">
        <v>171.435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5048.634</v>
      </c>
      <c r="C7" s="0" t="n">
        <v>466.78</v>
      </c>
      <c r="D7" s="0" t="n">
        <v>4581.9</v>
      </c>
      <c r="E7" s="0" t="n">
        <v>90.755241912961</v>
      </c>
      <c r="F7" s="0" t="n">
        <v>1724.691</v>
      </c>
      <c r="G7" s="0" t="n">
        <v>34.1615375564955</v>
      </c>
      <c r="H7" s="0" t="n">
        <v>2083.624</v>
      </c>
      <c r="I7" s="0" t="n">
        <v>1266.686</v>
      </c>
      <c r="J7" s="0" t="n">
        <v>25.0896777227266</v>
      </c>
      <c r="K7" s="0" t="n">
        <v>5.09</v>
      </c>
      <c r="L7" s="0" t="n">
        <v>1727.741</v>
      </c>
      <c r="M7" s="0" t="n">
        <v>208.02</v>
      </c>
      <c r="N7" s="0" t="n">
        <v>1519.721</v>
      </c>
      <c r="O7" s="0" t="n">
        <v>6426.987</v>
      </c>
      <c r="P7" s="0" t="n">
        <v>9049.604</v>
      </c>
      <c r="Q7" s="0" t="n">
        <v>2622.617</v>
      </c>
      <c r="R7" s="0" t="n">
        <v>1023.7</v>
      </c>
      <c r="S7" s="0" t="n">
        <v>514.542</v>
      </c>
      <c r="T7" s="0" t="n">
        <v>245.033</v>
      </c>
      <c r="U7" s="0" t="n">
        <v>117.347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5516.461</v>
      </c>
      <c r="C8" s="0" t="n">
        <v>545.494</v>
      </c>
      <c r="D8" s="0" t="n">
        <v>4971</v>
      </c>
      <c r="E8" s="0" t="n">
        <v>90.1121207962859</v>
      </c>
      <c r="F8" s="0" t="n">
        <v>1855.849</v>
      </c>
      <c r="G8" s="0" t="n">
        <v>33.6420215786897</v>
      </c>
      <c r="H8" s="0" t="n">
        <v>2221.497</v>
      </c>
      <c r="I8" s="0" t="n">
        <v>1380.033</v>
      </c>
      <c r="J8" s="0" t="n">
        <v>25.0166365718891</v>
      </c>
      <c r="K8" s="0" t="n">
        <v>5.8</v>
      </c>
      <c r="L8" s="0" t="n">
        <v>1879.897</v>
      </c>
      <c r="M8" s="0" t="n">
        <v>254.548</v>
      </c>
      <c r="N8" s="0" t="n">
        <v>1625.349</v>
      </c>
      <c r="O8" s="0" t="n">
        <v>6963.8</v>
      </c>
      <c r="P8" s="0" t="n">
        <v>10130.118</v>
      </c>
      <c r="Q8" s="0" t="n">
        <v>3166.323</v>
      </c>
      <c r="R8" s="0" t="n">
        <v>1140.775</v>
      </c>
      <c r="S8" s="0" t="n">
        <v>570.7</v>
      </c>
      <c r="T8" s="0" t="n">
        <v>239.74</v>
      </c>
      <c r="U8" s="0" t="n">
        <v>123.956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6932.2</v>
      </c>
      <c r="D9" s="0" t="n">
        <v>6074.5</v>
      </c>
      <c r="E9" s="0" t="n">
        <v>87.6273044632296</v>
      </c>
      <c r="F9" s="0" t="n">
        <v>2515.5</v>
      </c>
      <c r="G9" s="0" t="n">
        <v>36.287181558524</v>
      </c>
      <c r="H9" s="0" t="n">
        <v>3047.2</v>
      </c>
      <c r="I9" s="0" t="n">
        <v>1862.3</v>
      </c>
      <c r="J9" s="0" t="n">
        <v>26.8644874642971</v>
      </c>
      <c r="K9" s="0" t="n">
        <v>7.86</v>
      </c>
      <c r="L9" s="0" t="n">
        <v>2345.1</v>
      </c>
      <c r="M9" s="0" t="n">
        <v>246.3</v>
      </c>
      <c r="N9" s="0" t="n">
        <v>2098.8</v>
      </c>
      <c r="O9" s="0" t="n">
        <v>8620.8</v>
      </c>
      <c r="P9" s="0" t="n">
        <v>11863.335</v>
      </c>
      <c r="Q9" s="0" t="n">
        <v>3242.497</v>
      </c>
      <c r="R9" s="0" t="n">
        <v>595.927</v>
      </c>
      <c r="S9" s="0" t="n">
        <v>602.6</v>
      </c>
      <c r="T9" s="0" t="n">
        <v>238.3</v>
      </c>
      <c r="U9" s="0" t="n">
        <v>146.2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9703.3</v>
      </c>
      <c r="D10" s="0" t="n">
        <v>8532.3</v>
      </c>
      <c r="E10" s="0" t="n">
        <v>87.9319406799749</v>
      </c>
      <c r="F10" s="0" t="n">
        <v>3972.4</v>
      </c>
      <c r="G10" s="0" t="n">
        <v>40.9386497377181</v>
      </c>
      <c r="H10" s="0" t="n">
        <v>4660.5</v>
      </c>
      <c r="I10" s="0" t="n">
        <v>2941.6</v>
      </c>
      <c r="J10" s="0" t="n">
        <v>30.3154596889718</v>
      </c>
      <c r="K10" s="0" t="n">
        <v>12.42</v>
      </c>
      <c r="L10" s="0" t="n">
        <v>2942.1</v>
      </c>
      <c r="M10" s="0" t="n">
        <v>287.8</v>
      </c>
      <c r="N10" s="0" t="n">
        <v>2654.3</v>
      </c>
      <c r="O10" s="0" t="n">
        <v>10814</v>
      </c>
      <c r="P10" s="0" t="n">
        <v>14314.7</v>
      </c>
      <c r="Q10" s="0" t="n">
        <v>3500.7</v>
      </c>
      <c r="R10" s="0" t="n">
        <v>583.4</v>
      </c>
      <c r="S10" s="0" t="n">
        <v>1204.9</v>
      </c>
      <c r="T10" s="0" t="n">
        <v>237.2</v>
      </c>
      <c r="U10" s="0" t="n">
        <v>165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10763.8</v>
      </c>
      <c r="D11" s="0" t="n">
        <v>9523.4</v>
      </c>
      <c r="E11" s="0" t="n">
        <v>88.4761887065906</v>
      </c>
      <c r="F11" s="0" t="n">
        <v>4891</v>
      </c>
      <c r="G11" s="0" t="n">
        <v>45.4393429829614</v>
      </c>
      <c r="H11" s="0" t="n">
        <v>5491.4</v>
      </c>
      <c r="I11" s="0" t="n">
        <v>3593.2</v>
      </c>
      <c r="J11" s="0" t="n">
        <v>33.3822627696538</v>
      </c>
      <c r="K11" s="0" t="n">
        <v>15.38</v>
      </c>
      <c r="L11" s="0" t="n">
        <v>3919.4</v>
      </c>
      <c r="M11" s="0" t="n">
        <v>643</v>
      </c>
      <c r="N11" s="0" t="n">
        <v>3276.4</v>
      </c>
      <c r="O11" s="0" t="n">
        <v>9374.9</v>
      </c>
      <c r="P11" s="0" t="n">
        <v>19504.8</v>
      </c>
      <c r="Q11" s="0" t="n">
        <v>10129.9</v>
      </c>
      <c r="R11" s="0" t="n">
        <v>6526.3</v>
      </c>
      <c r="S11" s="0" t="n">
        <v>1308</v>
      </c>
      <c r="T11" s="0" t="n">
        <v>231.2</v>
      </c>
      <c r="U11" s="0" t="n">
        <v>183.2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11448.8</v>
      </c>
      <c r="C12" s="0" t="n">
        <v>1478.7</v>
      </c>
      <c r="D12" s="0" t="n">
        <v>9970.1</v>
      </c>
      <c r="E12" s="0" t="n">
        <v>87.0842359024527</v>
      </c>
      <c r="F12" s="0" t="n">
        <v>5151.7</v>
      </c>
      <c r="G12" s="0" t="n">
        <v>44.9977290196352</v>
      </c>
      <c r="H12" s="0" t="n">
        <v>5834.4</v>
      </c>
      <c r="I12" s="0" t="n">
        <v>3702.8</v>
      </c>
      <c r="J12" s="0" t="n">
        <v>32.3422542100482</v>
      </c>
      <c r="K12" s="0" t="n">
        <v>16.96</v>
      </c>
      <c r="L12" s="0" t="n">
        <v>4587.2</v>
      </c>
      <c r="M12" s="0" t="n">
        <v>616.1</v>
      </c>
      <c r="N12" s="0" t="n">
        <v>3971.1</v>
      </c>
      <c r="O12" s="0" t="n">
        <v>12140.1</v>
      </c>
      <c r="P12" s="0" t="n">
        <v>22876.8</v>
      </c>
      <c r="Q12" s="0" t="n">
        <v>10748.2</v>
      </c>
      <c r="R12" s="0" t="n">
        <v>6517.4</v>
      </c>
      <c r="S12" s="0" t="n">
        <v>2326.5</v>
      </c>
      <c r="T12" s="0" t="n">
        <v>218.8</v>
      </c>
      <c r="U12" s="0" t="n">
        <v>-138.1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12273.9</v>
      </c>
      <c r="C13" s="0" t="n">
        <v>1630</v>
      </c>
      <c r="D13" s="0" t="n">
        <v>10643.9</v>
      </c>
      <c r="E13" s="0" t="n">
        <v>86.7197875166003</v>
      </c>
      <c r="F13" s="0" t="n">
        <v>5345.8</v>
      </c>
      <c r="G13" s="0" t="n">
        <v>43.5542085237781</v>
      </c>
      <c r="H13" s="0" t="n">
        <v>6426.8</v>
      </c>
      <c r="I13" s="0" t="n">
        <v>2670.1</v>
      </c>
      <c r="J13" s="0" t="n">
        <v>21.7542916269482</v>
      </c>
      <c r="K13" s="0" t="n">
        <v>11.94</v>
      </c>
      <c r="L13" s="0" t="n">
        <v>4551</v>
      </c>
      <c r="M13" s="0" t="n">
        <v>867.4</v>
      </c>
      <c r="N13" s="0" t="n">
        <v>3683.6</v>
      </c>
      <c r="O13" s="0" t="n">
        <v>12598.1</v>
      </c>
      <c r="P13" s="0" t="n">
        <v>23652.6</v>
      </c>
      <c r="Q13" s="0" t="n">
        <v>11054.5</v>
      </c>
      <c r="R13" s="0" t="n">
        <v>5938.2</v>
      </c>
      <c r="S13" s="0" t="n">
        <v>1573.8</v>
      </c>
      <c r="T13" s="0" t="n">
        <v>213</v>
      </c>
      <c r="U13" s="0" t="n">
        <v>138.1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13452.9</v>
      </c>
      <c r="C14" s="0" t="n">
        <v>1816.3</v>
      </c>
      <c r="D14" s="0" t="n">
        <v>11636.6</v>
      </c>
      <c r="E14" s="0" t="n">
        <v>86.4988218153707</v>
      </c>
      <c r="F14" s="0" t="n">
        <v>5888.6</v>
      </c>
      <c r="G14" s="0" t="n">
        <v>43.771974815839</v>
      </c>
      <c r="H14" s="0" t="n">
        <v>6539.1</v>
      </c>
      <c r="I14" s="0" t="n">
        <v>4474</v>
      </c>
      <c r="J14" s="0" t="n">
        <v>33.2567699157803</v>
      </c>
      <c r="K14" s="0" t="n">
        <v>21.63</v>
      </c>
      <c r="L14" s="0" t="n">
        <v>6187.7</v>
      </c>
      <c r="M14" s="0" t="n">
        <v>770.6</v>
      </c>
      <c r="N14" s="0" t="n">
        <v>5417.1</v>
      </c>
      <c r="O14" s="0" t="n">
        <v>13031.6</v>
      </c>
      <c r="P14" s="0" t="n">
        <v>25288.9</v>
      </c>
      <c r="Q14" s="0" t="n">
        <v>12257.3</v>
      </c>
      <c r="R14" s="0" t="n">
        <v>5936.5</v>
      </c>
      <c r="S14" s="0" t="n">
        <v>1224.6</v>
      </c>
      <c r="T14" s="0" t="n">
        <v>205.3</v>
      </c>
      <c r="U14" s="0" t="n">
        <v>-168.7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14377.9</v>
      </c>
      <c r="C15" s="0" t="n">
        <v>1955.4</v>
      </c>
      <c r="D15" s="0" t="n">
        <v>12422.5</v>
      </c>
      <c r="E15" s="0" t="n">
        <v>86.3999610513357</v>
      </c>
      <c r="F15" s="0" t="n">
        <v>7042.6</v>
      </c>
      <c r="G15" s="0" t="n">
        <v>48.9821183900291</v>
      </c>
      <c r="H15" s="0" t="n">
        <v>7507.3</v>
      </c>
      <c r="I15" s="0" t="n">
        <v>5888.5</v>
      </c>
      <c r="J15" s="0" t="n">
        <v>40.9552159912087</v>
      </c>
      <c r="K15" s="0" t="n">
        <v>31.47</v>
      </c>
      <c r="L15" s="0" t="n">
        <v>7078.6</v>
      </c>
      <c r="M15" s="0" t="n">
        <v>514.5</v>
      </c>
      <c r="N15" s="0" t="n">
        <v>6564.1</v>
      </c>
      <c r="O15" s="0" t="n">
        <v>13339.1</v>
      </c>
      <c r="P15" s="0" t="n">
        <v>27234.3</v>
      </c>
      <c r="Q15" s="0" t="n">
        <v>13895.2</v>
      </c>
      <c r="R15" s="0" t="n">
        <v>5954.8</v>
      </c>
      <c r="S15" s="0" t="n">
        <v>2913.7</v>
      </c>
      <c r="T15" s="0" t="n">
        <v>187.4</v>
      </c>
      <c r="U15" s="0" t="n">
        <v>-191.2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13444.6</v>
      </c>
      <c r="C16" s="0" t="n">
        <v>1805.2</v>
      </c>
      <c r="D16" s="0" t="n">
        <v>11639.4</v>
      </c>
      <c r="E16" s="0" t="n">
        <v>86.5730479151481</v>
      </c>
      <c r="F16" s="0" t="n">
        <v>4550.1</v>
      </c>
      <c r="G16" s="0" t="n">
        <v>33.8433274325752</v>
      </c>
      <c r="H16" s="0" t="n">
        <v>5007.3</v>
      </c>
      <c r="I16" s="0" t="n">
        <v>4060.5</v>
      </c>
      <c r="J16" s="0" t="n">
        <v>30.2017166743525</v>
      </c>
      <c r="K16" s="0" t="n">
        <v>24.86</v>
      </c>
      <c r="L16" s="0" t="n">
        <v>4229.8</v>
      </c>
      <c r="M16" s="0" t="n">
        <v>424.8</v>
      </c>
      <c r="N16" s="0" t="n">
        <v>3805</v>
      </c>
      <c r="O16" s="0" t="n">
        <v>10686.1</v>
      </c>
      <c r="P16" s="0" t="n">
        <v>24618.9</v>
      </c>
      <c r="Q16" s="0" t="n">
        <v>13932.8</v>
      </c>
      <c r="R16" s="0" t="n">
        <v>7426.2</v>
      </c>
      <c r="T16" s="0" t="n">
        <v>161.3</v>
      </c>
      <c r="U16" s="0" t="n">
        <v>-204.5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10981.7</v>
      </c>
      <c r="C17" s="0" t="n">
        <v>2109.7</v>
      </c>
      <c r="F17" s="0" t="n">
        <v>2840.7</v>
      </c>
      <c r="G17" s="0" t="n">
        <v>25.8675797007749</v>
      </c>
      <c r="H17" s="0" t="n">
        <v>3328.4</v>
      </c>
      <c r="I17" s="0" t="n">
        <v>1727.6</v>
      </c>
      <c r="J17" s="0" t="n">
        <v>15.7316262509448</v>
      </c>
      <c r="K17" s="0" t="n">
        <v>10.44</v>
      </c>
      <c r="L17" s="0" t="n">
        <v>3639.9</v>
      </c>
      <c r="M17" s="0" t="n">
        <v>258.1</v>
      </c>
      <c r="N17" s="0" t="n">
        <v>3381.8</v>
      </c>
      <c r="O17" s="0" t="n">
        <v>10959.7</v>
      </c>
      <c r="P17" s="0" t="n">
        <v>23877.3</v>
      </c>
      <c r="Q17" s="0" t="n">
        <v>12917.6</v>
      </c>
      <c r="R17" s="0" t="n">
        <v>7273.1</v>
      </c>
      <c r="T17" s="0" t="n">
        <v>149.6</v>
      </c>
      <c r="U17" s="0" t="n">
        <v>-246.6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10173.4</v>
      </c>
      <c r="C18" s="0" t="n">
        <v>2278.3</v>
      </c>
      <c r="I18" s="0" t="n">
        <v>3046.9</v>
      </c>
      <c r="J18" s="0" t="n">
        <v>29.9496726758016</v>
      </c>
      <c r="K18" s="0" t="n">
        <v>20.96</v>
      </c>
      <c r="L18" s="0" t="n">
        <v>1384.3</v>
      </c>
      <c r="M18" s="0" t="n">
        <v>240.3</v>
      </c>
      <c r="N18" s="0" t="n">
        <v>1144</v>
      </c>
      <c r="O18" s="0" t="n">
        <v>13388.4</v>
      </c>
      <c r="P18" s="0" t="n">
        <v>24554.1</v>
      </c>
      <c r="Q18" s="0" t="n">
        <v>11165.7</v>
      </c>
      <c r="R18" s="0" t="n">
        <v>6281</v>
      </c>
      <c r="T18" s="0" t="n">
        <v>146</v>
      </c>
      <c r="U18" s="0" t="n">
        <v>-263.5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9835.6</v>
      </c>
      <c r="C19" s="0" t="n">
        <v>2533.4</v>
      </c>
      <c r="I19" s="0" t="n">
        <v>1161.5</v>
      </c>
      <c r="J19" s="0" t="n">
        <v>11.8091422994022</v>
      </c>
      <c r="K19" s="0" t="n">
        <v>8.02</v>
      </c>
      <c r="L19" s="0" t="n">
        <v>1547.2</v>
      </c>
      <c r="M19" s="0" t="n">
        <v>277</v>
      </c>
      <c r="N19" s="0" t="n">
        <v>1270.2</v>
      </c>
      <c r="O19" s="0" t="n">
        <v>14799.4</v>
      </c>
      <c r="P19" s="0" t="n">
        <v>26844.8</v>
      </c>
      <c r="Q19" s="0" t="n">
        <v>12045.4</v>
      </c>
      <c r="R19" s="0" t="n">
        <v>7088.2</v>
      </c>
      <c r="T19" s="0" t="n">
        <v>145.6</v>
      </c>
      <c r="U19" s="0" t="n">
        <v>-274.4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9675.9</v>
      </c>
      <c r="C20" s="0" t="n">
        <v>2310.4</v>
      </c>
      <c r="I20" s="0" t="n">
        <v>1632.2</v>
      </c>
      <c r="J20" s="0" t="n">
        <v>16.8687150549303</v>
      </c>
      <c r="K20" s="0" t="n">
        <v>11.21</v>
      </c>
      <c r="L20" s="0" t="n">
        <v>2875.5</v>
      </c>
      <c r="M20" s="0" t="n">
        <v>153.7</v>
      </c>
      <c r="N20" s="0" t="n">
        <v>2721.8</v>
      </c>
      <c r="O20" s="0" t="n">
        <v>16716</v>
      </c>
      <c r="P20" s="0" t="n">
        <v>28049.3</v>
      </c>
      <c r="Q20" s="0" t="n">
        <v>11333.3</v>
      </c>
      <c r="R20" s="0" t="n">
        <v>8044.4</v>
      </c>
      <c r="T20" s="0" t="n">
        <v>145.9</v>
      </c>
      <c r="U20" s="0" t="n">
        <v>-301.5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9890.6</v>
      </c>
      <c r="C21" s="0" t="n">
        <v>2404.2</v>
      </c>
      <c r="I21" s="0" t="n">
        <v>1292.9</v>
      </c>
      <c r="J21" s="0" t="n">
        <v>13.0720077649485</v>
      </c>
      <c r="K21" s="0" t="n">
        <v>8.83</v>
      </c>
      <c r="L21" s="0" t="n">
        <v>2204.6</v>
      </c>
      <c r="M21" s="0" t="n">
        <v>153.8</v>
      </c>
      <c r="N21" s="0" t="n">
        <v>2050.8</v>
      </c>
      <c r="O21" s="0" t="n">
        <v>18256.8</v>
      </c>
      <c r="P21" s="0" t="n">
        <v>29439.5</v>
      </c>
      <c r="Q21" s="0" t="n">
        <v>11182.7</v>
      </c>
      <c r="R21" s="0" t="n">
        <v>6286.8</v>
      </c>
      <c r="T21" s="0" t="n">
        <v>147.1</v>
      </c>
      <c r="U21" s="0" t="n">
        <v>290.8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227.6</v>
      </c>
    </row>
    <row r="3" customFormat="false" ht="15" hidden="false" customHeight="false" outlineLevel="0" collapsed="false">
      <c r="A3" s="0" t="s">
        <v>86</v>
      </c>
      <c r="B3" s="3" t="n">
        <v>148.7</v>
      </c>
    </row>
    <row r="4" customFormat="false" ht="15" hidden="false" customHeight="false" outlineLevel="0" collapsed="false">
      <c r="A4" s="0" t="s">
        <v>87</v>
      </c>
      <c r="B4" s="3" t="n">
        <v>6805.3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9890.6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0</v>
      </c>
      <c r="E13" s="3" t="n">
        <v>-1</v>
      </c>
      <c r="F13" s="3" t="n">
        <v>-1.5</v>
      </c>
      <c r="G13" s="3" t="n">
        <v>-1</v>
      </c>
      <c r="H13" s="3" t="n">
        <v>0</v>
      </c>
      <c r="I13" s="3" t="n">
        <v>0.5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107</v>
      </c>
      <c r="C14" s="3" t="n">
        <v>18</v>
      </c>
      <c r="D14" s="3" t="n">
        <v>18.5</v>
      </c>
      <c r="E14" s="3" t="n">
        <v>18</v>
      </c>
      <c r="F14" s="3" t="n">
        <v>17.5</v>
      </c>
      <c r="G14" s="3" t="n">
        <v>18</v>
      </c>
      <c r="H14" s="3" t="n">
        <v>19</v>
      </c>
      <c r="I14" s="3" t="n">
        <v>20</v>
      </c>
      <c r="J14" s="3" t="n">
        <v>21</v>
      </c>
      <c r="K14" s="3" t="n">
        <v>22</v>
      </c>
      <c r="L14" s="3" t="n">
        <v>22.5</v>
      </c>
    </row>
    <row r="15" customFormat="false" ht="15" hidden="false" customHeight="false" outlineLevel="0" collapsed="false">
      <c r="A15" s="0" t="s">
        <v>108</v>
      </c>
      <c r="C15" s="3" t="n">
        <v>3</v>
      </c>
      <c r="D15" s="3" t="n">
        <v>3</v>
      </c>
      <c r="E15" s="3" t="n">
        <v>3</v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8.5</v>
      </c>
      <c r="D17" s="3" t="n">
        <v>8.5</v>
      </c>
      <c r="E17" s="3" t="n">
        <v>8</v>
      </c>
      <c r="F17" s="3" t="n">
        <v>7.5</v>
      </c>
      <c r="G17" s="3" t="n">
        <v>7</v>
      </c>
      <c r="H17" s="3" t="n">
        <v>6.5</v>
      </c>
      <c r="I17" s="3" t="n">
        <v>6</v>
      </c>
      <c r="J17" s="3" t="n">
        <v>5.5</v>
      </c>
      <c r="K17" s="3" t="n">
        <v>5</v>
      </c>
      <c r="L17" s="3" t="n">
        <v>4.8</v>
      </c>
    </row>
    <row r="18" customFormat="false" ht="15" hidden="false" customHeight="false" outlineLevel="0" collapsed="false">
      <c r="A18" s="0" t="s">
        <v>111</v>
      </c>
      <c r="C18" s="3" t="n">
        <v>2</v>
      </c>
      <c r="D18" s="3" t="n">
        <v>2</v>
      </c>
      <c r="E18" s="3" t="n">
        <v>2.1</v>
      </c>
      <c r="F18" s="3" t="n">
        <v>2.1</v>
      </c>
      <c r="G18" s="3" t="n">
        <v>2.2</v>
      </c>
      <c r="H18" s="3" t="n">
        <v>2.2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18</v>
      </c>
      <c r="E19" s="3" t="n">
        <v>19</v>
      </c>
      <c r="F19" s="3" t="n">
        <v>19.5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1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-3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4.5</v>
      </c>
      <c r="D27" s="3" t="n">
        <v>4</v>
      </c>
      <c r="E27" s="3" t="n">
        <v>3.5</v>
      </c>
      <c r="F27" s="3" t="n">
        <v>3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21</v>
      </c>
      <c r="D28" s="3" t="n">
        <v>23</v>
      </c>
      <c r="E28" s="3" t="n">
        <v>25.5</v>
      </c>
      <c r="F28" s="3" t="n">
        <v>27.5</v>
      </c>
      <c r="G28" s="3" t="n">
        <v>29</v>
      </c>
      <c r="H28" s="3" t="n">
        <v>30</v>
      </c>
      <c r="I28" s="3" t="n">
        <v>31</v>
      </c>
      <c r="J28" s="3" t="n">
        <v>31.5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108</v>
      </c>
      <c r="C29" s="3" t="n">
        <v>3</v>
      </c>
      <c r="D29" s="3" t="n">
        <v>3</v>
      </c>
      <c r="E29" s="3" t="n">
        <v>3</v>
      </c>
      <c r="F29" s="3" t="n">
        <v>2.9</v>
      </c>
      <c r="G29" s="3" t="n">
        <v>2.9</v>
      </c>
      <c r="H29" s="3" t="n">
        <v>2.8</v>
      </c>
      <c r="I29" s="3" t="n">
        <v>2.8</v>
      </c>
      <c r="J29" s="3" t="n">
        <v>2.7</v>
      </c>
      <c r="K29" s="3" t="n">
        <v>2.7</v>
      </c>
      <c r="L29" s="3" t="n">
        <v>2.7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8</v>
      </c>
      <c r="D31" s="3" t="n">
        <v>7.5</v>
      </c>
      <c r="E31" s="3" t="n">
        <v>7</v>
      </c>
      <c r="F31" s="3" t="n">
        <v>6.5</v>
      </c>
      <c r="G31" s="3" t="n">
        <v>6</v>
      </c>
      <c r="H31" s="3" t="n">
        <v>5.5</v>
      </c>
      <c r="I31" s="3" t="n">
        <v>5</v>
      </c>
      <c r="J31" s="3" t="n">
        <v>4.8</v>
      </c>
      <c r="K31" s="3" t="n">
        <v>4.6</v>
      </c>
      <c r="L31" s="3" t="n">
        <v>4.5</v>
      </c>
    </row>
    <row r="32" customFormat="false" ht="15" hidden="false" customHeight="false" outlineLevel="0" collapsed="false">
      <c r="A32" s="0" t="s">
        <v>111</v>
      </c>
      <c r="C32" s="3" t="n">
        <v>1.8</v>
      </c>
      <c r="D32" s="3" t="n">
        <v>1.9</v>
      </c>
      <c r="E32" s="3" t="n">
        <v>2</v>
      </c>
      <c r="F32" s="3" t="n">
        <v>2</v>
      </c>
      <c r="G32" s="3" t="n">
        <v>2.1</v>
      </c>
      <c r="H32" s="3" t="n">
        <v>2.1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17.5</v>
      </c>
      <c r="E33" s="3" t="n">
        <v>18</v>
      </c>
      <c r="F33" s="3" t="n">
        <v>18.5</v>
      </c>
      <c r="G33" s="3" t="n">
        <v>19</v>
      </c>
      <c r="H33" s="3" t="n">
        <v>19.5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-3</v>
      </c>
    </row>
    <row r="38" customFormat="false" ht="15" hidden="false" customHeight="false" outlineLevel="0" collapsed="false">
      <c r="A38" s="0" t="s">
        <v>117</v>
      </c>
      <c r="B38" s="3" t="n">
        <v>0.45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</v>
      </c>
      <c r="D41" s="3" t="n">
        <v>6.5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23</v>
      </c>
      <c r="D42" s="3" t="n">
        <v>26</v>
      </c>
      <c r="E42" s="3" t="n">
        <v>29</v>
      </c>
      <c r="F42" s="3" t="n">
        <v>31.5</v>
      </c>
      <c r="G42" s="3" t="n">
        <v>33.5</v>
      </c>
      <c r="H42" s="3" t="n">
        <v>35</v>
      </c>
      <c r="I42" s="3" t="n">
        <v>36</v>
      </c>
      <c r="J42" s="3" t="n">
        <v>36.5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108</v>
      </c>
      <c r="C43" s="3" t="n">
        <v>3</v>
      </c>
      <c r="D43" s="3" t="n">
        <v>2.9</v>
      </c>
      <c r="E43" s="3" t="n">
        <v>2.9</v>
      </c>
      <c r="F43" s="3" t="n">
        <v>2.8</v>
      </c>
      <c r="G43" s="3" t="n">
        <v>2.8</v>
      </c>
      <c r="H43" s="3" t="n">
        <v>2.7</v>
      </c>
      <c r="I43" s="3" t="n">
        <v>2.7</v>
      </c>
      <c r="J43" s="3" t="n">
        <v>2.6</v>
      </c>
      <c r="K43" s="3" t="n">
        <v>2.6</v>
      </c>
      <c r="L43" s="3" t="n">
        <v>2.6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7.5</v>
      </c>
      <c r="D45" s="3" t="n">
        <v>7</v>
      </c>
      <c r="E45" s="3" t="n">
        <v>6.5</v>
      </c>
      <c r="F45" s="3" t="n">
        <v>6</v>
      </c>
      <c r="G45" s="3" t="n">
        <v>5.5</v>
      </c>
      <c r="H45" s="3" t="n">
        <v>5</v>
      </c>
      <c r="I45" s="3" t="n">
        <v>4.7</v>
      </c>
      <c r="J45" s="3" t="n">
        <v>4.5</v>
      </c>
      <c r="K45" s="3" t="n">
        <v>4.3</v>
      </c>
      <c r="L45" s="3" t="n">
        <v>4.2</v>
      </c>
    </row>
    <row r="46" customFormat="false" ht="15" hidden="false" customHeight="false" outlineLevel="0" collapsed="false">
      <c r="A46" s="0" t="s">
        <v>111</v>
      </c>
      <c r="C46" s="3" t="n">
        <v>1.8</v>
      </c>
      <c r="D46" s="3" t="n">
        <v>1.9</v>
      </c>
      <c r="E46" s="3" t="n">
        <v>2</v>
      </c>
      <c r="F46" s="3" t="n">
        <v>2</v>
      </c>
      <c r="G46" s="3" t="n">
        <v>2.1</v>
      </c>
      <c r="H46" s="3" t="n">
        <v>2.1</v>
      </c>
      <c r="I46" s="3" t="n">
        <v>2.2</v>
      </c>
      <c r="J46" s="3" t="n">
        <v>2.2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17.5</v>
      </c>
      <c r="E47" s="3" t="n">
        <v>18</v>
      </c>
      <c r="F47" s="3" t="n">
        <v>18.5</v>
      </c>
      <c r="G47" s="3" t="n">
        <v>19</v>
      </c>
      <c r="H47" s="3" t="n">
        <v>19.5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-1</v>
      </c>
      <c r="F5" s="4" t="n">
        <f aca="false">Assumptions!F13</f>
        <v>-1.5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9890.6</v>
      </c>
      <c r="C6" s="0" t="n">
        <f aca="false">B6*(1+C5/100)</f>
        <v>9989.506</v>
      </c>
      <c r="D6" s="0" t="n">
        <f aca="false">C6*(1+D5/100)</f>
        <v>9989.506</v>
      </c>
      <c r="E6" s="0" t="n">
        <f aca="false">D6*(1+E5/100)</f>
        <v>9889.61094</v>
      </c>
      <c r="F6" s="0" t="n">
        <f aca="false">E6*(1+F5/100)</f>
        <v>9741.2667759</v>
      </c>
      <c r="G6" s="0" t="n">
        <f aca="false">F6*(1+G5/100)</f>
        <v>9643.854108141</v>
      </c>
      <c r="H6" s="0" t="n">
        <f aca="false">G6*(1+H5/100)</f>
        <v>9643.854108141</v>
      </c>
      <c r="I6" s="0" t="n">
        <f aca="false">H6*(1+I5/100)</f>
        <v>9692.0733786817</v>
      </c>
      <c r="J6" s="0" t="n">
        <f aca="false">I6*(1+J5/100)</f>
        <v>9788.99411246852</v>
      </c>
      <c r="K6" s="0" t="n">
        <f aca="false">J6*(1+K5/100)</f>
        <v>9886.88405359321</v>
      </c>
      <c r="L6" s="0" t="n">
        <f aca="false">K6*(1+L5/100)</f>
        <v>9985.75289412914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18</v>
      </c>
      <c r="D7" s="4" t="n">
        <f aca="false">Assumptions!D14</f>
        <v>18.5</v>
      </c>
      <c r="E7" s="4" t="n">
        <f aca="false">Assumptions!E14</f>
        <v>18</v>
      </c>
      <c r="F7" s="4" t="n">
        <f aca="false">Assumptions!F14</f>
        <v>17.5</v>
      </c>
      <c r="G7" s="4" t="n">
        <f aca="false">Assumptions!G14</f>
        <v>18</v>
      </c>
      <c r="H7" s="4" t="n">
        <f aca="false">Assumptions!H14</f>
        <v>19</v>
      </c>
      <c r="I7" s="4" t="n">
        <f aca="false">Assumptions!I14</f>
        <v>20</v>
      </c>
      <c r="J7" s="4" t="n">
        <f aca="false">Assumptions!J14</f>
        <v>21</v>
      </c>
      <c r="K7" s="4" t="n">
        <f aca="false">Assumptions!K14</f>
        <v>22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1798.11108</v>
      </c>
      <c r="D8" s="0" t="n">
        <f aca="false">D6*D7/100</f>
        <v>1848.05861</v>
      </c>
      <c r="E8" s="0" t="n">
        <f aca="false">E6*E7/100</f>
        <v>1780.1299692</v>
      </c>
      <c r="F8" s="0" t="n">
        <f aca="false">F6*F7/100</f>
        <v>1704.7216857825</v>
      </c>
      <c r="G8" s="0" t="n">
        <f aca="false">G6*G7/100</f>
        <v>1735.89373946538</v>
      </c>
      <c r="H8" s="0" t="n">
        <f aca="false">H6*H7/100</f>
        <v>1832.33228054679</v>
      </c>
      <c r="I8" s="0" t="n">
        <f aca="false">I6*I7/100</f>
        <v>1938.41467573634</v>
      </c>
      <c r="J8" s="0" t="n">
        <f aca="false">J6*J7/100</f>
        <v>2055.68876361839</v>
      </c>
      <c r="K8" s="0" t="n">
        <f aca="false">K6*K7/100</f>
        <v>2175.11449179051</v>
      </c>
      <c r="L8" s="0" t="n">
        <f aca="false">L6*L7/100</f>
        <v>2246.79440117906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3</v>
      </c>
      <c r="D9" s="4" t="n">
        <f aca="false">Assumptions!D15</f>
        <v>3</v>
      </c>
      <c r="E9" s="4" t="n">
        <f aca="false">Assumptions!E15</f>
        <v>3</v>
      </c>
      <c r="F9" s="4" t="n">
        <f aca="false">Assumptions!F15</f>
        <v>3</v>
      </c>
      <c r="G9" s="4" t="n">
        <f aca="false">Assumptions!G15</f>
        <v>3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-299.68518</v>
      </c>
      <c r="D10" s="0" t="n">
        <f aca="false">-D6*D9/100</f>
        <v>-299.68518</v>
      </c>
      <c r="E10" s="0" t="n">
        <f aca="false">-E6*E9/100</f>
        <v>-296.6883282</v>
      </c>
      <c r="F10" s="0" t="n">
        <f aca="false">-F6*F9/100</f>
        <v>-292.238003277</v>
      </c>
      <c r="G10" s="0" t="n">
        <f aca="false">-G6*G9/100</f>
        <v>-289.31562324423</v>
      </c>
      <c r="H10" s="0" t="n">
        <f aca="false">-H6*H9/100</f>
        <v>-289.31562324423</v>
      </c>
      <c r="I10" s="0" t="n">
        <f aca="false">-I6*I9/100</f>
        <v>-290.762201360451</v>
      </c>
      <c r="J10" s="0" t="n">
        <f aca="false">-J6*J9/100</f>
        <v>-293.669823374056</v>
      </c>
      <c r="K10" s="0" t="n">
        <f aca="false">-K6*K9/100</f>
        <v>-296.606521607796</v>
      </c>
      <c r="L10" s="0" t="n">
        <f aca="false">-L6*L9/100</f>
        <v>-299.572586823874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1498.4259</v>
      </c>
      <c r="D11" s="0" t="n">
        <f aca="false">D8+D10+D24</f>
        <v>1548.37343</v>
      </c>
      <c r="E11" s="0" t="n">
        <f aca="false">E8+E10+E24</f>
        <v>1483.441641</v>
      </c>
      <c r="F11" s="0" t="n">
        <f aca="false">F8+F10+F24</f>
        <v>1412.4836825055</v>
      </c>
      <c r="G11" s="0" t="n">
        <f aca="false">G8+G10+G24</f>
        <v>1446.57811622115</v>
      </c>
      <c r="H11" s="0" t="n">
        <f aca="false">H8+H10+H24</f>
        <v>1543.01665730256</v>
      </c>
      <c r="I11" s="0" t="n">
        <f aca="false">I8+I10+I24</f>
        <v>1647.65247437589</v>
      </c>
      <c r="J11" s="0" t="n">
        <f aca="false">J8+J10+J24</f>
        <v>1762.01894024433</v>
      </c>
      <c r="K11" s="0" t="n">
        <f aca="false">K8+K10+K24</f>
        <v>1878.50797018271</v>
      </c>
      <c r="L11" s="0" t="n">
        <f aca="false">L8+L10+L24</f>
        <v>1947.22181435518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-849.10801</v>
      </c>
      <c r="D12" s="4" t="n">
        <f aca="false">-D6*Assumptions!D17/100</f>
        <v>-849.10801</v>
      </c>
      <c r="E12" s="4" t="n">
        <f aca="false">-E6*Assumptions!E17/100</f>
        <v>-791.1688752</v>
      </c>
      <c r="F12" s="4" t="n">
        <f aca="false">-F6*Assumptions!F17/100</f>
        <v>-730.5950081925</v>
      </c>
      <c r="G12" s="4" t="n">
        <f aca="false">-G6*Assumptions!G17/100</f>
        <v>-675.06978756987</v>
      </c>
      <c r="H12" s="4" t="n">
        <f aca="false">-H6*Assumptions!H17/100</f>
        <v>-626.850517029165</v>
      </c>
      <c r="I12" s="4" t="n">
        <f aca="false">-I6*Assumptions!I17/100</f>
        <v>-581.524402720902</v>
      </c>
      <c r="J12" s="4" t="n">
        <f aca="false">-J6*Assumptions!J17/100</f>
        <v>-538.394676185769</v>
      </c>
      <c r="K12" s="4" t="n">
        <f aca="false">-K6*Assumptions!K17/100</f>
        <v>-494.34420267966</v>
      </c>
      <c r="L12" s="4" t="n">
        <f aca="false">-L6*Assumptions!L17/100</f>
        <v>-479.316138918199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649.31789</v>
      </c>
      <c r="D13" s="0" t="n">
        <f aca="false">D11+D12</f>
        <v>699.26542</v>
      </c>
      <c r="E13" s="0" t="n">
        <f aca="false">E11+E12</f>
        <v>692.2727658</v>
      </c>
      <c r="F13" s="0" t="n">
        <f aca="false">F11+F12</f>
        <v>681.888674313</v>
      </c>
      <c r="G13" s="0" t="n">
        <f aca="false">G11+G12</f>
        <v>771.50832865128</v>
      </c>
      <c r="H13" s="0" t="n">
        <f aca="false">H11+H12</f>
        <v>916.166140273395</v>
      </c>
      <c r="I13" s="0" t="n">
        <f aca="false">I11+I12</f>
        <v>1066.12807165499</v>
      </c>
      <c r="J13" s="0" t="n">
        <f aca="false">J11+J12</f>
        <v>1223.62426405857</v>
      </c>
      <c r="K13" s="0" t="n">
        <f aca="false">K11+K12</f>
        <v>1384.16376750305</v>
      </c>
      <c r="L13" s="0" t="n">
        <f aca="false">L11+L12</f>
        <v>1467.90567543698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19.5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538.9338487</v>
      </c>
      <c r="D15" s="0" t="n">
        <f aca="false">D13-MAX(0,D13)*D14/100</f>
        <v>573.3976444</v>
      </c>
      <c r="E15" s="0" t="n">
        <f aca="false">E13-MAX(0,E13)*E14/100</f>
        <v>560.740940298</v>
      </c>
      <c r="F15" s="0" t="n">
        <f aca="false">F13-MAX(0,F13)*F14/100</f>
        <v>548.920382821965</v>
      </c>
      <c r="G15" s="0" t="n">
        <f aca="false">G13-MAX(0,G13)*G14/100</f>
        <v>617.206662921024</v>
      </c>
      <c r="H15" s="0" t="n">
        <f aca="false">H13-MAX(0,H13)*H14/100</f>
        <v>732.932912218716</v>
      </c>
      <c r="I15" s="0" t="n">
        <f aca="false">I13-MAX(0,I13)*I14/100</f>
        <v>852.90245732399</v>
      </c>
      <c r="J15" s="0" t="n">
        <f aca="false">J13-MAX(0,J13)*J14/100</f>
        <v>978.899411246852</v>
      </c>
      <c r="K15" s="0" t="n">
        <f aca="false">K13-MAX(0,K13)*K14/100</f>
        <v>1107.33101400244</v>
      </c>
      <c r="L15" s="0" t="n">
        <f aca="false">L13-MAX(0,L13)*L14/100</f>
        <v>1174.32454034959</v>
      </c>
    </row>
    <row r="16" customFormat="false" ht="15" hidden="false" customHeight="false" outlineLevel="0" collapsed="false">
      <c r="A16" s="0" t="s">
        <v>128</v>
      </c>
      <c r="C16" s="0" t="n">
        <f aca="false">-C12</f>
        <v>849.10801</v>
      </c>
      <c r="D16" s="0" t="n">
        <f aca="false">-D12</f>
        <v>849.10801</v>
      </c>
      <c r="E16" s="0" t="n">
        <f aca="false">-E12</f>
        <v>791.1688752</v>
      </c>
      <c r="F16" s="0" t="n">
        <f aca="false">-F12</f>
        <v>730.5950081925</v>
      </c>
      <c r="G16" s="0" t="n">
        <f aca="false">-G12</f>
        <v>675.06978756987</v>
      </c>
      <c r="H16" s="0" t="n">
        <f aca="false">-H12</f>
        <v>626.850517029165</v>
      </c>
      <c r="I16" s="0" t="n">
        <f aca="false">-I12</f>
        <v>581.524402720902</v>
      </c>
      <c r="J16" s="0" t="n">
        <f aca="false">-J12</f>
        <v>538.394676185769</v>
      </c>
      <c r="K16" s="0" t="n">
        <f aca="false">-K12</f>
        <v>494.34420267966</v>
      </c>
      <c r="L16" s="0" t="n">
        <f aca="false">-L12</f>
        <v>479.316138918199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-199.79012</v>
      </c>
      <c r="D17" s="4" t="n">
        <f aca="false">-D6*Assumptions!D18/100</f>
        <v>-199.79012</v>
      </c>
      <c r="E17" s="4" t="n">
        <f aca="false">-E6*Assumptions!E18/100</f>
        <v>-207.68182974</v>
      </c>
      <c r="F17" s="4" t="n">
        <f aca="false">-F6*Assumptions!F18/100</f>
        <v>-204.5666022939</v>
      </c>
      <c r="G17" s="4" t="n">
        <f aca="false">-G6*Assumptions!G18/100</f>
        <v>-212.164790379102</v>
      </c>
      <c r="H17" s="4" t="n">
        <f aca="false">-H6*Assumptions!H18/100</f>
        <v>-212.164790379102</v>
      </c>
      <c r="I17" s="4" t="n">
        <f aca="false">-I6*Assumptions!I18/100</f>
        <v>-213.225614330997</v>
      </c>
      <c r="J17" s="4" t="n">
        <f aca="false">-J6*Assumptions!J18/100</f>
        <v>-215.357870474308</v>
      </c>
      <c r="K17" s="4" t="n">
        <f aca="false">-K6*Assumptions!K18/100</f>
        <v>-217.511449179051</v>
      </c>
      <c r="L17" s="4" t="n">
        <f aca="false">-L6*Assumptions!L18/100</f>
        <v>-219.686563670841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-2.96718000000003</v>
      </c>
      <c r="D18" s="4" t="n">
        <f aca="false">(D6-C6)*Assumptions!$B$23/100</f>
        <v>-0</v>
      </c>
      <c r="E18" s="4" t="n">
        <f aca="false">(E6-D6)*Assumptions!$B$23/100</f>
        <v>2.99685180000002</v>
      </c>
      <c r="F18" s="4" t="n">
        <f aca="false">(F6-E6)*Assumptions!$B$23/100</f>
        <v>4.45032492300003</v>
      </c>
      <c r="G18" s="4" t="n">
        <f aca="false">(G6-F6)*Assumptions!$B$23/100</f>
        <v>2.92238003276998</v>
      </c>
      <c r="H18" s="4" t="n">
        <f aca="false">(H6-G6)*Assumptions!$B$23/100</f>
        <v>-0</v>
      </c>
      <c r="I18" s="4" t="n">
        <f aca="false">(I6-H6)*Assumptions!$B$23/100</f>
        <v>-1.4465781162211</v>
      </c>
      <c r="J18" s="4" t="n">
        <f aca="false">(J6-I6)*Assumptions!$B$23/100</f>
        <v>-2.90762201360452</v>
      </c>
      <c r="K18" s="4" t="n">
        <f aca="false">(K6-J6)*Assumptions!$B$23/100</f>
        <v>-2.93669823374057</v>
      </c>
      <c r="L18" s="4" t="n">
        <f aca="false">(L6-K6)*Assumptions!$B$23/100</f>
        <v>-2.96606521607795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1185.2845587</v>
      </c>
      <c r="D19" s="0" t="n">
        <f aca="false">D15+D16+D17+D18</f>
        <v>1222.7155344</v>
      </c>
      <c r="E19" s="0" t="n">
        <f aca="false">E15+E16+E17+E18</f>
        <v>1147.224837558</v>
      </c>
      <c r="F19" s="0" t="n">
        <f aca="false">F15+F16+F17+F18</f>
        <v>1079.39911364357</v>
      </c>
      <c r="G19" s="0" t="n">
        <f aca="false">G15+G16+G17+G18</f>
        <v>1083.03404014456</v>
      </c>
      <c r="H19" s="0" t="n">
        <f aca="false">H15+H16+H17+H18</f>
        <v>1147.61863886878</v>
      </c>
      <c r="I19" s="0" t="n">
        <f aca="false">I15+I16+I17+I18</f>
        <v>1219.75466759767</v>
      </c>
      <c r="J19" s="0" t="n">
        <f aca="false">J15+J16+J17+J18</f>
        <v>1299.02859494471</v>
      </c>
      <c r="K19" s="0" t="n">
        <f aca="false">K15+K16+K17+K18</f>
        <v>1381.22706926931</v>
      </c>
      <c r="L19" s="0" t="n">
        <f aca="false">L15+L16+L17+L18</f>
        <v>1430.98805038087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1102.59028716279</v>
      </c>
      <c r="D21" s="0" t="n">
        <f aca="false">D19*D20</f>
        <v>1058.05562738778</v>
      </c>
      <c r="E21" s="0" t="n">
        <f aca="false">E19*E20</f>
        <v>923.47075859625</v>
      </c>
      <c r="F21" s="0" t="n">
        <f aca="false">F19*F20</f>
        <v>808.254628136451</v>
      </c>
      <c r="G21" s="0" t="n">
        <f aca="false">G19*G20</f>
        <v>754.396709791717</v>
      </c>
      <c r="H21" s="0" t="n">
        <f aca="false">H19*H20</f>
        <v>743.612715860408</v>
      </c>
      <c r="I21" s="0" t="n">
        <f aca="false">I19*I20</f>
        <v>735.213103787566</v>
      </c>
      <c r="J21" s="0" t="n">
        <f aca="false">J19*J20</f>
        <v>728.368234427362</v>
      </c>
      <c r="K21" s="0" t="n">
        <f aca="false">K19*K20</f>
        <v>720.425211686227</v>
      </c>
      <c r="L21" s="0" t="n">
        <f aca="false">L19*L20</f>
        <v>694.306713516746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8268.6939903533</v>
      </c>
    </row>
    <row r="31" customFormat="false" ht="15" hidden="false" customHeight="false" outlineLevel="0" collapsed="false">
      <c r="A31" s="0" t="s">
        <v>137</v>
      </c>
      <c r="B31" s="0" t="n">
        <f aca="false">L19</f>
        <v>1430.98805038087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22235.3527828412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17171.8566045704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17171.8566045704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8331.68056220095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16600.3745525542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9795.07455255425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65.8713823305598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-0.710582678688226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2024.72086154524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2258.52781868665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94.6760136703843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10323.5566491762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11.6838372205431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9890.6</v>
      </c>
      <c r="C6" s="0" t="n">
        <f aca="false">B6*(1+C5/100)</f>
        <v>10335.677</v>
      </c>
      <c r="D6" s="0" t="n">
        <f aca="false">C6*(1+D5/100)</f>
        <v>10749.10408</v>
      </c>
      <c r="E6" s="0" t="n">
        <f aca="false">D6*(1+E5/100)</f>
        <v>11125.3227228</v>
      </c>
      <c r="F6" s="0" t="n">
        <f aca="false">E6*(1+F5/100)</f>
        <v>11459.082404484</v>
      </c>
      <c r="G6" s="0" t="n">
        <f aca="false">F6*(1+G5/100)</f>
        <v>11745.5594645961</v>
      </c>
      <c r="H6" s="0" t="n">
        <f aca="false">G6*(1+H5/100)</f>
        <v>12039.198451211</v>
      </c>
      <c r="I6" s="0" t="n">
        <f aca="false">H6*(1+I5/100)</f>
        <v>12279.9824202352</v>
      </c>
      <c r="J6" s="0" t="n">
        <f aca="false">I6*(1+J5/100)</f>
        <v>12525.5820686399</v>
      </c>
      <c r="K6" s="0" t="n">
        <f aca="false">J6*(1+K5/100)</f>
        <v>12776.0937100127</v>
      </c>
      <c r="L6" s="0" t="n">
        <f aca="false">K6*(1+L5/100)</f>
        <v>13031.615584213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21</v>
      </c>
      <c r="D7" s="4" t="n">
        <f aca="false">Assumptions!D28</f>
        <v>23</v>
      </c>
      <c r="E7" s="4" t="n">
        <f aca="false">Assumptions!E28</f>
        <v>25.5</v>
      </c>
      <c r="F7" s="4" t="n">
        <f aca="false">Assumptions!F28</f>
        <v>27.5</v>
      </c>
      <c r="G7" s="4" t="n">
        <f aca="false">Assumptions!G28</f>
        <v>29</v>
      </c>
      <c r="H7" s="4" t="n">
        <f aca="false">Assumptions!H28</f>
        <v>30</v>
      </c>
      <c r="I7" s="4" t="n">
        <f aca="false">Assumptions!I28</f>
        <v>31</v>
      </c>
      <c r="J7" s="4" t="n">
        <f aca="false">Assumptions!J28</f>
        <v>31.5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2170.49217</v>
      </c>
      <c r="D8" s="0" t="n">
        <f aca="false">D6*D7/100</f>
        <v>2472.2939384</v>
      </c>
      <c r="E8" s="0" t="n">
        <f aca="false">E6*E7/100</f>
        <v>2836.957294314</v>
      </c>
      <c r="F8" s="0" t="n">
        <f aca="false">F6*F7/100</f>
        <v>3151.2476612331</v>
      </c>
      <c r="G8" s="0" t="n">
        <f aca="false">G6*G7/100</f>
        <v>3406.21224473287</v>
      </c>
      <c r="H8" s="0" t="n">
        <f aca="false">H6*H7/100</f>
        <v>3611.7595353633</v>
      </c>
      <c r="I8" s="0" t="n">
        <f aca="false">I6*I7/100</f>
        <v>3806.79455027292</v>
      </c>
      <c r="J8" s="0" t="n">
        <f aca="false">J6*J7/100</f>
        <v>3945.55835162158</v>
      </c>
      <c r="K8" s="0" t="n">
        <f aca="false">K6*K7/100</f>
        <v>4088.34998720407</v>
      </c>
      <c r="L8" s="0" t="n">
        <f aca="false">L6*L7/100</f>
        <v>4170.11698694815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3</v>
      </c>
      <c r="D9" s="4" t="n">
        <f aca="false">Assumptions!D29</f>
        <v>3</v>
      </c>
      <c r="E9" s="4" t="n">
        <f aca="false">Assumptions!E29</f>
        <v>3</v>
      </c>
      <c r="F9" s="4" t="n">
        <f aca="false">Assumptions!F29</f>
        <v>2.9</v>
      </c>
      <c r="G9" s="4" t="n">
        <f aca="false">Assumptions!G29</f>
        <v>2.9</v>
      </c>
      <c r="H9" s="4" t="n">
        <f aca="false">Assumptions!H29</f>
        <v>2.8</v>
      </c>
      <c r="I9" s="4" t="n">
        <f aca="false">Assumptions!I29</f>
        <v>2.8</v>
      </c>
      <c r="J9" s="4" t="n">
        <f aca="false">Assumptions!J29</f>
        <v>2.7</v>
      </c>
      <c r="K9" s="4" t="n">
        <f aca="false">Assumptions!K29</f>
        <v>2.7</v>
      </c>
      <c r="L9" s="4" t="n">
        <f aca="false">Assumptions!L29</f>
        <v>2.7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-310.07031</v>
      </c>
      <c r="D10" s="0" t="n">
        <f aca="false">-D6*D9/100</f>
        <v>-322.4731224</v>
      </c>
      <c r="E10" s="0" t="n">
        <f aca="false">-E6*E9/100</f>
        <v>-333.759681684</v>
      </c>
      <c r="F10" s="0" t="n">
        <f aca="false">-F6*F9/100</f>
        <v>-332.313389730036</v>
      </c>
      <c r="G10" s="0" t="n">
        <f aca="false">-G6*G9/100</f>
        <v>-340.621224473287</v>
      </c>
      <c r="H10" s="0" t="n">
        <f aca="false">-H6*H9/100</f>
        <v>-337.097556633908</v>
      </c>
      <c r="I10" s="0" t="n">
        <f aca="false">-I6*I9/100</f>
        <v>-343.839507766586</v>
      </c>
      <c r="J10" s="0" t="n">
        <f aca="false">-J6*J9/100</f>
        <v>-338.190715853278</v>
      </c>
      <c r="K10" s="0" t="n">
        <f aca="false">-K6*K9/100</f>
        <v>-344.954530170344</v>
      </c>
      <c r="L10" s="0" t="n">
        <f aca="false">-L6*L9/100</f>
        <v>-351.85362077375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1860.42186</v>
      </c>
      <c r="D11" s="0" t="n">
        <f aca="false">D8+D10+D24</f>
        <v>2149.820816</v>
      </c>
      <c r="E11" s="0" t="n">
        <f aca="false">E8+E10+E24</f>
        <v>2503.19761263</v>
      </c>
      <c r="F11" s="0" t="n">
        <f aca="false">F8+F10+F24</f>
        <v>2818.93427150306</v>
      </c>
      <c r="G11" s="0" t="n">
        <f aca="false">G8+G10+G24</f>
        <v>3065.59102025958</v>
      </c>
      <c r="H11" s="0" t="n">
        <f aca="false">H8+H10+H24</f>
        <v>3274.66197872939</v>
      </c>
      <c r="I11" s="0" t="n">
        <f aca="false">I8+I10+I24</f>
        <v>3462.95504250633</v>
      </c>
      <c r="J11" s="0" t="n">
        <f aca="false">J8+J10+J24</f>
        <v>3607.3676357683</v>
      </c>
      <c r="K11" s="0" t="n">
        <f aca="false">K8+K10+K24</f>
        <v>3743.39545703373</v>
      </c>
      <c r="L11" s="0" t="n">
        <f aca="false">L8+L10+L24</f>
        <v>3818.2633661744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-826.85416</v>
      </c>
      <c r="D12" s="4" t="n">
        <f aca="false">-D6*Assumptions!D31/100</f>
        <v>-806.182806</v>
      </c>
      <c r="E12" s="4" t="n">
        <f aca="false">-E6*Assumptions!E31/100</f>
        <v>-778.772590596</v>
      </c>
      <c r="F12" s="4" t="n">
        <f aca="false">-F6*Assumptions!F31/100</f>
        <v>-744.84035629146</v>
      </c>
      <c r="G12" s="4" t="n">
        <f aca="false">-G6*Assumptions!G31/100</f>
        <v>-704.733567875766</v>
      </c>
      <c r="H12" s="4" t="n">
        <f aca="false">-H6*Assumptions!H31/100</f>
        <v>-662.155914816605</v>
      </c>
      <c r="I12" s="4" t="n">
        <f aca="false">-I6*Assumptions!I31/100</f>
        <v>-613.999121011761</v>
      </c>
      <c r="J12" s="4" t="n">
        <f aca="false">-J6*Assumptions!J31/100</f>
        <v>-601.227939294716</v>
      </c>
      <c r="K12" s="4" t="n">
        <f aca="false">-K6*Assumptions!K31/100</f>
        <v>-587.700310660585</v>
      </c>
      <c r="L12" s="4" t="n">
        <f aca="false">-L6*Assumptions!L31/100</f>
        <v>-586.422701289584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1033.5677</v>
      </c>
      <c r="D13" s="0" t="n">
        <f aca="false">D11+D12</f>
        <v>1343.63801</v>
      </c>
      <c r="E13" s="0" t="n">
        <f aca="false">E11+E12</f>
        <v>1724.425022034</v>
      </c>
      <c r="F13" s="0" t="n">
        <f aca="false">F11+F12</f>
        <v>2074.0939152116</v>
      </c>
      <c r="G13" s="0" t="n">
        <f aca="false">G11+G12</f>
        <v>2360.85745238381</v>
      </c>
      <c r="H13" s="0" t="n">
        <f aca="false">H11+H12</f>
        <v>2612.50606391279</v>
      </c>
      <c r="I13" s="0" t="n">
        <f aca="false">I11+I12</f>
        <v>2848.95592149457</v>
      </c>
      <c r="J13" s="0" t="n">
        <f aca="false">J11+J12</f>
        <v>3006.13969647358</v>
      </c>
      <c r="K13" s="0" t="n">
        <f aca="false">K11+K12</f>
        <v>3155.69514637314</v>
      </c>
      <c r="L13" s="0" t="n">
        <f aca="false">L11+L12</f>
        <v>3231.84066488482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17.5</v>
      </c>
      <c r="E14" s="4" t="n">
        <f aca="false">Assumptions!E33</f>
        <v>18</v>
      </c>
      <c r="F14" s="4" t="n">
        <f aca="false">Assumptions!F33</f>
        <v>18.5</v>
      </c>
      <c r="G14" s="4" t="n">
        <f aca="false">Assumptions!G33</f>
        <v>19</v>
      </c>
      <c r="H14" s="4" t="n">
        <f aca="false">Assumptions!H33</f>
        <v>19.5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857.861191</v>
      </c>
      <c r="D15" s="0" t="n">
        <f aca="false">D13-MAX(0,D13)*D14/100</f>
        <v>1108.50135825</v>
      </c>
      <c r="E15" s="0" t="n">
        <f aca="false">E13-MAX(0,E13)*E14/100</f>
        <v>1414.02851806788</v>
      </c>
      <c r="F15" s="0" t="n">
        <f aca="false">F13-MAX(0,F13)*F14/100</f>
        <v>1690.38654089746</v>
      </c>
      <c r="G15" s="0" t="n">
        <f aca="false">G13-MAX(0,G13)*G14/100</f>
        <v>1912.29453643089</v>
      </c>
      <c r="H15" s="0" t="n">
        <f aca="false">H13-MAX(0,H13)*H14/100</f>
        <v>2103.06738144979</v>
      </c>
      <c r="I15" s="0" t="n">
        <f aca="false">I13-MAX(0,I13)*I14/100</f>
        <v>2279.16473719566</v>
      </c>
      <c r="J15" s="0" t="n">
        <f aca="false">J13-MAX(0,J13)*J14/100</f>
        <v>2404.91175717887</v>
      </c>
      <c r="K15" s="0" t="n">
        <f aca="false">K13-MAX(0,K13)*K14/100</f>
        <v>2524.55611709851</v>
      </c>
      <c r="L15" s="0" t="n">
        <f aca="false">L13-MAX(0,L13)*L14/100</f>
        <v>2585.47253190785</v>
      </c>
    </row>
    <row r="16" customFormat="false" ht="15" hidden="false" customHeight="false" outlineLevel="0" collapsed="false">
      <c r="A16" s="0" t="s">
        <v>128</v>
      </c>
      <c r="C16" s="0" t="n">
        <f aca="false">-C12</f>
        <v>826.85416</v>
      </c>
      <c r="D16" s="0" t="n">
        <f aca="false">-D12</f>
        <v>806.182806</v>
      </c>
      <c r="E16" s="0" t="n">
        <f aca="false">-E12</f>
        <v>778.772590596</v>
      </c>
      <c r="F16" s="0" t="n">
        <f aca="false">-F12</f>
        <v>744.84035629146</v>
      </c>
      <c r="G16" s="0" t="n">
        <f aca="false">-G12</f>
        <v>704.733567875766</v>
      </c>
      <c r="H16" s="0" t="n">
        <f aca="false">-H12</f>
        <v>662.155914816605</v>
      </c>
      <c r="I16" s="0" t="n">
        <f aca="false">-I12</f>
        <v>613.999121011761</v>
      </c>
      <c r="J16" s="0" t="n">
        <f aca="false">-J12</f>
        <v>601.227939294716</v>
      </c>
      <c r="K16" s="0" t="n">
        <f aca="false">-K12</f>
        <v>587.700310660585</v>
      </c>
      <c r="L16" s="0" t="n">
        <f aca="false">-L12</f>
        <v>586.422701289584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-186.042186</v>
      </c>
      <c r="D17" s="4" t="n">
        <f aca="false">-D6*Assumptions!D32/100</f>
        <v>-204.23297752</v>
      </c>
      <c r="E17" s="4" t="n">
        <f aca="false">-E6*Assumptions!E32/100</f>
        <v>-222.506454456</v>
      </c>
      <c r="F17" s="4" t="n">
        <f aca="false">-F6*Assumptions!F32/100</f>
        <v>-229.18164808968</v>
      </c>
      <c r="G17" s="4" t="n">
        <f aca="false">-G6*Assumptions!G32/100</f>
        <v>-246.656748756518</v>
      </c>
      <c r="H17" s="4" t="n">
        <f aca="false">-H6*Assumptions!H32/100</f>
        <v>-252.823167475431</v>
      </c>
      <c r="I17" s="4" t="n">
        <f aca="false">-I6*Assumptions!I32/100</f>
        <v>-270.159613245175</v>
      </c>
      <c r="J17" s="4" t="n">
        <f aca="false">-J6*Assumptions!J32/100</f>
        <v>-275.562805510078</v>
      </c>
      <c r="K17" s="4" t="n">
        <f aca="false">-K6*Assumptions!K32/100</f>
        <v>-281.07406162028</v>
      </c>
      <c r="L17" s="4" t="n">
        <f aca="false">-L6*Assumptions!L32/100</f>
        <v>-286.695542852686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-13.35231</v>
      </c>
      <c r="D18" s="4" t="n">
        <f aca="false">(D6-C6)*Assumptions!$B$37/100</f>
        <v>-12.4028124</v>
      </c>
      <c r="E18" s="4" t="n">
        <f aca="false">(E6-D6)*Assumptions!$B$37/100</f>
        <v>-11.286559284</v>
      </c>
      <c r="F18" s="4" t="n">
        <f aca="false">(F6-E6)*Assumptions!$B$37/100</f>
        <v>-10.01279045052</v>
      </c>
      <c r="G18" s="4" t="n">
        <f aca="false">(G6-F6)*Assumptions!$B$37/100</f>
        <v>-8.59431180336294</v>
      </c>
      <c r="H18" s="4" t="n">
        <f aca="false">(H6-G6)*Assumptions!$B$37/100</f>
        <v>-8.80916959844706</v>
      </c>
      <c r="I18" s="4" t="n">
        <f aca="false">(I6-H6)*Assumptions!$B$37/100</f>
        <v>-7.2235190707266</v>
      </c>
      <c r="J18" s="4" t="n">
        <f aca="false">(J6-I6)*Assumptions!$B$37/100</f>
        <v>-7.36798945214114</v>
      </c>
      <c r="K18" s="4" t="n">
        <f aca="false">(K6-J6)*Assumptions!$B$37/100</f>
        <v>-7.51534924118398</v>
      </c>
      <c r="L18" s="4" t="n">
        <f aca="false">(L6-K6)*Assumptions!$B$37/100</f>
        <v>-7.66565622600763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1485.320855</v>
      </c>
      <c r="D19" s="0" t="n">
        <f aca="false">D15+D16+D17+D18</f>
        <v>1698.04837433</v>
      </c>
      <c r="E19" s="0" t="n">
        <f aca="false">E15+E16+E17+E18</f>
        <v>1959.00809492388</v>
      </c>
      <c r="F19" s="0" t="n">
        <f aca="false">F15+F16+F17+F18</f>
        <v>2196.03245864872</v>
      </c>
      <c r="G19" s="0" t="n">
        <f aca="false">G15+G16+G17+G18</f>
        <v>2361.77704374678</v>
      </c>
      <c r="H19" s="0" t="n">
        <f aca="false">H15+H16+H17+H18</f>
        <v>2503.59095919252</v>
      </c>
      <c r="I19" s="0" t="n">
        <f aca="false">I15+I16+I17+I18</f>
        <v>2615.78072589152</v>
      </c>
      <c r="J19" s="0" t="n">
        <f aca="false">J15+J16+J17+J18</f>
        <v>2723.20890151136</v>
      </c>
      <c r="K19" s="0" t="n">
        <f aca="false">K15+K16+K17+K18</f>
        <v>2823.66701689764</v>
      </c>
      <c r="L19" s="0" t="n">
        <f aca="false">L15+L16+L17+L18</f>
        <v>2877.53403411875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1381.69381860465</v>
      </c>
      <c r="D21" s="0" t="n">
        <f aca="false">D19*D20</f>
        <v>1469.3766354397</v>
      </c>
      <c r="E21" s="0" t="n">
        <f aca="false">E19*E20</f>
        <v>1576.92427176385</v>
      </c>
      <c r="F21" s="0" t="n">
        <f aca="false">F19*F20</f>
        <v>1644.39026844227</v>
      </c>
      <c r="G21" s="0" t="n">
        <f aca="false">G19*G20</f>
        <v>1645.11618750815</v>
      </c>
      <c r="H21" s="0" t="n">
        <f aca="false">H19*H20</f>
        <v>1622.23059953419</v>
      </c>
      <c r="I21" s="0" t="n">
        <f aca="false">I19*I20</f>
        <v>1576.67465220533</v>
      </c>
      <c r="J21" s="0" t="n">
        <f aca="false">J19*J20</f>
        <v>1526.90931307415</v>
      </c>
      <c r="K21" s="0" t="n">
        <f aca="false">K19*K20</f>
        <v>1472.77804905463</v>
      </c>
      <c r="L21" s="0" t="n">
        <f aca="false">L19*L20</f>
        <v>1396.16204183523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15312.2558374622</v>
      </c>
    </row>
    <row r="31" customFormat="false" ht="15" hidden="false" customHeight="false" outlineLevel="0" collapsed="false">
      <c r="A31" s="0" t="s">
        <v>137</v>
      </c>
      <c r="B31" s="0" t="n">
        <f aca="false">L19</f>
        <v>2877.53403411875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53365.1766327476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43163.0105117812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43163.0105117812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20942.4306275285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36254.6864649907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29449.3864649907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198.045638634773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-0.129852202834918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2288.18779213566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3166.02882289665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234.724970275878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22577.5747292394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64.1484795225353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9890.6</v>
      </c>
      <c r="C6" s="0" t="n">
        <f aca="false">B6*(1+C5/100)</f>
        <v>10484.036</v>
      </c>
      <c r="D6" s="0" t="n">
        <f aca="false">C6*(1+D5/100)</f>
        <v>11165.49834</v>
      </c>
      <c r="E6" s="0" t="n">
        <f aca="false">D6*(1+E5/100)</f>
        <v>11891.2557321</v>
      </c>
      <c r="F6" s="0" t="n">
        <f aca="false">E6*(1+F5/100)</f>
        <v>12604.731076026</v>
      </c>
      <c r="G6" s="0" t="n">
        <f aca="false">F6*(1+G5/100)</f>
        <v>13297.9912852074</v>
      </c>
      <c r="H6" s="0" t="n">
        <f aca="false">G6*(1+H5/100)</f>
        <v>13962.8908494678</v>
      </c>
      <c r="I6" s="0" t="n">
        <f aca="false">H6*(1+I5/100)</f>
        <v>14591.2209376939</v>
      </c>
      <c r="J6" s="0" t="n">
        <f aca="false">I6*(1+J5/100)</f>
        <v>15174.8697752016</v>
      </c>
      <c r="K6" s="0" t="n">
        <f aca="false">J6*(1+K5/100)</f>
        <v>15705.9902173337</v>
      </c>
      <c r="L6" s="0" t="n">
        <f aca="false">K6*(1+L5/100)</f>
        <v>16177.1699238537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23</v>
      </c>
      <c r="D7" s="4" t="n">
        <f aca="false">Assumptions!D42</f>
        <v>26</v>
      </c>
      <c r="E7" s="4" t="n">
        <f aca="false">Assumptions!E42</f>
        <v>29</v>
      </c>
      <c r="F7" s="4" t="n">
        <f aca="false">Assumptions!F42</f>
        <v>31.5</v>
      </c>
      <c r="G7" s="4" t="n">
        <f aca="false">Assumptions!G42</f>
        <v>33.5</v>
      </c>
      <c r="H7" s="4" t="n">
        <f aca="false">Assumptions!H42</f>
        <v>35</v>
      </c>
      <c r="I7" s="4" t="n">
        <f aca="false">Assumptions!I42</f>
        <v>36</v>
      </c>
      <c r="J7" s="4" t="n">
        <f aca="false">Assumptions!J42</f>
        <v>36.5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2411.32828</v>
      </c>
      <c r="D8" s="0" t="n">
        <f aca="false">D6*D7/100</f>
        <v>2903.0295684</v>
      </c>
      <c r="E8" s="0" t="n">
        <f aca="false">E6*E7/100</f>
        <v>3448.464162309</v>
      </c>
      <c r="F8" s="0" t="n">
        <f aca="false">F6*F7/100</f>
        <v>3970.49028894819</v>
      </c>
      <c r="G8" s="0" t="n">
        <f aca="false">G6*G7/100</f>
        <v>4454.82708054449</v>
      </c>
      <c r="H8" s="0" t="n">
        <f aca="false">H6*H7/100</f>
        <v>4887.01179731373</v>
      </c>
      <c r="I8" s="0" t="n">
        <f aca="false">I6*I7/100</f>
        <v>5252.83953756979</v>
      </c>
      <c r="J8" s="0" t="n">
        <f aca="false">J6*J7/100</f>
        <v>5538.82746794859</v>
      </c>
      <c r="K8" s="0" t="n">
        <f aca="false">K6*K7/100</f>
        <v>5811.21638041346</v>
      </c>
      <c r="L8" s="0" t="n">
        <f aca="false">L6*L7/100</f>
        <v>5985.55287182586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3</v>
      </c>
      <c r="D9" s="4" t="n">
        <f aca="false">Assumptions!D43</f>
        <v>2.9</v>
      </c>
      <c r="E9" s="4" t="n">
        <f aca="false">Assumptions!E43</f>
        <v>2.9</v>
      </c>
      <c r="F9" s="4" t="n">
        <f aca="false">Assumptions!F43</f>
        <v>2.8</v>
      </c>
      <c r="G9" s="4" t="n">
        <f aca="false">Assumptions!G43</f>
        <v>2.8</v>
      </c>
      <c r="H9" s="4" t="n">
        <f aca="false">Assumptions!H43</f>
        <v>2.7</v>
      </c>
      <c r="I9" s="4" t="n">
        <f aca="false">Assumptions!I43</f>
        <v>2.7</v>
      </c>
      <c r="J9" s="4" t="n">
        <f aca="false">Assumptions!J43</f>
        <v>2.6</v>
      </c>
      <c r="K9" s="4" t="n">
        <f aca="false">Assumptions!K43</f>
        <v>2.6</v>
      </c>
      <c r="L9" s="4" t="n">
        <f aca="false">Assumptions!L43</f>
        <v>2.6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-314.52108</v>
      </c>
      <c r="D10" s="0" t="n">
        <f aca="false">-D6*D9/100</f>
        <v>-323.79945186</v>
      </c>
      <c r="E10" s="0" t="n">
        <f aca="false">-E6*E9/100</f>
        <v>-344.8464162309</v>
      </c>
      <c r="F10" s="0" t="n">
        <f aca="false">-F6*F9/100</f>
        <v>-352.932470128728</v>
      </c>
      <c r="G10" s="0" t="n">
        <f aca="false">-G6*G9/100</f>
        <v>-372.343755985808</v>
      </c>
      <c r="H10" s="0" t="n">
        <f aca="false">-H6*H9/100</f>
        <v>-376.998052935631</v>
      </c>
      <c r="I10" s="0" t="n">
        <f aca="false">-I6*I9/100</f>
        <v>-393.962965317734</v>
      </c>
      <c r="J10" s="0" t="n">
        <f aca="false">-J6*J9/100</f>
        <v>-394.546614155242</v>
      </c>
      <c r="K10" s="0" t="n">
        <f aca="false">-K6*K9/100</f>
        <v>-408.355745650675</v>
      </c>
      <c r="L10" s="0" t="n">
        <f aca="false">-L6*L9/100</f>
        <v>-420.606418020195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2096.8072</v>
      </c>
      <c r="D11" s="0" t="n">
        <f aca="false">D8+D10+D24</f>
        <v>2579.23011654</v>
      </c>
      <c r="E11" s="0" t="n">
        <f aca="false">E8+E10+E24</f>
        <v>3103.6177460781</v>
      </c>
      <c r="F11" s="0" t="n">
        <f aca="false">F8+F10+F24</f>
        <v>3617.55781881946</v>
      </c>
      <c r="G11" s="0" t="n">
        <f aca="false">G8+G10+G24</f>
        <v>4082.48332455868</v>
      </c>
      <c r="H11" s="0" t="n">
        <f aca="false">H8+H10+H24</f>
        <v>4510.0137443781</v>
      </c>
      <c r="I11" s="0" t="n">
        <f aca="false">I8+I10+I24</f>
        <v>4858.87657225205</v>
      </c>
      <c r="J11" s="0" t="n">
        <f aca="false">J8+J10+J24</f>
        <v>5144.28085379334</v>
      </c>
      <c r="K11" s="0" t="n">
        <f aca="false">K8+K10+K24</f>
        <v>5402.86063476278</v>
      </c>
      <c r="L11" s="0" t="n">
        <f aca="false">L8+L10+L24</f>
        <v>5564.94645380566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-786.3027</v>
      </c>
      <c r="D12" s="4" t="n">
        <f aca="false">-D6*Assumptions!D45/100</f>
        <v>-781.5848838</v>
      </c>
      <c r="E12" s="4" t="n">
        <f aca="false">-E6*Assumptions!E45/100</f>
        <v>-772.9316225865</v>
      </c>
      <c r="F12" s="4" t="n">
        <f aca="false">-F6*Assumptions!F45/100</f>
        <v>-756.28386456156</v>
      </c>
      <c r="G12" s="4" t="n">
        <f aca="false">-G6*Assumptions!G45/100</f>
        <v>-731.389520686409</v>
      </c>
      <c r="H12" s="4" t="n">
        <f aca="false">-H6*Assumptions!H45/100</f>
        <v>-698.14454247339</v>
      </c>
      <c r="I12" s="4" t="n">
        <f aca="false">-I6*Assumptions!I45/100</f>
        <v>-685.787384071611</v>
      </c>
      <c r="J12" s="4" t="n">
        <f aca="false">-J6*Assumptions!J45/100</f>
        <v>-682.869139884072</v>
      </c>
      <c r="K12" s="4" t="n">
        <f aca="false">-K6*Assumptions!K45/100</f>
        <v>-675.357579345348</v>
      </c>
      <c r="L12" s="4" t="n">
        <f aca="false">-L6*Assumptions!L45/100</f>
        <v>-679.441136801854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1310.5045</v>
      </c>
      <c r="D13" s="0" t="n">
        <f aca="false">D11+D12</f>
        <v>1797.64523274</v>
      </c>
      <c r="E13" s="0" t="n">
        <f aca="false">E11+E12</f>
        <v>2330.6861234916</v>
      </c>
      <c r="F13" s="0" t="n">
        <f aca="false">F11+F12</f>
        <v>2861.2739542579</v>
      </c>
      <c r="G13" s="0" t="n">
        <f aca="false">G11+G12</f>
        <v>3351.09380387227</v>
      </c>
      <c r="H13" s="0" t="n">
        <f aca="false">H11+H12</f>
        <v>3811.86920190471</v>
      </c>
      <c r="I13" s="0" t="n">
        <f aca="false">I11+I12</f>
        <v>4173.08918818044</v>
      </c>
      <c r="J13" s="0" t="n">
        <f aca="false">J11+J12</f>
        <v>4461.41171390927</v>
      </c>
      <c r="K13" s="0" t="n">
        <f aca="false">K11+K12</f>
        <v>4727.50305541743</v>
      </c>
      <c r="L13" s="0" t="n">
        <f aca="false">L11+L12</f>
        <v>4885.50531700381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17.5</v>
      </c>
      <c r="E14" s="4" t="n">
        <f aca="false">Assumptions!E47</f>
        <v>18</v>
      </c>
      <c r="F14" s="4" t="n">
        <f aca="false">Assumptions!F47</f>
        <v>18.5</v>
      </c>
      <c r="G14" s="4" t="n">
        <f aca="false">Assumptions!G47</f>
        <v>19</v>
      </c>
      <c r="H14" s="4" t="n">
        <f aca="false">Assumptions!H47</f>
        <v>19.5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1087.718735</v>
      </c>
      <c r="D15" s="0" t="n">
        <f aca="false">D13-MAX(0,D13)*D14/100</f>
        <v>1483.0573170105</v>
      </c>
      <c r="E15" s="0" t="n">
        <f aca="false">E13-MAX(0,E13)*E14/100</f>
        <v>1911.16262126311</v>
      </c>
      <c r="F15" s="0" t="n">
        <f aca="false">F13-MAX(0,F13)*F14/100</f>
        <v>2331.93827272019</v>
      </c>
      <c r="G15" s="0" t="n">
        <f aca="false">G13-MAX(0,G13)*G14/100</f>
        <v>2714.38598113654</v>
      </c>
      <c r="H15" s="0" t="n">
        <f aca="false">H13-MAX(0,H13)*H14/100</f>
        <v>3068.55470753329</v>
      </c>
      <c r="I15" s="0" t="n">
        <f aca="false">I13-MAX(0,I13)*I14/100</f>
        <v>3338.47135054435</v>
      </c>
      <c r="J15" s="0" t="n">
        <f aca="false">J13-MAX(0,J13)*J14/100</f>
        <v>3569.12937112742</v>
      </c>
      <c r="K15" s="0" t="n">
        <f aca="false">K13-MAX(0,K13)*K14/100</f>
        <v>3782.00244433395</v>
      </c>
      <c r="L15" s="0" t="n">
        <f aca="false">L13-MAX(0,L13)*L14/100</f>
        <v>3908.40425360305</v>
      </c>
    </row>
    <row r="16" customFormat="false" ht="15" hidden="false" customHeight="false" outlineLevel="0" collapsed="false">
      <c r="A16" s="0" t="s">
        <v>128</v>
      </c>
      <c r="C16" s="0" t="n">
        <f aca="false">-C12</f>
        <v>786.3027</v>
      </c>
      <c r="D16" s="0" t="n">
        <f aca="false">-D12</f>
        <v>781.5848838</v>
      </c>
      <c r="E16" s="0" t="n">
        <f aca="false">-E12</f>
        <v>772.9316225865</v>
      </c>
      <c r="F16" s="0" t="n">
        <f aca="false">-F12</f>
        <v>756.28386456156</v>
      </c>
      <c r="G16" s="0" t="n">
        <f aca="false">-G12</f>
        <v>731.389520686409</v>
      </c>
      <c r="H16" s="0" t="n">
        <f aca="false">-H12</f>
        <v>698.14454247339</v>
      </c>
      <c r="I16" s="0" t="n">
        <f aca="false">-I12</f>
        <v>685.787384071611</v>
      </c>
      <c r="J16" s="0" t="n">
        <f aca="false">-J12</f>
        <v>682.869139884072</v>
      </c>
      <c r="K16" s="0" t="n">
        <f aca="false">-K12</f>
        <v>675.357579345348</v>
      </c>
      <c r="L16" s="0" t="n">
        <f aca="false">-L12</f>
        <v>679.441136801854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-188.712648</v>
      </c>
      <c r="D17" s="4" t="n">
        <f aca="false">-D6*Assumptions!D46/100</f>
        <v>-212.14446846</v>
      </c>
      <c r="E17" s="4" t="n">
        <f aca="false">-E6*Assumptions!E46/100</f>
        <v>-237.825114642</v>
      </c>
      <c r="F17" s="4" t="n">
        <f aca="false">-F6*Assumptions!F46/100</f>
        <v>-252.09462152052</v>
      </c>
      <c r="G17" s="4" t="n">
        <f aca="false">-G6*Assumptions!G46/100</f>
        <v>-279.257816989356</v>
      </c>
      <c r="H17" s="4" t="n">
        <f aca="false">-H6*Assumptions!H46/100</f>
        <v>-293.220707838824</v>
      </c>
      <c r="I17" s="4" t="n">
        <f aca="false">-I6*Assumptions!I46/100</f>
        <v>-321.006860629265</v>
      </c>
      <c r="J17" s="4" t="n">
        <f aca="false">-J6*Assumptions!J46/100</f>
        <v>-333.847135054435</v>
      </c>
      <c r="K17" s="4" t="n">
        <f aca="false">-K6*Assumptions!K46/100</f>
        <v>-345.531784781341</v>
      </c>
      <c r="L17" s="4" t="n">
        <f aca="false">-L6*Assumptions!L46/100</f>
        <v>-355.897738324781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-17.80308</v>
      </c>
      <c r="D18" s="4" t="n">
        <f aca="false">(D6-C6)*Assumptions!$B$51/100</f>
        <v>-20.4438702</v>
      </c>
      <c r="E18" s="4" t="n">
        <f aca="false">(E6-D6)*Assumptions!$B$51/100</f>
        <v>-21.772721763</v>
      </c>
      <c r="F18" s="4" t="n">
        <f aca="false">(F6-E6)*Assumptions!$B$51/100</f>
        <v>-21.40426031778</v>
      </c>
      <c r="G18" s="4" t="n">
        <f aca="false">(G6-F6)*Assumptions!$B$51/100</f>
        <v>-20.7978062754429</v>
      </c>
      <c r="H18" s="4" t="n">
        <f aca="false">(H6-G6)*Assumptions!$B$51/100</f>
        <v>-19.9469869278111</v>
      </c>
      <c r="I18" s="4" t="n">
        <f aca="false">(I6-H6)*Assumptions!$B$51/100</f>
        <v>-18.8499026467815</v>
      </c>
      <c r="J18" s="4" t="n">
        <f aca="false">(J6-I6)*Assumptions!$B$51/100</f>
        <v>-17.5094651252327</v>
      </c>
      <c r="K18" s="4" t="n">
        <f aca="false">(K6-J6)*Assumptions!$B$51/100</f>
        <v>-15.9336132639616</v>
      </c>
      <c r="L18" s="4" t="n">
        <f aca="false">(L6-K6)*Assumptions!$B$51/100</f>
        <v>-14.1353911956003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1667.505707</v>
      </c>
      <c r="D19" s="0" t="n">
        <f aca="false">D15+D16+D17+D18</f>
        <v>2032.0538621505</v>
      </c>
      <c r="E19" s="0" t="n">
        <f aca="false">E15+E16+E17+E18</f>
        <v>2424.49640744461</v>
      </c>
      <c r="F19" s="0" t="n">
        <f aca="false">F15+F16+F17+F18</f>
        <v>2814.72325544345</v>
      </c>
      <c r="G19" s="0" t="n">
        <f aca="false">G15+G16+G17+G18</f>
        <v>3145.71987855815</v>
      </c>
      <c r="H19" s="0" t="n">
        <f aca="false">H15+H16+H17+H18</f>
        <v>3453.53155524005</v>
      </c>
      <c r="I19" s="0" t="n">
        <f aca="false">I15+I16+I17+I18</f>
        <v>3684.40197133992</v>
      </c>
      <c r="J19" s="0" t="n">
        <f aca="false">J15+J16+J17+J18</f>
        <v>3900.64191083182</v>
      </c>
      <c r="K19" s="0" t="n">
        <f aca="false">K15+K16+K17+K18</f>
        <v>4095.89462563399</v>
      </c>
      <c r="L19" s="0" t="n">
        <f aca="false">L15+L16+L17+L18</f>
        <v>4217.81226088452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1551.16809953488</v>
      </c>
      <c r="D21" s="0" t="n">
        <f aca="false">D19*D20</f>
        <v>1758.40247671217</v>
      </c>
      <c r="E21" s="0" t="n">
        <f aca="false">E19*E20</f>
        <v>1951.6240089106</v>
      </c>
      <c r="F21" s="0" t="n">
        <f aca="false">F19*F20</f>
        <v>2107.66626484994</v>
      </c>
      <c r="G21" s="0" t="n">
        <f aca="false">G19*G20</f>
        <v>2191.17833636504</v>
      </c>
      <c r="H21" s="0" t="n">
        <f aca="false">H19*H20</f>
        <v>2237.75555060091</v>
      </c>
      <c r="I21" s="0" t="n">
        <f aca="false">I19*I20</f>
        <v>2220.79134510296</v>
      </c>
      <c r="J21" s="0" t="n">
        <f aca="false">J19*J20</f>
        <v>2187.09863107122</v>
      </c>
      <c r="K21" s="0" t="n">
        <f aca="false">K19*K20</f>
        <v>2136.35094356923</v>
      </c>
      <c r="L21" s="0" t="n">
        <f aca="false">L19*L20</f>
        <v>2046.45689969664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20388.4925564136</v>
      </c>
    </row>
    <row r="31" customFormat="false" ht="15" hidden="false" customHeight="false" outlineLevel="0" collapsed="false">
      <c r="A31" s="0" t="s">
        <v>137</v>
      </c>
      <c r="B31" s="0" t="n">
        <f aca="false">L19</f>
        <v>4217.81226088452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86465.1513481326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63267.1839132678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63267.1839132678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30696.8534954496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51085.3460518632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44280.0460518632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297.781076340708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0.308352707999594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2494.02881491915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4183.55144467454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342.687466788547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34586.0605392531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106.644256673026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65.8713823305598</v>
      </c>
      <c r="C4" s="0" t="n">
        <f aca="false">B4/Assumptions!$B$2-1</f>
        <v>-0.710582678688226</v>
      </c>
      <c r="D4" s="4" t="n">
        <f aca="false">Assumptions!$B$24</f>
        <v>0.3</v>
      </c>
      <c r="E4" s="4" t="n">
        <f aca="false">DCF_Bear!$B$43</f>
        <v>94.6760136703843</v>
      </c>
      <c r="F4" s="4" t="n">
        <f aca="false">DCF_Bear!$B$47</f>
        <v>11.6838372205431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198.045638634773</v>
      </c>
      <c r="C5" s="0" t="n">
        <f aca="false">B5/Assumptions!$B$2-1</f>
        <v>-0.129852202834918</v>
      </c>
      <c r="D5" s="4" t="n">
        <f aca="false">Assumptions!$B$38</f>
        <v>0.45</v>
      </c>
      <c r="E5" s="4" t="n">
        <f aca="false">DCF_Base!$B$43</f>
        <v>234.724970275878</v>
      </c>
      <c r="F5" s="4" t="n">
        <f aca="false">DCF_Base!$B$47</f>
        <v>64.1484795225353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297.781076340708</v>
      </c>
      <c r="C6" s="0" t="n">
        <f aca="false">B6/Assumptions!$B$2-1</f>
        <v>0.308352707999594</v>
      </c>
      <c r="D6" s="4" t="n">
        <f aca="false">Assumptions!$B$52</f>
        <v>0.25</v>
      </c>
      <c r="E6" s="4" t="n">
        <f aca="false">DCF_Bull!$B$43</f>
        <v>342.687466788547</v>
      </c>
      <c r="F6" s="4" t="n">
        <f aca="false">DCF_Bull!$B$47</f>
        <v>106.644256673026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183.327221169992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219.700907422397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-0.24149593577789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121.716502756387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59.0330311195603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198.045638634773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168.847555135557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140.312284835608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118.187191230292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100.545468109247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64.1484795225353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238.481079139239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238.481079139239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238.481079139239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238.481079139239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238.481079139239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217.30061713652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217.30061713652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217.30061713652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217.30061713652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217.30061713652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198.045638634773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198.045638634773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198.045638634773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198.045638634773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198.045638634773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167.396697967881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176.240775836398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180.520168353422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180.520168353422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180.520168353422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140.205796979824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146.492797835889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153.618065472763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161.761228486334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164.549982943036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2026-09-25T23:27:29Z</dcterms:created>
  <dc:creator>openpyxl</dc:creator>
  <dc:description/>
  <dc:language>en-NZ</dc:language>
  <cp:lastModifiedBy/>
  <dcterms:modified xsi:type="dcterms:W3CDTF">2026-09-25T23:27:29Z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