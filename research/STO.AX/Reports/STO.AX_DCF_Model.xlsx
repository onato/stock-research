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<sst xmlns="http://schemas.openxmlformats.org/spreadsheetml/2006/main" count="364" uniqueCount="168">
  <si>
    <t xml:space="preserve">Ticker</t>
  </si>
  <si>
    <t xml:space="preserve">STO.AX</t>
  </si>
  <si>
    <t xml:space="preserve">Company</t>
  </si>
  <si>
    <t xml:space="preserve">Santos Limited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</si>
  <si>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</si>
  <si>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</si>
  <si>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</si>
  <si>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</si>
  <si>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2026-09-25T05:16:20Z regular ASX session (Yahoo Finance chart API); 52-week range 5.90-8.81 AUD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</si>
  <si>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</si>
  <si>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</si>
  <si>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</si>
  <si>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</si>
  <si>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</si>
  <si>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</si>
  <si>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</si>
  <si>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AUD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</si>
  <si>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</si>
  <si>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</si>
  <si>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</si>
  <si>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</si>
  <si>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</si>
  <si>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2026-09-25T05:20:04Z</t>
  </si>
  <si>
    <t xml:space="preserve">Drivers file</t>
  </si>
  <si>
    <t xml:space="preserve">STO.AX_Drivers.json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</si>
  <si>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</si>
  <si>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</si>
  <si>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</si>
  <si>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Santos is valued as a mid-cycle owner-FCF DCF: reported free cash flow over FY2023-2025 is deeply depressed by the tail of the Barossa LNG and Pikka Phase 1 (Alaska) construction supercycle (capex ran 32-45% of revenue against high-60s% EBITDA margins), and FY2022's apparent FCF peak ($2.85bn) was itself a one-off oil/LNG price spike, not a repeatable base -- so neither year is extrapolated forward. Instead the model builds a component path (EBITDA margin, capex%, D&amp;A%, cash tax rate) anchored to management's own FY2026 guidance and stated medium-term targets (25-30% production growth by 2027 vs 2024, capex guidance ~$1.95-2.15bn, unit cost trending toward $6.78/boe and below), assuming no further re-rating of an already-elevated commodity price environment. Net debt is taken inclusive of lease liabilities (management's own definition, which spiked on recognition of the Barossa FPSO lease) at the latest, 30-Jun-2026, balance date. The 2025 XRG/ADNOC-led consortium takeover approach (~US$5.76/share indicative) was formally withdrawn in September 2025 and is not live; it is noted as context for the market's demonstrated willingness to pay a strategic-scarcity premium for Santos's LNG infrastructure position, which a pure standalone-cash-flow DCF does not capture.
key_risks_to_valuation: Direct, high-magnitude exposure to Brent/JCC oil and Asian LNG spot prices with no structural hedge against a sustained downturn -- management's own sensitivity is $550-600m FCF per $10/bbl once Barossa/Pikka reach plateau, and today's spot price sits well above the guided breakeven; Papua LNG FID (targeted Q4 2026) and subsequent ~US$14bn multi-partner construction execution risk, concentrated in PNG's higher political/security-risk jurisdiction alongside existing PNG LNG exposure; Australian domestic gas reservation policy remains a live regulatory overhang even after being softened (start delayed to 2028, 'up to' 20%) -- a stricter reinstated form could force below-market domestic sales; Elevated gearing (28.1% including leases at 1H2026, $5.8-6.2bn net debt) constrains near-term capital flexibility until the targeted $2.5bn de-gearing by 2030 materialises, which itself depends on the price and volume assumptions above; No commodity price-deck re-rating is modelled -- if oil/LNG prices structurally re-rate higher (or lower) from today's already-elevated level for reasons beyond Santos's guided sensitivity, the mid-cycle component build will understate (or overstate) value versus a full price-deck model</t>
  </si>
  <si>
    <t xml:space="preserve">Data sources</t>
  </si>
  <si>
    <t xml:space="preserve">price: Yahoo Finance chart API at inputs.price_as_of; 52-week range as printed there
financials: ./research/STO.AX/Reports/STO.AX_Metrics.csv and STO.AX.duckdb core_metrics/kpis (FY2015-FY2025 annual, H1-2016 through H1-2026 half-year); STO.AX_Annual_FY2023/FY2024/FY2025.txt and STO.AX_HalfYear_H1-2026.txt for lease, tax and guidance detail (file:line cited inline in inputs.notes/lease_treatment)
qualitative: ./research/STO.AX/Reports/STO.AX_Analysis.json</t>
  </si>
  <si>
    <t xml:space="preserve">Scenario narrative: bear</t>
  </si>
  <si>
    <t xml:space="preserve">Oil and LNG prices mean-revert hard from today's elevated levels toward Santos's own guided breakeven, a stricter domestic gas reservation scheme binds from 2028, Papua LNG slips on PNG political/execution risk, and the low-cost operating model cushions but does not offset the margin and volume damage, while capex stays comparatively sticky and de-gearing stalls.</t>
  </si>
  <si>
    <t xml:space="preserve">Scenario narrative: base</t>
  </si>
  <si>
    <t xml:space="preserve">Peak construction capex on Barossa and Pikka Phase 1 is behind Santos as both reached production in 2025-2026; FY2026-27 sees a genuine step-up in free cash flow as commissioning costs unwind and full-year volumes flow through, before a mid-horizon lull while Papua LNG is built and a second, smaller growth leg as Papua LNG and PNG LNG backfill reach first production around 2030-31. EBITDA margin holds at the 66-67% actually delivered since 2022, not the immature 55% of the pre-cost-program era. No commodity price re-rating is assumed above today's already-elevated level.</t>
  </si>
  <si>
    <t xml:space="preserve">Scenario narrative: bull</t>
  </si>
  <si>
    <t xml:space="preserve">Prices stay structurally elevated, Papua LNG FIDs on schedule and executes cleanly, Pikka scales beyond its 80,000 bbl/d plateau, backfill and cost-reduction programs overdeliver, and Santos's repeated status as a strategic acquisition target continues to attract inbound interest -- though this scenario values only the standalone cash flows.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</si>
  <si>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</si>
  <si>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</si>
  <si>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</si>
  <si>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</si>
  <si>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</si>
  <si>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</si>
  <si>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</si>
  <si>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</si>
  <si>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</si>
  <si>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</si>
  <si>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</si>
  <si>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</si>
  <si>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</si>
  <si>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</si>
  <si>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</si>
  <si>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</si>
  <si>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</si>
  <si>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</si>
  <si>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</si>
  <si>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</si>
  <si>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</si>
  <si>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</si>
  <si>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</si>
  <si>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</si>
  <si>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</si>
  <si>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</si>
  <si>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</si>
  <si>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UnderlyingNPAT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</si>
  <si>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</si>
  <si>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</si>
  <si>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</si>
  <si>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</si>
  <si>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</si>
  <si>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</si>
  <si>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</si>
  <si>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</si>
  <si>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</si>
  <si>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</si>
  <si>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</si>
  <si>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</si>
  <si>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</si>
  <si>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</si>
  <si>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</si>
  <si>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</si>
  <si>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</si>
  <si>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</si>
  <si>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</si>
  <si>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</si>
  <si>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</si>
  <si>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</si>
  <si>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</si>
  <si>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</si>
  <si>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</si>
  <si>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</si>
  <si>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</si>
  <si>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</si>
  <si>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</si>
  <si>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</si>
  <si>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</si>
  <si>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</si>
  <si>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</si>
  <si>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</si>
  <si>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</si>
  <si>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</si>
  <si>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</si>
  <si>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</si>
  <si>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</si>
  <si>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</si>
  <si>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</si>
  <si>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</si>
  <si>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</si>
  <si>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</si>
  <si>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</si>
  <si>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</si>
  <si>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</si>
  <si>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</si>
  <si>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STO.AX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</si>
  <si>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</si>
  <si>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</si>
  <si>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</si>
  <si>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</si>
  <si>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</si>
  <si>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</si>
  <si>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</si>
  <si>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</si>
  <si>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</si>
  <si>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</si>
  <si>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</si>
  <si>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</si>
  <si>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</si>
  <si>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</si>
  <si>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</si>
  <si>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</si>
  <si>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</si>
  <si>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</si>
  <si>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</si>
  <si>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</si>
  <si>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</si>
  <si>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</si>
  <si>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</si>
  <si>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</si>
  <si>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</si>
  <si>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</si>
  <si>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</si>
  <si>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</si>
  <si>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</si>
  <si>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</si>
  <si>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STO.AX owner-FCF component DCF: base case (millions, USD)</t>
  </si>
  <si>
    <t xml:space="preserve">STO.AX owner-FCF component DCF: bull case (millions, USD)</t>
  </si>
  <si>
    <t xml:space="preserve">STO.AX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</si>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</sst>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8.59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2478</v>
      </c>
      <c r="C2" s="0" t="n">
        <v>1883</v>
      </c>
      <c r="D2" s="0" t="n">
        <v>559</v>
      </c>
      <c r="E2" s="0" t="n">
        <v>22.6</v>
      </c>
      <c r="F2" s="0" t="n">
        <v>-2381</v>
      </c>
      <c r="G2" s="0" t="n">
        <v>-96.1</v>
      </c>
      <c r="H2" s="0" t="n">
        <v>1266</v>
      </c>
      <c r="I2" s="0" t="n">
        <v>-1953</v>
      </c>
      <c r="J2" s="0" t="n">
        <v>-78.8</v>
      </c>
      <c r="K2" s="0" t="n">
        <v>-1.695</v>
      </c>
      <c r="L2" s="0" t="n">
        <v>811</v>
      </c>
      <c r="M2" s="0" t="n">
        <v>1421</v>
      </c>
      <c r="N2" s="0" t="n">
        <v>-610</v>
      </c>
      <c r="O2" s="0" t="n">
        <v>7421</v>
      </c>
      <c r="P2" s="0" t="n">
        <v>15949</v>
      </c>
      <c r="Q2" s="0" t="n">
        <v>8528</v>
      </c>
      <c r="R2" s="0" t="n">
        <v>5398</v>
      </c>
      <c r="S2" s="0" t="n">
        <v>839</v>
      </c>
      <c r="T2" s="0" t="n">
        <v>1152</v>
      </c>
      <c r="U2" s="0" t="n">
        <v>17</v>
      </c>
      <c r="V2" s="0" t="n">
        <v>0.15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66</v>
      </c>
      <c r="B3" s="0" t="n">
        <v>2627</v>
      </c>
      <c r="C3" s="0" t="n">
        <v>2153</v>
      </c>
      <c r="D3" s="0" t="n">
        <v>441</v>
      </c>
      <c r="E3" s="0" t="n">
        <v>16.8</v>
      </c>
      <c r="F3" s="0" t="n">
        <v>-1204</v>
      </c>
      <c r="G3" s="0" t="n">
        <v>-45.8</v>
      </c>
      <c r="H3" s="0" t="n">
        <v>1098</v>
      </c>
      <c r="I3" s="0" t="n">
        <v>-1047</v>
      </c>
      <c r="J3" s="0" t="n">
        <v>-39.9</v>
      </c>
      <c r="K3" s="0" t="n">
        <v>-0.582</v>
      </c>
      <c r="L3" s="0" t="n">
        <v>857</v>
      </c>
      <c r="M3" s="0" t="n">
        <v>649</v>
      </c>
      <c r="N3" s="0" t="n">
        <v>208</v>
      </c>
      <c r="O3" s="0" t="n">
        <v>7080</v>
      </c>
      <c r="P3" s="0" t="n">
        <v>15262</v>
      </c>
      <c r="Q3" s="0" t="n">
        <v>8182</v>
      </c>
      <c r="R3" s="0" t="n">
        <v>5239</v>
      </c>
      <c r="S3" s="0" t="n">
        <v>2026</v>
      </c>
      <c r="T3" s="0" t="n">
        <v>1799</v>
      </c>
      <c r="U3" s="0" t="n">
        <v>10</v>
      </c>
      <c r="V3" s="0" t="n">
        <v>0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67</v>
      </c>
      <c r="B4" s="0" t="n">
        <v>3172</v>
      </c>
      <c r="C4" s="0" t="n">
        <v>2272</v>
      </c>
      <c r="D4" s="0" t="n">
        <v>835</v>
      </c>
      <c r="E4" s="0" t="n">
        <v>26.3</v>
      </c>
      <c r="F4" s="0" t="n">
        <v>-315</v>
      </c>
      <c r="G4" s="0" t="n">
        <v>-9.9</v>
      </c>
      <c r="H4" s="0" t="n">
        <v>1365</v>
      </c>
      <c r="I4" s="0" t="n">
        <v>-360</v>
      </c>
      <c r="J4" s="0" t="n">
        <v>-11.3</v>
      </c>
      <c r="K4" s="0" t="n">
        <v>-0.173</v>
      </c>
      <c r="L4" s="0" t="n">
        <v>1248</v>
      </c>
      <c r="M4" s="0" t="n">
        <v>634</v>
      </c>
      <c r="N4" s="0" t="n">
        <v>614</v>
      </c>
      <c r="O4" s="0" t="n">
        <v>7151</v>
      </c>
      <c r="P4" s="0" t="n">
        <v>13706</v>
      </c>
      <c r="Q4" s="0" t="n">
        <v>6555</v>
      </c>
      <c r="R4" s="0" t="n">
        <v>3943</v>
      </c>
      <c r="S4" s="0" t="n">
        <v>1231</v>
      </c>
      <c r="T4" s="0" t="n">
        <v>2081</v>
      </c>
      <c r="U4" s="0" t="n">
        <v>14</v>
      </c>
      <c r="V4" s="0" t="n">
        <v>0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68</v>
      </c>
      <c r="B5" s="0" t="n">
        <v>3773</v>
      </c>
      <c r="C5" s="0" t="n">
        <v>2329</v>
      </c>
      <c r="D5" s="0" t="n">
        <v>1331</v>
      </c>
      <c r="E5" s="0" t="n">
        <v>35.3</v>
      </c>
      <c r="F5" s="0" t="n">
        <v>1334</v>
      </c>
      <c r="G5" s="0" t="n">
        <v>35.4</v>
      </c>
      <c r="H5" s="0" t="n">
        <v>2101</v>
      </c>
      <c r="I5" s="0" t="n">
        <v>630</v>
      </c>
      <c r="J5" s="0" t="n">
        <v>16.7</v>
      </c>
      <c r="K5" s="0" t="n">
        <v>0.302</v>
      </c>
      <c r="L5" s="0" t="n">
        <v>1578</v>
      </c>
      <c r="M5" s="0" t="n">
        <v>566</v>
      </c>
      <c r="N5" s="0" t="n">
        <v>1012</v>
      </c>
      <c r="O5" s="0" t="n">
        <v>7279</v>
      </c>
      <c r="P5" s="0" t="n">
        <v>17134</v>
      </c>
      <c r="Q5" s="0" t="n">
        <v>9855</v>
      </c>
      <c r="R5" s="0" t="n">
        <v>4919</v>
      </c>
      <c r="S5" s="0" t="n">
        <v>1316</v>
      </c>
      <c r="T5" s="0" t="n">
        <v>2100</v>
      </c>
      <c r="U5" s="0" t="n">
        <v>13</v>
      </c>
      <c r="V5" s="0" t="n">
        <v>0.097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69</v>
      </c>
      <c r="B6" s="0" t="n">
        <v>4186</v>
      </c>
      <c r="C6" s="0" t="n">
        <v>2714</v>
      </c>
      <c r="D6" s="0" t="n">
        <v>1319</v>
      </c>
      <c r="E6" s="0" t="n">
        <v>31.5</v>
      </c>
      <c r="F6" s="0" t="n">
        <v>1295</v>
      </c>
      <c r="G6" s="0" t="n">
        <v>30.9</v>
      </c>
      <c r="H6" s="0" t="n">
        <v>2356</v>
      </c>
      <c r="I6" s="0" t="n">
        <v>674</v>
      </c>
      <c r="J6" s="0" t="n">
        <v>16.1</v>
      </c>
      <c r="K6" s="0" t="n">
        <v>0.324</v>
      </c>
      <c r="L6" s="0" t="n">
        <v>2046</v>
      </c>
      <c r="M6" s="0" t="n">
        <v>859</v>
      </c>
      <c r="N6" s="0" t="n">
        <v>1187</v>
      </c>
      <c r="O6" s="0" t="n">
        <v>7676</v>
      </c>
      <c r="P6" s="0" t="n">
        <v>16509</v>
      </c>
      <c r="Q6" s="0" t="n">
        <v>8833</v>
      </c>
      <c r="R6" s="0" t="n">
        <v>4421</v>
      </c>
      <c r="S6" s="0" t="n">
        <v>1067</v>
      </c>
      <c r="T6" s="0" t="n">
        <v>2100</v>
      </c>
      <c r="U6" s="0" t="n">
        <v>21</v>
      </c>
      <c r="V6" s="0" t="n">
        <v>0.11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70</v>
      </c>
      <c r="B7" s="0" t="n">
        <v>3512</v>
      </c>
      <c r="C7" s="0" t="n">
        <v>2642</v>
      </c>
      <c r="D7" s="0" t="n">
        <v>745</v>
      </c>
      <c r="E7" s="0" t="n">
        <v>21.2</v>
      </c>
      <c r="F7" s="0" t="n">
        <v>-72</v>
      </c>
      <c r="G7" s="0" t="n">
        <v>-2.1</v>
      </c>
      <c r="H7" s="0" t="n">
        <v>1838</v>
      </c>
      <c r="I7" s="0" t="n">
        <v>-357</v>
      </c>
      <c r="J7" s="0" t="n">
        <v>-10.2</v>
      </c>
      <c r="K7" s="0" t="n">
        <v>-0.171</v>
      </c>
      <c r="L7" s="0" t="n">
        <v>1476</v>
      </c>
      <c r="M7" s="0" t="n">
        <v>761</v>
      </c>
      <c r="N7" s="0" t="n">
        <v>715</v>
      </c>
      <c r="O7" s="0" t="n">
        <v>7227</v>
      </c>
      <c r="P7" s="0" t="n">
        <v>17656</v>
      </c>
      <c r="Q7" s="0" t="n">
        <v>10429</v>
      </c>
      <c r="R7" s="0" t="n">
        <v>4999</v>
      </c>
      <c r="S7" s="0" t="n">
        <v>1319</v>
      </c>
      <c r="T7" s="0" t="n">
        <v>2088</v>
      </c>
      <c r="U7" s="0" t="n">
        <v>21</v>
      </c>
      <c r="V7" s="0" t="n">
        <v>0.071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71</v>
      </c>
      <c r="B8" s="0" t="n">
        <v>4837</v>
      </c>
      <c r="C8" s="0" t="n">
        <v>2982</v>
      </c>
      <c r="D8" s="0" t="n">
        <v>1731</v>
      </c>
      <c r="E8" s="0" t="n">
        <v>35.8</v>
      </c>
      <c r="F8" s="0" t="n">
        <v>1422</v>
      </c>
      <c r="G8" s="0" t="n">
        <v>29.4</v>
      </c>
      <c r="H8" s="0" t="n">
        <v>2673</v>
      </c>
      <c r="I8" s="0" t="n">
        <v>658</v>
      </c>
      <c r="J8" s="0" t="n">
        <v>13.6</v>
      </c>
      <c r="K8" s="0" t="n">
        <v>0.308</v>
      </c>
      <c r="L8" s="0" t="n">
        <v>2272</v>
      </c>
      <c r="M8" s="0" t="n">
        <v>1087</v>
      </c>
      <c r="N8" s="0" t="n">
        <v>1185</v>
      </c>
      <c r="O8" s="0" t="n">
        <v>13610</v>
      </c>
      <c r="P8" s="0" t="n">
        <v>30009</v>
      </c>
      <c r="Q8" s="0" t="n">
        <v>16399</v>
      </c>
      <c r="R8" s="0" t="n">
        <v>8049</v>
      </c>
      <c r="S8" s="0" t="n">
        <v>2976</v>
      </c>
      <c r="T8" s="0" t="n">
        <v>2150</v>
      </c>
      <c r="U8" s="0" t="n">
        <v>31</v>
      </c>
      <c r="V8" s="0" t="n">
        <v>0.14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72</v>
      </c>
      <c r="B9" s="0" t="n">
        <v>7987</v>
      </c>
      <c r="C9" s="0" t="n">
        <v>3900</v>
      </c>
      <c r="D9" s="0" t="n">
        <v>3890</v>
      </c>
      <c r="E9" s="0" t="n">
        <v>48.7</v>
      </c>
      <c r="F9" s="0" t="n">
        <v>3202</v>
      </c>
      <c r="G9" s="0" t="n">
        <v>40.1</v>
      </c>
      <c r="H9" s="0" t="n">
        <v>5277</v>
      </c>
      <c r="I9" s="0" t="n">
        <v>2112</v>
      </c>
      <c r="J9" s="0" t="n">
        <v>26.4</v>
      </c>
      <c r="K9" s="0" t="n">
        <v>0.63</v>
      </c>
      <c r="L9" s="0" t="n">
        <v>4558</v>
      </c>
      <c r="M9" s="0" t="n">
        <v>1707</v>
      </c>
      <c r="N9" s="0" t="n">
        <v>2851</v>
      </c>
      <c r="O9" s="0" t="n">
        <v>14843</v>
      </c>
      <c r="P9" s="0" t="n">
        <v>28856</v>
      </c>
      <c r="Q9" s="0" t="n">
        <v>14013</v>
      </c>
      <c r="R9" s="0" t="n">
        <v>5519</v>
      </c>
      <c r="S9" s="0" t="n">
        <v>2352</v>
      </c>
      <c r="T9" s="0" t="n">
        <v>3363</v>
      </c>
      <c r="U9" s="0" t="n">
        <v>38</v>
      </c>
      <c r="V9" s="0" t="n">
        <v>0.227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73</v>
      </c>
      <c r="B10" s="0" t="n">
        <v>6034</v>
      </c>
      <c r="C10" s="0" t="n">
        <v>3667</v>
      </c>
      <c r="D10" s="0" t="n">
        <v>2222</v>
      </c>
      <c r="E10" s="0" t="n">
        <v>36.8</v>
      </c>
      <c r="F10" s="0" t="n">
        <v>2046</v>
      </c>
      <c r="G10" s="0" t="n">
        <v>33.9</v>
      </c>
      <c r="H10" s="0" t="n">
        <v>3979</v>
      </c>
      <c r="I10" s="0" t="n">
        <v>1416</v>
      </c>
      <c r="J10" s="0" t="n">
        <v>23.5</v>
      </c>
      <c r="K10" s="0" t="n">
        <v>0.434</v>
      </c>
      <c r="L10" s="0" t="n">
        <v>3258</v>
      </c>
      <c r="M10" s="0" t="n">
        <v>2369</v>
      </c>
      <c r="N10" s="0" t="n">
        <v>889</v>
      </c>
      <c r="O10" s="0" t="n">
        <v>15275</v>
      </c>
      <c r="P10" s="0" t="n">
        <v>29756</v>
      </c>
      <c r="Q10" s="0" t="n">
        <v>14481</v>
      </c>
      <c r="R10" s="0" t="n">
        <v>6159</v>
      </c>
      <c r="S10" s="0" t="n">
        <v>1875</v>
      </c>
      <c r="T10" s="0" t="n">
        <v>3278</v>
      </c>
      <c r="U10" s="0" t="n">
        <v>25</v>
      </c>
      <c r="V10" s="0" t="n">
        <v>0.262</v>
      </c>
      <c r="AA10" s="0" t="s">
        <v>18</v>
      </c>
      <c r="AB10" s="0" t="s">
        <v>14</v>
      </c>
    </row>
    <row r="11" customFormat="false" ht="15" hidden="false" customHeight="false" outlineLevel="0" collapsed="false">
      <c r="A11" s="0" t="s">
        <v>74</v>
      </c>
      <c r="B11" s="0" t="n">
        <v>5518</v>
      </c>
      <c r="C11" s="0" t="n">
        <v>3395</v>
      </c>
      <c r="D11" s="0" t="n">
        <v>1986</v>
      </c>
      <c r="E11" s="0" t="n">
        <v>36</v>
      </c>
      <c r="F11" s="0" t="n">
        <v>1918</v>
      </c>
      <c r="G11" s="0" t="n">
        <v>34.8</v>
      </c>
      <c r="H11" s="0" t="n">
        <v>3706</v>
      </c>
      <c r="I11" s="0" t="n">
        <v>1224</v>
      </c>
      <c r="J11" s="0" t="n">
        <v>22.2</v>
      </c>
      <c r="K11" s="0" t="n">
        <v>0.378</v>
      </c>
      <c r="L11" s="0" t="n">
        <v>2850</v>
      </c>
      <c r="M11" s="0" t="n">
        <v>2401</v>
      </c>
      <c r="N11" s="0" t="n">
        <v>449</v>
      </c>
      <c r="O11" s="0" t="n">
        <v>15537</v>
      </c>
      <c r="P11" s="0" t="n">
        <v>29633</v>
      </c>
      <c r="Q11" s="0" t="n">
        <v>14096</v>
      </c>
      <c r="R11" s="0" t="n">
        <v>6688</v>
      </c>
      <c r="S11" s="0" t="n">
        <v>1833</v>
      </c>
      <c r="T11" s="0" t="n">
        <v>3255</v>
      </c>
      <c r="U11" s="0" t="n">
        <v>36</v>
      </c>
      <c r="V11" s="0" t="n">
        <v>0.233</v>
      </c>
      <c r="AA11" s="0" t="s">
        <v>18</v>
      </c>
      <c r="AB11" s="0" t="s">
        <v>14</v>
      </c>
    </row>
    <row r="12" customFormat="false" ht="15" hidden="false" customHeight="false" outlineLevel="0" collapsed="false">
      <c r="A12" s="0" t="s">
        <v>75</v>
      </c>
      <c r="B12" s="0" t="n">
        <v>5082</v>
      </c>
      <c r="C12" s="0" t="n">
        <v>3275</v>
      </c>
      <c r="D12" s="0" t="n">
        <v>1664</v>
      </c>
      <c r="E12" s="0" t="n">
        <v>32.7</v>
      </c>
      <c r="F12" s="0" t="n">
        <v>1448</v>
      </c>
      <c r="G12" s="0" t="n">
        <v>28.5</v>
      </c>
      <c r="H12" s="0" t="n">
        <v>3391</v>
      </c>
      <c r="I12" s="0" t="n">
        <v>818</v>
      </c>
      <c r="J12" s="0" t="n">
        <v>16.1</v>
      </c>
      <c r="K12" s="0" t="n">
        <v>0.252</v>
      </c>
      <c r="L12" s="0" t="n">
        <v>2813</v>
      </c>
      <c r="M12" s="0" t="n">
        <v>2056</v>
      </c>
      <c r="N12" s="0" t="n">
        <v>757</v>
      </c>
      <c r="O12" s="0" t="n">
        <v>15665</v>
      </c>
      <c r="P12" s="0" t="n">
        <v>30530</v>
      </c>
      <c r="Q12" s="0" t="n">
        <v>14865</v>
      </c>
      <c r="R12" s="0" t="n">
        <v>7540</v>
      </c>
      <c r="S12" s="0" t="n">
        <v>1722</v>
      </c>
      <c r="T12" s="0" t="n">
        <v>3259</v>
      </c>
      <c r="U12" s="0" t="n">
        <v>26</v>
      </c>
      <c r="V12" s="0" t="n">
        <v>0.237</v>
      </c>
      <c r="AA12" s="0" t="s">
        <v>18</v>
      </c>
      <c r="AB12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0" t="s">
        <v>78</v>
      </c>
      <c r="B2" s="3" t="n">
        <v>8.59</v>
      </c>
    </row>
    <row r="3" customFormat="false" ht="15" hidden="false" customHeight="false" outlineLevel="0" collapsed="false">
      <c r="A3" s="0" t="s">
        <v>79</v>
      </c>
      <c r="B3" s="3" t="n">
        <v>3257</v>
      </c>
    </row>
    <row r="4" customFormat="false" ht="15" hidden="false" customHeight="false" outlineLevel="0" collapsed="false">
      <c r="A4" s="0" t="s">
        <v>80</v>
      </c>
      <c r="B4" s="3" t="n">
        <v>6223</v>
      </c>
    </row>
    <row r="5" customFormat="false" ht="15" hidden="false" customHeight="false" outlineLevel="0" collapsed="false">
      <c r="A5" s="0" t="s">
        <v>81</v>
      </c>
      <c r="B5" s="3" t="n">
        <v>0</v>
      </c>
    </row>
    <row r="6" customFormat="false" ht="15" hidden="false" customHeight="false" outlineLevel="0" collapsed="false">
      <c r="A6" s="0" t="s">
        <v>82</v>
      </c>
      <c r="B6" s="3" t="n">
        <v>15</v>
      </c>
    </row>
    <row r="7" customFormat="false" ht="15" hidden="false" customHeight="false" outlineLevel="0" collapsed="false">
      <c r="A7" s="0" t="s">
        <v>83</v>
      </c>
      <c r="B7" s="3" t="n">
        <v>5082</v>
      </c>
    </row>
    <row r="8" customFormat="false" ht="15" hidden="false" customHeight="false" outlineLevel="0" collapsed="false">
      <c r="A8" s="0" t="s">
        <v>84</v>
      </c>
      <c r="B8" s="3" t="s">
        <v>75</v>
      </c>
    </row>
    <row r="9" customFormat="false" ht="15" hidden="false" customHeight="false" outlineLevel="0" collapsed="false">
      <c r="A9" s="0" t="s">
        <v>85</v>
      </c>
      <c r="B9" s="3" t="s">
        <v>86</v>
      </c>
    </row>
    <row r="10" customFormat="false" ht="15" hidden="false" customHeight="false" outlineLevel="0" collapsed="false">
      <c r="A10" s="0" t="s">
        <v>87</v>
      </c>
      <c r="B10" s="3" t="n">
        <v>1.4247</v>
      </c>
    </row>
    <row r="12" customFormat="false" ht="15" hidden="false" customHeight="false" outlineLevel="0" collapsed="false">
      <c r="A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98</v>
      </c>
    </row>
    <row r="13" customFormat="false" ht="15" hidden="false" customHeight="false" outlineLevel="0" collapsed="false">
      <c r="A13" s="0" t="s">
        <v>99</v>
      </c>
      <c r="C13" s="3" t="n">
        <v>2</v>
      </c>
      <c r="D13" s="3" t="n">
        <v>-1</v>
      </c>
      <c r="E13" s="3" t="n">
        <v>-3</v>
      </c>
      <c r="F13" s="3" t="n">
        <v>-2</v>
      </c>
      <c r="G13" s="3" t="n">
        <v>-1</v>
      </c>
      <c r="H13" s="3" t="n">
        <v>0</v>
      </c>
      <c r="I13" s="3" t="n">
        <v>1</v>
      </c>
      <c r="J13" s="3" t="n">
        <v>1.5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100</v>
      </c>
      <c r="C14" s="3" t="n">
        <v>63</v>
      </c>
      <c r="D14" s="3" t="n">
        <v>61</v>
      </c>
      <c r="E14" s="3" t="n">
        <v>59</v>
      </c>
      <c r="F14" s="3" t="n">
        <v>58</v>
      </c>
      <c r="G14" s="3" t="n">
        <v>58</v>
      </c>
      <c r="H14" s="3" t="n">
        <v>58</v>
      </c>
      <c r="I14" s="3" t="n">
        <v>58</v>
      </c>
      <c r="J14" s="3" t="n">
        <v>58</v>
      </c>
      <c r="K14" s="3" t="n">
        <v>58</v>
      </c>
      <c r="L14" s="3" t="n">
        <v>58</v>
      </c>
    </row>
    <row r="15" customFormat="false" ht="15" hidden="false" customHeight="false" outlineLevel="0" collapsed="false">
      <c r="A15" s="0" t="s">
        <v>101</v>
      </c>
      <c r="C15" s="3" t="n">
        <v>0.5</v>
      </c>
      <c r="D15" s="3" t="n">
        <v>0.5</v>
      </c>
      <c r="E15" s="3" t="n">
        <v>0.5</v>
      </c>
      <c r="F15" s="3" t="n">
        <v>0.5</v>
      </c>
      <c r="G15" s="3" t="n">
        <v>0.5</v>
      </c>
      <c r="H15" s="3" t="n">
        <v>0.5</v>
      </c>
      <c r="I15" s="3" t="n">
        <v>0.5</v>
      </c>
      <c r="J15" s="3" t="n">
        <v>0.5</v>
      </c>
      <c r="K15" s="3" t="n">
        <v>0.5</v>
      </c>
      <c r="L15" s="3" t="n">
        <v>0.5</v>
      </c>
    </row>
    <row r="16" customFormat="false" ht="15" hidden="false" customHeight="false" outlineLevel="0" collapsed="false">
      <c r="A16" s="0" t="s">
        <v>102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103</v>
      </c>
      <c r="C17" s="3" t="n">
        <v>41</v>
      </c>
      <c r="D17" s="3" t="n">
        <v>40</v>
      </c>
      <c r="E17" s="3" t="n">
        <v>39</v>
      </c>
      <c r="F17" s="3" t="n">
        <v>38</v>
      </c>
      <c r="G17" s="3" t="n">
        <v>37</v>
      </c>
      <c r="H17" s="3" t="n">
        <v>37</v>
      </c>
      <c r="I17" s="3" t="n">
        <v>36</v>
      </c>
      <c r="J17" s="3" t="n">
        <v>36</v>
      </c>
      <c r="K17" s="3" t="n">
        <v>36</v>
      </c>
      <c r="L17" s="3" t="n">
        <v>36</v>
      </c>
    </row>
    <row r="18" customFormat="false" ht="15" hidden="false" customHeight="false" outlineLevel="0" collapsed="false">
      <c r="A18" s="0" t="s">
        <v>104</v>
      </c>
      <c r="C18" s="3" t="n">
        <v>40</v>
      </c>
      <c r="D18" s="3" t="n">
        <v>36</v>
      </c>
      <c r="E18" s="3" t="n">
        <v>32</v>
      </c>
      <c r="F18" s="3" t="n">
        <v>30</v>
      </c>
      <c r="G18" s="3" t="n">
        <v>32</v>
      </c>
      <c r="H18" s="3" t="n">
        <v>33</v>
      </c>
      <c r="I18" s="3" t="n">
        <v>30</v>
      </c>
      <c r="J18" s="3" t="n">
        <v>27</v>
      </c>
      <c r="K18" s="3" t="n">
        <v>25</v>
      </c>
      <c r="L18" s="3" t="n">
        <v>24</v>
      </c>
    </row>
    <row r="19" customFormat="false" ht="15" hidden="false" customHeight="false" outlineLevel="0" collapsed="false">
      <c r="A19" s="0" t="s">
        <v>105</v>
      </c>
      <c r="C19" s="3" t="n">
        <v>24</v>
      </c>
      <c r="D19" s="3" t="n">
        <v>24</v>
      </c>
      <c r="E19" s="3" t="n">
        <v>23</v>
      </c>
      <c r="F19" s="3" t="n">
        <v>22</v>
      </c>
      <c r="G19" s="3" t="n">
        <v>22</v>
      </c>
      <c r="H19" s="3" t="n">
        <v>23</v>
      </c>
      <c r="I19" s="3" t="n">
        <v>23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106</v>
      </c>
      <c r="B20" s="3" t="n">
        <v>9.5</v>
      </c>
    </row>
    <row r="21" customFormat="false" ht="15" hidden="false" customHeight="false" outlineLevel="0" collapsed="false">
      <c r="A21" s="0" t="s">
        <v>107</v>
      </c>
      <c r="B21" s="3" t="n">
        <v>1</v>
      </c>
    </row>
    <row r="22" customFormat="false" ht="15" hidden="false" customHeight="false" outlineLevel="0" collapsed="false">
      <c r="A22" s="0" t="s">
        <v>108</v>
      </c>
      <c r="B22" s="3" t="n">
        <v>9</v>
      </c>
    </row>
    <row r="23" customFormat="false" ht="15" hidden="false" customHeight="false" outlineLevel="0" collapsed="false">
      <c r="A23" s="0" t="s">
        <v>109</v>
      </c>
      <c r="B23" s="3" t="n">
        <v>0</v>
      </c>
    </row>
    <row r="24" customFormat="false" ht="15" hidden="false" customHeight="false" outlineLevel="0" collapsed="false">
      <c r="A24" s="0" t="s">
        <v>110</v>
      </c>
      <c r="B24" s="3" t="n">
        <v>0.25</v>
      </c>
    </row>
    <row r="26" customFormat="false" ht="15" hidden="false" customHeight="false" outlineLevel="0" collapsed="false">
      <c r="A26" s="2" t="s">
        <v>111</v>
      </c>
      <c r="C26" s="2" t="s">
        <v>89</v>
      </c>
      <c r="D26" s="2" t="s">
        <v>90</v>
      </c>
      <c r="E26" s="2" t="s">
        <v>91</v>
      </c>
      <c r="F26" s="2" t="s">
        <v>92</v>
      </c>
      <c r="G26" s="2" t="s">
        <v>93</v>
      </c>
      <c r="H26" s="2" t="s">
        <v>94</v>
      </c>
      <c r="I26" s="2" t="s">
        <v>95</v>
      </c>
      <c r="J26" s="2" t="s">
        <v>96</v>
      </c>
      <c r="K26" s="2" t="s">
        <v>97</v>
      </c>
      <c r="L26" s="2" t="s">
        <v>98</v>
      </c>
    </row>
    <row r="27" customFormat="false" ht="15" hidden="false" customHeight="false" outlineLevel="0" collapsed="false">
      <c r="A27" s="0" t="s">
        <v>99</v>
      </c>
      <c r="C27" s="3" t="n">
        <v>7</v>
      </c>
      <c r="D27" s="3" t="n">
        <v>6</v>
      </c>
      <c r="E27" s="3" t="n">
        <v>4</v>
      </c>
      <c r="F27" s="3" t="n">
        <v>2</v>
      </c>
      <c r="G27" s="3" t="n">
        <v>1.5</v>
      </c>
      <c r="H27" s="3" t="n">
        <v>2</v>
      </c>
      <c r="I27" s="3" t="n">
        <v>3.5</v>
      </c>
      <c r="J27" s="3" t="n">
        <v>4</v>
      </c>
      <c r="K27" s="3" t="n">
        <v>3</v>
      </c>
      <c r="L27" s="3" t="n">
        <v>2</v>
      </c>
    </row>
    <row r="28" customFormat="false" ht="15" hidden="false" customHeight="false" outlineLevel="0" collapsed="false">
      <c r="A28" s="0" t="s">
        <v>100</v>
      </c>
      <c r="C28" s="3" t="n">
        <v>66.5</v>
      </c>
      <c r="D28" s="3" t="n">
        <v>67</v>
      </c>
      <c r="E28" s="3" t="n">
        <v>67</v>
      </c>
      <c r="F28" s="3" t="n">
        <v>67</v>
      </c>
      <c r="G28" s="3" t="n">
        <v>67</v>
      </c>
      <c r="H28" s="3" t="n">
        <v>67</v>
      </c>
      <c r="I28" s="3" t="n">
        <v>67</v>
      </c>
      <c r="J28" s="3" t="n">
        <v>67</v>
      </c>
      <c r="K28" s="3" t="n">
        <v>67</v>
      </c>
      <c r="L28" s="3" t="n">
        <v>67</v>
      </c>
    </row>
    <row r="29" customFormat="false" ht="15" hidden="false" customHeight="false" outlineLevel="0" collapsed="false">
      <c r="A29" s="0" t="s">
        <v>101</v>
      </c>
      <c r="C29" s="3" t="n">
        <v>0.5</v>
      </c>
      <c r="D29" s="3" t="n">
        <v>0.5</v>
      </c>
      <c r="E29" s="3" t="n">
        <v>0.5</v>
      </c>
      <c r="F29" s="3" t="n">
        <v>0.5</v>
      </c>
      <c r="G29" s="3" t="n">
        <v>0.5</v>
      </c>
      <c r="H29" s="3" t="n">
        <v>0.5</v>
      </c>
      <c r="I29" s="3" t="n">
        <v>0.5</v>
      </c>
      <c r="J29" s="3" t="n">
        <v>0.5</v>
      </c>
      <c r="K29" s="3" t="n">
        <v>0.5</v>
      </c>
      <c r="L29" s="3" t="n">
        <v>0.5</v>
      </c>
    </row>
    <row r="30" customFormat="false" ht="15" hidden="false" customHeight="false" outlineLevel="0" collapsed="false">
      <c r="A30" s="0" t="s">
        <v>102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103</v>
      </c>
      <c r="C31" s="3" t="n">
        <v>39</v>
      </c>
      <c r="D31" s="3" t="n">
        <v>37</v>
      </c>
      <c r="E31" s="3" t="n">
        <v>35</v>
      </c>
      <c r="F31" s="3" t="n">
        <v>34</v>
      </c>
      <c r="G31" s="3" t="n">
        <v>33</v>
      </c>
      <c r="H31" s="3" t="n">
        <v>33</v>
      </c>
      <c r="I31" s="3" t="n">
        <v>32</v>
      </c>
      <c r="J31" s="3" t="n">
        <v>32</v>
      </c>
      <c r="K31" s="3" t="n">
        <v>31</v>
      </c>
      <c r="L31" s="3" t="n">
        <v>31</v>
      </c>
    </row>
    <row r="32" customFormat="false" ht="15" hidden="false" customHeight="false" outlineLevel="0" collapsed="false">
      <c r="A32" s="0" t="s">
        <v>104</v>
      </c>
      <c r="C32" s="3" t="n">
        <v>38</v>
      </c>
      <c r="D32" s="3" t="n">
        <v>32</v>
      </c>
      <c r="E32" s="3" t="n">
        <v>26</v>
      </c>
      <c r="F32" s="3" t="n">
        <v>24</v>
      </c>
      <c r="G32" s="3" t="n">
        <v>27</v>
      </c>
      <c r="H32" s="3" t="n">
        <v>29</v>
      </c>
      <c r="I32" s="3" t="n">
        <v>26</v>
      </c>
      <c r="J32" s="3" t="n">
        <v>23</v>
      </c>
      <c r="K32" s="3" t="n">
        <v>21</v>
      </c>
      <c r="L32" s="3" t="n">
        <v>20</v>
      </c>
    </row>
    <row r="33" customFormat="false" ht="15" hidden="false" customHeight="false" outlineLevel="0" collapsed="false">
      <c r="A33" s="0" t="s">
        <v>105</v>
      </c>
      <c r="C33" s="3" t="n">
        <v>24</v>
      </c>
      <c r="D33" s="3" t="n">
        <v>25</v>
      </c>
      <c r="E33" s="3" t="n">
        <v>25</v>
      </c>
      <c r="F33" s="3" t="n">
        <v>26</v>
      </c>
      <c r="G33" s="3" t="n">
        <v>26</v>
      </c>
      <c r="H33" s="3" t="n">
        <v>27</v>
      </c>
      <c r="I33" s="3" t="n">
        <v>27</v>
      </c>
      <c r="J33" s="3" t="n">
        <v>27</v>
      </c>
      <c r="K33" s="3" t="n">
        <v>27</v>
      </c>
      <c r="L33" s="3" t="n">
        <v>27</v>
      </c>
    </row>
    <row r="34" customFormat="false" ht="15" hidden="false" customHeight="false" outlineLevel="0" collapsed="false">
      <c r="A34" s="0" t="s">
        <v>106</v>
      </c>
      <c r="B34" s="3" t="n">
        <v>9.5</v>
      </c>
    </row>
    <row r="35" customFormat="false" ht="15" hidden="false" customHeight="false" outlineLevel="0" collapsed="false">
      <c r="A35" s="0" t="s">
        <v>107</v>
      </c>
      <c r="B35" s="3" t="n">
        <v>2</v>
      </c>
    </row>
    <row r="36" customFormat="false" ht="15" hidden="false" customHeight="false" outlineLevel="0" collapsed="false">
      <c r="A36" s="0" t="s">
        <v>108</v>
      </c>
      <c r="B36" s="3" t="n">
        <v>12</v>
      </c>
    </row>
    <row r="37" customFormat="false" ht="15" hidden="false" customHeight="false" outlineLevel="0" collapsed="false">
      <c r="A37" s="0" t="s">
        <v>109</v>
      </c>
      <c r="B37" s="3" t="n">
        <v>0</v>
      </c>
    </row>
    <row r="38" customFormat="false" ht="15" hidden="false" customHeight="false" outlineLevel="0" collapsed="false">
      <c r="A38" s="0" t="s">
        <v>110</v>
      </c>
      <c r="B38" s="3" t="n">
        <v>0.5</v>
      </c>
    </row>
    <row r="40" customFormat="false" ht="15" hidden="false" customHeight="false" outlineLevel="0" collapsed="false">
      <c r="A40" s="2" t="s">
        <v>112</v>
      </c>
      <c r="C40" s="2" t="s">
        <v>89</v>
      </c>
      <c r="D40" s="2" t="s">
        <v>90</v>
      </c>
      <c r="E40" s="2" t="s">
        <v>91</v>
      </c>
      <c r="F40" s="2" t="s">
        <v>92</v>
      </c>
      <c r="G40" s="2" t="s">
        <v>93</v>
      </c>
      <c r="H40" s="2" t="s">
        <v>94</v>
      </c>
      <c r="I40" s="2" t="s">
        <v>95</v>
      </c>
      <c r="J40" s="2" t="s">
        <v>96</v>
      </c>
      <c r="K40" s="2" t="s">
        <v>97</v>
      </c>
      <c r="L40" s="2" t="s">
        <v>98</v>
      </c>
    </row>
    <row r="41" customFormat="false" ht="15" hidden="false" customHeight="false" outlineLevel="0" collapsed="false">
      <c r="A41" s="0" t="s">
        <v>99</v>
      </c>
      <c r="C41" s="3" t="n">
        <v>12</v>
      </c>
      <c r="D41" s="3" t="n">
        <v>10</v>
      </c>
      <c r="E41" s="3" t="n">
        <v>7</v>
      </c>
      <c r="F41" s="3" t="n">
        <v>5</v>
      </c>
      <c r="G41" s="3" t="n">
        <v>4</v>
      </c>
      <c r="H41" s="3" t="n">
        <v>4.5</v>
      </c>
      <c r="I41" s="3" t="n">
        <v>6</v>
      </c>
      <c r="J41" s="3" t="n">
        <v>6</v>
      </c>
      <c r="K41" s="3" t="n">
        <v>4.5</v>
      </c>
      <c r="L41" s="3" t="n">
        <v>3</v>
      </c>
    </row>
    <row r="42" customFormat="false" ht="15" hidden="false" customHeight="false" outlineLevel="0" collapsed="false">
      <c r="A42" s="0" t="s">
        <v>100</v>
      </c>
      <c r="C42" s="3" t="n">
        <v>68</v>
      </c>
      <c r="D42" s="3" t="n">
        <v>69</v>
      </c>
      <c r="E42" s="3" t="n">
        <v>69.5</v>
      </c>
      <c r="F42" s="3" t="n">
        <v>70</v>
      </c>
      <c r="G42" s="3" t="n">
        <v>70</v>
      </c>
      <c r="H42" s="3" t="n">
        <v>70</v>
      </c>
      <c r="I42" s="3" t="n">
        <v>70</v>
      </c>
      <c r="J42" s="3" t="n">
        <v>70</v>
      </c>
      <c r="K42" s="3" t="n">
        <v>70</v>
      </c>
      <c r="L42" s="3" t="n">
        <v>70</v>
      </c>
    </row>
    <row r="43" customFormat="false" ht="15" hidden="false" customHeight="false" outlineLevel="0" collapsed="false">
      <c r="A43" s="0" t="s">
        <v>101</v>
      </c>
      <c r="C43" s="3" t="n">
        <v>0.5</v>
      </c>
      <c r="D43" s="3" t="n">
        <v>0.5</v>
      </c>
      <c r="E43" s="3" t="n">
        <v>0.5</v>
      </c>
      <c r="F43" s="3" t="n">
        <v>0.5</v>
      </c>
      <c r="G43" s="3" t="n">
        <v>0.5</v>
      </c>
      <c r="H43" s="3" t="n">
        <v>0.5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102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103</v>
      </c>
      <c r="C45" s="3" t="n">
        <v>37</v>
      </c>
      <c r="D45" s="3" t="n">
        <v>35</v>
      </c>
      <c r="E45" s="3" t="n">
        <v>33</v>
      </c>
      <c r="F45" s="3" t="n">
        <v>31</v>
      </c>
      <c r="G45" s="3" t="n">
        <v>30</v>
      </c>
      <c r="H45" s="3" t="n">
        <v>30</v>
      </c>
      <c r="I45" s="3" t="n">
        <v>29</v>
      </c>
      <c r="J45" s="3" t="n">
        <v>29</v>
      </c>
      <c r="K45" s="3" t="n">
        <v>28</v>
      </c>
      <c r="L45" s="3" t="n">
        <v>28</v>
      </c>
    </row>
    <row r="46" customFormat="false" ht="15" hidden="false" customHeight="false" outlineLevel="0" collapsed="false">
      <c r="A46" s="0" t="s">
        <v>104</v>
      </c>
      <c r="C46" s="3" t="n">
        <v>36</v>
      </c>
      <c r="D46" s="3" t="n">
        <v>30</v>
      </c>
      <c r="E46" s="3" t="n">
        <v>24</v>
      </c>
      <c r="F46" s="3" t="n">
        <v>21</v>
      </c>
      <c r="G46" s="3" t="n">
        <v>24</v>
      </c>
      <c r="H46" s="3" t="n">
        <v>26</v>
      </c>
      <c r="I46" s="3" t="n">
        <v>22</v>
      </c>
      <c r="J46" s="3" t="n">
        <v>19</v>
      </c>
      <c r="K46" s="3" t="n">
        <v>17</v>
      </c>
      <c r="L46" s="3" t="n">
        <v>16</v>
      </c>
    </row>
    <row r="47" customFormat="false" ht="15" hidden="false" customHeight="false" outlineLevel="0" collapsed="false">
      <c r="A47" s="0" t="s">
        <v>105</v>
      </c>
      <c r="C47" s="3" t="n">
        <v>23</v>
      </c>
      <c r="D47" s="3" t="n">
        <v>24</v>
      </c>
      <c r="E47" s="3" t="n">
        <v>24</v>
      </c>
      <c r="F47" s="3" t="n">
        <v>25</v>
      </c>
      <c r="G47" s="3" t="n">
        <v>25</v>
      </c>
      <c r="H47" s="3" t="n">
        <v>26</v>
      </c>
      <c r="I47" s="3" t="n">
        <v>26</v>
      </c>
      <c r="J47" s="3" t="n">
        <v>26</v>
      </c>
      <c r="K47" s="3" t="n">
        <v>26</v>
      </c>
      <c r="L47" s="3" t="n">
        <v>26</v>
      </c>
    </row>
    <row r="48" customFormat="false" ht="15" hidden="false" customHeight="false" outlineLevel="0" collapsed="false">
      <c r="A48" s="0" t="s">
        <v>106</v>
      </c>
      <c r="B48" s="3" t="n">
        <v>9.5</v>
      </c>
    </row>
    <row r="49" customFormat="false" ht="15" hidden="false" customHeight="false" outlineLevel="0" collapsed="false">
      <c r="A49" s="0" t="s">
        <v>107</v>
      </c>
      <c r="B49" s="3" t="n">
        <v>2.5</v>
      </c>
    </row>
    <row r="50" customFormat="false" ht="15" hidden="false" customHeight="false" outlineLevel="0" collapsed="false">
      <c r="A50" s="0" t="s">
        <v>108</v>
      </c>
      <c r="B50" s="3" t="n">
        <v>14</v>
      </c>
    </row>
    <row r="51" customFormat="false" ht="15" hidden="false" customHeight="false" outlineLevel="0" collapsed="false">
      <c r="A51" s="0" t="s">
        <v>109</v>
      </c>
      <c r="B51" s="3" t="n">
        <v>0</v>
      </c>
    </row>
    <row r="52" customFormat="false" ht="15" hidden="false" customHeight="false" outlineLevel="0" collapsed="false">
      <c r="A52" s="0" t="s">
        <v>110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113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Assumptions!C13</f>
        <v>2</v>
      </c>
      <c r="D5" s="4" t="n">
        <f aca="false">Assumptions!D13</f>
        <v>-1</v>
      </c>
      <c r="E5" s="4" t="n">
        <f aca="false">Assumptions!E13</f>
        <v>-3</v>
      </c>
      <c r="F5" s="4" t="n">
        <f aca="false">Assumptions!F13</f>
        <v>-2</v>
      </c>
      <c r="G5" s="4" t="n">
        <f aca="false">Assumptions!G13</f>
        <v>-1</v>
      </c>
      <c r="H5" s="4" t="n">
        <f aca="false">Assumptions!H13</f>
        <v>0</v>
      </c>
      <c r="I5" s="4" t="n">
        <f aca="false">Assumptions!I13</f>
        <v>1</v>
      </c>
      <c r="J5" s="4" t="n">
        <f aca="false">Assumptions!J13</f>
        <v>1.5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38</v>
      </c>
      <c r="B6" s="3" t="n">
        <v>5082</v>
      </c>
      <c r="C6" s="0" t="n">
        <f aca="false">B6*(1+C5/100)</f>
        <v>5183.64</v>
      </c>
      <c r="D6" s="0" t="n">
        <f aca="false">C6*(1+D5/100)</f>
        <v>5131.8036</v>
      </c>
      <c r="E6" s="0" t="n">
        <f aca="false">D6*(1+E5/100)</f>
        <v>4977.849492</v>
      </c>
      <c r="F6" s="0" t="n">
        <f aca="false">E6*(1+F5/100)</f>
        <v>4878.29250216</v>
      </c>
      <c r="G6" s="0" t="n">
        <f aca="false">F6*(1+G5/100)</f>
        <v>4829.5095771384</v>
      </c>
      <c r="H6" s="0" t="n">
        <f aca="false">G6*(1+H5/100)</f>
        <v>4829.5095771384</v>
      </c>
      <c r="I6" s="0" t="n">
        <f aca="false">H6*(1+I5/100)</f>
        <v>4877.80467290978</v>
      </c>
      <c r="J6" s="0" t="n">
        <f aca="false">I6*(1+J5/100)</f>
        <v>4950.97174300343</v>
      </c>
      <c r="K6" s="0" t="n">
        <f aca="false">J6*(1+K5/100)</f>
        <v>5000.48146043347</v>
      </c>
      <c r="L6" s="0" t="n">
        <f aca="false">K6*(1+L5/100)</f>
        <v>5050.4862750378</v>
      </c>
    </row>
    <row r="7" customFormat="false" ht="15" hidden="false" customHeight="false" outlineLevel="0" collapsed="false">
      <c r="A7" s="0" t="s">
        <v>100</v>
      </c>
      <c r="C7" s="4" t="n">
        <f aca="false">Assumptions!C14</f>
        <v>63</v>
      </c>
      <c r="D7" s="4" t="n">
        <f aca="false">Assumptions!D14</f>
        <v>61</v>
      </c>
      <c r="E7" s="4" t="n">
        <f aca="false">Assumptions!E14</f>
        <v>59</v>
      </c>
      <c r="F7" s="4" t="n">
        <f aca="false">Assumptions!F14</f>
        <v>58</v>
      </c>
      <c r="G7" s="4" t="n">
        <f aca="false">Assumptions!G14</f>
        <v>58</v>
      </c>
      <c r="H7" s="4" t="n">
        <f aca="false">Assumptions!H14</f>
        <v>58</v>
      </c>
      <c r="I7" s="4" t="n">
        <f aca="false">Assumptions!I14</f>
        <v>58</v>
      </c>
      <c r="J7" s="4" t="n">
        <f aca="false">Assumptions!J14</f>
        <v>58</v>
      </c>
      <c r="K7" s="4" t="n">
        <f aca="false">Assumptions!K14</f>
        <v>58</v>
      </c>
      <c r="L7" s="4" t="n">
        <f aca="false">Assumptions!L14</f>
        <v>58</v>
      </c>
    </row>
    <row r="8" customFormat="false" ht="15" hidden="false" customHeight="false" outlineLevel="0" collapsed="false">
      <c r="A8" s="0" t="s">
        <v>44</v>
      </c>
      <c r="C8" s="0" t="n">
        <f aca="false">C6*C7/100</f>
        <v>3265.6932</v>
      </c>
      <c r="D8" s="0" t="n">
        <f aca="false">D6*D7/100</f>
        <v>3130.400196</v>
      </c>
      <c r="E8" s="0" t="n">
        <f aca="false">E6*E7/100</f>
        <v>2936.93120028</v>
      </c>
      <c r="F8" s="0" t="n">
        <f aca="false">F6*F7/100</f>
        <v>2829.4096512528</v>
      </c>
      <c r="G8" s="0" t="n">
        <f aca="false">G6*G7/100</f>
        <v>2801.11555474027</v>
      </c>
      <c r="H8" s="0" t="n">
        <f aca="false">H6*H7/100</f>
        <v>2801.11555474027</v>
      </c>
      <c r="I8" s="0" t="n">
        <f aca="false">I6*I7/100</f>
        <v>2829.12671028768</v>
      </c>
      <c r="J8" s="0" t="n">
        <f aca="false">J6*J7/100</f>
        <v>2871.56361094199</v>
      </c>
      <c r="K8" s="0" t="n">
        <f aca="false">K6*K7/100</f>
        <v>2900.27924705141</v>
      </c>
      <c r="L8" s="0" t="n">
        <f aca="false">L6*L7/100</f>
        <v>2929.28203952192</v>
      </c>
    </row>
    <row r="9" customFormat="false" ht="15" hidden="false" customHeight="false" outlineLevel="0" collapsed="false">
      <c r="A9" s="0" t="s">
        <v>101</v>
      </c>
      <c r="C9" s="4" t="n">
        <f aca="false">Assumptions!C15</f>
        <v>0.5</v>
      </c>
      <c r="D9" s="4" t="n">
        <f aca="false">Assumptions!D15</f>
        <v>0.5</v>
      </c>
      <c r="E9" s="4" t="n">
        <f aca="false">Assumptions!E15</f>
        <v>0.5</v>
      </c>
      <c r="F9" s="4" t="n">
        <f aca="false">Assumptions!F15</f>
        <v>0.5</v>
      </c>
      <c r="G9" s="4" t="n">
        <f aca="false">Assumptions!G15</f>
        <v>0.5</v>
      </c>
      <c r="H9" s="4" t="n">
        <f aca="false">Assumptions!H15</f>
        <v>0.5</v>
      </c>
      <c r="I9" s="4" t="n">
        <f aca="false">Assumptions!I15</f>
        <v>0.5</v>
      </c>
      <c r="J9" s="4" t="n">
        <f aca="false">Assumptions!J15</f>
        <v>0.5</v>
      </c>
      <c r="K9" s="4" t="n">
        <f aca="false">Assumptions!K15</f>
        <v>0.5</v>
      </c>
      <c r="L9" s="4" t="n">
        <f aca="false">Assumptions!L15</f>
        <v>0.5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-25.9182</v>
      </c>
      <c r="D10" s="0" t="n">
        <f aca="false">-D6*D9/100</f>
        <v>-25.659018</v>
      </c>
      <c r="E10" s="0" t="n">
        <f aca="false">-E6*E9/100</f>
        <v>-24.88924746</v>
      </c>
      <c r="F10" s="0" t="n">
        <f aca="false">-F6*F9/100</f>
        <v>-24.3914625108</v>
      </c>
      <c r="G10" s="0" t="n">
        <f aca="false">-G6*G9/100</f>
        <v>-24.147547885692</v>
      </c>
      <c r="H10" s="0" t="n">
        <f aca="false">-H6*H9/100</f>
        <v>-24.147547885692</v>
      </c>
      <c r="I10" s="0" t="n">
        <f aca="false">-I6*I9/100</f>
        <v>-24.3890233645489</v>
      </c>
      <c r="J10" s="0" t="n">
        <f aca="false">-J6*J9/100</f>
        <v>-24.7548587150172</v>
      </c>
      <c r="K10" s="0" t="n">
        <f aca="false">-K6*K9/100</f>
        <v>-25.0024073021673</v>
      </c>
      <c r="L10" s="0" t="n">
        <f aca="false">-L6*L9/100</f>
        <v>-25.252431375189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3239.775</v>
      </c>
      <c r="D11" s="0" t="n">
        <f aca="false">D8+D10+D24</f>
        <v>3104.741178</v>
      </c>
      <c r="E11" s="0" t="n">
        <f aca="false">E8+E10+E24</f>
        <v>2912.04195282</v>
      </c>
      <c r="F11" s="0" t="n">
        <f aca="false">F8+F10+F24</f>
        <v>2805.018188742</v>
      </c>
      <c r="G11" s="0" t="n">
        <f aca="false">G8+G10+G24</f>
        <v>2776.96800685458</v>
      </c>
      <c r="H11" s="0" t="n">
        <f aca="false">H8+H10+H24</f>
        <v>2776.96800685458</v>
      </c>
      <c r="I11" s="0" t="n">
        <f aca="false">I8+I10+I24</f>
        <v>2804.73768692313</v>
      </c>
      <c r="J11" s="0" t="n">
        <f aca="false">J8+J10+J24</f>
        <v>2846.80875222697</v>
      </c>
      <c r="K11" s="0" t="n">
        <f aca="false">K8+K10+K24</f>
        <v>2875.27683974924</v>
      </c>
      <c r="L11" s="0" t="n">
        <f aca="false">L8+L10+L24</f>
        <v>2904.02960814673</v>
      </c>
    </row>
    <row r="12" customFormat="false" ht="15" hidden="false" customHeight="false" outlineLevel="0" collapsed="false">
      <c r="A12" s="0" t="s">
        <v>118</v>
      </c>
      <c r="C12" s="4" t="n">
        <f aca="false">-C6*Assumptions!C17/100</f>
        <v>-2125.2924</v>
      </c>
      <c r="D12" s="4" t="n">
        <f aca="false">-D6*Assumptions!D17/100</f>
        <v>-2052.72144</v>
      </c>
      <c r="E12" s="4" t="n">
        <f aca="false">-E6*Assumptions!E17/100</f>
        <v>-1941.36130188</v>
      </c>
      <c r="F12" s="4" t="n">
        <f aca="false">-F6*Assumptions!F17/100</f>
        <v>-1853.7511508208</v>
      </c>
      <c r="G12" s="4" t="n">
        <f aca="false">-G6*Assumptions!G17/100</f>
        <v>-1786.91854354121</v>
      </c>
      <c r="H12" s="4" t="n">
        <f aca="false">-H6*Assumptions!H17/100</f>
        <v>-1786.91854354121</v>
      </c>
      <c r="I12" s="4" t="n">
        <f aca="false">-I6*Assumptions!I17/100</f>
        <v>-1756.00968224752</v>
      </c>
      <c r="J12" s="4" t="n">
        <f aca="false">-J6*Assumptions!J17/100</f>
        <v>-1782.34982748124</v>
      </c>
      <c r="K12" s="4" t="n">
        <f aca="false">-K6*Assumptions!K17/100</f>
        <v>-1800.17332575605</v>
      </c>
      <c r="L12" s="4" t="n">
        <f aca="false">-L6*Assumptions!L17/100</f>
        <v>-1818.17505901361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1114.4826</v>
      </c>
      <c r="D13" s="0" t="n">
        <f aca="false">D11+D12</f>
        <v>1052.019738</v>
      </c>
      <c r="E13" s="0" t="n">
        <f aca="false">E11+E12</f>
        <v>970.68065094</v>
      </c>
      <c r="F13" s="0" t="n">
        <f aca="false">F11+F12</f>
        <v>951.2670379212</v>
      </c>
      <c r="G13" s="0" t="n">
        <f aca="false">G11+G12</f>
        <v>990.049463313372</v>
      </c>
      <c r="H13" s="0" t="n">
        <f aca="false">H11+H12</f>
        <v>990.049463313372</v>
      </c>
      <c r="I13" s="0" t="n">
        <f aca="false">I11+I12</f>
        <v>1048.7280046756</v>
      </c>
      <c r="J13" s="0" t="n">
        <f aca="false">J11+J12</f>
        <v>1064.45892474574</v>
      </c>
      <c r="K13" s="0" t="n">
        <f aca="false">K11+K12</f>
        <v>1075.1035139932</v>
      </c>
      <c r="L13" s="0" t="n">
        <f aca="false">L11+L12</f>
        <v>1085.85454913313</v>
      </c>
    </row>
    <row r="14" customFormat="false" ht="15" hidden="false" customHeight="false" outlineLevel="0" collapsed="false">
      <c r="A14" s="0" t="s">
        <v>105</v>
      </c>
      <c r="C14" s="4" t="n">
        <f aca="false">Assumptions!C19</f>
        <v>24</v>
      </c>
      <c r="D14" s="4" t="n">
        <f aca="false">Assumptions!D19</f>
        <v>24</v>
      </c>
      <c r="E14" s="4" t="n">
        <f aca="false">Assumptions!E19</f>
        <v>23</v>
      </c>
      <c r="F14" s="4" t="n">
        <f aca="false">Assumptions!F19</f>
        <v>22</v>
      </c>
      <c r="G14" s="4" t="n">
        <f aca="false">Assumptions!G19</f>
        <v>22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847.006776</v>
      </c>
      <c r="D15" s="0" t="n">
        <f aca="false">D13-MAX(0,D13)*D14/100</f>
        <v>799.53500088</v>
      </c>
      <c r="E15" s="0" t="n">
        <f aca="false">E13-MAX(0,E13)*E14/100</f>
        <v>747.4241012238</v>
      </c>
      <c r="F15" s="0" t="n">
        <f aca="false">F13-MAX(0,F13)*F14/100</f>
        <v>741.988289578536</v>
      </c>
      <c r="G15" s="0" t="n">
        <f aca="false">G13-MAX(0,G13)*G14/100</f>
        <v>772.23858138443</v>
      </c>
      <c r="H15" s="0" t="n">
        <f aca="false">H13-MAX(0,H13)*H14/100</f>
        <v>762.338086751297</v>
      </c>
      <c r="I15" s="0" t="n">
        <f aca="false">I13-MAX(0,I13)*I14/100</f>
        <v>807.520563600215</v>
      </c>
      <c r="J15" s="0" t="n">
        <f aca="false">J13-MAX(0,J13)*J14/100</f>
        <v>808.988782806761</v>
      </c>
      <c r="K15" s="0" t="n">
        <f aca="false">K13-MAX(0,K13)*K14/100</f>
        <v>817.078670634828</v>
      </c>
      <c r="L15" s="0" t="n">
        <f aca="false">L13-MAX(0,L13)*L14/100</f>
        <v>825.249457341176</v>
      </c>
    </row>
    <row r="16" customFormat="false" ht="15" hidden="false" customHeight="false" outlineLevel="0" collapsed="false">
      <c r="A16" s="0" t="s">
        <v>121</v>
      </c>
      <c r="C16" s="0" t="n">
        <f aca="false">-C12</f>
        <v>2125.2924</v>
      </c>
      <c r="D16" s="0" t="n">
        <f aca="false">-D12</f>
        <v>2052.72144</v>
      </c>
      <c r="E16" s="0" t="n">
        <f aca="false">-E12</f>
        <v>1941.36130188</v>
      </c>
      <c r="F16" s="0" t="n">
        <f aca="false">-F12</f>
        <v>1853.7511508208</v>
      </c>
      <c r="G16" s="0" t="n">
        <f aca="false">-G12</f>
        <v>1786.91854354121</v>
      </c>
      <c r="H16" s="0" t="n">
        <f aca="false">-H12</f>
        <v>1786.91854354121</v>
      </c>
      <c r="I16" s="0" t="n">
        <f aca="false">-I12</f>
        <v>1756.00968224752</v>
      </c>
      <c r="J16" s="0" t="n">
        <f aca="false">-J12</f>
        <v>1782.34982748124</v>
      </c>
      <c r="K16" s="0" t="n">
        <f aca="false">-K12</f>
        <v>1800.17332575605</v>
      </c>
      <c r="L16" s="0" t="n">
        <f aca="false">-L12</f>
        <v>1818.17505901361</v>
      </c>
    </row>
    <row r="17" customFormat="false" ht="15" hidden="false" customHeight="false" outlineLevel="0" collapsed="false">
      <c r="A17" s="0" t="s">
        <v>122</v>
      </c>
      <c r="C17" s="4" t="n">
        <f aca="false">-C6*Assumptions!C18/100</f>
        <v>-2073.456</v>
      </c>
      <c r="D17" s="4" t="n">
        <f aca="false">-D6*Assumptions!D18/100</f>
        <v>-1847.449296</v>
      </c>
      <c r="E17" s="4" t="n">
        <f aca="false">-E6*Assumptions!E18/100</f>
        <v>-1592.91183744</v>
      </c>
      <c r="F17" s="4" t="n">
        <f aca="false">-F6*Assumptions!F18/100</f>
        <v>-1463.487750648</v>
      </c>
      <c r="G17" s="4" t="n">
        <f aca="false">-G6*Assumptions!G18/100</f>
        <v>-1545.44306468429</v>
      </c>
      <c r="H17" s="4" t="n">
        <f aca="false">-H6*Assumptions!H18/100</f>
        <v>-1593.73816045567</v>
      </c>
      <c r="I17" s="4" t="n">
        <f aca="false">-I6*Assumptions!I18/100</f>
        <v>-1463.34140187294</v>
      </c>
      <c r="J17" s="4" t="n">
        <f aca="false">-J6*Assumptions!J18/100</f>
        <v>-1336.76237061093</v>
      </c>
      <c r="K17" s="4" t="n">
        <f aca="false">-K6*Assumptions!K18/100</f>
        <v>-1250.12036510837</v>
      </c>
      <c r="L17" s="4" t="n">
        <f aca="false">-L6*Assumptions!L18/100</f>
        <v>-1212.11670600907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-0</v>
      </c>
      <c r="G18" s="4" t="n">
        <f aca="false">(G6-F6)*Assumptions!$B$23/100</f>
        <v>-0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898.843176</v>
      </c>
      <c r="D19" s="0" t="n">
        <f aca="false">D15+D16+D17+D18</f>
        <v>1004.80714488</v>
      </c>
      <c r="E19" s="0" t="n">
        <f aca="false">E15+E16+E17+E18</f>
        <v>1095.8735656638</v>
      </c>
      <c r="F19" s="0" t="n">
        <f aca="false">F15+F16+F17+F18</f>
        <v>1132.25168975134</v>
      </c>
      <c r="G19" s="0" t="n">
        <f aca="false">G15+G16+G17+G18</f>
        <v>1013.71406024135</v>
      </c>
      <c r="H19" s="0" t="n">
        <f aca="false">H15+H16+H17+H18</f>
        <v>955.518469836833</v>
      </c>
      <c r="I19" s="0" t="n">
        <f aca="false">I15+I16+I17+I18</f>
        <v>1100.1888439748</v>
      </c>
      <c r="J19" s="0" t="n">
        <f aca="false">J15+J16+J17+J18</f>
        <v>1254.57623967707</v>
      </c>
      <c r="K19" s="0" t="n">
        <f aca="false">K15+K16+K17+K18</f>
        <v>1367.13163128251</v>
      </c>
      <c r="L19" s="0" t="n">
        <f aca="false">L15+L16+L17+L18</f>
        <v>1431.30781034571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820.861347945206</v>
      </c>
      <c r="D21" s="0" t="n">
        <f aca="false">D19*D20</f>
        <v>838.020178795271</v>
      </c>
      <c r="E21" s="0" t="n">
        <f aca="false">E19*E20</f>
        <v>834.676321896473</v>
      </c>
      <c r="F21" s="0" t="n">
        <f aca="false">F19*F20</f>
        <v>787.565169144441</v>
      </c>
      <c r="G21" s="0" t="n">
        <f aca="false">G19*G20</f>
        <v>643.939215750509</v>
      </c>
      <c r="H21" s="0" t="n">
        <f aca="false">H19*H20</f>
        <v>554.312115733468</v>
      </c>
      <c r="I21" s="0" t="n">
        <f aca="false">I19*I20</f>
        <v>582.865570548791</v>
      </c>
      <c r="J21" s="0" t="n">
        <f aca="false">J19*J20</f>
        <v>606.993589938828</v>
      </c>
      <c r="K21" s="0" t="n">
        <f aca="false">K19*K20</f>
        <v>604.064424157192</v>
      </c>
      <c r="L21" s="0" t="n">
        <f aca="false">L19*L20</f>
        <v>577.553007065465</v>
      </c>
    </row>
    <row r="23" customFormat="false" ht="15" hidden="false" customHeight="false" outlineLevel="0" collapsed="false">
      <c r="A23" s="0" t="s">
        <v>102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107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108</v>
      </c>
      <c r="B29" s="4" t="n">
        <f aca="false">Assumptions!$B$22</f>
        <v>9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6850.85094097564</v>
      </c>
    </row>
    <row r="31" customFormat="false" ht="15" hidden="false" customHeight="false" outlineLevel="0" collapsed="false">
      <c r="A31" s="0" t="s">
        <v>130</v>
      </c>
      <c r="B31" s="0" t="n">
        <f aca="false">L19</f>
        <v>1431.30781034571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17007.3045699902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12881.7702931114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12881.7702931114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5197.97706358919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12048.8280045648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5825.82800456483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2.54837493340605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-0.703332370965535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156.47508778187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121.077781795865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2.66978407472856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10325.8634889226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0.75322257865936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Assumptions!C27</f>
        <v>7</v>
      </c>
      <c r="D5" s="4" t="n">
        <f aca="false">Assumptions!D27</f>
        <v>6</v>
      </c>
      <c r="E5" s="4" t="n">
        <f aca="false">Assumptions!E27</f>
        <v>4</v>
      </c>
      <c r="F5" s="4" t="n">
        <f aca="false">Assumptions!F27</f>
        <v>2</v>
      </c>
      <c r="G5" s="4" t="n">
        <f aca="false">Assumptions!G27</f>
        <v>1.5</v>
      </c>
      <c r="H5" s="4" t="n">
        <f aca="false">Assumptions!H27</f>
        <v>2</v>
      </c>
      <c r="I5" s="4" t="n">
        <f aca="false">Assumptions!I27</f>
        <v>3.5</v>
      </c>
      <c r="J5" s="4" t="n">
        <f aca="false">Assumptions!J27</f>
        <v>4</v>
      </c>
      <c r="K5" s="4" t="n">
        <f aca="false">Assumptions!K27</f>
        <v>3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5082</v>
      </c>
      <c r="C6" s="0" t="n">
        <f aca="false">B6*(1+C5/100)</f>
        <v>5437.74</v>
      </c>
      <c r="D6" s="0" t="n">
        <f aca="false">C6*(1+D5/100)</f>
        <v>5764.0044</v>
      </c>
      <c r="E6" s="0" t="n">
        <f aca="false">D6*(1+E5/100)</f>
        <v>5994.564576</v>
      </c>
      <c r="F6" s="0" t="n">
        <f aca="false">E6*(1+F5/100)</f>
        <v>6114.45586752</v>
      </c>
      <c r="G6" s="0" t="n">
        <f aca="false">F6*(1+G5/100)</f>
        <v>6206.1727055328</v>
      </c>
      <c r="H6" s="0" t="n">
        <f aca="false">G6*(1+H5/100)</f>
        <v>6330.29615964346</v>
      </c>
      <c r="I6" s="0" t="n">
        <f aca="false">H6*(1+I5/100)</f>
        <v>6551.85652523098</v>
      </c>
      <c r="J6" s="0" t="n">
        <f aca="false">I6*(1+J5/100)</f>
        <v>6813.93078624022</v>
      </c>
      <c r="K6" s="0" t="n">
        <f aca="false">J6*(1+K5/100)</f>
        <v>7018.34870982742</v>
      </c>
      <c r="L6" s="0" t="n">
        <f aca="false">K6*(1+L5/100)</f>
        <v>7158.71568402397</v>
      </c>
    </row>
    <row r="7" customFormat="false" ht="15" hidden="false" customHeight="false" outlineLevel="0" collapsed="false">
      <c r="A7" s="0" t="s">
        <v>100</v>
      </c>
      <c r="C7" s="4" t="n">
        <f aca="false">Assumptions!C28</f>
        <v>66.5</v>
      </c>
      <c r="D7" s="4" t="n">
        <f aca="false">Assumptions!D28</f>
        <v>67</v>
      </c>
      <c r="E7" s="4" t="n">
        <f aca="false">Assumptions!E28</f>
        <v>67</v>
      </c>
      <c r="F7" s="4" t="n">
        <f aca="false">Assumptions!F28</f>
        <v>67</v>
      </c>
      <c r="G7" s="4" t="n">
        <f aca="false">Assumptions!G28</f>
        <v>67</v>
      </c>
      <c r="H7" s="4" t="n">
        <f aca="false">Assumptions!H28</f>
        <v>67</v>
      </c>
      <c r="I7" s="4" t="n">
        <f aca="false">Assumptions!I28</f>
        <v>67</v>
      </c>
      <c r="J7" s="4" t="n">
        <f aca="false">Assumptions!J28</f>
        <v>67</v>
      </c>
      <c r="K7" s="4" t="n">
        <f aca="false">Assumptions!K28</f>
        <v>67</v>
      </c>
      <c r="L7" s="4" t="n">
        <f aca="false">Assumptions!L28</f>
        <v>67</v>
      </c>
    </row>
    <row r="8" customFormat="false" ht="15" hidden="false" customHeight="false" outlineLevel="0" collapsed="false">
      <c r="A8" s="0" t="s">
        <v>44</v>
      </c>
      <c r="C8" s="0" t="n">
        <f aca="false">C6*C7/100</f>
        <v>3616.0971</v>
      </c>
      <c r="D8" s="0" t="n">
        <f aca="false">D6*D7/100</f>
        <v>3861.882948</v>
      </c>
      <c r="E8" s="0" t="n">
        <f aca="false">E6*E7/100</f>
        <v>4016.35826592</v>
      </c>
      <c r="F8" s="0" t="n">
        <f aca="false">F6*F7/100</f>
        <v>4096.6854312384</v>
      </c>
      <c r="G8" s="0" t="n">
        <f aca="false">G6*G7/100</f>
        <v>4158.13571270698</v>
      </c>
      <c r="H8" s="0" t="n">
        <f aca="false">H6*H7/100</f>
        <v>4241.29842696112</v>
      </c>
      <c r="I8" s="0" t="n">
        <f aca="false">I6*I7/100</f>
        <v>4389.74387190475</v>
      </c>
      <c r="J8" s="0" t="n">
        <f aca="false">J6*J7/100</f>
        <v>4565.33362678094</v>
      </c>
      <c r="K8" s="0" t="n">
        <f aca="false">K6*K7/100</f>
        <v>4702.29363558437</v>
      </c>
      <c r="L8" s="0" t="n">
        <f aca="false">L6*L7/100</f>
        <v>4796.33950829606</v>
      </c>
    </row>
    <row r="9" customFormat="false" ht="15" hidden="false" customHeight="false" outlineLevel="0" collapsed="false">
      <c r="A9" s="0" t="s">
        <v>101</v>
      </c>
      <c r="C9" s="4" t="n">
        <f aca="false">Assumptions!C29</f>
        <v>0.5</v>
      </c>
      <c r="D9" s="4" t="n">
        <f aca="false">Assumptions!D29</f>
        <v>0.5</v>
      </c>
      <c r="E9" s="4" t="n">
        <f aca="false">Assumptions!E29</f>
        <v>0.5</v>
      </c>
      <c r="F9" s="4" t="n">
        <f aca="false">Assumptions!F29</f>
        <v>0.5</v>
      </c>
      <c r="G9" s="4" t="n">
        <f aca="false">Assumptions!G29</f>
        <v>0.5</v>
      </c>
      <c r="H9" s="4" t="n">
        <f aca="false">Assumptions!H29</f>
        <v>0.5</v>
      </c>
      <c r="I9" s="4" t="n">
        <f aca="false">Assumptions!I29</f>
        <v>0.5</v>
      </c>
      <c r="J9" s="4" t="n">
        <f aca="false">Assumptions!J29</f>
        <v>0.5</v>
      </c>
      <c r="K9" s="4" t="n">
        <f aca="false">Assumptions!K29</f>
        <v>0.5</v>
      </c>
      <c r="L9" s="4" t="n">
        <f aca="false">Assumptions!L29</f>
        <v>0.5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-27.1887</v>
      </c>
      <c r="D10" s="0" t="n">
        <f aca="false">-D6*D9/100</f>
        <v>-28.820022</v>
      </c>
      <c r="E10" s="0" t="n">
        <f aca="false">-E6*E9/100</f>
        <v>-29.97282288</v>
      </c>
      <c r="F10" s="0" t="n">
        <f aca="false">-F6*F9/100</f>
        <v>-30.5722793376</v>
      </c>
      <c r="G10" s="0" t="n">
        <f aca="false">-G6*G9/100</f>
        <v>-31.030863527664</v>
      </c>
      <c r="H10" s="0" t="n">
        <f aca="false">-H6*H9/100</f>
        <v>-31.6514807982173</v>
      </c>
      <c r="I10" s="0" t="n">
        <f aca="false">-I6*I9/100</f>
        <v>-32.7592826261549</v>
      </c>
      <c r="J10" s="0" t="n">
        <f aca="false">-J6*J9/100</f>
        <v>-34.0696539312011</v>
      </c>
      <c r="K10" s="0" t="n">
        <f aca="false">-K6*K9/100</f>
        <v>-35.0917435491371</v>
      </c>
      <c r="L10" s="0" t="n">
        <f aca="false">-L6*L9/100</f>
        <v>-35.7935784201199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3588.9084</v>
      </c>
      <c r="D11" s="0" t="n">
        <f aca="false">D8+D10+D24</f>
        <v>3833.062926</v>
      </c>
      <c r="E11" s="0" t="n">
        <f aca="false">E8+E10+E24</f>
        <v>3986.38544304</v>
      </c>
      <c r="F11" s="0" t="n">
        <f aca="false">F8+F10+F24</f>
        <v>4066.1131519008</v>
      </c>
      <c r="G11" s="0" t="n">
        <f aca="false">G8+G10+G24</f>
        <v>4127.10484917931</v>
      </c>
      <c r="H11" s="0" t="n">
        <f aca="false">H8+H10+H24</f>
        <v>4209.6469461629</v>
      </c>
      <c r="I11" s="0" t="n">
        <f aca="false">I8+I10+I24</f>
        <v>4356.9845892786</v>
      </c>
      <c r="J11" s="0" t="n">
        <f aca="false">J8+J10+J24</f>
        <v>4531.26397284974</v>
      </c>
      <c r="K11" s="0" t="n">
        <f aca="false">K8+K10+K24</f>
        <v>4667.20189203524</v>
      </c>
      <c r="L11" s="0" t="n">
        <f aca="false">L8+L10+L24</f>
        <v>4760.54592987594</v>
      </c>
    </row>
    <row r="12" customFormat="false" ht="15" hidden="false" customHeight="false" outlineLevel="0" collapsed="false">
      <c r="A12" s="0" t="s">
        <v>118</v>
      </c>
      <c r="C12" s="4" t="n">
        <f aca="false">-C6*Assumptions!C31/100</f>
        <v>-2120.7186</v>
      </c>
      <c r="D12" s="4" t="n">
        <f aca="false">-D6*Assumptions!D31/100</f>
        <v>-2132.681628</v>
      </c>
      <c r="E12" s="4" t="n">
        <f aca="false">-E6*Assumptions!E31/100</f>
        <v>-2098.0976016</v>
      </c>
      <c r="F12" s="4" t="n">
        <f aca="false">-F6*Assumptions!F31/100</f>
        <v>-2078.9149949568</v>
      </c>
      <c r="G12" s="4" t="n">
        <f aca="false">-G6*Assumptions!G31/100</f>
        <v>-2048.03699282582</v>
      </c>
      <c r="H12" s="4" t="n">
        <f aca="false">-H6*Assumptions!H31/100</f>
        <v>-2088.99773268234</v>
      </c>
      <c r="I12" s="4" t="n">
        <f aca="false">-I6*Assumptions!I31/100</f>
        <v>-2096.59408807391</v>
      </c>
      <c r="J12" s="4" t="n">
        <f aca="false">-J6*Assumptions!J31/100</f>
        <v>-2180.45785159687</v>
      </c>
      <c r="K12" s="4" t="n">
        <f aca="false">-K6*Assumptions!K31/100</f>
        <v>-2175.6881000465</v>
      </c>
      <c r="L12" s="4" t="n">
        <f aca="false">-L6*Assumptions!L31/100</f>
        <v>-2219.20186204743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1468.1898</v>
      </c>
      <c r="D13" s="0" t="n">
        <f aca="false">D11+D12</f>
        <v>1700.381298</v>
      </c>
      <c r="E13" s="0" t="n">
        <f aca="false">E11+E12</f>
        <v>1888.28784144</v>
      </c>
      <c r="F13" s="0" t="n">
        <f aca="false">F11+F12</f>
        <v>1987.198156944</v>
      </c>
      <c r="G13" s="0" t="n">
        <f aca="false">G11+G12</f>
        <v>2079.06785635349</v>
      </c>
      <c r="H13" s="0" t="n">
        <f aca="false">H11+H12</f>
        <v>2120.64921348056</v>
      </c>
      <c r="I13" s="0" t="n">
        <f aca="false">I11+I12</f>
        <v>2260.39050120469</v>
      </c>
      <c r="J13" s="0" t="n">
        <f aca="false">J11+J12</f>
        <v>2350.80612125287</v>
      </c>
      <c r="K13" s="0" t="n">
        <f aca="false">K11+K12</f>
        <v>2491.51379198873</v>
      </c>
      <c r="L13" s="0" t="n">
        <f aca="false">L11+L12</f>
        <v>2541.34406782851</v>
      </c>
    </row>
    <row r="14" customFormat="false" ht="15" hidden="false" customHeight="false" outlineLevel="0" collapsed="false">
      <c r="A14" s="0" t="s">
        <v>105</v>
      </c>
      <c r="C14" s="4" t="n">
        <f aca="false">Assumptions!C33</f>
        <v>24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26</v>
      </c>
      <c r="G14" s="4" t="n">
        <f aca="false">Assumptions!G33</f>
        <v>26</v>
      </c>
      <c r="H14" s="4" t="n">
        <f aca="false">Assumptions!H33</f>
        <v>27</v>
      </c>
      <c r="I14" s="4" t="n">
        <f aca="false">Assumptions!I33</f>
        <v>27</v>
      </c>
      <c r="J14" s="4" t="n">
        <f aca="false">Assumptions!J33</f>
        <v>27</v>
      </c>
      <c r="K14" s="4" t="n">
        <f aca="false">Assumptions!K33</f>
        <v>27</v>
      </c>
      <c r="L14" s="4" t="n">
        <f aca="false">Assumptions!L33</f>
        <v>27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1115.824248</v>
      </c>
      <c r="D15" s="0" t="n">
        <f aca="false">D13-MAX(0,D13)*D14/100</f>
        <v>1275.2859735</v>
      </c>
      <c r="E15" s="0" t="n">
        <f aca="false">E13-MAX(0,E13)*E14/100</f>
        <v>1416.21588108</v>
      </c>
      <c r="F15" s="0" t="n">
        <f aca="false">F13-MAX(0,F13)*F14/100</f>
        <v>1470.52663613856</v>
      </c>
      <c r="G15" s="0" t="n">
        <f aca="false">G13-MAX(0,G13)*G14/100</f>
        <v>1538.51021370158</v>
      </c>
      <c r="H15" s="0" t="n">
        <f aca="false">H13-MAX(0,H13)*H14/100</f>
        <v>1548.07392584081</v>
      </c>
      <c r="I15" s="0" t="n">
        <f aca="false">I13-MAX(0,I13)*I14/100</f>
        <v>1650.08506587942</v>
      </c>
      <c r="J15" s="0" t="n">
        <f aca="false">J13-MAX(0,J13)*J14/100</f>
        <v>1716.0884685146</v>
      </c>
      <c r="K15" s="0" t="n">
        <f aca="false">K13-MAX(0,K13)*K14/100</f>
        <v>1818.80506815178</v>
      </c>
      <c r="L15" s="0" t="n">
        <f aca="false">L13-MAX(0,L13)*L14/100</f>
        <v>1855.18116951481</v>
      </c>
    </row>
    <row r="16" customFormat="false" ht="15" hidden="false" customHeight="false" outlineLevel="0" collapsed="false">
      <c r="A16" s="0" t="s">
        <v>121</v>
      </c>
      <c r="C16" s="0" t="n">
        <f aca="false">-C12</f>
        <v>2120.7186</v>
      </c>
      <c r="D16" s="0" t="n">
        <f aca="false">-D12</f>
        <v>2132.681628</v>
      </c>
      <c r="E16" s="0" t="n">
        <f aca="false">-E12</f>
        <v>2098.0976016</v>
      </c>
      <c r="F16" s="0" t="n">
        <f aca="false">-F12</f>
        <v>2078.9149949568</v>
      </c>
      <c r="G16" s="0" t="n">
        <f aca="false">-G12</f>
        <v>2048.03699282582</v>
      </c>
      <c r="H16" s="0" t="n">
        <f aca="false">-H12</f>
        <v>2088.99773268234</v>
      </c>
      <c r="I16" s="0" t="n">
        <f aca="false">-I12</f>
        <v>2096.59408807391</v>
      </c>
      <c r="J16" s="0" t="n">
        <f aca="false">-J12</f>
        <v>2180.45785159687</v>
      </c>
      <c r="K16" s="0" t="n">
        <f aca="false">-K12</f>
        <v>2175.6881000465</v>
      </c>
      <c r="L16" s="0" t="n">
        <f aca="false">-L12</f>
        <v>2219.20186204743</v>
      </c>
    </row>
    <row r="17" customFormat="false" ht="15" hidden="false" customHeight="false" outlineLevel="0" collapsed="false">
      <c r="A17" s="0" t="s">
        <v>122</v>
      </c>
      <c r="C17" s="4" t="n">
        <f aca="false">-C6*Assumptions!C32/100</f>
        <v>-2066.3412</v>
      </c>
      <c r="D17" s="4" t="n">
        <f aca="false">-D6*Assumptions!D32/100</f>
        <v>-1844.481408</v>
      </c>
      <c r="E17" s="4" t="n">
        <f aca="false">-E6*Assumptions!E32/100</f>
        <v>-1558.58678976</v>
      </c>
      <c r="F17" s="4" t="n">
        <f aca="false">-F6*Assumptions!F32/100</f>
        <v>-1467.4694082048</v>
      </c>
      <c r="G17" s="4" t="n">
        <f aca="false">-G6*Assumptions!G32/100</f>
        <v>-1675.66663049386</v>
      </c>
      <c r="H17" s="4" t="n">
        <f aca="false">-H6*Assumptions!H32/100</f>
        <v>-1835.7858862966</v>
      </c>
      <c r="I17" s="4" t="n">
        <f aca="false">-I6*Assumptions!I32/100</f>
        <v>-1703.48269656005</v>
      </c>
      <c r="J17" s="4" t="n">
        <f aca="false">-J6*Assumptions!J32/100</f>
        <v>-1567.20408083525</v>
      </c>
      <c r="K17" s="4" t="n">
        <f aca="false">-K6*Assumptions!K32/100</f>
        <v>-1473.85322906376</v>
      </c>
      <c r="L17" s="4" t="n">
        <f aca="false">-L6*Assumptions!L32/100</f>
        <v>-1431.74313680479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1170.201648</v>
      </c>
      <c r="D19" s="0" t="n">
        <f aca="false">D15+D16+D17+D18</f>
        <v>1563.4861935</v>
      </c>
      <c r="E19" s="0" t="n">
        <f aca="false">E15+E16+E17+E18</f>
        <v>1955.72669292</v>
      </c>
      <c r="F19" s="0" t="n">
        <f aca="false">F15+F16+F17+F18</f>
        <v>2081.97222289056</v>
      </c>
      <c r="G19" s="0" t="n">
        <f aca="false">G15+G16+G17+G18</f>
        <v>1910.88057603355</v>
      </c>
      <c r="H19" s="0" t="n">
        <f aca="false">H15+H16+H17+H18</f>
        <v>1801.28577222654</v>
      </c>
      <c r="I19" s="0" t="n">
        <f aca="false">I15+I16+I17+I18</f>
        <v>2043.19645739328</v>
      </c>
      <c r="J19" s="0" t="n">
        <f aca="false">J15+J16+J17+J18</f>
        <v>2329.34223927622</v>
      </c>
      <c r="K19" s="0" t="n">
        <f aca="false">K15+K16+K17+K18</f>
        <v>2520.63993913452</v>
      </c>
      <c r="L19" s="0" t="n">
        <f aca="false">L15+L16+L17+L18</f>
        <v>2642.63989475745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1068.67730410959</v>
      </c>
      <c r="D21" s="0" t="n">
        <f aca="false">D19*D20</f>
        <v>1303.96463251392</v>
      </c>
      <c r="E21" s="0" t="n">
        <f aca="false">E19*E20</f>
        <v>1489.58676787904</v>
      </c>
      <c r="F21" s="0" t="n">
        <f aca="false">F19*F20</f>
        <v>1448.16635798966</v>
      </c>
      <c r="G21" s="0" t="n">
        <f aca="false">G19*G20</f>
        <v>1213.84420694625</v>
      </c>
      <c r="H21" s="0" t="n">
        <f aca="false">H19*H20</f>
        <v>1044.95575853598</v>
      </c>
      <c r="I21" s="0" t="n">
        <f aca="false">I19*I20</f>
        <v>1082.45859372582</v>
      </c>
      <c r="J21" s="0" t="n">
        <f aca="false">J19*J20</f>
        <v>1126.99074260992</v>
      </c>
      <c r="K21" s="0" t="n">
        <f aca="false">K19*K20</f>
        <v>1113.7398027376</v>
      </c>
      <c r="L21" s="0" t="n">
        <f aca="false">L19*L20</f>
        <v>1066.34268797826</v>
      </c>
    </row>
    <row r="23" customFormat="false" ht="15" hidden="false" customHeight="false" outlineLevel="0" collapsed="false">
      <c r="A23" s="0" t="s">
        <v>102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107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108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11958.726855026</v>
      </c>
    </row>
    <row r="31" customFormat="false" ht="15" hidden="false" customHeight="false" outlineLevel="0" collapsed="false">
      <c r="A31" s="0" t="s">
        <v>130</v>
      </c>
      <c r="B31" s="0" t="n">
        <f aca="false">L19</f>
        <v>2642.63989475745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35939.9025687013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31711.6787370894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31711.6787370894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12796.1122557392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24754.8391107652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18531.8391107652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8.10632827175535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-0.0563063711577005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194.821071046227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196.427746938973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8.27747109981293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20734.5591742508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3.58972905196732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Assumptions!C41</f>
        <v>12</v>
      </c>
      <c r="D5" s="4" t="n">
        <f aca="false">Assumptions!D41</f>
        <v>10</v>
      </c>
      <c r="E5" s="4" t="n">
        <f aca="false">Assumptions!E41</f>
        <v>7</v>
      </c>
      <c r="F5" s="4" t="n">
        <f aca="false">Assumptions!F41</f>
        <v>5</v>
      </c>
      <c r="G5" s="4" t="n">
        <f aca="false">Assumptions!G41</f>
        <v>4</v>
      </c>
      <c r="H5" s="4" t="n">
        <f aca="false">Assumptions!H41</f>
        <v>4.5</v>
      </c>
      <c r="I5" s="4" t="n">
        <f aca="false">Assumptions!I41</f>
        <v>6</v>
      </c>
      <c r="J5" s="4" t="n">
        <f aca="false">Assumptions!J41</f>
        <v>6</v>
      </c>
      <c r="K5" s="4" t="n">
        <f aca="false">Assumptions!K41</f>
        <v>4.5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5082</v>
      </c>
      <c r="C6" s="0" t="n">
        <f aca="false">B6*(1+C5/100)</f>
        <v>5691.84</v>
      </c>
      <c r="D6" s="0" t="n">
        <f aca="false">C6*(1+D5/100)</f>
        <v>6261.024</v>
      </c>
      <c r="E6" s="0" t="n">
        <f aca="false">D6*(1+E5/100)</f>
        <v>6699.29568</v>
      </c>
      <c r="F6" s="0" t="n">
        <f aca="false">E6*(1+F5/100)</f>
        <v>7034.260464</v>
      </c>
      <c r="G6" s="0" t="n">
        <f aca="false">F6*(1+G5/100)</f>
        <v>7315.63088256</v>
      </c>
      <c r="H6" s="0" t="n">
        <f aca="false">G6*(1+H5/100)</f>
        <v>7644.8342722752</v>
      </c>
      <c r="I6" s="0" t="n">
        <f aca="false">H6*(1+I5/100)</f>
        <v>8103.52432861171</v>
      </c>
      <c r="J6" s="0" t="n">
        <f aca="false">I6*(1+J5/100)</f>
        <v>8589.73578832842</v>
      </c>
      <c r="K6" s="0" t="n">
        <f aca="false">J6*(1+K5/100)</f>
        <v>8976.27389880319</v>
      </c>
      <c r="L6" s="0" t="n">
        <f aca="false">K6*(1+L5/100)</f>
        <v>9245.56211576729</v>
      </c>
    </row>
    <row r="7" customFormat="false" ht="15" hidden="false" customHeight="false" outlineLevel="0" collapsed="false">
      <c r="A7" s="0" t="s">
        <v>100</v>
      </c>
      <c r="C7" s="4" t="n">
        <f aca="false">Assumptions!C42</f>
        <v>68</v>
      </c>
      <c r="D7" s="4" t="n">
        <f aca="false">Assumptions!D42</f>
        <v>69</v>
      </c>
      <c r="E7" s="4" t="n">
        <f aca="false">Assumptions!E42</f>
        <v>69.5</v>
      </c>
      <c r="F7" s="4" t="n">
        <f aca="false">Assumptions!F42</f>
        <v>70</v>
      </c>
      <c r="G7" s="4" t="n">
        <f aca="false">Assumptions!G42</f>
        <v>70</v>
      </c>
      <c r="H7" s="4" t="n">
        <f aca="false">Assumptions!H42</f>
        <v>70</v>
      </c>
      <c r="I7" s="4" t="n">
        <f aca="false">Assumptions!I42</f>
        <v>70</v>
      </c>
      <c r="J7" s="4" t="n">
        <f aca="false">Assumptions!J42</f>
        <v>70</v>
      </c>
      <c r="K7" s="4" t="n">
        <f aca="false">Assumptions!K42</f>
        <v>70</v>
      </c>
      <c r="L7" s="4" t="n">
        <f aca="false">Assumptions!L42</f>
        <v>70</v>
      </c>
    </row>
    <row r="8" customFormat="false" ht="15" hidden="false" customHeight="false" outlineLevel="0" collapsed="false">
      <c r="A8" s="0" t="s">
        <v>44</v>
      </c>
      <c r="C8" s="0" t="n">
        <f aca="false">C6*C7/100</f>
        <v>3870.4512</v>
      </c>
      <c r="D8" s="0" t="n">
        <f aca="false">D6*D7/100</f>
        <v>4320.10656</v>
      </c>
      <c r="E8" s="0" t="n">
        <f aca="false">E6*E7/100</f>
        <v>4656.0104976</v>
      </c>
      <c r="F8" s="0" t="n">
        <f aca="false">F6*F7/100</f>
        <v>4923.9823248</v>
      </c>
      <c r="G8" s="0" t="n">
        <f aca="false">G6*G7/100</f>
        <v>5120.941617792</v>
      </c>
      <c r="H8" s="0" t="n">
        <f aca="false">H6*H7/100</f>
        <v>5351.38399059264</v>
      </c>
      <c r="I8" s="0" t="n">
        <f aca="false">I6*I7/100</f>
        <v>5672.4670300282</v>
      </c>
      <c r="J8" s="0" t="n">
        <f aca="false">J6*J7/100</f>
        <v>6012.81505182989</v>
      </c>
      <c r="K8" s="0" t="n">
        <f aca="false">K6*K7/100</f>
        <v>6283.39172916224</v>
      </c>
      <c r="L8" s="0" t="n">
        <f aca="false">L6*L7/100</f>
        <v>6471.8934810371</v>
      </c>
    </row>
    <row r="9" customFormat="false" ht="15" hidden="false" customHeight="false" outlineLevel="0" collapsed="false">
      <c r="A9" s="0" t="s">
        <v>101</v>
      </c>
      <c r="C9" s="4" t="n">
        <f aca="false">Assumptions!C43</f>
        <v>0.5</v>
      </c>
      <c r="D9" s="4" t="n">
        <f aca="false">Assumptions!D43</f>
        <v>0.5</v>
      </c>
      <c r="E9" s="4" t="n">
        <f aca="false">Assumptions!E43</f>
        <v>0.5</v>
      </c>
      <c r="F9" s="4" t="n">
        <f aca="false">Assumptions!F43</f>
        <v>0.5</v>
      </c>
      <c r="G9" s="4" t="n">
        <f aca="false">Assumptions!G43</f>
        <v>0.5</v>
      </c>
      <c r="H9" s="4" t="n">
        <f aca="false">Assumptions!H43</f>
        <v>0.5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-28.4592</v>
      </c>
      <c r="D10" s="0" t="n">
        <f aca="false">-D6*D9/100</f>
        <v>-31.30512</v>
      </c>
      <c r="E10" s="0" t="n">
        <f aca="false">-E6*E9/100</f>
        <v>-33.4964784</v>
      </c>
      <c r="F10" s="0" t="n">
        <f aca="false">-F6*F9/100</f>
        <v>-35.17130232</v>
      </c>
      <c r="G10" s="0" t="n">
        <f aca="false">-G6*G9/100</f>
        <v>-36.5781544128</v>
      </c>
      <c r="H10" s="0" t="n">
        <f aca="false">-H6*H9/100</f>
        <v>-38.224171361376</v>
      </c>
      <c r="I10" s="0" t="n">
        <f aca="false">-I6*I9/100</f>
        <v>-40.5176216430586</v>
      </c>
      <c r="J10" s="0" t="n">
        <f aca="false">-J6*J9/100</f>
        <v>-42.9486789416421</v>
      </c>
      <c r="K10" s="0" t="n">
        <f aca="false">-K6*K9/100</f>
        <v>-44.881369494016</v>
      </c>
      <c r="L10" s="0" t="n">
        <f aca="false">-L6*L9/100</f>
        <v>-46.2278105788365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3841.992</v>
      </c>
      <c r="D11" s="0" t="n">
        <f aca="false">D8+D10+D24</f>
        <v>4288.80144</v>
      </c>
      <c r="E11" s="0" t="n">
        <f aca="false">E8+E10+E24</f>
        <v>4622.5140192</v>
      </c>
      <c r="F11" s="0" t="n">
        <f aca="false">F8+F10+F24</f>
        <v>4888.81102248</v>
      </c>
      <c r="G11" s="0" t="n">
        <f aca="false">G8+G10+G24</f>
        <v>5084.3634633792</v>
      </c>
      <c r="H11" s="0" t="n">
        <f aca="false">H8+H10+H24</f>
        <v>5313.15981923127</v>
      </c>
      <c r="I11" s="0" t="n">
        <f aca="false">I8+I10+I24</f>
        <v>5631.94940838514</v>
      </c>
      <c r="J11" s="0" t="n">
        <f aca="false">J8+J10+J24</f>
        <v>5969.86637288825</v>
      </c>
      <c r="K11" s="0" t="n">
        <f aca="false">K8+K10+K24</f>
        <v>6238.51035966822</v>
      </c>
      <c r="L11" s="0" t="n">
        <f aca="false">L8+L10+L24</f>
        <v>6425.66567045827</v>
      </c>
    </row>
    <row r="12" customFormat="false" ht="15" hidden="false" customHeight="false" outlineLevel="0" collapsed="false">
      <c r="A12" s="0" t="s">
        <v>118</v>
      </c>
      <c r="C12" s="4" t="n">
        <f aca="false">-C6*Assumptions!C45/100</f>
        <v>-2105.9808</v>
      </c>
      <c r="D12" s="4" t="n">
        <f aca="false">-D6*Assumptions!D45/100</f>
        <v>-2191.3584</v>
      </c>
      <c r="E12" s="4" t="n">
        <f aca="false">-E6*Assumptions!E45/100</f>
        <v>-2210.7675744</v>
      </c>
      <c r="F12" s="4" t="n">
        <f aca="false">-F6*Assumptions!F45/100</f>
        <v>-2180.62074384</v>
      </c>
      <c r="G12" s="4" t="n">
        <f aca="false">-G6*Assumptions!G45/100</f>
        <v>-2194.689264768</v>
      </c>
      <c r="H12" s="4" t="n">
        <f aca="false">-H6*Assumptions!H45/100</f>
        <v>-2293.45028168256</v>
      </c>
      <c r="I12" s="4" t="n">
        <f aca="false">-I6*Assumptions!I45/100</f>
        <v>-2350.0220552974</v>
      </c>
      <c r="J12" s="4" t="n">
        <f aca="false">-J6*Assumptions!J45/100</f>
        <v>-2491.02337861524</v>
      </c>
      <c r="K12" s="4" t="n">
        <f aca="false">-K6*Assumptions!K45/100</f>
        <v>-2513.35669166489</v>
      </c>
      <c r="L12" s="4" t="n">
        <f aca="false">-L6*Assumptions!L45/100</f>
        <v>-2588.75739241484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1736.0112</v>
      </c>
      <c r="D13" s="0" t="n">
        <f aca="false">D11+D12</f>
        <v>2097.44304</v>
      </c>
      <c r="E13" s="0" t="n">
        <f aca="false">E11+E12</f>
        <v>2411.7464448</v>
      </c>
      <c r="F13" s="0" t="n">
        <f aca="false">F11+F12</f>
        <v>2708.19027864</v>
      </c>
      <c r="G13" s="0" t="n">
        <f aca="false">G11+G12</f>
        <v>2889.6741986112</v>
      </c>
      <c r="H13" s="0" t="n">
        <f aca="false">H11+H12</f>
        <v>3019.7095375487</v>
      </c>
      <c r="I13" s="0" t="n">
        <f aca="false">I11+I12</f>
        <v>3281.92735308775</v>
      </c>
      <c r="J13" s="0" t="n">
        <f aca="false">J11+J12</f>
        <v>3478.84299427301</v>
      </c>
      <c r="K13" s="0" t="n">
        <f aca="false">K11+K12</f>
        <v>3725.15366800333</v>
      </c>
      <c r="L13" s="0" t="n">
        <f aca="false">L11+L12</f>
        <v>3836.90827804343</v>
      </c>
    </row>
    <row r="14" customFormat="false" ht="15" hidden="false" customHeight="false" outlineLevel="0" collapsed="false">
      <c r="A14" s="0" t="s">
        <v>105</v>
      </c>
      <c r="C14" s="4" t="n">
        <f aca="false">Assumptions!C47</f>
        <v>23</v>
      </c>
      <c r="D14" s="4" t="n">
        <f aca="false">Assumptions!D47</f>
        <v>24</v>
      </c>
      <c r="E14" s="4" t="n">
        <f aca="false">Assumptions!E47</f>
        <v>24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26</v>
      </c>
      <c r="I14" s="4" t="n">
        <f aca="false">Assumptions!I47</f>
        <v>26</v>
      </c>
      <c r="J14" s="4" t="n">
        <f aca="false">Assumptions!J47</f>
        <v>26</v>
      </c>
      <c r="K14" s="4" t="n">
        <f aca="false">Assumptions!K47</f>
        <v>26</v>
      </c>
      <c r="L14" s="4" t="n">
        <f aca="false">Assumptions!L47</f>
        <v>26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1336.728624</v>
      </c>
      <c r="D15" s="0" t="n">
        <f aca="false">D13-MAX(0,D13)*D14/100</f>
        <v>1594.0567104</v>
      </c>
      <c r="E15" s="0" t="n">
        <f aca="false">E13-MAX(0,E13)*E14/100</f>
        <v>1832.927298048</v>
      </c>
      <c r="F15" s="0" t="n">
        <f aca="false">F13-MAX(0,F13)*F14/100</f>
        <v>2031.14270898</v>
      </c>
      <c r="G15" s="0" t="n">
        <f aca="false">G13-MAX(0,G13)*G14/100</f>
        <v>2167.2556489584</v>
      </c>
      <c r="H15" s="0" t="n">
        <f aca="false">H13-MAX(0,H13)*H14/100</f>
        <v>2234.58505778604</v>
      </c>
      <c r="I15" s="0" t="n">
        <f aca="false">I13-MAX(0,I13)*I14/100</f>
        <v>2428.62624128493</v>
      </c>
      <c r="J15" s="0" t="n">
        <f aca="false">J13-MAX(0,J13)*J14/100</f>
        <v>2574.34381576203</v>
      </c>
      <c r="K15" s="0" t="n">
        <f aca="false">K13-MAX(0,K13)*K14/100</f>
        <v>2756.61371432246</v>
      </c>
      <c r="L15" s="0" t="n">
        <f aca="false">L13-MAX(0,L13)*L14/100</f>
        <v>2839.31212575213</v>
      </c>
    </row>
    <row r="16" customFormat="false" ht="15" hidden="false" customHeight="false" outlineLevel="0" collapsed="false">
      <c r="A16" s="0" t="s">
        <v>121</v>
      </c>
      <c r="C16" s="0" t="n">
        <f aca="false">-C12</f>
        <v>2105.9808</v>
      </c>
      <c r="D16" s="0" t="n">
        <f aca="false">-D12</f>
        <v>2191.3584</v>
      </c>
      <c r="E16" s="0" t="n">
        <f aca="false">-E12</f>
        <v>2210.7675744</v>
      </c>
      <c r="F16" s="0" t="n">
        <f aca="false">-F12</f>
        <v>2180.62074384</v>
      </c>
      <c r="G16" s="0" t="n">
        <f aca="false">-G12</f>
        <v>2194.689264768</v>
      </c>
      <c r="H16" s="0" t="n">
        <f aca="false">-H12</f>
        <v>2293.45028168256</v>
      </c>
      <c r="I16" s="0" t="n">
        <f aca="false">-I12</f>
        <v>2350.0220552974</v>
      </c>
      <c r="J16" s="0" t="n">
        <f aca="false">-J12</f>
        <v>2491.02337861524</v>
      </c>
      <c r="K16" s="0" t="n">
        <f aca="false">-K12</f>
        <v>2513.35669166489</v>
      </c>
      <c r="L16" s="0" t="n">
        <f aca="false">-L12</f>
        <v>2588.75739241484</v>
      </c>
    </row>
    <row r="17" customFormat="false" ht="15" hidden="false" customHeight="false" outlineLevel="0" collapsed="false">
      <c r="A17" s="0" t="s">
        <v>122</v>
      </c>
      <c r="C17" s="4" t="n">
        <f aca="false">-C6*Assumptions!C46/100</f>
        <v>-2049.0624</v>
      </c>
      <c r="D17" s="4" t="n">
        <f aca="false">-D6*Assumptions!D46/100</f>
        <v>-1878.3072</v>
      </c>
      <c r="E17" s="4" t="n">
        <f aca="false">-E6*Assumptions!E46/100</f>
        <v>-1607.8309632</v>
      </c>
      <c r="F17" s="4" t="n">
        <f aca="false">-F6*Assumptions!F46/100</f>
        <v>-1477.19469744</v>
      </c>
      <c r="G17" s="4" t="n">
        <f aca="false">-G6*Assumptions!G46/100</f>
        <v>-1755.7514118144</v>
      </c>
      <c r="H17" s="4" t="n">
        <f aca="false">-H6*Assumptions!H46/100</f>
        <v>-1987.65691079155</v>
      </c>
      <c r="I17" s="4" t="n">
        <f aca="false">-I6*Assumptions!I46/100</f>
        <v>-1782.77535229458</v>
      </c>
      <c r="J17" s="4" t="n">
        <f aca="false">-J6*Assumptions!J46/100</f>
        <v>-1632.0497997824</v>
      </c>
      <c r="K17" s="4" t="n">
        <f aca="false">-K6*Assumptions!K46/100</f>
        <v>-1525.96656279654</v>
      </c>
      <c r="L17" s="4" t="n">
        <f aca="false">-L6*Assumptions!L46/100</f>
        <v>-1479.28993852277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1393.647024</v>
      </c>
      <c r="D19" s="0" t="n">
        <f aca="false">D15+D16+D17+D18</f>
        <v>1907.1079104</v>
      </c>
      <c r="E19" s="0" t="n">
        <f aca="false">E15+E16+E17+E18</f>
        <v>2435.863909248</v>
      </c>
      <c r="F19" s="0" t="n">
        <f aca="false">F15+F16+F17+F18</f>
        <v>2734.56875538</v>
      </c>
      <c r="G19" s="0" t="n">
        <f aca="false">G15+G16+G17+G18</f>
        <v>2606.193501912</v>
      </c>
      <c r="H19" s="0" t="n">
        <f aca="false">H15+H16+H17+H18</f>
        <v>2540.37842867705</v>
      </c>
      <c r="I19" s="0" t="n">
        <f aca="false">I15+I16+I17+I18</f>
        <v>2995.87294428775</v>
      </c>
      <c r="J19" s="0" t="n">
        <f aca="false">J15+J16+J17+J18</f>
        <v>3433.31739459487</v>
      </c>
      <c r="K19" s="0" t="n">
        <f aca="false">K15+K16+K17+K18</f>
        <v>3744.00384319081</v>
      </c>
      <c r="L19" s="0" t="n">
        <f aca="false">L15+L16+L17+L18</f>
        <v>3948.77957964421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1272.73700821918</v>
      </c>
      <c r="D21" s="0" t="n">
        <f aca="false">D19*D20</f>
        <v>1590.54891299181</v>
      </c>
      <c r="E21" s="0" t="n">
        <f aca="false">E19*E20</f>
        <v>1855.28512787873</v>
      </c>
      <c r="F21" s="0" t="n">
        <f aca="false">F19*F20</f>
        <v>1902.09573000588</v>
      </c>
      <c r="G21" s="0" t="n">
        <f aca="false">G19*G20</f>
        <v>1655.52621349232</v>
      </c>
      <c r="H21" s="0" t="n">
        <f aca="false">H19*H20</f>
        <v>1473.71566957162</v>
      </c>
      <c r="I21" s="0" t="n">
        <f aca="false">I19*I20</f>
        <v>1587.17405882363</v>
      </c>
      <c r="J21" s="0" t="n">
        <f aca="false">J19*J20</f>
        <v>1661.11997408861</v>
      </c>
      <c r="K21" s="0" t="n">
        <f aca="false">K19*K20</f>
        <v>1654.28073919827</v>
      </c>
      <c r="L21" s="0" t="n">
        <f aca="false">L19*L20</f>
        <v>1593.38858069346</v>
      </c>
    </row>
    <row r="23" customFormat="false" ht="15" hidden="false" customHeight="false" outlineLevel="0" collapsed="false">
      <c r="A23" s="0" t="s">
        <v>102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107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108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16245.8720149635</v>
      </c>
    </row>
    <row r="31" customFormat="false" ht="15" hidden="false" customHeight="false" outlineLevel="0" collapsed="false">
      <c r="A31" s="0" t="s">
        <v>130</v>
      </c>
      <c r="B31" s="0" t="n">
        <f aca="false">L19</f>
        <v>3948.77957964421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57821.4152733616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55282.9141150189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55282.9141150189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22307.4401297084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38553.3121446719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32330.3121446719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14.1421540413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0.646350877916182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228.215466853295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273.141668931798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14.3614612293114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32379.9925530825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6.24771028096848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138</v>
      </c>
      <c r="D3" s="2" t="s">
        <v>149</v>
      </c>
      <c r="E3" s="2" t="s">
        <v>141</v>
      </c>
      <c r="F3" s="2" t="s">
        <v>150</v>
      </c>
    </row>
    <row r="4" customFormat="false" ht="15" hidden="false" customHeight="false" outlineLevel="0" collapsed="false">
      <c r="A4" s="0" t="s">
        <v>151</v>
      </c>
      <c r="B4" s="4" t="n">
        <f aca="false">DCF_Bear!$B$38</f>
        <v>2.54837493340605</v>
      </c>
      <c r="C4" s="0" t="n">
        <f aca="false">B4/Assumptions!$B$2-1</f>
        <v>-0.703332370965535</v>
      </c>
      <c r="D4" s="4" t="n">
        <f aca="false">Assumptions!$B$24</f>
        <v>0.25</v>
      </c>
      <c r="E4" s="4" t="n">
        <f aca="false">DCF_Bear!$B$43</f>
        <v>2.66978407472856</v>
      </c>
      <c r="F4" s="4" t="n">
        <f aca="false">DCF_Bear!$B$47</f>
        <v>0.75322257865936</v>
      </c>
    </row>
    <row r="5" customFormat="false" ht="15" hidden="false" customHeight="false" outlineLevel="0" collapsed="false">
      <c r="A5" s="0" t="s">
        <v>152</v>
      </c>
      <c r="B5" s="4" t="n">
        <f aca="false">DCF_Base!$B$38</f>
        <v>8.10632827175535</v>
      </c>
      <c r="C5" s="0" t="n">
        <f aca="false">B5/Assumptions!$B$2-1</f>
        <v>-0.0563063711577005</v>
      </c>
      <c r="D5" s="4" t="n">
        <f aca="false">Assumptions!$B$38</f>
        <v>0.5</v>
      </c>
      <c r="E5" s="4" t="n">
        <f aca="false">DCF_Base!$B$43</f>
        <v>8.27747109981293</v>
      </c>
      <c r="F5" s="4" t="n">
        <f aca="false">DCF_Base!$B$47</f>
        <v>3.58972905196732</v>
      </c>
    </row>
    <row r="6" customFormat="false" ht="15" hidden="false" customHeight="false" outlineLevel="0" collapsed="false">
      <c r="A6" s="0" t="s">
        <v>153</v>
      </c>
      <c r="B6" s="4" t="n">
        <f aca="false">DCF_Bull!$B$38</f>
        <v>14.1421540413</v>
      </c>
      <c r="C6" s="0" t="n">
        <f aca="false">B6/Assumptions!$B$2-1</f>
        <v>0.646350877916182</v>
      </c>
      <c r="D6" s="4" t="n">
        <f aca="false">Assumptions!$B$52</f>
        <v>0.25</v>
      </c>
      <c r="E6" s="4" t="n">
        <f aca="false">DCF_Bull!$B$43</f>
        <v>14.3614612293114</v>
      </c>
      <c r="F6" s="4" t="n">
        <f aca="false">DCF_Bull!$B$47</f>
        <v>6.24771028096848</v>
      </c>
    </row>
    <row r="8" customFormat="false" ht="15" hidden="false" customHeight="false" outlineLevel="0" collapsed="false">
      <c r="A8" s="0" t="s">
        <v>154</v>
      </c>
      <c r="B8" s="0" t="n">
        <f aca="false">SUMPRODUCT(B4:B6,D4:D6)</f>
        <v>8.22579637955419</v>
      </c>
    </row>
    <row r="9" customFormat="false" ht="15" hidden="false" customHeight="false" outlineLevel="0" collapsed="false">
      <c r="A9" s="0" t="s">
        <v>155</v>
      </c>
      <c r="B9" s="0" t="n">
        <f aca="false">SUMPRODUCT(E4:E6,D4:D6)</f>
        <v>8.39654687591645</v>
      </c>
    </row>
    <row r="10" customFormat="false" ht="15" hidden="false" customHeight="false" outlineLevel="0" collapsed="false">
      <c r="A10" s="0" t="s">
        <v>156</v>
      </c>
      <c r="B10" s="0" t="n">
        <f aca="false">1-Assumptions!$B$2/B8</f>
        <v>-0.0442757884636027</v>
      </c>
    </row>
    <row r="11" customFormat="false" ht="15" hidden="false" customHeight="false" outlineLevel="0" collapsed="false">
      <c r="A11" s="0" t="s">
        <v>157</v>
      </c>
      <c r="B11" s="0" t="n">
        <f aca="false">IF(ABS(B9-B8)&gt;0.01*ABS(B8),(Assumptions!$B$2-B8)/(B9-B8)*100,"n/a")</f>
        <v>213.295790176289</v>
      </c>
    </row>
    <row r="12" customFormat="false" ht="15" hidden="false" customHeight="false" outlineLevel="0" collapsed="false">
      <c r="A12" s="0" t="s">
        <v>158</v>
      </c>
      <c r="B12" s="0" t="n">
        <f aca="false">SUMPRODUCT(F4:F6,D4:D6)</f>
        <v>3.54509774089062</v>
      </c>
    </row>
    <row r="14" customFormat="false" ht="15" hidden="false" customHeight="false" outlineLevel="0" collapsed="false">
      <c r="A14" s="2" t="s">
        <v>159</v>
      </c>
      <c r="C14" s="0" t="s">
        <v>160</v>
      </c>
    </row>
    <row r="15" customFormat="false" ht="15" hidden="false" customHeight="false" outlineLevel="0" collapsed="false">
      <c r="A15" s="0" t="s">
        <v>161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8.49769903065567</v>
      </c>
      <c r="C15" s="3" t="n">
        <v>9</v>
      </c>
    </row>
    <row r="16" customFormat="false" ht="15" hidden="false" customHeight="false" outlineLevel="0" collapsed="false">
      <c r="A16" s="0" t="s">
        <v>162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8.10632827175535</v>
      </c>
      <c r="C16" s="3" t="n">
        <v>9.5</v>
      </c>
    </row>
    <row r="17" customFormat="false" ht="15" hidden="false" customHeight="false" outlineLevel="0" collapsed="false">
      <c r="A17" s="0" t="s">
        <v>163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7.73232694937088</v>
      </c>
      <c r="C17" s="3" t="n">
        <v>10</v>
      </c>
    </row>
    <row r="18" customFormat="false" ht="15" hidden="false" customHeight="false" outlineLevel="0" collapsed="false">
      <c r="A18" s="0" t="s">
        <v>164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6.76156486964519</v>
      </c>
      <c r="C18" s="3" t="n">
        <v>11</v>
      </c>
    </row>
    <row r="19" customFormat="false" ht="15" hidden="false" customHeight="false" outlineLevel="0" collapsed="false">
      <c r="A19" s="0" t="s">
        <v>165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5.72324715119942</v>
      </c>
      <c r="C19" s="3" t="n">
        <v>12</v>
      </c>
    </row>
    <row r="20" customFormat="false" ht="15" hidden="false" customHeight="false" outlineLevel="0" collapsed="false">
      <c r="A20" s="0" t="s">
        <v>166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3.58972905196732</v>
      </c>
      <c r="C20" s="3" t="n">
        <v>15</v>
      </c>
    </row>
    <row r="22" customFormat="false" ht="15" hidden="false" customHeight="false" outlineLevel="0" collapsed="false">
      <c r="A22" s="2" t="s">
        <v>167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9.78559778535986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9.78559778535986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9.78559778535986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9.78559778535986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9.78559778535986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8.90736823408352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8.90736823408352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8.90736823408352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8.90736823408352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8.90736823408352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8.0514521342935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8.10632827175535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8.10632827175535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8.10632827175535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8.10632827175535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6.79198965154149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7.06721411909093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7.37481793576384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7.37481793576384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7.37481793576384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5.77929517596045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5.98595238108292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6.21436297621827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6.46815252636866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6.70600910027642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2026-09-25T05:20:04Z</dcterms:created>
  <dc:creator>openpyxl</dc:creator>
  <dc:description/>
  <dc:language>en-NZ</dc:language>
  <cp:lastModifiedBy/>
  <dcterms:modified xsi:type="dcterms:W3CDTF">2026-09-25T05:20:04Z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