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<sst xmlns="http://schemas.openxmlformats.org/spreadsheetml/2006/main" count="386" uniqueCount="173">
  <si>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</si>
  <si>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IT</t>
  </si>
  <si>
    <t xml:space="preserve">Company</t>
  </si>
  <si>
    <t xml:space="preserve">Gartner,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</si>
  <si>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</si>
  <si>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</si>
  <si>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</si>
  <si>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</si>
  <si>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</si>
  <si>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</si>
  <si>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</si>
  <si>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</si>
  <si>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</si>
  <si>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</si>
  <si>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</si>
  <si>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</si>
  <si>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</si>
  <si>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</si>
  <si>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</si>
  <si>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</si>
  <si>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</si>
  <si>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2026-09-28T22:07:38Z</t>
  </si>
  <si>
    <t xml:space="preserve">Drivers file</t>
  </si>
  <si>
    <t xml:space="preserve">IT_Drivers.json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</si>
  <si>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</si>
  <si>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</si>
  <si>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</si>
  <si>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Gartner is a high-margin, prepaid-subscription research franchise whose growth algorithm broke in 2025 and whose stock has been re-priced to a ~10% company-defined FCF yield. The valuation treats margins as already normal (no mid-cycle adjustment) and puts the entire judgment into the Contract Value recovery path, weighting the structural-erosion bear case at 30%. SBC is fully expensed and the share count held flat; buybacks are value-neutral. The market price sits close to the bear-case value, so the stock is only cheap if CV reacceleration is real.
key_risks_to_valuation: Contract Value growth fails to reaccelerate beyond ~2%: the base case assumes 5-5.5% revenue growth by FY2029, which needs CV back to mid-single digits.; GenAI substitution of lower-tier research proves structural, compressing seats and pricing power (the bear axis).; Consulting segment continues to decline (-8.8% YoY in Q2 2026) faster than Conferences can offset.; Securities class actions and fiduciary-duty investigations: settlement cost and management distraction; a large settlement would be a direct equity deduction not modelled as a bridge item.; Buyback pace (~$1B+ per half-year) exceeds FCF and is being funded from cash; if CV disappoints again, leverage rises against a shrinking EBITDA base.; SBC is understated: equity-award withholding taxes are settled inside treasury purchases and cannot be isolated from the filings.; Timing: end-of-year discounting of a full FY2026 year 1 from a late-September valuation date, offset by the H1-2026 bridge deduction; the net effect is mildly conservative.</t>
  </si>
  <si>
    <t xml:space="preserve">Data sources</t>
  </si>
  <si>
    <t xml:space="preserve">price: Yahoo Finance chart API at inputs.price_as_of; 52-week range 124.25-265.62.
financials: SEC XBRL companyfacts (CIK 749251): FY2025 10-K and Q2 2026 10-Q for revenue, OCF, capex (PaymentsForCapitalImprovements), SBC, D&amp;A, cash taxes, debt, cash, issued and treasury shares, operating lease liability. Q2 2026 earnings release (EX-99.1, 2026-08-04) for adjusted EBITDA reconciliation, FCF definition, Contract Value and segment growth. IT_Metrics.csv for the history pivot.
qualitative: IT_Analysis.json (2026-09-29): FY2026 guidance (revenue &gt;=6,375, adjusted EBITDA &gt;=1,570, adjusted EPS &gt;=14.00, FCF &gt;=1,185), Digital Markets sale, litigation, CV trajectory, bull/bear axes.</t>
  </si>
  <si>
    <t xml:space="preserve">Scenario narrative: bear</t>
  </si>
  <si>
    <t xml:space="preserve">GenAI disintermediation is structural, not cyclical: LLM tools absorb the market-synthesis work that justified lower-tier subscriptions, seat counts shrink at renewal, and Consulting continues its decline. CV growth stays at 0-2%, the sales force cannot be resized quickly enough, and margins drift down to 22%. The class actions settle for a meaningful sum and management's credibility does not recover, so the terminal multiple is capped at 14x owner FCF.</t>
  </si>
  <si>
    <t xml:space="preserve">Scenario narrative: base</t>
  </si>
  <si>
    <t xml:space="preserve">Contract Value growth recovers from the ~1-2% FY2025 trough to mid-single digits over FY2027-29 as elongated enterprise buying cycles normalise, AI-related research demand offsets GenAI substitution at the low end, and the federal book laps the DOGE-related cuts - but the 12-16% algorithm is not reinstated and revenue never exceeds 5.5% growth. Adjusted EBITDA margin expands ~190bp over ten years on sales productivity, capex stays ~1.7% of revenue, and the flat 64.5M share count is funded by ~$1B/yr of buybacks that are value-neutral in this model. Securities litigation is a cost and a distraction, not a solvency event.</t>
  </si>
  <si>
    <t xml:space="preserve">Scenario narrative: bull</t>
  </si>
  <si>
    <t xml:space="preserve">The Q2 2026 sequential CV acceleration proves durable: enterprises need vendor-neutral guidance on AI vendor selection, pricing and risk, Conferences sustain double-digit growth, and the restructured Insights organisation restores new-business productivity. CV reaches high-single digits by FY2028, revenue growth peaks at 8.5%, and operating leverage lifts adjusted EBITDA to 28%. The de-rated multiple (~8.6x EV/EBITDA, ~13x adjusted EPS at the current price) re-rates as the growth algorithm is visibly rebuilt.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</si>
  <si>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</si>
  <si>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</si>
  <si>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</si>
  <si>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</si>
  <si>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</si>
  <si>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</si>
  <si>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</si>
  <si>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</si>
  <si>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</si>
  <si>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</si>
  <si>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</si>
  <si>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</si>
  <si>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</si>
  <si>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</si>
  <si>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</si>
  <si>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</si>
  <si>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</si>
  <si>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</si>
  <si>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</si>
  <si>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</si>
  <si>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</si>
  <si>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</si>
  <si>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</si>
  <si>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</si>
  <si>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</si>
  <si>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</si>
  <si>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</si>
  <si>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</si>
  <si>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</si>
  <si>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</si>
  <si>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</si>
  <si>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</si>
  <si>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</si>
  <si>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</si>
  <si>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</si>
  <si>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</si>
  <si>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</si>
  <si>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</si>
  <si>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</si>
  <si>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</si>
  <si>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</si>
  <si>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</si>
  <si>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</si>
  <si>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</si>
  <si>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</si>
  <si>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</si>
  <si>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</si>
  <si>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</si>
  <si>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</si>
  <si>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</si>
  <si>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</si>
  <si>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</si>
  <si>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</si>
  <si>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</si>
  <si>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</si>
  <si>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</si>
  <si>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</si>
  <si>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</si>
  <si>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</si>
  <si>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</si>
  <si>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</si>
  <si>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</si>
  <si>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</si>
  <si>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</si>
  <si>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</si>
  <si>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</si>
  <si>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</si>
  <si>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</si>
  <si>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</si>
  <si>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</si>
  <si>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</si>
  <si>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</si>
  <si>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</si>
  <si>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</si>
  <si>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</si>
  <si>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</si>
  <si>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</si>
  <si>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</si>
  <si>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</si>
  <si>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</si>
  <si>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</si>
  <si>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</si>
  <si>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</si>
  <si>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</si>
  <si>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</si>
  <si>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</si>
  <si>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</si>
  <si>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</si>
  <si>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</si>
  <si>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</si>
  <si>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</si>
  <si>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</si>
  <si>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</si>
  <si>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</si>
  <si>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</si>
  <si>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</si>
  <si>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</si>
  <si>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</si>
  <si>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</si>
  <si>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</si>
  <si>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</si>
  <si>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</si>
  <si>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</si>
  <si>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</si>
  <si>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</si>
  <si>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</si>
  <si>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</si>
  <si>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</si>
  <si>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</si>
  <si>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</si>
  <si>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</si>
  <si>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</si>
  <si>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</si>
  <si>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</si>
  <si>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IT owner-FCF component DCF: base case (millions, USD)</t>
  </si>
  <si>
    <t xml:space="preserve">IT owner-FCF component DCF: bull case (millions, USD)</t>
  </si>
  <si>
    <t xml:space="preserve">IT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</si>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</sst>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185.73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17.498</v>
      </c>
      <c r="S2" s="0" t="n">
        <v>109.945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1279.065</v>
      </c>
      <c r="F3" s="0" t="n">
        <v>164.368</v>
      </c>
      <c r="G3" s="0" t="n">
        <v>12.8506369887379</v>
      </c>
      <c r="H3" s="0" t="n">
        <v>191.863</v>
      </c>
      <c r="I3" s="0" t="n">
        <v>103.871</v>
      </c>
      <c r="J3" s="0" t="n">
        <v>8.12085390500092</v>
      </c>
      <c r="K3" s="0" t="n">
        <v>1.09</v>
      </c>
      <c r="L3" s="0" t="n">
        <v>184.35</v>
      </c>
      <c r="O3" s="0" t="n">
        <v>-21.316</v>
      </c>
      <c r="S3" s="0" t="n">
        <v>140.929</v>
      </c>
      <c r="T3" s="0" t="n">
        <v>99.028</v>
      </c>
      <c r="U3" s="0" t="n">
        <v>20.696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1139.8</v>
      </c>
      <c r="D4" s="0" t="n">
        <v>642.906</v>
      </c>
      <c r="E4" s="0" t="n">
        <v>56.4051587997894</v>
      </c>
      <c r="F4" s="0" t="n">
        <v>134.477</v>
      </c>
      <c r="G4" s="0" t="n">
        <v>11.7982979470083</v>
      </c>
      <c r="H4" s="0" t="n">
        <v>161.5</v>
      </c>
      <c r="I4" s="0" t="n">
        <v>82.964</v>
      </c>
      <c r="J4" s="0" t="n">
        <v>7.27882084576241</v>
      </c>
      <c r="K4" s="0" t="n">
        <v>0.88</v>
      </c>
      <c r="L4" s="0" t="n">
        <v>161.937</v>
      </c>
      <c r="O4" s="0" t="n">
        <v>112.535</v>
      </c>
      <c r="P4" s="0" t="n">
        <v>1215.279</v>
      </c>
      <c r="Q4" s="0" t="n">
        <v>1102.744</v>
      </c>
      <c r="R4" s="0" t="n">
        <v>329</v>
      </c>
      <c r="S4" s="0" t="n">
        <v>116.574</v>
      </c>
      <c r="T4" s="0" t="n">
        <v>97.549</v>
      </c>
      <c r="U4" s="0" t="n">
        <v>26.066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1288.454</v>
      </c>
      <c r="D5" s="0" t="n">
        <v>742.296</v>
      </c>
      <c r="E5" s="0" t="n">
        <v>57.6113699053284</v>
      </c>
      <c r="F5" s="0" t="n">
        <v>149.265</v>
      </c>
      <c r="G5" s="0" t="n">
        <v>11.5848140484643</v>
      </c>
      <c r="H5" s="0" t="n">
        <v>185.139</v>
      </c>
      <c r="I5" s="0" t="n">
        <v>96.285</v>
      </c>
      <c r="J5" s="0" t="n">
        <v>7.47290939373854</v>
      </c>
      <c r="K5" s="0" t="n">
        <v>1.01</v>
      </c>
      <c r="L5" s="0" t="n">
        <v>205.499</v>
      </c>
      <c r="O5" s="0" t="n">
        <v>187.056</v>
      </c>
      <c r="P5" s="0" t="n">
        <v>1285.658</v>
      </c>
      <c r="Q5" s="0" t="n">
        <v>1098.602</v>
      </c>
      <c r="R5" s="0" t="n">
        <v>220.156</v>
      </c>
      <c r="S5" s="0" t="n">
        <v>120.181</v>
      </c>
      <c r="T5" s="0" t="n">
        <v>99.834</v>
      </c>
      <c r="U5" s="0" t="n">
        <v>32.634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1468.588</v>
      </c>
      <c r="D6" s="0" t="n">
        <v>863.239</v>
      </c>
      <c r="E6" s="0" t="n">
        <v>58.7802024802055</v>
      </c>
      <c r="F6" s="0" t="n">
        <v>214.062</v>
      </c>
      <c r="G6" s="0" t="n">
        <v>14.5760417489453</v>
      </c>
      <c r="H6" s="0" t="n">
        <v>246.126</v>
      </c>
      <c r="I6" s="0" t="n">
        <v>136.902</v>
      </c>
      <c r="J6" s="0" t="n">
        <v>9.32201543251068</v>
      </c>
      <c r="K6" s="0" t="n">
        <v>1.43</v>
      </c>
      <c r="L6" s="0" t="n">
        <v>255.566</v>
      </c>
      <c r="O6" s="0" t="n">
        <v>181.784</v>
      </c>
      <c r="P6" s="0" t="n">
        <v>1379.872</v>
      </c>
      <c r="Q6" s="0" t="n">
        <v>1198.088</v>
      </c>
      <c r="R6" s="0" t="n">
        <v>350</v>
      </c>
      <c r="S6" s="0" t="n">
        <v>142.739</v>
      </c>
      <c r="T6" s="0" t="n">
        <v>98.846</v>
      </c>
      <c r="U6" s="0" t="n">
        <v>32.9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1615.808</v>
      </c>
      <c r="D7" s="0" t="n">
        <v>963.714</v>
      </c>
      <c r="E7" s="0" t="n">
        <v>59.6428536063691</v>
      </c>
      <c r="F7" s="0" t="n">
        <v>245.707</v>
      </c>
      <c r="G7" s="0" t="n">
        <v>15.2064477957777</v>
      </c>
      <c r="H7" s="0" t="n">
        <v>275.478</v>
      </c>
      <c r="I7" s="0" t="n">
        <v>165.903</v>
      </c>
      <c r="J7" s="0" t="n">
        <v>10.26749465283</v>
      </c>
      <c r="K7" s="0" t="n">
        <v>1.78</v>
      </c>
      <c r="L7" s="0" t="n">
        <v>279.813</v>
      </c>
      <c r="O7" s="0" t="n">
        <v>306.673</v>
      </c>
      <c r="P7" s="0" t="n">
        <v>1621.277</v>
      </c>
      <c r="Q7" s="0" t="n">
        <v>1314.604</v>
      </c>
      <c r="R7" s="0" t="n">
        <v>320</v>
      </c>
      <c r="S7" s="0" t="n">
        <v>299.852</v>
      </c>
      <c r="T7" s="0" t="n">
        <v>95.842</v>
      </c>
      <c r="U7" s="0" t="n">
        <v>36.4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1784.213</v>
      </c>
      <c r="D8" s="0" t="n">
        <v>1078.165</v>
      </c>
      <c r="E8" s="0" t="n">
        <v>60.4280430643651</v>
      </c>
      <c r="F8" s="0" t="n">
        <v>275.492</v>
      </c>
      <c r="G8" s="0" t="n">
        <v>15.4405331650425</v>
      </c>
      <c r="H8" s="0" t="n">
        <v>309.934</v>
      </c>
      <c r="I8" s="0" t="n">
        <v>182.801</v>
      </c>
      <c r="J8" s="0" t="n">
        <v>10.2454695711779</v>
      </c>
      <c r="K8" s="0" t="n">
        <v>1.97</v>
      </c>
      <c r="L8" s="0" t="n">
        <v>315.654</v>
      </c>
      <c r="O8" s="0" t="n">
        <v>361.316</v>
      </c>
      <c r="P8" s="0" t="n">
        <v>1783.582</v>
      </c>
      <c r="Q8" s="0" t="n">
        <v>1422.266</v>
      </c>
      <c r="R8" s="0" t="n">
        <v>341.25</v>
      </c>
      <c r="S8" s="0" t="n">
        <v>423.99</v>
      </c>
      <c r="T8" s="0" t="n">
        <v>94.83</v>
      </c>
      <c r="U8" s="0" t="n">
        <v>34.735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2021.441</v>
      </c>
      <c r="D9" s="0" t="n">
        <v>1234.229</v>
      </c>
      <c r="E9" s="0" t="n">
        <v>61.0568896148836</v>
      </c>
      <c r="F9" s="0" t="n">
        <v>286.162</v>
      </c>
      <c r="G9" s="0" t="n">
        <v>14.1563369893061</v>
      </c>
      <c r="H9" s="0" t="n">
        <v>325.574</v>
      </c>
      <c r="I9" s="0" t="n">
        <v>183.766</v>
      </c>
      <c r="J9" s="0" t="n">
        <v>9.09084163228113</v>
      </c>
      <c r="K9" s="0" t="n">
        <v>2.06</v>
      </c>
      <c r="L9" s="0" t="n">
        <v>346.779</v>
      </c>
      <c r="O9" s="0" t="n">
        <v>161.171</v>
      </c>
      <c r="P9" s="0" t="n">
        <v>1904.351</v>
      </c>
      <c r="Q9" s="0" t="n">
        <v>1743.18</v>
      </c>
      <c r="R9" s="0" t="n">
        <v>405</v>
      </c>
      <c r="S9" s="0" t="n">
        <v>365.302</v>
      </c>
      <c r="T9" s="0" t="n">
        <v>90.719</v>
      </c>
      <c r="U9" s="0" t="n">
        <v>38.845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2163.056</v>
      </c>
      <c r="F10" s="0" t="n">
        <v>287.997</v>
      </c>
      <c r="G10" s="0" t="n">
        <v>13.314357094777</v>
      </c>
      <c r="H10" s="0" t="n">
        <v>335.128</v>
      </c>
      <c r="I10" s="0" t="n">
        <v>175.635</v>
      </c>
      <c r="J10" s="0" t="n">
        <v>8.11976204037251</v>
      </c>
      <c r="K10" s="0" t="n">
        <v>2.09</v>
      </c>
      <c r="L10" s="0" t="n">
        <v>345.561</v>
      </c>
      <c r="O10" s="0" t="n">
        <v>-132.4</v>
      </c>
      <c r="P10" s="0" t="n">
        <v>2168.517</v>
      </c>
      <c r="Q10" s="0" t="n">
        <v>2300.917</v>
      </c>
      <c r="R10" s="0" t="n">
        <v>853.831</v>
      </c>
      <c r="S10" s="0" t="n">
        <v>372.976</v>
      </c>
      <c r="T10" s="0" t="n">
        <v>85.056</v>
      </c>
      <c r="U10" s="0" t="n">
        <v>46.149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2444.54</v>
      </c>
      <c r="C11" s="0" t="n">
        <v>945.648</v>
      </c>
      <c r="F11" s="0" t="n">
        <v>305.141</v>
      </c>
      <c r="G11" s="0" t="n">
        <v>12.4825529547481</v>
      </c>
      <c r="H11" s="0" t="n">
        <v>367.11</v>
      </c>
      <c r="I11" s="0" t="n">
        <v>193.582</v>
      </c>
      <c r="J11" s="0" t="n">
        <v>7.91895407724971</v>
      </c>
      <c r="K11" s="0" t="n">
        <v>2.34</v>
      </c>
      <c r="L11" s="0" t="n">
        <v>365.632</v>
      </c>
      <c r="O11" s="0" t="n">
        <v>60.878</v>
      </c>
      <c r="P11" s="0" t="n">
        <v>2367.335</v>
      </c>
      <c r="Q11" s="0" t="n">
        <v>2306.457</v>
      </c>
      <c r="R11" s="0" t="n">
        <v>694.391</v>
      </c>
      <c r="S11" s="0" t="n">
        <v>474.233</v>
      </c>
      <c r="T11" s="0" t="n">
        <v>83.82</v>
      </c>
      <c r="U11" s="0" t="n">
        <v>46.7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3311.494</v>
      </c>
      <c r="C12" s="0" t="n">
        <v>1320.198</v>
      </c>
      <c r="F12" s="0" t="n">
        <v>-6.329</v>
      </c>
      <c r="G12" s="0" t="n">
        <v>-0.191122194393226</v>
      </c>
      <c r="H12" s="0" t="n">
        <v>233.842</v>
      </c>
      <c r="I12" s="0" t="n">
        <v>3.279</v>
      </c>
      <c r="J12" s="0" t="n">
        <v>0.09901875105315</v>
      </c>
      <c r="K12" s="0" t="n">
        <v>0.04</v>
      </c>
      <c r="L12" s="0" t="n">
        <v>254.517</v>
      </c>
      <c r="O12" s="0" t="n">
        <v>983.465</v>
      </c>
      <c r="P12" s="0" t="n">
        <v>7283.173</v>
      </c>
      <c r="Q12" s="0" t="n">
        <v>6299.708</v>
      </c>
      <c r="R12" s="0" t="n">
        <v>3278.845</v>
      </c>
      <c r="S12" s="0" t="n">
        <v>538.908</v>
      </c>
      <c r="T12" s="0" t="n">
        <v>89.79</v>
      </c>
      <c r="U12" s="0" t="n">
        <v>78.943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3975.454</v>
      </c>
      <c r="C13" s="0" t="n">
        <v>1468.8</v>
      </c>
      <c r="F13" s="0" t="n">
        <v>259.715</v>
      </c>
      <c r="G13" s="0" t="n">
        <v>6.53296453688057</v>
      </c>
      <c r="H13" s="0" t="n">
        <v>515.316</v>
      </c>
      <c r="I13" s="0" t="n">
        <v>122.456</v>
      </c>
      <c r="J13" s="0" t="n">
        <v>3.08030227490999</v>
      </c>
      <c r="K13" s="0" t="n">
        <v>1.35</v>
      </c>
      <c r="L13" s="0" t="n">
        <v>471.158</v>
      </c>
      <c r="O13" s="0" t="n">
        <v>850.757</v>
      </c>
      <c r="P13" s="0" t="n">
        <v>6201.474</v>
      </c>
      <c r="Q13" s="0" t="n">
        <v>5350.717</v>
      </c>
      <c r="R13" s="0" t="n">
        <v>2281.687</v>
      </c>
      <c r="S13" s="0" t="n">
        <v>156.368</v>
      </c>
      <c r="T13" s="0" t="n">
        <v>92.122</v>
      </c>
      <c r="U13" s="0" t="n">
        <v>66.2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4245.321</v>
      </c>
      <c r="C14" s="0" t="n">
        <v>1550.568</v>
      </c>
      <c r="F14" s="0" t="n">
        <v>370.087</v>
      </c>
      <c r="G14" s="0" t="n">
        <v>8.71752689608159</v>
      </c>
      <c r="H14" s="0" t="n">
        <v>581.866</v>
      </c>
      <c r="I14" s="0" t="n">
        <v>233.29</v>
      </c>
      <c r="J14" s="0" t="n">
        <v>5.49522639159677</v>
      </c>
      <c r="K14" s="0" t="n">
        <v>2.6</v>
      </c>
      <c r="L14" s="0" t="n">
        <v>565.436</v>
      </c>
      <c r="O14" s="0" t="n">
        <v>938.593</v>
      </c>
      <c r="P14" s="0" t="n">
        <v>7151.294</v>
      </c>
      <c r="Q14" s="0" t="n">
        <v>6212.701</v>
      </c>
      <c r="R14" s="0" t="n">
        <v>2183.606</v>
      </c>
      <c r="S14" s="0" t="n">
        <v>280.836</v>
      </c>
      <c r="T14" s="0" t="n">
        <v>90.971</v>
      </c>
      <c r="U14" s="0" t="n">
        <v>69.008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4099.403</v>
      </c>
      <c r="C15" s="0" t="n">
        <v>1345.024</v>
      </c>
      <c r="F15" s="0" t="n">
        <v>490.15</v>
      </c>
      <c r="G15" s="0" t="n">
        <v>11.956619049164</v>
      </c>
      <c r="H15" s="0" t="n">
        <v>709.134</v>
      </c>
      <c r="I15" s="0" t="n">
        <v>266.745</v>
      </c>
      <c r="J15" s="0" t="n">
        <v>6.5069230812389</v>
      </c>
      <c r="K15" s="0" t="n">
        <v>2.99</v>
      </c>
      <c r="L15" s="0" t="n">
        <v>903.278</v>
      </c>
      <c r="O15" s="0" t="n">
        <v>1090.428</v>
      </c>
      <c r="P15" s="0" t="n">
        <v>7315.967</v>
      </c>
      <c r="Q15" s="0" t="n">
        <v>6225.539</v>
      </c>
      <c r="R15" s="0" t="n">
        <v>1978.801</v>
      </c>
      <c r="S15" s="0" t="n">
        <v>712.583</v>
      </c>
      <c r="T15" s="0" t="n">
        <v>90.017</v>
      </c>
      <c r="U15" s="0" t="n">
        <v>62.6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4733.962</v>
      </c>
      <c r="C16" s="0" t="n">
        <v>1444.093</v>
      </c>
      <c r="F16" s="0" t="n">
        <v>915.751</v>
      </c>
      <c r="G16" s="0" t="n">
        <v>19.344282864966</v>
      </c>
      <c r="H16" s="0" t="n">
        <v>1128.156</v>
      </c>
      <c r="I16" s="0" t="n">
        <v>793.56</v>
      </c>
      <c r="J16" s="0" t="n">
        <v>16.7631256862645</v>
      </c>
      <c r="K16" s="0" t="n">
        <v>9.33</v>
      </c>
      <c r="L16" s="0" t="n">
        <v>1312.47</v>
      </c>
      <c r="O16" s="0" t="n">
        <v>371.058</v>
      </c>
      <c r="P16" s="0" t="n">
        <v>7416.324</v>
      </c>
      <c r="Q16" s="0" t="n">
        <v>7045.266</v>
      </c>
      <c r="R16" s="0" t="n">
        <v>2462.764</v>
      </c>
      <c r="S16" s="0" t="n">
        <v>756.493</v>
      </c>
      <c r="T16" s="0" t="n">
        <v>86.177</v>
      </c>
      <c r="U16" s="0" t="n">
        <v>98.6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5475.846</v>
      </c>
      <c r="C17" s="0" t="n">
        <v>1693.771</v>
      </c>
      <c r="D17" s="0" t="n">
        <v>3815.134</v>
      </c>
      <c r="E17" s="0" t="n">
        <v>69.6720470225058</v>
      </c>
      <c r="F17" s="0" t="n">
        <v>1100.106</v>
      </c>
      <c r="G17" s="0" t="n">
        <v>20.0901559320697</v>
      </c>
      <c r="H17" s="0" t="n">
        <v>1292.052</v>
      </c>
      <c r="I17" s="0" t="n">
        <v>807.799</v>
      </c>
      <c r="J17" s="0" t="n">
        <v>14.7520401413772</v>
      </c>
      <c r="K17" s="0" t="n">
        <v>10.08</v>
      </c>
      <c r="L17" s="0" t="n">
        <v>1101.422</v>
      </c>
      <c r="O17" s="0" t="n">
        <v>227.798</v>
      </c>
      <c r="P17" s="0" t="n">
        <v>7299.736</v>
      </c>
      <c r="Q17" s="0" t="n">
        <v>7071.938</v>
      </c>
      <c r="R17" s="0" t="n">
        <v>2461.407</v>
      </c>
      <c r="S17" s="0" t="n">
        <v>697.999</v>
      </c>
      <c r="T17" s="0" t="n">
        <v>81.067</v>
      </c>
      <c r="U17" s="0" t="n">
        <v>90.6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5906.956</v>
      </c>
      <c r="C18" s="0" t="n">
        <v>1903.24</v>
      </c>
      <c r="D18" s="0" t="n">
        <v>4035.383</v>
      </c>
      <c r="E18" s="0" t="n">
        <v>68.3157788884833</v>
      </c>
      <c r="F18" s="0" t="n">
        <v>1236.894</v>
      </c>
      <c r="G18" s="0" t="n">
        <v>20.9396176304682</v>
      </c>
      <c r="H18" s="0" t="n">
        <v>1427.997</v>
      </c>
      <c r="I18" s="0" t="n">
        <v>882.466</v>
      </c>
      <c r="J18" s="0" t="n">
        <v>14.9394375038514</v>
      </c>
      <c r="K18" s="0" t="n">
        <v>11.17</v>
      </c>
      <c r="L18" s="0" t="n">
        <v>1155.737</v>
      </c>
      <c r="O18" s="0" t="n">
        <v>680.634</v>
      </c>
      <c r="P18" s="0" t="n">
        <v>7835.919</v>
      </c>
      <c r="Q18" s="0" t="n">
        <v>7155.285</v>
      </c>
      <c r="R18" s="0" t="n">
        <v>2458.296</v>
      </c>
      <c r="S18" s="0" t="n">
        <v>1318.999</v>
      </c>
      <c r="T18" s="0" t="n">
        <v>79.68</v>
      </c>
      <c r="U18" s="0" t="n">
        <v>129.841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6267.411</v>
      </c>
      <c r="C19" s="0" t="n">
        <v>2023.022</v>
      </c>
      <c r="D19" s="0" t="n">
        <v>4277.544</v>
      </c>
      <c r="E19" s="0" t="n">
        <v>68.2505742801932</v>
      </c>
      <c r="F19" s="0" t="n">
        <v>1156.287</v>
      </c>
      <c r="G19" s="0" t="n">
        <v>18.4491969650626</v>
      </c>
      <c r="H19" s="0" t="n">
        <v>1358.602</v>
      </c>
      <c r="I19" s="0" t="n">
        <v>1253.715</v>
      </c>
      <c r="J19" s="0" t="n">
        <v>20.003714452427</v>
      </c>
      <c r="K19" s="0" t="n">
        <v>16.12</v>
      </c>
      <c r="L19" s="0" t="n">
        <v>1484.922</v>
      </c>
      <c r="O19" s="0" t="n">
        <v>1359.169</v>
      </c>
      <c r="P19" s="0" t="n">
        <v>8534.671</v>
      </c>
      <c r="Q19" s="0" t="n">
        <v>7175.502</v>
      </c>
      <c r="R19" s="0" t="n">
        <v>2459.915</v>
      </c>
      <c r="S19" s="0" t="n">
        <v>1933.147</v>
      </c>
      <c r="T19" s="0" t="n">
        <v>78.338</v>
      </c>
      <c r="U19" s="0" t="n">
        <v>154.8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6497.226</v>
      </c>
      <c r="C20" s="0" t="n">
        <v>2053.575</v>
      </c>
      <c r="D20" s="0" t="n">
        <v>4468.216</v>
      </c>
      <c r="E20" s="0" t="n">
        <v>68.7711340193492</v>
      </c>
      <c r="F20" s="0" t="n">
        <v>1025.711</v>
      </c>
      <c r="G20" s="0" t="n">
        <v>15.7869065967538</v>
      </c>
      <c r="H20" s="0" t="n">
        <v>1226.02</v>
      </c>
      <c r="I20" s="0" t="n">
        <v>729.231</v>
      </c>
      <c r="J20" s="0" t="n">
        <v>11.2237284034756</v>
      </c>
      <c r="K20" s="0" t="n">
        <v>9.68</v>
      </c>
      <c r="L20" s="0" t="n">
        <v>1290.365</v>
      </c>
      <c r="O20" s="0" t="n">
        <v>319.908</v>
      </c>
      <c r="P20" s="0" t="n">
        <v>8085.4</v>
      </c>
      <c r="Q20" s="0" t="n">
        <v>7765.492</v>
      </c>
      <c r="R20" s="0" t="n">
        <v>2981.674</v>
      </c>
      <c r="S20" s="0" t="n">
        <v>1722.521</v>
      </c>
      <c r="T20" s="0" t="n">
        <v>75.605</v>
      </c>
      <c r="U20" s="0" t="n">
        <v>155.9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185.73</v>
      </c>
    </row>
    <row r="3" customFormat="false" ht="15" hidden="false" customHeight="false" outlineLevel="0" collapsed="false">
      <c r="A3" s="0" t="s">
        <v>85</v>
      </c>
      <c r="B3" s="3" t="n">
        <v>64.5</v>
      </c>
    </row>
    <row r="4" customFormat="false" ht="15" hidden="false" customHeight="false" outlineLevel="0" collapsed="false">
      <c r="A4" s="0" t="s">
        <v>86</v>
      </c>
      <c r="B4" s="3" t="n">
        <v>1490.6</v>
      </c>
    </row>
    <row r="5" customFormat="false" ht="15" hidden="false" customHeight="false" outlineLevel="0" collapsed="false">
      <c r="A5" s="0" t="s">
        <v>87</v>
      </c>
      <c r="B5" s="3" t="n">
        <v>-662.1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6282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</v>
      </c>
      <c r="D13" s="3" t="n">
        <v>0.5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24.3</v>
      </c>
      <c r="D14" s="3" t="n">
        <v>23.5</v>
      </c>
      <c r="E14" s="3" t="n">
        <v>23</v>
      </c>
      <c r="F14" s="3" t="n">
        <v>22.5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107</v>
      </c>
      <c r="C15" s="3" t="n">
        <v>2.6</v>
      </c>
      <c r="D15" s="3" t="n">
        <v>2.6</v>
      </c>
      <c r="E15" s="3" t="n">
        <v>2.6</v>
      </c>
      <c r="F15" s="3" t="n">
        <v>2.6</v>
      </c>
      <c r="G15" s="3" t="n">
        <v>2.6</v>
      </c>
      <c r="H15" s="3" t="n">
        <v>2.6</v>
      </c>
      <c r="I15" s="3" t="n">
        <v>2.6</v>
      </c>
      <c r="J15" s="3" t="n">
        <v>2.6</v>
      </c>
      <c r="K15" s="3" t="n">
        <v>2.6</v>
      </c>
      <c r="L15" s="3" t="n">
        <v>2.6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2.8</v>
      </c>
      <c r="D17" s="3" t="n">
        <v>2.6</v>
      </c>
      <c r="E17" s="3" t="n">
        <v>2.4</v>
      </c>
      <c r="F17" s="3" t="n">
        <v>2.2</v>
      </c>
      <c r="G17" s="3" t="n">
        <v>2</v>
      </c>
      <c r="H17" s="3" t="n">
        <v>1.9</v>
      </c>
      <c r="I17" s="3" t="n">
        <v>1.8</v>
      </c>
      <c r="J17" s="3" t="n">
        <v>1.8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110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111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1.5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15</v>
      </c>
    </row>
    <row r="24" customFormat="false" ht="15" hidden="false" customHeight="false" outlineLevel="0" collapsed="false">
      <c r="A24" s="0" t="s">
        <v>116</v>
      </c>
      <c r="B24" s="3" t="n">
        <v>0.3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1.5</v>
      </c>
      <c r="D27" s="3" t="n">
        <v>3.5</v>
      </c>
      <c r="E27" s="3" t="n">
        <v>5</v>
      </c>
      <c r="F27" s="3" t="n">
        <v>5.5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24.6</v>
      </c>
      <c r="D28" s="3" t="n">
        <v>25</v>
      </c>
      <c r="E28" s="3" t="n">
        <v>25.4</v>
      </c>
      <c r="F28" s="3" t="n">
        <v>25.8</v>
      </c>
      <c r="G28" s="3" t="n">
        <v>26</v>
      </c>
      <c r="H28" s="3" t="n">
        <v>26.2</v>
      </c>
      <c r="I28" s="3" t="n">
        <v>26.4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107</v>
      </c>
      <c r="C29" s="3" t="n">
        <v>2.5</v>
      </c>
      <c r="D29" s="3" t="n">
        <v>2.5</v>
      </c>
      <c r="E29" s="3" t="n">
        <v>2.5</v>
      </c>
      <c r="F29" s="3" t="n">
        <v>2.4</v>
      </c>
      <c r="G29" s="3" t="n">
        <v>2.4</v>
      </c>
      <c r="H29" s="3" t="n">
        <v>2.4</v>
      </c>
      <c r="I29" s="3" t="n">
        <v>2.3</v>
      </c>
      <c r="J29" s="3" t="n">
        <v>2.3</v>
      </c>
      <c r="K29" s="3" t="n">
        <v>2.3</v>
      </c>
      <c r="L29" s="3" t="n">
        <v>2.3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2.8</v>
      </c>
      <c r="D31" s="3" t="n">
        <v>2.6</v>
      </c>
      <c r="E31" s="3" t="n">
        <v>2.4</v>
      </c>
      <c r="F31" s="3" t="n">
        <v>2.2</v>
      </c>
      <c r="G31" s="3" t="n">
        <v>2</v>
      </c>
      <c r="H31" s="3" t="n">
        <v>1.9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110</v>
      </c>
      <c r="C32" s="3" t="n">
        <v>1.7</v>
      </c>
      <c r="D32" s="3" t="n">
        <v>1.7</v>
      </c>
      <c r="E32" s="3" t="n">
        <v>1.7</v>
      </c>
      <c r="F32" s="3" t="n">
        <v>1.7</v>
      </c>
      <c r="G32" s="3" t="n">
        <v>1.7</v>
      </c>
      <c r="H32" s="3" t="n">
        <v>1.7</v>
      </c>
      <c r="I32" s="3" t="n">
        <v>1.7</v>
      </c>
      <c r="J32" s="3" t="n">
        <v>1.7</v>
      </c>
      <c r="K32" s="3" t="n">
        <v>1.7</v>
      </c>
      <c r="L32" s="3" t="n">
        <v>1.7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20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2</v>
      </c>
      <c r="D41" s="3" t="n">
        <v>5</v>
      </c>
      <c r="E41" s="3" t="n">
        <v>7.5</v>
      </c>
      <c r="F41" s="3" t="n">
        <v>8.5</v>
      </c>
      <c r="G41" s="3" t="n">
        <v>8.5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24.8</v>
      </c>
      <c r="D42" s="3" t="n">
        <v>25.5</v>
      </c>
      <c r="E42" s="3" t="n">
        <v>26.3</v>
      </c>
      <c r="F42" s="3" t="n">
        <v>27</v>
      </c>
      <c r="G42" s="3" t="n">
        <v>27.5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107</v>
      </c>
      <c r="C43" s="3" t="n">
        <v>2.5</v>
      </c>
      <c r="D43" s="3" t="n">
        <v>2.5</v>
      </c>
      <c r="E43" s="3" t="n">
        <v>2.4</v>
      </c>
      <c r="F43" s="3" t="n">
        <v>2.4</v>
      </c>
      <c r="G43" s="3" t="n">
        <v>2.3</v>
      </c>
      <c r="H43" s="3" t="n">
        <v>2.3</v>
      </c>
      <c r="I43" s="3" t="n">
        <v>2.2</v>
      </c>
      <c r="J43" s="3" t="n">
        <v>2.2</v>
      </c>
      <c r="K43" s="3" t="n">
        <v>2.2</v>
      </c>
      <c r="L43" s="3" t="n">
        <v>2.2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2.8</v>
      </c>
      <c r="D45" s="3" t="n">
        <v>2.6</v>
      </c>
      <c r="E45" s="3" t="n">
        <v>2.4</v>
      </c>
      <c r="F45" s="3" t="n">
        <v>2.2</v>
      </c>
      <c r="G45" s="3" t="n">
        <v>2</v>
      </c>
      <c r="H45" s="3" t="n">
        <v>1.9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110</v>
      </c>
      <c r="C46" s="3" t="n">
        <v>1.7</v>
      </c>
      <c r="D46" s="3" t="n">
        <v>1.7</v>
      </c>
      <c r="E46" s="3" t="n">
        <v>1.7</v>
      </c>
      <c r="F46" s="3" t="n">
        <v>1.7</v>
      </c>
      <c r="G46" s="3" t="n">
        <v>1.7</v>
      </c>
      <c r="H46" s="3" t="n">
        <v>1.7</v>
      </c>
      <c r="I46" s="3" t="n">
        <v>1.7</v>
      </c>
      <c r="J46" s="3" t="n">
        <v>1.7</v>
      </c>
      <c r="K46" s="3" t="n">
        <v>1.7</v>
      </c>
      <c r="L46" s="3" t="n">
        <v>1.7</v>
      </c>
    </row>
    <row r="47" customFormat="false" ht="15" hidden="false" customHeight="false" outlineLevel="0" collapsed="false">
      <c r="A47" s="0" t="s">
        <v>111</v>
      </c>
      <c r="C47" s="3" t="n">
        <v>22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20</v>
      </c>
    </row>
    <row r="52" customFormat="false" ht="15" hidden="false" customHeight="false" outlineLevel="0" collapsed="false">
      <c r="A52" s="0" t="s">
        <v>116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6282</v>
      </c>
      <c r="C6" s="0" t="n">
        <f aca="false">B6*(1+C5/100)</f>
        <v>6344.82</v>
      </c>
      <c r="D6" s="0" t="n">
        <f aca="false">C6*(1+D5/100)</f>
        <v>6376.5441</v>
      </c>
      <c r="E6" s="0" t="n">
        <f aca="false">D6*(1+E5/100)</f>
        <v>6440.309541</v>
      </c>
      <c r="F6" s="0" t="n">
        <f aca="false">E6*(1+F5/100)</f>
        <v>6536.914184115</v>
      </c>
      <c r="G6" s="0" t="n">
        <f aca="false">F6*(1+G5/100)</f>
        <v>6667.6524677973</v>
      </c>
      <c r="H6" s="0" t="n">
        <f aca="false">G6*(1+H5/100)</f>
        <v>6801.00551715325</v>
      </c>
      <c r="I6" s="0" t="n">
        <f aca="false">H6*(1+I5/100)</f>
        <v>6937.02562749631</v>
      </c>
      <c r="J6" s="0" t="n">
        <f aca="false">I6*(1+J5/100)</f>
        <v>7075.76614004624</v>
      </c>
      <c r="K6" s="0" t="n">
        <f aca="false">J6*(1+K5/100)</f>
        <v>7217.28146284716</v>
      </c>
      <c r="L6" s="0" t="n">
        <f aca="false">K6*(1+L5/100)</f>
        <v>7361.62709210411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24.3</v>
      </c>
      <c r="D7" s="4" t="n">
        <f aca="false">Assumptions!D14</f>
        <v>23.5</v>
      </c>
      <c r="E7" s="4" t="n">
        <f aca="false">Assumptions!E14</f>
        <v>23</v>
      </c>
      <c r="F7" s="4" t="n">
        <f aca="false">Assumptions!F14</f>
        <v>22.5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1541.79126</v>
      </c>
      <c r="D8" s="0" t="n">
        <f aca="false">D6*D7/100</f>
        <v>1498.4878635</v>
      </c>
      <c r="E8" s="0" t="n">
        <f aca="false">E6*E7/100</f>
        <v>1481.27119443</v>
      </c>
      <c r="F8" s="0" t="n">
        <f aca="false">F6*F7/100</f>
        <v>1470.80569142587</v>
      </c>
      <c r="G8" s="0" t="n">
        <f aca="false">G6*G7/100</f>
        <v>1466.88354291541</v>
      </c>
      <c r="H8" s="0" t="n">
        <f aca="false">H6*H7/100</f>
        <v>1496.22121377371</v>
      </c>
      <c r="I8" s="0" t="n">
        <f aca="false">I6*I7/100</f>
        <v>1526.14563804919</v>
      </c>
      <c r="J8" s="0" t="n">
        <f aca="false">J6*J7/100</f>
        <v>1556.66855081017</v>
      </c>
      <c r="K8" s="0" t="n">
        <f aca="false">K6*K7/100</f>
        <v>1587.80192182638</v>
      </c>
      <c r="L8" s="0" t="n">
        <f aca="false">L6*L7/100</f>
        <v>1619.5579602629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2.6</v>
      </c>
      <c r="D9" s="4" t="n">
        <f aca="false">Assumptions!D15</f>
        <v>2.6</v>
      </c>
      <c r="E9" s="4" t="n">
        <f aca="false">Assumptions!E15</f>
        <v>2.6</v>
      </c>
      <c r="F9" s="4" t="n">
        <f aca="false">Assumptions!F15</f>
        <v>2.6</v>
      </c>
      <c r="G9" s="4" t="n">
        <f aca="false">Assumptions!G15</f>
        <v>2.6</v>
      </c>
      <c r="H9" s="4" t="n">
        <f aca="false">Assumptions!H15</f>
        <v>2.6</v>
      </c>
      <c r="I9" s="4" t="n">
        <f aca="false">Assumptions!I15</f>
        <v>2.6</v>
      </c>
      <c r="J9" s="4" t="n">
        <f aca="false">Assumptions!J15</f>
        <v>2.6</v>
      </c>
      <c r="K9" s="4" t="n">
        <f aca="false">Assumptions!K15</f>
        <v>2.6</v>
      </c>
      <c r="L9" s="4" t="n">
        <f aca="false">Assumptions!L15</f>
        <v>2.6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-164.96532</v>
      </c>
      <c r="D10" s="0" t="n">
        <f aca="false">-D6*D9/100</f>
        <v>-165.7901466</v>
      </c>
      <c r="E10" s="0" t="n">
        <f aca="false">-E6*E9/100</f>
        <v>-167.448048066</v>
      </c>
      <c r="F10" s="0" t="n">
        <f aca="false">-F6*F9/100</f>
        <v>-169.95976878699</v>
      </c>
      <c r="G10" s="0" t="n">
        <f aca="false">-G6*G9/100</f>
        <v>-173.35896416273</v>
      </c>
      <c r="H10" s="0" t="n">
        <f aca="false">-H6*H9/100</f>
        <v>-176.826143445984</v>
      </c>
      <c r="I10" s="0" t="n">
        <f aca="false">-I6*I9/100</f>
        <v>-180.362666314904</v>
      </c>
      <c r="J10" s="0" t="n">
        <f aca="false">-J6*J9/100</f>
        <v>-183.969919641202</v>
      </c>
      <c r="K10" s="0" t="n">
        <f aca="false">-K6*K9/100</f>
        <v>-187.649318034026</v>
      </c>
      <c r="L10" s="0" t="n">
        <f aca="false">-L6*L9/100</f>
        <v>-191.402304394707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1376.82594</v>
      </c>
      <c r="D11" s="0" t="n">
        <f aca="false">D8+D10+D24</f>
        <v>1332.6977169</v>
      </c>
      <c r="E11" s="0" t="n">
        <f aca="false">E8+E10+E24</f>
        <v>1313.823146364</v>
      </c>
      <c r="F11" s="0" t="n">
        <f aca="false">F8+F10+F24</f>
        <v>1300.84592263888</v>
      </c>
      <c r="G11" s="0" t="n">
        <f aca="false">G8+G10+G24</f>
        <v>1293.52457875268</v>
      </c>
      <c r="H11" s="0" t="n">
        <f aca="false">H8+H10+H24</f>
        <v>1319.39507032773</v>
      </c>
      <c r="I11" s="0" t="n">
        <f aca="false">I8+I10+I24</f>
        <v>1345.78297173428</v>
      </c>
      <c r="J11" s="0" t="n">
        <f aca="false">J8+J10+J24</f>
        <v>1372.69863116897</v>
      </c>
      <c r="K11" s="0" t="n">
        <f aca="false">K8+K10+K24</f>
        <v>1400.15260379235</v>
      </c>
      <c r="L11" s="0" t="n">
        <f aca="false">L8+L10+L24</f>
        <v>1428.1556558682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-177.65496</v>
      </c>
      <c r="D12" s="4" t="n">
        <f aca="false">-D6*Assumptions!D17/100</f>
        <v>-165.7901466</v>
      </c>
      <c r="E12" s="4" t="n">
        <f aca="false">-E6*Assumptions!E17/100</f>
        <v>-154.567428984</v>
      </c>
      <c r="F12" s="4" t="n">
        <f aca="false">-F6*Assumptions!F17/100</f>
        <v>-143.81211205053</v>
      </c>
      <c r="G12" s="4" t="n">
        <f aca="false">-G6*Assumptions!G17/100</f>
        <v>-133.353049355946</v>
      </c>
      <c r="H12" s="4" t="n">
        <f aca="false">-H6*Assumptions!H17/100</f>
        <v>-129.219104825912</v>
      </c>
      <c r="I12" s="4" t="n">
        <f aca="false">-I6*Assumptions!I17/100</f>
        <v>-124.866461294934</v>
      </c>
      <c r="J12" s="4" t="n">
        <f aca="false">-J6*Assumptions!J17/100</f>
        <v>-127.363790520832</v>
      </c>
      <c r="K12" s="4" t="n">
        <f aca="false">-K6*Assumptions!K17/100</f>
        <v>-129.911066331249</v>
      </c>
      <c r="L12" s="4" t="n">
        <f aca="false">-L6*Assumptions!L17/100</f>
        <v>-132.509287657874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1199.17098</v>
      </c>
      <c r="D13" s="0" t="n">
        <f aca="false">D11+D12</f>
        <v>1166.9075703</v>
      </c>
      <c r="E13" s="0" t="n">
        <f aca="false">E11+E12</f>
        <v>1159.25571738</v>
      </c>
      <c r="F13" s="0" t="n">
        <f aca="false">F11+F12</f>
        <v>1157.03381058835</v>
      </c>
      <c r="G13" s="0" t="n">
        <f aca="false">G11+G12</f>
        <v>1160.17152939673</v>
      </c>
      <c r="H13" s="0" t="n">
        <f aca="false">H11+H12</f>
        <v>1190.17596550182</v>
      </c>
      <c r="I13" s="0" t="n">
        <f aca="false">I11+I12</f>
        <v>1220.91651043935</v>
      </c>
      <c r="J13" s="0" t="n">
        <f aca="false">J11+J12</f>
        <v>1245.33484064814</v>
      </c>
      <c r="K13" s="0" t="n">
        <f aca="false">K11+K12</f>
        <v>1270.2415374611</v>
      </c>
      <c r="L13" s="0" t="n">
        <f aca="false">L11+L12</f>
        <v>1295.64636821032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923.3616546</v>
      </c>
      <c r="D15" s="0" t="n">
        <f aca="false">D13-MAX(0,D13)*D14/100</f>
        <v>898.518829131</v>
      </c>
      <c r="E15" s="0" t="n">
        <f aca="false">E13-MAX(0,E13)*E14/100</f>
        <v>892.6269023826</v>
      </c>
      <c r="F15" s="0" t="n">
        <f aca="false">F13-MAX(0,F13)*F14/100</f>
        <v>890.916034153033</v>
      </c>
      <c r="G15" s="0" t="n">
        <f aca="false">G13-MAX(0,G13)*G14/100</f>
        <v>893.332077635482</v>
      </c>
      <c r="H15" s="0" t="n">
        <f aca="false">H13-MAX(0,H13)*H14/100</f>
        <v>916.4354934364</v>
      </c>
      <c r="I15" s="0" t="n">
        <f aca="false">I13-MAX(0,I13)*I14/100</f>
        <v>940.1057130383</v>
      </c>
      <c r="J15" s="0" t="n">
        <f aca="false">J13-MAX(0,J13)*J14/100</f>
        <v>958.907827299066</v>
      </c>
      <c r="K15" s="0" t="n">
        <f aca="false">K13-MAX(0,K13)*K14/100</f>
        <v>978.085983845047</v>
      </c>
      <c r="L15" s="0" t="n">
        <f aca="false">L13-MAX(0,L13)*L14/100</f>
        <v>997.647703521948</v>
      </c>
    </row>
    <row r="16" customFormat="false" ht="15" hidden="false" customHeight="false" outlineLevel="0" collapsed="false">
      <c r="A16" s="0" t="s">
        <v>127</v>
      </c>
      <c r="C16" s="0" t="n">
        <f aca="false">-C12</f>
        <v>177.65496</v>
      </c>
      <c r="D16" s="0" t="n">
        <f aca="false">-D12</f>
        <v>165.7901466</v>
      </c>
      <c r="E16" s="0" t="n">
        <f aca="false">-E12</f>
        <v>154.567428984</v>
      </c>
      <c r="F16" s="0" t="n">
        <f aca="false">-F12</f>
        <v>143.81211205053</v>
      </c>
      <c r="G16" s="0" t="n">
        <f aca="false">-G12</f>
        <v>133.353049355946</v>
      </c>
      <c r="H16" s="0" t="n">
        <f aca="false">-H12</f>
        <v>129.219104825912</v>
      </c>
      <c r="I16" s="0" t="n">
        <f aca="false">-I12</f>
        <v>124.866461294934</v>
      </c>
      <c r="J16" s="0" t="n">
        <f aca="false">-J12</f>
        <v>127.363790520832</v>
      </c>
      <c r="K16" s="0" t="n">
        <f aca="false">-K12</f>
        <v>129.911066331249</v>
      </c>
      <c r="L16" s="0" t="n">
        <f aca="false">-L12</f>
        <v>132.509287657874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-114.20676</v>
      </c>
      <c r="D17" s="4" t="n">
        <f aca="false">-D6*Assumptions!D18/100</f>
        <v>-114.7777938</v>
      </c>
      <c r="E17" s="4" t="n">
        <f aca="false">-E6*Assumptions!E18/100</f>
        <v>-115.925571738</v>
      </c>
      <c r="F17" s="4" t="n">
        <f aca="false">-F6*Assumptions!F18/100</f>
        <v>-117.66445531407</v>
      </c>
      <c r="G17" s="4" t="n">
        <f aca="false">-G6*Assumptions!G18/100</f>
        <v>-120.017744420351</v>
      </c>
      <c r="H17" s="4" t="n">
        <f aca="false">-H6*Assumptions!H18/100</f>
        <v>-122.418099308758</v>
      </c>
      <c r="I17" s="4" t="n">
        <f aca="false">-I6*Assumptions!I18/100</f>
        <v>-124.866461294934</v>
      </c>
      <c r="J17" s="4" t="n">
        <f aca="false">-J6*Assumptions!J18/100</f>
        <v>-127.363790520832</v>
      </c>
      <c r="K17" s="4" t="n">
        <f aca="false">-K6*Assumptions!K18/100</f>
        <v>-129.911066331249</v>
      </c>
      <c r="L17" s="4" t="n">
        <f aca="false">-L6*Assumptions!L18/100</f>
        <v>-132.509287657874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9.42299999999996</v>
      </c>
      <c r="D18" s="4" t="n">
        <f aca="false">(D6-C6)*Assumptions!$B$23/100</f>
        <v>4.75861499999992</v>
      </c>
      <c r="E18" s="4" t="n">
        <f aca="false">(E6-D6)*Assumptions!$B$23/100</f>
        <v>9.56481615000007</v>
      </c>
      <c r="F18" s="4" t="n">
        <f aca="false">(F6-E6)*Assumptions!$B$23/100</f>
        <v>14.49069646725</v>
      </c>
      <c r="G18" s="4" t="n">
        <f aca="false">(G6-F6)*Assumptions!$B$23/100</f>
        <v>19.610742552345</v>
      </c>
      <c r="H18" s="4" t="n">
        <f aca="false">(H6-G6)*Assumptions!$B$23/100</f>
        <v>20.002957403392</v>
      </c>
      <c r="I18" s="4" t="n">
        <f aca="false">(I6-H6)*Assumptions!$B$23/100</f>
        <v>20.4030165514598</v>
      </c>
      <c r="J18" s="4" t="n">
        <f aca="false">(J6-I6)*Assumptions!$B$23/100</f>
        <v>20.8110768824889</v>
      </c>
      <c r="K18" s="4" t="n">
        <f aca="false">(K6-J6)*Assumptions!$B$23/100</f>
        <v>21.2272984201387</v>
      </c>
      <c r="L18" s="4" t="n">
        <f aca="false">(L6-K6)*Assumptions!$B$23/100</f>
        <v>21.6518443885415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996.2328546</v>
      </c>
      <c r="D19" s="0" t="n">
        <f aca="false">D15+D16+D17+D18</f>
        <v>954.289796931</v>
      </c>
      <c r="E19" s="0" t="n">
        <f aca="false">E15+E16+E17+E18</f>
        <v>940.8335757786</v>
      </c>
      <c r="F19" s="0" t="n">
        <f aca="false">F15+F16+F17+F18</f>
        <v>931.554387356743</v>
      </c>
      <c r="G19" s="0" t="n">
        <f aca="false">G15+G16+G17+G18</f>
        <v>926.278125123422</v>
      </c>
      <c r="H19" s="0" t="n">
        <f aca="false">H15+H16+H17+H18</f>
        <v>943.239456356945</v>
      </c>
      <c r="I19" s="0" t="n">
        <f aca="false">I15+I16+I17+I18</f>
        <v>960.50872958976</v>
      </c>
      <c r="J19" s="0" t="n">
        <f aca="false">J15+J16+J17+J18</f>
        <v>979.718904181555</v>
      </c>
      <c r="K19" s="0" t="n">
        <f aca="false">K15+K16+K17+K18</f>
        <v>999.313282265186</v>
      </c>
      <c r="L19" s="0" t="n">
        <f aca="false">L15+L16+L17+L18</f>
        <v>1019.29954791049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913.975095963303</v>
      </c>
      <c r="D21" s="0" t="n">
        <f aca="false">D19*D20</f>
        <v>803.206629855231</v>
      </c>
      <c r="E21" s="0" t="n">
        <f aca="false">E19*E20</f>
        <v>726.496144703014</v>
      </c>
      <c r="F21" s="0" t="n">
        <f aca="false">F19*F20</f>
        <v>659.936613481911</v>
      </c>
      <c r="G21" s="0" t="n">
        <f aca="false">G19*G20</f>
        <v>602.017225959297</v>
      </c>
      <c r="H21" s="0" t="n">
        <f aca="false">H19*H20</f>
        <v>562.42286924896</v>
      </c>
      <c r="I21" s="0" t="n">
        <f aca="false">I19*I20</f>
        <v>525.431167556548</v>
      </c>
      <c r="J21" s="0" t="n">
        <f aca="false">J19*J20</f>
        <v>491.687881566678</v>
      </c>
      <c r="K21" s="0" t="n">
        <f aca="false">K19*K20</f>
        <v>460.111595594506</v>
      </c>
      <c r="L21" s="0" t="n">
        <f aca="false">L19*L20</f>
        <v>430.563144501281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6175.84836843073</v>
      </c>
    </row>
    <row r="31" customFormat="false" ht="15" hidden="false" customHeight="false" outlineLevel="0" collapsed="false">
      <c r="A31" s="0" t="s">
        <v>136</v>
      </c>
      <c r="B31" s="0" t="n">
        <f aca="false">L19</f>
        <v>1019.29954791049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13794.5205483886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14270.1936707469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13794.5205483886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5826.954555584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12002.8029240147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9850.10292401473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152.714774015732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-0.177759252593915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1116.9402798689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1094.17543824904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186.995637862522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7663.62252688257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70.7973643469289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1.5</v>
      </c>
      <c r="D5" s="4" t="n">
        <f aca="false">Assumptions!D27</f>
        <v>3.5</v>
      </c>
      <c r="E5" s="4" t="n">
        <f aca="false">Assumptions!E27</f>
        <v>5</v>
      </c>
      <c r="F5" s="4" t="n">
        <f aca="false">Assumptions!F27</f>
        <v>5.5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6282</v>
      </c>
      <c r="C6" s="0" t="n">
        <f aca="false">B6*(1+C5/100)</f>
        <v>6376.23</v>
      </c>
      <c r="D6" s="0" t="n">
        <f aca="false">C6*(1+D5/100)</f>
        <v>6599.39805</v>
      </c>
      <c r="E6" s="0" t="n">
        <f aca="false">D6*(1+E5/100)</f>
        <v>6929.3679525</v>
      </c>
      <c r="F6" s="0" t="n">
        <f aca="false">E6*(1+F5/100)</f>
        <v>7310.4831898875</v>
      </c>
      <c r="G6" s="0" t="n">
        <f aca="false">F6*(1+G5/100)</f>
        <v>7712.55976533131</v>
      </c>
      <c r="H6" s="0" t="n">
        <f aca="false">G6*(1+H5/100)</f>
        <v>8098.18775359788</v>
      </c>
      <c r="I6" s="0" t="n">
        <f aca="false">H6*(1+I5/100)</f>
        <v>8462.60620250978</v>
      </c>
      <c r="J6" s="0" t="n">
        <f aca="false">I6*(1+J5/100)</f>
        <v>8801.11045061017</v>
      </c>
      <c r="K6" s="0" t="n">
        <f aca="false">J6*(1+K5/100)</f>
        <v>9109.14931638153</v>
      </c>
      <c r="L6" s="0" t="n">
        <f aca="false">K6*(1+L5/100)</f>
        <v>9382.42379587297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24.6</v>
      </c>
      <c r="D7" s="4" t="n">
        <f aca="false">Assumptions!D28</f>
        <v>25</v>
      </c>
      <c r="E7" s="4" t="n">
        <f aca="false">Assumptions!E28</f>
        <v>25.4</v>
      </c>
      <c r="F7" s="4" t="n">
        <f aca="false">Assumptions!F28</f>
        <v>25.8</v>
      </c>
      <c r="G7" s="4" t="n">
        <f aca="false">Assumptions!G28</f>
        <v>26</v>
      </c>
      <c r="H7" s="4" t="n">
        <f aca="false">Assumptions!H28</f>
        <v>26.2</v>
      </c>
      <c r="I7" s="4" t="n">
        <f aca="false">Assumptions!I28</f>
        <v>26.4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1568.55258</v>
      </c>
      <c r="D8" s="0" t="n">
        <f aca="false">D6*D7/100</f>
        <v>1649.8495125</v>
      </c>
      <c r="E8" s="0" t="n">
        <f aca="false">E6*E7/100</f>
        <v>1760.059459935</v>
      </c>
      <c r="F8" s="0" t="n">
        <f aca="false">F6*F7/100</f>
        <v>1886.10466299097</v>
      </c>
      <c r="G8" s="0" t="n">
        <f aca="false">G6*G7/100</f>
        <v>2005.26553898614</v>
      </c>
      <c r="H8" s="0" t="n">
        <f aca="false">H6*H7/100</f>
        <v>2121.72519144264</v>
      </c>
      <c r="I8" s="0" t="n">
        <f aca="false">I6*I7/100</f>
        <v>2234.12803746258</v>
      </c>
      <c r="J8" s="0" t="n">
        <f aca="false">J6*J7/100</f>
        <v>2332.2942694117</v>
      </c>
      <c r="K8" s="0" t="n">
        <f aca="false">K6*K7/100</f>
        <v>2413.9245688411</v>
      </c>
      <c r="L8" s="0" t="n">
        <f aca="false">L6*L7/100</f>
        <v>2486.34230590634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2.5</v>
      </c>
      <c r="D9" s="4" t="n">
        <f aca="false">Assumptions!D29</f>
        <v>2.5</v>
      </c>
      <c r="E9" s="4" t="n">
        <f aca="false">Assumptions!E29</f>
        <v>2.5</v>
      </c>
      <c r="F9" s="4" t="n">
        <f aca="false">Assumptions!F29</f>
        <v>2.4</v>
      </c>
      <c r="G9" s="4" t="n">
        <f aca="false">Assumptions!G29</f>
        <v>2.4</v>
      </c>
      <c r="H9" s="4" t="n">
        <f aca="false">Assumptions!H29</f>
        <v>2.4</v>
      </c>
      <c r="I9" s="4" t="n">
        <f aca="false">Assumptions!I29</f>
        <v>2.3</v>
      </c>
      <c r="J9" s="4" t="n">
        <f aca="false">Assumptions!J29</f>
        <v>2.3</v>
      </c>
      <c r="K9" s="4" t="n">
        <f aca="false">Assumptions!K29</f>
        <v>2.3</v>
      </c>
      <c r="L9" s="4" t="n">
        <f aca="false">Assumptions!L29</f>
        <v>2.3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-159.40575</v>
      </c>
      <c r="D10" s="0" t="n">
        <f aca="false">-D6*D9/100</f>
        <v>-164.98495125</v>
      </c>
      <c r="E10" s="0" t="n">
        <f aca="false">-E6*E9/100</f>
        <v>-173.2341988125</v>
      </c>
      <c r="F10" s="0" t="n">
        <f aca="false">-F6*F9/100</f>
        <v>-175.4515965573</v>
      </c>
      <c r="G10" s="0" t="n">
        <f aca="false">-G6*G9/100</f>
        <v>-185.101434367951</v>
      </c>
      <c r="H10" s="0" t="n">
        <f aca="false">-H6*H9/100</f>
        <v>-194.356506086349</v>
      </c>
      <c r="I10" s="0" t="n">
        <f aca="false">-I6*I9/100</f>
        <v>-194.639942657725</v>
      </c>
      <c r="J10" s="0" t="n">
        <f aca="false">-J6*J9/100</f>
        <v>-202.425540364034</v>
      </c>
      <c r="K10" s="0" t="n">
        <f aca="false">-K6*K9/100</f>
        <v>-209.510434276775</v>
      </c>
      <c r="L10" s="0" t="n">
        <f aca="false">-L6*L9/100</f>
        <v>-215.795747305078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1409.14683</v>
      </c>
      <c r="D11" s="0" t="n">
        <f aca="false">D8+D10+D24</f>
        <v>1484.86456125</v>
      </c>
      <c r="E11" s="0" t="n">
        <f aca="false">E8+E10+E24</f>
        <v>1586.8252611225</v>
      </c>
      <c r="F11" s="0" t="n">
        <f aca="false">F8+F10+F24</f>
        <v>1710.65306643367</v>
      </c>
      <c r="G11" s="0" t="n">
        <f aca="false">G8+G10+G24</f>
        <v>1820.16410461819</v>
      </c>
      <c r="H11" s="0" t="n">
        <f aca="false">H8+H10+H24</f>
        <v>1927.36868535629</v>
      </c>
      <c r="I11" s="0" t="n">
        <f aca="false">I8+I10+I24</f>
        <v>2039.48809480486</v>
      </c>
      <c r="J11" s="0" t="n">
        <f aca="false">J8+J10+J24</f>
        <v>2129.86872904766</v>
      </c>
      <c r="K11" s="0" t="n">
        <f aca="false">K8+K10+K24</f>
        <v>2204.41413456433</v>
      </c>
      <c r="L11" s="0" t="n">
        <f aca="false">L8+L10+L24</f>
        <v>2270.54655860126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-178.53444</v>
      </c>
      <c r="D12" s="4" t="n">
        <f aca="false">-D6*Assumptions!D31/100</f>
        <v>-171.5843493</v>
      </c>
      <c r="E12" s="4" t="n">
        <f aca="false">-E6*Assumptions!E31/100</f>
        <v>-166.30483086</v>
      </c>
      <c r="F12" s="4" t="n">
        <f aca="false">-F6*Assumptions!F31/100</f>
        <v>-160.830630177525</v>
      </c>
      <c r="G12" s="4" t="n">
        <f aca="false">-G6*Assumptions!G31/100</f>
        <v>-154.251195306626</v>
      </c>
      <c r="H12" s="4" t="n">
        <f aca="false">-H6*Assumptions!H31/100</f>
        <v>-153.86556731836</v>
      </c>
      <c r="I12" s="4" t="n">
        <f aca="false">-I6*Assumptions!I31/100</f>
        <v>-152.326911645176</v>
      </c>
      <c r="J12" s="4" t="n">
        <f aca="false">-J6*Assumptions!J31/100</f>
        <v>-158.419988110983</v>
      </c>
      <c r="K12" s="4" t="n">
        <f aca="false">-K6*Assumptions!K31/100</f>
        <v>-163.964687694868</v>
      </c>
      <c r="L12" s="4" t="n">
        <f aca="false">-L6*Assumptions!L31/100</f>
        <v>-168.883628325714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1230.61239</v>
      </c>
      <c r="D13" s="0" t="n">
        <f aca="false">D11+D12</f>
        <v>1313.28021195</v>
      </c>
      <c r="E13" s="0" t="n">
        <f aca="false">E11+E12</f>
        <v>1420.5204302625</v>
      </c>
      <c r="F13" s="0" t="n">
        <f aca="false">F11+F12</f>
        <v>1549.82243625615</v>
      </c>
      <c r="G13" s="0" t="n">
        <f aca="false">G11+G12</f>
        <v>1665.91290931156</v>
      </c>
      <c r="H13" s="0" t="n">
        <f aca="false">H11+H12</f>
        <v>1773.50311803793</v>
      </c>
      <c r="I13" s="0" t="n">
        <f aca="false">I11+I12</f>
        <v>1887.16118315968</v>
      </c>
      <c r="J13" s="0" t="n">
        <f aca="false">J11+J12</f>
        <v>1971.44874093668</v>
      </c>
      <c r="K13" s="0" t="n">
        <f aca="false">K11+K12</f>
        <v>2040.44944686946</v>
      </c>
      <c r="L13" s="0" t="n">
        <f aca="false">L11+L12</f>
        <v>2101.66293027555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959.8776642</v>
      </c>
      <c r="D15" s="0" t="n">
        <f aca="false">D13-MAX(0,D13)*D14/100</f>
        <v>1011.2257632015</v>
      </c>
      <c r="E15" s="0" t="n">
        <f aca="false">E13-MAX(0,E13)*E14/100</f>
        <v>1093.80073130212</v>
      </c>
      <c r="F15" s="0" t="n">
        <f aca="false">F13-MAX(0,F13)*F14/100</f>
        <v>1193.36327591724</v>
      </c>
      <c r="G15" s="0" t="n">
        <f aca="false">G13-MAX(0,G13)*G14/100</f>
        <v>1282.7529401699</v>
      </c>
      <c r="H15" s="0" t="n">
        <f aca="false">H13-MAX(0,H13)*H14/100</f>
        <v>1365.59740088921</v>
      </c>
      <c r="I15" s="0" t="n">
        <f aca="false">I13-MAX(0,I13)*I14/100</f>
        <v>1453.11411103295</v>
      </c>
      <c r="J15" s="0" t="n">
        <f aca="false">J13-MAX(0,J13)*J14/100</f>
        <v>1518.01553052124</v>
      </c>
      <c r="K15" s="0" t="n">
        <f aca="false">K13-MAX(0,K13)*K14/100</f>
        <v>1571.14607408949</v>
      </c>
      <c r="L15" s="0" t="n">
        <f aca="false">L13-MAX(0,L13)*L14/100</f>
        <v>1618.28045631217</v>
      </c>
    </row>
    <row r="16" customFormat="false" ht="15" hidden="false" customHeight="false" outlineLevel="0" collapsed="false">
      <c r="A16" s="0" t="s">
        <v>127</v>
      </c>
      <c r="C16" s="0" t="n">
        <f aca="false">-C12</f>
        <v>178.53444</v>
      </c>
      <c r="D16" s="0" t="n">
        <f aca="false">-D12</f>
        <v>171.5843493</v>
      </c>
      <c r="E16" s="0" t="n">
        <f aca="false">-E12</f>
        <v>166.30483086</v>
      </c>
      <c r="F16" s="0" t="n">
        <f aca="false">-F12</f>
        <v>160.830630177525</v>
      </c>
      <c r="G16" s="0" t="n">
        <f aca="false">-G12</f>
        <v>154.251195306626</v>
      </c>
      <c r="H16" s="0" t="n">
        <f aca="false">-H12</f>
        <v>153.86556731836</v>
      </c>
      <c r="I16" s="0" t="n">
        <f aca="false">-I12</f>
        <v>152.326911645176</v>
      </c>
      <c r="J16" s="0" t="n">
        <f aca="false">-J12</f>
        <v>158.419988110983</v>
      </c>
      <c r="K16" s="0" t="n">
        <f aca="false">-K12</f>
        <v>163.964687694868</v>
      </c>
      <c r="L16" s="0" t="n">
        <f aca="false">-L12</f>
        <v>168.883628325714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-108.39591</v>
      </c>
      <c r="D17" s="4" t="n">
        <f aca="false">-D6*Assumptions!D32/100</f>
        <v>-112.18976685</v>
      </c>
      <c r="E17" s="4" t="n">
        <f aca="false">-E6*Assumptions!E32/100</f>
        <v>-117.7992551925</v>
      </c>
      <c r="F17" s="4" t="n">
        <f aca="false">-F6*Assumptions!F32/100</f>
        <v>-124.278214228087</v>
      </c>
      <c r="G17" s="4" t="n">
        <f aca="false">-G6*Assumptions!G32/100</f>
        <v>-131.113516010632</v>
      </c>
      <c r="H17" s="4" t="n">
        <f aca="false">-H6*Assumptions!H32/100</f>
        <v>-137.669191811164</v>
      </c>
      <c r="I17" s="4" t="n">
        <f aca="false">-I6*Assumptions!I32/100</f>
        <v>-143.864305442666</v>
      </c>
      <c r="J17" s="4" t="n">
        <f aca="false">-J6*Assumptions!J32/100</f>
        <v>-149.618877660373</v>
      </c>
      <c r="K17" s="4" t="n">
        <f aca="false">-K6*Assumptions!K32/100</f>
        <v>-154.855538378486</v>
      </c>
      <c r="L17" s="4" t="n">
        <f aca="false">-L6*Assumptions!L32/100</f>
        <v>-159.501204529841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18.8459999999999</v>
      </c>
      <c r="D18" s="4" t="n">
        <f aca="false">(D6-C6)*Assumptions!$B$37/100</f>
        <v>44.6336099999999</v>
      </c>
      <c r="E18" s="4" t="n">
        <f aca="false">(E6-D6)*Assumptions!$B$37/100</f>
        <v>65.9939805</v>
      </c>
      <c r="F18" s="4" t="n">
        <f aca="false">(F6-E6)*Assumptions!$B$37/100</f>
        <v>76.2230474774999</v>
      </c>
      <c r="G18" s="4" t="n">
        <f aca="false">(G6-F6)*Assumptions!$B$37/100</f>
        <v>80.4153150887623</v>
      </c>
      <c r="H18" s="4" t="n">
        <f aca="false">(H6-G6)*Assumptions!$B$37/100</f>
        <v>77.1255976533132</v>
      </c>
      <c r="I18" s="4" t="n">
        <f aca="false">(I6-H6)*Assumptions!$B$37/100</f>
        <v>72.8836897823809</v>
      </c>
      <c r="J18" s="4" t="n">
        <f aca="false">(J6-I6)*Assumptions!$B$37/100</f>
        <v>67.7008496200782</v>
      </c>
      <c r="K18" s="4" t="n">
        <f aca="false">(K6-J6)*Assumptions!$B$37/100</f>
        <v>61.6077731542711</v>
      </c>
      <c r="L18" s="4" t="n">
        <f aca="false">(L6-K6)*Assumptions!$B$37/100</f>
        <v>54.654895898289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1048.8621942</v>
      </c>
      <c r="D19" s="0" t="n">
        <f aca="false">D15+D16+D17+D18</f>
        <v>1115.2539556515</v>
      </c>
      <c r="E19" s="0" t="n">
        <f aca="false">E15+E16+E17+E18</f>
        <v>1208.30028746962</v>
      </c>
      <c r="F19" s="0" t="n">
        <f aca="false">F15+F16+F17+F18</f>
        <v>1306.13873934417</v>
      </c>
      <c r="G19" s="0" t="n">
        <f aca="false">G15+G16+G17+G18</f>
        <v>1386.30593455466</v>
      </c>
      <c r="H19" s="0" t="n">
        <f aca="false">H15+H16+H17+H18</f>
        <v>1458.91937404972</v>
      </c>
      <c r="I19" s="0" t="n">
        <f aca="false">I15+I16+I17+I18</f>
        <v>1534.46040701784</v>
      </c>
      <c r="J19" s="0" t="n">
        <f aca="false">J15+J16+J17+J18</f>
        <v>1594.51749059193</v>
      </c>
      <c r="K19" s="0" t="n">
        <f aca="false">K15+K16+K17+K18</f>
        <v>1641.86299656014</v>
      </c>
      <c r="L19" s="0" t="n">
        <f aca="false">L15+L16+L17+L18</f>
        <v>1682.31777600633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962.258893761468</v>
      </c>
      <c r="D21" s="0" t="n">
        <f aca="false">D19*D20</f>
        <v>938.686941883259</v>
      </c>
      <c r="E21" s="0" t="n">
        <f aca="false">E19*E20</f>
        <v>933.029520937079</v>
      </c>
      <c r="F21" s="0" t="n">
        <f aca="false">F19*F20</f>
        <v>925.301612100325</v>
      </c>
      <c r="G21" s="0" t="n">
        <f aca="false">G19*G20</f>
        <v>901.003737878733</v>
      </c>
      <c r="H21" s="0" t="n">
        <f aca="false">H19*H20</f>
        <v>869.905955296925</v>
      </c>
      <c r="I21" s="0" t="n">
        <f aca="false">I19*I20</f>
        <v>839.402389994976</v>
      </c>
      <c r="J21" s="0" t="n">
        <f aca="false">J19*J20</f>
        <v>800.23456087653</v>
      </c>
      <c r="K21" s="0" t="n">
        <f aca="false">K19*K20</f>
        <v>755.959333776165</v>
      </c>
      <c r="L21" s="0" t="n">
        <f aca="false">L19*L20</f>
        <v>710.629209217795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8636.41215572325</v>
      </c>
    </row>
    <row r="31" customFormat="false" ht="15" hidden="false" customHeight="false" outlineLevel="0" collapsed="false">
      <c r="A31" s="0" t="s">
        <v>136</v>
      </c>
      <c r="B31" s="0" t="n">
        <f aca="false">L19</f>
        <v>1682.31777600633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26528.8572370229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30281.719968114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26528.8572370229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11206.0759915114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19842.4881472346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17689.7881472346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274.260281352475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0.476661182105611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1175.04707369907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1437.43564826756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314.763889444981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13795.0057632519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121.774748587692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2</v>
      </c>
      <c r="D5" s="4" t="n">
        <f aca="false">Assumptions!D41</f>
        <v>5</v>
      </c>
      <c r="E5" s="4" t="n">
        <f aca="false">Assumptions!E41</f>
        <v>7.5</v>
      </c>
      <c r="F5" s="4" t="n">
        <f aca="false">Assumptions!F41</f>
        <v>8.5</v>
      </c>
      <c r="G5" s="4" t="n">
        <f aca="false">Assumptions!G41</f>
        <v>8.5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6282</v>
      </c>
      <c r="C6" s="0" t="n">
        <f aca="false">B6*(1+C5/100)</f>
        <v>6407.64</v>
      </c>
      <c r="D6" s="0" t="n">
        <f aca="false">C6*(1+D5/100)</f>
        <v>6728.022</v>
      </c>
      <c r="E6" s="0" t="n">
        <f aca="false">D6*(1+E5/100)</f>
        <v>7232.62365</v>
      </c>
      <c r="F6" s="0" t="n">
        <f aca="false">E6*(1+F5/100)</f>
        <v>7847.39666025</v>
      </c>
      <c r="G6" s="0" t="n">
        <f aca="false">F6*(1+G5/100)</f>
        <v>8514.42537637125</v>
      </c>
      <c r="H6" s="0" t="n">
        <f aca="false">G6*(1+H5/100)</f>
        <v>9195.57940648095</v>
      </c>
      <c r="I6" s="0" t="n">
        <f aca="false">H6*(1+I5/100)</f>
        <v>9839.26996493462</v>
      </c>
      <c r="J6" s="0" t="n">
        <f aca="false">I6*(1+J5/100)</f>
        <v>10429.6261628307</v>
      </c>
      <c r="K6" s="0" t="n">
        <f aca="false">J6*(1+K5/100)</f>
        <v>10951.1074709722</v>
      </c>
      <c r="L6" s="0" t="n">
        <f aca="false">K6*(1+L5/100)</f>
        <v>11389.1517698111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24.8</v>
      </c>
      <c r="D7" s="4" t="n">
        <f aca="false">Assumptions!D42</f>
        <v>25.5</v>
      </c>
      <c r="E7" s="4" t="n">
        <f aca="false">Assumptions!E42</f>
        <v>26.3</v>
      </c>
      <c r="F7" s="4" t="n">
        <f aca="false">Assumptions!F42</f>
        <v>27</v>
      </c>
      <c r="G7" s="4" t="n">
        <f aca="false">Assumptions!G42</f>
        <v>27.5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1589.09472</v>
      </c>
      <c r="D8" s="0" t="n">
        <f aca="false">D6*D7/100</f>
        <v>1715.64561</v>
      </c>
      <c r="E8" s="0" t="n">
        <f aca="false">E6*E7/100</f>
        <v>1902.18001995</v>
      </c>
      <c r="F8" s="0" t="n">
        <f aca="false">F6*F7/100</f>
        <v>2118.7970982675</v>
      </c>
      <c r="G8" s="0" t="n">
        <f aca="false">G6*G7/100</f>
        <v>2341.46697850209</v>
      </c>
      <c r="H8" s="0" t="n">
        <f aca="false">H6*H7/100</f>
        <v>2574.76223381467</v>
      </c>
      <c r="I8" s="0" t="n">
        <f aca="false">I6*I7/100</f>
        <v>2754.99559018169</v>
      </c>
      <c r="J8" s="0" t="n">
        <f aca="false">J6*J7/100</f>
        <v>2920.29532559259</v>
      </c>
      <c r="K8" s="0" t="n">
        <f aca="false">K6*K7/100</f>
        <v>3066.31009187223</v>
      </c>
      <c r="L8" s="0" t="n">
        <f aca="false">L6*L7/100</f>
        <v>3188.96249554711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2.5</v>
      </c>
      <c r="D9" s="4" t="n">
        <f aca="false">Assumptions!D43</f>
        <v>2.5</v>
      </c>
      <c r="E9" s="4" t="n">
        <f aca="false">Assumptions!E43</f>
        <v>2.4</v>
      </c>
      <c r="F9" s="4" t="n">
        <f aca="false">Assumptions!F43</f>
        <v>2.4</v>
      </c>
      <c r="G9" s="4" t="n">
        <f aca="false">Assumptions!G43</f>
        <v>2.3</v>
      </c>
      <c r="H9" s="4" t="n">
        <f aca="false">Assumptions!H43</f>
        <v>2.3</v>
      </c>
      <c r="I9" s="4" t="n">
        <f aca="false">Assumptions!I43</f>
        <v>2.2</v>
      </c>
      <c r="J9" s="4" t="n">
        <f aca="false">Assumptions!J43</f>
        <v>2.2</v>
      </c>
      <c r="K9" s="4" t="n">
        <f aca="false">Assumptions!K43</f>
        <v>2.2</v>
      </c>
      <c r="L9" s="4" t="n">
        <f aca="false">Assumptions!L43</f>
        <v>2.2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-160.191</v>
      </c>
      <c r="D10" s="0" t="n">
        <f aca="false">-D6*D9/100</f>
        <v>-168.20055</v>
      </c>
      <c r="E10" s="0" t="n">
        <f aca="false">-E6*E9/100</f>
        <v>-173.5829676</v>
      </c>
      <c r="F10" s="0" t="n">
        <f aca="false">-F6*F9/100</f>
        <v>-188.337519846</v>
      </c>
      <c r="G10" s="0" t="n">
        <f aca="false">-G6*G9/100</f>
        <v>-195.831783656539</v>
      </c>
      <c r="H10" s="0" t="n">
        <f aca="false">-H6*H9/100</f>
        <v>-211.498326349062</v>
      </c>
      <c r="I10" s="0" t="n">
        <f aca="false">-I6*I9/100</f>
        <v>-216.463939228562</v>
      </c>
      <c r="J10" s="0" t="n">
        <f aca="false">-J6*J9/100</f>
        <v>-229.451775582275</v>
      </c>
      <c r="K10" s="0" t="n">
        <f aca="false">-K6*K9/100</f>
        <v>-240.924364361389</v>
      </c>
      <c r="L10" s="0" t="n">
        <f aca="false">-L6*L9/100</f>
        <v>-250.561338935845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1428.90372</v>
      </c>
      <c r="D11" s="0" t="n">
        <f aca="false">D8+D10+D24</f>
        <v>1547.44506</v>
      </c>
      <c r="E11" s="0" t="n">
        <f aca="false">E8+E10+E24</f>
        <v>1728.59705235</v>
      </c>
      <c r="F11" s="0" t="n">
        <f aca="false">F8+F10+F24</f>
        <v>1930.4595784215</v>
      </c>
      <c r="G11" s="0" t="n">
        <f aca="false">G8+G10+G24</f>
        <v>2145.63519484556</v>
      </c>
      <c r="H11" s="0" t="n">
        <f aca="false">H8+H10+H24</f>
        <v>2363.2639074656</v>
      </c>
      <c r="I11" s="0" t="n">
        <f aca="false">I8+I10+I24</f>
        <v>2538.53165095313</v>
      </c>
      <c r="J11" s="0" t="n">
        <f aca="false">J8+J10+J24</f>
        <v>2690.84355001032</v>
      </c>
      <c r="K11" s="0" t="n">
        <f aca="false">K8+K10+K24</f>
        <v>2825.38572751084</v>
      </c>
      <c r="L11" s="0" t="n">
        <f aca="false">L8+L10+L24</f>
        <v>2938.40115661127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-179.41392</v>
      </c>
      <c r="D12" s="4" t="n">
        <f aca="false">-D6*Assumptions!D45/100</f>
        <v>-174.928572</v>
      </c>
      <c r="E12" s="4" t="n">
        <f aca="false">-E6*Assumptions!E45/100</f>
        <v>-173.5829676</v>
      </c>
      <c r="F12" s="4" t="n">
        <f aca="false">-F6*Assumptions!F45/100</f>
        <v>-172.6427265255</v>
      </c>
      <c r="G12" s="4" t="n">
        <f aca="false">-G6*Assumptions!G45/100</f>
        <v>-170.288507527425</v>
      </c>
      <c r="H12" s="4" t="n">
        <f aca="false">-H6*Assumptions!H45/100</f>
        <v>-174.716008723138</v>
      </c>
      <c r="I12" s="4" t="n">
        <f aca="false">-I6*Assumptions!I45/100</f>
        <v>-177.106859368823</v>
      </c>
      <c r="J12" s="4" t="n">
        <f aca="false">-J6*Assumptions!J45/100</f>
        <v>-187.733270930953</v>
      </c>
      <c r="K12" s="4" t="n">
        <f aca="false">-K6*Assumptions!K45/100</f>
        <v>-197.1199344775</v>
      </c>
      <c r="L12" s="4" t="n">
        <f aca="false">-L6*Assumptions!L45/100</f>
        <v>-205.0047318566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1249.4898</v>
      </c>
      <c r="D13" s="0" t="n">
        <f aca="false">D11+D12</f>
        <v>1372.516488</v>
      </c>
      <c r="E13" s="0" t="n">
        <f aca="false">E11+E12</f>
        <v>1555.01408475</v>
      </c>
      <c r="F13" s="0" t="n">
        <f aca="false">F11+F12</f>
        <v>1757.816851896</v>
      </c>
      <c r="G13" s="0" t="n">
        <f aca="false">G11+G12</f>
        <v>1975.34668731813</v>
      </c>
      <c r="H13" s="0" t="n">
        <f aca="false">H11+H12</f>
        <v>2188.54789874247</v>
      </c>
      <c r="I13" s="0" t="n">
        <f aca="false">I11+I12</f>
        <v>2361.42479158431</v>
      </c>
      <c r="J13" s="0" t="n">
        <f aca="false">J11+J12</f>
        <v>2503.11027907937</v>
      </c>
      <c r="K13" s="0" t="n">
        <f aca="false">K11+K12</f>
        <v>2628.26579303334</v>
      </c>
      <c r="L13" s="0" t="n">
        <f aca="false">L11+L12</f>
        <v>2733.39642475467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974.602044</v>
      </c>
      <c r="D15" s="0" t="n">
        <f aca="false">D13-MAX(0,D13)*D14/100</f>
        <v>1056.83769576</v>
      </c>
      <c r="E15" s="0" t="n">
        <f aca="false">E13-MAX(0,E13)*E14/100</f>
        <v>1197.3608452575</v>
      </c>
      <c r="F15" s="0" t="n">
        <f aca="false">F13-MAX(0,F13)*F14/100</f>
        <v>1353.51897595992</v>
      </c>
      <c r="G15" s="0" t="n">
        <f aca="false">G13-MAX(0,G13)*G14/100</f>
        <v>1521.01694923496</v>
      </c>
      <c r="H15" s="0" t="n">
        <f aca="false">H13-MAX(0,H13)*H14/100</f>
        <v>1685.1818820317</v>
      </c>
      <c r="I15" s="0" t="n">
        <f aca="false">I13-MAX(0,I13)*I14/100</f>
        <v>1818.29708951992</v>
      </c>
      <c r="J15" s="0" t="n">
        <f aca="false">J13-MAX(0,J13)*J14/100</f>
        <v>1927.39491489111</v>
      </c>
      <c r="K15" s="0" t="n">
        <f aca="false">K13-MAX(0,K13)*K14/100</f>
        <v>2023.76466063567</v>
      </c>
      <c r="L15" s="0" t="n">
        <f aca="false">L13-MAX(0,L13)*L14/100</f>
        <v>2104.7152470611</v>
      </c>
    </row>
    <row r="16" customFormat="false" ht="15" hidden="false" customHeight="false" outlineLevel="0" collapsed="false">
      <c r="A16" s="0" t="s">
        <v>127</v>
      </c>
      <c r="C16" s="0" t="n">
        <f aca="false">-C12</f>
        <v>179.41392</v>
      </c>
      <c r="D16" s="0" t="n">
        <f aca="false">-D12</f>
        <v>174.928572</v>
      </c>
      <c r="E16" s="0" t="n">
        <f aca="false">-E12</f>
        <v>173.5829676</v>
      </c>
      <c r="F16" s="0" t="n">
        <f aca="false">-F12</f>
        <v>172.6427265255</v>
      </c>
      <c r="G16" s="0" t="n">
        <f aca="false">-G12</f>
        <v>170.288507527425</v>
      </c>
      <c r="H16" s="0" t="n">
        <f aca="false">-H12</f>
        <v>174.716008723138</v>
      </c>
      <c r="I16" s="0" t="n">
        <f aca="false">-I12</f>
        <v>177.106859368823</v>
      </c>
      <c r="J16" s="0" t="n">
        <f aca="false">-J12</f>
        <v>187.733270930953</v>
      </c>
      <c r="K16" s="0" t="n">
        <f aca="false">-K12</f>
        <v>197.1199344775</v>
      </c>
      <c r="L16" s="0" t="n">
        <f aca="false">-L12</f>
        <v>205.0047318566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-108.92988</v>
      </c>
      <c r="D17" s="4" t="n">
        <f aca="false">-D6*Assumptions!D46/100</f>
        <v>-114.376374</v>
      </c>
      <c r="E17" s="4" t="n">
        <f aca="false">-E6*Assumptions!E46/100</f>
        <v>-122.95460205</v>
      </c>
      <c r="F17" s="4" t="n">
        <f aca="false">-F6*Assumptions!F46/100</f>
        <v>-133.40574322425</v>
      </c>
      <c r="G17" s="4" t="n">
        <f aca="false">-G6*Assumptions!G46/100</f>
        <v>-144.745231398311</v>
      </c>
      <c r="H17" s="4" t="n">
        <f aca="false">-H6*Assumptions!H46/100</f>
        <v>-156.324849910176</v>
      </c>
      <c r="I17" s="4" t="n">
        <f aca="false">-I6*Assumptions!I46/100</f>
        <v>-167.267589403888</v>
      </c>
      <c r="J17" s="4" t="n">
        <f aca="false">-J6*Assumptions!J46/100</f>
        <v>-177.303644768122</v>
      </c>
      <c r="K17" s="4" t="n">
        <f aca="false">-K6*Assumptions!K46/100</f>
        <v>-186.168827006528</v>
      </c>
      <c r="L17" s="4" t="n">
        <f aca="false">-L6*Assumptions!L46/100</f>
        <v>-193.615580086789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25.1280000000001</v>
      </c>
      <c r="D18" s="4" t="n">
        <f aca="false">(D6-C6)*Assumptions!$B$51/100</f>
        <v>64.0764000000001</v>
      </c>
      <c r="E18" s="4" t="n">
        <f aca="false">(E6-D6)*Assumptions!$B$51/100</f>
        <v>100.92033</v>
      </c>
      <c r="F18" s="4" t="n">
        <f aca="false">(F6-E6)*Assumptions!$B$51/100</f>
        <v>122.95460205</v>
      </c>
      <c r="G18" s="4" t="n">
        <f aca="false">(G6-F6)*Assumptions!$B$51/100</f>
        <v>133.40574322425</v>
      </c>
      <c r="H18" s="4" t="n">
        <f aca="false">(H6-G6)*Assumptions!$B$51/100</f>
        <v>136.23080602194</v>
      </c>
      <c r="I18" s="4" t="n">
        <f aca="false">(I6-H6)*Assumptions!$B$51/100</f>
        <v>128.738111690733</v>
      </c>
      <c r="J18" s="4" t="n">
        <f aca="false">(J6-I6)*Assumptions!$B$51/100</f>
        <v>118.071239579215</v>
      </c>
      <c r="K18" s="4" t="n">
        <f aca="false">(K6-J6)*Assumptions!$B$51/100</f>
        <v>104.296261628307</v>
      </c>
      <c r="L18" s="4" t="n">
        <f aca="false">(L6-K6)*Assumptions!$B$51/100</f>
        <v>87.6088597677779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1070.214084</v>
      </c>
      <c r="D19" s="0" t="n">
        <f aca="false">D15+D16+D17+D18</f>
        <v>1181.46629376</v>
      </c>
      <c r="E19" s="0" t="n">
        <f aca="false">E15+E16+E17+E18</f>
        <v>1348.9095408075</v>
      </c>
      <c r="F19" s="0" t="n">
        <f aca="false">F15+F16+F17+F18</f>
        <v>1515.71056131117</v>
      </c>
      <c r="G19" s="0" t="n">
        <f aca="false">G15+G16+G17+G18</f>
        <v>1679.96596858832</v>
      </c>
      <c r="H19" s="0" t="n">
        <f aca="false">H15+H16+H17+H18</f>
        <v>1839.8038468666</v>
      </c>
      <c r="I19" s="0" t="n">
        <f aca="false">I15+I16+I17+I18</f>
        <v>1956.87447117559</v>
      </c>
      <c r="J19" s="0" t="n">
        <f aca="false">J15+J16+J17+J18</f>
        <v>2055.89578063316</v>
      </c>
      <c r="K19" s="0" t="n">
        <f aca="false">K15+K16+K17+K18</f>
        <v>2139.01202973495</v>
      </c>
      <c r="L19" s="0" t="n">
        <f aca="false">L15+L16+L17+L18</f>
        <v>2203.71325859868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981.847783486239</v>
      </c>
      <c r="D21" s="0" t="n">
        <f aca="false">D19*D20</f>
        <v>994.416542176585</v>
      </c>
      <c r="E21" s="0" t="n">
        <f aca="false">E19*E20</f>
        <v>1041.60566350831</v>
      </c>
      <c r="F21" s="0" t="n">
        <f aca="false">F19*F20</f>
        <v>1073.76757431061</v>
      </c>
      <c r="G21" s="0" t="n">
        <f aca="false">G19*G20</f>
        <v>1091.86261089865</v>
      </c>
      <c r="H21" s="0" t="n">
        <f aca="false">H19*H20</f>
        <v>1097.01492175325</v>
      </c>
      <c r="I21" s="0" t="n">
        <f aca="false">I19*I20</f>
        <v>1070.4773485927</v>
      </c>
      <c r="J21" s="0" t="n">
        <f aca="false">J19*J20</f>
        <v>1031.7847668213</v>
      </c>
      <c r="K21" s="0" t="n">
        <f aca="false">K19*K20</f>
        <v>984.860559209518</v>
      </c>
      <c r="L21" s="0" t="n">
        <f aca="false">L19*L20</f>
        <v>930.872295731398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10298.5100664886</v>
      </c>
    </row>
    <row r="31" customFormat="false" ht="15" hidden="false" customHeight="false" outlineLevel="0" collapsed="false">
      <c r="A31" s="0" t="s">
        <v>136</v>
      </c>
      <c r="B31" s="0" t="n">
        <f aca="false">L19</f>
        <v>2203.71325859868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37830.4109392774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44074.2651719737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37830.4109392774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15979.9744100557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26278.4844765442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24125.7844765442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374.04317017898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1.01390820103904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1259.7183535273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1816.91686462428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421.742941003036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18915.2054696387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159.558318334963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152.714774015732</v>
      </c>
      <c r="C4" s="0" t="n">
        <f aca="false">B4/Assumptions!$B$2-1</f>
        <v>-0.177759252593915</v>
      </c>
      <c r="D4" s="4" t="n">
        <f aca="false">Assumptions!$B$24</f>
        <v>0.3</v>
      </c>
      <c r="E4" s="4" t="n">
        <f aca="false">DCF_Bear!$B$43</f>
        <v>186.995637862522</v>
      </c>
      <c r="F4" s="4" t="n">
        <f aca="false">DCF_Bear!$B$47</f>
        <v>70.7973643469289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274.260281352475</v>
      </c>
      <c r="C5" s="0" t="n">
        <f aca="false">B5/Assumptions!$B$2-1</f>
        <v>0.476661182105611</v>
      </c>
      <c r="D5" s="4" t="n">
        <f aca="false">Assumptions!$B$38</f>
        <v>0.5</v>
      </c>
      <c r="E5" s="4" t="n">
        <f aca="false">DCF_Base!$B$43</f>
        <v>314.763889444981</v>
      </c>
      <c r="F5" s="4" t="n">
        <f aca="false">DCF_Base!$B$47</f>
        <v>121.774748587692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374.04317017898</v>
      </c>
      <c r="C6" s="0" t="n">
        <f aca="false">B6/Assumptions!$B$2-1</f>
        <v>1.01390820103904</v>
      </c>
      <c r="D6" s="4" t="n">
        <f aca="false">Assumptions!$B$52</f>
        <v>0.2</v>
      </c>
      <c r="E6" s="4" t="n">
        <f aca="false">DCF_Bull!$B$43</f>
        <v>421.742941003036</v>
      </c>
      <c r="F6" s="4" t="n">
        <f aca="false">DCF_Bull!$B$47</f>
        <v>159.558318334963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257.753206916753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297.829224281854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0.279427006081886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-179.716477963882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114.038247264917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274.260281352475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231.739839817858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199.286646680369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173.718181167506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121.774748587692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353.031886893648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353.031886893648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353.031886893648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353.031886893648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353.031886893648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295.848405508101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312.576247484528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324.657466689726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324.657466689726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324.657466689726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249.626265433655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261.06348711025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274.260281352475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289.656541301738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298.837797234784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214.388462109392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222.521920410236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231.739839817858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242.274604855141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254.430102975083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186.659681608266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192.622415114536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199.286646680369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206.78390719193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215.280802438366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2026-09-28T22:07:38Z</dcterms:created>
  <dc:creator>openpyxl</dc:creator>
  <dc:description/>
  <dc:language>en-NZ</dc:language>
  <cp:lastModifiedBy/>
  <dcterms:modified xsi:type="dcterms:W3CDTF">2026-09-28T22:07:38Z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