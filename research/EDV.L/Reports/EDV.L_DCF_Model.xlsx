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<sst xmlns="http://schemas.openxmlformats.org/spreadsheetml/2006/main" count="367" uniqueCount="171">
  <si>
    <t xml:space="preserve">Ticker</t>
  </si>
  <si>
    <t xml:space="preserve">EDV.L</t>
  </si>
  <si>
    <t xml:space="preserve">Company</t>
  </si>
  <si>
    <t xml:space="preserve">Endeavour Mining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</si>
  <si>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</si>
  <si>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</si>
  <si>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</si>
  <si>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</si>
  <si>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2026-10-09T15:35:15Z LSE regular close (closing auction)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</si>
  <si>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</si>
  <si>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</si>
  <si>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</si>
  <si>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</si>
  <si>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</si>
  <si>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</si>
  <si>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</si>
  <si>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</si>
  <si>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</si>
  <si>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</si>
  <si>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</si>
  <si>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</si>
  <si>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</si>
  <si>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2026-10-09T23:17:51Z</t>
  </si>
  <si>
    <t xml:space="preserve">Drivers file</t>
  </si>
  <si>
    <t xml:space="preserve">EDV.L_Drivers.json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</si>
  <si>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</si>
  <si>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</si>
  <si>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</si>
  <si>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gold miner is a leveraged, depleting claim on a commodity price. The house value therefore (1) builds revenue from ounces x a gold deck that normalises to a defensible mid-cycle price rather than extrapolating spot, (2) calibrates the cost base to the latest actual AISC and the royalty slope that makes AISC rise with price, (3) charges host-government free carries and taxes as one leakage rate on EBIT, (4) prices the Sahel expropriation tail once, in a 2pp country premium on an 11% USD WACC, and (5) treats the terminal as a depleting asset with a 10x FCF cap. The three scenarios are gold-price regimes with their matching volume, cost and fiscal paths; the result is probability-weighted at 25/50/25. On these inputs the shares trade modestly above the house weighted value: the market is pricing a long-run gold price of roughly $3,800-4,000 or a lower discount rate than the jurisdiction warrants.
key_risks_to_valuation: Gold price: every $100/oz on the long-run deck moves base-case annual FCF by ~$90m after royalties and leakage, roughly $2.5-3/share (190-230p) of value; the bull-bear spread is almost entirely the gold deck; Burkina Faso (~34-39% of production, CCC+ sovereign): Mana convention renewal 2027 and Hounde 2029 under the 2024 code; the Boungou/Wahgnion nationalisation precedent -- an outright loss of Hounde would remove ~24% of revenue and is only in the WACC premium, not the flows; Assafou execution: $1,061m upfront capital (-10/+15%) over 2027-28; a 12-month delay or 15% overrun costs ~$1-1.5/share; FID expected by year-end 2026; Cost inflation and royalty scaling: FY2026 AISC guidance of $1,600-1,800 is 12-25% above FY2025 actual; the model's 2.5%/yr inflation and 11% royalty slope are calibrated to H1-2026 and could prove light if the CFA/euro strengthens further against the USD; Reserve replacement: the flat 1.5Moz terminal assumes the 12-15Moz 2026-30 discovery target replaces depletion; failure would shorten the tail the 10x cap already discounts; Timing convention: Y1 (FY2026) is discounted a full year from a notional January start and H1-2026 FCF is inside both Y1 and the June net-cash anchor; net effect is conservative by a few percent</t>
  </si>
  <si>
    <t xml:space="preserve">Data sources</t>
  </si>
  <si>
    <t xml:space="preserve">price: Yahoo Finance chart API at inputs.price_as_of (LSE regular close); 52-week range 2,900-5,410p. FX from Yahoo GBPUSD=X and USDCAD=X; TSX parity via EDV.TO. Gold spot from Yahoo GC=F; 10-year UST from ^TNX.
financials: research/EDV.L/Reports/EDV.L_Metrics.csv (FY2015-FY2025 annuals, FY2022-25 interims; USD millions, from core_metrics); FY2025 Annual Report (EDV.L_Annual_FY2025.txt): cash flow statement p.7476-7497, note 7F diluted shares p.8516-8535, note 20 NCI p.9282-9308, note 21A SBC p.9346, APM table p.1824-1841; H1-2026 results presentation (EDV.L_Presentation_H1-2026.txt): KPIs p.78-150, Q2/Q1 table p.586-640, net debt bridge p.833-866, adjusted earnings and NCI p.869-905; September 2026 corporate presentation (EDV.L_Presentation_Sep-2026.txt): shares outstanding p.137, debt structure p.1771-1788, FY2026 capex guidance p.1818-1839, Assafou DFS p.404-429 and p.3386-3414.
qualitative: research/EDV.L/Reports/EDV.L_Analysis.json (2026-10-10): business model, jurisdiction risk, growth projects, guidance, bull/bear cases.</t>
  </si>
  <si>
    <t xml:space="preserve">Scenario narrative: bear</t>
  </si>
  <si>
    <t xml:space="preserve">Gold corrects to $2,600-2,700 by FY2028 just as the Assafou build consumes ~$1bn of capex; cost inflation and Sahel fiscal creep (Burkina Faso code renewals, higher state take) compress margins to ~40%; production stalls at 1.15-1.35Moz; returns programme suspended. Nationalisation of an operating mine is excluded from the flows and charged in the WACC premium instead.</t>
  </si>
  <si>
    <t xml:space="preserve">Scenario narrative: base</t>
  </si>
  <si>
    <t xml:space="preserve">Mid-cycle gold at $3,300 from FY2029 after a two-year glide from today's ~$4,400 average; 1.5Moz by 2030 on Sabodala-Massawa underground plus Assafou on schedule; margins ~53% at mid-cycle; Assafou build capex peaks FY2027-28; combined tax+NCI leakage 40%; WACC 11% with a 2pp West Africa premium; 10x terminal cap for depletion.</t>
  </si>
  <si>
    <t xml:space="preserve">Scenario narrative: bull</t>
  </si>
  <si>
    <t xml:space="preserve">Spot gold (~$4,200+) persists and inflates; Assafou and exploration take the group to 1.6Moz at first-quartile cost; margins hold 60%+; fiscal terms stable. The axes that must BOTH go right are the gold price and project/exploration delivery.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</si>
  <si>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</si>
  <si>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</si>
  <si>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</si>
  <si>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</si>
  <si>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</si>
  <si>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</si>
  <si>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</si>
  <si>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</si>
  <si>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</si>
  <si>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</si>
  <si>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</si>
  <si>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</si>
  <si>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</si>
  <si>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</si>
  <si>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</si>
  <si>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</si>
  <si>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</si>
  <si>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</si>
  <si>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</si>
  <si>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</si>
  <si>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</si>
  <si>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</si>
  <si>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</si>
  <si>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</si>
  <si>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</si>
  <si>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</si>
  <si>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</si>
  <si>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AISC</t>
  </si>
  <si>
    <t xml:space="preserve">GoldPriceAchieved</t>
  </si>
  <si>
    <t xml:space="preserve">GoldProduction</t>
  </si>
  <si>
    <t xml:space="preserve">GoldSoldManagedOz</t>
  </si>
  <si>
    <t xml:space="preserve">InterestPaid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</si>
  <si>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</si>
  <si>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</si>
  <si>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</si>
  <si>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</si>
  <si>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</si>
  <si>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</si>
  <si>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</si>
  <si>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</si>
  <si>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</si>
  <si>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</si>
  <si>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</si>
  <si>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</si>
  <si>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</si>
  <si>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</si>
  <si>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</si>
  <si>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</si>
  <si>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</si>
  <si>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</si>
  <si>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</si>
  <si>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</si>
  <si>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</si>
  <si>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</si>
  <si>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</si>
  <si>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</si>
  <si>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</si>
  <si>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</si>
  <si>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</si>
  <si>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</si>
  <si>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</si>
  <si>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</si>
  <si>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</si>
  <si>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</si>
  <si>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</si>
  <si>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</si>
  <si>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</si>
  <si>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</si>
  <si>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</si>
  <si>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</si>
  <si>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</si>
  <si>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</si>
  <si>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</si>
  <si>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</si>
  <si>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</si>
  <si>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</si>
  <si>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</si>
  <si>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</si>
  <si>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</si>
  <si>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</si>
  <si>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EDV.L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</si>
  <si>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</si>
  <si>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</si>
  <si>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</si>
  <si>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</si>
  <si>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</si>
  <si>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</si>
  <si>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</si>
  <si>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</si>
  <si>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</si>
  <si>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</si>
  <si>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</si>
  <si>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</si>
  <si>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</si>
  <si>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</si>
  <si>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</si>
  <si>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</si>
  <si>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</si>
  <si>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</si>
  <si>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</si>
  <si>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</si>
  <si>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</si>
  <si>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</si>
  <si>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</si>
  <si>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</si>
  <si>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</si>
  <si>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</si>
  <si>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</si>
  <si>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</si>
  <si>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</si>
  <si>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</si>
  <si>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EDV.L owner-FCF component DCF: base case (millions, USD)</t>
  </si>
  <si>
    <t xml:space="preserve">EDV.L owner-FCF component DCF: bull case (millions, USD)</t>
  </si>
  <si>
    <t xml:space="preserve">EDV.L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</si>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</sst>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4126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522.652</v>
      </c>
      <c r="C2" s="0" t="n">
        <v>423.946</v>
      </c>
      <c r="D2" s="0" t="n">
        <v>98.706</v>
      </c>
      <c r="E2" s="0" t="n">
        <v>18.9</v>
      </c>
      <c r="F2" s="0" t="n">
        <v>54.949</v>
      </c>
      <c r="G2" s="0" t="n">
        <v>10.5</v>
      </c>
      <c r="H2" s="0" t="n">
        <v>144.991</v>
      </c>
      <c r="I2" s="0" t="n">
        <v>18.227</v>
      </c>
      <c r="J2" s="0" t="n">
        <v>3.5</v>
      </c>
      <c r="K2" s="0" t="n">
        <v>0.42</v>
      </c>
      <c r="L2" s="0" t="n">
        <v>147.301</v>
      </c>
      <c r="M2" s="0" t="n">
        <v>92.648</v>
      </c>
      <c r="N2" s="0" t="n">
        <v>54.653</v>
      </c>
      <c r="O2" s="0" t="n">
        <v>564.103</v>
      </c>
      <c r="P2" s="0" t="n">
        <v>1054.318</v>
      </c>
      <c r="Q2" s="0" t="n">
        <v>456.197</v>
      </c>
      <c r="R2" s="0" t="n">
        <v>239.001</v>
      </c>
      <c r="S2" s="0" t="n">
        <v>109.519</v>
      </c>
      <c r="T2" s="0" t="n">
        <v>59.02</v>
      </c>
      <c r="U2" s="0" t="n">
        <v>4.24</v>
      </c>
      <c r="AA2" s="0" t="s">
        <v>18</v>
      </c>
      <c r="AB2" s="0" t="s">
        <v>14</v>
      </c>
      <c r="AG2" s="0" t="n">
        <v>16.391</v>
      </c>
    </row>
    <row r="3" customFormat="false" ht="15" hidden="false" customHeight="false" outlineLevel="0" collapsed="false">
      <c r="A3" s="0" t="s">
        <v>70</v>
      </c>
      <c r="B3" s="0" t="n">
        <v>673.469</v>
      </c>
      <c r="C3" s="0" t="n">
        <v>505.406</v>
      </c>
      <c r="D3" s="0" t="n">
        <v>168.063</v>
      </c>
      <c r="E3" s="0" t="n">
        <v>25</v>
      </c>
      <c r="F3" s="0" t="n">
        <v>32.48</v>
      </c>
      <c r="G3" s="0" t="n">
        <v>4.8</v>
      </c>
      <c r="H3" s="0" t="n">
        <v>121.423</v>
      </c>
      <c r="I3" s="0" t="n">
        <v>-66.722</v>
      </c>
      <c r="J3" s="0" t="n">
        <v>-9.9</v>
      </c>
      <c r="K3" s="0" t="n">
        <v>-0.82</v>
      </c>
      <c r="L3" s="0" t="n">
        <v>153.899</v>
      </c>
      <c r="M3" s="0" t="n">
        <v>231.421</v>
      </c>
      <c r="N3" s="0" t="n">
        <v>-77.522</v>
      </c>
      <c r="O3" s="0" t="n">
        <v>908.789</v>
      </c>
      <c r="P3" s="0" t="n">
        <v>1357.098</v>
      </c>
      <c r="Q3" s="0" t="n">
        <v>396.437</v>
      </c>
      <c r="R3" s="0" t="n">
        <v>150.966</v>
      </c>
      <c r="S3" s="0" t="n">
        <v>124.294</v>
      </c>
      <c r="T3" s="0" t="n">
        <v>93.546</v>
      </c>
      <c r="U3" s="0" t="n">
        <v>8.542</v>
      </c>
      <c r="AA3" s="0" t="s">
        <v>18</v>
      </c>
      <c r="AB3" s="0" t="s">
        <v>14</v>
      </c>
      <c r="AG3" s="0" t="n">
        <v>11.432</v>
      </c>
    </row>
    <row r="4" customFormat="false" ht="15" hidden="false" customHeight="false" outlineLevel="0" collapsed="false">
      <c r="A4" s="0" t="s">
        <v>71</v>
      </c>
      <c r="B4" s="0" t="n">
        <v>652.079</v>
      </c>
      <c r="C4" s="0" t="n">
        <v>530.153</v>
      </c>
      <c r="D4" s="0" t="n">
        <v>121.926</v>
      </c>
      <c r="E4" s="0" t="n">
        <v>18.7</v>
      </c>
      <c r="F4" s="0" t="n">
        <v>-76.236</v>
      </c>
      <c r="G4" s="0" t="n">
        <v>-11.7</v>
      </c>
      <c r="H4" s="0" t="n">
        <v>48.982</v>
      </c>
      <c r="I4" s="0" t="n">
        <v>-156.337</v>
      </c>
      <c r="J4" s="0" t="n">
        <v>-24</v>
      </c>
      <c r="K4" s="0" t="n">
        <v>-1.59</v>
      </c>
      <c r="L4" s="0" t="n">
        <v>221.791</v>
      </c>
      <c r="M4" s="0" t="n">
        <v>441.396</v>
      </c>
      <c r="N4" s="0" t="n">
        <v>-219.605</v>
      </c>
      <c r="O4" s="0" t="n">
        <v>984.864</v>
      </c>
      <c r="P4" s="0" t="n">
        <v>1693.511</v>
      </c>
      <c r="Q4" s="0" t="n">
        <v>692.89</v>
      </c>
      <c r="R4" s="0" t="n">
        <v>340.842</v>
      </c>
      <c r="S4" s="0" t="n">
        <v>122.702</v>
      </c>
      <c r="T4" s="0" t="n">
        <v>107.747</v>
      </c>
      <c r="U4" s="0" t="n">
        <v>23.137</v>
      </c>
      <c r="AA4" s="0" t="s">
        <v>18</v>
      </c>
      <c r="AB4" s="0" t="s">
        <v>14</v>
      </c>
      <c r="AC4" s="0" t="n">
        <v>769</v>
      </c>
      <c r="AD4" s="0" t="n">
        <v>1199</v>
      </c>
      <c r="AE4" s="0" t="n">
        <v>402953</v>
      </c>
      <c r="AF4" s="0" t="n">
        <v>392515</v>
      </c>
      <c r="AG4" s="0" t="n">
        <v>11.936</v>
      </c>
    </row>
    <row r="5" customFormat="false" ht="15" hidden="false" customHeight="false" outlineLevel="0" collapsed="false">
      <c r="A5" s="0" t="s">
        <v>72</v>
      </c>
      <c r="B5" s="0" t="n">
        <v>751.957</v>
      </c>
      <c r="C5" s="0" t="n">
        <v>597.063</v>
      </c>
      <c r="D5" s="0" t="n">
        <v>154.894</v>
      </c>
      <c r="E5" s="0" t="n">
        <v>20.6</v>
      </c>
      <c r="F5" s="0" t="n">
        <v>95.769</v>
      </c>
      <c r="G5" s="0" t="n">
        <v>12.7</v>
      </c>
      <c r="H5" s="0" t="n">
        <v>271.315</v>
      </c>
      <c r="I5" s="0" t="n">
        <v>-144.856</v>
      </c>
      <c r="J5" s="0" t="n">
        <v>-19.3</v>
      </c>
      <c r="K5" s="0" t="n">
        <v>-1.34</v>
      </c>
      <c r="L5" s="0" t="n">
        <v>250.92</v>
      </c>
      <c r="M5" s="0" t="n">
        <v>402.203</v>
      </c>
      <c r="N5" s="0" t="n">
        <v>-151.283</v>
      </c>
      <c r="O5" s="0" t="n">
        <v>858.006</v>
      </c>
      <c r="P5" s="0" t="n">
        <v>1922.043</v>
      </c>
      <c r="Q5" s="0" t="n">
        <v>977.71</v>
      </c>
      <c r="R5" s="0" t="n">
        <v>642.629</v>
      </c>
      <c r="S5" s="0" t="n">
        <v>124.022</v>
      </c>
      <c r="T5" s="0" t="n">
        <v>108.082</v>
      </c>
      <c r="U5" s="0" t="n">
        <v>24.931</v>
      </c>
      <c r="AA5" s="0" t="s">
        <v>18</v>
      </c>
      <c r="AB5" s="0" t="s">
        <v>14</v>
      </c>
      <c r="AC5" s="0" t="n">
        <v>744</v>
      </c>
      <c r="AD5" s="0" t="n">
        <v>1228</v>
      </c>
      <c r="AE5" s="0" t="n">
        <v>612118</v>
      </c>
      <c r="AF5" s="0" t="n">
        <v>612103</v>
      </c>
      <c r="AG5" s="0" t="n">
        <v>24.434</v>
      </c>
    </row>
    <row r="6" customFormat="false" ht="15" hidden="false" customHeight="false" outlineLevel="0" collapsed="false">
      <c r="A6" s="0" t="s">
        <v>73</v>
      </c>
      <c r="B6" s="0" t="n">
        <v>886.371</v>
      </c>
      <c r="C6" s="0" t="n">
        <v>676.345</v>
      </c>
      <c r="D6" s="0" t="n">
        <v>210.026</v>
      </c>
      <c r="E6" s="0" t="n">
        <v>23.7</v>
      </c>
      <c r="F6" s="0" t="n">
        <v>26.539</v>
      </c>
      <c r="G6" s="0" t="n">
        <v>3</v>
      </c>
      <c r="H6" s="0" t="n">
        <v>157.275</v>
      </c>
      <c r="I6" s="0" t="n">
        <v>-163.718</v>
      </c>
      <c r="J6" s="0" t="n">
        <v>-18.5</v>
      </c>
      <c r="K6" s="0" t="n">
        <v>-1.49</v>
      </c>
      <c r="L6" s="0" t="n">
        <v>301.885</v>
      </c>
      <c r="M6" s="0" t="n">
        <v>233.439</v>
      </c>
      <c r="N6" s="0" t="n">
        <v>68.446</v>
      </c>
      <c r="O6" s="0" t="n">
        <v>717.867</v>
      </c>
      <c r="P6" s="0" t="n">
        <v>1872.791</v>
      </c>
      <c r="Q6" s="0" t="n">
        <v>1056.294</v>
      </c>
      <c r="R6" s="0" t="n">
        <v>725.814</v>
      </c>
      <c r="S6" s="0" t="n">
        <v>189.889</v>
      </c>
      <c r="T6" s="0" t="n">
        <v>109.927</v>
      </c>
      <c r="U6" s="0" t="n">
        <v>21.042</v>
      </c>
      <c r="AA6" s="0" t="s">
        <v>18</v>
      </c>
      <c r="AB6" s="0" t="s">
        <v>14</v>
      </c>
      <c r="AC6" s="0" t="n">
        <v>818</v>
      </c>
      <c r="AD6" s="0" t="n">
        <v>1366</v>
      </c>
      <c r="AE6" s="0" t="n">
        <v>650515</v>
      </c>
      <c r="AF6" s="0" t="n">
        <v>648755</v>
      </c>
      <c r="AG6" s="0" t="n">
        <v>33.033</v>
      </c>
    </row>
    <row r="7" customFormat="false" ht="15" hidden="false" customHeight="false" outlineLevel="0" collapsed="false">
      <c r="A7" s="0" t="s">
        <v>74</v>
      </c>
      <c r="B7" s="0" t="n">
        <v>1424.111</v>
      </c>
      <c r="C7" s="0" t="n">
        <v>934.075</v>
      </c>
      <c r="D7" s="0" t="n">
        <v>490.036</v>
      </c>
      <c r="E7" s="0" t="n">
        <v>34.4</v>
      </c>
      <c r="F7" s="0" t="n">
        <v>338.234</v>
      </c>
      <c r="G7" s="0" t="n">
        <v>23.8</v>
      </c>
      <c r="H7" s="0" t="n">
        <v>529.363</v>
      </c>
      <c r="I7" s="0" t="n">
        <v>72.223</v>
      </c>
      <c r="J7" s="0" t="n">
        <v>5.1</v>
      </c>
      <c r="K7" s="0" t="n">
        <v>0.53</v>
      </c>
      <c r="L7" s="0" t="n">
        <v>748.928</v>
      </c>
      <c r="M7" s="0" t="n">
        <v>235.855</v>
      </c>
      <c r="N7" s="0" t="n">
        <v>513.073</v>
      </c>
      <c r="O7" s="0" t="n">
        <v>2057.016</v>
      </c>
      <c r="P7" s="0" t="n">
        <v>3881.717</v>
      </c>
      <c r="Q7" s="0" t="n">
        <v>1635.537</v>
      </c>
      <c r="R7" s="0" t="n">
        <v>725.471</v>
      </c>
      <c r="S7" s="0" t="n">
        <v>644.97</v>
      </c>
      <c r="T7" s="0" t="n">
        <v>163.036</v>
      </c>
      <c r="U7" s="0" t="n">
        <v>18.767</v>
      </c>
      <c r="AA7" s="0" t="s">
        <v>18</v>
      </c>
      <c r="AB7" s="0" t="s">
        <v>14</v>
      </c>
      <c r="AC7" s="0" t="n">
        <v>853</v>
      </c>
      <c r="AD7" s="0" t="n">
        <v>1761</v>
      </c>
      <c r="AE7" s="0" t="n">
        <v>802971</v>
      </c>
      <c r="AF7" s="0" t="n">
        <v>808806</v>
      </c>
      <c r="AG7" s="0" t="n">
        <v>33.654</v>
      </c>
    </row>
    <row r="8" customFormat="false" ht="15" hidden="false" customHeight="false" outlineLevel="0" collapsed="false">
      <c r="A8" s="0" t="s">
        <v>75</v>
      </c>
      <c r="B8" s="0" t="n">
        <v>2778.1</v>
      </c>
      <c r="C8" s="0" t="n">
        <v>1887.3</v>
      </c>
      <c r="D8" s="0" t="n">
        <v>890.8</v>
      </c>
      <c r="E8" s="0" t="n">
        <v>32.1</v>
      </c>
      <c r="F8" s="0" t="n">
        <v>483.3</v>
      </c>
      <c r="G8" s="0" t="n">
        <v>17.4</v>
      </c>
      <c r="H8" s="0" t="n">
        <v>1138.9</v>
      </c>
      <c r="I8" s="0" t="n">
        <v>215.5</v>
      </c>
      <c r="J8" s="0" t="n">
        <v>7.8</v>
      </c>
      <c r="K8" s="0" t="n">
        <v>0.89</v>
      </c>
      <c r="L8" s="0" t="n">
        <v>1166.1</v>
      </c>
      <c r="M8" s="0" t="n">
        <v>522.5</v>
      </c>
      <c r="N8" s="0" t="n">
        <v>643.6</v>
      </c>
      <c r="O8" s="0" t="n">
        <v>3921.5</v>
      </c>
      <c r="P8" s="0" t="n">
        <v>6770.9</v>
      </c>
      <c r="Q8" s="0" t="n">
        <v>2385.2</v>
      </c>
      <c r="R8" s="0" t="n">
        <v>893</v>
      </c>
      <c r="S8" s="0" t="n">
        <v>906.2</v>
      </c>
      <c r="T8" s="0" t="n">
        <v>240.1</v>
      </c>
      <c r="U8" s="0" t="n">
        <v>32.5</v>
      </c>
      <c r="AA8" s="0" t="s">
        <v>18</v>
      </c>
      <c r="AB8" s="0" t="s">
        <v>14</v>
      </c>
      <c r="AD8" s="0" t="n">
        <v>1773</v>
      </c>
      <c r="AG8" s="0" t="n">
        <v>26.9</v>
      </c>
    </row>
    <row r="9" customFormat="false" ht="15" hidden="false" customHeight="false" outlineLevel="0" collapsed="false">
      <c r="A9" s="0" t="s">
        <v>76</v>
      </c>
      <c r="B9" s="0" t="n">
        <v>2508.1</v>
      </c>
      <c r="C9" s="0" t="n">
        <v>1748.4</v>
      </c>
      <c r="D9" s="0" t="n">
        <v>759.7</v>
      </c>
      <c r="E9" s="0" t="n">
        <v>30.3</v>
      </c>
      <c r="F9" s="0" t="n">
        <v>233.1</v>
      </c>
      <c r="G9" s="0" t="n">
        <v>9.3</v>
      </c>
      <c r="H9" s="0" t="n">
        <v>826.8</v>
      </c>
      <c r="I9" s="0" t="n">
        <v>-57.3</v>
      </c>
      <c r="J9" s="0" t="n">
        <v>-2.3</v>
      </c>
      <c r="K9" s="0" t="n">
        <v>-0.23</v>
      </c>
      <c r="L9" s="0" t="n">
        <v>1022</v>
      </c>
      <c r="M9" s="0" t="n">
        <v>518.3</v>
      </c>
      <c r="N9" s="0" t="n">
        <v>503.7</v>
      </c>
      <c r="O9" s="0" t="n">
        <v>3660.9</v>
      </c>
      <c r="P9" s="0" t="n">
        <v>6414.7</v>
      </c>
      <c r="Q9" s="0" t="n">
        <v>2327.4</v>
      </c>
      <c r="R9" s="0" t="n">
        <v>871.8</v>
      </c>
      <c r="S9" s="0" t="n">
        <v>951.1</v>
      </c>
      <c r="T9" s="0" t="n">
        <v>247.8</v>
      </c>
      <c r="U9" s="0" t="n">
        <v>32.8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77</v>
      </c>
      <c r="B10" s="0" t="n">
        <v>2114.6</v>
      </c>
      <c r="C10" s="0" t="n">
        <v>1369.3</v>
      </c>
      <c r="D10" s="0" t="n">
        <v>745.3</v>
      </c>
      <c r="E10" s="0" t="n">
        <v>35.2</v>
      </c>
      <c r="F10" s="0" t="n">
        <v>442.7</v>
      </c>
      <c r="G10" s="0" t="n">
        <v>20.9</v>
      </c>
      <c r="H10" s="0" t="n">
        <v>773.1</v>
      </c>
      <c r="I10" s="0" t="n">
        <v>-208.9</v>
      </c>
      <c r="J10" s="0" t="n">
        <v>-9.9</v>
      </c>
      <c r="K10" s="0" t="n">
        <v>-0.85</v>
      </c>
      <c r="L10" s="0" t="n">
        <v>646.5</v>
      </c>
      <c r="M10" s="0" t="n">
        <v>762.6</v>
      </c>
      <c r="N10" s="0" t="n">
        <v>-116.1</v>
      </c>
      <c r="O10" s="0" t="n">
        <v>3225.5</v>
      </c>
      <c r="P10" s="0" t="n">
        <v>5858.5</v>
      </c>
      <c r="Q10" s="0" t="n">
        <v>2310.2</v>
      </c>
      <c r="R10" s="0" t="n">
        <v>1110.6</v>
      </c>
      <c r="S10" s="0" t="n">
        <v>517.2</v>
      </c>
      <c r="T10" s="0" t="n">
        <v>246.9</v>
      </c>
      <c r="U10" s="0" t="n">
        <v>28.7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78</v>
      </c>
      <c r="B11" s="0" t="n">
        <v>2675.9</v>
      </c>
      <c r="C11" s="0" t="n">
        <v>1807.2</v>
      </c>
      <c r="D11" s="0" t="n">
        <v>868.7</v>
      </c>
      <c r="E11" s="0" t="n">
        <v>32.5</v>
      </c>
      <c r="F11" s="0" t="n">
        <v>367.8</v>
      </c>
      <c r="G11" s="0" t="n">
        <v>13.7</v>
      </c>
      <c r="H11" s="0" t="n">
        <v>834.4</v>
      </c>
      <c r="I11" s="0" t="n">
        <v>-300.2</v>
      </c>
      <c r="J11" s="0" t="n">
        <v>-11.2</v>
      </c>
      <c r="K11" s="0" t="n">
        <v>-1.23</v>
      </c>
      <c r="L11" s="0" t="n">
        <v>943.3</v>
      </c>
      <c r="M11" s="0" t="n">
        <v>685.7</v>
      </c>
      <c r="N11" s="0" t="n">
        <v>257.6</v>
      </c>
      <c r="O11" s="0" t="n">
        <v>2705.5</v>
      </c>
      <c r="P11" s="0" t="n">
        <v>5513.4</v>
      </c>
      <c r="Q11" s="0" t="n">
        <v>2520.5</v>
      </c>
      <c r="R11" s="0" t="n">
        <v>1174.3</v>
      </c>
      <c r="S11" s="0" t="n">
        <v>397.3</v>
      </c>
      <c r="T11" s="0" t="n">
        <v>244.8</v>
      </c>
      <c r="U11" s="0" t="n">
        <v>21.4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79</v>
      </c>
      <c r="B12" s="0" t="n">
        <v>4233.9</v>
      </c>
      <c r="C12" s="0" t="n">
        <v>2140.4</v>
      </c>
      <c r="D12" s="0" t="n">
        <v>2093.5</v>
      </c>
      <c r="E12" s="0" t="n">
        <v>49.4</v>
      </c>
      <c r="F12" s="0" t="n">
        <v>1638.5</v>
      </c>
      <c r="G12" s="0" t="n">
        <v>38.7</v>
      </c>
      <c r="H12" s="0" t="n">
        <v>2079.1</v>
      </c>
      <c r="I12" s="0" t="n">
        <v>679.2</v>
      </c>
      <c r="J12" s="0" t="n">
        <v>16</v>
      </c>
      <c r="K12" s="0" t="n">
        <v>2.74</v>
      </c>
      <c r="L12" s="0" t="n">
        <v>1663.7</v>
      </c>
      <c r="M12" s="0" t="n">
        <v>530.4</v>
      </c>
      <c r="N12" s="0" t="n">
        <v>1133.3</v>
      </c>
      <c r="O12" s="0" t="n">
        <v>3034.8</v>
      </c>
      <c r="P12" s="0" t="n">
        <v>5606.8</v>
      </c>
      <c r="Q12" s="0" t="n">
        <v>2188.7</v>
      </c>
      <c r="R12" s="0" t="n">
        <v>685.7</v>
      </c>
      <c r="S12" s="0" t="n">
        <v>453.3</v>
      </c>
      <c r="T12" s="0" t="n">
        <v>242.3</v>
      </c>
      <c r="U12" s="0" t="n">
        <v>64.7</v>
      </c>
      <c r="AA12" s="0" t="s">
        <v>18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4126</v>
      </c>
    </row>
    <row r="3" customFormat="false" ht="15" hidden="false" customHeight="false" outlineLevel="0" collapsed="false">
      <c r="A3" s="0" t="s">
        <v>83</v>
      </c>
      <c r="B3" s="3" t="n">
        <v>247.3</v>
      </c>
    </row>
    <row r="4" customFormat="false" ht="15" hidden="false" customHeight="false" outlineLevel="0" collapsed="false">
      <c r="A4" s="0" t="s">
        <v>84</v>
      </c>
      <c r="B4" s="3" t="n">
        <v>-254</v>
      </c>
    </row>
    <row r="5" customFormat="false" ht="15" hidden="false" customHeight="false" outlineLevel="0" collapsed="false">
      <c r="A5" s="0" t="s">
        <v>85</v>
      </c>
      <c r="B5" s="3" t="n">
        <v>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4233.9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75.57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15.1</v>
      </c>
      <c r="D13" s="3" t="n">
        <v>-22.5</v>
      </c>
      <c r="E13" s="3" t="n">
        <v>-15.6</v>
      </c>
      <c r="F13" s="3" t="n">
        <v>-2.1</v>
      </c>
      <c r="G13" s="3" t="n">
        <v>14.7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104</v>
      </c>
      <c r="C14" s="3" t="n">
        <v>60.8</v>
      </c>
      <c r="D14" s="3" t="n">
        <v>50.6</v>
      </c>
      <c r="E14" s="3" t="n">
        <v>42.1</v>
      </c>
      <c r="F14" s="3" t="n">
        <v>41</v>
      </c>
      <c r="G14" s="3" t="n">
        <v>43.1</v>
      </c>
      <c r="H14" s="3" t="n">
        <v>42</v>
      </c>
      <c r="I14" s="3" t="n">
        <v>41</v>
      </c>
      <c r="J14" s="3" t="n">
        <v>40</v>
      </c>
      <c r="K14" s="3" t="n">
        <v>39</v>
      </c>
      <c r="L14" s="3" t="n">
        <v>38</v>
      </c>
    </row>
    <row r="15" customFormat="false" ht="15" hidden="false" customHeight="false" outlineLevel="0" collapsed="false">
      <c r="A15" s="0" t="s">
        <v>105</v>
      </c>
      <c r="C15" s="3" t="n">
        <v>1.2</v>
      </c>
      <c r="D15" s="3" t="n">
        <v>1.3</v>
      </c>
      <c r="E15" s="3" t="n">
        <v>1.4</v>
      </c>
      <c r="F15" s="3" t="n">
        <v>1.4</v>
      </c>
      <c r="G15" s="3" t="n">
        <v>1.3</v>
      </c>
      <c r="H15" s="3" t="n">
        <v>1.3</v>
      </c>
      <c r="I15" s="3" t="n">
        <v>1.3</v>
      </c>
      <c r="J15" s="3" t="n">
        <v>1.3</v>
      </c>
      <c r="K15" s="3" t="n">
        <v>1.3</v>
      </c>
      <c r="L15" s="3" t="n">
        <v>1.3</v>
      </c>
    </row>
    <row r="16" customFormat="false" ht="15" hidden="false" customHeight="false" outlineLevel="0" collapsed="false">
      <c r="A16" s="0" t="s">
        <v>106</v>
      </c>
      <c r="C16" s="3" t="n">
        <v>0.8</v>
      </c>
      <c r="D16" s="3" t="n">
        <v>0.9</v>
      </c>
      <c r="E16" s="3" t="n">
        <v>1</v>
      </c>
      <c r="F16" s="3" t="n">
        <v>1</v>
      </c>
      <c r="G16" s="3" t="n">
        <v>0.9</v>
      </c>
      <c r="H16" s="3" t="n">
        <v>0.9</v>
      </c>
      <c r="I16" s="3" t="n">
        <v>0.9</v>
      </c>
      <c r="J16" s="3" t="n">
        <v>0.9</v>
      </c>
      <c r="K16" s="3" t="n">
        <v>0.9</v>
      </c>
      <c r="L16" s="3" t="n">
        <v>0.9</v>
      </c>
    </row>
    <row r="17" customFormat="false" ht="15" hidden="false" customHeight="false" outlineLevel="0" collapsed="false">
      <c r="A17" s="0" t="s">
        <v>107</v>
      </c>
      <c r="C17" s="3" t="n">
        <v>13.5</v>
      </c>
      <c r="D17" s="3" t="n">
        <v>17</v>
      </c>
      <c r="E17" s="3" t="n">
        <v>20</v>
      </c>
      <c r="F17" s="3" t="n">
        <v>22</v>
      </c>
      <c r="G17" s="3" t="n">
        <v>21</v>
      </c>
      <c r="H17" s="3" t="n">
        <v>21</v>
      </c>
      <c r="I17" s="3" t="n">
        <v>21</v>
      </c>
      <c r="J17" s="3" t="n">
        <v>21</v>
      </c>
      <c r="K17" s="3" t="n">
        <v>21</v>
      </c>
      <c r="L17" s="3" t="n">
        <v>21</v>
      </c>
    </row>
    <row r="18" customFormat="false" ht="15" hidden="false" customHeight="false" outlineLevel="0" collapsed="false">
      <c r="A18" s="0" t="s">
        <v>108</v>
      </c>
      <c r="C18" s="3" t="n">
        <v>13.3</v>
      </c>
      <c r="D18" s="3" t="n">
        <v>26.5</v>
      </c>
      <c r="E18" s="3" t="n">
        <v>29.8</v>
      </c>
      <c r="F18" s="3" t="n">
        <v>20.8</v>
      </c>
      <c r="G18" s="3" t="n">
        <v>16.8</v>
      </c>
      <c r="H18" s="3" t="n">
        <v>14.5</v>
      </c>
      <c r="I18" s="3" t="n">
        <v>14.5</v>
      </c>
      <c r="J18" s="3" t="n">
        <v>14.5</v>
      </c>
      <c r="K18" s="3" t="n">
        <v>14.5</v>
      </c>
      <c r="L18" s="3" t="n">
        <v>14.5</v>
      </c>
    </row>
    <row r="19" customFormat="false" ht="15" hidden="false" customHeight="false" outlineLevel="0" collapsed="false">
      <c r="A19" s="0" t="s">
        <v>109</v>
      </c>
      <c r="C19" s="3" t="n">
        <v>40</v>
      </c>
      <c r="D19" s="3" t="n">
        <v>42</v>
      </c>
      <c r="E19" s="3" t="n">
        <v>43</v>
      </c>
      <c r="F19" s="3" t="n">
        <v>43</v>
      </c>
      <c r="G19" s="3" t="n">
        <v>43</v>
      </c>
      <c r="H19" s="3" t="n">
        <v>43</v>
      </c>
      <c r="I19" s="3" t="n">
        <v>43</v>
      </c>
      <c r="J19" s="3" t="n">
        <v>43</v>
      </c>
      <c r="K19" s="3" t="n">
        <v>43</v>
      </c>
      <c r="L19" s="3" t="n">
        <v>43</v>
      </c>
    </row>
    <row r="20" customFormat="false" ht="15" hidden="false" customHeight="false" outlineLevel="0" collapsed="false">
      <c r="A20" s="0" t="s">
        <v>110</v>
      </c>
      <c r="B20" s="3" t="n">
        <v>11</v>
      </c>
    </row>
    <row r="21" customFormat="false" ht="15" hidden="false" customHeight="false" outlineLevel="0" collapsed="false">
      <c r="A21" s="0" t="s">
        <v>111</v>
      </c>
      <c r="B21" s="3" t="n">
        <v>1.5</v>
      </c>
    </row>
    <row r="22" customFormat="false" ht="15" hidden="false" customHeight="false" outlineLevel="0" collapsed="false">
      <c r="A22" s="0" t="s">
        <v>112</v>
      </c>
      <c r="B22" s="3" t="n">
        <v>10</v>
      </c>
    </row>
    <row r="23" customFormat="false" ht="15" hidden="false" customHeight="false" outlineLevel="0" collapsed="false">
      <c r="A23" s="0" t="s">
        <v>113</v>
      </c>
      <c r="B23" s="3" t="n">
        <v>-3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22.6</v>
      </c>
      <c r="D27" s="3" t="n">
        <v>-7.6</v>
      </c>
      <c r="E27" s="3" t="n">
        <v>-8.1</v>
      </c>
      <c r="F27" s="3" t="n">
        <v>7</v>
      </c>
      <c r="G27" s="3" t="n">
        <v>4.9</v>
      </c>
      <c r="H27" s="3" t="n">
        <v>1.5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104</v>
      </c>
      <c r="C28" s="3" t="n">
        <v>61.9</v>
      </c>
      <c r="D28" s="3" t="n">
        <v>57.5</v>
      </c>
      <c r="E28" s="3" t="n">
        <v>52.8</v>
      </c>
      <c r="F28" s="3" t="n">
        <v>53.7</v>
      </c>
      <c r="G28" s="3" t="n">
        <v>52.9</v>
      </c>
      <c r="H28" s="3" t="n">
        <v>52.4</v>
      </c>
      <c r="I28" s="3" t="n">
        <v>51.9</v>
      </c>
      <c r="J28" s="3" t="n">
        <v>51.4</v>
      </c>
      <c r="K28" s="3" t="n">
        <v>50.8</v>
      </c>
      <c r="L28" s="3" t="n">
        <v>50.3</v>
      </c>
    </row>
    <row r="29" customFormat="false" ht="15" hidden="false" customHeight="false" outlineLevel="0" collapsed="false">
      <c r="A29" s="0" t="s">
        <v>105</v>
      </c>
      <c r="C29" s="3" t="n">
        <v>1.2</v>
      </c>
      <c r="D29" s="3" t="n">
        <v>1.2</v>
      </c>
      <c r="E29" s="3" t="n">
        <v>1.2</v>
      </c>
      <c r="F29" s="3" t="n">
        <v>1.1</v>
      </c>
      <c r="G29" s="3" t="n">
        <v>1.1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106</v>
      </c>
      <c r="C30" s="3" t="n">
        <v>0.7</v>
      </c>
      <c r="D30" s="3" t="n">
        <v>0.7</v>
      </c>
      <c r="E30" s="3" t="n">
        <v>0.7</v>
      </c>
      <c r="F30" s="3" t="n">
        <v>0.6</v>
      </c>
      <c r="G30" s="3" t="n">
        <v>0.6</v>
      </c>
      <c r="H30" s="3" t="n">
        <v>0.6</v>
      </c>
      <c r="I30" s="3" t="n">
        <v>0.6</v>
      </c>
      <c r="J30" s="3" t="n">
        <v>0.6</v>
      </c>
      <c r="K30" s="3" t="n">
        <v>0.6</v>
      </c>
      <c r="L30" s="3" t="n">
        <v>0.6</v>
      </c>
    </row>
    <row r="31" customFormat="false" ht="15" hidden="false" customHeight="false" outlineLevel="0" collapsed="false">
      <c r="A31" s="0" t="s">
        <v>107</v>
      </c>
      <c r="C31" s="3" t="n">
        <v>12.5</v>
      </c>
      <c r="D31" s="3" t="n">
        <v>14</v>
      </c>
      <c r="E31" s="3" t="n">
        <v>16</v>
      </c>
      <c r="F31" s="3" t="n">
        <v>16.5</v>
      </c>
      <c r="G31" s="3" t="n">
        <v>16.5</v>
      </c>
      <c r="H31" s="3" t="n">
        <v>16.5</v>
      </c>
      <c r="I31" s="3" t="n">
        <v>16.5</v>
      </c>
      <c r="J31" s="3" t="n">
        <v>16.5</v>
      </c>
      <c r="K31" s="3" t="n">
        <v>16.5</v>
      </c>
      <c r="L31" s="3" t="n">
        <v>16.5</v>
      </c>
    </row>
    <row r="32" customFormat="false" ht="15" hidden="false" customHeight="false" outlineLevel="0" collapsed="false">
      <c r="A32" s="0" t="s">
        <v>108</v>
      </c>
      <c r="C32" s="3" t="n">
        <v>12.5</v>
      </c>
      <c r="D32" s="3" t="n">
        <v>22</v>
      </c>
      <c r="E32" s="3" t="n">
        <v>23.5</v>
      </c>
      <c r="F32" s="3" t="n">
        <v>14.5</v>
      </c>
      <c r="G32" s="3" t="n">
        <v>13</v>
      </c>
      <c r="H32" s="3" t="n">
        <v>13</v>
      </c>
      <c r="I32" s="3" t="n">
        <v>13</v>
      </c>
      <c r="J32" s="3" t="n">
        <v>13</v>
      </c>
      <c r="K32" s="3" t="n">
        <v>13</v>
      </c>
      <c r="L32" s="3" t="n">
        <v>13</v>
      </c>
    </row>
    <row r="33" customFormat="false" ht="15" hidden="false" customHeight="false" outlineLevel="0" collapsed="false">
      <c r="A33" s="0" t="s">
        <v>109</v>
      </c>
      <c r="C33" s="3" t="n">
        <v>40</v>
      </c>
      <c r="D33" s="3" t="n">
        <v>40</v>
      </c>
      <c r="E33" s="3" t="n">
        <v>40</v>
      </c>
      <c r="F33" s="3" t="n">
        <v>40</v>
      </c>
      <c r="G33" s="3" t="n">
        <v>40</v>
      </c>
      <c r="H33" s="3" t="n">
        <v>40</v>
      </c>
      <c r="I33" s="3" t="n">
        <v>40</v>
      </c>
      <c r="J33" s="3" t="n">
        <v>40</v>
      </c>
      <c r="K33" s="3" t="n">
        <v>40</v>
      </c>
      <c r="L33" s="3" t="n">
        <v>40</v>
      </c>
    </row>
    <row r="34" customFormat="false" ht="15" hidden="false" customHeight="false" outlineLevel="0" collapsed="false">
      <c r="A34" s="0" t="s">
        <v>110</v>
      </c>
      <c r="B34" s="3" t="n">
        <v>11</v>
      </c>
    </row>
    <row r="35" customFormat="false" ht="15" hidden="false" customHeight="false" outlineLevel="0" collapsed="false">
      <c r="A35" s="0" t="s">
        <v>111</v>
      </c>
      <c r="B35" s="3" t="n">
        <v>1.5</v>
      </c>
    </row>
    <row r="36" customFormat="false" ht="15" hidden="false" customHeight="false" outlineLevel="0" collapsed="false">
      <c r="A36" s="0" t="s">
        <v>112</v>
      </c>
      <c r="B36" s="3" t="n">
        <v>10</v>
      </c>
    </row>
    <row r="37" customFormat="false" ht="15" hidden="false" customHeight="false" outlineLevel="0" collapsed="false">
      <c r="A37" s="0" t="s">
        <v>113</v>
      </c>
      <c r="B37" s="3" t="n">
        <v>-3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26.2</v>
      </c>
      <c r="D41" s="3" t="n">
        <v>1.4</v>
      </c>
      <c r="E41" s="3" t="n">
        <v>0.8</v>
      </c>
      <c r="F41" s="3" t="n">
        <v>15.4</v>
      </c>
      <c r="G41" s="3" t="n">
        <v>8.8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104</v>
      </c>
      <c r="C42" s="3" t="n">
        <v>62.2</v>
      </c>
      <c r="D42" s="3" t="n">
        <v>60.4</v>
      </c>
      <c r="E42" s="3" t="n">
        <v>58.8</v>
      </c>
      <c r="F42" s="3" t="n">
        <v>61.3</v>
      </c>
      <c r="G42" s="3" t="n">
        <v>61.3</v>
      </c>
      <c r="H42" s="3" t="n">
        <v>61</v>
      </c>
      <c r="I42" s="3" t="n">
        <v>60.7</v>
      </c>
      <c r="J42" s="3" t="n">
        <v>60.4</v>
      </c>
      <c r="K42" s="3" t="n">
        <v>60.1</v>
      </c>
      <c r="L42" s="3" t="n">
        <v>59.8</v>
      </c>
    </row>
    <row r="43" customFormat="false" ht="15" hidden="false" customHeight="false" outlineLevel="0" collapsed="false">
      <c r="A43" s="0" t="s">
        <v>105</v>
      </c>
      <c r="C43" s="3" t="n">
        <v>1.2</v>
      </c>
      <c r="D43" s="3" t="n">
        <v>1.2</v>
      </c>
      <c r="E43" s="3" t="n">
        <v>1.2</v>
      </c>
      <c r="F43" s="3" t="n">
        <v>1.1</v>
      </c>
      <c r="G43" s="3" t="n">
        <v>1.1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106</v>
      </c>
      <c r="C44" s="3" t="n">
        <v>0.7</v>
      </c>
      <c r="D44" s="3" t="n">
        <v>0.6</v>
      </c>
      <c r="E44" s="3" t="n">
        <v>0.6</v>
      </c>
      <c r="F44" s="3" t="n">
        <v>0.5</v>
      </c>
      <c r="G44" s="3" t="n">
        <v>0.5</v>
      </c>
      <c r="H44" s="3" t="n">
        <v>0.5</v>
      </c>
      <c r="I44" s="3" t="n">
        <v>0.5</v>
      </c>
      <c r="J44" s="3" t="n">
        <v>0.5</v>
      </c>
      <c r="K44" s="3" t="n">
        <v>0.5</v>
      </c>
      <c r="L44" s="3" t="n">
        <v>0.5</v>
      </c>
    </row>
    <row r="45" customFormat="false" ht="15" hidden="false" customHeight="false" outlineLevel="0" collapsed="false">
      <c r="A45" s="0" t="s">
        <v>107</v>
      </c>
      <c r="C45" s="3" t="n">
        <v>12</v>
      </c>
      <c r="D45" s="3" t="n">
        <v>12.5</v>
      </c>
      <c r="E45" s="3" t="n">
        <v>13</v>
      </c>
      <c r="F45" s="3" t="n">
        <v>14</v>
      </c>
      <c r="G45" s="3" t="n">
        <v>14.5</v>
      </c>
      <c r="H45" s="3" t="n">
        <v>14.5</v>
      </c>
      <c r="I45" s="3" t="n">
        <v>14.5</v>
      </c>
      <c r="J45" s="3" t="n">
        <v>14.5</v>
      </c>
      <c r="K45" s="3" t="n">
        <v>14.5</v>
      </c>
      <c r="L45" s="3" t="n">
        <v>14.5</v>
      </c>
    </row>
    <row r="46" customFormat="false" ht="15" hidden="false" customHeight="false" outlineLevel="0" collapsed="false">
      <c r="A46" s="0" t="s">
        <v>108</v>
      </c>
      <c r="C46" s="3" t="n">
        <v>12.2</v>
      </c>
      <c r="D46" s="3" t="n">
        <v>20.3</v>
      </c>
      <c r="E46" s="3" t="n">
        <v>20.1</v>
      </c>
      <c r="F46" s="3" t="n">
        <v>12.7</v>
      </c>
      <c r="G46" s="3" t="n">
        <v>11.4</v>
      </c>
      <c r="H46" s="3" t="n">
        <v>11.5</v>
      </c>
      <c r="I46" s="3" t="n">
        <v>11.5</v>
      </c>
      <c r="J46" s="3" t="n">
        <v>11.5</v>
      </c>
      <c r="K46" s="3" t="n">
        <v>11.5</v>
      </c>
      <c r="L46" s="3" t="n">
        <v>11.5</v>
      </c>
    </row>
    <row r="47" customFormat="false" ht="15" hidden="false" customHeight="false" outlineLevel="0" collapsed="false">
      <c r="A47" s="0" t="s">
        <v>109</v>
      </c>
      <c r="C47" s="3" t="n">
        <v>39</v>
      </c>
      <c r="D47" s="3" t="n">
        <v>39</v>
      </c>
      <c r="E47" s="3" t="n">
        <v>39</v>
      </c>
      <c r="F47" s="3" t="n">
        <v>39</v>
      </c>
      <c r="G47" s="3" t="n">
        <v>39</v>
      </c>
      <c r="H47" s="3" t="n">
        <v>39</v>
      </c>
      <c r="I47" s="3" t="n">
        <v>39</v>
      </c>
      <c r="J47" s="3" t="n">
        <v>39</v>
      </c>
      <c r="K47" s="3" t="n">
        <v>39</v>
      </c>
      <c r="L47" s="3" t="n">
        <v>39</v>
      </c>
    </row>
    <row r="48" customFormat="false" ht="15" hidden="false" customHeight="false" outlineLevel="0" collapsed="false">
      <c r="A48" s="0" t="s">
        <v>110</v>
      </c>
      <c r="B48" s="3" t="n">
        <v>11</v>
      </c>
    </row>
    <row r="49" customFormat="false" ht="15" hidden="false" customHeight="false" outlineLevel="0" collapsed="false">
      <c r="A49" s="0" t="s">
        <v>111</v>
      </c>
      <c r="B49" s="3" t="n">
        <v>2</v>
      </c>
    </row>
    <row r="50" customFormat="false" ht="15" hidden="false" customHeight="false" outlineLevel="0" collapsed="false">
      <c r="A50" s="0" t="s">
        <v>112</v>
      </c>
      <c r="B50" s="3" t="n">
        <v>10</v>
      </c>
    </row>
    <row r="51" customFormat="false" ht="15" hidden="false" customHeight="false" outlineLevel="0" collapsed="false">
      <c r="A51" s="0" t="s">
        <v>113</v>
      </c>
      <c r="B51" s="3" t="n">
        <v>-3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15.1</v>
      </c>
      <c r="D5" s="4" t="n">
        <f aca="false">Assumptions!D13</f>
        <v>-22.5</v>
      </c>
      <c r="E5" s="4" t="n">
        <f aca="false">Assumptions!E13</f>
        <v>-15.6</v>
      </c>
      <c r="F5" s="4" t="n">
        <f aca="false">Assumptions!F13</f>
        <v>-2.1</v>
      </c>
      <c r="G5" s="4" t="n">
        <f aca="false">Assumptions!G13</f>
        <v>14.7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4233.9</v>
      </c>
      <c r="C6" s="0" t="n">
        <f aca="false">B6*(1+C5/100)</f>
        <v>4873.2189</v>
      </c>
      <c r="D6" s="0" t="n">
        <f aca="false">C6*(1+D5/100)</f>
        <v>3776.7446475</v>
      </c>
      <c r="E6" s="0" t="n">
        <f aca="false">D6*(1+E5/100)</f>
        <v>3187.57248249</v>
      </c>
      <c r="F6" s="0" t="n">
        <f aca="false">E6*(1+F5/100)</f>
        <v>3120.63346035771</v>
      </c>
      <c r="G6" s="0" t="n">
        <f aca="false">F6*(1+G5/100)</f>
        <v>3579.36657903029</v>
      </c>
      <c r="H6" s="0" t="n">
        <f aca="false">G6*(1+H5/100)</f>
        <v>3615.1602448206</v>
      </c>
      <c r="I6" s="0" t="n">
        <f aca="false">H6*(1+I5/100)</f>
        <v>3651.3118472688</v>
      </c>
      <c r="J6" s="0" t="n">
        <f aca="false">I6*(1+J5/100)</f>
        <v>3687.82496574149</v>
      </c>
      <c r="K6" s="0" t="n">
        <f aca="false">J6*(1+K5/100)</f>
        <v>3724.70321539891</v>
      </c>
      <c r="L6" s="0" t="n">
        <f aca="false">K6*(1+L5/100)</f>
        <v>3761.95024755289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60.8</v>
      </c>
      <c r="D7" s="4" t="n">
        <f aca="false">Assumptions!D14</f>
        <v>50.6</v>
      </c>
      <c r="E7" s="4" t="n">
        <f aca="false">Assumptions!E14</f>
        <v>42.1</v>
      </c>
      <c r="F7" s="4" t="n">
        <f aca="false">Assumptions!F14</f>
        <v>41</v>
      </c>
      <c r="G7" s="4" t="n">
        <f aca="false">Assumptions!G14</f>
        <v>43.1</v>
      </c>
      <c r="H7" s="4" t="n">
        <f aca="false">Assumptions!H14</f>
        <v>42</v>
      </c>
      <c r="I7" s="4" t="n">
        <f aca="false">Assumptions!I14</f>
        <v>41</v>
      </c>
      <c r="J7" s="4" t="n">
        <f aca="false">Assumptions!J14</f>
        <v>40</v>
      </c>
      <c r="K7" s="4" t="n">
        <f aca="false">Assumptions!K14</f>
        <v>39</v>
      </c>
      <c r="L7" s="4" t="n">
        <f aca="false">Assumptions!L14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2962.9170912</v>
      </c>
      <c r="D8" s="0" t="n">
        <f aca="false">D6*D7/100</f>
        <v>1911.032791635</v>
      </c>
      <c r="E8" s="0" t="n">
        <f aca="false">E6*E7/100</f>
        <v>1341.96801512829</v>
      </c>
      <c r="F8" s="0" t="n">
        <f aca="false">F6*F7/100</f>
        <v>1279.45971874666</v>
      </c>
      <c r="G8" s="0" t="n">
        <f aca="false">G6*G7/100</f>
        <v>1542.70699556206</v>
      </c>
      <c r="H8" s="0" t="n">
        <f aca="false">H6*H7/100</f>
        <v>1518.36730282465</v>
      </c>
      <c r="I8" s="0" t="n">
        <f aca="false">I6*I7/100</f>
        <v>1497.03785738021</v>
      </c>
      <c r="J8" s="0" t="n">
        <f aca="false">J6*J7/100</f>
        <v>1475.1299862966</v>
      </c>
      <c r="K8" s="0" t="n">
        <f aca="false">K6*K7/100</f>
        <v>1452.63425400557</v>
      </c>
      <c r="L8" s="0" t="n">
        <f aca="false">L6*L7/100</f>
        <v>1429.5410940701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1.2</v>
      </c>
      <c r="D9" s="4" t="n">
        <f aca="false">Assumptions!D15</f>
        <v>1.3</v>
      </c>
      <c r="E9" s="4" t="n">
        <f aca="false">Assumptions!E15</f>
        <v>1.4</v>
      </c>
      <c r="F9" s="4" t="n">
        <f aca="false">Assumptions!F15</f>
        <v>1.4</v>
      </c>
      <c r="G9" s="4" t="n">
        <f aca="false">Assumptions!G15</f>
        <v>1.3</v>
      </c>
      <c r="H9" s="4" t="n">
        <f aca="false">Assumptions!H15</f>
        <v>1.3</v>
      </c>
      <c r="I9" s="4" t="n">
        <f aca="false">Assumptions!I15</f>
        <v>1.3</v>
      </c>
      <c r="J9" s="4" t="n">
        <f aca="false">Assumptions!J15</f>
        <v>1.3</v>
      </c>
      <c r="K9" s="4" t="n">
        <f aca="false">Assumptions!K15</f>
        <v>1.3</v>
      </c>
      <c r="L9" s="4" t="n">
        <f aca="false">Assumptions!L15</f>
        <v>1.3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-58.4786268</v>
      </c>
      <c r="D10" s="0" t="n">
        <f aca="false">-D6*D9/100</f>
        <v>-49.0976804175</v>
      </c>
      <c r="E10" s="0" t="n">
        <f aca="false">-E6*E9/100</f>
        <v>-44.62601475486</v>
      </c>
      <c r="F10" s="0" t="n">
        <f aca="false">-F6*F9/100</f>
        <v>-43.6888684450079</v>
      </c>
      <c r="G10" s="0" t="n">
        <f aca="false">-G6*G9/100</f>
        <v>-46.5317655273938</v>
      </c>
      <c r="H10" s="0" t="n">
        <f aca="false">-H6*H9/100</f>
        <v>-46.9970831826678</v>
      </c>
      <c r="I10" s="0" t="n">
        <f aca="false">-I6*I9/100</f>
        <v>-47.4670540144944</v>
      </c>
      <c r="J10" s="0" t="n">
        <f aca="false">-J6*J9/100</f>
        <v>-47.9417245546394</v>
      </c>
      <c r="K10" s="0" t="n">
        <f aca="false">-K6*K9/100</f>
        <v>-48.4211418001858</v>
      </c>
      <c r="L10" s="0" t="n">
        <f aca="false">-L6*L9/100</f>
        <v>-48.9053532181876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2865.4527132</v>
      </c>
      <c r="D11" s="0" t="n">
        <f aca="false">D8+D10+D24</f>
        <v>1827.94440939</v>
      </c>
      <c r="E11" s="0" t="n">
        <f aca="false">E8+E10+E24</f>
        <v>1265.46627554853</v>
      </c>
      <c r="F11" s="0" t="n">
        <f aca="false">F8+F10+F24</f>
        <v>1204.56451569808</v>
      </c>
      <c r="G11" s="0" t="n">
        <f aca="false">G8+G10+G24</f>
        <v>1463.96093082339</v>
      </c>
      <c r="H11" s="0" t="n">
        <f aca="false">H8+H10+H24</f>
        <v>1438.8337774386</v>
      </c>
      <c r="I11" s="0" t="n">
        <f aca="false">I8+I10+I24</f>
        <v>1416.7089967403</v>
      </c>
      <c r="J11" s="0" t="n">
        <f aca="false">J8+J10+J24</f>
        <v>1393.99783705028</v>
      </c>
      <c r="K11" s="0" t="n">
        <f aca="false">K8+K10+K24</f>
        <v>1370.6907832668</v>
      </c>
      <c r="L11" s="0" t="n">
        <f aca="false">L8+L10+L24</f>
        <v>1346.77818862394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-657.8845515</v>
      </c>
      <c r="D12" s="4" t="n">
        <f aca="false">-D6*Assumptions!D17/100</f>
        <v>-642.046590075</v>
      </c>
      <c r="E12" s="4" t="n">
        <f aca="false">-E6*Assumptions!E17/100</f>
        <v>-637.514496498</v>
      </c>
      <c r="F12" s="4" t="n">
        <f aca="false">-F6*Assumptions!F17/100</f>
        <v>-686.539361278696</v>
      </c>
      <c r="G12" s="4" t="n">
        <f aca="false">-G6*Assumptions!G17/100</f>
        <v>-751.666981596362</v>
      </c>
      <c r="H12" s="4" t="n">
        <f aca="false">-H6*Assumptions!H17/100</f>
        <v>-759.183651412325</v>
      </c>
      <c r="I12" s="4" t="n">
        <f aca="false">-I6*Assumptions!I17/100</f>
        <v>-766.775487926448</v>
      </c>
      <c r="J12" s="4" t="n">
        <f aca="false">-J6*Assumptions!J17/100</f>
        <v>-774.443242805713</v>
      </c>
      <c r="K12" s="4" t="n">
        <f aca="false">-K6*Assumptions!K17/100</f>
        <v>-782.18767523377</v>
      </c>
      <c r="L12" s="4" t="n">
        <f aca="false">-L6*Assumptions!L17/100</f>
        <v>-790.009551986108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2207.5681617</v>
      </c>
      <c r="D13" s="0" t="n">
        <f aca="false">D11+D12</f>
        <v>1185.897819315</v>
      </c>
      <c r="E13" s="0" t="n">
        <f aca="false">E11+E12</f>
        <v>627.95177905053</v>
      </c>
      <c r="F13" s="0" t="n">
        <f aca="false">F11+F12</f>
        <v>518.02515441938</v>
      </c>
      <c r="G13" s="0" t="n">
        <f aca="false">G11+G12</f>
        <v>712.293949227028</v>
      </c>
      <c r="H13" s="0" t="n">
        <f aca="false">H11+H12</f>
        <v>679.650126026272</v>
      </c>
      <c r="I13" s="0" t="n">
        <f aca="false">I11+I12</f>
        <v>649.933508813847</v>
      </c>
      <c r="J13" s="0" t="n">
        <f aca="false">J11+J12</f>
        <v>619.55459424457</v>
      </c>
      <c r="K13" s="0" t="n">
        <f aca="false">K11+K12</f>
        <v>588.503108033027</v>
      </c>
      <c r="L13" s="0" t="n">
        <f aca="false">L11+L12</f>
        <v>556.768636637828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40</v>
      </c>
      <c r="D14" s="4" t="n">
        <f aca="false">Assumptions!D19</f>
        <v>42</v>
      </c>
      <c r="E14" s="4" t="n">
        <f aca="false">Assumptions!E19</f>
        <v>43</v>
      </c>
      <c r="F14" s="4" t="n">
        <f aca="false">Assumptions!F19</f>
        <v>43</v>
      </c>
      <c r="G14" s="4" t="n">
        <f aca="false">Assumptions!G19</f>
        <v>43</v>
      </c>
      <c r="H14" s="4" t="n">
        <f aca="false">Assumptions!H19</f>
        <v>43</v>
      </c>
      <c r="I14" s="4" t="n">
        <f aca="false">Assumptions!I19</f>
        <v>43</v>
      </c>
      <c r="J14" s="4" t="n">
        <f aca="false">Assumptions!J19</f>
        <v>43</v>
      </c>
      <c r="K14" s="4" t="n">
        <f aca="false">Assumptions!K19</f>
        <v>43</v>
      </c>
      <c r="L14" s="4" t="n">
        <f aca="false">Assumptions!L19</f>
        <v>43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1324.54089702</v>
      </c>
      <c r="D15" s="0" t="n">
        <f aca="false">D13-MAX(0,D13)*D14/100</f>
        <v>687.8207352027</v>
      </c>
      <c r="E15" s="0" t="n">
        <f aca="false">E13-MAX(0,E13)*E14/100</f>
        <v>357.932514058802</v>
      </c>
      <c r="F15" s="0" t="n">
        <f aca="false">F13-MAX(0,F13)*F14/100</f>
        <v>295.274338019046</v>
      </c>
      <c r="G15" s="0" t="n">
        <f aca="false">G13-MAX(0,G13)*G14/100</f>
        <v>406.007551059406</v>
      </c>
      <c r="H15" s="0" t="n">
        <f aca="false">H13-MAX(0,H13)*H14/100</f>
        <v>387.400571834975</v>
      </c>
      <c r="I15" s="0" t="n">
        <f aca="false">I13-MAX(0,I13)*I14/100</f>
        <v>370.462100023893</v>
      </c>
      <c r="J15" s="0" t="n">
        <f aca="false">J13-MAX(0,J13)*J14/100</f>
        <v>353.146118719405</v>
      </c>
      <c r="K15" s="0" t="n">
        <f aca="false">K13-MAX(0,K13)*K14/100</f>
        <v>335.446771578826</v>
      </c>
      <c r="L15" s="0" t="n">
        <f aca="false">L13-MAX(0,L13)*L14/100</f>
        <v>317.358122883562</v>
      </c>
    </row>
    <row r="16" customFormat="false" ht="15" hidden="false" customHeight="false" outlineLevel="0" collapsed="false">
      <c r="A16" s="0" t="s">
        <v>125</v>
      </c>
      <c r="C16" s="0" t="n">
        <f aca="false">-C12</f>
        <v>657.8845515</v>
      </c>
      <c r="D16" s="0" t="n">
        <f aca="false">-D12</f>
        <v>642.046590075</v>
      </c>
      <c r="E16" s="0" t="n">
        <f aca="false">-E12</f>
        <v>637.514496498</v>
      </c>
      <c r="F16" s="0" t="n">
        <f aca="false">-F12</f>
        <v>686.539361278696</v>
      </c>
      <c r="G16" s="0" t="n">
        <f aca="false">-G12</f>
        <v>751.666981596362</v>
      </c>
      <c r="H16" s="0" t="n">
        <f aca="false">-H12</f>
        <v>759.183651412325</v>
      </c>
      <c r="I16" s="0" t="n">
        <f aca="false">-I12</f>
        <v>766.775487926448</v>
      </c>
      <c r="J16" s="0" t="n">
        <f aca="false">-J12</f>
        <v>774.443242805713</v>
      </c>
      <c r="K16" s="0" t="n">
        <f aca="false">-K12</f>
        <v>782.18767523377</v>
      </c>
      <c r="L16" s="0" t="n">
        <f aca="false">-L12</f>
        <v>790.009551986108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-648.1381137</v>
      </c>
      <c r="D17" s="4" t="n">
        <f aca="false">-D6*Assumptions!D18/100</f>
        <v>-1000.8373315875</v>
      </c>
      <c r="E17" s="4" t="n">
        <f aca="false">-E6*Assumptions!E18/100</f>
        <v>-949.89659978202</v>
      </c>
      <c r="F17" s="4" t="n">
        <f aca="false">-F6*Assumptions!F18/100</f>
        <v>-649.091759754404</v>
      </c>
      <c r="G17" s="4" t="n">
        <f aca="false">-G6*Assumptions!G18/100</f>
        <v>-601.333585277089</v>
      </c>
      <c r="H17" s="4" t="n">
        <f aca="false">-H6*Assumptions!H18/100</f>
        <v>-524.198235498986</v>
      </c>
      <c r="I17" s="4" t="n">
        <f aca="false">-I6*Assumptions!I18/100</f>
        <v>-529.440217853976</v>
      </c>
      <c r="J17" s="4" t="n">
        <f aca="false">-J6*Assumptions!J18/100</f>
        <v>-534.734620032516</v>
      </c>
      <c r="K17" s="4" t="n">
        <f aca="false">-K6*Assumptions!K18/100</f>
        <v>-540.081966232841</v>
      </c>
      <c r="L17" s="4" t="n">
        <f aca="false">-L6*Assumptions!L18/100</f>
        <v>-545.48278589517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-19.179567</v>
      </c>
      <c r="D18" s="4" t="n">
        <f aca="false">(D6-C6)*Assumptions!$B$23/100</f>
        <v>32.894227575</v>
      </c>
      <c r="E18" s="4" t="n">
        <f aca="false">(E6-D6)*Assumptions!$B$23/100</f>
        <v>17.6751649503</v>
      </c>
      <c r="F18" s="4" t="n">
        <f aca="false">(F6-E6)*Assumptions!$B$23/100</f>
        <v>2.0081706639687</v>
      </c>
      <c r="G18" s="4" t="n">
        <f aca="false">(G6-F6)*Assumptions!$B$23/100</f>
        <v>-13.7619935601775</v>
      </c>
      <c r="H18" s="4" t="n">
        <f aca="false">(H6-G6)*Assumptions!$B$23/100</f>
        <v>-1.07380997370909</v>
      </c>
      <c r="I18" s="4" t="n">
        <f aca="false">(I6-H6)*Assumptions!$B$23/100</f>
        <v>-1.08454807344619</v>
      </c>
      <c r="J18" s="4" t="n">
        <f aca="false">(J6-I6)*Assumptions!$B$23/100</f>
        <v>-1.09539355418064</v>
      </c>
      <c r="K18" s="4" t="n">
        <f aca="false">(K6-J6)*Assumptions!$B$23/100</f>
        <v>-1.10634748972245</v>
      </c>
      <c r="L18" s="4" t="n">
        <f aca="false">(L6-K6)*Assumptions!$B$23/100</f>
        <v>-1.11741096461967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1315.10776782</v>
      </c>
      <c r="D19" s="0" t="n">
        <f aca="false">D15+D16+D17+D18</f>
        <v>361.9242212652</v>
      </c>
      <c r="E19" s="0" t="n">
        <f aca="false">E15+E16+E17+E18</f>
        <v>63.2255757250821</v>
      </c>
      <c r="F19" s="0" t="n">
        <f aca="false">F15+F16+F17+F18</f>
        <v>334.730110207308</v>
      </c>
      <c r="G19" s="0" t="n">
        <f aca="false">G15+G16+G17+G18</f>
        <v>542.578953818501</v>
      </c>
      <c r="H19" s="0" t="n">
        <f aca="false">H15+H16+H17+H18</f>
        <v>621.312177774605</v>
      </c>
      <c r="I19" s="0" t="n">
        <f aca="false">I15+I16+I17+I18</f>
        <v>606.712822022919</v>
      </c>
      <c r="J19" s="0" t="n">
        <f aca="false">J15+J16+J17+J18</f>
        <v>591.759347938421</v>
      </c>
      <c r="K19" s="0" t="n">
        <f aca="false">K15+K16+K17+K18</f>
        <v>576.446133090032</v>
      </c>
      <c r="L19" s="0" t="n">
        <f aca="false">L15+L16+L17+L18</f>
        <v>560.767478009881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1184.78177281081</v>
      </c>
      <c r="D21" s="0" t="n">
        <f aca="false">D19*D20</f>
        <v>293.745817113221</v>
      </c>
      <c r="E21" s="0" t="n">
        <f aca="false">E19*E20</f>
        <v>46.2299960479706</v>
      </c>
      <c r="F21" s="0" t="n">
        <f aca="false">F19*F20</f>
        <v>220.497091572523</v>
      </c>
      <c r="G21" s="0" t="n">
        <f aca="false">G19*G20</f>
        <v>321.994200720213</v>
      </c>
      <c r="H21" s="0" t="n">
        <f aca="false">H19*H20</f>
        <v>332.178862197563</v>
      </c>
      <c r="I21" s="0" t="n">
        <f aca="false">I19*I20</f>
        <v>292.228333722634</v>
      </c>
      <c r="J21" s="0" t="n">
        <f aca="false">J19*J20</f>
        <v>256.780060502521</v>
      </c>
      <c r="K21" s="0" t="n">
        <f aca="false">K19*K20</f>
        <v>225.347072825496</v>
      </c>
      <c r="L21" s="0" t="n">
        <f aca="false">L19*L20</f>
        <v>197.493601956582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0.8</v>
      </c>
      <c r="D23" s="4" t="n">
        <f aca="false">Assumptions!D16</f>
        <v>0.9</v>
      </c>
      <c r="E23" s="4" t="n">
        <f aca="false">Assumptions!E16</f>
        <v>1</v>
      </c>
      <c r="F23" s="4" t="n">
        <f aca="false">Assumptions!F16</f>
        <v>1</v>
      </c>
      <c r="G23" s="4" t="n">
        <f aca="false">Assumptions!G16</f>
        <v>0.9</v>
      </c>
      <c r="H23" s="4" t="n">
        <f aca="false">Assumptions!H16</f>
        <v>0.9</v>
      </c>
      <c r="I23" s="4" t="n">
        <f aca="false">Assumptions!I16</f>
        <v>0.9</v>
      </c>
      <c r="J23" s="4" t="n">
        <f aca="false">Assumptions!J16</f>
        <v>0.9</v>
      </c>
      <c r="K23" s="4" t="n">
        <f aca="false">Assumptions!K16</f>
        <v>0.9</v>
      </c>
      <c r="L23" s="4" t="n">
        <f aca="false">Assumptions!L16</f>
        <v>0.9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-38.9857512</v>
      </c>
      <c r="D24" s="0" t="n">
        <f aca="false">-D6*D23/100</f>
        <v>-33.9907018275</v>
      </c>
      <c r="E24" s="0" t="n">
        <f aca="false">-E6*E23/100</f>
        <v>-31.8757248249</v>
      </c>
      <c r="F24" s="0" t="n">
        <f aca="false">-F6*F23/100</f>
        <v>-31.2063346035771</v>
      </c>
      <c r="G24" s="0" t="n">
        <f aca="false">-G6*G23/100</f>
        <v>-32.2142992112726</v>
      </c>
      <c r="H24" s="0" t="n">
        <f aca="false">-H6*H23/100</f>
        <v>-32.5364422033854</v>
      </c>
      <c r="I24" s="0" t="n">
        <f aca="false">-I6*I23/100</f>
        <v>-32.8618066254192</v>
      </c>
      <c r="J24" s="0" t="n">
        <f aca="false">-J6*J23/100</f>
        <v>-33.1904246916734</v>
      </c>
      <c r="K24" s="0" t="n">
        <f aca="false">-K6*K23/100</f>
        <v>-33.5223289385901</v>
      </c>
      <c r="L24" s="0" t="n">
        <f aca="false">-L6*L23/100</f>
        <v>-33.857552227976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3371.27680946953</v>
      </c>
    </row>
    <row r="31" customFormat="false" ht="15" hidden="false" customHeight="false" outlineLevel="0" collapsed="false">
      <c r="A31" s="0" t="s">
        <v>134</v>
      </c>
      <c r="B31" s="0" t="n">
        <f aca="false">L19</f>
        <v>560.767478009881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5991.35779136872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5607.67478009881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5607.67478009881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1974.93601956582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5346.21282903535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5600.21282903535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1711.31453089447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-0.585236420044967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286.501313043233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184.021704499106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1855.09708016933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4216.14066800021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1286.10642248174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22.6</v>
      </c>
      <c r="D5" s="4" t="n">
        <f aca="false">Assumptions!D27</f>
        <v>-7.6</v>
      </c>
      <c r="E5" s="4" t="n">
        <f aca="false">Assumptions!E27</f>
        <v>-8.1</v>
      </c>
      <c r="F5" s="4" t="n">
        <f aca="false">Assumptions!F27</f>
        <v>7</v>
      </c>
      <c r="G5" s="4" t="n">
        <f aca="false">Assumptions!G27</f>
        <v>4.9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4233.9</v>
      </c>
      <c r="C6" s="0" t="n">
        <f aca="false">B6*(1+C5/100)</f>
        <v>5190.7614</v>
      </c>
      <c r="D6" s="0" t="n">
        <f aca="false">C6*(1+D5/100)</f>
        <v>4796.2635336</v>
      </c>
      <c r="E6" s="0" t="n">
        <f aca="false">D6*(1+E5/100)</f>
        <v>4407.7661873784</v>
      </c>
      <c r="F6" s="0" t="n">
        <f aca="false">E6*(1+F5/100)</f>
        <v>4716.30982049489</v>
      </c>
      <c r="G6" s="0" t="n">
        <f aca="false">F6*(1+G5/100)</f>
        <v>4947.40900169914</v>
      </c>
      <c r="H6" s="0" t="n">
        <f aca="false">G6*(1+H5/100)</f>
        <v>5021.62013672462</v>
      </c>
      <c r="I6" s="0" t="n">
        <f aca="false">H6*(1+I5/100)</f>
        <v>5096.94443877549</v>
      </c>
      <c r="J6" s="0" t="n">
        <f aca="false">I6*(1+J5/100)</f>
        <v>5173.39860535713</v>
      </c>
      <c r="K6" s="0" t="n">
        <f aca="false">J6*(1+K5/100)</f>
        <v>5250.99958443748</v>
      </c>
      <c r="L6" s="0" t="n">
        <f aca="false">K6*(1+L5/100)</f>
        <v>5329.76457820404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61.9</v>
      </c>
      <c r="D7" s="4" t="n">
        <f aca="false">Assumptions!D28</f>
        <v>57.5</v>
      </c>
      <c r="E7" s="4" t="n">
        <f aca="false">Assumptions!E28</f>
        <v>52.8</v>
      </c>
      <c r="F7" s="4" t="n">
        <f aca="false">Assumptions!F28</f>
        <v>53.7</v>
      </c>
      <c r="G7" s="4" t="n">
        <f aca="false">Assumptions!G28</f>
        <v>52.9</v>
      </c>
      <c r="H7" s="4" t="n">
        <f aca="false">Assumptions!H28</f>
        <v>52.4</v>
      </c>
      <c r="I7" s="4" t="n">
        <f aca="false">Assumptions!I28</f>
        <v>51.9</v>
      </c>
      <c r="J7" s="4" t="n">
        <f aca="false">Assumptions!J28</f>
        <v>51.4</v>
      </c>
      <c r="K7" s="4" t="n">
        <f aca="false">Assumptions!K28</f>
        <v>50.8</v>
      </c>
      <c r="L7" s="4" t="n">
        <f aca="false">Assumptions!L28</f>
        <v>50.3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3213.0813066</v>
      </c>
      <c r="D8" s="0" t="n">
        <f aca="false">D6*D7/100</f>
        <v>2757.85153182</v>
      </c>
      <c r="E8" s="0" t="n">
        <f aca="false">E6*E7/100</f>
        <v>2327.3005469358</v>
      </c>
      <c r="F8" s="0" t="n">
        <f aca="false">F6*F7/100</f>
        <v>2532.65837360576</v>
      </c>
      <c r="G8" s="0" t="n">
        <f aca="false">G6*G7/100</f>
        <v>2617.17936189884</v>
      </c>
      <c r="H8" s="0" t="n">
        <f aca="false">H6*H7/100</f>
        <v>2631.3289516437</v>
      </c>
      <c r="I8" s="0" t="n">
        <f aca="false">I6*I7/100</f>
        <v>2645.31416372448</v>
      </c>
      <c r="J8" s="0" t="n">
        <f aca="false">J6*J7/100</f>
        <v>2659.12688315356</v>
      </c>
      <c r="K8" s="0" t="n">
        <f aca="false">K6*K7/100</f>
        <v>2667.50778889424</v>
      </c>
      <c r="L8" s="0" t="n">
        <f aca="false">L6*L7/100</f>
        <v>2680.87158283663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1.2</v>
      </c>
      <c r="D9" s="4" t="n">
        <f aca="false">Assumptions!D29</f>
        <v>1.2</v>
      </c>
      <c r="E9" s="4" t="n">
        <f aca="false">Assumptions!E29</f>
        <v>1.2</v>
      </c>
      <c r="F9" s="4" t="n">
        <f aca="false">Assumptions!F29</f>
        <v>1.1</v>
      </c>
      <c r="G9" s="4" t="n">
        <f aca="false">Assumptions!G29</f>
        <v>1.1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-62.2891368</v>
      </c>
      <c r="D10" s="0" t="n">
        <f aca="false">-D6*D9/100</f>
        <v>-57.5551624032</v>
      </c>
      <c r="E10" s="0" t="n">
        <f aca="false">-E6*E9/100</f>
        <v>-52.8931942485408</v>
      </c>
      <c r="F10" s="0" t="n">
        <f aca="false">-F6*F9/100</f>
        <v>-51.8794080254438</v>
      </c>
      <c r="G10" s="0" t="n">
        <f aca="false">-G6*G9/100</f>
        <v>-54.4214990186905</v>
      </c>
      <c r="H10" s="0" t="n">
        <f aca="false">-H6*H9/100</f>
        <v>-50.2162013672462</v>
      </c>
      <c r="I10" s="0" t="n">
        <f aca="false">-I6*I9/100</f>
        <v>-50.9694443877549</v>
      </c>
      <c r="J10" s="0" t="n">
        <f aca="false">-J6*J9/100</f>
        <v>-51.7339860535713</v>
      </c>
      <c r="K10" s="0" t="n">
        <f aca="false">-K6*K9/100</f>
        <v>-52.5099958443748</v>
      </c>
      <c r="L10" s="0" t="n">
        <f aca="false">-L6*L9/100</f>
        <v>-53.2976457820404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3114.45684</v>
      </c>
      <c r="D11" s="0" t="n">
        <f aca="false">D8+D10+D24</f>
        <v>2666.7225246816</v>
      </c>
      <c r="E11" s="0" t="n">
        <f aca="false">E8+E10+E24</f>
        <v>2243.55298937561</v>
      </c>
      <c r="F11" s="0" t="n">
        <f aca="false">F8+F10+F24</f>
        <v>2452.48110665734</v>
      </c>
      <c r="G11" s="0" t="n">
        <f aca="false">G8+G10+G24</f>
        <v>2533.07340886996</v>
      </c>
      <c r="H11" s="0" t="n">
        <f aca="false">H8+H10+H24</f>
        <v>2550.98302945611</v>
      </c>
      <c r="I11" s="0" t="n">
        <f aca="false">I8+I10+I24</f>
        <v>2563.76305270407</v>
      </c>
      <c r="J11" s="0" t="n">
        <f aca="false">J8+J10+J24</f>
        <v>2576.35250546785</v>
      </c>
      <c r="K11" s="0" t="n">
        <f aca="false">K8+K10+K24</f>
        <v>2583.49179554324</v>
      </c>
      <c r="L11" s="0" t="n">
        <f aca="false">L8+L10+L24</f>
        <v>2595.59534958537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-648.845175</v>
      </c>
      <c r="D12" s="4" t="n">
        <f aca="false">-D6*Assumptions!D31/100</f>
        <v>-671.476894704</v>
      </c>
      <c r="E12" s="4" t="n">
        <f aca="false">-E6*Assumptions!E31/100</f>
        <v>-705.242589980544</v>
      </c>
      <c r="F12" s="4" t="n">
        <f aca="false">-F6*Assumptions!F31/100</f>
        <v>-778.191120381657</v>
      </c>
      <c r="G12" s="4" t="n">
        <f aca="false">-G6*Assumptions!G31/100</f>
        <v>-816.322485280358</v>
      </c>
      <c r="H12" s="4" t="n">
        <f aca="false">-H6*Assumptions!H31/100</f>
        <v>-828.567322559563</v>
      </c>
      <c r="I12" s="4" t="n">
        <f aca="false">-I6*Assumptions!I31/100</f>
        <v>-840.995832397956</v>
      </c>
      <c r="J12" s="4" t="n">
        <f aca="false">-J6*Assumptions!J31/100</f>
        <v>-853.610769883926</v>
      </c>
      <c r="K12" s="4" t="n">
        <f aca="false">-K6*Assumptions!K31/100</f>
        <v>-866.414931432185</v>
      </c>
      <c r="L12" s="4" t="n">
        <f aca="false">-L6*Assumptions!L31/100</f>
        <v>-879.411155403667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2465.611665</v>
      </c>
      <c r="D13" s="0" t="n">
        <f aca="false">D11+D12</f>
        <v>1995.2456299776</v>
      </c>
      <c r="E13" s="0" t="n">
        <f aca="false">E11+E12</f>
        <v>1538.31039939506</v>
      </c>
      <c r="F13" s="0" t="n">
        <f aca="false">F11+F12</f>
        <v>1674.28998627569</v>
      </c>
      <c r="G13" s="0" t="n">
        <f aca="false">G11+G12</f>
        <v>1716.7509235896</v>
      </c>
      <c r="H13" s="0" t="n">
        <f aca="false">H11+H12</f>
        <v>1722.41570689655</v>
      </c>
      <c r="I13" s="0" t="n">
        <f aca="false">I11+I12</f>
        <v>1722.76722030612</v>
      </c>
      <c r="J13" s="0" t="n">
        <f aca="false">J11+J12</f>
        <v>1722.74173558392</v>
      </c>
      <c r="K13" s="0" t="n">
        <f aca="false">K11+K12</f>
        <v>1717.07686411106</v>
      </c>
      <c r="L13" s="0" t="n">
        <f aca="false">L11+L12</f>
        <v>1716.1841941817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40</v>
      </c>
      <c r="D14" s="4" t="n">
        <f aca="false">Assumptions!D33</f>
        <v>40</v>
      </c>
      <c r="E14" s="4" t="n">
        <f aca="false">Assumptions!E33</f>
        <v>40</v>
      </c>
      <c r="F14" s="4" t="n">
        <f aca="false">Assumptions!F33</f>
        <v>40</v>
      </c>
      <c r="G14" s="4" t="n">
        <f aca="false">Assumptions!G33</f>
        <v>40</v>
      </c>
      <c r="H14" s="4" t="n">
        <f aca="false">Assumptions!H33</f>
        <v>40</v>
      </c>
      <c r="I14" s="4" t="n">
        <f aca="false">Assumptions!I33</f>
        <v>40</v>
      </c>
      <c r="J14" s="4" t="n">
        <f aca="false">Assumptions!J33</f>
        <v>40</v>
      </c>
      <c r="K14" s="4" t="n">
        <f aca="false">Assumptions!K33</f>
        <v>40</v>
      </c>
      <c r="L14" s="4" t="n">
        <f aca="false">Assumptions!L33</f>
        <v>40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1479.366999</v>
      </c>
      <c r="D15" s="0" t="n">
        <f aca="false">D13-MAX(0,D13)*D14/100</f>
        <v>1197.14737798656</v>
      </c>
      <c r="E15" s="0" t="n">
        <f aca="false">E13-MAX(0,E13)*E14/100</f>
        <v>922.986239637037</v>
      </c>
      <c r="F15" s="0" t="n">
        <f aca="false">F13-MAX(0,F13)*F14/100</f>
        <v>1004.57399176541</v>
      </c>
      <c r="G15" s="0" t="n">
        <f aca="false">G13-MAX(0,G13)*G14/100</f>
        <v>1030.05055415376</v>
      </c>
      <c r="H15" s="0" t="n">
        <f aca="false">H13-MAX(0,H13)*H14/100</f>
        <v>1033.44942413793</v>
      </c>
      <c r="I15" s="0" t="n">
        <f aca="false">I13-MAX(0,I13)*I14/100</f>
        <v>1033.66033218367</v>
      </c>
      <c r="J15" s="0" t="n">
        <f aca="false">J13-MAX(0,J13)*J14/100</f>
        <v>1033.64504135035</v>
      </c>
      <c r="K15" s="0" t="n">
        <f aca="false">K13-MAX(0,K13)*K14/100</f>
        <v>1030.24611846663</v>
      </c>
      <c r="L15" s="0" t="n">
        <f aca="false">L13-MAX(0,L13)*L14/100</f>
        <v>1029.71051650902</v>
      </c>
    </row>
    <row r="16" customFormat="false" ht="15" hidden="false" customHeight="false" outlineLevel="0" collapsed="false">
      <c r="A16" s="0" t="s">
        <v>125</v>
      </c>
      <c r="C16" s="0" t="n">
        <f aca="false">-C12</f>
        <v>648.845175</v>
      </c>
      <c r="D16" s="0" t="n">
        <f aca="false">-D12</f>
        <v>671.476894704</v>
      </c>
      <c r="E16" s="0" t="n">
        <f aca="false">-E12</f>
        <v>705.242589980544</v>
      </c>
      <c r="F16" s="0" t="n">
        <f aca="false">-F12</f>
        <v>778.191120381657</v>
      </c>
      <c r="G16" s="0" t="n">
        <f aca="false">-G12</f>
        <v>816.322485280358</v>
      </c>
      <c r="H16" s="0" t="n">
        <f aca="false">-H12</f>
        <v>828.567322559563</v>
      </c>
      <c r="I16" s="0" t="n">
        <f aca="false">-I12</f>
        <v>840.995832397956</v>
      </c>
      <c r="J16" s="0" t="n">
        <f aca="false">-J12</f>
        <v>853.610769883926</v>
      </c>
      <c r="K16" s="0" t="n">
        <f aca="false">-K12</f>
        <v>866.414931432185</v>
      </c>
      <c r="L16" s="0" t="n">
        <f aca="false">-L12</f>
        <v>879.411155403667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-648.845175</v>
      </c>
      <c r="D17" s="4" t="n">
        <f aca="false">-D6*Assumptions!D32/100</f>
        <v>-1055.177977392</v>
      </c>
      <c r="E17" s="4" t="n">
        <f aca="false">-E6*Assumptions!E32/100</f>
        <v>-1035.82505403392</v>
      </c>
      <c r="F17" s="4" t="n">
        <f aca="false">-F6*Assumptions!F32/100</f>
        <v>-683.864923971759</v>
      </c>
      <c r="G17" s="4" t="n">
        <f aca="false">-G6*Assumptions!G32/100</f>
        <v>-643.163170220888</v>
      </c>
      <c r="H17" s="4" t="n">
        <f aca="false">-H6*Assumptions!H32/100</f>
        <v>-652.810617774201</v>
      </c>
      <c r="I17" s="4" t="n">
        <f aca="false">-I6*Assumptions!I32/100</f>
        <v>-662.602777040814</v>
      </c>
      <c r="J17" s="4" t="n">
        <f aca="false">-J6*Assumptions!J32/100</f>
        <v>-672.541818696426</v>
      </c>
      <c r="K17" s="4" t="n">
        <f aca="false">-K6*Assumptions!K32/100</f>
        <v>-682.629945976873</v>
      </c>
      <c r="L17" s="4" t="n">
        <f aca="false">-L6*Assumptions!L32/100</f>
        <v>-692.869395166526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-28.705842</v>
      </c>
      <c r="D18" s="4" t="n">
        <f aca="false">(D6-C6)*Assumptions!$B$37/100</f>
        <v>11.834935992</v>
      </c>
      <c r="E18" s="4" t="n">
        <f aca="false">(E6-D6)*Assumptions!$B$37/100</f>
        <v>11.654920386648</v>
      </c>
      <c r="F18" s="4" t="n">
        <f aca="false">(F6-E6)*Assumptions!$B$37/100</f>
        <v>-9.25630899349465</v>
      </c>
      <c r="G18" s="4" t="n">
        <f aca="false">(G6-F6)*Assumptions!$B$37/100</f>
        <v>-6.93297543612748</v>
      </c>
      <c r="H18" s="4" t="n">
        <f aca="false">(H6-G6)*Assumptions!$B$37/100</f>
        <v>-2.22633405076459</v>
      </c>
      <c r="I18" s="4" t="n">
        <f aca="false">(I6-H6)*Assumptions!$B$37/100</f>
        <v>-2.25972906152607</v>
      </c>
      <c r="J18" s="4" t="n">
        <f aca="false">(J6-I6)*Assumptions!$B$37/100</f>
        <v>-2.29362499744897</v>
      </c>
      <c r="K18" s="4" t="n">
        <f aca="false">(K6-J6)*Assumptions!$B$37/100</f>
        <v>-2.32802937241069</v>
      </c>
      <c r="L18" s="4" t="n">
        <f aca="false">(L6-K6)*Assumptions!$B$37/100</f>
        <v>-2.36294981299686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1450.661157</v>
      </c>
      <c r="D19" s="0" t="n">
        <f aca="false">D15+D16+D17+D18</f>
        <v>825.28123129056</v>
      </c>
      <c r="E19" s="0" t="n">
        <f aca="false">E15+E16+E17+E18</f>
        <v>604.058695970305</v>
      </c>
      <c r="F19" s="0" t="n">
        <f aca="false">F15+F16+F17+F18</f>
        <v>1089.64387918181</v>
      </c>
      <c r="G19" s="0" t="n">
        <f aca="false">G15+G16+G17+G18</f>
        <v>1196.2768937771</v>
      </c>
      <c r="H19" s="0" t="n">
        <f aca="false">H15+H16+H17+H18</f>
        <v>1206.97979487252</v>
      </c>
      <c r="I19" s="0" t="n">
        <f aca="false">I15+I16+I17+I18</f>
        <v>1209.79365847929</v>
      </c>
      <c r="J19" s="0" t="n">
        <f aca="false">J15+J16+J17+J18</f>
        <v>1212.4203675404</v>
      </c>
      <c r="K19" s="0" t="n">
        <f aca="false">K15+K16+K17+K18</f>
        <v>1211.70307454954</v>
      </c>
      <c r="L19" s="0" t="n">
        <f aca="false">L15+L16+L17+L18</f>
        <v>1213.88932693317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1306.90194324324</v>
      </c>
      <c r="D21" s="0" t="n">
        <f aca="false">D19*D20</f>
        <v>669.816761050694</v>
      </c>
      <c r="E21" s="0" t="n">
        <f aca="false">E19*E20</f>
        <v>441.682512293378</v>
      </c>
      <c r="F21" s="0" t="n">
        <f aca="false">F19*F20</f>
        <v>717.782174004573</v>
      </c>
      <c r="G21" s="0" t="n">
        <f aca="false">G19*G20</f>
        <v>709.932111337789</v>
      </c>
      <c r="H21" s="0" t="n">
        <f aca="false">H19*H20</f>
        <v>645.300686672925</v>
      </c>
      <c r="I21" s="0" t="n">
        <f aca="false">I19*I20</f>
        <v>582.707291048904</v>
      </c>
      <c r="J21" s="0" t="n">
        <f aca="false">J19*J20</f>
        <v>526.101322127166</v>
      </c>
      <c r="K21" s="0" t="n">
        <f aca="false">K19*K20</f>
        <v>473.684747471008</v>
      </c>
      <c r="L21" s="0" t="n">
        <f aca="false">L19*L20</f>
        <v>427.512979895845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0.7</v>
      </c>
      <c r="D23" s="4" t="n">
        <f aca="false">Assumptions!D30</f>
        <v>0.7</v>
      </c>
      <c r="E23" s="4" t="n">
        <f aca="false">Assumptions!E30</f>
        <v>0.7</v>
      </c>
      <c r="F23" s="4" t="n">
        <f aca="false">Assumptions!F30</f>
        <v>0.6</v>
      </c>
      <c r="G23" s="4" t="n">
        <f aca="false">Assumptions!G30</f>
        <v>0.6</v>
      </c>
      <c r="H23" s="4" t="n">
        <f aca="false">Assumptions!H30</f>
        <v>0.6</v>
      </c>
      <c r="I23" s="4" t="n">
        <f aca="false">Assumptions!I30</f>
        <v>0.6</v>
      </c>
      <c r="J23" s="4" t="n">
        <f aca="false">Assumptions!J30</f>
        <v>0.6</v>
      </c>
      <c r="K23" s="4" t="n">
        <f aca="false">Assumptions!K30</f>
        <v>0.6</v>
      </c>
      <c r="L23" s="4" t="n">
        <f aca="false">Assumptions!L30</f>
        <v>0.6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-36.3353298</v>
      </c>
      <c r="D24" s="0" t="n">
        <f aca="false">-D6*D23/100</f>
        <v>-33.5738447352</v>
      </c>
      <c r="E24" s="0" t="n">
        <f aca="false">-E6*E23/100</f>
        <v>-30.8543633116488</v>
      </c>
      <c r="F24" s="0" t="n">
        <f aca="false">-F6*F23/100</f>
        <v>-28.2978589229693</v>
      </c>
      <c r="G24" s="0" t="n">
        <f aca="false">-G6*G23/100</f>
        <v>-29.6844540101948</v>
      </c>
      <c r="H24" s="0" t="n">
        <f aca="false">-H6*H23/100</f>
        <v>-30.1297208203477</v>
      </c>
      <c r="I24" s="0" t="n">
        <f aca="false">-I6*I23/100</f>
        <v>-30.581666632653</v>
      </c>
      <c r="J24" s="0" t="n">
        <f aca="false">-J6*J23/100</f>
        <v>-31.0403916321428</v>
      </c>
      <c r="K24" s="0" t="n">
        <f aca="false">-K6*K23/100</f>
        <v>-31.5059975066249</v>
      </c>
      <c r="L24" s="0" t="n">
        <f aca="false">-L6*L23/100</f>
        <v>-31.9785874692243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6501.42252914553</v>
      </c>
    </row>
    <row r="31" customFormat="false" ht="15" hidden="false" customHeight="false" outlineLevel="0" collapsed="false">
      <c r="A31" s="0" t="s">
        <v>134</v>
      </c>
      <c r="B31" s="0" t="n">
        <f aca="false">L19</f>
        <v>1213.88932693317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12969.4491246017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12138.8932693317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12138.8932693317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4275.12979895845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10776.552328104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11030.552328104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3370.71912428151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-0.183054017382087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321.119834536309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200.549080564725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3530.1308505823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9126.64938397898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2453.1514679704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26.2</v>
      </c>
      <c r="D5" s="4" t="n">
        <f aca="false">Assumptions!D41</f>
        <v>1.4</v>
      </c>
      <c r="E5" s="4" t="n">
        <f aca="false">Assumptions!E41</f>
        <v>0.8</v>
      </c>
      <c r="F5" s="4" t="n">
        <f aca="false">Assumptions!F41</f>
        <v>15.4</v>
      </c>
      <c r="G5" s="4" t="n">
        <f aca="false">Assumptions!G41</f>
        <v>8.8</v>
      </c>
      <c r="H5" s="4" t="n">
        <f aca="false">Assumptions!H41</f>
        <v>2</v>
      </c>
      <c r="I5" s="4" t="n">
        <f aca="false">Assumptions!I41</f>
        <v>2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4233.9</v>
      </c>
      <c r="C6" s="0" t="n">
        <f aca="false">B6*(1+C5/100)</f>
        <v>5343.1818</v>
      </c>
      <c r="D6" s="0" t="n">
        <f aca="false">C6*(1+D5/100)</f>
        <v>5417.9863452</v>
      </c>
      <c r="E6" s="0" t="n">
        <f aca="false">D6*(1+E5/100)</f>
        <v>5461.3302359616</v>
      </c>
      <c r="F6" s="0" t="n">
        <f aca="false">E6*(1+F5/100)</f>
        <v>6302.37509229969</v>
      </c>
      <c r="G6" s="0" t="n">
        <f aca="false">F6*(1+G5/100)</f>
        <v>6856.98410042206</v>
      </c>
      <c r="H6" s="0" t="n">
        <f aca="false">G6*(1+H5/100)</f>
        <v>6994.1237824305</v>
      </c>
      <c r="I6" s="0" t="n">
        <f aca="false">H6*(1+I5/100)</f>
        <v>7134.00625807911</v>
      </c>
      <c r="J6" s="0" t="n">
        <f aca="false">I6*(1+J5/100)</f>
        <v>7276.68638324069</v>
      </c>
      <c r="K6" s="0" t="n">
        <f aca="false">J6*(1+K5/100)</f>
        <v>7422.22011090551</v>
      </c>
      <c r="L6" s="0" t="n">
        <f aca="false">K6*(1+L5/100)</f>
        <v>7570.66451312362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62.2</v>
      </c>
      <c r="D7" s="4" t="n">
        <f aca="false">Assumptions!D42</f>
        <v>60.4</v>
      </c>
      <c r="E7" s="4" t="n">
        <f aca="false">Assumptions!E42</f>
        <v>58.8</v>
      </c>
      <c r="F7" s="4" t="n">
        <f aca="false">Assumptions!F42</f>
        <v>61.3</v>
      </c>
      <c r="G7" s="4" t="n">
        <f aca="false">Assumptions!G42</f>
        <v>61.3</v>
      </c>
      <c r="H7" s="4" t="n">
        <f aca="false">Assumptions!H42</f>
        <v>61</v>
      </c>
      <c r="I7" s="4" t="n">
        <f aca="false">Assumptions!I42</f>
        <v>60.7</v>
      </c>
      <c r="J7" s="4" t="n">
        <f aca="false">Assumptions!J42</f>
        <v>60.4</v>
      </c>
      <c r="K7" s="4" t="n">
        <f aca="false">Assumptions!K42</f>
        <v>60.1</v>
      </c>
      <c r="L7" s="4" t="n">
        <f aca="false">Assumptions!L42</f>
        <v>59.8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3323.4590796</v>
      </c>
      <c r="D8" s="0" t="n">
        <f aca="false">D6*D7/100</f>
        <v>3272.4637525008</v>
      </c>
      <c r="E8" s="0" t="n">
        <f aca="false">E6*E7/100</f>
        <v>3211.26217874542</v>
      </c>
      <c r="F8" s="0" t="n">
        <f aca="false">F6*F7/100</f>
        <v>3863.35593157971</v>
      </c>
      <c r="G8" s="0" t="n">
        <f aca="false">G6*G7/100</f>
        <v>4203.33125355872</v>
      </c>
      <c r="H8" s="0" t="n">
        <f aca="false">H6*H7/100</f>
        <v>4266.4155072826</v>
      </c>
      <c r="I8" s="0" t="n">
        <f aca="false">I6*I7/100</f>
        <v>4330.34179865402</v>
      </c>
      <c r="J8" s="0" t="n">
        <f aca="false">J6*J7/100</f>
        <v>4395.11857547738</v>
      </c>
      <c r="K8" s="0" t="n">
        <f aca="false">K6*K7/100</f>
        <v>4460.75428665421</v>
      </c>
      <c r="L8" s="0" t="n">
        <f aca="false">L6*L7/100</f>
        <v>4527.25737884792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1.2</v>
      </c>
      <c r="D9" s="4" t="n">
        <f aca="false">Assumptions!D43</f>
        <v>1.2</v>
      </c>
      <c r="E9" s="4" t="n">
        <f aca="false">Assumptions!E43</f>
        <v>1.2</v>
      </c>
      <c r="F9" s="4" t="n">
        <f aca="false">Assumptions!F43</f>
        <v>1.1</v>
      </c>
      <c r="G9" s="4" t="n">
        <f aca="false">Assumptions!G43</f>
        <v>1.1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-64.1181816</v>
      </c>
      <c r="D10" s="0" t="n">
        <f aca="false">-D6*D9/100</f>
        <v>-65.0158361424</v>
      </c>
      <c r="E10" s="0" t="n">
        <f aca="false">-E6*E9/100</f>
        <v>-65.5359628315392</v>
      </c>
      <c r="F10" s="0" t="n">
        <f aca="false">-F6*F9/100</f>
        <v>-69.3261260152965</v>
      </c>
      <c r="G10" s="0" t="n">
        <f aca="false">-G6*G9/100</f>
        <v>-75.4268251046427</v>
      </c>
      <c r="H10" s="0" t="n">
        <f aca="false">-H6*H9/100</f>
        <v>-69.941237824305</v>
      </c>
      <c r="I10" s="0" t="n">
        <f aca="false">-I6*I9/100</f>
        <v>-71.3400625807911</v>
      </c>
      <c r="J10" s="0" t="n">
        <f aca="false">-J6*J9/100</f>
        <v>-72.7668638324069</v>
      </c>
      <c r="K10" s="0" t="n">
        <f aca="false">-K6*K9/100</f>
        <v>-74.2222011090551</v>
      </c>
      <c r="L10" s="0" t="n">
        <f aca="false">-L6*L9/100</f>
        <v>-75.7066451312362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3221.9386254</v>
      </c>
      <c r="D11" s="0" t="n">
        <f aca="false">D8+D10+D24</f>
        <v>3174.9399982872</v>
      </c>
      <c r="E11" s="0" t="n">
        <f aca="false">E8+E10+E24</f>
        <v>3112.95823449811</v>
      </c>
      <c r="F11" s="0" t="n">
        <f aca="false">F8+F10+F24</f>
        <v>3762.51793010291</v>
      </c>
      <c r="G11" s="0" t="n">
        <f aca="false">G8+G10+G24</f>
        <v>4093.61950795197</v>
      </c>
      <c r="H11" s="0" t="n">
        <f aca="false">H8+H10+H24</f>
        <v>4161.50365054615</v>
      </c>
      <c r="I11" s="0" t="n">
        <f aca="false">I8+I10+I24</f>
        <v>4223.33170478283</v>
      </c>
      <c r="J11" s="0" t="n">
        <f aca="false">J8+J10+J24</f>
        <v>4285.96827972877</v>
      </c>
      <c r="K11" s="0" t="n">
        <f aca="false">K8+K10+K24</f>
        <v>4349.42098499063</v>
      </c>
      <c r="L11" s="0" t="n">
        <f aca="false">L8+L10+L24</f>
        <v>4413.69741115107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-641.181816</v>
      </c>
      <c r="D12" s="4" t="n">
        <f aca="false">-D6*Assumptions!D45/100</f>
        <v>-677.24829315</v>
      </c>
      <c r="E12" s="4" t="n">
        <f aca="false">-E6*Assumptions!E45/100</f>
        <v>-709.972930675008</v>
      </c>
      <c r="F12" s="4" t="n">
        <f aca="false">-F6*Assumptions!F45/100</f>
        <v>-882.332512921956</v>
      </c>
      <c r="G12" s="4" t="n">
        <f aca="false">-G6*Assumptions!G45/100</f>
        <v>-994.262694561199</v>
      </c>
      <c r="H12" s="4" t="n">
        <f aca="false">-H6*Assumptions!H45/100</f>
        <v>-1014.14794845242</v>
      </c>
      <c r="I12" s="4" t="n">
        <f aca="false">-I6*Assumptions!I45/100</f>
        <v>-1034.43090742147</v>
      </c>
      <c r="J12" s="4" t="n">
        <f aca="false">-J6*Assumptions!J45/100</f>
        <v>-1055.1195255699</v>
      </c>
      <c r="K12" s="4" t="n">
        <f aca="false">-K6*Assumptions!K45/100</f>
        <v>-1076.2219160813</v>
      </c>
      <c r="L12" s="4" t="n">
        <f aca="false">-L6*Assumptions!L45/100</f>
        <v>-1097.74635440292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2580.7568094</v>
      </c>
      <c r="D13" s="0" t="n">
        <f aca="false">D11+D12</f>
        <v>2497.6917051372</v>
      </c>
      <c r="E13" s="0" t="n">
        <f aca="false">E11+E12</f>
        <v>2402.9853038231</v>
      </c>
      <c r="F13" s="0" t="n">
        <f aca="false">F11+F12</f>
        <v>2880.18541718096</v>
      </c>
      <c r="G13" s="0" t="n">
        <f aca="false">G11+G12</f>
        <v>3099.35681339077</v>
      </c>
      <c r="H13" s="0" t="n">
        <f aca="false">H11+H12</f>
        <v>3147.35570209372</v>
      </c>
      <c r="I13" s="0" t="n">
        <f aca="false">I11+I12</f>
        <v>3188.90079736136</v>
      </c>
      <c r="J13" s="0" t="n">
        <f aca="false">J11+J12</f>
        <v>3230.84875415887</v>
      </c>
      <c r="K13" s="0" t="n">
        <f aca="false">K11+K12</f>
        <v>3273.19906890933</v>
      </c>
      <c r="L13" s="0" t="n">
        <f aca="false">L11+L12</f>
        <v>3315.95105674814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39</v>
      </c>
      <c r="D14" s="4" t="n">
        <f aca="false">Assumptions!D47</f>
        <v>39</v>
      </c>
      <c r="E14" s="4" t="n">
        <f aca="false">Assumptions!E47</f>
        <v>39</v>
      </c>
      <c r="F14" s="4" t="n">
        <f aca="false">Assumptions!F47</f>
        <v>39</v>
      </c>
      <c r="G14" s="4" t="n">
        <f aca="false">Assumptions!G47</f>
        <v>39</v>
      </c>
      <c r="H14" s="4" t="n">
        <f aca="false">Assumptions!H47</f>
        <v>39</v>
      </c>
      <c r="I14" s="4" t="n">
        <f aca="false">Assumptions!I47</f>
        <v>39</v>
      </c>
      <c r="J14" s="4" t="n">
        <f aca="false">Assumptions!J47</f>
        <v>39</v>
      </c>
      <c r="K14" s="4" t="n">
        <f aca="false">Assumptions!K47</f>
        <v>39</v>
      </c>
      <c r="L14" s="4" t="n">
        <f aca="false">Assumptions!L47</f>
        <v>39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1574.261653734</v>
      </c>
      <c r="D15" s="0" t="n">
        <f aca="false">D13-MAX(0,D13)*D14/100</f>
        <v>1523.59194013369</v>
      </c>
      <c r="E15" s="0" t="n">
        <f aca="false">E13-MAX(0,E13)*E14/100</f>
        <v>1465.82103533209</v>
      </c>
      <c r="F15" s="0" t="n">
        <f aca="false">F13-MAX(0,F13)*F14/100</f>
        <v>1756.91310448038</v>
      </c>
      <c r="G15" s="0" t="n">
        <f aca="false">G13-MAX(0,G13)*G14/100</f>
        <v>1890.60765616837</v>
      </c>
      <c r="H15" s="0" t="n">
        <f aca="false">H13-MAX(0,H13)*H14/100</f>
        <v>1919.88697827717</v>
      </c>
      <c r="I15" s="0" t="n">
        <f aca="false">I13-MAX(0,I13)*I14/100</f>
        <v>1945.22948639043</v>
      </c>
      <c r="J15" s="0" t="n">
        <f aca="false">J13-MAX(0,J13)*J14/100</f>
        <v>1970.81774003691</v>
      </c>
      <c r="K15" s="0" t="n">
        <f aca="false">K13-MAX(0,K13)*K14/100</f>
        <v>1996.65143203469</v>
      </c>
      <c r="L15" s="0" t="n">
        <f aca="false">L13-MAX(0,L13)*L14/100</f>
        <v>2022.73014461637</v>
      </c>
    </row>
    <row r="16" customFormat="false" ht="15" hidden="false" customHeight="false" outlineLevel="0" collapsed="false">
      <c r="A16" s="0" t="s">
        <v>125</v>
      </c>
      <c r="C16" s="0" t="n">
        <f aca="false">-C12</f>
        <v>641.181816</v>
      </c>
      <c r="D16" s="0" t="n">
        <f aca="false">-D12</f>
        <v>677.24829315</v>
      </c>
      <c r="E16" s="0" t="n">
        <f aca="false">-E12</f>
        <v>709.972930675008</v>
      </c>
      <c r="F16" s="0" t="n">
        <f aca="false">-F12</f>
        <v>882.332512921956</v>
      </c>
      <c r="G16" s="0" t="n">
        <f aca="false">-G12</f>
        <v>994.262694561199</v>
      </c>
      <c r="H16" s="0" t="n">
        <f aca="false">-H12</f>
        <v>1014.14794845242</v>
      </c>
      <c r="I16" s="0" t="n">
        <f aca="false">-I12</f>
        <v>1034.43090742147</v>
      </c>
      <c r="J16" s="0" t="n">
        <f aca="false">-J12</f>
        <v>1055.1195255699</v>
      </c>
      <c r="K16" s="0" t="n">
        <f aca="false">-K12</f>
        <v>1076.2219160813</v>
      </c>
      <c r="L16" s="0" t="n">
        <f aca="false">-L12</f>
        <v>1097.74635440292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-651.8681796</v>
      </c>
      <c r="D17" s="4" t="n">
        <f aca="false">-D6*Assumptions!D46/100</f>
        <v>-1099.8512280756</v>
      </c>
      <c r="E17" s="4" t="n">
        <f aca="false">-E6*Assumptions!E46/100</f>
        <v>-1097.72737742828</v>
      </c>
      <c r="F17" s="4" t="n">
        <f aca="false">-F6*Assumptions!F46/100</f>
        <v>-800.40163672206</v>
      </c>
      <c r="G17" s="4" t="n">
        <f aca="false">-G6*Assumptions!G46/100</f>
        <v>-781.696187448115</v>
      </c>
      <c r="H17" s="4" t="n">
        <f aca="false">-H6*Assumptions!H46/100</f>
        <v>-804.324234979507</v>
      </c>
      <c r="I17" s="4" t="n">
        <f aca="false">-I6*Assumptions!I46/100</f>
        <v>-820.410719679098</v>
      </c>
      <c r="J17" s="4" t="n">
        <f aca="false">-J6*Assumptions!J46/100</f>
        <v>-836.81893407268</v>
      </c>
      <c r="K17" s="4" t="n">
        <f aca="false">-K6*Assumptions!K46/100</f>
        <v>-853.555312754133</v>
      </c>
      <c r="L17" s="4" t="n">
        <f aca="false">-L6*Assumptions!L46/100</f>
        <v>-870.626419009216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-33.278454</v>
      </c>
      <c r="D18" s="4" t="n">
        <f aca="false">(D6-C6)*Assumptions!$B$51/100</f>
        <v>-2.24413635599999</v>
      </c>
      <c r="E18" s="4" t="n">
        <f aca="false">(E6-D6)*Assumptions!$B$51/100</f>
        <v>-1.300316722848</v>
      </c>
      <c r="F18" s="4" t="n">
        <f aca="false">(F6-E6)*Assumptions!$B$51/100</f>
        <v>-25.2313456901426</v>
      </c>
      <c r="G18" s="4" t="n">
        <f aca="false">(G6-F6)*Assumptions!$B$51/100</f>
        <v>-16.6382702436712</v>
      </c>
      <c r="H18" s="4" t="n">
        <f aca="false">(H6-G6)*Assumptions!$B$51/100</f>
        <v>-4.11419046025323</v>
      </c>
      <c r="I18" s="4" t="n">
        <f aca="false">(I6-H6)*Assumptions!$B$51/100</f>
        <v>-4.1964742694583</v>
      </c>
      <c r="J18" s="4" t="n">
        <f aca="false">(J6-I6)*Assumptions!$B$51/100</f>
        <v>-4.28040375484748</v>
      </c>
      <c r="K18" s="4" t="n">
        <f aca="false">(K6-J6)*Assumptions!$B$51/100</f>
        <v>-4.36601182994443</v>
      </c>
      <c r="L18" s="4" t="n">
        <f aca="false">(L6-K6)*Assumptions!$B$51/100</f>
        <v>-4.45333206654332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1530.296836134</v>
      </c>
      <c r="D19" s="0" t="n">
        <f aca="false">D15+D16+D17+D18</f>
        <v>1098.74486885209</v>
      </c>
      <c r="E19" s="0" t="n">
        <f aca="false">E15+E16+E17+E18</f>
        <v>1076.76627185597</v>
      </c>
      <c r="F19" s="0" t="n">
        <f aca="false">F15+F16+F17+F18</f>
        <v>1813.61263499014</v>
      </c>
      <c r="G19" s="0" t="n">
        <f aca="false">G15+G16+G17+G18</f>
        <v>2086.53589303778</v>
      </c>
      <c r="H19" s="0" t="n">
        <f aca="false">H15+H16+H17+H18</f>
        <v>2125.59650128983</v>
      </c>
      <c r="I19" s="0" t="n">
        <f aca="false">I15+I16+I17+I18</f>
        <v>2155.05319986335</v>
      </c>
      <c r="J19" s="0" t="n">
        <f aca="false">J15+J16+J17+J18</f>
        <v>2184.83792777928</v>
      </c>
      <c r="K19" s="0" t="n">
        <f aca="false">K15+K16+K17+K18</f>
        <v>2214.95202353191</v>
      </c>
      <c r="L19" s="0" t="n">
        <f aca="false">L15+L16+L17+L18</f>
        <v>2245.39674794353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1378.64579831892</v>
      </c>
      <c r="D21" s="0" t="n">
        <f aca="false">D19*D20</f>
        <v>891.765983972155</v>
      </c>
      <c r="E21" s="0" t="n">
        <f aca="false">E19*E20</f>
        <v>787.322217656642</v>
      </c>
      <c r="F21" s="0" t="n">
        <f aca="false">F19*F20</f>
        <v>1194.68281776873</v>
      </c>
      <c r="G21" s="0" t="n">
        <f aca="false">G19*G20</f>
        <v>1238.25749676512</v>
      </c>
      <c r="H21" s="0" t="n">
        <f aca="false">H19*H20</f>
        <v>1136.43069063701</v>
      </c>
      <c r="I21" s="0" t="n">
        <f aca="false">I19*I20</f>
        <v>1037.99949963132</v>
      </c>
      <c r="J21" s="0" t="n">
        <f aca="false">J19*J20</f>
        <v>948.059066980292</v>
      </c>
      <c r="K21" s="0" t="n">
        <f aca="false">K19*K20</f>
        <v>865.879613549021</v>
      </c>
      <c r="L21" s="0" t="n">
        <f aca="false">L19*L20</f>
        <v>790.793883316376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0.7</v>
      </c>
      <c r="D23" s="4" t="n">
        <f aca="false">Assumptions!D44</f>
        <v>0.6</v>
      </c>
      <c r="E23" s="4" t="n">
        <f aca="false">Assumptions!E44</f>
        <v>0.6</v>
      </c>
      <c r="F23" s="4" t="n">
        <f aca="false">Assumptions!F44</f>
        <v>0.5</v>
      </c>
      <c r="G23" s="4" t="n">
        <f aca="false">Assumptions!G44</f>
        <v>0.5</v>
      </c>
      <c r="H23" s="4" t="n">
        <f aca="false">Assumptions!H44</f>
        <v>0.5</v>
      </c>
      <c r="I23" s="4" t="n">
        <f aca="false">Assumptions!I44</f>
        <v>0.5</v>
      </c>
      <c r="J23" s="4" t="n">
        <f aca="false">Assumptions!J44</f>
        <v>0.5</v>
      </c>
      <c r="K23" s="4" t="n">
        <f aca="false">Assumptions!K44</f>
        <v>0.5</v>
      </c>
      <c r="L23" s="4" t="n">
        <f aca="false">Assumptions!L44</f>
        <v>0.5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-37.4022726</v>
      </c>
      <c r="D24" s="0" t="n">
        <f aca="false">-D6*D23/100</f>
        <v>-32.5079180712</v>
      </c>
      <c r="E24" s="0" t="n">
        <f aca="false">-E6*E23/100</f>
        <v>-32.7679814157696</v>
      </c>
      <c r="F24" s="0" t="n">
        <f aca="false">-F6*F23/100</f>
        <v>-31.5118754614984</v>
      </c>
      <c r="G24" s="0" t="n">
        <f aca="false">-G6*G23/100</f>
        <v>-34.2849205021103</v>
      </c>
      <c r="H24" s="0" t="n">
        <f aca="false">-H6*H23/100</f>
        <v>-34.9706189121525</v>
      </c>
      <c r="I24" s="0" t="n">
        <f aca="false">-I6*I23/100</f>
        <v>-35.6700312903955</v>
      </c>
      <c r="J24" s="0" t="n">
        <f aca="false">-J6*J23/100</f>
        <v>-36.3834319162035</v>
      </c>
      <c r="K24" s="0" t="n">
        <f aca="false">-K6*K23/100</f>
        <v>-37.1111005545275</v>
      </c>
      <c r="L24" s="0" t="n">
        <f aca="false">-L6*L23/100</f>
        <v>-37.8533225656181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10269.8370685956</v>
      </c>
    </row>
    <row r="31" customFormat="false" ht="15" hidden="false" customHeight="false" outlineLevel="0" collapsed="false">
      <c r="A31" s="0" t="s">
        <v>134</v>
      </c>
      <c r="B31" s="0" t="n">
        <f aca="false">L19</f>
        <v>2245.39674794353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25447.8298100267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22453.9674794353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22453.9674794353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7907.93883316376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18177.7759017594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18431.7759017594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5632.3869991749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0.365096218898426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407.889641609877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302.177327360157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5849.36945305709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17617.7283300185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4027.74448861727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1711.31453089447</v>
      </c>
      <c r="C4" s="0" t="n">
        <f aca="false">B4/Assumptions!$B$2-1</f>
        <v>-0.585236420044967</v>
      </c>
      <c r="D4" s="4" t="n">
        <f aca="false">Assumptions!$B$24</f>
        <v>0.25</v>
      </c>
      <c r="E4" s="4" t="n">
        <f aca="false">DCF_Bear!$B$43</f>
        <v>1855.09708016933</v>
      </c>
      <c r="F4" s="4" t="n">
        <f aca="false">DCF_Bear!$B$47</f>
        <v>1286.10642248174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3370.71912428151</v>
      </c>
      <c r="C5" s="0" t="n">
        <f aca="false">B5/Assumptions!$B$2-1</f>
        <v>-0.183054017382087</v>
      </c>
      <c r="D5" s="4" t="n">
        <f aca="false">Assumptions!$B$38</f>
        <v>0.5</v>
      </c>
      <c r="E5" s="4" t="n">
        <f aca="false">DCF_Base!$B$43</f>
        <v>3530.1308505823</v>
      </c>
      <c r="F5" s="4" t="n">
        <f aca="false">DCF_Base!$B$47</f>
        <v>2453.1514679704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5632.3869991749</v>
      </c>
      <c r="C6" s="0" t="n">
        <f aca="false">B6/Assumptions!$B$2-1</f>
        <v>0.365096218898426</v>
      </c>
      <c r="D6" s="4" t="n">
        <f aca="false">Assumptions!$B$52</f>
        <v>0.25</v>
      </c>
      <c r="E6" s="4" t="n">
        <f aca="false">DCF_Bull!$B$43</f>
        <v>5849.36945305709</v>
      </c>
      <c r="F6" s="4" t="n">
        <f aca="false">DCF_Bull!$B$47</f>
        <v>4027.74448861727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3521.2849446581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3691.18205859776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-0.171731360808864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355.930151677959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2555.03846175995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3814.73975394573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3583.04786788091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3370.71912428151</v>
      </c>
      <c r="C17" s="3" t="n">
        <v>11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3136.08389995546</v>
      </c>
      <c r="C18" s="3" t="n">
        <v>12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2453.1514679704</v>
      </c>
      <c r="C19" s="3" t="n">
        <v>15</v>
      </c>
    </row>
    <row r="21" customFormat="false" ht="15" hidden="false" customHeight="false" outlineLevel="0" collapsed="false">
      <c r="A21" s="2" t="s">
        <v>170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3814.73975394573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3814.73975394573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3814.73975394573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3814.73975394573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3814.73975394573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3583.04786788091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3583.04786788091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3583.04786788091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3583.04786788091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3583.04786788091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3314.73075407055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3370.71912428151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3370.71912428151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3370.71912428151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3370.71912428151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3025.30550834969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3078.17701343426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3136.08389995546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3175.89488443878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3175.89488443878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2782.73461239111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2823.89478171714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2868.63409620197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2917.4406210945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2970.89538645299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2026-10-09T23:17:51Z</dcterms:created>
  <dc:creator>openpyxl</dc:creator>
  <dc:description/>
  <dc:language>en-NZ</dc:language>
  <cp:lastModifiedBy/>
  <dcterms:modified xsi:type="dcterms:W3CDTF">2026-10-09T23:17:51Z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