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<sst xmlns="http://schemas.openxmlformats.org/spreadsheetml/2006/main" count="366" uniqueCount="167">
  <si>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</si>
  <si>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PMV.AX</t>
  </si>
  <si>
    <t xml:space="preserve">Company</t>
  </si>
  <si>
    <t xml:space="preserve">Premier Investments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</si>
  <si>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</si>
  <si>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</si>
  <si>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</si>
  <si>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</si>
  <si>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2026-09-24T06:10:03Z (ASX closing auction on FY2026 results day; stock +6% on the print -- results-day volatility, refresh at the next regular close)</t>
  </si>
  <si>
    <t xml:space="preserve">Balance sheet date</t>
  </si>
  <si>
    <t xml:space="preserve">2026-07-25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</si>
  <si>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</si>
  <si>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</si>
  <si>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</si>
  <si>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</si>
  <si>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</si>
  <si>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</si>
  <si>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</si>
  <si>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</si>
  <si>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</si>
  <si>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</si>
  <si>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2026-09-24T09:27:34Z</t>
  </si>
  <si>
    <t xml:space="preserve">Drivers file</t>
  </si>
  <si>
    <t xml:space="preserve">PMV.AX_Drivers.json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</si>
  <si>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</si>
  <si>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</si>
  <si>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</si>
  <si>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Sum-of-parts inside an owner-FCF DCF: the continuing Premier Retail flows (Peter Alexander + Smiggle) are valued on a strict owner basis -- SBC expensed, full lease cash cost inside the flows (treatment B), interest income and the Breville associate profit stripped -- and the Investment segment is added in the bridge: the 25.2% Breville stake at market less 15% friction, net cash at the 25-Jul-2026 balance date less the interim dividend already paid. Terminal value is min(Gordon, 14x owner FCF) at a 10% AUD cost of equity. Bear is weighted 30% because the Smiggle relaunch is unproven. The investment book alone is worth ~A$7.5/share, so the finding is that the market at A$11.95 is capitalising the retail business at roughly 5x owner FCF, which is a bear-case price unless one also assumes a large holdco discount on Breville.
key_risks_to_valuation: Smiggle relaunch fails (bear case): FY26 sales -12.9%, brand drifted from its 6-12 core; a further multi-year decline is the bear path and carries 30% weight; Breville mark-to-market: the stake is ~A$6/share of the bridge at BRG A$30.56 (~30x earnings); each 15% move in BRG is ~A$0.9/share, and a sale would trigger ~A$220m of CGT unless structured as an in-specie demerger; TSA stranded costs: A$36.5m of Myer transitional-services income (cost-plus-10%) is ending; shared services sized for the whole group may not shrink as fast as the fee; Australian consumer cyclicality: 77% of retail revenue is Australian discretionary spend; a downturn hits both brands and the lease cost is a fixed charge (~10.8% of sales); Peter Alexander international execution: the UK exit (Aug-2026, A$7.7m impairment) shows the brand's offshore growth option is narrower than assumed; base assumes AU/NZ-only growth; Governance/related party: Solomon Lew controls ~42% of Premier and now sits on Myer's board with ~27% of Myer; capital allocation (Breville, Myer, buyback) is decided by a controlling shareholder; Results-day price: the A$11.95 print is the FY2026 results-day close (+6% on the day) and should be refreshed at the next regular close</t>
  </si>
  <si>
    <t xml:space="preserve">Data sources</t>
  </si>
  <si>
    <t xml:space="preserve">price: Yahoo Finance chart API at inputs.price_as_of; 52-week range 10.58-21.50 (the high pre-dates the FY26 profit downgrades, not the Myer distribution). BRG.AX marked at the same source and time.
financials: PMV.AX_Metrics.csv / core_metrics (FY2015-FY2026 annual + halves); PMV.AX_Annual_FY2026.txt: retail EBIT reconciliation (lines 540-585), segment note 3 (2591-2660), note 6 expenses/lease/D&amp;A (2902-2927), cash flow statement (2168-2210), Investment segment overview and Breville fair value (672-720), EPS note (3175-3200), share capital note (4341-4347).
qualitative: PMV.AX_Analysis.json (2026-09-24): business model, Smiggle reset, PA UK exit, buyback, guidance withheld under s299(3).</t>
  </si>
  <si>
    <t xml:space="preserve">Scenario narrative: bear</t>
  </si>
  <si>
    <t xml:space="preserve">The Smiggle relaunch is a multi-year fade rather than a turn -- Amazon/Temu/Kmart keep the category's value end, and sales fall a further ~20% over three years before flattening -- while Peter Alexander slows to +1-2% as higher-for-longer rates squeeze Australian discretionary spend (77% of retail revenue). Stranded shared-service costs after the Myer TSA ends and negative operating leverage compress pre-lease EBITDA margin to 27.5% with lease cost rising to 11.5% of sales. Owner FCF settles around A$70m. Even here the investment book (Breville stake, net cash) provides most of the per-share value, which is why the bear intrinsic value sits close to the current price: the market is already pricing something near this case for the retail business. Not modelled: a Breville de-rating (BRG at ~30x earnings) would cut the bridge ~A$0.9/share for every 15% fall in BRG.</t>
  </si>
  <si>
    <t xml:space="preserve">Scenario narrative: base</t>
  </si>
  <si>
    <t xml:space="preserve">Premier is now a two-brand specialty retailer plus an investment book. The base case has Peter Alexander doing what it did in FY2026 -- record sales (+3.2%), a loyalty program that added 1.4m members in ten months, steady AU/NZ store openings -- at +3.5%/yr, and Smiggle (-12.9% in FY2026) merely stabilising after the 1H27 relaunch rather than recovering. Underlying pre-lease EBITDA margin re-bases from ~32% to 30.5% as the A$36.5m Myer transitional-services fee income winds down and relaunch spend lands, then holds at 31%. Lease cash cost stays ~10.5-10.8% of sales. Owner FCF of ~A$94m in FY27 (vs the A$115m FY26 print flattered by a low cash-tax year and a capex trough) grows to ~A$125m by FY36. The Breville stake is valued at market less 15%, net cash of A$322m less the A$72m interim dividend already paid is added. The investment book is worth roughly A$7.5/share on its own, so the market at A$11.95 is paying ~A$4.5/share -- about 5x owner FCF -- for the retail business.</t>
  </si>
  <si>
    <t xml:space="preserve">Scenario narrative: bull</t>
  </si>
  <si>
    <t xml:space="preserve">Smiggle's reset -- new MD, product re-aligned to the 6-12 core, channel simplification -- lands and the brand grows 8-10% off its shrunken base in FY28-29 while Peter Alexander compounds at ~5% on Peter's Dreamers and continued AU/NZ rollout. Occupancy leverage pulls lease cost to 10% of sales and pre-lease EBITDA margin recovers to 33%, still short of the group's FY2022-24 peak. Owner FCF reaches ~A$175m by FY36. Nothing in this case relies on a Breville re-rating or on corporate activity around Myer; those are unmodelled upside.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</si>
  <si>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</si>
  <si>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</si>
  <si>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</si>
  <si>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</si>
  <si>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</si>
  <si>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</si>
  <si>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</si>
  <si>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</si>
  <si>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</si>
  <si>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</si>
  <si>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</si>
  <si>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</si>
  <si>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</si>
  <si>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</si>
  <si>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</si>
  <si>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</si>
  <si>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</si>
  <si>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</si>
  <si>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</si>
  <si>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</si>
  <si>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</si>
  <si>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</si>
  <si>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</si>
  <si>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</si>
  <si>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</si>
  <si>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</si>
  <si>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</si>
  <si>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</si>
  <si>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</si>
  <si>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</si>
  <si>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</si>
  <si>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</si>
  <si>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</si>
  <si>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</si>
  <si>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</si>
  <si>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</si>
  <si>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</si>
  <si>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</si>
  <si>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</si>
  <si>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</si>
  <si>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</si>
  <si>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</si>
  <si>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</si>
  <si>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</si>
  <si>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</si>
  <si>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</si>
  <si>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</si>
  <si>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</si>
  <si>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</si>
  <si>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</si>
  <si>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</si>
  <si>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</si>
  <si>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</si>
  <si>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</si>
  <si>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</si>
  <si>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</si>
  <si>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</si>
  <si>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</si>
  <si>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</si>
  <si>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</si>
  <si>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</si>
  <si>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</si>
  <si>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</si>
  <si>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</si>
  <si>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</si>
  <si>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</si>
  <si>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</si>
  <si>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</si>
  <si>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</si>
  <si>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</si>
  <si>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</si>
  <si>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</si>
  <si>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</si>
  <si>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</si>
  <si>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</si>
  <si>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</si>
  <si>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</si>
  <si>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PMV.AX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</si>
  <si>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</si>
  <si>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</si>
  <si>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</si>
  <si>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</si>
  <si>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</si>
  <si>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</si>
  <si>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</si>
  <si>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</si>
  <si>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</si>
  <si>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</si>
  <si>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</si>
  <si>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</si>
  <si>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</si>
  <si>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</si>
  <si>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</si>
  <si>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</si>
  <si>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</si>
  <si>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</si>
  <si>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</si>
  <si>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</si>
  <si>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</si>
  <si>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</si>
  <si>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</si>
  <si>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</si>
  <si>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</si>
  <si>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</si>
  <si>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</si>
  <si>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</si>
  <si>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</si>
  <si>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</si>
  <si>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PMV.AX owner-FCF component DCF: base case (millions, AUD)</t>
  </si>
  <si>
    <t xml:space="preserve">PMV.AX owner-FCF component DCF: bull case (millions, AUD)</t>
  </si>
  <si>
    <t xml:space="preserve">PMV.AX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</si>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</sst>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947.662</v>
      </c>
      <c r="C2" s="0" t="n">
        <v>350.894</v>
      </c>
      <c r="D2" s="0" t="n">
        <v>596.768</v>
      </c>
      <c r="E2" s="0" t="n">
        <v>62.9727</v>
      </c>
      <c r="F2" s="0" t="n">
        <v>122.683</v>
      </c>
      <c r="G2" s="0" t="n">
        <v>12.9459</v>
      </c>
      <c r="H2" s="0" t="n">
        <v>145.36</v>
      </c>
      <c r="I2" s="0" t="n">
        <v>88.102</v>
      </c>
      <c r="J2" s="0" t="n">
        <v>9.2968</v>
      </c>
      <c r="K2" s="0" t="n">
        <v>0.5649</v>
      </c>
      <c r="L2" s="0" t="n">
        <v>103.111</v>
      </c>
      <c r="M2" s="0" t="n">
        <v>36.164</v>
      </c>
      <c r="N2" s="0" t="n">
        <v>66.947</v>
      </c>
      <c r="O2" s="0" t="n">
        <v>1338.307</v>
      </c>
      <c r="P2" s="0" t="n">
        <v>1648.803</v>
      </c>
      <c r="Q2" s="0" t="n">
        <v>310.496</v>
      </c>
      <c r="R2" s="0" t="n">
        <v>104.655</v>
      </c>
      <c r="S2" s="0" t="n">
        <v>281.572</v>
      </c>
      <c r="T2" s="0" t="n">
        <v>155.96</v>
      </c>
      <c r="U2" s="0" t="n">
        <v>0.53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1049.226</v>
      </c>
      <c r="C3" s="0" t="n">
        <v>378.946</v>
      </c>
      <c r="D3" s="0" t="n">
        <v>670.28</v>
      </c>
      <c r="E3" s="0" t="n">
        <v>63.8833</v>
      </c>
      <c r="F3" s="0" t="n">
        <v>147.995</v>
      </c>
      <c r="G3" s="0" t="n">
        <v>14.1052</v>
      </c>
      <c r="H3" s="0" t="n">
        <v>171.876</v>
      </c>
      <c r="I3" s="0" t="n">
        <v>103.874</v>
      </c>
      <c r="J3" s="0" t="n">
        <v>9.9001</v>
      </c>
      <c r="K3" s="0" t="n">
        <v>0.6627</v>
      </c>
      <c r="L3" s="0" t="n">
        <v>103.663</v>
      </c>
      <c r="M3" s="0" t="n">
        <v>45.174</v>
      </c>
      <c r="N3" s="0" t="n">
        <v>58.489</v>
      </c>
      <c r="O3" s="0" t="n">
        <v>1338.555</v>
      </c>
      <c r="P3" s="0" t="n">
        <v>1662.883</v>
      </c>
      <c r="Q3" s="0" t="n">
        <v>324.328</v>
      </c>
      <c r="R3" s="0" t="n">
        <v>105.805</v>
      </c>
      <c r="S3" s="0" t="n">
        <v>283.233</v>
      </c>
      <c r="T3" s="0" t="n">
        <v>156.38</v>
      </c>
      <c r="U3" s="0" t="n">
        <v>1.65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1092.76</v>
      </c>
      <c r="C4" s="0" t="n">
        <v>403.336</v>
      </c>
      <c r="D4" s="0" t="n">
        <v>689.424</v>
      </c>
      <c r="E4" s="0" t="n">
        <v>63.0902</v>
      </c>
      <c r="F4" s="0" t="n">
        <v>145.387</v>
      </c>
      <c r="G4" s="0" t="n">
        <v>13.3046</v>
      </c>
      <c r="H4" s="0" t="n">
        <v>171.458</v>
      </c>
      <c r="I4" s="0" t="n">
        <v>105.136</v>
      </c>
      <c r="J4" s="0" t="n">
        <v>9.6211</v>
      </c>
      <c r="K4" s="0" t="n">
        <v>0.6678</v>
      </c>
      <c r="L4" s="0" t="n">
        <v>97.837</v>
      </c>
      <c r="M4" s="0" t="n">
        <v>105.959</v>
      </c>
      <c r="N4" s="0" t="n">
        <v>-8.122</v>
      </c>
      <c r="O4" s="0" t="n">
        <v>1335.673</v>
      </c>
      <c r="P4" s="0" t="n">
        <v>1736.691</v>
      </c>
      <c r="Q4" s="0" t="n">
        <v>401.018</v>
      </c>
      <c r="R4" s="0" t="n">
        <v>173.475</v>
      </c>
      <c r="S4" s="0" t="n">
        <v>170.631</v>
      </c>
      <c r="T4" s="0" t="n">
        <v>157.44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1182.221</v>
      </c>
      <c r="C5" s="0" t="n">
        <v>443.907</v>
      </c>
      <c r="D5" s="0" t="n">
        <v>738.314</v>
      </c>
      <c r="E5" s="0" t="n">
        <v>62.4514</v>
      </c>
      <c r="F5" s="0" t="n">
        <v>131.516</v>
      </c>
      <c r="G5" s="0" t="n">
        <v>11.1245</v>
      </c>
      <c r="H5" s="0" t="n">
        <v>190.42</v>
      </c>
      <c r="I5" s="0" t="n">
        <v>83.638</v>
      </c>
      <c r="J5" s="0" t="n">
        <v>7.0747</v>
      </c>
      <c r="K5" s="0" t="n">
        <v>0.5297</v>
      </c>
      <c r="L5" s="0" t="n">
        <v>133.851</v>
      </c>
      <c r="M5" s="0" t="n">
        <v>54.031</v>
      </c>
      <c r="N5" s="0" t="n">
        <v>79.82</v>
      </c>
      <c r="O5" s="0" t="n">
        <v>1344.934</v>
      </c>
      <c r="P5" s="0" t="n">
        <v>1751.414</v>
      </c>
      <c r="Q5" s="0" t="n">
        <v>406.48</v>
      </c>
      <c r="R5" s="0" t="n">
        <v>175.684</v>
      </c>
      <c r="S5" s="0" t="n">
        <v>178.618</v>
      </c>
      <c r="T5" s="0" t="n">
        <v>157.748</v>
      </c>
      <c r="U5" s="0" t="n">
        <v>2.343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1270.958</v>
      </c>
      <c r="C6" s="0" t="n">
        <v>484.38</v>
      </c>
      <c r="D6" s="0" t="n">
        <v>786.578</v>
      </c>
      <c r="E6" s="0" t="n">
        <v>61.8886</v>
      </c>
      <c r="F6" s="0" t="n">
        <v>159.429</v>
      </c>
      <c r="G6" s="0" t="n">
        <v>12.544</v>
      </c>
      <c r="H6" s="0" t="n">
        <v>211.744</v>
      </c>
      <c r="I6" s="0" t="n">
        <v>106.807</v>
      </c>
      <c r="J6" s="0" t="n">
        <v>8.4037</v>
      </c>
      <c r="K6" s="0" t="n">
        <v>0.6751</v>
      </c>
      <c r="L6" s="0" t="n">
        <v>138.814</v>
      </c>
      <c r="M6" s="0" t="n">
        <v>20.332</v>
      </c>
      <c r="N6" s="0" t="n">
        <v>118.482</v>
      </c>
      <c r="O6" s="0" t="n">
        <v>1349.286</v>
      </c>
      <c r="P6" s="0" t="n">
        <v>1768.723</v>
      </c>
      <c r="Q6" s="0" t="n">
        <v>419.437</v>
      </c>
      <c r="R6" s="0" t="n">
        <v>167.493</v>
      </c>
      <c r="S6" s="0" t="n">
        <v>190.255</v>
      </c>
      <c r="T6" s="0" t="n">
        <v>158.099</v>
      </c>
      <c r="U6" s="0" t="n">
        <v>1.186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1216.316</v>
      </c>
      <c r="C7" s="0" t="n">
        <v>474.582</v>
      </c>
      <c r="D7" s="0" t="n">
        <v>741.734</v>
      </c>
      <c r="E7" s="0" t="n">
        <v>60.982</v>
      </c>
      <c r="F7" s="0" t="n">
        <v>211.915</v>
      </c>
      <c r="G7" s="0" t="n">
        <v>17.4227</v>
      </c>
      <c r="H7" s="0" t="n">
        <v>461.975</v>
      </c>
      <c r="I7" s="0" t="n">
        <v>137.753</v>
      </c>
      <c r="J7" s="0" t="n">
        <v>11.3254</v>
      </c>
      <c r="K7" s="0" t="n">
        <v>0.8689</v>
      </c>
      <c r="L7" s="0" t="n">
        <v>483.582</v>
      </c>
      <c r="M7" s="0" t="n">
        <v>7.589</v>
      </c>
      <c r="N7" s="0" t="n">
        <v>475.993</v>
      </c>
      <c r="O7" s="0" t="n">
        <v>1347.448</v>
      </c>
      <c r="P7" s="0" t="n">
        <v>2202.532</v>
      </c>
      <c r="Q7" s="0" t="n">
        <v>855.084</v>
      </c>
      <c r="R7" s="0" t="n">
        <v>146.659</v>
      </c>
      <c r="S7" s="0" t="n">
        <v>448.832</v>
      </c>
      <c r="T7" s="0" t="n">
        <v>158.43</v>
      </c>
      <c r="U7" s="0" t="n">
        <v>1.613</v>
      </c>
      <c r="AA7" s="0" t="s">
        <v>17</v>
      </c>
      <c r="AB7" s="0" t="s">
        <v>14</v>
      </c>
      <c r="AC7" s="0" t="n">
        <v>150.958</v>
      </c>
    </row>
    <row r="8" customFormat="false" ht="15" hidden="false" customHeight="false" outlineLevel="0" collapsed="false">
      <c r="A8" s="0" t="s">
        <v>70</v>
      </c>
      <c r="B8" s="0" t="n">
        <v>1443.174</v>
      </c>
      <c r="C8" s="0" t="n">
        <v>515.271</v>
      </c>
      <c r="D8" s="0" t="n">
        <v>927.903</v>
      </c>
      <c r="E8" s="0" t="n">
        <v>64.296</v>
      </c>
      <c r="F8" s="0" t="n">
        <v>391.157</v>
      </c>
      <c r="G8" s="0" t="n">
        <v>27.1039</v>
      </c>
      <c r="H8" s="0" t="n">
        <v>569.415</v>
      </c>
      <c r="I8" s="0" t="n">
        <v>271.84</v>
      </c>
      <c r="J8" s="0" t="n">
        <v>18.8363</v>
      </c>
      <c r="K8" s="0" t="n">
        <v>1.7115</v>
      </c>
      <c r="L8" s="0" t="n">
        <v>383.52</v>
      </c>
      <c r="M8" s="0" t="n">
        <v>3.033</v>
      </c>
      <c r="N8" s="0" t="n">
        <v>380.487</v>
      </c>
      <c r="O8" s="0" t="n">
        <v>1532.905</v>
      </c>
      <c r="P8" s="0" t="n">
        <v>2281.222</v>
      </c>
      <c r="Q8" s="0" t="n">
        <v>748.317</v>
      </c>
      <c r="R8" s="0" t="n">
        <v>146.834</v>
      </c>
      <c r="S8" s="0" t="n">
        <v>523.356</v>
      </c>
      <c r="T8" s="0" t="n">
        <v>158.724</v>
      </c>
      <c r="U8" s="0" t="n">
        <v>1.856</v>
      </c>
      <c r="AA8" s="0" t="s">
        <v>17</v>
      </c>
      <c r="AB8" s="0" t="s">
        <v>14</v>
      </c>
      <c r="AC8" s="0" t="n">
        <v>137.18</v>
      </c>
    </row>
    <row r="9" customFormat="false" ht="15" hidden="false" customHeight="false" outlineLevel="0" collapsed="false">
      <c r="A9" s="0" t="s">
        <v>71</v>
      </c>
      <c r="B9" s="0" t="n">
        <v>1497.52</v>
      </c>
      <c r="C9" s="0" t="n">
        <v>527.721</v>
      </c>
      <c r="D9" s="0" t="n">
        <v>969.799</v>
      </c>
      <c r="E9" s="0" t="n">
        <v>64.7603</v>
      </c>
      <c r="F9" s="0" t="n">
        <v>401.525</v>
      </c>
      <c r="G9" s="0" t="n">
        <v>26.8127</v>
      </c>
      <c r="H9" s="0" t="n">
        <v>567.701</v>
      </c>
      <c r="I9" s="0" t="n">
        <v>285.174</v>
      </c>
      <c r="J9" s="0" t="n">
        <v>19.0431</v>
      </c>
      <c r="K9" s="0" t="n">
        <v>1.794</v>
      </c>
      <c r="L9" s="0" t="n">
        <v>355.477</v>
      </c>
      <c r="M9" s="0" t="n">
        <v>8.874</v>
      </c>
      <c r="N9" s="0" t="n">
        <v>346.603</v>
      </c>
      <c r="O9" s="0" t="n">
        <v>1677.519</v>
      </c>
      <c r="P9" s="0" t="n">
        <v>2304.734</v>
      </c>
      <c r="Q9" s="0" t="n">
        <v>627.215</v>
      </c>
      <c r="R9" s="0" t="n">
        <v>69</v>
      </c>
      <c r="S9" s="0" t="n">
        <v>471.273</v>
      </c>
      <c r="T9" s="0" t="n">
        <v>158.864</v>
      </c>
      <c r="U9" s="0" t="n">
        <v>6.098</v>
      </c>
      <c r="AA9" s="0" t="s">
        <v>17</v>
      </c>
      <c r="AB9" s="0" t="s">
        <v>14</v>
      </c>
      <c r="AC9" s="0" t="n">
        <v>169.573</v>
      </c>
    </row>
    <row r="10" customFormat="false" ht="15" hidden="false" customHeight="false" outlineLevel="0" collapsed="false">
      <c r="A10" s="0" t="s">
        <v>72</v>
      </c>
      <c r="B10" s="0" t="n">
        <v>1643.502</v>
      </c>
      <c r="C10" s="0" t="n">
        <v>621.011</v>
      </c>
      <c r="D10" s="0" t="n">
        <v>1022.491</v>
      </c>
      <c r="E10" s="0" t="n">
        <v>62.2142</v>
      </c>
      <c r="F10" s="0" t="n">
        <v>398.65</v>
      </c>
      <c r="G10" s="0" t="n">
        <v>24.2561</v>
      </c>
      <c r="H10" s="0" t="n">
        <v>563.872</v>
      </c>
      <c r="I10" s="0" t="n">
        <v>271.078</v>
      </c>
      <c r="J10" s="0" t="n">
        <v>16.4939</v>
      </c>
      <c r="K10" s="0" t="n">
        <v>1.7031</v>
      </c>
      <c r="L10" s="0" t="n">
        <v>359.055</v>
      </c>
      <c r="M10" s="0" t="n">
        <v>16.451</v>
      </c>
      <c r="N10" s="0" t="n">
        <v>342.604</v>
      </c>
      <c r="O10" s="0" t="n">
        <v>1741.336</v>
      </c>
      <c r="P10" s="0" t="n">
        <v>2518.129</v>
      </c>
      <c r="Q10" s="0" t="n">
        <v>776.793</v>
      </c>
      <c r="R10" s="0" t="n">
        <v>69</v>
      </c>
      <c r="S10" s="0" t="n">
        <v>417.647</v>
      </c>
      <c r="T10" s="0" t="n">
        <v>158.993</v>
      </c>
      <c r="U10" s="0" t="n">
        <v>7.207</v>
      </c>
      <c r="AA10" s="0" t="s">
        <v>17</v>
      </c>
      <c r="AB10" s="0" t="s">
        <v>14</v>
      </c>
      <c r="AC10" s="0" t="n">
        <v>161.754</v>
      </c>
    </row>
    <row r="11" customFormat="false" ht="15" hidden="false" customHeight="false" outlineLevel="0" collapsed="false">
      <c r="A11" s="0" t="s">
        <v>73</v>
      </c>
      <c r="B11" s="0" t="n">
        <v>1595.326</v>
      </c>
      <c r="C11" s="0" t="n">
        <v>597.294</v>
      </c>
      <c r="D11" s="0" t="n">
        <v>998.032</v>
      </c>
      <c r="E11" s="0" t="n">
        <v>62.5598</v>
      </c>
      <c r="F11" s="0" t="n">
        <v>384.265</v>
      </c>
      <c r="G11" s="0" t="n">
        <v>24.0869</v>
      </c>
      <c r="H11" s="0" t="n">
        <v>550.307</v>
      </c>
      <c r="I11" s="0" t="n">
        <v>257.922</v>
      </c>
      <c r="J11" s="0" t="n">
        <v>16.1674</v>
      </c>
      <c r="K11" s="0" t="n">
        <v>1.6178</v>
      </c>
      <c r="L11" s="0" t="n">
        <v>407.13</v>
      </c>
      <c r="M11" s="0" t="n">
        <v>29.161</v>
      </c>
      <c r="N11" s="0" t="n">
        <v>377.969</v>
      </c>
      <c r="O11" s="0" t="n">
        <v>1795.522</v>
      </c>
      <c r="P11" s="0" t="n">
        <v>2523.533</v>
      </c>
      <c r="Q11" s="0" t="n">
        <v>728.011</v>
      </c>
      <c r="R11" s="0" t="n">
        <v>69</v>
      </c>
      <c r="S11" s="0" t="n">
        <v>409.481</v>
      </c>
      <c r="T11" s="0" t="n">
        <v>159.225</v>
      </c>
      <c r="U11" s="0" t="n">
        <v>-3.084</v>
      </c>
      <c r="X11" s="0" t="n">
        <v>804.616</v>
      </c>
      <c r="AA11" s="0" t="s">
        <v>17</v>
      </c>
      <c r="AB11" s="0" t="s">
        <v>14</v>
      </c>
      <c r="AC11" s="0" t="n">
        <v>176.556</v>
      </c>
    </row>
    <row r="12" customFormat="false" ht="15" hidden="false" customHeight="false" outlineLevel="0" collapsed="false">
      <c r="A12" s="0" t="s">
        <v>74</v>
      </c>
      <c r="B12" s="0" t="n">
        <v>816.807</v>
      </c>
      <c r="C12" s="0" t="n">
        <v>280.706</v>
      </c>
      <c r="D12" s="0" t="n">
        <v>536.101</v>
      </c>
      <c r="E12" s="0" t="n">
        <v>65.6337</v>
      </c>
      <c r="F12" s="0" t="n">
        <v>223.139</v>
      </c>
      <c r="G12" s="0" t="n">
        <v>27.3184</v>
      </c>
      <c r="H12" s="0" t="n">
        <v>300.553</v>
      </c>
      <c r="I12" s="0" t="n">
        <v>338.216</v>
      </c>
      <c r="J12" s="0" t="n">
        <v>41.4071</v>
      </c>
      <c r="K12" s="0" t="n">
        <v>2.1171</v>
      </c>
      <c r="L12" s="0" t="n">
        <v>251.204</v>
      </c>
      <c r="M12" s="0" t="n">
        <v>31.1</v>
      </c>
      <c r="N12" s="0" t="n">
        <v>220.104</v>
      </c>
      <c r="O12" s="0" t="n">
        <v>1001.935</v>
      </c>
      <c r="P12" s="0" t="n">
        <v>1434.031</v>
      </c>
      <c r="Q12" s="0" t="n">
        <v>432.096</v>
      </c>
      <c r="R12" s="0" t="n">
        <v>69</v>
      </c>
      <c r="S12" s="0" t="n">
        <v>333.337</v>
      </c>
      <c r="T12" s="0" t="n">
        <v>159.658</v>
      </c>
      <c r="U12" s="0" t="n">
        <v>4.9</v>
      </c>
      <c r="X12" s="0" t="n">
        <v>816.807</v>
      </c>
      <c r="AA12" s="0" t="s">
        <v>17</v>
      </c>
      <c r="AB12" s="0" t="s">
        <v>14</v>
      </c>
      <c r="AC12" s="0" t="n">
        <v>125.751</v>
      </c>
    </row>
    <row r="13" customFormat="false" ht="15" hidden="false" customHeight="false" outlineLevel="0" collapsed="false">
      <c r="A13" s="0" t="s">
        <v>75</v>
      </c>
      <c r="B13" s="0" t="n">
        <v>793.689</v>
      </c>
      <c r="C13" s="0" t="n">
        <v>279.875</v>
      </c>
      <c r="D13" s="0" t="n">
        <v>513.814</v>
      </c>
      <c r="E13" s="0" t="n">
        <v>64.7374</v>
      </c>
      <c r="F13" s="0" t="n">
        <v>199.722</v>
      </c>
      <c r="G13" s="0" t="n">
        <v>25.1638</v>
      </c>
      <c r="H13" s="0" t="n">
        <v>283.568</v>
      </c>
      <c r="I13" s="0" t="n">
        <v>129.165</v>
      </c>
      <c r="J13" s="0" t="n">
        <v>16.274</v>
      </c>
      <c r="K13" s="0" t="n">
        <v>0.8084</v>
      </c>
      <c r="L13" s="0" t="n">
        <v>221.435</v>
      </c>
      <c r="M13" s="0" t="n">
        <v>14.601</v>
      </c>
      <c r="N13" s="0" t="n">
        <v>206.834</v>
      </c>
      <c r="O13" s="0" t="n">
        <v>962.19</v>
      </c>
      <c r="P13" s="0" t="n">
        <v>1439.932</v>
      </c>
      <c r="Q13" s="0" t="n">
        <v>477.742</v>
      </c>
      <c r="R13" s="0" t="n">
        <v>69</v>
      </c>
      <c r="S13" s="0" t="n">
        <v>391.35</v>
      </c>
      <c r="T13" s="0" t="n">
        <v>159.88</v>
      </c>
      <c r="U13" s="0" t="n">
        <v>1.902</v>
      </c>
      <c r="X13" s="0" t="n">
        <v>793.689</v>
      </c>
      <c r="AA13" s="0" t="s">
        <v>17</v>
      </c>
      <c r="AB13" s="0" t="s">
        <v>14</v>
      </c>
      <c r="AC13" s="0" t="n">
        <v>76.215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11.95</v>
      </c>
    </row>
    <row r="3" customFormat="false" ht="15" hidden="false" customHeight="false" outlineLevel="0" collapsed="false">
      <c r="A3" s="0" t="s">
        <v>79</v>
      </c>
      <c r="B3" s="3" t="n">
        <v>160.3</v>
      </c>
    </row>
    <row r="4" customFormat="false" ht="15" hidden="false" customHeight="false" outlineLevel="0" collapsed="false">
      <c r="A4" s="0" t="s">
        <v>80</v>
      </c>
      <c r="B4" s="3" t="n">
        <v>-322.35</v>
      </c>
    </row>
    <row r="5" customFormat="false" ht="15" hidden="false" customHeight="false" outlineLevel="0" collapsed="false">
      <c r="A5" s="0" t="s">
        <v>81</v>
      </c>
      <c r="B5" s="3" t="n">
        <v>876.3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793.689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-3</v>
      </c>
      <c r="D13" s="3" t="n">
        <v>-2</v>
      </c>
      <c r="E13" s="3" t="n">
        <v>-1</v>
      </c>
      <c r="F13" s="3" t="n">
        <v>0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29</v>
      </c>
      <c r="D14" s="3" t="n">
        <v>28</v>
      </c>
      <c r="E14" s="3" t="n">
        <v>27.5</v>
      </c>
      <c r="F14" s="3" t="n">
        <v>27.5</v>
      </c>
      <c r="G14" s="3" t="n">
        <v>27.5</v>
      </c>
      <c r="H14" s="3" t="n">
        <v>27.5</v>
      </c>
      <c r="I14" s="3" t="n">
        <v>27.5</v>
      </c>
      <c r="J14" s="3" t="n">
        <v>27.5</v>
      </c>
      <c r="K14" s="3" t="n">
        <v>27.5</v>
      </c>
      <c r="L14" s="3" t="n">
        <v>27.5</v>
      </c>
    </row>
    <row r="15" customFormat="false" ht="15" hidden="false" customHeight="false" outlineLevel="0" collapsed="false">
      <c r="A15" s="0" t="s">
        <v>101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102</v>
      </c>
      <c r="C16" s="3" t="n">
        <v>11.3</v>
      </c>
      <c r="D16" s="3" t="n">
        <v>11.5</v>
      </c>
      <c r="E16" s="3" t="n">
        <v>11.5</v>
      </c>
      <c r="F16" s="3" t="n">
        <v>11.5</v>
      </c>
      <c r="G16" s="3" t="n">
        <v>11.5</v>
      </c>
      <c r="H16" s="3" t="n">
        <v>11.5</v>
      </c>
      <c r="I16" s="3" t="n">
        <v>11.5</v>
      </c>
      <c r="J16" s="3" t="n">
        <v>11.5</v>
      </c>
      <c r="K16" s="3" t="n">
        <v>11.5</v>
      </c>
      <c r="L16" s="3" t="n">
        <v>11.5</v>
      </c>
    </row>
    <row r="17" customFormat="false" ht="15" hidden="false" customHeight="false" outlineLevel="0" collapsed="false">
      <c r="A17" s="0" t="s">
        <v>103</v>
      </c>
      <c r="C17" s="3" t="n">
        <v>1.5</v>
      </c>
      <c r="D17" s="3" t="n">
        <v>1.5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104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105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106</v>
      </c>
      <c r="B20" s="3" t="n">
        <v>10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-8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2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30.5</v>
      </c>
      <c r="D28" s="3" t="n">
        <v>31</v>
      </c>
      <c r="E28" s="3" t="n">
        <v>31</v>
      </c>
      <c r="F28" s="3" t="n">
        <v>31</v>
      </c>
      <c r="G28" s="3" t="n">
        <v>31</v>
      </c>
      <c r="H28" s="3" t="n">
        <v>31</v>
      </c>
      <c r="I28" s="3" t="n">
        <v>31</v>
      </c>
      <c r="J28" s="3" t="n">
        <v>31</v>
      </c>
      <c r="K28" s="3" t="n">
        <v>31</v>
      </c>
      <c r="L28" s="3" t="n">
        <v>31</v>
      </c>
    </row>
    <row r="29" customFormat="false" ht="15" hidden="false" customHeight="false" outlineLevel="0" collapsed="false">
      <c r="A29" s="0" t="s">
        <v>101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102</v>
      </c>
      <c r="C30" s="3" t="n">
        <v>10.8</v>
      </c>
      <c r="D30" s="3" t="n">
        <v>10.7</v>
      </c>
      <c r="E30" s="3" t="n">
        <v>10.6</v>
      </c>
      <c r="F30" s="3" t="n">
        <v>10.5</v>
      </c>
      <c r="G30" s="3" t="n">
        <v>10.5</v>
      </c>
      <c r="H30" s="3" t="n">
        <v>10.5</v>
      </c>
      <c r="I30" s="3" t="n">
        <v>10.5</v>
      </c>
      <c r="J30" s="3" t="n">
        <v>10.5</v>
      </c>
      <c r="K30" s="3" t="n">
        <v>10.5</v>
      </c>
      <c r="L30" s="3" t="n">
        <v>10.5</v>
      </c>
    </row>
    <row r="31" customFormat="false" ht="15" hidden="false" customHeight="false" outlineLevel="0" collapsed="false">
      <c r="A31" s="0" t="s">
        <v>103</v>
      </c>
      <c r="C31" s="3" t="n">
        <v>1.5</v>
      </c>
      <c r="D31" s="3" t="n">
        <v>1.5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104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105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106</v>
      </c>
      <c r="B34" s="3" t="n">
        <v>10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14</v>
      </c>
    </row>
    <row r="37" customFormat="false" ht="15" hidden="false" customHeight="false" outlineLevel="0" collapsed="false">
      <c r="A37" s="0" t="s">
        <v>109</v>
      </c>
      <c r="B37" s="3" t="n">
        <v>-8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4</v>
      </c>
      <c r="D41" s="3" t="n">
        <v>6</v>
      </c>
      <c r="E41" s="3" t="n">
        <v>6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31.5</v>
      </c>
      <c r="D42" s="3" t="n">
        <v>32</v>
      </c>
      <c r="E42" s="3" t="n">
        <v>32.5</v>
      </c>
      <c r="F42" s="3" t="n">
        <v>33</v>
      </c>
      <c r="G42" s="3" t="n">
        <v>33</v>
      </c>
      <c r="H42" s="3" t="n">
        <v>33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101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102</v>
      </c>
      <c r="C44" s="3" t="n">
        <v>10.6</v>
      </c>
      <c r="D44" s="3" t="n">
        <v>10.4</v>
      </c>
      <c r="E44" s="3" t="n">
        <v>10.2</v>
      </c>
      <c r="F44" s="3" t="n">
        <v>10</v>
      </c>
      <c r="G44" s="3" t="n">
        <v>10</v>
      </c>
      <c r="H44" s="3" t="n">
        <v>10</v>
      </c>
      <c r="I44" s="3" t="n">
        <v>10</v>
      </c>
      <c r="J44" s="3" t="n">
        <v>10</v>
      </c>
      <c r="K44" s="3" t="n">
        <v>10</v>
      </c>
      <c r="L44" s="3" t="n">
        <v>10</v>
      </c>
    </row>
    <row r="45" customFormat="false" ht="15" hidden="false" customHeight="false" outlineLevel="0" collapsed="false">
      <c r="A45" s="0" t="s">
        <v>103</v>
      </c>
      <c r="C45" s="3" t="n">
        <v>1.5</v>
      </c>
      <c r="D45" s="3" t="n">
        <v>1.5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104</v>
      </c>
      <c r="C46" s="3" t="n">
        <v>2.5</v>
      </c>
      <c r="D46" s="3" t="n">
        <v>2.5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105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106</v>
      </c>
      <c r="B48" s="3" t="n">
        <v>10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14</v>
      </c>
    </row>
    <row r="51" customFormat="false" ht="15" hidden="false" customHeight="false" outlineLevel="0" collapsed="false">
      <c r="A51" s="0" t="s">
        <v>109</v>
      </c>
      <c r="B51" s="3" t="n">
        <v>-8</v>
      </c>
    </row>
    <row r="52" customFormat="false" ht="15" hidden="false" customHeight="false" outlineLevel="0" collapsed="false">
      <c r="A52" s="0" t="s">
        <v>110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793.689</v>
      </c>
      <c r="C6" s="0" t="n">
        <f aca="false">B6*(1+C5/100)</f>
        <v>769.87833</v>
      </c>
      <c r="D6" s="0" t="n">
        <f aca="false">C6*(1+D5/100)</f>
        <v>754.4807634</v>
      </c>
      <c r="E6" s="0" t="n">
        <f aca="false">D6*(1+E5/100)</f>
        <v>746.935955766</v>
      </c>
      <c r="F6" s="0" t="n">
        <f aca="false">E6*(1+F5/100)</f>
        <v>746.935955766</v>
      </c>
      <c r="G6" s="0" t="n">
        <f aca="false">F6*(1+G5/100)</f>
        <v>754.40531532366</v>
      </c>
      <c r="H6" s="0" t="n">
        <f aca="false">G6*(1+H5/100)</f>
        <v>765.721395053515</v>
      </c>
      <c r="I6" s="0" t="n">
        <f aca="false">H6*(1+I5/100)</f>
        <v>781.035822954585</v>
      </c>
      <c r="J6" s="0" t="n">
        <f aca="false">I6*(1+J5/100)</f>
        <v>796.656539413677</v>
      </c>
      <c r="K6" s="0" t="n">
        <f aca="false">J6*(1+K5/100)</f>
        <v>812.58967020195</v>
      </c>
      <c r="L6" s="0" t="n">
        <f aca="false">K6*(1+L5/100)</f>
        <v>828.841463605989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29</v>
      </c>
      <c r="D7" s="4" t="n">
        <f aca="false">Assumptions!D14</f>
        <v>28</v>
      </c>
      <c r="E7" s="4" t="n">
        <f aca="false">Assumptions!E14</f>
        <v>27.5</v>
      </c>
      <c r="F7" s="4" t="n">
        <f aca="false">Assumptions!F14</f>
        <v>27.5</v>
      </c>
      <c r="G7" s="4" t="n">
        <f aca="false">Assumptions!G14</f>
        <v>27.5</v>
      </c>
      <c r="H7" s="4" t="n">
        <f aca="false">Assumptions!H14</f>
        <v>27.5</v>
      </c>
      <c r="I7" s="4" t="n">
        <f aca="false">Assumptions!I14</f>
        <v>27.5</v>
      </c>
      <c r="J7" s="4" t="n">
        <f aca="false">Assumptions!J14</f>
        <v>27.5</v>
      </c>
      <c r="K7" s="4" t="n">
        <f aca="false">Assumptions!K14</f>
        <v>27.5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223.2647157</v>
      </c>
      <c r="D8" s="0" t="n">
        <f aca="false">D6*D7/100</f>
        <v>211.254613752</v>
      </c>
      <c r="E8" s="0" t="n">
        <f aca="false">E6*E7/100</f>
        <v>205.40738783565</v>
      </c>
      <c r="F8" s="0" t="n">
        <f aca="false">F6*F7/100</f>
        <v>205.40738783565</v>
      </c>
      <c r="G8" s="0" t="n">
        <f aca="false">G6*G7/100</f>
        <v>207.461461714006</v>
      </c>
      <c r="H8" s="0" t="n">
        <f aca="false">H6*H7/100</f>
        <v>210.573383639717</v>
      </c>
      <c r="I8" s="0" t="n">
        <f aca="false">I6*I7/100</f>
        <v>214.784851312511</v>
      </c>
      <c r="J8" s="0" t="n">
        <f aca="false">J6*J7/100</f>
        <v>219.080548338761</v>
      </c>
      <c r="K8" s="0" t="n">
        <f aca="false">K6*K7/100</f>
        <v>223.462159305536</v>
      </c>
      <c r="L8" s="0" t="n">
        <f aca="false">L6*L7/100</f>
        <v>227.931402491647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-3.07951332</v>
      </c>
      <c r="D10" s="0" t="n">
        <f aca="false">-D6*D9/100</f>
        <v>-3.0179230536</v>
      </c>
      <c r="E10" s="0" t="n">
        <f aca="false">-E6*E9/100</f>
        <v>-2.987743823064</v>
      </c>
      <c r="F10" s="0" t="n">
        <f aca="false">-F6*F9/100</f>
        <v>-2.987743823064</v>
      </c>
      <c r="G10" s="0" t="n">
        <f aca="false">-G6*G9/100</f>
        <v>-3.01762126129464</v>
      </c>
      <c r="H10" s="0" t="n">
        <f aca="false">-H6*H9/100</f>
        <v>-3.06288558021406</v>
      </c>
      <c r="I10" s="0" t="n">
        <f aca="false">-I6*I9/100</f>
        <v>-3.12414329181834</v>
      </c>
      <c r="J10" s="0" t="n">
        <f aca="false">-J6*J9/100</f>
        <v>-3.18662615765471</v>
      </c>
      <c r="K10" s="0" t="n">
        <f aca="false">-K6*K9/100</f>
        <v>-3.2503586808078</v>
      </c>
      <c r="L10" s="0" t="n">
        <f aca="false">-L6*L9/100</f>
        <v>-3.31536585442396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133.18895109</v>
      </c>
      <c r="D11" s="0" t="n">
        <f aca="false">D8+D10+D24</f>
        <v>121.4714029074</v>
      </c>
      <c r="E11" s="0" t="n">
        <f aca="false">E8+E10+E24</f>
        <v>116.522009099496</v>
      </c>
      <c r="F11" s="0" t="n">
        <f aca="false">F8+F10+F24</f>
        <v>116.522009099496</v>
      </c>
      <c r="G11" s="0" t="n">
        <f aca="false">G8+G10+G24</f>
        <v>117.687229190491</v>
      </c>
      <c r="H11" s="0" t="n">
        <f aca="false">H8+H10+H24</f>
        <v>119.452537628348</v>
      </c>
      <c r="I11" s="0" t="n">
        <f aca="false">I8+I10+I24</f>
        <v>121.841588380915</v>
      </c>
      <c r="J11" s="0" t="n">
        <f aca="false">J8+J10+J24</f>
        <v>124.278420148534</v>
      </c>
      <c r="K11" s="0" t="n">
        <f aca="false">K8+K10+K24</f>
        <v>126.763988551504</v>
      </c>
      <c r="L11" s="0" t="n">
        <f aca="false">L8+L10+L24</f>
        <v>129.299268322534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-11.54817495</v>
      </c>
      <c r="D12" s="4" t="n">
        <f aca="false">-D6*Assumptions!D17/100</f>
        <v>-11.317211451</v>
      </c>
      <c r="E12" s="4" t="n">
        <f aca="false">-E6*Assumptions!E17/100</f>
        <v>-11.20403933649</v>
      </c>
      <c r="F12" s="4" t="n">
        <f aca="false">-F6*Assumptions!F17/100</f>
        <v>-11.20403933649</v>
      </c>
      <c r="G12" s="4" t="n">
        <f aca="false">-G6*Assumptions!G17/100</f>
        <v>-11.3160797298549</v>
      </c>
      <c r="H12" s="4" t="n">
        <f aca="false">-H6*Assumptions!H17/100</f>
        <v>-11.4858209258027</v>
      </c>
      <c r="I12" s="4" t="n">
        <f aca="false">-I6*Assumptions!I17/100</f>
        <v>-11.7155373443188</v>
      </c>
      <c r="J12" s="4" t="n">
        <f aca="false">-J6*Assumptions!J17/100</f>
        <v>-11.9498480912052</v>
      </c>
      <c r="K12" s="4" t="n">
        <f aca="false">-K6*Assumptions!K17/100</f>
        <v>-12.1888450530293</v>
      </c>
      <c r="L12" s="4" t="n">
        <f aca="false">-L6*Assumptions!L17/100</f>
        <v>-12.4326219540898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121.64077614</v>
      </c>
      <c r="D13" s="0" t="n">
        <f aca="false">D11+D12</f>
        <v>110.1541914564</v>
      </c>
      <c r="E13" s="0" t="n">
        <f aca="false">E11+E12</f>
        <v>105.317969763006</v>
      </c>
      <c r="F13" s="0" t="n">
        <f aca="false">F11+F12</f>
        <v>105.317969763006</v>
      </c>
      <c r="G13" s="0" t="n">
        <f aca="false">G11+G12</f>
        <v>106.371149460636</v>
      </c>
      <c r="H13" s="0" t="n">
        <f aca="false">H11+H12</f>
        <v>107.966716702546</v>
      </c>
      <c r="I13" s="0" t="n">
        <f aca="false">I11+I12</f>
        <v>110.126051036597</v>
      </c>
      <c r="J13" s="0" t="n">
        <f aca="false">J11+J12</f>
        <v>112.328572057328</v>
      </c>
      <c r="K13" s="0" t="n">
        <f aca="false">K11+K12</f>
        <v>114.575143498475</v>
      </c>
      <c r="L13" s="0" t="n">
        <f aca="false">L11+L12</f>
        <v>116.866646368444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85.148543298</v>
      </c>
      <c r="D15" s="0" t="n">
        <f aca="false">D13-MAX(0,D13)*D14/100</f>
        <v>77.10793401948</v>
      </c>
      <c r="E15" s="0" t="n">
        <f aca="false">E13-MAX(0,E13)*E14/100</f>
        <v>73.7225788341042</v>
      </c>
      <c r="F15" s="0" t="n">
        <f aca="false">F13-MAX(0,F13)*F14/100</f>
        <v>73.7225788341042</v>
      </c>
      <c r="G15" s="0" t="n">
        <f aca="false">G13-MAX(0,G13)*G14/100</f>
        <v>74.4598046224452</v>
      </c>
      <c r="H15" s="0" t="n">
        <f aca="false">H13-MAX(0,H13)*H14/100</f>
        <v>75.5767016917819</v>
      </c>
      <c r="I15" s="0" t="n">
        <f aca="false">I13-MAX(0,I13)*I14/100</f>
        <v>77.0882357256176</v>
      </c>
      <c r="J15" s="0" t="n">
        <f aca="false">J13-MAX(0,J13)*J14/100</f>
        <v>78.6300004401299</v>
      </c>
      <c r="K15" s="0" t="n">
        <f aca="false">K13-MAX(0,K13)*K14/100</f>
        <v>80.2026004489325</v>
      </c>
      <c r="L15" s="0" t="n">
        <f aca="false">L13-MAX(0,L13)*L14/100</f>
        <v>81.8066524579111</v>
      </c>
    </row>
    <row r="16" customFormat="false" ht="15" hidden="false" customHeight="false" outlineLevel="0" collapsed="false">
      <c r="A16" s="0" t="s">
        <v>121</v>
      </c>
      <c r="C16" s="0" t="n">
        <f aca="false">-C12</f>
        <v>11.54817495</v>
      </c>
      <c r="D16" s="0" t="n">
        <f aca="false">-D12</f>
        <v>11.317211451</v>
      </c>
      <c r="E16" s="0" t="n">
        <f aca="false">-E12</f>
        <v>11.20403933649</v>
      </c>
      <c r="F16" s="0" t="n">
        <f aca="false">-F12</f>
        <v>11.20403933649</v>
      </c>
      <c r="G16" s="0" t="n">
        <f aca="false">-G12</f>
        <v>11.3160797298549</v>
      </c>
      <c r="H16" s="0" t="n">
        <f aca="false">-H12</f>
        <v>11.4858209258027</v>
      </c>
      <c r="I16" s="0" t="n">
        <f aca="false">-I12</f>
        <v>11.7155373443188</v>
      </c>
      <c r="J16" s="0" t="n">
        <f aca="false">-J12</f>
        <v>11.9498480912052</v>
      </c>
      <c r="K16" s="0" t="n">
        <f aca="false">-K12</f>
        <v>12.1888450530293</v>
      </c>
      <c r="L16" s="0" t="n">
        <f aca="false">-L12</f>
        <v>12.4326219540898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-13.85780994</v>
      </c>
      <c r="D17" s="4" t="n">
        <f aca="false">-D6*Assumptions!D18/100</f>
        <v>-13.5806537412</v>
      </c>
      <c r="E17" s="4" t="n">
        <f aca="false">-E6*Assumptions!E18/100</f>
        <v>-13.444847203788</v>
      </c>
      <c r="F17" s="4" t="n">
        <f aca="false">-F6*Assumptions!F18/100</f>
        <v>-13.444847203788</v>
      </c>
      <c r="G17" s="4" t="n">
        <f aca="false">-G6*Assumptions!G18/100</f>
        <v>-13.5792956758259</v>
      </c>
      <c r="H17" s="4" t="n">
        <f aca="false">-H6*Assumptions!H18/100</f>
        <v>-13.7829851109633</v>
      </c>
      <c r="I17" s="4" t="n">
        <f aca="false">-I6*Assumptions!I18/100</f>
        <v>-14.0586448131825</v>
      </c>
      <c r="J17" s="4" t="n">
        <f aca="false">-J6*Assumptions!J18/100</f>
        <v>-14.3398177094462</v>
      </c>
      <c r="K17" s="4" t="n">
        <f aca="false">-K6*Assumptions!K18/100</f>
        <v>-14.6266140636351</v>
      </c>
      <c r="L17" s="4" t="n">
        <f aca="false">-L6*Assumptions!L18/100</f>
        <v>-14.9191463449078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1.90485360000001</v>
      </c>
      <c r="D18" s="4" t="n">
        <f aca="false">(D6-C6)*Assumptions!$B$23/100</f>
        <v>1.231805328</v>
      </c>
      <c r="E18" s="4" t="n">
        <f aca="false">(E6-D6)*Assumptions!$B$23/100</f>
        <v>0.60358461072</v>
      </c>
      <c r="F18" s="4" t="n">
        <f aca="false">(F6-E6)*Assumptions!$B$23/100</f>
        <v>-0</v>
      </c>
      <c r="G18" s="4" t="n">
        <f aca="false">(G6-F6)*Assumptions!$B$23/100</f>
        <v>-0.597548764612802</v>
      </c>
      <c r="H18" s="4" t="n">
        <f aca="false">(H6-G6)*Assumptions!$B$23/100</f>
        <v>-0.905286378388382</v>
      </c>
      <c r="I18" s="4" t="n">
        <f aca="false">(I6-H6)*Assumptions!$B$23/100</f>
        <v>-1.22515423208562</v>
      </c>
      <c r="J18" s="4" t="n">
        <f aca="false">(J6-I6)*Assumptions!$B$23/100</f>
        <v>-1.24965731672733</v>
      </c>
      <c r="K18" s="4" t="n">
        <f aca="false">(K6-J6)*Assumptions!$B$23/100</f>
        <v>-1.27465046306188</v>
      </c>
      <c r="L18" s="4" t="n">
        <f aca="false">(L6-K6)*Assumptions!$B$23/100</f>
        <v>-1.30014347232313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84.743761908</v>
      </c>
      <c r="D19" s="0" t="n">
        <f aca="false">D15+D16+D17+D18</f>
        <v>76.07629705728</v>
      </c>
      <c r="E19" s="0" t="n">
        <f aca="false">E15+E16+E17+E18</f>
        <v>72.0853555775262</v>
      </c>
      <c r="F19" s="0" t="n">
        <f aca="false">F15+F16+F17+F18</f>
        <v>71.4817709668062</v>
      </c>
      <c r="G19" s="0" t="n">
        <f aca="false">G15+G16+G17+G18</f>
        <v>71.5990399118615</v>
      </c>
      <c r="H19" s="0" t="n">
        <f aca="false">H15+H16+H17+H18</f>
        <v>72.374251128233</v>
      </c>
      <c r="I19" s="0" t="n">
        <f aca="false">I15+I16+I17+I18</f>
        <v>73.5199740246682</v>
      </c>
      <c r="J19" s="0" t="n">
        <f aca="false">J15+J16+J17+J18</f>
        <v>74.9903735051615</v>
      </c>
      <c r="K19" s="0" t="n">
        <f aca="false">K15+K16+K17+K18</f>
        <v>76.4901809752648</v>
      </c>
      <c r="L19" s="0" t="n">
        <f aca="false">L15+L16+L17+L18</f>
        <v>78.01998459477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77.0397835527273</v>
      </c>
      <c r="D21" s="0" t="n">
        <f aca="false">D19*D20</f>
        <v>62.8729727746116</v>
      </c>
      <c r="E21" s="0" t="n">
        <f aca="false">E19*E20</f>
        <v>54.1587945736485</v>
      </c>
      <c r="F21" s="0" t="n">
        <f aca="false">F19*F20</f>
        <v>48.8230113836529</v>
      </c>
      <c r="G21" s="0" t="n">
        <f aca="false">G19*G20</f>
        <v>44.4573705918383</v>
      </c>
      <c r="H21" s="0" t="n">
        <f aca="false">H19*H20</f>
        <v>40.8533779690527</v>
      </c>
      <c r="I21" s="0" t="n">
        <f aca="false">I19*I20</f>
        <v>37.7273715228691</v>
      </c>
      <c r="J21" s="0" t="n">
        <f aca="false">J19*J20</f>
        <v>34.9835626848423</v>
      </c>
      <c r="K21" s="0" t="n">
        <f aca="false">K19*K20</f>
        <v>32.4393035804901</v>
      </c>
      <c r="L21" s="0" t="n">
        <f aca="false">L19*L20</f>
        <v>30.080081501909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11.3</v>
      </c>
      <c r="D23" s="4" t="n">
        <f aca="false">Assumptions!D16</f>
        <v>11.5</v>
      </c>
      <c r="E23" s="4" t="n">
        <f aca="false">Assumptions!E16</f>
        <v>11.5</v>
      </c>
      <c r="F23" s="4" t="n">
        <f aca="false">Assumptions!F16</f>
        <v>11.5</v>
      </c>
      <c r="G23" s="4" t="n">
        <f aca="false">Assumptions!G16</f>
        <v>11.5</v>
      </c>
      <c r="H23" s="4" t="n">
        <f aca="false">Assumptions!H16</f>
        <v>11.5</v>
      </c>
      <c r="I23" s="4" t="n">
        <f aca="false">Assumptions!I16</f>
        <v>11.5</v>
      </c>
      <c r="J23" s="4" t="n">
        <f aca="false">Assumptions!J16</f>
        <v>11.5</v>
      </c>
      <c r="K23" s="4" t="n">
        <f aca="false">Assumptions!K16</f>
        <v>11.5</v>
      </c>
      <c r="L23" s="4" t="n">
        <f aca="false">Assumptions!L16</f>
        <v>11.5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-86.99625129</v>
      </c>
      <c r="D24" s="0" t="n">
        <f aca="false">-D6*D23/100</f>
        <v>-86.765287791</v>
      </c>
      <c r="E24" s="0" t="n">
        <f aca="false">-E6*E23/100</f>
        <v>-85.89763491309</v>
      </c>
      <c r="F24" s="0" t="n">
        <f aca="false">-F6*F23/100</f>
        <v>-85.89763491309</v>
      </c>
      <c r="G24" s="0" t="n">
        <f aca="false">-G6*G23/100</f>
        <v>-86.7566112622209</v>
      </c>
      <c r="H24" s="0" t="n">
        <f aca="false">-H6*H23/100</f>
        <v>-88.0579604311542</v>
      </c>
      <c r="I24" s="0" t="n">
        <f aca="false">-I6*I23/100</f>
        <v>-89.8191196397773</v>
      </c>
      <c r="J24" s="0" t="n">
        <f aca="false">-J6*J23/100</f>
        <v>-91.6155020325728</v>
      </c>
      <c r="K24" s="0" t="n">
        <f aca="false">-K6*K23/100</f>
        <v>-93.4478120732243</v>
      </c>
      <c r="L24" s="0" t="n">
        <f aca="false">-L6*L23/100</f>
        <v>-95.3167683146888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463.435630135642</v>
      </c>
    </row>
    <row r="31" customFormat="false" ht="15" hidden="false" customHeight="false" outlineLevel="0" collapsed="false">
      <c r="A31" s="0" t="s">
        <v>130</v>
      </c>
      <c r="B31" s="0" t="n">
        <f aca="false">L19</f>
        <v>78.01998459477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994.754803583318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936.23981513724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936.23981513724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360.960978022908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824.39660815855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2023.04660815855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12.6203780920683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0.0560985851103186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18.9281892281249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16.2972674790063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12.8401251707154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612.156802205119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10.789249057768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2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793.689</v>
      </c>
      <c r="C6" s="0" t="n">
        <f aca="false">B6*(1+C5/100)</f>
        <v>809.56278</v>
      </c>
      <c r="D6" s="0" t="n">
        <f aca="false">C6*(1+D5/100)</f>
        <v>837.8974773</v>
      </c>
      <c r="E6" s="0" t="n">
        <f aca="false">D6*(1+E5/100)</f>
        <v>867.2238890055</v>
      </c>
      <c r="F6" s="0" t="n">
        <f aca="false">E6*(1+F5/100)</f>
        <v>893.240605675665</v>
      </c>
      <c r="G6" s="0" t="n">
        <f aca="false">F6*(1+G5/100)</f>
        <v>920.037823845935</v>
      </c>
      <c r="H6" s="0" t="n">
        <f aca="false">G6*(1+H5/100)</f>
        <v>943.038769442083</v>
      </c>
      <c r="I6" s="0" t="n">
        <f aca="false">H6*(1+I5/100)</f>
        <v>966.614738678135</v>
      </c>
      <c r="J6" s="0" t="n">
        <f aca="false">I6*(1+J5/100)</f>
        <v>990.780107145088</v>
      </c>
      <c r="K6" s="0" t="n">
        <f aca="false">J6*(1+K5/100)</f>
        <v>1015.54960982372</v>
      </c>
      <c r="L6" s="0" t="n">
        <f aca="false">K6*(1+L5/100)</f>
        <v>1040.93835006931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30.5</v>
      </c>
      <c r="D7" s="4" t="n">
        <f aca="false">Assumptions!D28</f>
        <v>31</v>
      </c>
      <c r="E7" s="4" t="n">
        <f aca="false">Assumptions!E28</f>
        <v>31</v>
      </c>
      <c r="F7" s="4" t="n">
        <f aca="false">Assumptions!F28</f>
        <v>31</v>
      </c>
      <c r="G7" s="4" t="n">
        <f aca="false">Assumptions!G28</f>
        <v>31</v>
      </c>
      <c r="H7" s="4" t="n">
        <f aca="false">Assumptions!H28</f>
        <v>31</v>
      </c>
      <c r="I7" s="4" t="n">
        <f aca="false">Assumptions!I28</f>
        <v>31</v>
      </c>
      <c r="J7" s="4" t="n">
        <f aca="false">Assumptions!J28</f>
        <v>31</v>
      </c>
      <c r="K7" s="4" t="n">
        <f aca="false">Assumptions!K28</f>
        <v>31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246.9166479</v>
      </c>
      <c r="D8" s="0" t="n">
        <f aca="false">D6*D7/100</f>
        <v>259.748217963</v>
      </c>
      <c r="E8" s="0" t="n">
        <f aca="false">E6*E7/100</f>
        <v>268.839405591705</v>
      </c>
      <c r="F8" s="0" t="n">
        <f aca="false">F6*F7/100</f>
        <v>276.904587759456</v>
      </c>
      <c r="G8" s="0" t="n">
        <f aca="false">G6*G7/100</f>
        <v>285.21172539224</v>
      </c>
      <c r="H8" s="0" t="n">
        <f aca="false">H6*H7/100</f>
        <v>292.342018527046</v>
      </c>
      <c r="I8" s="0" t="n">
        <f aca="false">I6*I7/100</f>
        <v>299.650568990222</v>
      </c>
      <c r="J8" s="0" t="n">
        <f aca="false">J6*J7/100</f>
        <v>307.141833214977</v>
      </c>
      <c r="K8" s="0" t="n">
        <f aca="false">K6*K7/100</f>
        <v>314.820379045352</v>
      </c>
      <c r="L8" s="0" t="n">
        <f aca="false">L6*L7/100</f>
        <v>322.690888521486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-3.23825112</v>
      </c>
      <c r="D10" s="0" t="n">
        <f aca="false">-D6*D9/100</f>
        <v>-3.3515899092</v>
      </c>
      <c r="E10" s="0" t="n">
        <f aca="false">-E6*E9/100</f>
        <v>-3.468895556022</v>
      </c>
      <c r="F10" s="0" t="n">
        <f aca="false">-F6*F9/100</f>
        <v>-3.57296242270266</v>
      </c>
      <c r="G10" s="0" t="n">
        <f aca="false">-G6*G9/100</f>
        <v>-3.68015129538374</v>
      </c>
      <c r="H10" s="0" t="n">
        <f aca="false">-H6*H9/100</f>
        <v>-3.77215507776833</v>
      </c>
      <c r="I10" s="0" t="n">
        <f aca="false">-I6*I9/100</f>
        <v>-3.86645895471254</v>
      </c>
      <c r="J10" s="0" t="n">
        <f aca="false">-J6*J9/100</f>
        <v>-3.96312042858035</v>
      </c>
      <c r="K10" s="0" t="n">
        <f aca="false">-K6*K9/100</f>
        <v>-4.06219843929486</v>
      </c>
      <c r="L10" s="0" t="n">
        <f aca="false">-L6*L9/100</f>
        <v>-4.16375340027723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156.24561654</v>
      </c>
      <c r="D11" s="0" t="n">
        <f aca="false">D8+D10+D24</f>
        <v>166.7415979827</v>
      </c>
      <c r="E11" s="0" t="n">
        <f aca="false">E8+E10+E24</f>
        <v>173.4447778011</v>
      </c>
      <c r="F11" s="0" t="n">
        <f aca="false">F8+F10+F24</f>
        <v>179.541361740809</v>
      </c>
      <c r="G11" s="0" t="n">
        <f aca="false">G8+G10+G24</f>
        <v>184.927602593033</v>
      </c>
      <c r="H11" s="0" t="n">
        <f aca="false">H8+H10+H24</f>
        <v>189.550792657859</v>
      </c>
      <c r="I11" s="0" t="n">
        <f aca="false">I8+I10+I24</f>
        <v>194.289562474305</v>
      </c>
      <c r="J11" s="0" t="n">
        <f aca="false">J8+J10+J24</f>
        <v>199.146801536163</v>
      </c>
      <c r="K11" s="0" t="n">
        <f aca="false">K8+K10+K24</f>
        <v>204.125471574567</v>
      </c>
      <c r="L11" s="0" t="n">
        <f aca="false">L8+L10+L24</f>
        <v>209.228608363931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-12.1434417</v>
      </c>
      <c r="D12" s="4" t="n">
        <f aca="false">-D6*Assumptions!D31/100</f>
        <v>-12.5684621595</v>
      </c>
      <c r="E12" s="4" t="n">
        <f aca="false">-E6*Assumptions!E31/100</f>
        <v>-13.0083583350825</v>
      </c>
      <c r="F12" s="4" t="n">
        <f aca="false">-F6*Assumptions!F31/100</f>
        <v>-13.398609085135</v>
      </c>
      <c r="G12" s="4" t="n">
        <f aca="false">-G6*Assumptions!G31/100</f>
        <v>-13.800567357689</v>
      </c>
      <c r="H12" s="4" t="n">
        <f aca="false">-H6*Assumptions!H31/100</f>
        <v>-14.1455815416312</v>
      </c>
      <c r="I12" s="4" t="n">
        <f aca="false">-I6*Assumptions!I31/100</f>
        <v>-14.499221080172</v>
      </c>
      <c r="J12" s="4" t="n">
        <f aca="false">-J6*Assumptions!J31/100</f>
        <v>-14.8617016071763</v>
      </c>
      <c r="K12" s="4" t="n">
        <f aca="false">-K6*Assumptions!K31/100</f>
        <v>-15.2332441473557</v>
      </c>
      <c r="L12" s="4" t="n">
        <f aca="false">-L6*Assumptions!L31/100</f>
        <v>-15.6140752510396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144.10217484</v>
      </c>
      <c r="D13" s="0" t="n">
        <f aca="false">D11+D12</f>
        <v>154.1731358232</v>
      </c>
      <c r="E13" s="0" t="n">
        <f aca="false">E11+E12</f>
        <v>160.436419466017</v>
      </c>
      <c r="F13" s="0" t="n">
        <f aca="false">F11+F12</f>
        <v>166.142752655674</v>
      </c>
      <c r="G13" s="0" t="n">
        <f aca="false">G11+G12</f>
        <v>171.127035235344</v>
      </c>
      <c r="H13" s="0" t="n">
        <f aca="false">H11+H12</f>
        <v>175.405211116227</v>
      </c>
      <c r="I13" s="0" t="n">
        <f aca="false">I11+I12</f>
        <v>179.790341394133</v>
      </c>
      <c r="J13" s="0" t="n">
        <f aca="false">J11+J12</f>
        <v>184.285099928986</v>
      </c>
      <c r="K13" s="0" t="n">
        <f aca="false">K11+K12</f>
        <v>188.892227427211</v>
      </c>
      <c r="L13" s="0" t="n">
        <f aca="false">L11+L12</f>
        <v>193.614533112891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100.871522388</v>
      </c>
      <c r="D15" s="0" t="n">
        <f aca="false">D13-MAX(0,D13)*D14/100</f>
        <v>107.92119507624</v>
      </c>
      <c r="E15" s="0" t="n">
        <f aca="false">E13-MAX(0,E13)*E14/100</f>
        <v>112.305493626212</v>
      </c>
      <c r="F15" s="0" t="n">
        <f aca="false">F13-MAX(0,F13)*F14/100</f>
        <v>116.299926858972</v>
      </c>
      <c r="G15" s="0" t="n">
        <f aca="false">G13-MAX(0,G13)*G14/100</f>
        <v>119.788924664741</v>
      </c>
      <c r="H15" s="0" t="n">
        <f aca="false">H13-MAX(0,H13)*H14/100</f>
        <v>122.783647781359</v>
      </c>
      <c r="I15" s="0" t="n">
        <f aca="false">I13-MAX(0,I13)*I14/100</f>
        <v>125.853238975893</v>
      </c>
      <c r="J15" s="0" t="n">
        <f aca="false">J13-MAX(0,J13)*J14/100</f>
        <v>128.999569950291</v>
      </c>
      <c r="K15" s="0" t="n">
        <f aca="false">K13-MAX(0,K13)*K14/100</f>
        <v>132.224559199048</v>
      </c>
      <c r="L15" s="0" t="n">
        <f aca="false">L13-MAX(0,L13)*L14/100</f>
        <v>135.530173179024</v>
      </c>
    </row>
    <row r="16" customFormat="false" ht="15" hidden="false" customHeight="false" outlineLevel="0" collapsed="false">
      <c r="A16" s="0" t="s">
        <v>121</v>
      </c>
      <c r="C16" s="0" t="n">
        <f aca="false">-C12</f>
        <v>12.1434417</v>
      </c>
      <c r="D16" s="0" t="n">
        <f aca="false">-D12</f>
        <v>12.5684621595</v>
      </c>
      <c r="E16" s="0" t="n">
        <f aca="false">-E12</f>
        <v>13.0083583350825</v>
      </c>
      <c r="F16" s="0" t="n">
        <f aca="false">-F12</f>
        <v>13.398609085135</v>
      </c>
      <c r="G16" s="0" t="n">
        <f aca="false">-G12</f>
        <v>13.800567357689</v>
      </c>
      <c r="H16" s="0" t="n">
        <f aca="false">-H12</f>
        <v>14.1455815416312</v>
      </c>
      <c r="I16" s="0" t="n">
        <f aca="false">-I12</f>
        <v>14.499221080172</v>
      </c>
      <c r="J16" s="0" t="n">
        <f aca="false">-J12</f>
        <v>14.8617016071763</v>
      </c>
      <c r="K16" s="0" t="n">
        <f aca="false">-K12</f>
        <v>15.2332441473557</v>
      </c>
      <c r="L16" s="0" t="n">
        <f aca="false">-L12</f>
        <v>15.6140752510396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-17.81038116</v>
      </c>
      <c r="D17" s="4" t="n">
        <f aca="false">-D6*Assumptions!D32/100</f>
        <v>-18.4337445006</v>
      </c>
      <c r="E17" s="4" t="n">
        <f aca="false">-E6*Assumptions!E32/100</f>
        <v>-19.078925558121</v>
      </c>
      <c r="F17" s="4" t="n">
        <f aca="false">-F6*Assumptions!F32/100</f>
        <v>-19.6512933248646</v>
      </c>
      <c r="G17" s="4" t="n">
        <f aca="false">-G6*Assumptions!G32/100</f>
        <v>-20.2408321246106</v>
      </c>
      <c r="H17" s="4" t="n">
        <f aca="false">-H6*Assumptions!H32/100</f>
        <v>-20.7468529277258</v>
      </c>
      <c r="I17" s="4" t="n">
        <f aca="false">-I6*Assumptions!I32/100</f>
        <v>-21.265524250919</v>
      </c>
      <c r="J17" s="4" t="n">
        <f aca="false">-J6*Assumptions!J32/100</f>
        <v>-21.7971623571919</v>
      </c>
      <c r="K17" s="4" t="n">
        <f aca="false">-K6*Assumptions!K32/100</f>
        <v>-22.3420914161217</v>
      </c>
      <c r="L17" s="4" t="n">
        <f aca="false">-L6*Assumptions!L32/100</f>
        <v>-22.9006437015248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-1.2699024</v>
      </c>
      <c r="D18" s="4" t="n">
        <f aca="false">(D6-C6)*Assumptions!$B$37/100</f>
        <v>-2.26677578399999</v>
      </c>
      <c r="E18" s="4" t="n">
        <f aca="false">(E6-D6)*Assumptions!$B$37/100</f>
        <v>-2.34611293644</v>
      </c>
      <c r="F18" s="4" t="n">
        <f aca="false">(F6-E6)*Assumptions!$B$37/100</f>
        <v>-2.0813373336132</v>
      </c>
      <c r="G18" s="4" t="n">
        <f aca="false">(G6-F6)*Assumptions!$B$37/100</f>
        <v>-2.1437774536216</v>
      </c>
      <c r="H18" s="4" t="n">
        <f aca="false">(H6-G6)*Assumptions!$B$37/100</f>
        <v>-1.84007564769187</v>
      </c>
      <c r="I18" s="4" t="n">
        <f aca="false">(I6-H6)*Assumptions!$B$37/100</f>
        <v>-1.88607753888416</v>
      </c>
      <c r="J18" s="4" t="n">
        <f aca="false">(J6-I6)*Assumptions!$B$37/100</f>
        <v>-1.93322947735626</v>
      </c>
      <c r="K18" s="4" t="n">
        <f aca="false">(K6-J6)*Assumptions!$B$37/100</f>
        <v>-1.98156021429017</v>
      </c>
      <c r="L18" s="4" t="n">
        <f aca="false">(L6-K6)*Assumptions!$B$37/100</f>
        <v>-2.03109921964742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93.9346805279999</v>
      </c>
      <c r="D19" s="0" t="n">
        <f aca="false">D15+D16+D17+D18</f>
        <v>99.78913695114</v>
      </c>
      <c r="E19" s="0" t="n">
        <f aca="false">E15+E16+E17+E18</f>
        <v>103.888813466734</v>
      </c>
      <c r="F19" s="0" t="n">
        <f aca="false">F15+F16+F17+F18</f>
        <v>107.965905285629</v>
      </c>
      <c r="G19" s="0" t="n">
        <f aca="false">G15+G16+G17+G18</f>
        <v>111.204882444198</v>
      </c>
      <c r="H19" s="0" t="n">
        <f aca="false">H15+H16+H17+H18</f>
        <v>114.342300747573</v>
      </c>
      <c r="I19" s="0" t="n">
        <f aca="false">I15+I16+I17+I18</f>
        <v>117.200858266262</v>
      </c>
      <c r="J19" s="0" t="n">
        <f aca="false">J15+J16+J17+J18</f>
        <v>120.130879722919</v>
      </c>
      <c r="K19" s="0" t="n">
        <f aca="false">K15+K16+K17+K18</f>
        <v>123.134151715992</v>
      </c>
      <c r="L19" s="0" t="n">
        <f aca="false">L15+L16+L17+L18</f>
        <v>126.212505508891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85.3951641163636</v>
      </c>
      <c r="D21" s="0" t="n">
        <f aca="false">D19*D20</f>
        <v>82.4703611166446</v>
      </c>
      <c r="E21" s="0" t="n">
        <f aca="false">E19*E20</f>
        <v>78.0532032056602</v>
      </c>
      <c r="F21" s="0" t="n">
        <f aca="false">F19*F20</f>
        <v>73.7421660307552</v>
      </c>
      <c r="G21" s="0" t="n">
        <f aca="false">G19*G20</f>
        <v>69.0494827378889</v>
      </c>
      <c r="H21" s="0" t="n">
        <f aca="false">H19*H20</f>
        <v>64.5432478743734</v>
      </c>
      <c r="I21" s="0" t="n">
        <f aca="false">I19*I20</f>
        <v>60.1425718829388</v>
      </c>
      <c r="J21" s="0" t="n">
        <f aca="false">J19*J20</f>
        <v>56.0419419818293</v>
      </c>
      <c r="K21" s="0" t="n">
        <f aca="false">K19*K20</f>
        <v>52.2209004830682</v>
      </c>
      <c r="L21" s="0" t="n">
        <f aca="false">L19*L20</f>
        <v>48.6603845410408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10.8</v>
      </c>
      <c r="D23" s="4" t="n">
        <f aca="false">Assumptions!D30</f>
        <v>10.7</v>
      </c>
      <c r="E23" s="4" t="n">
        <f aca="false">Assumptions!E30</f>
        <v>10.6</v>
      </c>
      <c r="F23" s="4" t="n">
        <f aca="false">Assumptions!F30</f>
        <v>10.5</v>
      </c>
      <c r="G23" s="4" t="n">
        <f aca="false">Assumptions!G30</f>
        <v>10.5</v>
      </c>
      <c r="H23" s="4" t="n">
        <f aca="false">Assumptions!H30</f>
        <v>10.5</v>
      </c>
      <c r="I23" s="4" t="n">
        <f aca="false">Assumptions!I30</f>
        <v>10.5</v>
      </c>
      <c r="J23" s="4" t="n">
        <f aca="false">Assumptions!J30</f>
        <v>10.5</v>
      </c>
      <c r="K23" s="4" t="n">
        <f aca="false">Assumptions!K30</f>
        <v>10.5</v>
      </c>
      <c r="L23" s="4" t="n">
        <f aca="false">Assumptions!L30</f>
        <v>10.5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-87.43278024</v>
      </c>
      <c r="D24" s="0" t="n">
        <f aca="false">-D6*D23/100</f>
        <v>-89.6550300711</v>
      </c>
      <c r="E24" s="0" t="n">
        <f aca="false">-E6*E23/100</f>
        <v>-91.925732234583</v>
      </c>
      <c r="F24" s="0" t="n">
        <f aca="false">-F6*F23/100</f>
        <v>-93.7902635959448</v>
      </c>
      <c r="G24" s="0" t="n">
        <f aca="false">-G6*G23/100</f>
        <v>-96.6039715038232</v>
      </c>
      <c r="H24" s="0" t="n">
        <f aca="false">-H6*H23/100</f>
        <v>-99.0190707914187</v>
      </c>
      <c r="I24" s="0" t="n">
        <f aca="false">-I6*I23/100</f>
        <v>-101.494547561204</v>
      </c>
      <c r="J24" s="0" t="n">
        <f aca="false">-J6*J23/100</f>
        <v>-104.031911250234</v>
      </c>
      <c r="K24" s="0" t="n">
        <f aca="false">-K6*K23/100</f>
        <v>-106.63270903149</v>
      </c>
      <c r="L24" s="0" t="n">
        <f aca="false">-L6*L23/100</f>
        <v>-109.298526757277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670.319423970563</v>
      </c>
    </row>
    <row r="31" customFormat="false" ht="15" hidden="false" customHeight="false" outlineLevel="0" collapsed="false">
      <c r="A31" s="0" t="s">
        <v>130</v>
      </c>
      <c r="B31" s="0" t="n">
        <f aca="false">L19</f>
        <v>126.212505508891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1724.90424195485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1766.97507712448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1724.90424195485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665.025255394225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1335.34467936479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2533.99467936479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15.8078270702732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0.32283071717767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22.3357608633486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21.9391981583225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16.0840276880004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1034.94254517291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12.4510344827678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793.689</v>
      </c>
      <c r="C6" s="0" t="n">
        <f aca="false">B6*(1+C5/100)</f>
        <v>825.43656</v>
      </c>
      <c r="D6" s="0" t="n">
        <f aca="false">C6*(1+D5/100)</f>
        <v>874.9627536</v>
      </c>
      <c r="E6" s="0" t="n">
        <f aca="false">D6*(1+E5/100)</f>
        <v>927.460518816</v>
      </c>
      <c r="F6" s="0" t="n">
        <f aca="false">E6*(1+F5/100)</f>
        <v>973.8335447568</v>
      </c>
      <c r="G6" s="0" t="n">
        <f aca="false">F6*(1+G5/100)</f>
        <v>1012.78688654707</v>
      </c>
      <c r="H6" s="0" t="n">
        <f aca="false">G6*(1+H5/100)</f>
        <v>1048.23442757622</v>
      </c>
      <c r="I6" s="0" t="n">
        <f aca="false">H6*(1+I5/100)</f>
        <v>1079.68146040351</v>
      </c>
      <c r="J6" s="0" t="n">
        <f aca="false">I6*(1+J5/100)</f>
        <v>1112.07190421561</v>
      </c>
      <c r="K6" s="0" t="n">
        <f aca="false">J6*(1+K5/100)</f>
        <v>1139.873701821</v>
      </c>
      <c r="L6" s="0" t="n">
        <f aca="false">K6*(1+L5/100)</f>
        <v>1168.37054436653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31.5</v>
      </c>
      <c r="D7" s="4" t="n">
        <f aca="false">Assumptions!D42</f>
        <v>32</v>
      </c>
      <c r="E7" s="4" t="n">
        <f aca="false">Assumptions!E42</f>
        <v>32.5</v>
      </c>
      <c r="F7" s="4" t="n">
        <f aca="false">Assumptions!F42</f>
        <v>33</v>
      </c>
      <c r="G7" s="4" t="n">
        <f aca="false">Assumptions!G42</f>
        <v>33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260.0125164</v>
      </c>
      <c r="D8" s="0" t="n">
        <f aca="false">D6*D7/100</f>
        <v>279.988081152</v>
      </c>
      <c r="E8" s="0" t="n">
        <f aca="false">E6*E7/100</f>
        <v>301.4246686152</v>
      </c>
      <c r="F8" s="0" t="n">
        <f aca="false">F6*F7/100</f>
        <v>321.365069769744</v>
      </c>
      <c r="G8" s="0" t="n">
        <f aca="false">G6*G7/100</f>
        <v>334.219672560534</v>
      </c>
      <c r="H8" s="0" t="n">
        <f aca="false">H6*H7/100</f>
        <v>345.917361100153</v>
      </c>
      <c r="I8" s="0" t="n">
        <f aca="false">I6*I7/100</f>
        <v>356.294881933157</v>
      </c>
      <c r="J8" s="0" t="n">
        <f aca="false">J6*J7/100</f>
        <v>366.983728391152</v>
      </c>
      <c r="K8" s="0" t="n">
        <f aca="false">K6*K7/100</f>
        <v>376.158321600931</v>
      </c>
      <c r="L8" s="0" t="n">
        <f aca="false">L6*L7/100</f>
        <v>385.562279640954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-3.30174624</v>
      </c>
      <c r="D10" s="0" t="n">
        <f aca="false">-D6*D9/100</f>
        <v>-3.4998510144</v>
      </c>
      <c r="E10" s="0" t="n">
        <f aca="false">-E6*E9/100</f>
        <v>-3.709842075264</v>
      </c>
      <c r="F10" s="0" t="n">
        <f aca="false">-F6*F9/100</f>
        <v>-3.8953341790272</v>
      </c>
      <c r="G10" s="0" t="n">
        <f aca="false">-G6*G9/100</f>
        <v>-4.05114754618829</v>
      </c>
      <c r="H10" s="0" t="n">
        <f aca="false">-H6*H9/100</f>
        <v>-4.19293771030488</v>
      </c>
      <c r="I10" s="0" t="n">
        <f aca="false">-I6*I9/100</f>
        <v>-4.31872584161403</v>
      </c>
      <c r="J10" s="0" t="n">
        <f aca="false">-J6*J9/100</f>
        <v>-4.44828761686245</v>
      </c>
      <c r="K10" s="0" t="n">
        <f aca="false">-K6*K9/100</f>
        <v>-4.55949480728401</v>
      </c>
      <c r="L10" s="0" t="n">
        <f aca="false">-L6*L9/100</f>
        <v>-4.67348217746611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169.2144948</v>
      </c>
      <c r="D11" s="0" t="n">
        <f aca="false">D8+D10+D24</f>
        <v>185.4921037632</v>
      </c>
      <c r="E11" s="0" t="n">
        <f aca="false">E8+E10+E24</f>
        <v>203.113853620704</v>
      </c>
      <c r="F11" s="0" t="n">
        <f aca="false">F8+F10+F24</f>
        <v>220.086381115037</v>
      </c>
      <c r="G11" s="0" t="n">
        <f aca="false">G8+G10+G24</f>
        <v>228.889836359638</v>
      </c>
      <c r="H11" s="0" t="n">
        <f aca="false">H8+H10+H24</f>
        <v>236.900980632226</v>
      </c>
      <c r="I11" s="0" t="n">
        <f aca="false">I8+I10+I24</f>
        <v>244.008010051192</v>
      </c>
      <c r="J11" s="0" t="n">
        <f aca="false">J8+J10+J24</f>
        <v>251.328250352728</v>
      </c>
      <c r="K11" s="0" t="n">
        <f aca="false">K8+K10+K24</f>
        <v>257.611456611546</v>
      </c>
      <c r="L11" s="0" t="n">
        <f aca="false">L8+L10+L24</f>
        <v>264.051743026835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-12.3815484</v>
      </c>
      <c r="D12" s="4" t="n">
        <f aca="false">-D6*Assumptions!D45/100</f>
        <v>-13.124441304</v>
      </c>
      <c r="E12" s="4" t="n">
        <f aca="false">-E6*Assumptions!E45/100</f>
        <v>-13.91190778224</v>
      </c>
      <c r="F12" s="4" t="n">
        <f aca="false">-F6*Assumptions!F45/100</f>
        <v>-14.607503171352</v>
      </c>
      <c r="G12" s="4" t="n">
        <f aca="false">-G6*Assumptions!G45/100</f>
        <v>-15.1918032982061</v>
      </c>
      <c r="H12" s="4" t="n">
        <f aca="false">-H6*Assumptions!H45/100</f>
        <v>-15.7235164136433</v>
      </c>
      <c r="I12" s="4" t="n">
        <f aca="false">-I6*Assumptions!I45/100</f>
        <v>-16.1952219060526</v>
      </c>
      <c r="J12" s="4" t="n">
        <f aca="false">-J6*Assumptions!J45/100</f>
        <v>-16.6810785632342</v>
      </c>
      <c r="K12" s="4" t="n">
        <f aca="false">-K6*Assumptions!K45/100</f>
        <v>-17.098105527315</v>
      </c>
      <c r="L12" s="4" t="n">
        <f aca="false">-L6*Assumptions!L45/100</f>
        <v>-17.5255581654979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156.8329464</v>
      </c>
      <c r="D13" s="0" t="n">
        <f aca="false">D11+D12</f>
        <v>172.3676624592</v>
      </c>
      <c r="E13" s="0" t="n">
        <f aca="false">E11+E12</f>
        <v>189.201945838464</v>
      </c>
      <c r="F13" s="0" t="n">
        <f aca="false">F11+F12</f>
        <v>205.478877943685</v>
      </c>
      <c r="G13" s="0" t="n">
        <f aca="false">G11+G12</f>
        <v>213.698033061432</v>
      </c>
      <c r="H13" s="0" t="n">
        <f aca="false">H11+H12</f>
        <v>221.177464218582</v>
      </c>
      <c r="I13" s="0" t="n">
        <f aca="false">I11+I12</f>
        <v>227.81278814514</v>
      </c>
      <c r="J13" s="0" t="n">
        <f aca="false">J11+J12</f>
        <v>234.647171789494</v>
      </c>
      <c r="K13" s="0" t="n">
        <f aca="false">K11+K12</f>
        <v>240.513351084231</v>
      </c>
      <c r="L13" s="0" t="n">
        <f aca="false">L11+L12</f>
        <v>246.526184861337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109.78306248</v>
      </c>
      <c r="D15" s="0" t="n">
        <f aca="false">D13-MAX(0,D13)*D14/100</f>
        <v>120.65736372144</v>
      </c>
      <c r="E15" s="0" t="n">
        <f aca="false">E13-MAX(0,E13)*E14/100</f>
        <v>132.441362086925</v>
      </c>
      <c r="F15" s="0" t="n">
        <f aca="false">F13-MAX(0,F13)*F14/100</f>
        <v>143.835214560579</v>
      </c>
      <c r="G15" s="0" t="n">
        <f aca="false">G13-MAX(0,G13)*G14/100</f>
        <v>149.588623143003</v>
      </c>
      <c r="H15" s="0" t="n">
        <f aca="false">H13-MAX(0,H13)*H14/100</f>
        <v>154.824224953008</v>
      </c>
      <c r="I15" s="0" t="n">
        <f aca="false">I13-MAX(0,I13)*I14/100</f>
        <v>159.468951701598</v>
      </c>
      <c r="J15" s="0" t="n">
        <f aca="false">J13-MAX(0,J13)*J14/100</f>
        <v>164.253020252646</v>
      </c>
      <c r="K15" s="0" t="n">
        <f aca="false">K13-MAX(0,K13)*K14/100</f>
        <v>168.359345758962</v>
      </c>
      <c r="L15" s="0" t="n">
        <f aca="false">L13-MAX(0,L13)*L14/100</f>
        <v>172.568329402936</v>
      </c>
    </row>
    <row r="16" customFormat="false" ht="15" hidden="false" customHeight="false" outlineLevel="0" collapsed="false">
      <c r="A16" s="0" t="s">
        <v>121</v>
      </c>
      <c r="C16" s="0" t="n">
        <f aca="false">-C12</f>
        <v>12.3815484</v>
      </c>
      <c r="D16" s="0" t="n">
        <f aca="false">-D12</f>
        <v>13.124441304</v>
      </c>
      <c r="E16" s="0" t="n">
        <f aca="false">-E12</f>
        <v>13.91190778224</v>
      </c>
      <c r="F16" s="0" t="n">
        <f aca="false">-F12</f>
        <v>14.607503171352</v>
      </c>
      <c r="G16" s="0" t="n">
        <f aca="false">-G12</f>
        <v>15.1918032982061</v>
      </c>
      <c r="H16" s="0" t="n">
        <f aca="false">-H12</f>
        <v>15.7235164136433</v>
      </c>
      <c r="I16" s="0" t="n">
        <f aca="false">-I12</f>
        <v>16.1952219060526</v>
      </c>
      <c r="J16" s="0" t="n">
        <f aca="false">-J12</f>
        <v>16.6810785632342</v>
      </c>
      <c r="K16" s="0" t="n">
        <f aca="false">-K12</f>
        <v>17.098105527315</v>
      </c>
      <c r="L16" s="0" t="n">
        <f aca="false">-L12</f>
        <v>17.5255581654979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-20.635914</v>
      </c>
      <c r="D17" s="4" t="n">
        <f aca="false">-D6*Assumptions!D46/100</f>
        <v>-21.87406884</v>
      </c>
      <c r="E17" s="4" t="n">
        <f aca="false">-E6*Assumptions!E46/100</f>
        <v>-23.1865129704</v>
      </c>
      <c r="F17" s="4" t="n">
        <f aca="false">-F6*Assumptions!F46/100</f>
        <v>-24.34583861892</v>
      </c>
      <c r="G17" s="4" t="n">
        <f aca="false">-G6*Assumptions!G46/100</f>
        <v>-25.3196721636768</v>
      </c>
      <c r="H17" s="4" t="n">
        <f aca="false">-H6*Assumptions!H46/100</f>
        <v>-26.2058606894055</v>
      </c>
      <c r="I17" s="4" t="n">
        <f aca="false">-I6*Assumptions!I46/100</f>
        <v>-26.9920365100877</v>
      </c>
      <c r="J17" s="4" t="n">
        <f aca="false">-J6*Assumptions!J46/100</f>
        <v>-27.8017976053903</v>
      </c>
      <c r="K17" s="4" t="n">
        <f aca="false">-K6*Assumptions!K46/100</f>
        <v>-28.496842545525</v>
      </c>
      <c r="L17" s="4" t="n">
        <f aca="false">-L6*Assumptions!L46/100</f>
        <v>-29.2092636091632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-2.5398048</v>
      </c>
      <c r="D18" s="4" t="n">
        <f aca="false">(D6-C6)*Assumptions!$B$51/100</f>
        <v>-3.962095488</v>
      </c>
      <c r="E18" s="4" t="n">
        <f aca="false">(E6-D6)*Assumptions!$B$51/100</f>
        <v>-4.19982121728001</v>
      </c>
      <c r="F18" s="4" t="n">
        <f aca="false">(F6-E6)*Assumptions!$B$51/100</f>
        <v>-3.70984207526401</v>
      </c>
      <c r="G18" s="4" t="n">
        <f aca="false">(G6-F6)*Assumptions!$B$51/100</f>
        <v>-3.11626734322176</v>
      </c>
      <c r="H18" s="4" t="n">
        <f aca="false">(H6-G6)*Assumptions!$B$51/100</f>
        <v>-2.83580328233179</v>
      </c>
      <c r="I18" s="4" t="n">
        <f aca="false">(I6-H6)*Assumptions!$B$51/100</f>
        <v>-2.51576262618293</v>
      </c>
      <c r="J18" s="4" t="n">
        <f aca="false">(J6-I6)*Assumptions!$B$51/100</f>
        <v>-2.59123550496841</v>
      </c>
      <c r="K18" s="4" t="n">
        <f aca="false">(K6-J6)*Assumptions!$B$51/100</f>
        <v>-2.22414380843122</v>
      </c>
      <c r="L18" s="4" t="n">
        <f aca="false">(L6-K6)*Assumptions!$B$51/100</f>
        <v>-2.279747403642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98.98889208</v>
      </c>
      <c r="D19" s="0" t="n">
        <f aca="false">D15+D16+D17+D18</f>
        <v>107.94564069744</v>
      </c>
      <c r="E19" s="0" t="n">
        <f aca="false">E15+E16+E17+E18</f>
        <v>118.966935681485</v>
      </c>
      <c r="F19" s="0" t="n">
        <f aca="false">F15+F16+F17+F18</f>
        <v>130.387037037747</v>
      </c>
      <c r="G19" s="0" t="n">
        <f aca="false">G15+G16+G17+G18</f>
        <v>136.34448693431</v>
      </c>
      <c r="H19" s="0" t="n">
        <f aca="false">H15+H16+H17+H18</f>
        <v>141.506077394914</v>
      </c>
      <c r="I19" s="0" t="n">
        <f aca="false">I15+I16+I17+I18</f>
        <v>146.15637447138</v>
      </c>
      <c r="J19" s="0" t="n">
        <f aca="false">J15+J16+J17+J18</f>
        <v>150.541065705521</v>
      </c>
      <c r="K19" s="0" t="n">
        <f aca="false">K15+K16+K17+K18</f>
        <v>154.736464932321</v>
      </c>
      <c r="L19" s="0" t="n">
        <f aca="false">L15+L16+L17+L18</f>
        <v>158.604876555629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89.9899018909091</v>
      </c>
      <c r="D21" s="0" t="n">
        <f aca="false">D19*D20</f>
        <v>89.2112733036694</v>
      </c>
      <c r="E21" s="0" t="n">
        <f aca="false">E19*E20</f>
        <v>89.3816195954055</v>
      </c>
      <c r="F21" s="0" t="n">
        <f aca="false">F19*F20</f>
        <v>89.0561007019653</v>
      </c>
      <c r="G21" s="0" t="n">
        <f aca="false">G19*G20</f>
        <v>84.6591992190735</v>
      </c>
      <c r="H21" s="0" t="n">
        <f aca="false">H19*H20</f>
        <v>79.8764916336009</v>
      </c>
      <c r="I21" s="0" t="n">
        <f aca="false">I19*I20</f>
        <v>75.0013300911558</v>
      </c>
      <c r="J21" s="0" t="n">
        <f aca="false">J19*J20</f>
        <v>70.228518176264</v>
      </c>
      <c r="K21" s="0" t="n">
        <f aca="false">K19*K20</f>
        <v>65.6233662531747</v>
      </c>
      <c r="L21" s="0" t="n">
        <f aca="false">L19*L20</f>
        <v>61.1490458268219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10.6</v>
      </c>
      <c r="D23" s="4" t="n">
        <f aca="false">Assumptions!D44</f>
        <v>10.4</v>
      </c>
      <c r="E23" s="4" t="n">
        <f aca="false">Assumptions!E44</f>
        <v>10.2</v>
      </c>
      <c r="F23" s="4" t="n">
        <f aca="false">Assumptions!F44</f>
        <v>10</v>
      </c>
      <c r="G23" s="4" t="n">
        <f aca="false">Assumptions!G44</f>
        <v>10</v>
      </c>
      <c r="H23" s="4" t="n">
        <f aca="false">Assumptions!H44</f>
        <v>10</v>
      </c>
      <c r="I23" s="4" t="n">
        <f aca="false">Assumptions!I44</f>
        <v>10</v>
      </c>
      <c r="J23" s="4" t="n">
        <f aca="false">Assumptions!J44</f>
        <v>10</v>
      </c>
      <c r="K23" s="4" t="n">
        <f aca="false">Assumptions!K44</f>
        <v>10</v>
      </c>
      <c r="L23" s="4" t="n">
        <f aca="false">Assumptions!L44</f>
        <v>10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-87.49627536</v>
      </c>
      <c r="D24" s="0" t="n">
        <f aca="false">-D6*D23/100</f>
        <v>-90.9961263744</v>
      </c>
      <c r="E24" s="0" t="n">
        <f aca="false">-E6*E23/100</f>
        <v>-94.600972919232</v>
      </c>
      <c r="F24" s="0" t="n">
        <f aca="false">-F6*F23/100</f>
        <v>-97.38335447568</v>
      </c>
      <c r="G24" s="0" t="n">
        <f aca="false">-G6*G23/100</f>
        <v>-101.278688654707</v>
      </c>
      <c r="H24" s="0" t="n">
        <f aca="false">-H6*H23/100</f>
        <v>-104.823442757622</v>
      </c>
      <c r="I24" s="0" t="n">
        <f aca="false">-I6*I23/100</f>
        <v>-107.968146040351</v>
      </c>
      <c r="J24" s="0" t="n">
        <f aca="false">-J6*J23/100</f>
        <v>-111.207190421561</v>
      </c>
      <c r="K24" s="0" t="n">
        <f aca="false">-K6*K23/100</f>
        <v>-113.9873701821</v>
      </c>
      <c r="L24" s="0" t="n">
        <f aca="false">-L6*L23/100</f>
        <v>-116.837054436653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794.17684669204</v>
      </c>
    </row>
    <row r="31" customFormat="false" ht="15" hidden="false" customHeight="false" outlineLevel="0" collapsed="false">
      <c r="A31" s="0" t="s">
        <v>130</v>
      </c>
      <c r="B31" s="0" t="n">
        <f aca="false">L19</f>
        <v>158.604876555629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2167.59997959359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2220.4682717788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2167.59997959359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835.703626299899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1629.88047299194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2828.53047299194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17.6452306487332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0.476588338806129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24.2509479945913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24.6250057878045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17.9501336667145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1300.55998775616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13.4554749674816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12.6203780920683</v>
      </c>
      <c r="C4" s="0" t="n">
        <f aca="false">B4/Assumptions!$B$2-1</f>
        <v>0.0560985851103186</v>
      </c>
      <c r="D4" s="4" t="n">
        <f aca="false">Assumptions!$B$24</f>
        <v>0.3</v>
      </c>
      <c r="E4" s="4" t="n">
        <f aca="false">DCF_Bear!$B$43</f>
        <v>12.8401251707154</v>
      </c>
      <c r="F4" s="4" t="n">
        <f aca="false">DCF_Bear!$B$47</f>
        <v>10.789249057768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15.8078270702732</v>
      </c>
      <c r="C5" s="0" t="n">
        <f aca="false">B5/Assumptions!$B$2-1</f>
        <v>0.32283071717767</v>
      </c>
      <c r="D5" s="4" t="n">
        <f aca="false">Assumptions!$B$38</f>
        <v>0.5</v>
      </c>
      <c r="E5" s="4" t="n">
        <f aca="false">DCF_Base!$B$43</f>
        <v>16.0840276880004</v>
      </c>
      <c r="F5" s="4" t="n">
        <f aca="false">DCF_Base!$B$47</f>
        <v>12.4510344827678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17.6452306487332</v>
      </c>
      <c r="C6" s="0" t="n">
        <f aca="false">B6/Assumptions!$B$2-1</f>
        <v>0.476588338806129</v>
      </c>
      <c r="D6" s="4" t="n">
        <f aca="false">Assumptions!$B$52</f>
        <v>0.2</v>
      </c>
      <c r="E6" s="4" t="n">
        <f aca="false">DCF_Bull!$B$43</f>
        <v>17.9501336667145</v>
      </c>
      <c r="F6" s="4" t="n">
        <f aca="false">DCF_Bull!$B$47</f>
        <v>13.4554749674816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15.2190730925037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15.4840781285577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0.214801063943502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-1233.58904463903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12.1533869522106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16.5114163531719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15.8078270702732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14.8200720079338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14.0404817605613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12.4510344827678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17.1712150543119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17.1712150543119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17.1712150543119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17.1712150543119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17.1712150543119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16.3562095808507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16.5114163531719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16.5114163531719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16.5114163531719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16.5114163531719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15.284040317541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15.5295653578842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15.8078270702732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15.9090131475055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15.9090131475055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14.4389012938209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14.6188985754853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14.8200720079338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15.0463921194384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15.3028882458103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13.7558431849298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13.8910465083547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14.0404817605613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14.2065209296797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14.3920941186943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2026-09-24T09:27:34Z</dcterms:created>
  <dc:creator>openpyxl</dc:creator>
  <dc:description/>
  <dc:language>en-NZ</dc:language>
  <cp:lastModifiedBy/>
  <dcterms:modified xsi:type="dcterms:W3CDTF">2026-09-24T09:27:34Z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