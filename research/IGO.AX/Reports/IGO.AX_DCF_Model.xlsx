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<sst xmlns="http://schemas.openxmlformats.org/spreadsheetml/2006/main" count="366" uniqueCount="167">
  <si>
    <t xml:space="preserve">Ticker</t>
  </si>
  <si>
    <t xml:space="preserve">IGO.AX</t>
  </si>
  <si>
    <t xml:space="preserve">Company</t>
  </si>
  <si>
    <t xml:space="preserve">IGO Limited</t>
  </si>
  <si>
    <t xml:space="preserve">Valuation date</t>
  </si>
  <si>
    <t xml:space="preserve">2026-09-23</t>
  </si>
  <si>
    <t xml:space="preserve">Current price</t>
  </si>
  <si>
    <t xml:space="preserve">Price as of</t>
  </si>
  <si>
    <t xml:space="preserve">2026-09-23T02:28:37Z (ASX intraday, Yahoo Finance chart API)</t>
  </si>
  <si>
    <t xml:space="preserve">Balance sheet date</t>
  </si>
  <si>
    <t xml:space="preserve">2026-06-30</t>
  </si>
  <si>
    <t xml:space="preserve">Model</t>
  </si>
  <si>
    <t xml:space="preserve">Look-through owner-FCF DCF on IGO's 24.99% economic share of Greenbushes, net of Kwinana and corporate drags (engine route)</t>
  </si>
  <si>
    <t xml:space="preserve">Currency (model)</t>
  </si>
  <si>
    <t xml:space="preserve">AUD</t>
  </si>
  <si>
    <t xml:space="preserve">Currency (quote)</t>
  </si>
  <si>
    <t xml:space="preserve">Units</t>
  </si>
  <si>
    <t xml:space="preserve">millions</t>
  </si>
  <si>
    <t xml:space="preserve">Engine</t>
  </si>
  <si>
    <t xml:space="preserve">dcf_engine v1</t>
  </si>
  <si>
    <t xml:space="preserve">Built at</t>
  </si>
  <si>
    <t xml:space="preserve">2026-09-23T02:53:59Z</t>
  </si>
  <si>
    <t xml:space="preserve">Drivers file</t>
  </si>
  <si>
    <t xml:space="preserve">IGO.AX_Drivers.json</t>
  </si>
  <si>
    <t xml:space="preserve">Convention</t>
  </si>
  <si>
    <t xml:space="preserve">Percents stored as percents; formulas divide by 100. Blue = input, green = link, black = formula.</t>
  </si>
  <si>
    <t xml:space="preserve">Methodology</t>
  </si>
  <si>
    <t xml:space="preserve">summary: Value IGO as what it is about to become: a minority, non-operating look-through interest in the world's best hard-rock lithium mine, priced at mid-cycle rather than spot, with the losses IGO cannot avoid (Kwinana, corporate, exploration, Cosmos) charged against the stream and the Talison debt deducted once in the bridge. The consolidated statements (Nova) are ignored as a projection base because that business ends in December 2026; Nova's remaining months are a bridge item. The stake's structural cash-trapping risk is charged once, in a 10.5% AUD discount rate, and cyclicality is charged once, in the scenario flows. Historical CAGRs are reported but explicitly not used.
key_risks_to_valuation: Spodumene price: at ~74% mine margin, value moves close to one-for-one with price; the base uses US$1,450/t mid-cycle against US$2,000+ spot, so the market is currently paying for something nearer spot; Kwinana resolution: the difference between the base (drag fades) and bear (drag persists) is ~A$60M/yr of look-through FCF, worth ~A$0.60/share; Cash trapped in TLEA/Windfield: no FY26 dividend despite A$2.1B Greenbushes EBITDA; Windfield's US$1.35B loan (expiring May 2029) takes priority over distributions; Look-through net debt estimate (A$440M) relies on assumptions about where TLEA's A$424M cash sits; a A$100M error is ~A$0.13/share; Corporate/exploration spend (~A$85M/yr) with no committed successor project; the bull's BioHeap copper optionality is not in any scenario's flows; Greenbushes operational risk concentrated in one site (June 2026 CGP3 fire cost ~7 weeks of ramp-up)</t>
  </si>
  <si>
    <t xml:space="preserve">Data sources</t>
  </si>
  <si>
    <t xml:space="preserve">price: Yahoo Finance chart API at inputs.price_as_of; 52-week range 4.87-10.05
financials: IGO.AX_Annual_FY2026.txt (Greenbushes and Kwinana 100%-basis tables p.32-33; note 23 interests in associates incl. TLEA summarised financials and Windfield facility; segment note; provisions note 12; share-based payment notes), IGO.AX_Presentation_Q2-2026.txt (4Q26 quarterly), IGO.AX_Metrics.csv / metrics_normalized via make dcf-context
qualitative: IGO.AX_Analysis.json (2026-09-23): Nova divestment, TLEA/Kwinana status, FY27 guidance, bull/bear axes</t>
  </si>
  <si>
    <t xml:space="preserve">Scenario narrative: bear</t>
  </si>
  <si>
    <t xml:space="preserve">Spodumene reverts to ~US$1,150/t as Chinese lepidolite and African supply restarts on the 2026 price rally, and the volume ramp merely offsets price. Kwinana is never resolved: Train 1 keeps missing guidance, IGO keeps absorbing ~A$75M/yr of losses, and Tianqi keeps cash inside TLEA (as in FY26, when no dividends were paid). Corporate and exploration spend continues without a producing successor to Nova. Terminal multiple 10x. The bear does not hit the zero floor - Greenbushes is cash-positive even here - but there is no cash return to IGO shareholders for years.</t>
  </si>
  <si>
    <t xml:space="preserve">Scenario narrative: base</t>
  </si>
  <si>
    <t xml:space="preserve">Post-Nova IGO is a 24.99% look-through stake in Greenbushes. CGP3 takes production from 1.41Mt to ~1.9Mt by FY29 while the realised spodumene price settles at a mid-cycle ~US$1,450/t - below the Q4 FY26 print of US$2,286 and mid-2026 spot of ~US$2,000, above the FY25-26 trough. The mine margin stays ~73-75% (A$415/t cash cost against a ~A$2,200/t price). Kwinana Train 1 is either fixed or mothballed over FY27-FY31, so IGO's 49% share of its burn fades from ~A$75M to ~A$15M. Corporate, exploration and Cosmos care-and-maintenance run ~A$85M/yr with no new project reaching production inside the horizon. Dividends resume up the Windfield-TLEA-IGO chain but at Tianqi's cadence, which the 10.5% AUD rate prices.</t>
  </si>
  <si>
    <t xml:space="preserve">Scenario narrative: bull</t>
  </si>
  <si>
    <t xml:space="preserve">The lithium market moves into deficit in late 2026 as delayed greenfield supply meets storage-led demand; Greenbushes realises ~US$1,700/t through FY29 and prints Q4-FY26-style 78-80% margins on ~1.95Mt. Tianqi and IGO resolve Kwinana by FY29 (restructure or exit) and the drag goes to zero. Greenbushes' Strategic Options Review (steeper pit, lower strip, underground resource) supports 3% terminal growth and a 14x cap. The A$99M listed securities and net cash fund BioHeap copper without dilution.</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</si>
  <si>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</si>
  <si>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</si>
  <si>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</si>
  <si>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</si>
  <si>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</si>
  <si>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</si>
  <si>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</si>
  <si>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</si>
  <si>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</si>
  <si>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</si>
  <si>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</si>
  <si>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</si>
  <si>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</si>
  <si>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</si>
  <si>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</si>
  <si>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</si>
  <si>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</si>
  <si>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</si>
  <si>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</si>
  <si>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</si>
  <si>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</si>
  <si>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</si>
  <si>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</si>
  <si>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</si>
  <si>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</si>
  <si>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</si>
  <si>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</si>
  <si>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</si>
  <si>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</si>
  <si>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</si>
  <si>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</si>
  <si>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</si>
  <si>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</si>
  <si>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</si>
  <si>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</si>
  <si>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</si>
  <si>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</si>
  <si>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</si>
  <si>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FY2026</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</si>
  <si>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</si>
  <si>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</si>
  <si>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</si>
  <si>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</si>
  <si>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</si>
  <si>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</si>
  <si>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</si>
  <si>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</si>
  <si>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</si>
  <si>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</si>
  <si>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AUD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</si>
  <si>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</si>
  <si>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</si>
  <si>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</si>
  <si>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</si>
  <si>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</si>
  <si>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</si>
  <si>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</si>
  <si>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</si>
  <si>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</si>
  <si>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</si>
  <si>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</si>
  <si>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</si>
  <si>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</si>
  <si>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</si>
  <si>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</si>
  <si>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</si>
  <si>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</si>
  <si>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</si>
  <si>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</si>
  <si>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</si>
  <si>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</si>
  <si>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</si>
  <si>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</si>
  <si>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</si>
  <si>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</si>
  <si>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</si>
  <si>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IGO.AX owner-FCF component DCF: bear case (millions, AUD)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</si>
  <si>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</si>
  <si>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</si>
  <si>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</si>
  <si>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</si>
  <si>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</si>
  <si>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</si>
  <si>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</si>
  <si>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</si>
  <si>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</si>
  <si>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</si>
  <si>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</si>
  <si>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</si>
  <si>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</si>
  <si>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</si>
  <si>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</si>
  <si>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</si>
  <si>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</si>
  <si>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</si>
  <si>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</si>
  <si>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</si>
  <si>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</si>
  <si>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</si>
  <si>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</si>
  <si>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</si>
  <si>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</si>
  <si>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</si>
  <si>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</si>
  <si>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</si>
  <si>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</si>
  <si>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</si>
  <si>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IGO.AX owner-FCF component DCF: base case (millions, AUD)</t>
  </si>
  <si>
    <t xml:space="preserve">IGO.AX owner-FCF component DCF: bull case (millions, AUD)</t>
  </si>
  <si>
    <t xml:space="preserve">IGO.AX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</si>
  <si>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</si>
  <si>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</si>
  <si>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</si>
  <si>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</si>
  <si>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</si>
  <si>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</si>
  <si>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</si>
  <si>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</si>
  <si>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</si>
  <si>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</si>
  <si>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</si>
  <si>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</si>
  <si>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</si>
  <si>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</si>
  <si>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</si>
  <si>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t>
  </si>
  <si>
    <t xml:space="preserve">Value per share at 10.5% (WACC)</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</si>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</sst>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6.985</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row>
    <row r="2" customFormat="false" ht="15" hidden="false" customHeight="false" outlineLevel="0" collapsed="false">
      <c r="A2" s="0" t="s">
        <v>63</v>
      </c>
      <c r="B2" s="0" t="n">
        <v>495.326</v>
      </c>
      <c r="H2" s="0" t="n">
        <v>210.668</v>
      </c>
      <c r="I2" s="0" t="n">
        <v>76.779</v>
      </c>
      <c r="J2" s="0" t="n">
        <v>15.5</v>
      </c>
      <c r="K2" s="0" t="n">
        <v>0.3247</v>
      </c>
      <c r="L2" s="0" t="n">
        <v>201.713</v>
      </c>
      <c r="M2" s="0" t="n">
        <v>73.137</v>
      </c>
      <c r="N2" s="0" t="n">
        <v>128.576</v>
      </c>
      <c r="O2" s="0" t="n">
        <v>665.495</v>
      </c>
      <c r="P2" s="0" t="n">
        <v>820.223</v>
      </c>
      <c r="Q2" s="0" t="n">
        <v>154.728</v>
      </c>
      <c r="R2" s="0" t="n">
        <v>0.51</v>
      </c>
      <c r="S2" s="0" t="n">
        <v>121.296</v>
      </c>
      <c r="T2" s="0" t="n">
        <v>236.5</v>
      </c>
      <c r="U2" s="0" t="n">
        <v>2.949</v>
      </c>
      <c r="AA2" s="0" t="s">
        <v>17</v>
      </c>
      <c r="AB2" s="0" t="s">
        <v>14</v>
      </c>
    </row>
    <row r="3" customFormat="false" ht="15" hidden="false" customHeight="false" outlineLevel="0" collapsed="false">
      <c r="A3" s="0" t="s">
        <v>64</v>
      </c>
      <c r="B3" s="0" t="n">
        <v>413.188</v>
      </c>
      <c r="H3" s="0" t="n">
        <v>41.266</v>
      </c>
      <c r="I3" s="0" t="n">
        <v>-58.77</v>
      </c>
      <c r="J3" s="0" t="n">
        <v>-14.2</v>
      </c>
      <c r="K3" s="0" t="n">
        <v>-0.1312</v>
      </c>
      <c r="L3" s="0" t="n">
        <v>102.06</v>
      </c>
      <c r="M3" s="0" t="n">
        <v>236.786</v>
      </c>
      <c r="N3" s="0" t="n">
        <v>-134.726</v>
      </c>
      <c r="O3" s="0" t="n">
        <v>1455.791</v>
      </c>
      <c r="P3" s="0" t="n">
        <v>2007.391</v>
      </c>
      <c r="Q3" s="0" t="n">
        <v>551.6</v>
      </c>
      <c r="R3" s="0" t="n">
        <v>265.826</v>
      </c>
      <c r="S3" s="0" t="n">
        <v>46.264</v>
      </c>
      <c r="T3" s="0" t="n">
        <v>447.9</v>
      </c>
      <c r="U3" s="0" t="n">
        <v>0.819</v>
      </c>
      <c r="AA3" s="0" t="s">
        <v>17</v>
      </c>
      <c r="AB3" s="0" t="s">
        <v>14</v>
      </c>
    </row>
    <row r="4" customFormat="false" ht="15" hidden="false" customHeight="false" outlineLevel="0" collapsed="false">
      <c r="A4" s="0" t="s">
        <v>65</v>
      </c>
      <c r="B4" s="0" t="n">
        <v>421.926</v>
      </c>
      <c r="H4" s="0" t="n">
        <v>117.448</v>
      </c>
      <c r="I4" s="0" t="n">
        <v>17.011</v>
      </c>
      <c r="J4" s="0" t="n">
        <v>4</v>
      </c>
      <c r="K4" s="0" t="n">
        <v>0.0292</v>
      </c>
      <c r="L4" s="0" t="n">
        <v>77.678</v>
      </c>
      <c r="M4" s="0" t="n">
        <v>238.707</v>
      </c>
      <c r="N4" s="0" t="n">
        <v>-161.029</v>
      </c>
      <c r="O4" s="0" t="n">
        <v>1732.784</v>
      </c>
      <c r="P4" s="0" t="n">
        <v>2208.483</v>
      </c>
      <c r="Q4" s="0" t="n">
        <v>475.699</v>
      </c>
      <c r="R4" s="0" t="n">
        <v>197.041</v>
      </c>
      <c r="S4" s="0" t="n">
        <v>35.763</v>
      </c>
      <c r="T4" s="0" t="n">
        <v>582.6</v>
      </c>
      <c r="U4" s="0" t="n">
        <v>1.147</v>
      </c>
      <c r="AA4" s="0" t="s">
        <v>17</v>
      </c>
      <c r="AB4" s="0" t="s">
        <v>14</v>
      </c>
    </row>
    <row r="5" customFormat="false" ht="15" hidden="false" customHeight="false" outlineLevel="0" collapsed="false">
      <c r="A5" s="0" t="s">
        <v>66</v>
      </c>
      <c r="B5" s="0" t="n">
        <v>777.946</v>
      </c>
      <c r="H5" s="0" t="n">
        <v>341.898</v>
      </c>
      <c r="I5" s="0" t="n">
        <v>52.686</v>
      </c>
      <c r="J5" s="0" t="n">
        <v>6.8</v>
      </c>
      <c r="K5" s="0" t="n">
        <v>0.0894</v>
      </c>
      <c r="L5" s="0" t="n">
        <v>277.805</v>
      </c>
      <c r="M5" s="0" t="n">
        <v>140.196</v>
      </c>
      <c r="N5" s="0" t="n">
        <v>137.609</v>
      </c>
      <c r="O5" s="0" t="n">
        <v>1778.827</v>
      </c>
      <c r="P5" s="0" t="n">
        <v>2174.928</v>
      </c>
      <c r="Q5" s="0" t="n">
        <v>396.101</v>
      </c>
      <c r="R5" s="0" t="n">
        <v>140.815</v>
      </c>
      <c r="S5" s="0" t="n">
        <v>138.688</v>
      </c>
      <c r="T5" s="0" t="n">
        <v>589.3</v>
      </c>
      <c r="U5" s="0" t="n">
        <v>3.267</v>
      </c>
      <c r="AA5" s="0" t="s">
        <v>17</v>
      </c>
      <c r="AB5" s="0" t="s">
        <v>14</v>
      </c>
    </row>
    <row r="6" customFormat="false" ht="15" hidden="false" customHeight="false" outlineLevel="0" collapsed="false">
      <c r="A6" s="0" t="s">
        <v>67</v>
      </c>
      <c r="B6" s="0" t="n">
        <v>784.512</v>
      </c>
      <c r="H6" s="0" t="n">
        <v>349.204</v>
      </c>
      <c r="I6" s="0" t="n">
        <v>76.085</v>
      </c>
      <c r="J6" s="0" t="n">
        <v>9.7</v>
      </c>
      <c r="K6" s="0" t="n">
        <v>0.1284</v>
      </c>
      <c r="L6" s="0" t="n">
        <v>372.31</v>
      </c>
      <c r="M6" s="0" t="n">
        <v>106.193</v>
      </c>
      <c r="N6" s="0" t="n">
        <v>266.117</v>
      </c>
      <c r="O6" s="0" t="n">
        <v>1849.06</v>
      </c>
      <c r="P6" s="0" t="n">
        <v>2190.269</v>
      </c>
      <c r="Q6" s="0" t="n">
        <v>341.209</v>
      </c>
      <c r="R6" s="0" t="n">
        <v>84.589</v>
      </c>
      <c r="S6" s="0" t="n">
        <v>348.208</v>
      </c>
      <c r="T6" s="0" t="n">
        <v>592.6</v>
      </c>
      <c r="U6" s="0" t="n">
        <v>3.123</v>
      </c>
      <c r="AA6" s="0" t="s">
        <v>17</v>
      </c>
      <c r="AB6" s="0" t="s">
        <v>14</v>
      </c>
    </row>
    <row r="7" customFormat="false" ht="15" hidden="false" customHeight="false" outlineLevel="0" collapsed="false">
      <c r="A7" s="0" t="s">
        <v>68</v>
      </c>
      <c r="B7" s="0" t="n">
        <v>888.93</v>
      </c>
      <c r="H7" s="0" t="n">
        <v>468.217</v>
      </c>
      <c r="I7" s="0" t="n">
        <v>155.093</v>
      </c>
      <c r="J7" s="0" t="n">
        <v>17.4</v>
      </c>
      <c r="K7" s="0" t="n">
        <v>0.2613</v>
      </c>
      <c r="L7" s="0" t="n">
        <v>397.517</v>
      </c>
      <c r="M7" s="0" t="n">
        <v>87.671</v>
      </c>
      <c r="N7" s="0" t="n">
        <v>309.846</v>
      </c>
      <c r="O7" s="0" t="n">
        <v>1925.809</v>
      </c>
      <c r="P7" s="0" t="n">
        <v>2293.03</v>
      </c>
      <c r="Q7" s="0" t="n">
        <v>367.221</v>
      </c>
      <c r="R7" s="0" t="n">
        <v>96.722</v>
      </c>
      <c r="S7" s="0" t="n">
        <v>510.312</v>
      </c>
      <c r="T7" s="0" t="n">
        <v>593.5</v>
      </c>
      <c r="U7" s="0" t="n">
        <v>4.489</v>
      </c>
      <c r="AA7" s="0" t="s">
        <v>17</v>
      </c>
      <c r="AB7" s="0" t="s">
        <v>14</v>
      </c>
    </row>
    <row r="8" customFormat="false" ht="15" hidden="false" customHeight="false" outlineLevel="0" collapsed="false">
      <c r="A8" s="0" t="s">
        <v>69</v>
      </c>
      <c r="B8" s="0" t="n">
        <v>671.739</v>
      </c>
      <c r="I8" s="0" t="n">
        <v>548.661</v>
      </c>
      <c r="J8" s="0" t="n">
        <v>81.7</v>
      </c>
      <c r="K8" s="0" t="n">
        <v>0.8051</v>
      </c>
      <c r="L8" s="0" t="n">
        <v>446.052</v>
      </c>
      <c r="M8" s="0" t="n">
        <v>94.712</v>
      </c>
      <c r="N8" s="0" t="n">
        <v>351.34</v>
      </c>
      <c r="O8" s="0" t="n">
        <v>3199.877</v>
      </c>
      <c r="P8" s="0" t="n">
        <v>3608.732</v>
      </c>
      <c r="Q8" s="0" t="n">
        <v>408.855</v>
      </c>
      <c r="R8" s="0" t="n">
        <v>25.048</v>
      </c>
      <c r="S8" s="0" t="n">
        <v>528.514</v>
      </c>
      <c r="T8" s="0" t="n">
        <v>681.5</v>
      </c>
      <c r="U8" s="0" t="n">
        <v>4.917</v>
      </c>
      <c r="X8" s="0" t="n">
        <v>671.739</v>
      </c>
      <c r="AA8" s="0" t="s">
        <v>17</v>
      </c>
      <c r="AB8" s="0" t="s">
        <v>14</v>
      </c>
    </row>
    <row r="9" customFormat="false" ht="15" hidden="false" customHeight="false" outlineLevel="0" collapsed="false">
      <c r="A9" s="0" t="s">
        <v>70</v>
      </c>
      <c r="B9" s="0" t="n">
        <v>902.8</v>
      </c>
      <c r="H9" s="0" t="n">
        <v>645.1</v>
      </c>
      <c r="I9" s="0" t="n">
        <v>330.9</v>
      </c>
      <c r="J9" s="0" t="n">
        <v>36.7</v>
      </c>
      <c r="K9" s="0" t="n">
        <v>0.4354</v>
      </c>
      <c r="L9" s="0" t="n">
        <v>357.1</v>
      </c>
      <c r="M9" s="0" t="n">
        <v>88.1</v>
      </c>
      <c r="N9" s="0" t="n">
        <v>269</v>
      </c>
      <c r="O9" s="0" t="n">
        <v>3435.2</v>
      </c>
      <c r="P9" s="0" t="n">
        <v>4863.3</v>
      </c>
      <c r="Q9" s="0" t="n">
        <v>1428</v>
      </c>
      <c r="R9" s="0" t="n">
        <v>947.4</v>
      </c>
      <c r="S9" s="0" t="n">
        <v>367.1</v>
      </c>
      <c r="T9" s="0" t="n">
        <v>760</v>
      </c>
      <c r="U9" s="0" t="n">
        <v>6.3</v>
      </c>
      <c r="V9" s="0" t="n">
        <v>0.1</v>
      </c>
      <c r="W9" s="0" t="n">
        <v>717</v>
      </c>
      <c r="AA9" s="0" t="s">
        <v>17</v>
      </c>
      <c r="AB9" s="0" t="s">
        <v>14</v>
      </c>
    </row>
    <row r="10" customFormat="false" ht="15" hidden="false" customHeight="false" outlineLevel="0" collapsed="false">
      <c r="A10" s="0" t="s">
        <v>71</v>
      </c>
      <c r="B10" s="0" t="n">
        <v>1023.9</v>
      </c>
      <c r="I10" s="0" t="n">
        <v>549.1</v>
      </c>
      <c r="J10" s="0" t="n">
        <v>53.6</v>
      </c>
      <c r="K10" s="0" t="n">
        <v>0.7227</v>
      </c>
      <c r="L10" s="0" t="n">
        <v>1423.1</v>
      </c>
      <c r="M10" s="0" t="n">
        <v>345.2</v>
      </c>
      <c r="N10" s="0" t="n">
        <v>1077.9</v>
      </c>
      <c r="O10" s="0" t="n">
        <v>3790.2</v>
      </c>
      <c r="P10" s="0" t="n">
        <v>4737.9</v>
      </c>
      <c r="Q10" s="0" t="n">
        <v>947.7</v>
      </c>
      <c r="R10" s="0" t="n">
        <v>432.1</v>
      </c>
      <c r="S10" s="0" t="n">
        <v>775.2</v>
      </c>
      <c r="T10" s="0" t="n">
        <v>759.8</v>
      </c>
      <c r="U10" s="0" t="n">
        <v>11.8</v>
      </c>
      <c r="V10" s="0" t="n">
        <v>0.74</v>
      </c>
      <c r="W10" s="0" t="n">
        <v>1987</v>
      </c>
      <c r="AA10" s="0" t="s">
        <v>17</v>
      </c>
      <c r="AB10" s="0" t="s">
        <v>14</v>
      </c>
    </row>
    <row r="11" customFormat="false" ht="15" hidden="false" customHeight="false" outlineLevel="0" collapsed="false">
      <c r="A11" s="0" t="s">
        <v>72</v>
      </c>
      <c r="B11" s="0" t="n">
        <v>841.3</v>
      </c>
      <c r="I11" s="0" t="n">
        <v>2.8</v>
      </c>
      <c r="J11" s="0" t="n">
        <v>0.3</v>
      </c>
      <c r="K11" s="0" t="n">
        <v>0.0037</v>
      </c>
      <c r="L11" s="0" t="n">
        <v>872</v>
      </c>
      <c r="M11" s="0" t="n">
        <v>236.5</v>
      </c>
      <c r="N11" s="0" t="n">
        <v>635.5</v>
      </c>
      <c r="O11" s="0" t="n">
        <v>3209.3</v>
      </c>
      <c r="P11" s="0" t="n">
        <v>3566.8</v>
      </c>
      <c r="Q11" s="0" t="n">
        <v>357.5</v>
      </c>
      <c r="R11" s="0" t="n">
        <v>48.7</v>
      </c>
      <c r="S11" s="0" t="n">
        <v>468</v>
      </c>
      <c r="U11" s="0" t="n">
        <v>10.3</v>
      </c>
      <c r="V11" s="0" t="n">
        <v>0.37</v>
      </c>
      <c r="W11" s="0" t="n">
        <v>581</v>
      </c>
      <c r="AA11" s="0" t="s">
        <v>17</v>
      </c>
      <c r="AB11" s="0" t="s">
        <v>14</v>
      </c>
    </row>
    <row r="12" customFormat="false" ht="15" hidden="false" customHeight="false" outlineLevel="0" collapsed="false">
      <c r="A12" s="0" t="s">
        <v>73</v>
      </c>
      <c r="B12" s="0" t="n">
        <v>527.8</v>
      </c>
      <c r="H12" s="0" t="n">
        <v>-809.1</v>
      </c>
      <c r="I12" s="0" t="n">
        <v>-954.6</v>
      </c>
      <c r="J12" s="0" t="n">
        <v>-180.9</v>
      </c>
      <c r="K12" s="0" t="n">
        <v>-1.2605</v>
      </c>
      <c r="L12" s="0" t="n">
        <v>42.9</v>
      </c>
      <c r="M12" s="0" t="n">
        <v>6.3</v>
      </c>
      <c r="N12" s="0" t="n">
        <v>36.6</v>
      </c>
      <c r="O12" s="0" t="n">
        <v>2092.4</v>
      </c>
      <c r="P12" s="0" t="n">
        <v>2356.3</v>
      </c>
      <c r="Q12" s="0" t="n">
        <v>263.9</v>
      </c>
      <c r="R12" s="0" t="n">
        <v>31.4</v>
      </c>
      <c r="S12" s="0" t="n">
        <v>279.7</v>
      </c>
      <c r="T12" s="0" t="n">
        <v>757.3</v>
      </c>
      <c r="U12" s="0" t="n">
        <v>7.3</v>
      </c>
      <c r="V12" s="0" t="n">
        <v>0</v>
      </c>
      <c r="W12" s="0" t="n">
        <v>-43</v>
      </c>
      <c r="AA12" s="0" t="s">
        <v>17</v>
      </c>
      <c r="AB12" s="0" t="s">
        <v>14</v>
      </c>
    </row>
    <row r="13" customFormat="false" ht="15" hidden="false" customHeight="false" outlineLevel="0" collapsed="false">
      <c r="A13" s="0" t="s">
        <v>74</v>
      </c>
      <c r="B13" s="0" t="n">
        <v>462.9</v>
      </c>
      <c r="H13" s="0" t="n">
        <v>336.2</v>
      </c>
      <c r="I13" s="0" t="n">
        <v>145.3</v>
      </c>
      <c r="J13" s="0" t="n">
        <v>31.4</v>
      </c>
      <c r="K13" s="0" t="n">
        <v>0.1905</v>
      </c>
      <c r="L13" s="0" t="n">
        <v>132.4</v>
      </c>
      <c r="M13" s="0" t="n">
        <v>3.1</v>
      </c>
      <c r="N13" s="0" t="n">
        <v>129.3</v>
      </c>
      <c r="O13" s="0" t="n">
        <v>2240.2</v>
      </c>
      <c r="P13" s="0" t="n">
        <v>2446.7</v>
      </c>
      <c r="Q13" s="0" t="n">
        <v>206.5</v>
      </c>
      <c r="R13" s="0" t="n">
        <v>16.8</v>
      </c>
      <c r="S13" s="0" t="n">
        <v>386.5</v>
      </c>
      <c r="T13" s="0" t="n">
        <v>762.7</v>
      </c>
      <c r="U13" s="0" t="n">
        <v>9.3</v>
      </c>
      <c r="V13" s="0" t="n">
        <v>0.05</v>
      </c>
      <c r="W13" s="0" t="n">
        <v>286</v>
      </c>
      <c r="AA13" s="0" t="s">
        <v>17</v>
      </c>
      <c r="AB13"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75</v>
      </c>
      <c r="B1" s="2" t="s">
        <v>76</v>
      </c>
    </row>
    <row r="2" customFormat="false" ht="15" hidden="false" customHeight="false" outlineLevel="0" collapsed="false">
      <c r="A2" s="0" t="s">
        <v>77</v>
      </c>
      <c r="B2" s="3" t="n">
        <v>6.985</v>
      </c>
    </row>
    <row r="3" customFormat="false" ht="15" hidden="false" customHeight="false" outlineLevel="0" collapsed="false">
      <c r="A3" s="0" t="s">
        <v>78</v>
      </c>
      <c r="B3" s="3" t="n">
        <v>762.8</v>
      </c>
    </row>
    <row r="4" customFormat="false" ht="15" hidden="false" customHeight="false" outlineLevel="0" collapsed="false">
      <c r="A4" s="0" t="s">
        <v>79</v>
      </c>
      <c r="B4" s="3" t="n">
        <v>-369.7</v>
      </c>
    </row>
    <row r="5" customFormat="false" ht="15" hidden="false" customHeight="false" outlineLevel="0" collapsed="false">
      <c r="A5" s="0" t="s">
        <v>80</v>
      </c>
      <c r="B5" s="3" t="n">
        <v>-325.9</v>
      </c>
    </row>
    <row r="6" customFormat="false" ht="15" hidden="false" customHeight="false" outlineLevel="0" collapsed="false">
      <c r="A6" s="0" t="s">
        <v>81</v>
      </c>
      <c r="B6" s="3" t="n">
        <v>15</v>
      </c>
    </row>
    <row r="7" customFormat="false" ht="15" hidden="false" customHeight="false" outlineLevel="0" collapsed="false">
      <c r="A7" s="0" t="s">
        <v>82</v>
      </c>
      <c r="B7" s="3" t="n">
        <v>714.2</v>
      </c>
    </row>
    <row r="8" customFormat="false" ht="15" hidden="false" customHeight="false" outlineLevel="0" collapsed="false">
      <c r="A8" s="0" t="s">
        <v>83</v>
      </c>
      <c r="B8" s="3" t="s">
        <v>74</v>
      </c>
    </row>
    <row r="9" customFormat="false" ht="15" hidden="false" customHeight="false" outlineLevel="0" collapsed="false">
      <c r="A9" s="0" t="s">
        <v>84</v>
      </c>
      <c r="B9" s="3" t="s">
        <v>85</v>
      </c>
    </row>
    <row r="10" customFormat="false" ht="15" hidden="false" customHeight="false" outlineLevel="0" collapsed="false">
      <c r="A10" s="0" t="s">
        <v>86</v>
      </c>
      <c r="B10" s="3" t="n">
        <v>1</v>
      </c>
    </row>
    <row r="12" customFormat="false" ht="15" hidden="false" customHeight="false" outlineLevel="0" collapsed="false">
      <c r="A12" s="2" t="s">
        <v>87</v>
      </c>
      <c r="C12" s="2" t="s">
        <v>88</v>
      </c>
      <c r="D12" s="2" t="s">
        <v>89</v>
      </c>
      <c r="E12" s="2" t="s">
        <v>90</v>
      </c>
      <c r="F12" s="2" t="s">
        <v>91</v>
      </c>
      <c r="G12" s="2" t="s">
        <v>92</v>
      </c>
      <c r="H12" s="2" t="s">
        <v>93</v>
      </c>
      <c r="I12" s="2" t="s">
        <v>94</v>
      </c>
      <c r="J12" s="2" t="s">
        <v>95</v>
      </c>
      <c r="K12" s="2" t="s">
        <v>96</v>
      </c>
      <c r="L12" s="2" t="s">
        <v>97</v>
      </c>
    </row>
    <row r="13" customFormat="false" ht="15" hidden="false" customHeight="false" outlineLevel="0" collapsed="false">
      <c r="A13" s="0" t="s">
        <v>98</v>
      </c>
      <c r="C13" s="3" t="n">
        <v>10</v>
      </c>
      <c r="D13" s="3" t="n">
        <v>0</v>
      </c>
      <c r="E13" s="3" t="n">
        <v>3</v>
      </c>
      <c r="F13" s="3" t="n">
        <v>2</v>
      </c>
      <c r="G13" s="3" t="n">
        <v>2</v>
      </c>
      <c r="H13" s="3" t="n">
        <v>2</v>
      </c>
      <c r="I13" s="3" t="n">
        <v>2</v>
      </c>
      <c r="J13" s="3" t="n">
        <v>2</v>
      </c>
      <c r="K13" s="3" t="n">
        <v>2</v>
      </c>
      <c r="L13" s="3" t="n">
        <v>2</v>
      </c>
    </row>
    <row r="14" customFormat="false" ht="15" hidden="false" customHeight="false" outlineLevel="0" collapsed="false">
      <c r="A14" s="0" t="s">
        <v>99</v>
      </c>
      <c r="C14" s="3" t="n">
        <v>50</v>
      </c>
      <c r="D14" s="3" t="n">
        <v>49</v>
      </c>
      <c r="E14" s="3" t="n">
        <v>49</v>
      </c>
      <c r="F14" s="3" t="n">
        <v>50</v>
      </c>
      <c r="G14" s="3" t="n">
        <v>51</v>
      </c>
      <c r="H14" s="3" t="n">
        <v>51</v>
      </c>
      <c r="I14" s="3" t="n">
        <v>51</v>
      </c>
      <c r="J14" s="3" t="n">
        <v>51</v>
      </c>
      <c r="K14" s="3" t="n">
        <v>51</v>
      </c>
      <c r="L14" s="3" t="n">
        <v>51</v>
      </c>
    </row>
    <row r="15" customFormat="false" ht="15" hidden="false" customHeight="false" outlineLevel="0" collapsed="false">
      <c r="A15" s="0" t="s">
        <v>100</v>
      </c>
      <c r="C15" s="3" t="n">
        <v>1.3</v>
      </c>
      <c r="D15" s="3" t="n">
        <v>1.3</v>
      </c>
      <c r="E15" s="3" t="n">
        <v>1.2</v>
      </c>
      <c r="F15" s="3" t="n">
        <v>1.2</v>
      </c>
      <c r="G15" s="3" t="n">
        <v>1.2</v>
      </c>
      <c r="H15" s="3" t="n">
        <v>1.2</v>
      </c>
      <c r="I15" s="3" t="n">
        <v>1.2</v>
      </c>
      <c r="J15" s="3" t="n">
        <v>1.2</v>
      </c>
      <c r="K15" s="3" t="n">
        <v>1.2</v>
      </c>
      <c r="L15" s="3" t="n">
        <v>1.2</v>
      </c>
    </row>
    <row r="16" customFormat="false" ht="15" hidden="false" customHeight="false" outlineLevel="0" collapsed="false">
      <c r="A16" s="0" t="s">
        <v>101</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102</v>
      </c>
      <c r="C17" s="3" t="n">
        <v>5.5</v>
      </c>
      <c r="D17" s="3" t="n">
        <v>6</v>
      </c>
      <c r="E17" s="3" t="n">
        <v>6.5</v>
      </c>
      <c r="F17" s="3" t="n">
        <v>7</v>
      </c>
      <c r="G17" s="3" t="n">
        <v>7.5</v>
      </c>
      <c r="H17" s="3" t="n">
        <v>7.5</v>
      </c>
      <c r="I17" s="3" t="n">
        <v>7.5</v>
      </c>
      <c r="J17" s="3" t="n">
        <v>7.5</v>
      </c>
      <c r="K17" s="3" t="n">
        <v>7.5</v>
      </c>
      <c r="L17" s="3" t="n">
        <v>7.5</v>
      </c>
    </row>
    <row r="18" customFormat="false" ht="15" hidden="false" customHeight="false" outlineLevel="0" collapsed="false">
      <c r="A18" s="0" t="s">
        <v>103</v>
      </c>
      <c r="C18" s="3" t="n">
        <v>8</v>
      </c>
      <c r="D18" s="3" t="n">
        <v>7.5</v>
      </c>
      <c r="E18" s="3" t="n">
        <v>7</v>
      </c>
      <c r="F18" s="3" t="n">
        <v>7</v>
      </c>
      <c r="G18" s="3" t="n">
        <v>7</v>
      </c>
      <c r="H18" s="3" t="n">
        <v>7</v>
      </c>
      <c r="I18" s="3" t="n">
        <v>7</v>
      </c>
      <c r="J18" s="3" t="n">
        <v>7</v>
      </c>
      <c r="K18" s="3" t="n">
        <v>7</v>
      </c>
      <c r="L18" s="3" t="n">
        <v>7</v>
      </c>
    </row>
    <row r="19" customFormat="false" ht="15" hidden="false" customHeight="false" outlineLevel="0" collapsed="false">
      <c r="A19" s="0" t="s">
        <v>104</v>
      </c>
      <c r="C19" s="3" t="n">
        <v>30</v>
      </c>
      <c r="D19" s="3" t="n">
        <v>30</v>
      </c>
      <c r="E19" s="3" t="n">
        <v>30</v>
      </c>
      <c r="F19" s="3" t="n">
        <v>30</v>
      </c>
      <c r="G19" s="3" t="n">
        <v>30</v>
      </c>
      <c r="H19" s="3" t="n">
        <v>30</v>
      </c>
      <c r="I19" s="3" t="n">
        <v>30</v>
      </c>
      <c r="J19" s="3" t="n">
        <v>30</v>
      </c>
      <c r="K19" s="3" t="n">
        <v>30</v>
      </c>
      <c r="L19" s="3" t="n">
        <v>30</v>
      </c>
    </row>
    <row r="20" customFormat="false" ht="15" hidden="false" customHeight="false" outlineLevel="0" collapsed="false">
      <c r="A20" s="0" t="s">
        <v>105</v>
      </c>
      <c r="B20" s="3" t="n">
        <v>10.5</v>
      </c>
    </row>
    <row r="21" customFormat="false" ht="15" hidden="false" customHeight="false" outlineLevel="0" collapsed="false">
      <c r="A21" s="0" t="s">
        <v>106</v>
      </c>
      <c r="B21" s="3" t="n">
        <v>2</v>
      </c>
    </row>
    <row r="22" customFormat="false" ht="15" hidden="false" customHeight="false" outlineLevel="0" collapsed="false">
      <c r="A22" s="0" t="s">
        <v>107</v>
      </c>
      <c r="B22" s="3" t="n">
        <v>10</v>
      </c>
    </row>
    <row r="23" customFormat="false" ht="15" hidden="false" customHeight="false" outlineLevel="0" collapsed="false">
      <c r="A23" s="0" t="s">
        <v>108</v>
      </c>
      <c r="B23" s="3" t="n">
        <v>-5</v>
      </c>
    </row>
    <row r="24" customFormat="false" ht="15" hidden="false" customHeight="false" outlineLevel="0" collapsed="false">
      <c r="A24" s="0" t="s">
        <v>109</v>
      </c>
      <c r="B24" s="3" t="n">
        <v>0.3</v>
      </c>
    </row>
    <row r="26" customFormat="false" ht="15" hidden="false" customHeight="false" outlineLevel="0" collapsed="false">
      <c r="A26" s="2" t="s">
        <v>110</v>
      </c>
      <c r="C26" s="2" t="s">
        <v>88</v>
      </c>
      <c r="D26" s="2" t="s">
        <v>89</v>
      </c>
      <c r="E26" s="2" t="s">
        <v>90</v>
      </c>
      <c r="F26" s="2" t="s">
        <v>91</v>
      </c>
      <c r="G26" s="2" t="s">
        <v>92</v>
      </c>
      <c r="H26" s="2" t="s">
        <v>93</v>
      </c>
      <c r="I26" s="2" t="s">
        <v>94</v>
      </c>
      <c r="J26" s="2" t="s">
        <v>95</v>
      </c>
      <c r="K26" s="2" t="s">
        <v>96</v>
      </c>
      <c r="L26" s="2" t="s">
        <v>97</v>
      </c>
    </row>
    <row r="27" customFormat="false" ht="15" hidden="false" customHeight="false" outlineLevel="0" collapsed="false">
      <c r="A27" s="0" t="s">
        <v>98</v>
      </c>
      <c r="C27" s="3" t="n">
        <v>30</v>
      </c>
      <c r="D27" s="3" t="n">
        <v>8</v>
      </c>
      <c r="E27" s="3" t="n">
        <v>5</v>
      </c>
      <c r="F27" s="3" t="n">
        <v>2.5</v>
      </c>
      <c r="G27" s="3" t="n">
        <v>2.5</v>
      </c>
      <c r="H27" s="3" t="n">
        <v>2.5</v>
      </c>
      <c r="I27" s="3" t="n">
        <v>2.5</v>
      </c>
      <c r="J27" s="3" t="n">
        <v>2.5</v>
      </c>
      <c r="K27" s="3" t="n">
        <v>2.5</v>
      </c>
      <c r="L27" s="3" t="n">
        <v>2.5</v>
      </c>
    </row>
    <row r="28" customFormat="false" ht="15" hidden="false" customHeight="false" outlineLevel="0" collapsed="false">
      <c r="A28" s="0" t="s">
        <v>99</v>
      </c>
      <c r="C28" s="3" t="n">
        <v>57</v>
      </c>
      <c r="D28" s="3" t="n">
        <v>60</v>
      </c>
      <c r="E28" s="3" t="n">
        <v>62</v>
      </c>
      <c r="F28" s="3" t="n">
        <v>63</v>
      </c>
      <c r="G28" s="3" t="n">
        <v>64</v>
      </c>
      <c r="H28" s="3" t="n">
        <v>64</v>
      </c>
      <c r="I28" s="3" t="n">
        <v>64</v>
      </c>
      <c r="J28" s="3" t="n">
        <v>64</v>
      </c>
      <c r="K28" s="3" t="n">
        <v>64</v>
      </c>
      <c r="L28" s="3" t="n">
        <v>64</v>
      </c>
    </row>
    <row r="29" customFormat="false" ht="15" hidden="false" customHeight="false" outlineLevel="0" collapsed="false">
      <c r="A29" s="0" t="s">
        <v>100</v>
      </c>
      <c r="C29" s="3" t="n">
        <v>1.2</v>
      </c>
      <c r="D29" s="3" t="n">
        <v>1.1</v>
      </c>
      <c r="E29" s="3" t="n">
        <v>1</v>
      </c>
      <c r="F29" s="3" t="n">
        <v>1</v>
      </c>
      <c r="G29" s="3" t="n">
        <v>0.9</v>
      </c>
      <c r="H29" s="3" t="n">
        <v>0.9</v>
      </c>
      <c r="I29" s="3" t="n">
        <v>0.9</v>
      </c>
      <c r="J29" s="3" t="n">
        <v>0.9</v>
      </c>
      <c r="K29" s="3" t="n">
        <v>0.9</v>
      </c>
      <c r="L29" s="3" t="n">
        <v>0.9</v>
      </c>
    </row>
    <row r="30" customFormat="false" ht="15" hidden="false" customHeight="false" outlineLevel="0" collapsed="false">
      <c r="A30" s="0" t="s">
        <v>101</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102</v>
      </c>
      <c r="C31" s="3" t="n">
        <v>5</v>
      </c>
      <c r="D31" s="3" t="n">
        <v>5.5</v>
      </c>
      <c r="E31" s="3" t="n">
        <v>6</v>
      </c>
      <c r="F31" s="3" t="n">
        <v>6.5</v>
      </c>
      <c r="G31" s="3" t="n">
        <v>7</v>
      </c>
      <c r="H31" s="3" t="n">
        <v>7</v>
      </c>
      <c r="I31" s="3" t="n">
        <v>7</v>
      </c>
      <c r="J31" s="3" t="n">
        <v>7</v>
      </c>
      <c r="K31" s="3" t="n">
        <v>7</v>
      </c>
      <c r="L31" s="3" t="n">
        <v>7</v>
      </c>
    </row>
    <row r="32" customFormat="false" ht="15" hidden="false" customHeight="false" outlineLevel="0" collapsed="false">
      <c r="A32" s="0" t="s">
        <v>103</v>
      </c>
      <c r="C32" s="3" t="n">
        <v>7</v>
      </c>
      <c r="D32" s="3" t="n">
        <v>6.5</v>
      </c>
      <c r="E32" s="3" t="n">
        <v>6</v>
      </c>
      <c r="F32" s="3" t="n">
        <v>6</v>
      </c>
      <c r="G32" s="3" t="n">
        <v>6</v>
      </c>
      <c r="H32" s="3" t="n">
        <v>6</v>
      </c>
      <c r="I32" s="3" t="n">
        <v>6</v>
      </c>
      <c r="J32" s="3" t="n">
        <v>6</v>
      </c>
      <c r="K32" s="3" t="n">
        <v>6</v>
      </c>
      <c r="L32" s="3" t="n">
        <v>6</v>
      </c>
    </row>
    <row r="33" customFormat="false" ht="15" hidden="false" customHeight="false" outlineLevel="0" collapsed="false">
      <c r="A33" s="0" t="s">
        <v>104</v>
      </c>
      <c r="C33" s="3" t="n">
        <v>30</v>
      </c>
      <c r="D33" s="3" t="n">
        <v>30</v>
      </c>
      <c r="E33" s="3" t="n">
        <v>30</v>
      </c>
      <c r="F33" s="3" t="n">
        <v>30</v>
      </c>
      <c r="G33" s="3" t="n">
        <v>30</v>
      </c>
      <c r="H33" s="3" t="n">
        <v>30</v>
      </c>
      <c r="I33" s="3" t="n">
        <v>30</v>
      </c>
      <c r="J33" s="3" t="n">
        <v>30</v>
      </c>
      <c r="K33" s="3" t="n">
        <v>30</v>
      </c>
      <c r="L33" s="3" t="n">
        <v>30</v>
      </c>
    </row>
    <row r="34" customFormat="false" ht="15" hidden="false" customHeight="false" outlineLevel="0" collapsed="false">
      <c r="A34" s="0" t="s">
        <v>105</v>
      </c>
      <c r="B34" s="3" t="n">
        <v>10.5</v>
      </c>
    </row>
    <row r="35" customFormat="false" ht="15" hidden="false" customHeight="false" outlineLevel="0" collapsed="false">
      <c r="A35" s="0" t="s">
        <v>106</v>
      </c>
      <c r="B35" s="3" t="n">
        <v>2</v>
      </c>
    </row>
    <row r="36" customFormat="false" ht="15" hidden="false" customHeight="false" outlineLevel="0" collapsed="false">
      <c r="A36" s="0" t="s">
        <v>107</v>
      </c>
      <c r="B36" s="3" t="n">
        <v>12</v>
      </c>
    </row>
    <row r="37" customFormat="false" ht="15" hidden="false" customHeight="false" outlineLevel="0" collapsed="false">
      <c r="A37" s="0" t="s">
        <v>108</v>
      </c>
      <c r="B37" s="3" t="n">
        <v>-5</v>
      </c>
    </row>
    <row r="38" customFormat="false" ht="15" hidden="false" customHeight="false" outlineLevel="0" collapsed="false">
      <c r="A38" s="0" t="s">
        <v>109</v>
      </c>
      <c r="B38" s="3" t="n">
        <v>0.45</v>
      </c>
    </row>
    <row r="40" customFormat="false" ht="15" hidden="false" customHeight="false" outlineLevel="0" collapsed="false">
      <c r="A40" s="2" t="s">
        <v>111</v>
      </c>
      <c r="C40" s="2" t="s">
        <v>88</v>
      </c>
      <c r="D40" s="2" t="s">
        <v>89</v>
      </c>
      <c r="E40" s="2" t="s">
        <v>90</v>
      </c>
      <c r="F40" s="2" t="s">
        <v>91</v>
      </c>
      <c r="G40" s="2" t="s">
        <v>92</v>
      </c>
      <c r="H40" s="2" t="s">
        <v>93</v>
      </c>
      <c r="I40" s="2" t="s">
        <v>94</v>
      </c>
      <c r="J40" s="2" t="s">
        <v>95</v>
      </c>
      <c r="K40" s="2" t="s">
        <v>96</v>
      </c>
      <c r="L40" s="2" t="s">
        <v>97</v>
      </c>
    </row>
    <row r="41" customFormat="false" ht="15" hidden="false" customHeight="false" outlineLevel="0" collapsed="false">
      <c r="A41" s="0" t="s">
        <v>98</v>
      </c>
      <c r="C41" s="3" t="n">
        <v>55</v>
      </c>
      <c r="D41" s="3" t="n">
        <v>10</v>
      </c>
      <c r="E41" s="3" t="n">
        <v>5</v>
      </c>
      <c r="F41" s="3" t="n">
        <v>3</v>
      </c>
      <c r="G41" s="3" t="n">
        <v>3</v>
      </c>
      <c r="H41" s="3" t="n">
        <v>3</v>
      </c>
      <c r="I41" s="3" t="n">
        <v>3</v>
      </c>
      <c r="J41" s="3" t="n">
        <v>3</v>
      </c>
      <c r="K41" s="3" t="n">
        <v>3</v>
      </c>
      <c r="L41" s="3" t="n">
        <v>3</v>
      </c>
    </row>
    <row r="42" customFormat="false" ht="15" hidden="false" customHeight="false" outlineLevel="0" collapsed="false">
      <c r="A42" s="0" t="s">
        <v>99</v>
      </c>
      <c r="C42" s="3" t="n">
        <v>60</v>
      </c>
      <c r="D42" s="3" t="n">
        <v>64</v>
      </c>
      <c r="E42" s="3" t="n">
        <v>67</v>
      </c>
      <c r="F42" s="3" t="n">
        <v>68</v>
      </c>
      <c r="G42" s="3" t="n">
        <v>68</v>
      </c>
      <c r="H42" s="3" t="n">
        <v>68</v>
      </c>
      <c r="I42" s="3" t="n">
        <v>68</v>
      </c>
      <c r="J42" s="3" t="n">
        <v>68</v>
      </c>
      <c r="K42" s="3" t="n">
        <v>68</v>
      </c>
      <c r="L42" s="3" t="n">
        <v>68</v>
      </c>
    </row>
    <row r="43" customFormat="false" ht="15" hidden="false" customHeight="false" outlineLevel="0" collapsed="false">
      <c r="A43" s="0" t="s">
        <v>100</v>
      </c>
      <c r="C43" s="3" t="n">
        <v>1</v>
      </c>
      <c r="D43" s="3" t="n">
        <v>0.9</v>
      </c>
      <c r="E43" s="3" t="n">
        <v>0.8</v>
      </c>
      <c r="F43" s="3" t="n">
        <v>0.8</v>
      </c>
      <c r="G43" s="3" t="n">
        <v>0.8</v>
      </c>
      <c r="H43" s="3" t="n">
        <v>0.8</v>
      </c>
      <c r="I43" s="3" t="n">
        <v>0.8</v>
      </c>
      <c r="J43" s="3" t="n">
        <v>0.8</v>
      </c>
      <c r="K43" s="3" t="n">
        <v>0.8</v>
      </c>
      <c r="L43" s="3" t="n">
        <v>0.8</v>
      </c>
    </row>
    <row r="44" customFormat="false" ht="15" hidden="false" customHeight="false" outlineLevel="0" collapsed="false">
      <c r="A44" s="0" t="s">
        <v>101</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102</v>
      </c>
      <c r="C45" s="3" t="n">
        <v>4.5</v>
      </c>
      <c r="D45" s="3" t="n">
        <v>5</v>
      </c>
      <c r="E45" s="3" t="n">
        <v>5.5</v>
      </c>
      <c r="F45" s="3" t="n">
        <v>6</v>
      </c>
      <c r="G45" s="3" t="n">
        <v>6</v>
      </c>
      <c r="H45" s="3" t="n">
        <v>6</v>
      </c>
      <c r="I45" s="3" t="n">
        <v>6</v>
      </c>
      <c r="J45" s="3" t="n">
        <v>6</v>
      </c>
      <c r="K45" s="3" t="n">
        <v>6</v>
      </c>
      <c r="L45" s="3" t="n">
        <v>6</v>
      </c>
    </row>
    <row r="46" customFormat="false" ht="15" hidden="false" customHeight="false" outlineLevel="0" collapsed="false">
      <c r="A46" s="0" t="s">
        <v>103</v>
      </c>
      <c r="C46" s="3" t="n">
        <v>6</v>
      </c>
      <c r="D46" s="3" t="n">
        <v>5.5</v>
      </c>
      <c r="E46" s="3" t="n">
        <v>5.5</v>
      </c>
      <c r="F46" s="3" t="n">
        <v>5.5</v>
      </c>
      <c r="G46" s="3" t="n">
        <v>5.5</v>
      </c>
      <c r="H46" s="3" t="n">
        <v>5.5</v>
      </c>
      <c r="I46" s="3" t="n">
        <v>5.5</v>
      </c>
      <c r="J46" s="3" t="n">
        <v>5.5</v>
      </c>
      <c r="K46" s="3" t="n">
        <v>5.5</v>
      </c>
      <c r="L46" s="3" t="n">
        <v>5.5</v>
      </c>
    </row>
    <row r="47" customFormat="false" ht="15" hidden="false" customHeight="false" outlineLevel="0" collapsed="false">
      <c r="A47" s="0" t="s">
        <v>104</v>
      </c>
      <c r="C47" s="3" t="n">
        <v>30</v>
      </c>
      <c r="D47" s="3" t="n">
        <v>30</v>
      </c>
      <c r="E47" s="3" t="n">
        <v>30</v>
      </c>
      <c r="F47" s="3" t="n">
        <v>30</v>
      </c>
      <c r="G47" s="3" t="n">
        <v>30</v>
      </c>
      <c r="H47" s="3" t="n">
        <v>30</v>
      </c>
      <c r="I47" s="3" t="n">
        <v>30</v>
      </c>
      <c r="J47" s="3" t="n">
        <v>30</v>
      </c>
      <c r="K47" s="3" t="n">
        <v>30</v>
      </c>
      <c r="L47" s="3" t="n">
        <v>30</v>
      </c>
    </row>
    <row r="48" customFormat="false" ht="15" hidden="false" customHeight="false" outlineLevel="0" collapsed="false">
      <c r="A48" s="0" t="s">
        <v>105</v>
      </c>
      <c r="B48" s="3" t="n">
        <v>10.5</v>
      </c>
    </row>
    <row r="49" customFormat="false" ht="15" hidden="false" customHeight="false" outlineLevel="0" collapsed="false">
      <c r="A49" s="0" t="s">
        <v>106</v>
      </c>
      <c r="B49" s="3" t="n">
        <v>2.5</v>
      </c>
    </row>
    <row r="50" customFormat="false" ht="15" hidden="false" customHeight="false" outlineLevel="0" collapsed="false">
      <c r="A50" s="0" t="s">
        <v>107</v>
      </c>
      <c r="B50" s="3" t="n">
        <v>14</v>
      </c>
    </row>
    <row r="51" customFormat="false" ht="15" hidden="false" customHeight="false" outlineLevel="0" collapsed="false">
      <c r="A51" s="0" t="s">
        <v>108</v>
      </c>
      <c r="B51" s="3" t="n">
        <v>-5</v>
      </c>
    </row>
    <row r="52" customFormat="false" ht="15" hidden="false" customHeight="false" outlineLevel="0" collapsed="false">
      <c r="A52" s="0" t="s">
        <v>109</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112</v>
      </c>
    </row>
    <row r="3" customFormat="false" ht="15" hidden="false" customHeight="false" outlineLevel="0" collapsed="false">
      <c r="A3" s="0" t="s">
        <v>113</v>
      </c>
      <c r="B3" s="0" t="s">
        <v>74</v>
      </c>
      <c r="C3" s="2" t="s">
        <v>88</v>
      </c>
      <c r="D3" s="2" t="s">
        <v>89</v>
      </c>
      <c r="E3" s="2" t="s">
        <v>90</v>
      </c>
      <c r="F3" s="2" t="s">
        <v>91</v>
      </c>
      <c r="G3" s="2" t="s">
        <v>92</v>
      </c>
      <c r="H3" s="2" t="s">
        <v>93</v>
      </c>
      <c r="I3" s="2" t="s">
        <v>94</v>
      </c>
      <c r="J3" s="2" t="s">
        <v>95</v>
      </c>
      <c r="K3" s="2" t="s">
        <v>96</v>
      </c>
      <c r="L3" s="2" t="s">
        <v>97</v>
      </c>
    </row>
    <row r="4" customFormat="false" ht="15" hidden="false" customHeight="false" outlineLevel="0" collapsed="false">
      <c r="A4" s="0" t="s">
        <v>114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98</v>
      </c>
      <c r="C5" s="4" t="n">
        <f aca="false">Assumptions!C13</f>
        <v>10</v>
      </c>
      <c r="D5" s="4" t="n">
        <f aca="false">Assumptions!D13</f>
        <v>0</v>
      </c>
      <c r="E5" s="4" t="n">
        <f aca="false">Assumptions!E13</f>
        <v>3</v>
      </c>
      <c r="F5" s="4" t="n">
        <f aca="false">Assumptions!F13</f>
        <v>2</v>
      </c>
      <c r="G5" s="4" t="n">
        <f aca="false">Assumptions!G13</f>
        <v>2</v>
      </c>
      <c r="H5" s="4" t="n">
        <f aca="false">Assumptions!H13</f>
        <v>2</v>
      </c>
      <c r="I5" s="4" t="n">
        <f aca="false">Assumptions!I13</f>
        <v>2</v>
      </c>
      <c r="J5" s="4" t="n">
        <f aca="false">Assumptions!J13</f>
        <v>2</v>
      </c>
      <c r="K5" s="4" t="n">
        <f aca="false">Assumptions!K13</f>
        <v>2</v>
      </c>
      <c r="L5" s="4" t="n">
        <f aca="false">Assumptions!L13</f>
        <v>2</v>
      </c>
    </row>
    <row r="6" customFormat="false" ht="15" hidden="false" customHeight="false" outlineLevel="0" collapsed="false">
      <c r="A6" s="0" t="s">
        <v>37</v>
      </c>
      <c r="B6" s="3" t="n">
        <v>714.2</v>
      </c>
      <c r="C6" s="0" t="n">
        <f aca="false">B6*(1+C5/100)</f>
        <v>785.62</v>
      </c>
      <c r="D6" s="0" t="n">
        <f aca="false">C6*(1+D5/100)</f>
        <v>785.62</v>
      </c>
      <c r="E6" s="0" t="n">
        <f aca="false">D6*(1+E5/100)</f>
        <v>809.1886</v>
      </c>
      <c r="F6" s="0" t="n">
        <f aca="false">E6*(1+F5/100)</f>
        <v>825.372372</v>
      </c>
      <c r="G6" s="0" t="n">
        <f aca="false">F6*(1+G5/100)</f>
        <v>841.87981944</v>
      </c>
      <c r="H6" s="0" t="n">
        <f aca="false">G6*(1+H5/100)</f>
        <v>858.7174158288</v>
      </c>
      <c r="I6" s="0" t="n">
        <f aca="false">H6*(1+I5/100)</f>
        <v>875.891764145376</v>
      </c>
      <c r="J6" s="0" t="n">
        <f aca="false">I6*(1+J5/100)</f>
        <v>893.409599428284</v>
      </c>
      <c r="K6" s="0" t="n">
        <f aca="false">J6*(1+K5/100)</f>
        <v>911.277791416849</v>
      </c>
      <c r="L6" s="0" t="n">
        <f aca="false">K6*(1+L5/100)</f>
        <v>929.503347245186</v>
      </c>
    </row>
    <row r="7" customFormat="false" ht="15" hidden="false" customHeight="false" outlineLevel="0" collapsed="false">
      <c r="A7" s="0" t="s">
        <v>99</v>
      </c>
      <c r="C7" s="4" t="n">
        <f aca="false">Assumptions!C14</f>
        <v>50</v>
      </c>
      <c r="D7" s="4" t="n">
        <f aca="false">Assumptions!D14</f>
        <v>49</v>
      </c>
      <c r="E7" s="4" t="n">
        <f aca="false">Assumptions!E14</f>
        <v>49</v>
      </c>
      <c r="F7" s="4" t="n">
        <f aca="false">Assumptions!F14</f>
        <v>50</v>
      </c>
      <c r="G7" s="4" t="n">
        <f aca="false">Assumptions!G14</f>
        <v>51</v>
      </c>
      <c r="H7" s="4" t="n">
        <f aca="false">Assumptions!H14</f>
        <v>51</v>
      </c>
      <c r="I7" s="4" t="n">
        <f aca="false">Assumptions!I14</f>
        <v>51</v>
      </c>
      <c r="J7" s="4" t="n">
        <f aca="false">Assumptions!J14</f>
        <v>51</v>
      </c>
      <c r="K7" s="4" t="n">
        <f aca="false">Assumptions!K14</f>
        <v>51</v>
      </c>
      <c r="L7" s="4" t="n">
        <f aca="false">Assumptions!L14</f>
        <v>51</v>
      </c>
    </row>
    <row r="8" customFormat="false" ht="15" hidden="false" customHeight="false" outlineLevel="0" collapsed="false">
      <c r="A8" s="0" t="s">
        <v>43</v>
      </c>
      <c r="C8" s="0" t="n">
        <f aca="false">C6*C7/100</f>
        <v>392.81</v>
      </c>
      <c r="D8" s="0" t="n">
        <f aca="false">D6*D7/100</f>
        <v>384.9538</v>
      </c>
      <c r="E8" s="0" t="n">
        <f aca="false">E6*E7/100</f>
        <v>396.502414</v>
      </c>
      <c r="F8" s="0" t="n">
        <f aca="false">F6*F7/100</f>
        <v>412.686186</v>
      </c>
      <c r="G8" s="0" t="n">
        <f aca="false">G6*G7/100</f>
        <v>429.3587079144</v>
      </c>
      <c r="H8" s="0" t="n">
        <f aca="false">H6*H7/100</f>
        <v>437.945882072688</v>
      </c>
      <c r="I8" s="0" t="n">
        <f aca="false">I6*I7/100</f>
        <v>446.704799714142</v>
      </c>
      <c r="J8" s="0" t="n">
        <f aca="false">J6*J7/100</f>
        <v>455.638895708425</v>
      </c>
      <c r="K8" s="0" t="n">
        <f aca="false">K6*K7/100</f>
        <v>464.751673622593</v>
      </c>
      <c r="L8" s="0" t="n">
        <f aca="false">L6*L7/100</f>
        <v>474.046707095045</v>
      </c>
    </row>
    <row r="9" customFormat="false" ht="15" hidden="false" customHeight="false" outlineLevel="0" collapsed="false">
      <c r="A9" s="0" t="s">
        <v>100</v>
      </c>
      <c r="C9" s="4" t="n">
        <f aca="false">Assumptions!C15</f>
        <v>1.3</v>
      </c>
      <c r="D9" s="4" t="n">
        <f aca="false">Assumptions!D15</f>
        <v>1.3</v>
      </c>
      <c r="E9" s="4" t="n">
        <f aca="false">Assumptions!E15</f>
        <v>1.2</v>
      </c>
      <c r="F9" s="4" t="n">
        <f aca="false">Assumptions!F15</f>
        <v>1.2</v>
      </c>
      <c r="G9" s="4" t="n">
        <f aca="false">Assumptions!G15</f>
        <v>1.2</v>
      </c>
      <c r="H9" s="4" t="n">
        <f aca="false">Assumptions!H15</f>
        <v>1.2</v>
      </c>
      <c r="I9" s="4" t="n">
        <f aca="false">Assumptions!I15</f>
        <v>1.2</v>
      </c>
      <c r="J9" s="4" t="n">
        <f aca="false">Assumptions!J15</f>
        <v>1.2</v>
      </c>
      <c r="K9" s="4" t="n">
        <f aca="false">Assumptions!K15</f>
        <v>1.2</v>
      </c>
      <c r="L9" s="4" t="n">
        <f aca="false">Assumptions!L15</f>
        <v>1.2</v>
      </c>
    </row>
    <row r="10" customFormat="false" ht="15" hidden="false" customHeight="false" outlineLevel="0" collapsed="false">
      <c r="A10" s="0" t="s">
        <v>115</v>
      </c>
      <c r="C10" s="0" t="n">
        <f aca="false">-C6*C9/100</f>
        <v>-10.21306</v>
      </c>
      <c r="D10" s="0" t="n">
        <f aca="false">-D6*D9/100</f>
        <v>-10.21306</v>
      </c>
      <c r="E10" s="0" t="n">
        <f aca="false">-E6*E9/100</f>
        <v>-9.7102632</v>
      </c>
      <c r="F10" s="0" t="n">
        <f aca="false">-F6*F9/100</f>
        <v>-9.904468464</v>
      </c>
      <c r="G10" s="0" t="n">
        <f aca="false">-G6*G9/100</f>
        <v>-10.10255783328</v>
      </c>
      <c r="H10" s="0" t="n">
        <f aca="false">-H6*H9/100</f>
        <v>-10.3046089899456</v>
      </c>
      <c r="I10" s="0" t="n">
        <f aca="false">-I6*I9/100</f>
        <v>-10.5107011697445</v>
      </c>
      <c r="J10" s="0" t="n">
        <f aca="false">-J6*J9/100</f>
        <v>-10.7209151931394</v>
      </c>
      <c r="K10" s="0" t="n">
        <f aca="false">-K6*K9/100</f>
        <v>-10.9353334970022</v>
      </c>
      <c r="L10" s="0" t="n">
        <f aca="false">-L6*L9/100</f>
        <v>-11.1540401669422</v>
      </c>
    </row>
    <row r="11" customFormat="false" ht="15" hidden="false" customHeight="false" outlineLevel="0" collapsed="false">
      <c r="A11" s="0" t="s">
        <v>116</v>
      </c>
      <c r="C11" s="0" t="n">
        <f aca="false">C8+C10+C24</f>
        <v>382.59694</v>
      </c>
      <c r="D11" s="0" t="n">
        <f aca="false">D8+D10+D24</f>
        <v>374.74074</v>
      </c>
      <c r="E11" s="0" t="n">
        <f aca="false">E8+E10+E24</f>
        <v>386.7921508</v>
      </c>
      <c r="F11" s="0" t="n">
        <f aca="false">F8+F10+F24</f>
        <v>402.781717536</v>
      </c>
      <c r="G11" s="0" t="n">
        <f aca="false">G8+G10+G24</f>
        <v>419.25615008112</v>
      </c>
      <c r="H11" s="0" t="n">
        <f aca="false">H8+H10+H24</f>
        <v>427.641273082742</v>
      </c>
      <c r="I11" s="0" t="n">
        <f aca="false">I8+I10+I24</f>
        <v>436.194098544397</v>
      </c>
      <c r="J11" s="0" t="n">
        <f aca="false">J8+J10+J24</f>
        <v>444.917980515285</v>
      </c>
      <c r="K11" s="0" t="n">
        <f aca="false">K8+K10+K24</f>
        <v>453.816340125591</v>
      </c>
      <c r="L11" s="0" t="n">
        <f aca="false">L8+L10+L24</f>
        <v>462.892666928103</v>
      </c>
    </row>
    <row r="12" customFormat="false" ht="15" hidden="false" customHeight="false" outlineLevel="0" collapsed="false">
      <c r="A12" s="0" t="s">
        <v>117</v>
      </c>
      <c r="C12" s="4" t="n">
        <f aca="false">-C6*Assumptions!C17/100</f>
        <v>-43.2091</v>
      </c>
      <c r="D12" s="4" t="n">
        <f aca="false">-D6*Assumptions!D17/100</f>
        <v>-47.1372</v>
      </c>
      <c r="E12" s="4" t="n">
        <f aca="false">-E6*Assumptions!E17/100</f>
        <v>-52.597259</v>
      </c>
      <c r="F12" s="4" t="n">
        <f aca="false">-F6*Assumptions!F17/100</f>
        <v>-57.77606604</v>
      </c>
      <c r="G12" s="4" t="n">
        <f aca="false">-G6*Assumptions!G17/100</f>
        <v>-63.140986458</v>
      </c>
      <c r="H12" s="4" t="n">
        <f aca="false">-H6*Assumptions!H17/100</f>
        <v>-64.40380618716</v>
      </c>
      <c r="I12" s="4" t="n">
        <f aca="false">-I6*Assumptions!I17/100</f>
        <v>-65.6918823109032</v>
      </c>
      <c r="J12" s="4" t="n">
        <f aca="false">-J6*Assumptions!J17/100</f>
        <v>-67.0057199571213</v>
      </c>
      <c r="K12" s="4" t="n">
        <f aca="false">-K6*Assumptions!K17/100</f>
        <v>-68.3458343562637</v>
      </c>
      <c r="L12" s="4" t="n">
        <f aca="false">-L6*Assumptions!L17/100</f>
        <v>-69.712751043389</v>
      </c>
    </row>
    <row r="13" customFormat="false" ht="15" hidden="false" customHeight="false" outlineLevel="0" collapsed="false">
      <c r="A13" s="0" t="s">
        <v>118</v>
      </c>
      <c r="C13" s="0" t="n">
        <f aca="false">C11+C12</f>
        <v>339.38784</v>
      </c>
      <c r="D13" s="0" t="n">
        <f aca="false">D11+D12</f>
        <v>327.60354</v>
      </c>
      <c r="E13" s="0" t="n">
        <f aca="false">E11+E12</f>
        <v>334.1948918</v>
      </c>
      <c r="F13" s="0" t="n">
        <f aca="false">F11+F12</f>
        <v>345.005651496</v>
      </c>
      <c r="G13" s="0" t="n">
        <f aca="false">G11+G12</f>
        <v>356.11516362312</v>
      </c>
      <c r="H13" s="0" t="n">
        <f aca="false">H11+H12</f>
        <v>363.237466895582</v>
      </c>
      <c r="I13" s="0" t="n">
        <f aca="false">I11+I12</f>
        <v>370.502216233494</v>
      </c>
      <c r="J13" s="0" t="n">
        <f aca="false">J11+J12</f>
        <v>377.912260558164</v>
      </c>
      <c r="K13" s="0" t="n">
        <f aca="false">K11+K12</f>
        <v>385.470505769327</v>
      </c>
      <c r="L13" s="0" t="n">
        <f aca="false">L11+L12</f>
        <v>393.179915884714</v>
      </c>
    </row>
    <row r="14" customFormat="false" ht="15" hidden="false" customHeight="false" outlineLevel="0" collapsed="false">
      <c r="A14" s="0" t="s">
        <v>104</v>
      </c>
      <c r="C14" s="4" t="n">
        <f aca="false">Assumptions!C19</f>
        <v>30</v>
      </c>
      <c r="D14" s="4" t="n">
        <f aca="false">Assumptions!D19</f>
        <v>30</v>
      </c>
      <c r="E14" s="4" t="n">
        <f aca="false">Assumptions!E19</f>
        <v>30</v>
      </c>
      <c r="F14" s="4" t="n">
        <f aca="false">Assumptions!F19</f>
        <v>30</v>
      </c>
      <c r="G14" s="4" t="n">
        <f aca="false">Assumptions!G19</f>
        <v>30</v>
      </c>
      <c r="H14" s="4" t="n">
        <f aca="false">Assumptions!H19</f>
        <v>30</v>
      </c>
      <c r="I14" s="4" t="n">
        <f aca="false">Assumptions!I19</f>
        <v>30</v>
      </c>
      <c r="J14" s="4" t="n">
        <f aca="false">Assumptions!J19</f>
        <v>30</v>
      </c>
      <c r="K14" s="4" t="n">
        <f aca="false">Assumptions!K19</f>
        <v>30</v>
      </c>
      <c r="L14" s="4" t="n">
        <f aca="false">Assumptions!L19</f>
        <v>30</v>
      </c>
    </row>
    <row r="15" customFormat="false" ht="15" hidden="false" customHeight="false" outlineLevel="0" collapsed="false">
      <c r="A15" s="0" t="s">
        <v>119</v>
      </c>
      <c r="C15" s="0" t="n">
        <f aca="false">C13-MAX(0,C13)*C14/100</f>
        <v>237.571488</v>
      </c>
      <c r="D15" s="0" t="n">
        <f aca="false">D13-MAX(0,D13)*D14/100</f>
        <v>229.322478</v>
      </c>
      <c r="E15" s="0" t="n">
        <f aca="false">E13-MAX(0,E13)*E14/100</f>
        <v>233.93642426</v>
      </c>
      <c r="F15" s="0" t="n">
        <f aca="false">F13-MAX(0,F13)*F14/100</f>
        <v>241.5039560472</v>
      </c>
      <c r="G15" s="0" t="n">
        <f aca="false">G13-MAX(0,G13)*G14/100</f>
        <v>249.280614536184</v>
      </c>
      <c r="H15" s="0" t="n">
        <f aca="false">H13-MAX(0,H13)*H14/100</f>
        <v>254.266226826908</v>
      </c>
      <c r="I15" s="0" t="n">
        <f aca="false">I13-MAX(0,I13)*I14/100</f>
        <v>259.351551363446</v>
      </c>
      <c r="J15" s="0" t="n">
        <f aca="false">J13-MAX(0,J13)*J14/100</f>
        <v>264.538582390715</v>
      </c>
      <c r="K15" s="0" t="n">
        <f aca="false">K13-MAX(0,K13)*K14/100</f>
        <v>269.829354038529</v>
      </c>
      <c r="L15" s="0" t="n">
        <f aca="false">L13-MAX(0,L13)*L14/100</f>
        <v>275.2259411193</v>
      </c>
    </row>
    <row r="16" customFormat="false" ht="15" hidden="false" customHeight="false" outlineLevel="0" collapsed="false">
      <c r="A16" s="0" t="s">
        <v>120</v>
      </c>
      <c r="C16" s="0" t="n">
        <f aca="false">-C12</f>
        <v>43.2091</v>
      </c>
      <c r="D16" s="0" t="n">
        <f aca="false">-D12</f>
        <v>47.1372</v>
      </c>
      <c r="E16" s="0" t="n">
        <f aca="false">-E12</f>
        <v>52.597259</v>
      </c>
      <c r="F16" s="0" t="n">
        <f aca="false">-F12</f>
        <v>57.77606604</v>
      </c>
      <c r="G16" s="0" t="n">
        <f aca="false">-G12</f>
        <v>63.140986458</v>
      </c>
      <c r="H16" s="0" t="n">
        <f aca="false">-H12</f>
        <v>64.40380618716</v>
      </c>
      <c r="I16" s="0" t="n">
        <f aca="false">-I12</f>
        <v>65.6918823109032</v>
      </c>
      <c r="J16" s="0" t="n">
        <f aca="false">-J12</f>
        <v>67.0057199571213</v>
      </c>
      <c r="K16" s="0" t="n">
        <f aca="false">-K12</f>
        <v>68.3458343562637</v>
      </c>
      <c r="L16" s="0" t="n">
        <f aca="false">-L12</f>
        <v>69.712751043389</v>
      </c>
    </row>
    <row r="17" customFormat="false" ht="15" hidden="false" customHeight="false" outlineLevel="0" collapsed="false">
      <c r="A17" s="0" t="s">
        <v>121</v>
      </c>
      <c r="C17" s="4" t="n">
        <f aca="false">-C6*Assumptions!C18/100</f>
        <v>-62.8496</v>
      </c>
      <c r="D17" s="4" t="n">
        <f aca="false">-D6*Assumptions!D18/100</f>
        <v>-58.9215</v>
      </c>
      <c r="E17" s="4" t="n">
        <f aca="false">-E6*Assumptions!E18/100</f>
        <v>-56.643202</v>
      </c>
      <c r="F17" s="4" t="n">
        <f aca="false">-F6*Assumptions!F18/100</f>
        <v>-57.77606604</v>
      </c>
      <c r="G17" s="4" t="n">
        <f aca="false">-G6*Assumptions!G18/100</f>
        <v>-58.9315873608</v>
      </c>
      <c r="H17" s="4" t="n">
        <f aca="false">-H6*Assumptions!H18/100</f>
        <v>-60.110219108016</v>
      </c>
      <c r="I17" s="4" t="n">
        <f aca="false">-I6*Assumptions!I18/100</f>
        <v>-61.3124234901763</v>
      </c>
      <c r="J17" s="4" t="n">
        <f aca="false">-J6*Assumptions!J18/100</f>
        <v>-62.5386719599799</v>
      </c>
      <c r="K17" s="4" t="n">
        <f aca="false">-K6*Assumptions!K18/100</f>
        <v>-63.7894453991795</v>
      </c>
      <c r="L17" s="4" t="n">
        <f aca="false">-L6*Assumptions!L18/100</f>
        <v>-65.0652343071631</v>
      </c>
    </row>
    <row r="18" customFormat="false" ht="15" hidden="false" customHeight="false" outlineLevel="0" collapsed="false">
      <c r="A18" s="0" t="s">
        <v>122</v>
      </c>
      <c r="C18" s="4" t="n">
        <f aca="false">(C6-B6)*Assumptions!$B$23/100</f>
        <v>-3.571</v>
      </c>
      <c r="D18" s="4" t="n">
        <f aca="false">(D6-C6)*Assumptions!$B$23/100</f>
        <v>-0</v>
      </c>
      <c r="E18" s="4" t="n">
        <f aca="false">(E6-D6)*Assumptions!$B$23/100</f>
        <v>-1.17843</v>
      </c>
      <c r="F18" s="4" t="n">
        <f aca="false">(F6-E6)*Assumptions!$B$23/100</f>
        <v>-0.809188599999999</v>
      </c>
      <c r="G18" s="4" t="n">
        <f aca="false">(G6-F6)*Assumptions!$B$23/100</f>
        <v>-0.825372371999998</v>
      </c>
      <c r="H18" s="4" t="n">
        <f aca="false">(H6-G6)*Assumptions!$B$23/100</f>
        <v>-0.841879819439998</v>
      </c>
      <c r="I18" s="4" t="n">
        <f aca="false">(I6-H6)*Assumptions!$B$23/100</f>
        <v>-0.858717415828801</v>
      </c>
      <c r="J18" s="4" t="n">
        <f aca="false">(J6-I6)*Assumptions!$B$23/100</f>
        <v>-0.875891764145376</v>
      </c>
      <c r="K18" s="4" t="n">
        <f aca="false">(K6-J6)*Assumptions!$B$23/100</f>
        <v>-0.893409599428287</v>
      </c>
      <c r="L18" s="4" t="n">
        <f aca="false">(L6-K6)*Assumptions!$B$23/100</f>
        <v>-0.911277791416848</v>
      </c>
    </row>
    <row r="19" customFormat="false" ht="15" hidden="false" customHeight="false" outlineLevel="0" collapsed="false">
      <c r="A19" s="0" t="s">
        <v>123</v>
      </c>
      <c r="C19" s="0" t="n">
        <f aca="false">C15+C16+C17+C18</f>
        <v>214.359988</v>
      </c>
      <c r="D19" s="0" t="n">
        <f aca="false">D15+D16+D17+D18</f>
        <v>217.538178</v>
      </c>
      <c r="E19" s="0" t="n">
        <f aca="false">E15+E16+E17+E18</f>
        <v>228.71205126</v>
      </c>
      <c r="F19" s="0" t="n">
        <f aca="false">F15+F16+F17+F18</f>
        <v>240.6947674472</v>
      </c>
      <c r="G19" s="0" t="n">
        <f aca="false">G15+G16+G17+G18</f>
        <v>252.664641261384</v>
      </c>
      <c r="H19" s="0" t="n">
        <f aca="false">H15+H16+H17+H18</f>
        <v>257.717934086612</v>
      </c>
      <c r="I19" s="0" t="n">
        <f aca="false">I15+I16+I17+I18</f>
        <v>262.872292768344</v>
      </c>
      <c r="J19" s="0" t="n">
        <f aca="false">J15+J16+J17+J18</f>
        <v>268.129738623711</v>
      </c>
      <c r="K19" s="0" t="n">
        <f aca="false">K15+K16+K17+K18</f>
        <v>273.492333396185</v>
      </c>
      <c r="L19" s="0" t="n">
        <f aca="false">L15+L16+L17+L18</f>
        <v>278.962180064109</v>
      </c>
    </row>
    <row r="20" customFormat="false" ht="15" hidden="false" customHeight="false" outlineLevel="0" collapsed="false">
      <c r="A20" s="0" t="s">
        <v>124</v>
      </c>
      <c r="C20" s="0" t="n">
        <f aca="false">1/(1+$B$27/100)^C4</f>
        <v>0.904977375565611</v>
      </c>
      <c r="D20" s="0" t="n">
        <f aca="false">1/(1+$B$27/100)^D4</f>
        <v>0.818984050285621</v>
      </c>
      <c r="E20" s="0" t="n">
        <f aca="false">1/(1+$B$27/100)^E4</f>
        <v>0.741162036457575</v>
      </c>
      <c r="F20" s="0" t="n">
        <f aca="false">1/(1+$B$27/100)^F4</f>
        <v>0.67073487462224</v>
      </c>
      <c r="G20" s="0" t="n">
        <f aca="false">1/(1+$B$27/100)^G4</f>
        <v>0.606999886535964</v>
      </c>
      <c r="H20" s="0" t="n">
        <f aca="false">1/(1+$B$27/100)^H4</f>
        <v>0.54932116428594</v>
      </c>
      <c r="I20" s="0" t="n">
        <f aca="false">1/(1+$B$27/100)^I4</f>
        <v>0.497123225598136</v>
      </c>
      <c r="J20" s="0" t="n">
        <f aca="false">1/(1+$B$27/100)^J4</f>
        <v>0.449885272034512</v>
      </c>
      <c r="K20" s="0" t="n">
        <f aca="false">1/(1+$B$27/100)^K4</f>
        <v>0.407135992791414</v>
      </c>
      <c r="L20" s="0" t="n">
        <f aca="false">1/(1+$B$27/100)^L4</f>
        <v>0.368448862254673</v>
      </c>
    </row>
    <row r="21" customFormat="false" ht="15" hidden="false" customHeight="false" outlineLevel="0" collapsed="false">
      <c r="A21" s="0" t="s">
        <v>125</v>
      </c>
      <c r="C21" s="0" t="n">
        <f aca="false">C19*C20</f>
        <v>193.990939366516</v>
      </c>
      <c r="D21" s="0" t="n">
        <f aca="false">D19*D20</f>
        <v>178.160298110194</v>
      </c>
      <c r="E21" s="0" t="n">
        <f aca="false">E19*E20</f>
        <v>169.512689674251</v>
      </c>
      <c r="F21" s="0" t="n">
        <f aca="false">F19*F20</f>
        <v>161.442374665927</v>
      </c>
      <c r="G21" s="0" t="n">
        <f aca="false">G19*G20</f>
        <v>153.36740857731</v>
      </c>
      <c r="H21" s="0" t="n">
        <f aca="false">H19*H20</f>
        <v>141.569915609825</v>
      </c>
      <c r="I21" s="0" t="n">
        <f aca="false">I19*I20</f>
        <v>130.679922101377</v>
      </c>
      <c r="J21" s="0" t="n">
        <f aca="false">J19*J20</f>
        <v>120.627620401271</v>
      </c>
      <c r="K21" s="0" t="n">
        <f aca="false">K19*K20</f>
        <v>111.348572678096</v>
      </c>
      <c r="L21" s="0" t="n">
        <f aca="false">L19*L20</f>
        <v>102.783297856704</v>
      </c>
    </row>
    <row r="23" customFormat="false" ht="15" hidden="false" customHeight="false" outlineLevel="0" collapsed="false">
      <c r="A23" s="0" t="s">
        <v>101</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126</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127</v>
      </c>
    </row>
    <row r="27" customFormat="false" ht="15" hidden="false" customHeight="false" outlineLevel="0" collapsed="false">
      <c r="A27" s="0" t="s">
        <v>105</v>
      </c>
      <c r="B27" s="4" t="n">
        <f aca="false">Assumptions!$B$20</f>
        <v>10.5</v>
      </c>
    </row>
    <row r="28" customFormat="false" ht="15" hidden="false" customHeight="false" outlineLevel="0" collapsed="false">
      <c r="A28" s="0" t="s">
        <v>106</v>
      </c>
      <c r="B28" s="4" t="n">
        <f aca="false">Assumptions!$B$21</f>
        <v>2</v>
      </c>
    </row>
    <row r="29" customFormat="false" ht="15" hidden="false" customHeight="false" outlineLevel="0" collapsed="false">
      <c r="A29" s="0" t="s">
        <v>107</v>
      </c>
      <c r="B29" s="4" t="n">
        <f aca="false">Assumptions!$B$22</f>
        <v>10</v>
      </c>
    </row>
    <row r="30" customFormat="false" ht="15" hidden="false" customHeight="false" outlineLevel="0" collapsed="false">
      <c r="A30" s="0" t="s">
        <v>128</v>
      </c>
      <c r="B30" s="0" t="n">
        <f aca="false">SUM(C21:L21)</f>
        <v>1463.48303904147</v>
      </c>
    </row>
    <row r="31" customFormat="false" ht="15" hidden="false" customHeight="false" outlineLevel="0" collapsed="false">
      <c r="A31" s="0" t="s">
        <v>129</v>
      </c>
      <c r="B31" s="0" t="n">
        <f aca="false">L19</f>
        <v>278.962180064109</v>
      </c>
    </row>
    <row r="32" customFormat="false" ht="15" hidden="false" customHeight="false" outlineLevel="0" collapsed="false">
      <c r="A32" s="0" t="s">
        <v>130</v>
      </c>
      <c r="B32" s="0" t="n">
        <f aca="false">IF(B27&gt;B28,B31*(1+B28/100)/((B27-B28)/100),B31*B29)</f>
        <v>3347.54616076931</v>
      </c>
    </row>
    <row r="33" customFormat="false" ht="15" hidden="false" customHeight="false" outlineLevel="0" collapsed="false">
      <c r="A33" s="0" t="s">
        <v>131</v>
      </c>
      <c r="B33" s="0" t="n">
        <f aca="false">B31*B29</f>
        <v>2789.62180064109</v>
      </c>
    </row>
    <row r="34" customFormat="false" ht="15" hidden="false" customHeight="false" outlineLevel="0" collapsed="false">
      <c r="A34" s="0" t="s">
        <v>132</v>
      </c>
      <c r="B34" s="0" t="n">
        <f aca="false">MAX(0,MIN(B32,B33))</f>
        <v>2789.62180064109</v>
      </c>
    </row>
    <row r="35" customFormat="false" ht="15" hidden="false" customHeight="false" outlineLevel="0" collapsed="false">
      <c r="A35" s="0" t="s">
        <v>133</v>
      </c>
      <c r="B35" s="0" t="n">
        <f aca="false">B34/(1+B27/100)^L4</f>
        <v>1027.83297856704</v>
      </c>
    </row>
    <row r="36" customFormat="false" ht="15" hidden="false" customHeight="false" outlineLevel="0" collapsed="false">
      <c r="A36" s="0" t="s">
        <v>134</v>
      </c>
      <c r="B36" s="0" t="n">
        <f aca="false">B30+B35</f>
        <v>2491.31601760851</v>
      </c>
    </row>
    <row r="37" customFormat="false" ht="15" hidden="false" customHeight="false" outlineLevel="0" collapsed="false">
      <c r="A37" s="0" t="s">
        <v>135</v>
      </c>
      <c r="B37" s="0" t="n">
        <f aca="false">B36+Assumptions!$B$5-Assumptions!$B$4</f>
        <v>2535.11601760851</v>
      </c>
    </row>
    <row r="38" customFormat="false" ht="15" hidden="false" customHeight="false" outlineLevel="0" collapsed="false">
      <c r="A38" s="0" t="s">
        <v>136</v>
      </c>
      <c r="B38" s="0" t="n">
        <f aca="false">B37/Assumptions!$B$3*Assumptions!$B$10</f>
        <v>3.32343473729485</v>
      </c>
    </row>
    <row r="39" customFormat="false" ht="15" hidden="false" customHeight="false" outlineLevel="0" collapsed="false">
      <c r="A39" s="0" t="s">
        <v>137</v>
      </c>
      <c r="B39" s="4" t="n">
        <f aca="false">B38/Assumptions!$B$2-1</f>
        <v>-0.524204046199735</v>
      </c>
    </row>
    <row r="41" customFormat="false" ht="15" hidden="false" customHeight="false" outlineLevel="0" collapsed="false">
      <c r="A41" s="0" t="s">
        <v>138</v>
      </c>
      <c r="B41" s="0" t="n">
        <f aca="false">SUMPRODUCT(-C10:L10/(1+$B$27/100)^C4:L4)</f>
        <v>61.8500203933344</v>
      </c>
    </row>
    <row r="42" customFormat="false" ht="15" hidden="false" customHeight="false" outlineLevel="0" collapsed="false">
      <c r="A42" s="0" t="s">
        <v>139</v>
      </c>
      <c r="B42" s="0" t="n">
        <f aca="false">IF(B27&gt;B28,-L10*(1+B28/100)/((B27-B28)/100),-L10*20)/(1+B27/100)^L4</f>
        <v>49.3163209086335</v>
      </c>
    </row>
    <row r="43" customFormat="false" ht="15" hidden="false" customHeight="false" outlineLevel="0" collapsed="false">
      <c r="A43" s="0" t="s">
        <v>140</v>
      </c>
      <c r="B43" s="0" t="n">
        <f aca="false">(B37+B41+B42)/Assumptions!$B$3*Assumptions!$B$10</f>
        <v>3.46916932211652</v>
      </c>
    </row>
    <row r="45" customFormat="false" ht="15" hidden="false" customHeight="false" outlineLevel="0" collapsed="false">
      <c r="A45" s="0" t="s">
        <v>81</v>
      </c>
      <c r="B45" s="4" t="n">
        <f aca="false">Assumptions!$B$6</f>
        <v>15</v>
      </c>
    </row>
    <row r="46" customFormat="false" ht="15" hidden="false" customHeight="false" outlineLevel="0" collapsed="false">
      <c r="A46" s="0" t="s">
        <v>141</v>
      </c>
      <c r="B46" s="0" t="n">
        <f aca="false">MAX(0,MIN(IF(B45&gt;B28,B31*(1+B28/100)/((B45-B28)/100),B31*B29),B31*B29))</f>
        <v>2188.78018204147</v>
      </c>
    </row>
    <row r="47" customFormat="false" ht="15" hidden="false" customHeight="false" outlineLevel="0" collapsed="false">
      <c r="A47" s="0" t="s">
        <v>142</v>
      </c>
      <c r="B47" s="0" t="n">
        <f aca="false">(SUMPRODUCT(C19:L19/(1+B45/100)^C4:L4)+B46/(1+B45/100)^L4+Assumptions!$B$5-Assumptions!$B$4)/Assumptions!$B$3*Assumptions!$B$10</f>
        <v>2.35177614323103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143</v>
      </c>
    </row>
    <row r="3" customFormat="false" ht="15" hidden="false" customHeight="false" outlineLevel="0" collapsed="false">
      <c r="A3" s="0" t="s">
        <v>113</v>
      </c>
      <c r="B3" s="0" t="s">
        <v>74</v>
      </c>
      <c r="C3" s="2" t="s">
        <v>88</v>
      </c>
      <c r="D3" s="2" t="s">
        <v>89</v>
      </c>
      <c r="E3" s="2" t="s">
        <v>90</v>
      </c>
      <c r="F3" s="2" t="s">
        <v>91</v>
      </c>
      <c r="G3" s="2" t="s">
        <v>92</v>
      </c>
      <c r="H3" s="2" t="s">
        <v>93</v>
      </c>
      <c r="I3" s="2" t="s">
        <v>94</v>
      </c>
      <c r="J3" s="2" t="s">
        <v>95</v>
      </c>
      <c r="K3" s="2" t="s">
        <v>96</v>
      </c>
      <c r="L3" s="2" t="s">
        <v>97</v>
      </c>
    </row>
    <row r="4" customFormat="false" ht="15" hidden="false" customHeight="false" outlineLevel="0" collapsed="false">
      <c r="A4" s="0" t="s">
        <v>114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98</v>
      </c>
      <c r="C5" s="4" t="n">
        <f aca="false">Assumptions!C27</f>
        <v>30</v>
      </c>
      <c r="D5" s="4" t="n">
        <f aca="false">Assumptions!D27</f>
        <v>8</v>
      </c>
      <c r="E5" s="4" t="n">
        <f aca="false">Assumptions!E27</f>
        <v>5</v>
      </c>
      <c r="F5" s="4" t="n">
        <f aca="false">Assumptions!F27</f>
        <v>2.5</v>
      </c>
      <c r="G5" s="4" t="n">
        <f aca="false">Assumptions!G27</f>
        <v>2.5</v>
      </c>
      <c r="H5" s="4" t="n">
        <f aca="false">Assumptions!H27</f>
        <v>2.5</v>
      </c>
      <c r="I5" s="4" t="n">
        <f aca="false">Assumptions!I27</f>
        <v>2.5</v>
      </c>
      <c r="J5" s="4" t="n">
        <f aca="false">Assumptions!J27</f>
        <v>2.5</v>
      </c>
      <c r="K5" s="4" t="n">
        <f aca="false">Assumptions!K27</f>
        <v>2.5</v>
      </c>
      <c r="L5" s="4" t="n">
        <f aca="false">Assumptions!L27</f>
        <v>2.5</v>
      </c>
    </row>
    <row r="6" customFormat="false" ht="15" hidden="false" customHeight="false" outlineLevel="0" collapsed="false">
      <c r="A6" s="0" t="s">
        <v>37</v>
      </c>
      <c r="B6" s="3" t="n">
        <v>714.2</v>
      </c>
      <c r="C6" s="0" t="n">
        <f aca="false">B6*(1+C5/100)</f>
        <v>928.46</v>
      </c>
      <c r="D6" s="0" t="n">
        <f aca="false">C6*(1+D5/100)</f>
        <v>1002.7368</v>
      </c>
      <c r="E6" s="0" t="n">
        <f aca="false">D6*(1+E5/100)</f>
        <v>1052.87364</v>
      </c>
      <c r="F6" s="0" t="n">
        <f aca="false">E6*(1+F5/100)</f>
        <v>1079.195481</v>
      </c>
      <c r="G6" s="0" t="n">
        <f aca="false">F6*(1+G5/100)</f>
        <v>1106.175368025</v>
      </c>
      <c r="H6" s="0" t="n">
        <f aca="false">G6*(1+H5/100)</f>
        <v>1133.82975222563</v>
      </c>
      <c r="I6" s="0" t="n">
        <f aca="false">H6*(1+I5/100)</f>
        <v>1162.17549603127</v>
      </c>
      <c r="J6" s="0" t="n">
        <f aca="false">I6*(1+J5/100)</f>
        <v>1191.22988343205</v>
      </c>
      <c r="K6" s="0" t="n">
        <f aca="false">J6*(1+K5/100)</f>
        <v>1221.01063051785</v>
      </c>
      <c r="L6" s="0" t="n">
        <f aca="false">K6*(1+L5/100)</f>
        <v>1251.53589628079</v>
      </c>
    </row>
    <row r="7" customFormat="false" ht="15" hidden="false" customHeight="false" outlineLevel="0" collapsed="false">
      <c r="A7" s="0" t="s">
        <v>99</v>
      </c>
      <c r="C7" s="4" t="n">
        <f aca="false">Assumptions!C28</f>
        <v>57</v>
      </c>
      <c r="D7" s="4" t="n">
        <f aca="false">Assumptions!D28</f>
        <v>60</v>
      </c>
      <c r="E7" s="4" t="n">
        <f aca="false">Assumptions!E28</f>
        <v>62</v>
      </c>
      <c r="F7" s="4" t="n">
        <f aca="false">Assumptions!F28</f>
        <v>63</v>
      </c>
      <c r="G7" s="4" t="n">
        <f aca="false">Assumptions!G28</f>
        <v>64</v>
      </c>
      <c r="H7" s="4" t="n">
        <f aca="false">Assumptions!H28</f>
        <v>64</v>
      </c>
      <c r="I7" s="4" t="n">
        <f aca="false">Assumptions!I28</f>
        <v>64</v>
      </c>
      <c r="J7" s="4" t="n">
        <f aca="false">Assumptions!J28</f>
        <v>64</v>
      </c>
      <c r="K7" s="4" t="n">
        <f aca="false">Assumptions!K28</f>
        <v>64</v>
      </c>
      <c r="L7" s="4" t="n">
        <f aca="false">Assumptions!L28</f>
        <v>64</v>
      </c>
    </row>
    <row r="8" customFormat="false" ht="15" hidden="false" customHeight="false" outlineLevel="0" collapsed="false">
      <c r="A8" s="0" t="s">
        <v>43</v>
      </c>
      <c r="C8" s="0" t="n">
        <f aca="false">C6*C7/100</f>
        <v>529.2222</v>
      </c>
      <c r="D8" s="0" t="n">
        <f aca="false">D6*D7/100</f>
        <v>601.64208</v>
      </c>
      <c r="E8" s="0" t="n">
        <f aca="false">E6*E7/100</f>
        <v>652.7816568</v>
      </c>
      <c r="F8" s="0" t="n">
        <f aca="false">F6*F7/100</f>
        <v>679.89315303</v>
      </c>
      <c r="G8" s="0" t="n">
        <f aca="false">G6*G7/100</f>
        <v>707.952235536</v>
      </c>
      <c r="H8" s="0" t="n">
        <f aca="false">H6*H7/100</f>
        <v>725.6510414244</v>
      </c>
      <c r="I8" s="0" t="n">
        <f aca="false">I6*I7/100</f>
        <v>743.79231746001</v>
      </c>
      <c r="J8" s="0" t="n">
        <f aca="false">J6*J7/100</f>
        <v>762.38712539651</v>
      </c>
      <c r="K8" s="0" t="n">
        <f aca="false">K6*K7/100</f>
        <v>781.446803531423</v>
      </c>
      <c r="L8" s="0" t="n">
        <f aca="false">L6*L7/100</f>
        <v>800.982973619708</v>
      </c>
    </row>
    <row r="9" customFormat="false" ht="15" hidden="false" customHeight="false" outlineLevel="0" collapsed="false">
      <c r="A9" s="0" t="s">
        <v>100</v>
      </c>
      <c r="C9" s="4" t="n">
        <f aca="false">Assumptions!C29</f>
        <v>1.2</v>
      </c>
      <c r="D9" s="4" t="n">
        <f aca="false">Assumptions!D29</f>
        <v>1.1</v>
      </c>
      <c r="E9" s="4" t="n">
        <f aca="false">Assumptions!E29</f>
        <v>1</v>
      </c>
      <c r="F9" s="4" t="n">
        <f aca="false">Assumptions!F29</f>
        <v>1</v>
      </c>
      <c r="G9" s="4" t="n">
        <f aca="false">Assumptions!G29</f>
        <v>0.9</v>
      </c>
      <c r="H9" s="4" t="n">
        <f aca="false">Assumptions!H29</f>
        <v>0.9</v>
      </c>
      <c r="I9" s="4" t="n">
        <f aca="false">Assumptions!I29</f>
        <v>0.9</v>
      </c>
      <c r="J9" s="4" t="n">
        <f aca="false">Assumptions!J29</f>
        <v>0.9</v>
      </c>
      <c r="K9" s="4" t="n">
        <f aca="false">Assumptions!K29</f>
        <v>0.9</v>
      </c>
      <c r="L9" s="4" t="n">
        <f aca="false">Assumptions!L29</f>
        <v>0.9</v>
      </c>
    </row>
    <row r="10" customFormat="false" ht="15" hidden="false" customHeight="false" outlineLevel="0" collapsed="false">
      <c r="A10" s="0" t="s">
        <v>115</v>
      </c>
      <c r="C10" s="0" t="n">
        <f aca="false">-C6*C9/100</f>
        <v>-11.14152</v>
      </c>
      <c r="D10" s="0" t="n">
        <f aca="false">-D6*D9/100</f>
        <v>-11.0301048</v>
      </c>
      <c r="E10" s="0" t="n">
        <f aca="false">-E6*E9/100</f>
        <v>-10.5287364</v>
      </c>
      <c r="F10" s="0" t="n">
        <f aca="false">-F6*F9/100</f>
        <v>-10.79195481</v>
      </c>
      <c r="G10" s="0" t="n">
        <f aca="false">-G6*G9/100</f>
        <v>-9.955578312225</v>
      </c>
      <c r="H10" s="0" t="n">
        <f aca="false">-H6*H9/100</f>
        <v>-10.2044677700306</v>
      </c>
      <c r="I10" s="0" t="n">
        <f aca="false">-I6*I9/100</f>
        <v>-10.4595794642814</v>
      </c>
      <c r="J10" s="0" t="n">
        <f aca="false">-J6*J9/100</f>
        <v>-10.7210689508884</v>
      </c>
      <c r="K10" s="0" t="n">
        <f aca="false">-K6*K9/100</f>
        <v>-10.9890956746606</v>
      </c>
      <c r="L10" s="0" t="n">
        <f aca="false">-L6*L9/100</f>
        <v>-11.2638230665271</v>
      </c>
    </row>
    <row r="11" customFormat="false" ht="15" hidden="false" customHeight="false" outlineLevel="0" collapsed="false">
      <c r="A11" s="0" t="s">
        <v>116</v>
      </c>
      <c r="C11" s="0" t="n">
        <f aca="false">C8+C10+C24</f>
        <v>518.08068</v>
      </c>
      <c r="D11" s="0" t="n">
        <f aca="false">D8+D10+D24</f>
        <v>590.6119752</v>
      </c>
      <c r="E11" s="0" t="n">
        <f aca="false">E8+E10+E24</f>
        <v>642.2529204</v>
      </c>
      <c r="F11" s="0" t="n">
        <f aca="false">F8+F10+F24</f>
        <v>669.10119822</v>
      </c>
      <c r="G11" s="0" t="n">
        <f aca="false">G8+G10+G24</f>
        <v>697.996657223775</v>
      </c>
      <c r="H11" s="0" t="n">
        <f aca="false">H8+H10+H24</f>
        <v>715.446573654369</v>
      </c>
      <c r="I11" s="0" t="n">
        <f aca="false">I8+I10+I24</f>
        <v>733.332737995729</v>
      </c>
      <c r="J11" s="0" t="n">
        <f aca="false">J8+J10+J24</f>
        <v>751.666056445622</v>
      </c>
      <c r="K11" s="0" t="n">
        <f aca="false">K8+K10+K24</f>
        <v>770.457707856762</v>
      </c>
      <c r="L11" s="0" t="n">
        <f aca="false">L8+L10+L24</f>
        <v>789.719150553181</v>
      </c>
    </row>
    <row r="12" customFormat="false" ht="15" hidden="false" customHeight="false" outlineLevel="0" collapsed="false">
      <c r="A12" s="0" t="s">
        <v>117</v>
      </c>
      <c r="C12" s="4" t="n">
        <f aca="false">-C6*Assumptions!C31/100</f>
        <v>-46.423</v>
      </c>
      <c r="D12" s="4" t="n">
        <f aca="false">-D6*Assumptions!D31/100</f>
        <v>-55.150524</v>
      </c>
      <c r="E12" s="4" t="n">
        <f aca="false">-E6*Assumptions!E31/100</f>
        <v>-63.1724184</v>
      </c>
      <c r="F12" s="4" t="n">
        <f aca="false">-F6*Assumptions!F31/100</f>
        <v>-70.147706265</v>
      </c>
      <c r="G12" s="4" t="n">
        <f aca="false">-G6*Assumptions!G31/100</f>
        <v>-77.43227576175</v>
      </c>
      <c r="H12" s="4" t="n">
        <f aca="false">-H6*Assumptions!H31/100</f>
        <v>-79.3680826557938</v>
      </c>
      <c r="I12" s="4" t="n">
        <f aca="false">-I6*Assumptions!I31/100</f>
        <v>-81.3522847221886</v>
      </c>
      <c r="J12" s="4" t="n">
        <f aca="false">-J6*Assumptions!J31/100</f>
        <v>-83.3860918402433</v>
      </c>
      <c r="K12" s="4" t="n">
        <f aca="false">-K6*Assumptions!K31/100</f>
        <v>-85.4707441362494</v>
      </c>
      <c r="L12" s="4" t="n">
        <f aca="false">-L6*Assumptions!L31/100</f>
        <v>-87.6075127396556</v>
      </c>
    </row>
    <row r="13" customFormat="false" ht="15" hidden="false" customHeight="false" outlineLevel="0" collapsed="false">
      <c r="A13" s="0" t="s">
        <v>118</v>
      </c>
      <c r="C13" s="0" t="n">
        <f aca="false">C11+C12</f>
        <v>471.65768</v>
      </c>
      <c r="D13" s="0" t="n">
        <f aca="false">D11+D12</f>
        <v>535.4614512</v>
      </c>
      <c r="E13" s="0" t="n">
        <f aca="false">E11+E12</f>
        <v>579.080502</v>
      </c>
      <c r="F13" s="0" t="n">
        <f aca="false">F11+F12</f>
        <v>598.953491955</v>
      </c>
      <c r="G13" s="0" t="n">
        <f aca="false">G11+G12</f>
        <v>620.564381462025</v>
      </c>
      <c r="H13" s="0" t="n">
        <f aca="false">H11+H12</f>
        <v>636.078490998576</v>
      </c>
      <c r="I13" s="0" t="n">
        <f aca="false">I11+I12</f>
        <v>651.98045327354</v>
      </c>
      <c r="J13" s="0" t="n">
        <f aca="false">J11+J12</f>
        <v>668.279964605378</v>
      </c>
      <c r="K13" s="0" t="n">
        <f aca="false">K11+K12</f>
        <v>684.986963720513</v>
      </c>
      <c r="L13" s="0" t="n">
        <f aca="false">L11+L12</f>
        <v>702.111637813526</v>
      </c>
    </row>
    <row r="14" customFormat="false" ht="15" hidden="false" customHeight="false" outlineLevel="0" collapsed="false">
      <c r="A14" s="0" t="s">
        <v>104</v>
      </c>
      <c r="C14" s="4" t="n">
        <f aca="false">Assumptions!C33</f>
        <v>30</v>
      </c>
      <c r="D14" s="4" t="n">
        <f aca="false">Assumptions!D33</f>
        <v>30</v>
      </c>
      <c r="E14" s="4" t="n">
        <f aca="false">Assumptions!E33</f>
        <v>30</v>
      </c>
      <c r="F14" s="4" t="n">
        <f aca="false">Assumptions!F33</f>
        <v>30</v>
      </c>
      <c r="G14" s="4" t="n">
        <f aca="false">Assumptions!G33</f>
        <v>30</v>
      </c>
      <c r="H14" s="4" t="n">
        <f aca="false">Assumptions!H33</f>
        <v>30</v>
      </c>
      <c r="I14" s="4" t="n">
        <f aca="false">Assumptions!I33</f>
        <v>30</v>
      </c>
      <c r="J14" s="4" t="n">
        <f aca="false">Assumptions!J33</f>
        <v>30</v>
      </c>
      <c r="K14" s="4" t="n">
        <f aca="false">Assumptions!K33</f>
        <v>30</v>
      </c>
      <c r="L14" s="4" t="n">
        <f aca="false">Assumptions!L33</f>
        <v>30</v>
      </c>
    </row>
    <row r="15" customFormat="false" ht="15" hidden="false" customHeight="false" outlineLevel="0" collapsed="false">
      <c r="A15" s="0" t="s">
        <v>119</v>
      </c>
      <c r="C15" s="0" t="n">
        <f aca="false">C13-MAX(0,C13)*C14/100</f>
        <v>330.160376</v>
      </c>
      <c r="D15" s="0" t="n">
        <f aca="false">D13-MAX(0,D13)*D14/100</f>
        <v>374.82301584</v>
      </c>
      <c r="E15" s="0" t="n">
        <f aca="false">E13-MAX(0,E13)*E14/100</f>
        <v>405.3563514</v>
      </c>
      <c r="F15" s="0" t="n">
        <f aca="false">F13-MAX(0,F13)*F14/100</f>
        <v>419.2674443685</v>
      </c>
      <c r="G15" s="0" t="n">
        <f aca="false">G13-MAX(0,G13)*G14/100</f>
        <v>434.395067023418</v>
      </c>
      <c r="H15" s="0" t="n">
        <f aca="false">H13-MAX(0,H13)*H14/100</f>
        <v>445.254943699003</v>
      </c>
      <c r="I15" s="0" t="n">
        <f aca="false">I13-MAX(0,I13)*I14/100</f>
        <v>456.386317291478</v>
      </c>
      <c r="J15" s="0" t="n">
        <f aca="false">J13-MAX(0,J13)*J14/100</f>
        <v>467.795975223765</v>
      </c>
      <c r="K15" s="0" t="n">
        <f aca="false">K13-MAX(0,K13)*K14/100</f>
        <v>479.490874604359</v>
      </c>
      <c r="L15" s="0" t="n">
        <f aca="false">L13-MAX(0,L13)*L14/100</f>
        <v>491.478146469468</v>
      </c>
    </row>
    <row r="16" customFormat="false" ht="15" hidden="false" customHeight="false" outlineLevel="0" collapsed="false">
      <c r="A16" s="0" t="s">
        <v>120</v>
      </c>
      <c r="C16" s="0" t="n">
        <f aca="false">-C12</f>
        <v>46.423</v>
      </c>
      <c r="D16" s="0" t="n">
        <f aca="false">-D12</f>
        <v>55.150524</v>
      </c>
      <c r="E16" s="0" t="n">
        <f aca="false">-E12</f>
        <v>63.1724184</v>
      </c>
      <c r="F16" s="0" t="n">
        <f aca="false">-F12</f>
        <v>70.147706265</v>
      </c>
      <c r="G16" s="0" t="n">
        <f aca="false">-G12</f>
        <v>77.43227576175</v>
      </c>
      <c r="H16" s="0" t="n">
        <f aca="false">-H12</f>
        <v>79.3680826557938</v>
      </c>
      <c r="I16" s="0" t="n">
        <f aca="false">-I12</f>
        <v>81.3522847221886</v>
      </c>
      <c r="J16" s="0" t="n">
        <f aca="false">-J12</f>
        <v>83.3860918402433</v>
      </c>
      <c r="K16" s="0" t="n">
        <f aca="false">-K12</f>
        <v>85.4707441362494</v>
      </c>
      <c r="L16" s="0" t="n">
        <f aca="false">-L12</f>
        <v>87.6075127396556</v>
      </c>
    </row>
    <row r="17" customFormat="false" ht="15" hidden="false" customHeight="false" outlineLevel="0" collapsed="false">
      <c r="A17" s="0" t="s">
        <v>121</v>
      </c>
      <c r="C17" s="4" t="n">
        <f aca="false">-C6*Assumptions!C32/100</f>
        <v>-64.9922</v>
      </c>
      <c r="D17" s="4" t="n">
        <f aca="false">-D6*Assumptions!D32/100</f>
        <v>-65.177892</v>
      </c>
      <c r="E17" s="4" t="n">
        <f aca="false">-E6*Assumptions!E32/100</f>
        <v>-63.1724184</v>
      </c>
      <c r="F17" s="4" t="n">
        <f aca="false">-F6*Assumptions!F32/100</f>
        <v>-64.75172886</v>
      </c>
      <c r="G17" s="4" t="n">
        <f aca="false">-G6*Assumptions!G32/100</f>
        <v>-66.3705220815</v>
      </c>
      <c r="H17" s="4" t="n">
        <f aca="false">-H6*Assumptions!H32/100</f>
        <v>-68.0297851335375</v>
      </c>
      <c r="I17" s="4" t="n">
        <f aca="false">-I6*Assumptions!I32/100</f>
        <v>-69.7305297618759</v>
      </c>
      <c r="J17" s="4" t="n">
        <f aca="false">-J6*Assumptions!J32/100</f>
        <v>-71.4737930059228</v>
      </c>
      <c r="K17" s="4" t="n">
        <f aca="false">-K6*Assumptions!K32/100</f>
        <v>-73.2606378310709</v>
      </c>
      <c r="L17" s="4" t="n">
        <f aca="false">-L6*Assumptions!L32/100</f>
        <v>-75.0921537768476</v>
      </c>
    </row>
    <row r="18" customFormat="false" ht="15" hidden="false" customHeight="false" outlineLevel="0" collapsed="false">
      <c r="A18" s="0" t="s">
        <v>122</v>
      </c>
      <c r="C18" s="4" t="n">
        <f aca="false">(C6-B6)*Assumptions!$B$37/100</f>
        <v>-10.713</v>
      </c>
      <c r="D18" s="4" t="n">
        <f aca="false">(D6-C6)*Assumptions!$B$37/100</f>
        <v>-3.71384</v>
      </c>
      <c r="E18" s="4" t="n">
        <f aca="false">(E6-D6)*Assumptions!$B$37/100</f>
        <v>-2.50684200000001</v>
      </c>
      <c r="F18" s="4" t="n">
        <f aca="false">(F6-E6)*Assumptions!$B$37/100</f>
        <v>-1.31609205</v>
      </c>
      <c r="G18" s="4" t="n">
        <f aca="false">(G6-F6)*Assumptions!$B$37/100</f>
        <v>-1.34899435125</v>
      </c>
      <c r="H18" s="4" t="n">
        <f aca="false">(H6-G6)*Assumptions!$B$37/100</f>
        <v>-1.38271921003125</v>
      </c>
      <c r="I18" s="4" t="n">
        <f aca="false">(I6-H6)*Assumptions!$B$37/100</f>
        <v>-1.41728719028202</v>
      </c>
      <c r="J18" s="4" t="n">
        <f aca="false">(J6-I6)*Assumptions!$B$37/100</f>
        <v>-1.45271937003907</v>
      </c>
      <c r="K18" s="4" t="n">
        <f aca="false">(K6-J6)*Assumptions!$B$37/100</f>
        <v>-1.48903735429005</v>
      </c>
      <c r="L18" s="4" t="n">
        <f aca="false">(L6-K6)*Assumptions!$B$37/100</f>
        <v>-1.5262632881473</v>
      </c>
    </row>
    <row r="19" customFormat="false" ht="15" hidden="false" customHeight="false" outlineLevel="0" collapsed="false">
      <c r="A19" s="0" t="s">
        <v>123</v>
      </c>
      <c r="C19" s="0" t="n">
        <f aca="false">C15+C16+C17+C18</f>
        <v>300.878176</v>
      </c>
      <c r="D19" s="0" t="n">
        <f aca="false">D15+D16+D17+D18</f>
        <v>361.08180784</v>
      </c>
      <c r="E19" s="0" t="n">
        <f aca="false">E15+E16+E17+E18</f>
        <v>402.8495094</v>
      </c>
      <c r="F19" s="0" t="n">
        <f aca="false">F15+F16+F17+F18</f>
        <v>423.3473297235</v>
      </c>
      <c r="G19" s="0" t="n">
        <f aca="false">G15+G16+G17+G18</f>
        <v>444.107826352418</v>
      </c>
      <c r="H19" s="0" t="n">
        <f aca="false">H15+H16+H17+H18</f>
        <v>455.210522011228</v>
      </c>
      <c r="I19" s="0" t="n">
        <f aca="false">I15+I16+I17+I18</f>
        <v>466.590785061509</v>
      </c>
      <c r="J19" s="0" t="n">
        <f aca="false">J15+J16+J17+J18</f>
        <v>478.255554688046</v>
      </c>
      <c r="K19" s="0" t="n">
        <f aca="false">K15+K16+K17+K18</f>
        <v>490.211943555247</v>
      </c>
      <c r="L19" s="0" t="n">
        <f aca="false">L15+L16+L17+L18</f>
        <v>502.467242144129</v>
      </c>
    </row>
    <row r="20" customFormat="false" ht="15" hidden="false" customHeight="false" outlineLevel="0" collapsed="false">
      <c r="A20" s="0" t="s">
        <v>124</v>
      </c>
      <c r="C20" s="0" t="n">
        <f aca="false">1/(1+$B$27/100)^C4</f>
        <v>0.904977375565611</v>
      </c>
      <c r="D20" s="0" t="n">
        <f aca="false">1/(1+$B$27/100)^D4</f>
        <v>0.818984050285621</v>
      </c>
      <c r="E20" s="0" t="n">
        <f aca="false">1/(1+$B$27/100)^E4</f>
        <v>0.741162036457575</v>
      </c>
      <c r="F20" s="0" t="n">
        <f aca="false">1/(1+$B$27/100)^F4</f>
        <v>0.67073487462224</v>
      </c>
      <c r="G20" s="0" t="n">
        <f aca="false">1/(1+$B$27/100)^G4</f>
        <v>0.606999886535964</v>
      </c>
      <c r="H20" s="0" t="n">
        <f aca="false">1/(1+$B$27/100)^H4</f>
        <v>0.54932116428594</v>
      </c>
      <c r="I20" s="0" t="n">
        <f aca="false">1/(1+$B$27/100)^I4</f>
        <v>0.497123225598136</v>
      </c>
      <c r="J20" s="0" t="n">
        <f aca="false">1/(1+$B$27/100)^J4</f>
        <v>0.449885272034512</v>
      </c>
      <c r="K20" s="0" t="n">
        <f aca="false">1/(1+$B$27/100)^K4</f>
        <v>0.407135992791414</v>
      </c>
      <c r="L20" s="0" t="n">
        <f aca="false">1/(1+$B$27/100)^L4</f>
        <v>0.368448862254673</v>
      </c>
    </row>
    <row r="21" customFormat="false" ht="15" hidden="false" customHeight="false" outlineLevel="0" collapsed="false">
      <c r="A21" s="0" t="s">
        <v>125</v>
      </c>
      <c r="C21" s="0" t="n">
        <f aca="false">C19*C20</f>
        <v>272.287942081448</v>
      </c>
      <c r="D21" s="0" t="n">
        <f aca="false">D19*D20</f>
        <v>295.720241469257</v>
      </c>
      <c r="E21" s="0" t="n">
        <f aca="false">E19*E20</f>
        <v>298.576762772839</v>
      </c>
      <c r="F21" s="0" t="n">
        <f aca="false">F19*F20</f>
        <v>283.953818123752</v>
      </c>
      <c r="G21" s="0" t="n">
        <f aca="false">G19*G20</f>
        <v>269.573400205651</v>
      </c>
      <c r="H21" s="0" t="n">
        <f aca="false">H19*H20</f>
        <v>250.056773946418</v>
      </c>
      <c r="I21" s="0" t="n">
        <f aca="false">I19*I20</f>
        <v>231.953116104144</v>
      </c>
      <c r="J21" s="0" t="n">
        <f aca="false">J19*J20</f>
        <v>215.160130322848</v>
      </c>
      <c r="K21" s="0" t="n">
        <f aca="false">K19*K20</f>
        <v>199.582926317574</v>
      </c>
      <c r="L21" s="0" t="n">
        <f aca="false">L19*L20</f>
        <v>185.133483688247</v>
      </c>
    </row>
    <row r="23" customFormat="false" ht="15" hidden="false" customHeight="false" outlineLevel="0" collapsed="false">
      <c r="A23" s="0" t="s">
        <v>101</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126</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127</v>
      </c>
    </row>
    <row r="27" customFormat="false" ht="15" hidden="false" customHeight="false" outlineLevel="0" collapsed="false">
      <c r="A27" s="0" t="s">
        <v>105</v>
      </c>
      <c r="B27" s="4" t="n">
        <f aca="false">Assumptions!$B$34</f>
        <v>10.5</v>
      </c>
    </row>
    <row r="28" customFormat="false" ht="15" hidden="false" customHeight="false" outlineLevel="0" collapsed="false">
      <c r="A28" s="0" t="s">
        <v>106</v>
      </c>
      <c r="B28" s="4" t="n">
        <f aca="false">Assumptions!$B$35</f>
        <v>2</v>
      </c>
    </row>
    <row r="29" customFormat="false" ht="15" hidden="false" customHeight="false" outlineLevel="0" collapsed="false">
      <c r="A29" s="0" t="s">
        <v>107</v>
      </c>
      <c r="B29" s="4" t="n">
        <f aca="false">Assumptions!$B$36</f>
        <v>12</v>
      </c>
    </row>
    <row r="30" customFormat="false" ht="15" hidden="false" customHeight="false" outlineLevel="0" collapsed="false">
      <c r="A30" s="0" t="s">
        <v>128</v>
      </c>
      <c r="B30" s="0" t="n">
        <f aca="false">SUM(C21:L21)</f>
        <v>2501.99859503218</v>
      </c>
    </row>
    <row r="31" customFormat="false" ht="15" hidden="false" customHeight="false" outlineLevel="0" collapsed="false">
      <c r="A31" s="0" t="s">
        <v>129</v>
      </c>
      <c r="B31" s="0" t="n">
        <f aca="false">L19</f>
        <v>502.467242144129</v>
      </c>
    </row>
    <row r="32" customFormat="false" ht="15" hidden="false" customHeight="false" outlineLevel="0" collapsed="false">
      <c r="A32" s="0" t="s">
        <v>130</v>
      </c>
      <c r="B32" s="0" t="n">
        <f aca="false">IF(B27&gt;B28,B31*(1+B28/100)/((B27-B28)/100),B31*B29)</f>
        <v>6029.60690572954</v>
      </c>
    </row>
    <row r="33" customFormat="false" ht="15" hidden="false" customHeight="false" outlineLevel="0" collapsed="false">
      <c r="A33" s="0" t="s">
        <v>131</v>
      </c>
      <c r="B33" s="0" t="n">
        <f aca="false">B31*B29</f>
        <v>6029.60690572954</v>
      </c>
    </row>
    <row r="34" customFormat="false" ht="15" hidden="false" customHeight="false" outlineLevel="0" collapsed="false">
      <c r="A34" s="0" t="s">
        <v>132</v>
      </c>
      <c r="B34" s="0" t="n">
        <f aca="false">MAX(0,MIN(B32,B33))</f>
        <v>6029.60690572954</v>
      </c>
    </row>
    <row r="35" customFormat="false" ht="15" hidden="false" customHeight="false" outlineLevel="0" collapsed="false">
      <c r="A35" s="0" t="s">
        <v>133</v>
      </c>
      <c r="B35" s="0" t="n">
        <f aca="false">B34/(1+B27/100)^L4</f>
        <v>2221.60180425897</v>
      </c>
    </row>
    <row r="36" customFormat="false" ht="15" hidden="false" customHeight="false" outlineLevel="0" collapsed="false">
      <c r="A36" s="0" t="s">
        <v>134</v>
      </c>
      <c r="B36" s="0" t="n">
        <f aca="false">B30+B35</f>
        <v>4723.60039929115</v>
      </c>
    </row>
    <row r="37" customFormat="false" ht="15" hidden="false" customHeight="false" outlineLevel="0" collapsed="false">
      <c r="A37" s="0" t="s">
        <v>135</v>
      </c>
      <c r="B37" s="0" t="n">
        <f aca="false">B36+Assumptions!$B$5-Assumptions!$B$4</f>
        <v>4767.40039929115</v>
      </c>
    </row>
    <row r="38" customFormat="false" ht="15" hidden="false" customHeight="false" outlineLevel="0" collapsed="false">
      <c r="A38" s="0" t="s">
        <v>136</v>
      </c>
      <c r="B38" s="0" t="n">
        <f aca="false">B37/Assumptions!$B$3*Assumptions!$B$10</f>
        <v>6.24986942749233</v>
      </c>
    </row>
    <row r="39" customFormat="false" ht="15" hidden="false" customHeight="false" outlineLevel="0" collapsed="false">
      <c r="A39" s="0" t="s">
        <v>137</v>
      </c>
      <c r="B39" s="4" t="n">
        <f aca="false">B38/Assumptions!$B$2-1</f>
        <v>-0.105244176450633</v>
      </c>
    </row>
    <row r="41" customFormat="false" ht="15" hidden="false" customHeight="false" outlineLevel="0" collapsed="false">
      <c r="A41" s="0" t="s">
        <v>138</v>
      </c>
      <c r="B41" s="0" t="n">
        <f aca="false">SUMPRODUCT(-C10:L10/(1+$B$27/100)^C4:L4)</f>
        <v>64.4540586978634</v>
      </c>
    </row>
    <row r="42" customFormat="false" ht="15" hidden="false" customHeight="false" outlineLevel="0" collapsed="false">
      <c r="A42" s="0" t="s">
        <v>139</v>
      </c>
      <c r="B42" s="0" t="n">
        <f aca="false">IF(B27&gt;B28,-L10*(1+B28/100)/((B27-B28)/100),-L10*20)/(1+B27/100)^L4</f>
        <v>49.8017135219984</v>
      </c>
    </row>
    <row r="43" customFormat="false" ht="15" hidden="false" customHeight="false" outlineLevel="0" collapsed="false">
      <c r="A43" s="0" t="s">
        <v>140</v>
      </c>
      <c r="B43" s="0" t="n">
        <f aca="false">(B37+B41+B42)/Assumptions!$B$3*Assumptions!$B$10</f>
        <v>6.39965413150369</v>
      </c>
    </row>
    <row r="45" customFormat="false" ht="15" hidden="false" customHeight="false" outlineLevel="0" collapsed="false">
      <c r="A45" s="0" t="s">
        <v>81</v>
      </c>
      <c r="B45" s="4" t="n">
        <f aca="false">Assumptions!$B$6</f>
        <v>15</v>
      </c>
    </row>
    <row r="46" customFormat="false" ht="15" hidden="false" customHeight="false" outlineLevel="0" collapsed="false">
      <c r="A46" s="0" t="s">
        <v>141</v>
      </c>
      <c r="B46" s="0" t="n">
        <f aca="false">MAX(0,MIN(IF(B45&gt;B28,B31*(1+B28/100)/((B45-B28)/100),B31*B29),B31*B29))</f>
        <v>3942.43528451547</v>
      </c>
    </row>
    <row r="47" customFormat="false" ht="15" hidden="false" customHeight="false" outlineLevel="0" collapsed="false">
      <c r="A47" s="0" t="s">
        <v>142</v>
      </c>
      <c r="B47" s="0" t="n">
        <f aca="false">(SUMPRODUCT(C19:L19/(1+B45/100)^C4:L4)+B46/(1+B45/100)^L4+Assumptions!$B$5-Assumptions!$B$4)/Assumptions!$B$3*Assumptions!$B$10</f>
        <v>4.02832390171308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144</v>
      </c>
    </row>
    <row r="3" customFormat="false" ht="15" hidden="false" customHeight="false" outlineLevel="0" collapsed="false">
      <c r="A3" s="0" t="s">
        <v>113</v>
      </c>
      <c r="B3" s="0" t="s">
        <v>74</v>
      </c>
      <c r="C3" s="2" t="s">
        <v>88</v>
      </c>
      <c r="D3" s="2" t="s">
        <v>89</v>
      </c>
      <c r="E3" s="2" t="s">
        <v>90</v>
      </c>
      <c r="F3" s="2" t="s">
        <v>91</v>
      </c>
      <c r="G3" s="2" t="s">
        <v>92</v>
      </c>
      <c r="H3" s="2" t="s">
        <v>93</v>
      </c>
      <c r="I3" s="2" t="s">
        <v>94</v>
      </c>
      <c r="J3" s="2" t="s">
        <v>95</v>
      </c>
      <c r="K3" s="2" t="s">
        <v>96</v>
      </c>
      <c r="L3" s="2" t="s">
        <v>97</v>
      </c>
    </row>
    <row r="4" customFormat="false" ht="15" hidden="false" customHeight="false" outlineLevel="0" collapsed="false">
      <c r="A4" s="0" t="s">
        <v>114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98</v>
      </c>
      <c r="C5" s="4" t="n">
        <f aca="false">Assumptions!C41</f>
        <v>55</v>
      </c>
      <c r="D5" s="4" t="n">
        <f aca="false">Assumptions!D41</f>
        <v>10</v>
      </c>
      <c r="E5" s="4" t="n">
        <f aca="false">Assumptions!E41</f>
        <v>5</v>
      </c>
      <c r="F5" s="4" t="n">
        <f aca="false">Assumptions!F41</f>
        <v>3</v>
      </c>
      <c r="G5" s="4" t="n">
        <f aca="false">Assumptions!G41</f>
        <v>3</v>
      </c>
      <c r="H5" s="4" t="n">
        <f aca="false">Assumptions!H41</f>
        <v>3</v>
      </c>
      <c r="I5" s="4" t="n">
        <f aca="false">Assumptions!I41</f>
        <v>3</v>
      </c>
      <c r="J5" s="4" t="n">
        <f aca="false">Assumptions!J41</f>
        <v>3</v>
      </c>
      <c r="K5" s="4" t="n">
        <f aca="false">Assumptions!K41</f>
        <v>3</v>
      </c>
      <c r="L5" s="4" t="n">
        <f aca="false">Assumptions!L41</f>
        <v>3</v>
      </c>
    </row>
    <row r="6" customFormat="false" ht="15" hidden="false" customHeight="false" outlineLevel="0" collapsed="false">
      <c r="A6" s="0" t="s">
        <v>37</v>
      </c>
      <c r="B6" s="3" t="n">
        <v>714.2</v>
      </c>
      <c r="C6" s="0" t="n">
        <f aca="false">B6*(1+C5/100)</f>
        <v>1107.01</v>
      </c>
      <c r="D6" s="0" t="n">
        <f aca="false">C6*(1+D5/100)</f>
        <v>1217.711</v>
      </c>
      <c r="E6" s="0" t="n">
        <f aca="false">D6*(1+E5/100)</f>
        <v>1278.59655</v>
      </c>
      <c r="F6" s="0" t="n">
        <f aca="false">E6*(1+F5/100)</f>
        <v>1316.9544465</v>
      </c>
      <c r="G6" s="0" t="n">
        <f aca="false">F6*(1+G5/100)</f>
        <v>1356.463079895</v>
      </c>
      <c r="H6" s="0" t="n">
        <f aca="false">G6*(1+H5/100)</f>
        <v>1397.15697229185</v>
      </c>
      <c r="I6" s="0" t="n">
        <f aca="false">H6*(1+I5/100)</f>
        <v>1439.07168146061</v>
      </c>
      <c r="J6" s="0" t="n">
        <f aca="false">I6*(1+J5/100)</f>
        <v>1482.24383190442</v>
      </c>
      <c r="K6" s="0" t="n">
        <f aca="false">J6*(1+K5/100)</f>
        <v>1526.71114686156</v>
      </c>
      <c r="L6" s="0" t="n">
        <f aca="false">K6*(1+L5/100)</f>
        <v>1572.5124812674</v>
      </c>
    </row>
    <row r="7" customFormat="false" ht="15" hidden="false" customHeight="false" outlineLevel="0" collapsed="false">
      <c r="A7" s="0" t="s">
        <v>99</v>
      </c>
      <c r="C7" s="4" t="n">
        <f aca="false">Assumptions!C42</f>
        <v>60</v>
      </c>
      <c r="D7" s="4" t="n">
        <f aca="false">Assumptions!D42</f>
        <v>64</v>
      </c>
      <c r="E7" s="4" t="n">
        <f aca="false">Assumptions!E42</f>
        <v>67</v>
      </c>
      <c r="F7" s="4" t="n">
        <f aca="false">Assumptions!F42</f>
        <v>68</v>
      </c>
      <c r="G7" s="4" t="n">
        <f aca="false">Assumptions!G42</f>
        <v>68</v>
      </c>
      <c r="H7" s="4" t="n">
        <f aca="false">Assumptions!H42</f>
        <v>68</v>
      </c>
      <c r="I7" s="4" t="n">
        <f aca="false">Assumptions!I42</f>
        <v>68</v>
      </c>
      <c r="J7" s="4" t="n">
        <f aca="false">Assumptions!J42</f>
        <v>68</v>
      </c>
      <c r="K7" s="4" t="n">
        <f aca="false">Assumptions!K42</f>
        <v>68</v>
      </c>
      <c r="L7" s="4" t="n">
        <f aca="false">Assumptions!L42</f>
        <v>68</v>
      </c>
    </row>
    <row r="8" customFormat="false" ht="15" hidden="false" customHeight="false" outlineLevel="0" collapsed="false">
      <c r="A8" s="0" t="s">
        <v>43</v>
      </c>
      <c r="C8" s="0" t="n">
        <f aca="false">C6*C7/100</f>
        <v>664.206</v>
      </c>
      <c r="D8" s="0" t="n">
        <f aca="false">D6*D7/100</f>
        <v>779.33504</v>
      </c>
      <c r="E8" s="0" t="n">
        <f aca="false">E6*E7/100</f>
        <v>856.6596885</v>
      </c>
      <c r="F8" s="0" t="n">
        <f aca="false">F6*F7/100</f>
        <v>895.52902362</v>
      </c>
      <c r="G8" s="0" t="n">
        <f aca="false">G6*G7/100</f>
        <v>922.3948943286</v>
      </c>
      <c r="H8" s="0" t="n">
        <f aca="false">H6*H7/100</f>
        <v>950.066741158458</v>
      </c>
      <c r="I8" s="0" t="n">
        <f aca="false">I6*I7/100</f>
        <v>978.568743393212</v>
      </c>
      <c r="J8" s="0" t="n">
        <f aca="false">J6*J7/100</f>
        <v>1007.92580569501</v>
      </c>
      <c r="K8" s="0" t="n">
        <f aca="false">K6*K7/100</f>
        <v>1038.16357986586</v>
      </c>
      <c r="L8" s="0" t="n">
        <f aca="false">L6*L7/100</f>
        <v>1069.30848726183</v>
      </c>
    </row>
    <row r="9" customFormat="false" ht="15" hidden="false" customHeight="false" outlineLevel="0" collapsed="false">
      <c r="A9" s="0" t="s">
        <v>100</v>
      </c>
      <c r="C9" s="4" t="n">
        <f aca="false">Assumptions!C43</f>
        <v>1</v>
      </c>
      <c r="D9" s="4" t="n">
        <f aca="false">Assumptions!D43</f>
        <v>0.9</v>
      </c>
      <c r="E9" s="4" t="n">
        <f aca="false">Assumptions!E43</f>
        <v>0.8</v>
      </c>
      <c r="F9" s="4" t="n">
        <f aca="false">Assumptions!F43</f>
        <v>0.8</v>
      </c>
      <c r="G9" s="4" t="n">
        <f aca="false">Assumptions!G43</f>
        <v>0.8</v>
      </c>
      <c r="H9" s="4" t="n">
        <f aca="false">Assumptions!H43</f>
        <v>0.8</v>
      </c>
      <c r="I9" s="4" t="n">
        <f aca="false">Assumptions!I43</f>
        <v>0.8</v>
      </c>
      <c r="J9" s="4" t="n">
        <f aca="false">Assumptions!J43</f>
        <v>0.8</v>
      </c>
      <c r="K9" s="4" t="n">
        <f aca="false">Assumptions!K43</f>
        <v>0.8</v>
      </c>
      <c r="L9" s="4" t="n">
        <f aca="false">Assumptions!L43</f>
        <v>0.8</v>
      </c>
    </row>
    <row r="10" customFormat="false" ht="15" hidden="false" customHeight="false" outlineLevel="0" collapsed="false">
      <c r="A10" s="0" t="s">
        <v>115</v>
      </c>
      <c r="C10" s="0" t="n">
        <f aca="false">-C6*C9/100</f>
        <v>-11.0701</v>
      </c>
      <c r="D10" s="0" t="n">
        <f aca="false">-D6*D9/100</f>
        <v>-10.959399</v>
      </c>
      <c r="E10" s="0" t="n">
        <f aca="false">-E6*E9/100</f>
        <v>-10.2287724</v>
      </c>
      <c r="F10" s="0" t="n">
        <f aca="false">-F6*F9/100</f>
        <v>-10.535635572</v>
      </c>
      <c r="G10" s="0" t="n">
        <f aca="false">-G6*G9/100</f>
        <v>-10.85170463916</v>
      </c>
      <c r="H10" s="0" t="n">
        <f aca="false">-H6*H9/100</f>
        <v>-11.1772557783348</v>
      </c>
      <c r="I10" s="0" t="n">
        <f aca="false">-I6*I9/100</f>
        <v>-11.5125734516848</v>
      </c>
      <c r="J10" s="0" t="n">
        <f aca="false">-J6*J9/100</f>
        <v>-11.8579506552354</v>
      </c>
      <c r="K10" s="0" t="n">
        <f aca="false">-K6*K9/100</f>
        <v>-12.2136891748925</v>
      </c>
      <c r="L10" s="0" t="n">
        <f aca="false">-L6*L9/100</f>
        <v>-12.5800998501392</v>
      </c>
    </row>
    <row r="11" customFormat="false" ht="15" hidden="false" customHeight="false" outlineLevel="0" collapsed="false">
      <c r="A11" s="0" t="s">
        <v>116</v>
      </c>
      <c r="C11" s="0" t="n">
        <f aca="false">C8+C10+C24</f>
        <v>653.1359</v>
      </c>
      <c r="D11" s="0" t="n">
        <f aca="false">D8+D10+D24</f>
        <v>768.375641</v>
      </c>
      <c r="E11" s="0" t="n">
        <f aca="false">E8+E10+E24</f>
        <v>846.4309161</v>
      </c>
      <c r="F11" s="0" t="n">
        <f aca="false">F8+F10+F24</f>
        <v>884.993388048</v>
      </c>
      <c r="G11" s="0" t="n">
        <f aca="false">G8+G10+G24</f>
        <v>911.54318968944</v>
      </c>
      <c r="H11" s="0" t="n">
        <f aca="false">H8+H10+H24</f>
        <v>938.889485380123</v>
      </c>
      <c r="I11" s="0" t="n">
        <f aca="false">I8+I10+I24</f>
        <v>967.056169941527</v>
      </c>
      <c r="J11" s="0" t="n">
        <f aca="false">J8+J10+J24</f>
        <v>996.067855039773</v>
      </c>
      <c r="K11" s="0" t="n">
        <f aca="false">K8+K10+K24</f>
        <v>1025.94989069097</v>
      </c>
      <c r="L11" s="0" t="n">
        <f aca="false">L8+L10+L24</f>
        <v>1056.7283874117</v>
      </c>
    </row>
    <row r="12" customFormat="false" ht="15" hidden="false" customHeight="false" outlineLevel="0" collapsed="false">
      <c r="A12" s="0" t="s">
        <v>117</v>
      </c>
      <c r="C12" s="4" t="n">
        <f aca="false">-C6*Assumptions!C45/100</f>
        <v>-49.81545</v>
      </c>
      <c r="D12" s="4" t="n">
        <f aca="false">-D6*Assumptions!D45/100</f>
        <v>-60.88555</v>
      </c>
      <c r="E12" s="4" t="n">
        <f aca="false">-E6*Assumptions!E45/100</f>
        <v>-70.32281025</v>
      </c>
      <c r="F12" s="4" t="n">
        <f aca="false">-F6*Assumptions!F45/100</f>
        <v>-79.01726679</v>
      </c>
      <c r="G12" s="4" t="n">
        <f aca="false">-G6*Assumptions!G45/100</f>
        <v>-81.3877847937</v>
      </c>
      <c r="H12" s="4" t="n">
        <f aca="false">-H6*Assumptions!H45/100</f>
        <v>-83.829418337511</v>
      </c>
      <c r="I12" s="4" t="n">
        <f aca="false">-I6*Assumptions!I45/100</f>
        <v>-86.3443008876363</v>
      </c>
      <c r="J12" s="4" t="n">
        <f aca="false">-J6*Assumptions!J45/100</f>
        <v>-88.9346299142654</v>
      </c>
      <c r="K12" s="4" t="n">
        <f aca="false">-K6*Assumptions!K45/100</f>
        <v>-91.6026688116934</v>
      </c>
      <c r="L12" s="4" t="n">
        <f aca="false">-L6*Assumptions!L45/100</f>
        <v>-94.3507488760442</v>
      </c>
    </row>
    <row r="13" customFormat="false" ht="15" hidden="false" customHeight="false" outlineLevel="0" collapsed="false">
      <c r="A13" s="0" t="s">
        <v>118</v>
      </c>
      <c r="C13" s="0" t="n">
        <f aca="false">C11+C12</f>
        <v>603.32045</v>
      </c>
      <c r="D13" s="0" t="n">
        <f aca="false">D11+D12</f>
        <v>707.490091</v>
      </c>
      <c r="E13" s="0" t="n">
        <f aca="false">E11+E12</f>
        <v>776.10810585</v>
      </c>
      <c r="F13" s="0" t="n">
        <f aca="false">F11+F12</f>
        <v>805.976121258</v>
      </c>
      <c r="G13" s="0" t="n">
        <f aca="false">G11+G12</f>
        <v>830.15540489574</v>
      </c>
      <c r="H13" s="0" t="n">
        <f aca="false">H11+H12</f>
        <v>855.060067042612</v>
      </c>
      <c r="I13" s="0" t="n">
        <f aca="false">I11+I12</f>
        <v>880.711869053891</v>
      </c>
      <c r="J13" s="0" t="n">
        <f aca="false">J11+J12</f>
        <v>907.133225125507</v>
      </c>
      <c r="K13" s="0" t="n">
        <f aca="false">K11+K12</f>
        <v>934.347221879273</v>
      </c>
      <c r="L13" s="0" t="n">
        <f aca="false">L11+L12</f>
        <v>962.377638535651</v>
      </c>
    </row>
    <row r="14" customFormat="false" ht="15" hidden="false" customHeight="false" outlineLevel="0" collapsed="false">
      <c r="A14" s="0" t="s">
        <v>104</v>
      </c>
      <c r="C14" s="4" t="n">
        <f aca="false">Assumptions!C47</f>
        <v>30</v>
      </c>
      <c r="D14" s="4" t="n">
        <f aca="false">Assumptions!D47</f>
        <v>30</v>
      </c>
      <c r="E14" s="4" t="n">
        <f aca="false">Assumptions!E47</f>
        <v>30</v>
      </c>
      <c r="F14" s="4" t="n">
        <f aca="false">Assumptions!F47</f>
        <v>30</v>
      </c>
      <c r="G14" s="4" t="n">
        <f aca="false">Assumptions!G47</f>
        <v>30</v>
      </c>
      <c r="H14" s="4" t="n">
        <f aca="false">Assumptions!H47</f>
        <v>30</v>
      </c>
      <c r="I14" s="4" t="n">
        <f aca="false">Assumptions!I47</f>
        <v>30</v>
      </c>
      <c r="J14" s="4" t="n">
        <f aca="false">Assumptions!J47</f>
        <v>30</v>
      </c>
      <c r="K14" s="4" t="n">
        <f aca="false">Assumptions!K47</f>
        <v>30</v>
      </c>
      <c r="L14" s="4" t="n">
        <f aca="false">Assumptions!L47</f>
        <v>30</v>
      </c>
    </row>
    <row r="15" customFormat="false" ht="15" hidden="false" customHeight="false" outlineLevel="0" collapsed="false">
      <c r="A15" s="0" t="s">
        <v>119</v>
      </c>
      <c r="C15" s="0" t="n">
        <f aca="false">C13-MAX(0,C13)*C14/100</f>
        <v>422.324315</v>
      </c>
      <c r="D15" s="0" t="n">
        <f aca="false">D13-MAX(0,D13)*D14/100</f>
        <v>495.2430637</v>
      </c>
      <c r="E15" s="0" t="n">
        <f aca="false">E13-MAX(0,E13)*E14/100</f>
        <v>543.275674095</v>
      </c>
      <c r="F15" s="0" t="n">
        <f aca="false">F13-MAX(0,F13)*F14/100</f>
        <v>564.1832848806</v>
      </c>
      <c r="G15" s="0" t="n">
        <f aca="false">G13-MAX(0,G13)*G14/100</f>
        <v>581.108783427018</v>
      </c>
      <c r="H15" s="0" t="n">
        <f aca="false">H13-MAX(0,H13)*H14/100</f>
        <v>598.542046929829</v>
      </c>
      <c r="I15" s="0" t="n">
        <f aca="false">I13-MAX(0,I13)*I14/100</f>
        <v>616.498308337723</v>
      </c>
      <c r="J15" s="0" t="n">
        <f aca="false">J13-MAX(0,J13)*J14/100</f>
        <v>634.993257587855</v>
      </c>
      <c r="K15" s="0" t="n">
        <f aca="false">K13-MAX(0,K13)*K14/100</f>
        <v>654.043055315491</v>
      </c>
      <c r="L15" s="0" t="n">
        <f aca="false">L13-MAX(0,L13)*L14/100</f>
        <v>673.664346974956</v>
      </c>
    </row>
    <row r="16" customFormat="false" ht="15" hidden="false" customHeight="false" outlineLevel="0" collapsed="false">
      <c r="A16" s="0" t="s">
        <v>120</v>
      </c>
      <c r="C16" s="0" t="n">
        <f aca="false">-C12</f>
        <v>49.81545</v>
      </c>
      <c r="D16" s="0" t="n">
        <f aca="false">-D12</f>
        <v>60.88555</v>
      </c>
      <c r="E16" s="0" t="n">
        <f aca="false">-E12</f>
        <v>70.32281025</v>
      </c>
      <c r="F16" s="0" t="n">
        <f aca="false">-F12</f>
        <v>79.01726679</v>
      </c>
      <c r="G16" s="0" t="n">
        <f aca="false">-G12</f>
        <v>81.3877847937</v>
      </c>
      <c r="H16" s="0" t="n">
        <f aca="false">-H12</f>
        <v>83.829418337511</v>
      </c>
      <c r="I16" s="0" t="n">
        <f aca="false">-I12</f>
        <v>86.3443008876363</v>
      </c>
      <c r="J16" s="0" t="n">
        <f aca="false">-J12</f>
        <v>88.9346299142654</v>
      </c>
      <c r="K16" s="0" t="n">
        <f aca="false">-K12</f>
        <v>91.6026688116934</v>
      </c>
      <c r="L16" s="0" t="n">
        <f aca="false">-L12</f>
        <v>94.3507488760442</v>
      </c>
    </row>
    <row r="17" customFormat="false" ht="15" hidden="false" customHeight="false" outlineLevel="0" collapsed="false">
      <c r="A17" s="0" t="s">
        <v>121</v>
      </c>
      <c r="C17" s="4" t="n">
        <f aca="false">-C6*Assumptions!C46/100</f>
        <v>-66.4206</v>
      </c>
      <c r="D17" s="4" t="n">
        <f aca="false">-D6*Assumptions!D46/100</f>
        <v>-66.974105</v>
      </c>
      <c r="E17" s="4" t="n">
        <f aca="false">-E6*Assumptions!E46/100</f>
        <v>-70.32281025</v>
      </c>
      <c r="F17" s="4" t="n">
        <f aca="false">-F6*Assumptions!F46/100</f>
        <v>-72.4324945575</v>
      </c>
      <c r="G17" s="4" t="n">
        <f aca="false">-G6*Assumptions!G46/100</f>
        <v>-74.605469394225</v>
      </c>
      <c r="H17" s="4" t="n">
        <f aca="false">-H6*Assumptions!H46/100</f>
        <v>-76.8436334760518</v>
      </c>
      <c r="I17" s="4" t="n">
        <f aca="false">-I6*Assumptions!I46/100</f>
        <v>-79.1489424803333</v>
      </c>
      <c r="J17" s="4" t="n">
        <f aca="false">-J6*Assumptions!J46/100</f>
        <v>-81.5234107547433</v>
      </c>
      <c r="K17" s="4" t="n">
        <f aca="false">-K6*Assumptions!K46/100</f>
        <v>-83.9691130773856</v>
      </c>
      <c r="L17" s="4" t="n">
        <f aca="false">-L6*Assumptions!L46/100</f>
        <v>-86.4881864697072</v>
      </c>
    </row>
    <row r="18" customFormat="false" ht="15" hidden="false" customHeight="false" outlineLevel="0" collapsed="false">
      <c r="A18" s="0" t="s">
        <v>122</v>
      </c>
      <c r="C18" s="4" t="n">
        <f aca="false">(C6-B6)*Assumptions!$B$51/100</f>
        <v>-19.6405</v>
      </c>
      <c r="D18" s="4" t="n">
        <f aca="false">(D6-C6)*Assumptions!$B$51/100</f>
        <v>-5.53505</v>
      </c>
      <c r="E18" s="4" t="n">
        <f aca="false">(E6-D6)*Assumptions!$B$51/100</f>
        <v>-3.0442775</v>
      </c>
      <c r="F18" s="4" t="n">
        <f aca="false">(F6-E6)*Assumptions!$B$51/100</f>
        <v>-1.917894825</v>
      </c>
      <c r="G18" s="4" t="n">
        <f aca="false">(G6-F6)*Assumptions!$B$51/100</f>
        <v>-1.97543166975</v>
      </c>
      <c r="H18" s="4" t="n">
        <f aca="false">(H6-G6)*Assumptions!$B$51/100</f>
        <v>-2.0346946198425</v>
      </c>
      <c r="I18" s="4" t="n">
        <f aca="false">(I6-H6)*Assumptions!$B$51/100</f>
        <v>-2.09573545843778</v>
      </c>
      <c r="J18" s="4" t="n">
        <f aca="false">(J6-I6)*Assumptions!$B$51/100</f>
        <v>-2.15860752219091</v>
      </c>
      <c r="K18" s="4" t="n">
        <f aca="false">(K6-J6)*Assumptions!$B$51/100</f>
        <v>-2.22336574785663</v>
      </c>
      <c r="L18" s="4" t="n">
        <f aca="false">(L6-K6)*Assumptions!$B$51/100</f>
        <v>-2.29006672029234</v>
      </c>
    </row>
    <row r="19" customFormat="false" ht="15" hidden="false" customHeight="false" outlineLevel="0" collapsed="false">
      <c r="A19" s="0" t="s">
        <v>123</v>
      </c>
      <c r="C19" s="0" t="n">
        <f aca="false">C15+C16+C17+C18</f>
        <v>386.078665</v>
      </c>
      <c r="D19" s="0" t="n">
        <f aca="false">D15+D16+D17+D18</f>
        <v>483.6194587</v>
      </c>
      <c r="E19" s="0" t="n">
        <f aca="false">E15+E16+E17+E18</f>
        <v>540.231396595</v>
      </c>
      <c r="F19" s="0" t="n">
        <f aca="false">F15+F16+F17+F18</f>
        <v>568.8501622881</v>
      </c>
      <c r="G19" s="0" t="n">
        <f aca="false">G15+G16+G17+G18</f>
        <v>585.915667156743</v>
      </c>
      <c r="H19" s="0" t="n">
        <f aca="false">H15+H16+H17+H18</f>
        <v>603.493137171445</v>
      </c>
      <c r="I19" s="0" t="n">
        <f aca="false">I15+I16+I17+I18</f>
        <v>621.597931286589</v>
      </c>
      <c r="J19" s="0" t="n">
        <f aca="false">J15+J16+J17+J18</f>
        <v>640.245869225186</v>
      </c>
      <c r="K19" s="0" t="n">
        <f aca="false">K15+K16+K17+K18</f>
        <v>659.453245301942</v>
      </c>
      <c r="L19" s="0" t="n">
        <f aca="false">L15+L16+L17+L18</f>
        <v>679.236842661</v>
      </c>
    </row>
    <row r="20" customFormat="false" ht="15" hidden="false" customHeight="false" outlineLevel="0" collapsed="false">
      <c r="A20" s="0" t="s">
        <v>124</v>
      </c>
      <c r="C20" s="0" t="n">
        <f aca="false">1/(1+$B$27/100)^C4</f>
        <v>0.904977375565611</v>
      </c>
      <c r="D20" s="0" t="n">
        <f aca="false">1/(1+$B$27/100)^D4</f>
        <v>0.818984050285621</v>
      </c>
      <c r="E20" s="0" t="n">
        <f aca="false">1/(1+$B$27/100)^E4</f>
        <v>0.741162036457575</v>
      </c>
      <c r="F20" s="0" t="n">
        <f aca="false">1/(1+$B$27/100)^F4</f>
        <v>0.67073487462224</v>
      </c>
      <c r="G20" s="0" t="n">
        <f aca="false">1/(1+$B$27/100)^G4</f>
        <v>0.606999886535964</v>
      </c>
      <c r="H20" s="0" t="n">
        <f aca="false">1/(1+$B$27/100)^H4</f>
        <v>0.54932116428594</v>
      </c>
      <c r="I20" s="0" t="n">
        <f aca="false">1/(1+$B$27/100)^I4</f>
        <v>0.497123225598136</v>
      </c>
      <c r="J20" s="0" t="n">
        <f aca="false">1/(1+$B$27/100)^J4</f>
        <v>0.449885272034512</v>
      </c>
      <c r="K20" s="0" t="n">
        <f aca="false">1/(1+$B$27/100)^K4</f>
        <v>0.407135992791414</v>
      </c>
      <c r="L20" s="0" t="n">
        <f aca="false">1/(1+$B$27/100)^L4</f>
        <v>0.368448862254673</v>
      </c>
    </row>
    <row r="21" customFormat="false" ht="15" hidden="false" customHeight="false" outlineLevel="0" collapsed="false">
      <c r="A21" s="0" t="s">
        <v>125</v>
      </c>
      <c r="C21" s="0" t="n">
        <f aca="false">C19*C20</f>
        <v>349.392457013575</v>
      </c>
      <c r="D21" s="0" t="n">
        <f aca="false">D19*D20</f>
        <v>396.076623083066</v>
      </c>
      <c r="E21" s="0" t="n">
        <f aca="false">E19*E20</f>
        <v>400.39900205867</v>
      </c>
      <c r="F21" s="0" t="n">
        <f aca="false">F19*F20</f>
        <v>381.54764228115</v>
      </c>
      <c r="G21" s="0" t="n">
        <f aca="false">G19*G20</f>
        <v>355.650743483787</v>
      </c>
      <c r="H21" s="0" t="n">
        <f aca="false">H19*H20</f>
        <v>331.511552749593</v>
      </c>
      <c r="I21" s="0" t="n">
        <f aca="false">I19*I20</f>
        <v>309.010768626317</v>
      </c>
      <c r="J21" s="0" t="n">
        <f aca="false">J19*J20</f>
        <v>288.037187045346</v>
      </c>
      <c r="K21" s="0" t="n">
        <f aca="false">K19*K20</f>
        <v>268.487151725526</v>
      </c>
      <c r="L21" s="0" t="n">
        <f aca="false">L19*L20</f>
        <v>250.264041879902</v>
      </c>
    </row>
    <row r="23" customFormat="false" ht="15" hidden="false" customHeight="false" outlineLevel="0" collapsed="false">
      <c r="A23" s="0" t="s">
        <v>101</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126</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127</v>
      </c>
    </row>
    <row r="27" customFormat="false" ht="15" hidden="false" customHeight="false" outlineLevel="0" collapsed="false">
      <c r="A27" s="0" t="s">
        <v>105</v>
      </c>
      <c r="B27" s="4" t="n">
        <f aca="false">Assumptions!$B$48</f>
        <v>10.5</v>
      </c>
    </row>
    <row r="28" customFormat="false" ht="15" hidden="false" customHeight="false" outlineLevel="0" collapsed="false">
      <c r="A28" s="0" t="s">
        <v>106</v>
      </c>
      <c r="B28" s="4" t="n">
        <f aca="false">Assumptions!$B$49</f>
        <v>2.5</v>
      </c>
    </row>
    <row r="29" customFormat="false" ht="15" hidden="false" customHeight="false" outlineLevel="0" collapsed="false">
      <c r="A29" s="0" t="s">
        <v>107</v>
      </c>
      <c r="B29" s="4" t="n">
        <f aca="false">Assumptions!$B$50</f>
        <v>14</v>
      </c>
    </row>
    <row r="30" customFormat="false" ht="15" hidden="false" customHeight="false" outlineLevel="0" collapsed="false">
      <c r="A30" s="0" t="s">
        <v>128</v>
      </c>
      <c r="B30" s="0" t="n">
        <f aca="false">SUM(C21:L21)</f>
        <v>3330.37716994693</v>
      </c>
    </row>
    <row r="31" customFormat="false" ht="15" hidden="false" customHeight="false" outlineLevel="0" collapsed="false">
      <c r="A31" s="0" t="s">
        <v>129</v>
      </c>
      <c r="B31" s="0" t="n">
        <f aca="false">L19</f>
        <v>679.236842661</v>
      </c>
    </row>
    <row r="32" customFormat="false" ht="15" hidden="false" customHeight="false" outlineLevel="0" collapsed="false">
      <c r="A32" s="0" t="s">
        <v>130</v>
      </c>
      <c r="B32" s="0" t="n">
        <f aca="false">IF(B27&gt;B28,B31*(1+B28/100)/((B27-B28)/100),B31*B29)</f>
        <v>8702.72204659407</v>
      </c>
    </row>
    <row r="33" customFormat="false" ht="15" hidden="false" customHeight="false" outlineLevel="0" collapsed="false">
      <c r="A33" s="0" t="s">
        <v>131</v>
      </c>
      <c r="B33" s="0" t="n">
        <f aca="false">B31*B29</f>
        <v>9509.315797254</v>
      </c>
    </row>
    <row r="34" customFormat="false" ht="15" hidden="false" customHeight="false" outlineLevel="0" collapsed="false">
      <c r="A34" s="0" t="s">
        <v>132</v>
      </c>
      <c r="B34" s="0" t="n">
        <f aca="false">MAX(0,MIN(B32,B33))</f>
        <v>8702.72204659407</v>
      </c>
    </row>
    <row r="35" customFormat="false" ht="15" hidden="false" customHeight="false" outlineLevel="0" collapsed="false">
      <c r="A35" s="0" t="s">
        <v>133</v>
      </c>
      <c r="B35" s="0" t="n">
        <f aca="false">B34/(1+B27/100)^L4</f>
        <v>3206.50803658624</v>
      </c>
    </row>
    <row r="36" customFormat="false" ht="15" hidden="false" customHeight="false" outlineLevel="0" collapsed="false">
      <c r="A36" s="0" t="s">
        <v>134</v>
      </c>
      <c r="B36" s="0" t="n">
        <f aca="false">B30+B35</f>
        <v>6536.88520653317</v>
      </c>
    </row>
    <row r="37" customFormat="false" ht="15" hidden="false" customHeight="false" outlineLevel="0" collapsed="false">
      <c r="A37" s="0" t="s">
        <v>135</v>
      </c>
      <c r="B37" s="0" t="n">
        <f aca="false">B36+Assumptions!$B$5-Assumptions!$B$4</f>
        <v>6580.68520653317</v>
      </c>
    </row>
    <row r="38" customFormat="false" ht="15" hidden="false" customHeight="false" outlineLevel="0" collapsed="false">
      <c r="A38" s="0" t="s">
        <v>136</v>
      </c>
      <c r="B38" s="0" t="n">
        <f aca="false">B37/Assumptions!$B$3*Assumptions!$B$10</f>
        <v>8.6270125937771</v>
      </c>
    </row>
    <row r="39" customFormat="false" ht="15" hidden="false" customHeight="false" outlineLevel="0" collapsed="false">
      <c r="A39" s="0" t="s">
        <v>137</v>
      </c>
      <c r="B39" s="4" t="n">
        <f aca="false">B38/Assumptions!$B$2-1</f>
        <v>0.235076964033945</v>
      </c>
    </row>
    <row r="41" customFormat="false" ht="15" hidden="false" customHeight="false" outlineLevel="0" collapsed="false">
      <c r="A41" s="0" t="s">
        <v>138</v>
      </c>
      <c r="B41" s="0" t="n">
        <f aca="false">SUMPRODUCT(-C10:L10/(1+$B$27/100)^C4:L4)</f>
        <v>67.0340866064687</v>
      </c>
    </row>
    <row r="42" customFormat="false" ht="15" hidden="false" customHeight="false" outlineLevel="0" collapsed="false">
      <c r="A42" s="0" t="s">
        <v>139</v>
      </c>
      <c r="B42" s="0" t="n">
        <f aca="false">IF(B27&gt;B28,-L10*(1+B28/100)/((B27-B28)/100),-L10*20)/(1+B27/100)^L4</f>
        <v>59.3875195469354</v>
      </c>
    </row>
    <row r="43" customFormat="false" ht="15" hidden="false" customHeight="false" outlineLevel="0" collapsed="false">
      <c r="A43" s="0" t="s">
        <v>140</v>
      </c>
      <c r="B43" s="0" t="n">
        <f aca="false">(B37+B41+B42)/Assumptions!$B$3*Assumptions!$B$10</f>
        <v>8.79274621484869</v>
      </c>
    </row>
    <row r="45" customFormat="false" ht="15" hidden="false" customHeight="false" outlineLevel="0" collapsed="false">
      <c r="A45" s="0" t="s">
        <v>81</v>
      </c>
      <c r="B45" s="4" t="n">
        <f aca="false">Assumptions!$B$6</f>
        <v>15</v>
      </c>
    </row>
    <row r="46" customFormat="false" ht="15" hidden="false" customHeight="false" outlineLevel="0" collapsed="false">
      <c r="A46" s="0" t="s">
        <v>141</v>
      </c>
      <c r="B46" s="0" t="n">
        <f aca="false">MAX(0,MIN(IF(B45&gt;B28,B31*(1+B28/100)/((B45-B28)/100),B31*B29),B31*B29))</f>
        <v>5569.7421098202</v>
      </c>
    </row>
    <row r="47" customFormat="false" ht="15" hidden="false" customHeight="false" outlineLevel="0" collapsed="false">
      <c r="A47" s="0" t="s">
        <v>142</v>
      </c>
      <c r="B47" s="0" t="n">
        <f aca="false">(SUMPRODUCT(C19:L19/(1+B45/100)^C4:L4)+B46/(1+B45/100)^L4+Assumptions!$B$5-Assumptions!$B$4)/Assumptions!$B$3*Assumptions!$B$10</f>
        <v>5.44436100791625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145</v>
      </c>
    </row>
    <row r="3" customFormat="false" ht="15" hidden="false" customHeight="false" outlineLevel="0" collapsed="false">
      <c r="A3" s="2" t="s">
        <v>146</v>
      </c>
      <c r="B3" s="2" t="s">
        <v>147</v>
      </c>
      <c r="C3" s="2" t="s">
        <v>137</v>
      </c>
      <c r="D3" s="2" t="s">
        <v>148</v>
      </c>
      <c r="E3" s="2" t="s">
        <v>140</v>
      </c>
      <c r="F3" s="2" t="s">
        <v>149</v>
      </c>
    </row>
    <row r="4" customFormat="false" ht="15" hidden="false" customHeight="false" outlineLevel="0" collapsed="false">
      <c r="A4" s="0" t="s">
        <v>150</v>
      </c>
      <c r="B4" s="4" t="n">
        <f aca="false">DCF_Bear!$B$38</f>
        <v>3.32343473729485</v>
      </c>
      <c r="C4" s="0" t="n">
        <f aca="false">B4/Assumptions!$B$2-1</f>
        <v>-0.524204046199735</v>
      </c>
      <c r="D4" s="4" t="n">
        <f aca="false">Assumptions!$B$24</f>
        <v>0.3</v>
      </c>
      <c r="E4" s="4" t="n">
        <f aca="false">DCF_Bear!$B$43</f>
        <v>3.46916932211652</v>
      </c>
      <c r="F4" s="4" t="n">
        <f aca="false">DCF_Bear!$B$47</f>
        <v>2.35177614323103</v>
      </c>
    </row>
    <row r="5" customFormat="false" ht="15" hidden="false" customHeight="false" outlineLevel="0" collapsed="false">
      <c r="A5" s="0" t="s">
        <v>151</v>
      </c>
      <c r="B5" s="4" t="n">
        <f aca="false">DCF_Base!$B$38</f>
        <v>6.24986942749233</v>
      </c>
      <c r="C5" s="0" t="n">
        <f aca="false">B5/Assumptions!$B$2-1</f>
        <v>-0.105244176450633</v>
      </c>
      <c r="D5" s="4" t="n">
        <f aca="false">Assumptions!$B$38</f>
        <v>0.45</v>
      </c>
      <c r="E5" s="4" t="n">
        <f aca="false">DCF_Base!$B$43</f>
        <v>6.39965413150369</v>
      </c>
      <c r="F5" s="4" t="n">
        <f aca="false">DCF_Base!$B$47</f>
        <v>4.02832390171308</v>
      </c>
    </row>
    <row r="6" customFormat="false" ht="15" hidden="false" customHeight="false" outlineLevel="0" collapsed="false">
      <c r="A6" s="0" t="s">
        <v>152</v>
      </c>
      <c r="B6" s="4" t="n">
        <f aca="false">DCF_Bull!$B$38</f>
        <v>8.6270125937771</v>
      </c>
      <c r="C6" s="0" t="n">
        <f aca="false">B6/Assumptions!$B$2-1</f>
        <v>0.235076964033945</v>
      </c>
      <c r="D6" s="4" t="n">
        <f aca="false">Assumptions!$B$52</f>
        <v>0.25</v>
      </c>
      <c r="E6" s="4" t="n">
        <f aca="false">DCF_Bull!$B$43</f>
        <v>8.79274621484869</v>
      </c>
      <c r="F6" s="4" t="n">
        <f aca="false">DCF_Bull!$B$47</f>
        <v>5.44436100791625</v>
      </c>
    </row>
    <row r="8" customFormat="false" ht="15" hidden="false" customHeight="false" outlineLevel="0" collapsed="false">
      <c r="A8" s="0" t="s">
        <v>153</v>
      </c>
      <c r="B8" s="0" t="n">
        <f aca="false">SUMPRODUCT(B4:B6,D4:D6)</f>
        <v>5.96622481200428</v>
      </c>
    </row>
    <row r="9" customFormat="false" ht="15" hidden="false" customHeight="false" outlineLevel="0" collapsed="false">
      <c r="A9" s="0" t="s">
        <v>154</v>
      </c>
      <c r="B9" s="0" t="n">
        <f aca="false">SUMPRODUCT(E4:E6,D4:D6)</f>
        <v>6.11878170952379</v>
      </c>
    </row>
    <row r="10" customFormat="false" ht="15" hidden="false" customHeight="false" outlineLevel="0" collapsed="false">
      <c r="A10" s="0" t="s">
        <v>155</v>
      </c>
      <c r="B10" s="0" t="n">
        <f aca="false">1-Assumptions!$B$2/B8</f>
        <v>-0.170757090136112</v>
      </c>
    </row>
    <row r="11" customFormat="false" ht="15" hidden="false" customHeight="false" outlineLevel="0" collapsed="false">
      <c r="A11" s="0" t="s">
        <v>156</v>
      </c>
      <c r="B11" s="0" t="n">
        <f aca="false">IF(ABS(B9-B8)&gt;0.01*ABS(B8),(Assumptions!$B$2-B8)/(B9-B8)*100,"n/a")</f>
        <v>667.800148377724</v>
      </c>
    </row>
    <row r="12" customFormat="false" ht="15" hidden="false" customHeight="false" outlineLevel="0" collapsed="false">
      <c r="A12" s="0" t="s">
        <v>157</v>
      </c>
      <c r="B12" s="0" t="n">
        <f aca="false">SUMPRODUCT(F4:F6,D4:D6)</f>
        <v>3.87936885071926</v>
      </c>
    </row>
    <row r="14" customFormat="false" ht="15" hidden="false" customHeight="false" outlineLevel="0" collapsed="false">
      <c r="A14" s="2" t="s">
        <v>158</v>
      </c>
      <c r="C14" s="0" t="s">
        <v>159</v>
      </c>
    </row>
    <row r="15" customFormat="false" ht="15" hidden="false" customHeight="false" outlineLevel="0" collapsed="false">
      <c r="A15" s="0" t="s">
        <v>160</v>
      </c>
      <c r="B15" s="0" t="n">
        <f aca="false">(SUMPRODUCT(DCF_Base!$C$19:$L$19/(1+$C$15/100)^DCF_Base!$C$4:$L$4)+MAX(0,MIN(IF($C$15&gt;DCF_Base!$B$28,DCF_Base!$L$19*(1+DCF_Base!$B$28/100)/(($C$15-DCF_Base!$B$28)/100),DCF_Base!$L$19*DCF_Base!$B$29),DCF_Base!$L$19*DCF_Base!$B$29))/(1+$C$15/100)^DCF_Base!$L$4+Assumptions!$B$5-Assumptions!$B$4)/Assumptions!$B$3*Assumptions!$B$10</f>
        <v>6.91529650397457</v>
      </c>
      <c r="C15" s="3" t="n">
        <v>9</v>
      </c>
    </row>
    <row r="16" customFormat="false" ht="15" hidden="false" customHeight="false" outlineLevel="0" collapsed="false">
      <c r="A16" s="0" t="s">
        <v>161</v>
      </c>
      <c r="B16" s="0" t="n">
        <f aca="false">(SUMPRODUCT(DCF_Base!$C$19:$L$19/(1+$C$16/100)^DCF_Base!$C$4:$L$4)+MAX(0,MIN(IF($C$16&gt;DCF_Base!$B$28,DCF_Base!$L$19*(1+DCF_Base!$B$28/100)/(($C$16-DCF_Base!$B$28)/100),DCF_Base!$L$19*DCF_Base!$B$29),DCF_Base!$L$19*DCF_Base!$B$29))/(1+$C$16/100)^DCF_Base!$L$4+Assumptions!$B$5-Assumptions!$B$4)/Assumptions!$B$3*Assumptions!$B$10</f>
        <v>6.46186315070074</v>
      </c>
      <c r="C16" s="3" t="n">
        <v>10</v>
      </c>
    </row>
    <row r="17" customFormat="false" ht="15" hidden="false" customHeight="false" outlineLevel="0" collapsed="false">
      <c r="A17" s="0" t="s">
        <v>162</v>
      </c>
      <c r="B17" s="0" t="n">
        <f aca="false">(SUMPRODUCT(DCF_Base!$C$19:$L$19/(1+$C$17/100)^DCF_Base!$C$4:$L$4)+MAX(0,MIN(IF($C$17&gt;DCF_Base!$B$28,DCF_Base!$L$19*(1+DCF_Base!$B$28/100)/(($C$17-DCF_Base!$B$28)/100),DCF_Base!$L$19*DCF_Base!$B$29),DCF_Base!$L$19*DCF_Base!$B$29))/(1+$C$17/100)^DCF_Base!$L$4+Assumptions!$B$5-Assumptions!$B$4)/Assumptions!$B$3*Assumptions!$B$10</f>
        <v>6.24986942749233</v>
      </c>
      <c r="C17" s="3" t="n">
        <v>10.5</v>
      </c>
    </row>
    <row r="18" customFormat="false" ht="15" hidden="false" customHeight="false" outlineLevel="0" collapsed="false">
      <c r="A18" s="0" t="s">
        <v>163</v>
      </c>
      <c r="B18" s="0" t="n">
        <f aca="false">(SUMPRODUCT(DCF_Base!$C$19:$L$19/(1+$C$18/100)^DCF_Base!$C$4:$L$4)+MAX(0,MIN(IF($C$18&gt;DCF_Base!$B$28,DCF_Base!$L$19*(1+DCF_Base!$B$28/100)/(($C$18-DCF_Base!$B$28)/100),DCF_Base!$L$19*DCF_Base!$B$29),DCF_Base!$L$19*DCF_Base!$B$29))/(1+$C$18/100)^DCF_Base!$L$4+Assumptions!$B$5-Assumptions!$B$4)/Assumptions!$B$3*Assumptions!$B$10</f>
        <v>5.8923810461734</v>
      </c>
      <c r="C18" s="3" t="n">
        <v>11</v>
      </c>
    </row>
    <row r="19" customFormat="false" ht="15" hidden="false" customHeight="false" outlineLevel="0" collapsed="false">
      <c r="A19" s="0" t="s">
        <v>164</v>
      </c>
      <c r="B19" s="0" t="n">
        <f aca="false">(SUMPRODUCT(DCF_Base!$C$19:$L$19/(1+$C$19/100)^DCF_Base!$C$4:$L$4)+MAX(0,MIN(IF($C$19&gt;DCF_Base!$B$28,DCF_Base!$L$19*(1+DCF_Base!$B$28/100)/(($C$19-DCF_Base!$B$28)/100),DCF_Base!$L$19*DCF_Base!$B$29),DCF_Base!$L$19*DCF_Base!$B$29))/(1+$C$19/100)^DCF_Base!$L$4+Assumptions!$B$5-Assumptions!$B$4)/Assumptions!$B$3*Assumptions!$B$10</f>
        <v>5.28532397247286</v>
      </c>
      <c r="C19" s="3" t="n">
        <v>12</v>
      </c>
    </row>
    <row r="20" customFormat="false" ht="15" hidden="false" customHeight="false" outlineLevel="0" collapsed="false">
      <c r="A20" s="0" t="s">
        <v>165</v>
      </c>
      <c r="B20" s="0" t="n">
        <f aca="false">(SUMPRODUCT(DCF_Base!$C$19:$L$19/(1+$C$20/100)^DCF_Base!$C$4:$L$4)+MAX(0,MIN(IF($C$20&gt;DCF_Base!$B$28,DCF_Base!$L$19*(1+DCF_Base!$B$28/100)/(($C$20-DCF_Base!$B$28)/100),DCF_Base!$L$19*DCF_Base!$B$29),DCF_Base!$L$19*DCF_Base!$B$29))/(1+$C$20/100)^DCF_Base!$L$4+Assumptions!$B$5-Assumptions!$B$4)/Assumptions!$B$3*Assumptions!$B$10</f>
        <v>4.02832390171308</v>
      </c>
      <c r="C20" s="3" t="n">
        <v>15</v>
      </c>
    </row>
    <row r="22" customFormat="false" ht="15" hidden="false" customHeight="false" outlineLevel="0" collapsed="false">
      <c r="A22" s="2" t="s">
        <v>166</v>
      </c>
    </row>
    <row r="23" customFormat="false" ht="15" hidden="false" customHeight="false" outlineLevel="0" collapsed="false">
      <c r="B23" s="3" t="n">
        <v>1</v>
      </c>
      <c r="C23" s="3" t="n">
        <v>1.5</v>
      </c>
      <c r="D23" s="3" t="n">
        <v>2</v>
      </c>
      <c r="E23" s="3" t="n">
        <v>2.5</v>
      </c>
      <c r="F23" s="3" t="n">
        <v>3</v>
      </c>
    </row>
    <row r="24" customFormat="false" ht="15" hidden="false" customHeight="false" outlineLevel="0" collapsed="false">
      <c r="A24" s="3" t="n">
        <v>8.5</v>
      </c>
      <c r="B24" s="0" t="n">
        <f aca="false">(SUMPRODUCT(DCF_Base!$C$19:$L$19/(1+$A$24/100)^DCF_Base!$C$4:$L$4)+MAX(0,MIN(IF($A$24&gt;$B$23,DCF_Base!$L$19*(1+$B$23/100)/(($A$24-$B$23)/100),DCF_Base!$L$19*DCF_Base!$B$29),DCF_Base!$L$19*DCF_Base!$B$29))/(1+$A$24/100)^DCF_Base!$L$4+Assumptions!$B$5-Assumptions!$B$4)/Assumptions!$B$3*Assumptions!$B$10</f>
        <v>7.1577843549981</v>
      </c>
      <c r="C24" s="0" t="n">
        <f aca="false">(SUMPRODUCT(DCF_Base!$C$19:$L$19/(1+$A$24/100)^DCF_Base!$C$4:$L$4)+MAX(0,MIN(IF($A$24&gt;$C$23,DCF_Base!$L$19*(1+$C$23/100)/(($A$24-$C$23)/100),DCF_Base!$L$19*DCF_Base!$B$29),DCF_Base!$L$19*DCF_Base!$B$29))/(1+$A$24/100)^DCF_Base!$L$4+Assumptions!$B$5-Assumptions!$B$4)/Assumptions!$B$3*Assumptions!$B$10</f>
        <v>7.1577843549981</v>
      </c>
      <c r="D24" s="0" t="n">
        <f aca="false">(SUMPRODUCT(DCF_Base!$C$19:$L$19/(1+$A$24/100)^DCF_Base!$C$4:$L$4)+MAX(0,MIN(IF($A$24&gt;$D$23,DCF_Base!$L$19*(1+$D$23/100)/(($A$24-$D$23)/100),DCF_Base!$L$19*DCF_Base!$B$29),DCF_Base!$L$19*DCF_Base!$B$29))/(1+$A$24/100)^DCF_Base!$L$4+Assumptions!$B$5-Assumptions!$B$4)/Assumptions!$B$3*Assumptions!$B$10</f>
        <v>7.1577843549981</v>
      </c>
      <c r="E24" s="0" t="n">
        <f aca="false">(SUMPRODUCT(DCF_Base!$C$19:$L$19/(1+$A$24/100)^DCF_Base!$C$4:$L$4)+MAX(0,MIN(IF($A$24&gt;$E$23,DCF_Base!$L$19*(1+$E$23/100)/(($A$24-$E$23)/100),DCF_Base!$L$19*DCF_Base!$B$29),DCF_Base!$L$19*DCF_Base!$B$29))/(1+$A$24/100)^DCF_Base!$L$4+Assumptions!$B$5-Assumptions!$B$4)/Assumptions!$B$3*Assumptions!$B$10</f>
        <v>7.1577843549981</v>
      </c>
      <c r="F24" s="0" t="n">
        <f aca="false">(SUMPRODUCT(DCF_Base!$C$19:$L$19/(1+$A$24/100)^DCF_Base!$C$4:$L$4)+MAX(0,MIN(IF($A$24&gt;$F$23,DCF_Base!$L$19*(1+$F$23/100)/(($A$24-$F$23)/100),DCF_Base!$L$19*DCF_Base!$B$29),DCF_Base!$L$19*DCF_Base!$B$29))/(1+$A$24/100)^DCF_Base!$L$4+Assumptions!$B$5-Assumptions!$B$4)/Assumptions!$B$3*Assumptions!$B$10</f>
        <v>7.1577843549981</v>
      </c>
    </row>
    <row r="25" customFormat="false" ht="15" hidden="false" customHeight="false" outlineLevel="0" collapsed="false">
      <c r="A25" s="3" t="n">
        <v>9.5</v>
      </c>
      <c r="B25" s="0" t="n">
        <f aca="false">(SUMPRODUCT(DCF_Base!$C$19:$L$19/(1+$A$25/100)^DCF_Base!$C$4:$L$4)+MAX(0,MIN(IF($A$25&gt;$B$23,DCF_Base!$L$19*(1+$B$23/100)/(($A$25-$B$23)/100),DCF_Base!$L$19*DCF_Base!$B$29),DCF_Base!$L$19*DCF_Base!$B$29))/(1+$A$25/100)^DCF_Base!$L$4+Assumptions!$B$5-Assumptions!$B$4)/Assumptions!$B$3*Assumptions!$B$10</f>
        <v>6.65223181508457</v>
      </c>
      <c r="C25" s="0" t="n">
        <f aca="false">(SUMPRODUCT(DCF_Base!$C$19:$L$19/(1+$A$25/100)^DCF_Base!$C$4:$L$4)+MAX(0,MIN(IF($A$25&gt;$C$23,DCF_Base!$L$19*(1+$C$23/100)/(($A$25-$C$23)/100),DCF_Base!$L$19*DCF_Base!$B$29),DCF_Base!$L$19*DCF_Base!$B$29))/(1+$A$25/100)^DCF_Base!$L$4+Assumptions!$B$5-Assumptions!$B$4)/Assumptions!$B$3*Assumptions!$B$10</f>
        <v>6.68350246818568</v>
      </c>
      <c r="D25" s="0" t="n">
        <f aca="false">(SUMPRODUCT(DCF_Base!$C$19:$L$19/(1+$A$25/100)^DCF_Base!$C$4:$L$4)+MAX(0,MIN(IF($A$25&gt;$D$23,DCF_Base!$L$19*(1+$D$23/100)/(($A$25-$D$23)/100),DCF_Base!$L$19*DCF_Base!$B$29),DCF_Base!$L$19*DCF_Base!$B$29))/(1+$A$25/100)^DCF_Base!$L$4+Assumptions!$B$5-Assumptions!$B$4)/Assumptions!$B$3*Assumptions!$B$10</f>
        <v>6.68350246818568</v>
      </c>
      <c r="E25" s="0" t="n">
        <f aca="false">(SUMPRODUCT(DCF_Base!$C$19:$L$19/(1+$A$25/100)^DCF_Base!$C$4:$L$4)+MAX(0,MIN(IF($A$25&gt;$E$23,DCF_Base!$L$19*(1+$E$23/100)/(($A$25-$E$23)/100),DCF_Base!$L$19*DCF_Base!$B$29),DCF_Base!$L$19*DCF_Base!$B$29))/(1+$A$25/100)^DCF_Base!$L$4+Assumptions!$B$5-Assumptions!$B$4)/Assumptions!$B$3*Assumptions!$B$10</f>
        <v>6.68350246818568</v>
      </c>
      <c r="F25" s="0" t="n">
        <f aca="false">(SUMPRODUCT(DCF_Base!$C$19:$L$19/(1+$A$25/100)^DCF_Base!$C$4:$L$4)+MAX(0,MIN(IF($A$25&gt;$F$23,DCF_Base!$L$19*(1+$F$23/100)/(($A$25-$F$23)/100),DCF_Base!$L$19*DCF_Base!$B$29),DCF_Base!$L$19*DCF_Base!$B$29))/(1+$A$25/100)^DCF_Base!$L$4+Assumptions!$B$5-Assumptions!$B$4)/Assumptions!$B$3*Assumptions!$B$10</f>
        <v>6.68350246818568</v>
      </c>
    </row>
    <row r="26" customFormat="false" ht="15" hidden="false" customHeight="false" outlineLevel="0" collapsed="false">
      <c r="A26" s="3" t="n">
        <v>10.5</v>
      </c>
      <c r="B26" s="0" t="n">
        <f aca="false">(SUMPRODUCT(DCF_Base!$C$19:$L$19/(1+$A$26/100)^DCF_Base!$C$4:$L$4)+MAX(0,MIN(IF($A$26&gt;$B$23,DCF_Base!$L$19*(1+$B$23/100)/(($A$26-$B$23)/100),DCF_Base!$L$19*DCF_Base!$B$29),DCF_Base!$L$19*DCF_Base!$B$29))/(1+$A$26/100)^DCF_Base!$L$4+Assumptions!$B$5-Assumptions!$B$4)/Assumptions!$B$3*Assumptions!$B$10</f>
        <v>5.91775018702822</v>
      </c>
      <c r="C26" s="0" t="n">
        <f aca="false">(SUMPRODUCT(DCF_Base!$C$19:$L$19/(1+$A$26/100)^DCF_Base!$C$4:$L$4)+MAX(0,MIN(IF($A$26&gt;$C$23,DCF_Base!$L$19*(1+$C$23/100)/(($A$26-$C$23)/100),DCF_Base!$L$19*DCF_Base!$B$29),DCF_Base!$L$19*DCF_Base!$B$29))/(1+$A$26/100)^DCF_Base!$L$4+Assumptions!$B$5-Assumptions!$B$4)/Assumptions!$B$3*Assumptions!$B$10</f>
        <v>6.07458427280294</v>
      </c>
      <c r="D26" s="0" t="n">
        <f aca="false">(SUMPRODUCT(DCF_Base!$C$19:$L$19/(1+$A$26/100)^DCF_Base!$C$4:$L$4)+MAX(0,MIN(IF($A$26&gt;$D$23,DCF_Base!$L$19*(1+$D$23/100)/(($A$26-$D$23)/100),DCF_Base!$L$19*DCF_Base!$B$29),DCF_Base!$L$19*DCF_Base!$B$29))/(1+$A$26/100)^DCF_Base!$L$4+Assumptions!$B$5-Assumptions!$B$4)/Assumptions!$B$3*Assumptions!$B$10</f>
        <v>6.24986942749233</v>
      </c>
      <c r="E26" s="0" t="n">
        <f aca="false">(SUMPRODUCT(DCF_Base!$C$19:$L$19/(1+$A$26/100)^DCF_Base!$C$4:$L$4)+MAX(0,MIN(IF($A$26&gt;$E$23,DCF_Base!$L$19*(1+$E$23/100)/(($A$26-$E$23)/100),DCF_Base!$L$19*DCF_Base!$B$29),DCF_Base!$L$19*DCF_Base!$B$29))/(1+$A$26/100)^DCF_Base!$L$4+Assumptions!$B$5-Assumptions!$B$4)/Assumptions!$B$3*Assumptions!$B$10</f>
        <v>6.24986942749233</v>
      </c>
      <c r="F26" s="0" t="n">
        <f aca="false">(SUMPRODUCT(DCF_Base!$C$19:$L$19/(1+$A$26/100)^DCF_Base!$C$4:$L$4)+MAX(0,MIN(IF($A$26&gt;$F$23,DCF_Base!$L$19*(1+$F$23/100)/(($A$26-$F$23)/100),DCF_Base!$L$19*DCF_Base!$B$29),DCF_Base!$L$19*DCF_Base!$B$29))/(1+$A$26/100)^DCF_Base!$L$4+Assumptions!$B$5-Assumptions!$B$4)/Assumptions!$B$3*Assumptions!$B$10</f>
        <v>6.24986942749233</v>
      </c>
    </row>
    <row r="27" customFormat="false" ht="15" hidden="false" customHeight="false" outlineLevel="0" collapsed="false">
      <c r="A27" s="3" t="n">
        <v>11.5</v>
      </c>
      <c r="B27" s="0" t="n">
        <f aca="false">(SUMPRODUCT(DCF_Base!$C$19:$L$19/(1+$A$27/100)^DCF_Base!$C$4:$L$4)+MAX(0,MIN(IF($A$27&gt;$B$23,DCF_Base!$L$19*(1+$B$23/100)/(($A$27-$B$23)/100),DCF_Base!$L$19*DCF_Base!$B$29),DCF_Base!$L$19*DCF_Base!$B$29))/(1+$A$27/100)^DCF_Base!$L$4+Assumptions!$B$5-Assumptions!$B$4)/Assumptions!$B$3*Assumptions!$B$10</f>
        <v>5.32484215111485</v>
      </c>
      <c r="C27" s="0" t="n">
        <f aca="false">(SUMPRODUCT(DCF_Base!$C$19:$L$19/(1+$A$27/100)^DCF_Base!$C$4:$L$4)+MAX(0,MIN(IF($A$27&gt;$C$23,DCF_Base!$L$19*(1+$C$23/100)/(($A$27-$C$23)/100),DCF_Base!$L$19*DCF_Base!$B$29),DCF_Base!$L$19*DCF_Base!$B$29))/(1+$A$27/100)^DCF_Base!$L$4+Assumptions!$B$5-Assumptions!$B$4)/Assumptions!$B$3*Assumptions!$B$10</f>
        <v>5.44260382442363</v>
      </c>
      <c r="D27" s="0" t="n">
        <f aca="false">(SUMPRODUCT(DCF_Base!$C$19:$L$19/(1+$A$27/100)^DCF_Base!$C$4:$L$4)+MAX(0,MIN(IF($A$27&gt;$D$23,DCF_Base!$L$19*(1+$D$23/100)/(($A$27-$D$23)/100),DCF_Base!$L$19*DCF_Base!$B$29),DCF_Base!$L$19*DCF_Base!$B$29))/(1+$A$27/100)^DCF_Base!$L$4+Assumptions!$B$5-Assumptions!$B$4)/Assumptions!$B$3*Assumptions!$B$10</f>
        <v>5.57276146334385</v>
      </c>
      <c r="E27" s="0" t="n">
        <f aca="false">(SUMPRODUCT(DCF_Base!$C$19:$L$19/(1+$A$27/100)^DCF_Base!$C$4:$L$4)+MAX(0,MIN(IF($A$27&gt;$E$23,DCF_Base!$L$19*(1+$E$23/100)/(($A$27-$E$23)/100),DCF_Base!$L$19*DCF_Base!$B$29),DCF_Base!$L$19*DCF_Base!$B$29))/(1+$A$27/100)^DCF_Base!$L$4+Assumptions!$B$5-Assumptions!$B$4)/Assumptions!$B$3*Assumptions!$B$10</f>
        <v>5.71738106214411</v>
      </c>
      <c r="F27" s="0" t="n">
        <f aca="false">(SUMPRODUCT(DCF_Base!$C$19:$L$19/(1+$A$27/100)^DCF_Base!$C$4:$L$4)+MAX(0,MIN(IF($A$27&gt;$F$23,DCF_Base!$L$19*(1+$F$23/100)/(($A$27-$F$23)/100),DCF_Base!$L$19*DCF_Base!$B$29),DCF_Base!$L$19*DCF_Base!$B$29))/(1+$A$27/100)^DCF_Base!$L$4+Assumptions!$B$5-Assumptions!$B$4)/Assumptions!$B$3*Assumptions!$B$10</f>
        <v>5.85292140362058</v>
      </c>
    </row>
    <row r="28" customFormat="false" ht="15" hidden="false" customHeight="false" outlineLevel="0" collapsed="false">
      <c r="A28" s="3" t="n">
        <v>12.5</v>
      </c>
      <c r="B28" s="0" t="n">
        <f aca="false">(SUMPRODUCT(DCF_Base!$C$19:$L$19/(1+$A$28/100)^DCF_Base!$C$4:$L$4)+MAX(0,MIN(IF($A$28&gt;$B$23,DCF_Base!$L$19*(1+$B$23/100)/(($A$28-$B$23)/100),DCF_Base!$L$19*DCF_Base!$B$29),DCF_Base!$L$19*DCF_Base!$B$29))/(1+$A$28/100)^DCF_Base!$L$4+Assumptions!$B$5-Assumptions!$B$4)/Assumptions!$B$3*Assumptions!$B$10</f>
        <v>4.83647596907994</v>
      </c>
      <c r="C28" s="0" t="n">
        <f aca="false">(SUMPRODUCT(DCF_Base!$C$19:$L$19/(1+$A$28/100)^DCF_Base!$C$4:$L$4)+MAX(0,MIN(IF($A$28&gt;$C$23,DCF_Base!$L$19*(1+$C$23/100)/(($A$28-$C$23)/100),DCF_Base!$L$19*DCF_Base!$B$29),DCF_Base!$L$19*DCF_Base!$B$29))/(1+$A$28/100)^DCF_Base!$L$4+Assumptions!$B$5-Assumptions!$B$4)/Assumptions!$B$3*Assumptions!$B$10</f>
        <v>4.92667541007491</v>
      </c>
      <c r="D28" s="0" t="n">
        <f aca="false">(SUMPRODUCT(DCF_Base!$C$19:$L$19/(1+$A$28/100)^DCF_Base!$C$4:$L$4)+MAX(0,MIN(IF($A$28&gt;$D$23,DCF_Base!$L$19*(1+$D$23/100)/(($A$28-$D$23)/100),DCF_Base!$L$19*DCF_Base!$B$29),DCF_Base!$L$19*DCF_Base!$B$29))/(1+$A$28/100)^DCF_Base!$L$4+Assumptions!$B$5-Assumptions!$B$4)/Assumptions!$B$3*Assumptions!$B$10</f>
        <v>5.02546527402178</v>
      </c>
      <c r="E28" s="0" t="n">
        <f aca="false">(SUMPRODUCT(DCF_Base!$C$19:$L$19/(1+$A$28/100)^DCF_Base!$C$4:$L$4)+MAX(0,MIN(IF($A$28&gt;$E$23,DCF_Base!$L$19*(1+$E$23/100)/(($A$28-$E$23)/100),DCF_Base!$L$19*DCF_Base!$B$29),DCF_Base!$L$19*DCF_Base!$B$29))/(1+$A$28/100)^DCF_Base!$L$4+Assumptions!$B$5-Assumptions!$B$4)/Assumptions!$B$3*Assumptions!$B$10</f>
        <v>5.13413412436334</v>
      </c>
      <c r="F28" s="0" t="n">
        <f aca="false">(SUMPRODUCT(DCF_Base!$C$19:$L$19/(1+$A$28/100)^DCF_Base!$C$4:$L$4)+MAX(0,MIN(IF($A$28&gt;$F$23,DCF_Base!$L$19*(1+$F$23/100)/(($A$28-$F$23)/100),DCF_Base!$L$19*DCF_Base!$B$29),DCF_Base!$L$19*DCF_Base!$B$29))/(1+$A$28/100)^DCF_Base!$L$4+Assumptions!$B$5-Assumptions!$B$4)/Assumptions!$B$3*Assumptions!$B$10</f>
        <v>5.25424180105664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2026-09-23T02:53:59Z</dcterms:created>
  <dc:creator>openpyxl</dc:creator>
  <dc:description/>
  <dc:language>en-NZ</dc:language>
  <cp:lastModifiedBy/>
  <dcterms:modified xsi:type="dcterms:W3CDTF">2026-09-23T02:53:59Z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