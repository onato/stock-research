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odel_Info" sheetId="1" state="visible" r:id="rId1"/>
    <sheet xmlns:r="http://schemas.openxmlformats.org/officeDocument/2006/relationships" name="Actuals" sheetId="2" state="visible" r:id="rId2"/>
    <sheet xmlns:r="http://schemas.openxmlformats.org/officeDocument/2006/relationships" name="Mid_Cycle" sheetId="3" state="visible" r:id="rId3"/>
    <sheet xmlns:r="http://schemas.openxmlformats.org/officeDocument/2006/relationships" name="Assumptions" sheetId="4" state="visible" r:id="rId4"/>
    <sheet xmlns:r="http://schemas.openxmlformats.org/officeDocument/2006/relationships" name="DCF_Bear" sheetId="5" state="visible" r:id="rId5"/>
    <sheet xmlns:r="http://schemas.openxmlformats.org/officeDocument/2006/relationships" name="DCF_Base" sheetId="6" state="visible" r:id="rId6"/>
    <sheet xmlns:r="http://schemas.openxmlformats.org/officeDocument/2006/relationships" name="DCF_Bull" sheetId="7" state="visible" r:id="rId7"/>
    <sheet xmlns:r="http://schemas.openxmlformats.org/officeDocument/2006/relationships" name="FCF_Quality" sheetId="8" state="visible" r:id="rId8"/>
    <sheet xmlns:r="http://schemas.openxmlformats.org/officeDocument/2006/relationships" name="Valuation" sheetId="9" state="visible" r:id="rId9"/>
    <sheet xmlns:r="http://schemas.openxmlformats.org/officeDocument/2006/relationships" name="Sanity_Check" sheetId="10" state="visible" r:id="rId10"/>
  </sheets>
  <definedNames/>
  <calcPr calcId="124519" fullCalcOnLoad="1"/>
</workbook>
</file>

<file path=xl/styles.xml><?xml version="1.0" encoding="utf-8"?>
<styleSheet xmlns="http://schemas.openxmlformats.org/spreadsheetml/2006/main">
  <numFmts count="1">
    <numFmt numFmtId="164" formatCode="0.0%"/>
  </numFmts>
  <fonts count="6">
    <font>
      <name val="Calibri"/>
      <family val="2"/>
      <color theme="1"/>
      <sz val="11"/>
      <scheme val="minor"/>
    </font>
    <font>
      <b val="1"/>
      <sz val="14"/>
    </font>
    <font>
      <b val="1"/>
    </font>
    <font>
      <b val="1"/>
      <color rgb="000000CC"/>
    </font>
    <font>
      <b val="1"/>
      <sz val="12"/>
    </font>
    <font>
      <color rgb="00007700"/>
    </font>
  </fonts>
  <fills count="5">
    <fill>
      <patternFill/>
    </fill>
    <fill>
      <patternFill patternType="gray125"/>
    </fill>
    <fill>
      <patternFill patternType="solid">
        <fgColor rgb="00DDDDDD"/>
      </patternFill>
    </fill>
    <fill>
      <patternFill patternType="solid">
        <fgColor rgb="00C6EFCE"/>
      </patternFill>
    </fill>
    <fill>
      <patternFill patternType="solid">
        <fgColor rgb="00FFF2CC"/>
      </patternFill>
    </fill>
  </fills>
  <borders count="1">
    <border>
      <left/>
      <right/>
      <top/>
      <bottom/>
      <diagonal/>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pivotButton="0" quotePrefix="0" xfId="0"/>
    <xf numFmtId="0" fontId="2" fillId="2" borderId="0" pivotButton="0" quotePrefix="0" xfId="0"/>
    <xf numFmtId="0" fontId="3" fillId="0" borderId="0" pivotButton="0" quotePrefix="0" xfId="0"/>
    <xf numFmtId="0" fontId="2" fillId="3" borderId="0" pivotButton="0" quotePrefix="0" xfId="0"/>
    <xf numFmtId="0" fontId="3" fillId="4" borderId="0" pivotButton="0" quotePrefix="0" xfId="0"/>
    <xf numFmtId="0" fontId="0" fillId="0" borderId="0" applyAlignment="1" pivotButton="0" quotePrefix="0" xfId="0">
      <alignment vertical="top" wrapText="1"/>
    </xf>
    <xf numFmtId="0" fontId="4" fillId="0" borderId="0" pivotButton="0" quotePrefix="0" xfId="0"/>
    <xf numFmtId="164" fontId="3" fillId="4" borderId="0" pivotButton="0" quotePrefix="0" xfId="0"/>
    <xf numFmtId="10" fontId="3" fillId="4" borderId="0" pivotButton="0" quotePrefix="0" xfId="0"/>
    <xf numFmtId="164" fontId="0" fillId="0" borderId="0" pivotButton="0" quotePrefix="0" xfId="0"/>
    <xf numFmtId="0" fontId="0" fillId="0" borderId="0" applyAlignment="1" pivotButton="0" quotePrefix="0" xfId="0">
      <alignment wrapText="1"/>
    </xf>
    <xf numFmtId="0" fontId="5" fillId="0" borderId="0" pivotButton="0" quotePrefix="0" xfId="0"/>
    <xf numFmtId="164" fontId="5" fillId="0"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44" customWidth="1" min="1" max="1"/>
    <col width="96" customWidth="1" min="2" max="2"/>
  </cols>
  <sheetData>
    <row r="1">
      <c r="A1" s="1" t="inlineStr">
        <is>
          <t>SKC.NZ - SkyCity Entertainment Group - DCF Model</t>
        </is>
      </c>
    </row>
    <row r="3">
      <c r="A3" s="2" t="inlineStr">
        <is>
          <t>Version</t>
        </is>
      </c>
      <c r="B3" t="inlineStr">
        <is>
          <t>1.0 - initial build. Supersedes nothing; no prior SKC.NZ_DCF.json existed.</t>
        </is>
      </c>
    </row>
    <row r="4">
      <c r="A4" s="2" t="inlineStr">
        <is>
          <t>Built by</t>
        </is>
      </c>
      <c r="B4" t="inlineStr">
        <is>
          <t>dcf-analyst agent (Claude Opus 5), 2026-08-28, at the user request to value SKC.NZ.</t>
        </is>
      </c>
    </row>
    <row r="5">
      <c r="A5" s="2" t="inlineStr">
        <is>
          <t>Model</t>
        </is>
      </c>
      <c r="B5" t="inlineStr">
        <is>
          <t>Owner-FCF DCF, 10-year explicit horizon, unlevered, 3 scenarios probability-weighted, plus a non-operating asset bridge and a book-value cross-check.</t>
        </is>
      </c>
    </row>
    <row r="6">
      <c r="A6" s="2" t="inlineStr">
        <is>
          <t>Currency / units</t>
        </is>
      </c>
      <c r="B6" t="inlineStr">
        <is>
          <t>NZD, millions. Quote and financials are both NZD - no currency layer.</t>
        </is>
      </c>
    </row>
    <row r="7">
      <c r="A7" s="2" t="inlineStr">
        <is>
          <t>Price anchor</t>
        </is>
      </c>
      <c r="B7" t="inlineStr">
        <is>
          <t>NZ$0.67, Yahoo NZX regular close 2026-08-28T04:59:59Z. 52-week range 0.46-0.99. Figures go stale - refresh before use.</t>
        </is>
      </c>
    </row>
    <row r="8">
      <c r="A8" s="2" t="inlineStr">
        <is>
          <t>Balance sheet anchor</t>
        </is>
      </c>
      <c r="B8" t="inlineStr">
        <is>
          <t>30 June 2026 (FY2026 annual report).</t>
        </is>
      </c>
    </row>
    <row r="9">
      <c r="A9" s="2" t="inlineStr">
        <is>
          <t>Share count</t>
        </is>
      </c>
      <c r="B9" t="inlineStr">
        <is>
          <t>1,103,055,047 ACTUAL shares on issue at 1 Aug 2026. NOT the 1,037,141,618 FY2026 weighted average (understates by 6.4%).</t>
        </is>
      </c>
    </row>
    <row r="10">
      <c r="A10" s="2" t="inlineStr">
        <is>
          <t>Guidance vintage</t>
        </is>
      </c>
      <c r="B10" t="inlineStr">
        <is>
          <t>FY2026 annual result, 20-21 August 2026. FY27 capex guidance $80-100m; cost-out $30m FY27 -&gt; $70m FY28; net debt/EBITDA target &lt;2.0x.</t>
        </is>
      </c>
    </row>
    <row r="11">
      <c r="A11" s="2" t="inlineStr">
        <is>
          <t>Lease treatment</t>
        </is>
      </c>
      <c r="B11" t="inlineStr">
        <is>
          <t>Treatment A - leases are DEBT. Lease principal NOT deducted from flows; lease liabilities 154.228 ARE in net debt. Charged once.</t>
        </is>
      </c>
    </row>
    <row r="12">
      <c r="A12" s="2" t="inlineStr">
        <is>
          <t>Interest</t>
        </is>
      </c>
      <c r="B12" t="inlineStr">
        <is>
          <t>SkyCity reports interest in FINANCING, not operating. The model is therefore UNLEVERED: interest is not in the flows, debt is deducted in the bridge.</t>
        </is>
      </c>
    </row>
    <row r="13">
      <c r="A13" s="2" t="inlineStr">
        <is>
          <t>WACC</t>
        </is>
      </c>
      <c r="B13" t="inlineStr">
        <is>
          <t>11.5% NZD. Rf 4.3% + beta 1.30 x ERP 6.0% = 12.1% base CoE, plus 1.5pp regulatory, 0.8pp illiquidity, 0.7pp leverage. Same WACC in all scenarios (risk charged once).</t>
        </is>
      </c>
    </row>
    <row r="14">
      <c r="A14" s="2" t="inlineStr">
        <is>
          <t>Mid-cycle base</t>
        </is>
      </c>
      <c r="B14" t="inlineStr">
        <is>
          <t>Clean FY2026 EBITDA of 152.6, NOT reported 120.5 and NOT company underlying 181.6. See the Mid_Cycle tab.</t>
        </is>
      </c>
    </row>
    <row r="15">
      <c r="A15" s="2" t="inlineStr">
        <is>
          <t>Scenario judgment</t>
        </is>
      </c>
      <c r="B15" t="inlineStr">
        <is>
          <t>Driver paths set by the dcf-analyst agent on 2026-08-28 from the FY2026 annual report, results presentation and Analysis.json.</t>
        </is>
      </c>
    </row>
    <row r="16">
      <c r="A16" s="2" t="inlineStr">
        <is>
          <t>Takeover</t>
        </is>
      </c>
      <c r="B16" t="inlineStr">
        <is>
          <t>Two non-binding bids (Oaktree 0.70, unnamed 0.75) rejected May 2026, disclosed 25 Aug 2026. NOT deal-pinned; expressed via bull case and weights.</t>
        </is>
      </c>
    </row>
    <row r="17">
      <c r="A17" s="2" t="inlineStr">
        <is>
          <t>Refresh after next print</t>
        </is>
      </c>
      <c r="B17" t="inlineStr">
        <is>
          <t>Price, net debt, shares on issue, FY27 EBITDA vs the cost-out target, asset-sale completion, and whether a binding offer emerges.</t>
        </is>
      </c>
    </row>
    <row r="18">
      <c r="A18" s="2" t="inlineStr">
        <is>
          <t>Colour legend</t>
        </is>
      </c>
      <c r="B18" t="inlineStr">
        <is>
          <t>Blue = hardcoded input. Yellow fill = key lever. Black = formula. Green = cross-sheet link.</t>
        </is>
      </c>
    </row>
    <row r="19">
      <c r="A19" s="2" t="inlineStr">
        <is>
          <t>Caution</t>
        </is>
      </c>
      <c r="B19" t="inlineStr">
        <is>
          <t>All figures go stale. Re-verify the price, balance sheet and share count before relying on this workbook.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4"/>
  <sheetViews>
    <sheetView workbookViewId="0">
      <selection activeCell="A1" sqref="A1"/>
    </sheetView>
  </sheetViews>
  <sheetFormatPr baseColWidth="8" defaultRowHeight="15"/>
  <cols>
    <col width="46"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s>
  <sheetData>
    <row r="1">
      <c r="A1" s="3" t="inlineStr">
        <is>
          <t>Reported history (NZD m) - source: SKC.NZ_Metrics.csv, from the annual reports</t>
        </is>
      </c>
    </row>
    <row r="2">
      <c r="B2" s="2" t="inlineStr">
        <is>
          <t>FY2016</t>
        </is>
      </c>
      <c r="C2" s="2" t="inlineStr">
        <is>
          <t>FY2017</t>
        </is>
      </c>
      <c r="D2" s="2" t="inlineStr">
        <is>
          <t>FY2018</t>
        </is>
      </c>
      <c r="E2" s="2" t="inlineStr">
        <is>
          <t>FY2019</t>
        </is>
      </c>
      <c r="F2" s="2" t="inlineStr">
        <is>
          <t>FY2020</t>
        </is>
      </c>
      <c r="G2" s="2" t="inlineStr">
        <is>
          <t>FY2021</t>
        </is>
      </c>
      <c r="H2" s="2" t="inlineStr">
        <is>
          <t>FY2022</t>
        </is>
      </c>
      <c r="I2" s="2" t="inlineStr">
        <is>
          <t>FY2023</t>
        </is>
      </c>
      <c r="J2" s="2" t="inlineStr">
        <is>
          <t>FY2024</t>
        </is>
      </c>
      <c r="K2" s="2" t="inlineStr">
        <is>
          <t>FY2025</t>
        </is>
      </c>
      <c r="L2" s="2" t="inlineStr">
        <is>
          <t>FY2026</t>
        </is>
      </c>
    </row>
    <row r="3">
      <c r="A3" s="2" t="inlineStr">
        <is>
          <t>Revenue</t>
        </is>
      </c>
      <c r="B3" s="4" t="n">
        <v>998.7</v>
      </c>
      <c r="C3" s="4" t="n">
        <v>927.3</v>
      </c>
      <c r="D3" s="4" t="n">
        <v>994.6</v>
      </c>
      <c r="E3" s="4" t="n">
        <v>802.3</v>
      </c>
      <c r="F3" s="4" t="n">
        <v>641.7</v>
      </c>
      <c r="G3" s="4" t="n">
        <v>713.2</v>
      </c>
      <c r="H3" s="4" t="n">
        <v>553.5</v>
      </c>
      <c r="I3" s="4" t="n">
        <v>855.8</v>
      </c>
      <c r="J3" s="4" t="n">
        <v>861</v>
      </c>
      <c r="K3" s="4" t="n">
        <v>821.3</v>
      </c>
      <c r="L3" s="4" t="n">
        <v>813.651</v>
      </c>
    </row>
    <row r="4">
      <c r="A4" s="2" t="inlineStr">
        <is>
          <t>EBITDA (reported)</t>
        </is>
      </c>
      <c r="B4" s="4" t="n">
        <v>333.9</v>
      </c>
      <c r="C4" s="4" t="n">
        <v>307</v>
      </c>
      <c r="D4" s="4" t="n">
        <v>338.7</v>
      </c>
      <c r="E4" s="4" t="n">
        <v>297.8</v>
      </c>
      <c r="F4" s="4" t="n">
        <v>348.3</v>
      </c>
      <c r="G4" s="4" t="n">
        <v>317.3</v>
      </c>
      <c r="H4" s="4" t="n">
        <v>96.90000000000001</v>
      </c>
      <c r="I4" s="4" t="n">
        <v>165.9</v>
      </c>
      <c r="J4" s="4" t="n">
        <v>138.2</v>
      </c>
      <c r="K4" s="4" t="n">
        <v>216.1</v>
      </c>
      <c r="L4" s="4" t="n">
        <v>120.474</v>
      </c>
    </row>
    <row r="5">
      <c r="A5" s="2" t="inlineStr">
        <is>
          <t>EBITDA margin %</t>
        </is>
      </c>
      <c r="B5" s="4" t="n">
        <v>33.4</v>
      </c>
      <c r="C5" s="4" t="n">
        <v>33.1</v>
      </c>
      <c r="D5" s="4" t="n">
        <v>34.1</v>
      </c>
      <c r="E5" s="4" t="n">
        <v>37.1</v>
      </c>
      <c r="F5" s="4" t="n">
        <v>54.3</v>
      </c>
      <c r="G5" s="4" t="n">
        <v>44.5</v>
      </c>
      <c r="H5" s="4" t="n">
        <v>17.5</v>
      </c>
      <c r="I5" s="4" t="n">
        <v>19.4</v>
      </c>
      <c r="J5" s="4" t="n">
        <v>16</v>
      </c>
      <c r="K5" s="4" t="n">
        <v>26.3</v>
      </c>
      <c r="L5" s="4" t="n">
        <v>14.8</v>
      </c>
    </row>
    <row r="6">
      <c r="A6" s="2" t="inlineStr">
        <is>
          <t>Operating cash flow</t>
        </is>
      </c>
      <c r="B6" s="4" t="n">
        <v>305.2</v>
      </c>
      <c r="C6" s="4" t="n">
        <v>279.5</v>
      </c>
      <c r="D6" s="4" t="n">
        <v>289.1</v>
      </c>
      <c r="E6" s="4" t="n">
        <v>252.3</v>
      </c>
      <c r="F6" s="4" t="n">
        <v>120.2</v>
      </c>
      <c r="G6" s="4" t="n">
        <v>288.2</v>
      </c>
      <c r="H6" s="4" t="n">
        <v>91.09999999999999</v>
      </c>
      <c r="I6" s="4" t="n">
        <v>280.1</v>
      </c>
      <c r="J6" s="4" t="n">
        <v>203.6</v>
      </c>
      <c r="K6" s="4" t="n">
        <v>45.2</v>
      </c>
      <c r="L6" s="4" t="n">
        <v>121.676</v>
      </c>
    </row>
    <row r="7">
      <c r="A7" s="2" t="inlineStr">
        <is>
          <t>Capex</t>
        </is>
      </c>
      <c r="B7" s="4" t="n">
        <v>156.5</v>
      </c>
      <c r="C7" s="4" t="n">
        <v>158.6</v>
      </c>
      <c r="D7" s="4" t="n">
        <v>215.1</v>
      </c>
      <c r="E7" s="4" t="n">
        <v>332.8</v>
      </c>
      <c r="F7" s="4" t="n">
        <v>345.1</v>
      </c>
      <c r="G7" s="4" t="n">
        <v>177.5</v>
      </c>
      <c r="H7" s="4" t="n">
        <v>111.5</v>
      </c>
      <c r="I7" s="4" t="n">
        <v>262.9</v>
      </c>
      <c r="J7" s="4" t="n">
        <v>310.7</v>
      </c>
      <c r="K7" s="4" t="n">
        <v>163.8</v>
      </c>
      <c r="L7" s="4" t="n">
        <v>113.627</v>
      </c>
    </row>
    <row r="8">
      <c r="A8" s="2" t="inlineStr">
        <is>
          <t>Free cash flow</t>
        </is>
      </c>
      <c r="B8" s="4" t="n">
        <v>148.6</v>
      </c>
      <c r="C8" s="4" t="n">
        <v>120.9</v>
      </c>
      <c r="D8" s="4" t="n">
        <v>74</v>
      </c>
      <c r="E8" s="4" t="n">
        <v>-80.5</v>
      </c>
      <c r="F8" s="4" t="n">
        <v>-225</v>
      </c>
      <c r="G8" s="4" t="n">
        <v>110.7</v>
      </c>
      <c r="H8" s="4" t="n">
        <v>-20.4</v>
      </c>
      <c r="I8" s="4" t="n">
        <v>17.2</v>
      </c>
      <c r="J8" s="4" t="n">
        <v>-107.2</v>
      </c>
      <c r="K8" s="4" t="n">
        <v>-118.7</v>
      </c>
      <c r="L8" s="4" t="n">
        <v>8.048999999999999</v>
      </c>
    </row>
    <row r="9">
      <c r="A9" s="2" t="inlineStr">
        <is>
          <t>Shareholders equity</t>
        </is>
      </c>
      <c r="B9" s="4" t="n">
        <v>1113</v>
      </c>
      <c r="C9" s="4" t="n">
        <v>1070.9</v>
      </c>
      <c r="D9" s="4" t="n">
        <v>1158</v>
      </c>
      <c r="E9" s="4" t="n">
        <v>1156</v>
      </c>
      <c r="F9" s="4" t="n">
        <v>1434.6</v>
      </c>
      <c r="G9" s="4" t="n">
        <v>1651</v>
      </c>
      <c r="H9" s="4" t="n">
        <v>1571.3</v>
      </c>
      <c r="I9" s="4" t="n">
        <v>1530.2</v>
      </c>
      <c r="J9" s="4" t="n">
        <v>1303.9</v>
      </c>
      <c r="K9" s="4" t="n">
        <v>1330.4</v>
      </c>
      <c r="L9" s="4" t="n">
        <v>1545.034</v>
      </c>
    </row>
    <row r="10">
      <c r="A10" s="2" t="inlineStr">
        <is>
          <t>Total debt (incl leases)</t>
        </is>
      </c>
      <c r="B10" s="4" t="n">
        <v>427.1</v>
      </c>
      <c r="C10" s="4" t="n">
        <v>391.8</v>
      </c>
      <c r="D10" s="4" t="n">
        <v>508.5</v>
      </c>
      <c r="E10" s="4" t="n">
        <v>545</v>
      </c>
      <c r="F10" s="4" t="n">
        <v>637.9</v>
      </c>
      <c r="G10" s="4" t="n">
        <v>607.8</v>
      </c>
      <c r="H10" s="4" t="n">
        <v>650.5</v>
      </c>
      <c r="I10" s="4" t="n">
        <v>691.4</v>
      </c>
      <c r="J10" s="4" t="n">
        <v>730.9</v>
      </c>
      <c r="K10" s="4" t="n">
        <v>803.4</v>
      </c>
      <c r="L10" s="4" t="n">
        <v>719.336</v>
      </c>
    </row>
    <row r="11">
      <c r="A11" s="2" t="inlineStr">
        <is>
          <t>Cash</t>
        </is>
      </c>
      <c r="B11" s="4" t="n">
        <v>90.3</v>
      </c>
      <c r="C11" s="4" t="n">
        <v>56.7</v>
      </c>
      <c r="D11" s="4" t="n">
        <v>76</v>
      </c>
      <c r="E11" s="4" t="n">
        <v>41.6</v>
      </c>
      <c r="F11" s="4" t="n">
        <v>54.2</v>
      </c>
      <c r="G11" s="4" t="n">
        <v>49.9</v>
      </c>
      <c r="H11" s="4" t="n">
        <v>48.7</v>
      </c>
      <c r="I11" s="4" t="n">
        <v>245</v>
      </c>
      <c r="J11" s="4" t="n">
        <v>60.5</v>
      </c>
      <c r="K11" s="4" t="n">
        <v>51.5</v>
      </c>
      <c r="L11" s="4" t="n">
        <v>84.41500000000001</v>
      </c>
    </row>
    <row r="12">
      <c r="A12" s="2" t="inlineStr">
        <is>
          <t>Shares (m, period end)</t>
        </is>
      </c>
      <c r="B12" s="4" t="n">
        <v>598.5</v>
      </c>
      <c r="C12" s="4" t="n">
        <v>662.2</v>
      </c>
      <c r="D12" s="4" t="n">
        <v>669.1</v>
      </c>
      <c r="E12" s="4" t="n">
        <v>675.8</v>
      </c>
      <c r="F12" s="4" t="n">
        <v>664.9</v>
      </c>
      <c r="G12" s="4" t="n">
        <v>759.7</v>
      </c>
      <c r="H12" s="4" t="n">
        <v>757.5</v>
      </c>
      <c r="I12" s="4" t="n">
        <v>758.1</v>
      </c>
      <c r="J12" s="4" t="n">
        <v>758.7</v>
      </c>
      <c r="K12" s="4" t="n">
        <v>759.2</v>
      </c>
      <c r="L12" s="4" t="n">
        <v>1103.055</v>
      </c>
    </row>
    <row r="14">
      <c r="A14" s="3" t="inlineStr">
        <is>
          <t>Balance sheet and share count at 30 June 2026 / 1 August 2026</t>
        </is>
      </c>
    </row>
    <row r="15">
      <c r="A15" s="2" t="inlineStr">
        <is>
          <t>Borrowings (ex leases)</t>
        </is>
      </c>
      <c r="B15" s="4" t="n">
        <v>565.1079999999999</v>
      </c>
      <c r="D15" t="inlineStr">
        <is>
          <t>Total debt 719.336 less lease liabilities 154.228</t>
        </is>
      </c>
    </row>
    <row r="16">
      <c r="A16" s="2" t="inlineStr">
        <is>
          <t>Lease liabilities</t>
        </is>
      </c>
      <c r="B16" s="4" t="n">
        <v>154.228</v>
      </c>
      <c r="D16" t="inlineStr">
        <is>
          <t>FY2026 note 22; treated as DEBT (Treatment A)</t>
        </is>
      </c>
    </row>
    <row r="17">
      <c r="A17" s="2" t="inlineStr">
        <is>
          <t>Cash</t>
        </is>
      </c>
      <c r="B17" s="4" t="n">
        <v>84.41500000000001</v>
      </c>
      <c r="D17" t="inlineStr">
        <is>
          <t>FY2026 balance sheet</t>
        </is>
      </c>
    </row>
    <row r="18">
      <c r="A18" s="2" t="inlineStr">
        <is>
          <t>NET DEBT</t>
        </is>
      </c>
      <c r="B18" s="4" t="n">
        <v>634.921</v>
      </c>
      <c r="D18" t="inlineStr">
        <is>
          <t>565.108 + 154.228 - 84.415</t>
        </is>
      </c>
    </row>
    <row r="19">
      <c r="A19" s="2" t="inlineStr">
        <is>
          <t>Shares on issue</t>
        </is>
      </c>
      <c r="B19" s="4" t="n">
        <v>1103.055047</v>
      </c>
      <c r="D19" t="inlineStr">
        <is>
          <t>ACTUAL at 1 Aug 2026 - not the 1037.1m weighted average</t>
        </is>
      </c>
    </row>
    <row r="20">
      <c r="A20" s="2" t="inlineStr">
        <is>
          <t>Assets held for sale</t>
        </is>
      </c>
      <c r="B20" s="4" t="n">
        <v>74.056</v>
      </c>
      <c r="D20" t="inlineStr">
        <is>
          <t>99 Albert St / Victoria St, UNCONDITIONAL, settles Sep-2026</t>
        </is>
      </c>
    </row>
    <row r="21">
      <c r="A21" s="2" t="inlineStr">
        <is>
          <t>Investment properties</t>
        </is>
      </c>
      <c r="B21" s="4" t="n">
        <v>20.75</v>
      </c>
      <c r="D21" t="inlineStr">
        <is>
          <t>FY2026 note 18, at fair value</t>
        </is>
      </c>
    </row>
    <row r="22">
      <c r="A22" s="2" t="inlineStr">
        <is>
          <t>SBC expense</t>
        </is>
      </c>
      <c r="B22" s="4" t="n">
        <v>0.76</v>
      </c>
      <c r="D22" t="inlineStr">
        <is>
          <t>Note 29 - immaterial, 0.09% of revenue</t>
        </is>
      </c>
    </row>
    <row r="23">
      <c r="A23" s="2" t="inlineStr">
        <is>
          <t>Interest income</t>
        </is>
      </c>
      <c r="B23" s="4" t="n">
        <v>2.351</v>
      </c>
      <c r="D23" t="inlineStr">
        <is>
          <t>Note 8 - not stripped; company is net DEBT</t>
        </is>
      </c>
    </row>
    <row r="24">
      <c r="A24" s="2" t="inlineStr">
        <is>
          <t>Buyback cash</t>
        </is>
      </c>
      <c r="B24" s="4" t="n">
        <v>0</v>
      </c>
      <c r="D24" t="inlineStr">
        <is>
          <t>None. Dividend also suspended since FY2025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cols>
    <col width="56" customWidth="1" min="1" max="1"/>
    <col width="12" customWidth="1" min="2" max="2"/>
    <col width="88" customWidth="1" min="3" max="3"/>
  </cols>
  <sheetData>
    <row r="1">
      <c r="A1" s="3" t="inlineStr">
        <is>
          <t>Bridge from reported FY2026 EBITDA to the clean mid-cycle base</t>
        </is>
      </c>
    </row>
    <row r="2">
      <c r="A2" s="2" t="inlineStr">
        <is>
          <t>Reported FY2026 EBITDA</t>
        </is>
      </c>
      <c r="B2" s="4" t="n">
        <v>120.474</v>
      </c>
    </row>
    <row r="3">
      <c r="A3" t="inlineStr">
        <is>
          <t>add back: impairment_adelaide_cgu_non_cash</t>
        </is>
      </c>
      <c r="B3" s="4" t="n">
        <v>62.443</v>
      </c>
    </row>
    <row r="4">
      <c r="A4" t="inlineStr">
        <is>
          <t>add back: regulatory_penalty_provision_cbs</t>
        </is>
      </c>
      <c r="B4" s="4" t="n">
        <v>23.94</v>
      </c>
    </row>
    <row r="5">
      <c r="A5" t="inlineStr">
        <is>
          <t>add back: fair_value_loss_investment_property_non_cash</t>
        </is>
      </c>
      <c r="B5" s="4" t="n">
        <v>7.389</v>
      </c>
    </row>
    <row r="6">
      <c r="A6" t="inlineStr">
        <is>
          <t>strip out: fx_translation_reserve_release_non_cash</t>
        </is>
      </c>
      <c r="B6" s="4" t="n">
        <v>-56.197</v>
      </c>
    </row>
    <row r="7">
      <c r="A7" t="inlineStr">
        <is>
          <t>strip out: settlement_and_litigation_recoveries</t>
        </is>
      </c>
      <c r="B7" s="4" t="n">
        <v>-5.46</v>
      </c>
    </row>
    <row r="8">
      <c r="A8" s="2" t="inlineStr">
        <is>
          <t>CLEAN FY2026 EBITDA</t>
        </is>
      </c>
      <c r="B8" s="5">
        <f>SUM(B2:B7)</f>
        <v/>
      </c>
    </row>
    <row r="10">
      <c r="A10" s="2" t="inlineStr">
        <is>
          <t>Company-stated underlying EBITDA</t>
        </is>
      </c>
      <c r="B10" s="4" t="n">
        <v>181.6</v>
      </c>
      <c r="C10" t="inlineStr">
        <is>
          <t>Company additionally adds back 23.5m of B3 Adelaide costs. This model does not: the annual report states B3 costs INCREASE in FY27, they were 17.6m in FY25 and 23.5m in FY26, and the programme completes only in early FY28.</t>
        </is>
      </c>
    </row>
    <row r="12">
      <c r="A12" s="2" t="inlineStr">
        <is>
          <t>Critical finding</t>
        </is>
      </c>
      <c r="C12" t="inlineStr">
        <is>
          <t>The 56.197 foreign currency translation reserve release is a PURE NON-CASH accounting reclassification from equity to P&amp;L on deregistration of Australian and Hong Kong subsidiaries (NZ IAS 21). It creates no cash and no value, yet it sits INSIDE reported EBITDA of 120.5. Adding back only the impairment/penalty/FV-loss without stripping this gain would overstate the clean base by 56.2m.</t>
        </is>
      </c>
    </row>
    <row r="14">
      <c r="A14" s="2" t="inlineStr">
        <is>
          <t>Bottom-up mid-cycle bridge (informs the margin path)</t>
        </is>
      </c>
    </row>
    <row r="15">
      <c r="A15" t="inlineStr">
        <is>
          <t>Clean FY2026 EBITDA</t>
        </is>
      </c>
      <c r="B15" s="4" t="n">
        <v>152.6</v>
      </c>
      <c r="C15" t="inlineStr">
        <is>
          <t>starting point</t>
        </is>
      </c>
    </row>
    <row r="16">
      <c r="A16" t="inlineStr">
        <is>
          <t>Cost-out programme, annualised FY28 target</t>
        </is>
      </c>
      <c r="B16" s="4" t="n">
        <v>70</v>
      </c>
      <c r="C16" t="inlineStr">
        <is>
          <t>management target</t>
        </is>
      </c>
    </row>
    <row r="17">
      <c r="A17" t="inlineStr">
        <is>
          <t>B3 Adelaide costs roll off after early FY28</t>
        </is>
      </c>
      <c r="B17" s="4" t="n">
        <v>23.5</v>
      </c>
      <c r="C17" t="inlineStr">
        <is>
          <t>genuinely ends</t>
        </is>
      </c>
    </row>
    <row r="18">
      <c r="A18" t="inlineStr">
        <is>
          <t>Execution haircut applied to the above</t>
        </is>
      </c>
      <c r="B18" s="4" t="n">
        <v>-42.1</v>
      </c>
      <c r="C18" t="inlineStr">
        <is>
          <t>45% haircut for slippage</t>
        </is>
      </c>
    </row>
    <row r="19">
      <c r="A19" t="inlineStr">
        <is>
          <t>NZICC annualising (opened Feb-2026)</t>
        </is>
      </c>
      <c r="B19" s="4" t="n">
        <v>6</v>
      </c>
      <c r="C19" t="inlineStr">
        <is>
          <t>10m gross, 60% credited</t>
        </is>
      </c>
    </row>
    <row r="20">
      <c r="A20" t="inlineStr">
        <is>
          <t>Carded play recovery</t>
        </is>
      </c>
      <c r="B20" s="4" t="n">
        <v>0</v>
      </c>
      <c r="C20" t="inlineStr">
        <is>
          <t>assumed ZERO - permanent reset</t>
        </is>
      </c>
    </row>
    <row r="21">
      <c r="A21" t="inlineStr">
        <is>
          <t>Consumer recovery</t>
        </is>
      </c>
      <c r="B21" s="4" t="n">
        <v>0</v>
      </c>
      <c r="C21" t="inlineStr">
        <is>
          <t>assumed ZERO in base</t>
        </is>
      </c>
    </row>
    <row r="22">
      <c r="A22" s="2" t="inlineStr">
        <is>
          <t>Mid-cycle EBITDA implied</t>
        </is>
      </c>
      <c r="B22" s="5">
        <f>SUM(B15:B21)</f>
        <v/>
      </c>
      <c r="C22" t="inlineStr">
        <is>
          <t>The base-case margin path reaches roughly this level by year 4 (24% of revenue).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cols>
    <col width="40" customWidth="1" min="1" max="1"/>
    <col width="15" customWidth="1" min="2" max="2"/>
    <col width="15" customWidth="1" min="3" max="3"/>
    <col width="15" customWidth="1" min="4" max="4"/>
    <col width="15" customWidth="1" min="5" max="5"/>
    <col width="72" customWidth="1" min="6" max="6"/>
  </cols>
  <sheetData>
    <row r="1">
      <c r="A1" s="3" t="inlineStr">
        <is>
          <t>Global assumptions</t>
        </is>
      </c>
    </row>
    <row r="2">
      <c r="A2" s="2" t="inlineStr">
        <is>
          <t>WACC (all scenarios)</t>
        </is>
      </c>
      <c r="B2" s="6" t="n">
        <v>0.115</v>
      </c>
      <c r="F2" t="inlineStr">
        <is>
          <t>NZD-built. Risk charged ONCE - same rate in every scenario.</t>
        </is>
      </c>
    </row>
    <row r="3">
      <c r="A3" s="2" t="inlineStr">
        <is>
          <t>D&amp;A % of revenue</t>
        </is>
      </c>
      <c r="B3" s="6" t="n">
        <v>0.129</v>
      </c>
      <c r="F3" t="inlineStr">
        <is>
          <t>FY2026 D&amp;A 96.015 + RoU 9.044 = 105.1 on revenue 813.7</t>
        </is>
      </c>
    </row>
    <row r="4">
      <c r="A4" s="2" t="inlineStr">
        <is>
          <t>Net debt</t>
        </is>
      </c>
      <c r="B4" s="6" t="n">
        <v>634.921</v>
      </c>
      <c r="F4" t="inlineStr">
        <is>
          <t>Borrowings 565.108 + leases 154.228 - cash 84.415</t>
        </is>
      </c>
    </row>
    <row r="5">
      <c r="A5" s="2" t="inlineStr">
        <is>
          <t>Shares on issue (m)</t>
        </is>
      </c>
      <c r="B5" s="6" t="n">
        <v>1103.055047</v>
      </c>
      <c r="F5" t="inlineStr">
        <is>
          <t>ACTUAL at 1 Aug 2026</t>
        </is>
      </c>
    </row>
    <row r="6">
      <c r="A6" s="2" t="inlineStr">
        <is>
          <t>Current price</t>
        </is>
      </c>
      <c r="B6" s="6" t="n">
        <v>0.67</v>
      </c>
      <c r="F6" t="inlineStr">
        <is>
          <t>Yahoo NZX close 2026-08-28</t>
        </is>
      </c>
    </row>
    <row r="7">
      <c r="A7" s="2" t="inlineStr">
        <is>
          <t>Book value per share</t>
        </is>
      </c>
      <c r="B7" s="6" t="n">
        <v>1.401</v>
      </c>
      <c r="F7" t="inlineStr">
        <is>
          <t>Equity 1545.034 / 1103.055m shares</t>
        </is>
      </c>
    </row>
    <row r="8">
      <c r="A8" s="2" t="inlineStr">
        <is>
          <t>Clean FY2026 EBITDA</t>
        </is>
      </c>
      <c r="B8" s="6" t="n">
        <v>152.6</v>
      </c>
      <c r="F8" t="inlineStr">
        <is>
          <t>See the Mid_Cycle tab</t>
        </is>
      </c>
    </row>
    <row r="9">
      <c r="A9" s="2" t="inlineStr">
        <is>
          <t>Hurdle rate for entry price</t>
        </is>
      </c>
      <c r="B9" s="6" t="n">
        <v>0.15</v>
      </c>
      <c r="F9" t="inlineStr">
        <is>
          <t>House standard</t>
        </is>
      </c>
    </row>
    <row r="11">
      <c r="A11" s="3" t="inlineStr">
        <is>
          <t>Per-scenario assumptions</t>
        </is>
      </c>
    </row>
    <row r="12">
      <c r="A12" s="2" t="inlineStr"/>
      <c r="B12" s="2" t="inlineStr">
        <is>
          <t>BEAR</t>
        </is>
      </c>
      <c r="C12" s="2" t="inlineStr">
        <is>
          <t>BASE</t>
        </is>
      </c>
      <c r="D12" s="2" t="inlineStr">
        <is>
          <t>BULL</t>
        </is>
      </c>
    </row>
    <row r="13">
      <c r="A13" s="2" t="inlineStr">
        <is>
          <t>Terminal growth</t>
        </is>
      </c>
      <c r="B13" s="6" t="n">
        <v>0.015</v>
      </c>
      <c r="C13" s="6" t="n">
        <v>0.025</v>
      </c>
      <c r="D13" s="6" t="n">
        <v>0.03</v>
      </c>
    </row>
    <row r="14">
      <c r="A14" s="2" t="inlineStr">
        <is>
          <t>Terminal FCF cap multiple</t>
        </is>
      </c>
      <c r="B14" s="6" t="n">
        <v>11</v>
      </c>
      <c r="C14" s="6" t="n">
        <v>14</v>
      </c>
      <c r="D14" s="6" t="n">
        <v>15</v>
      </c>
    </row>
    <row r="15">
      <c r="A15" s="2" t="inlineStr">
        <is>
          <t>Non-operating assets credited</t>
        </is>
      </c>
      <c r="B15" s="6" t="n">
        <v>60</v>
      </c>
      <c r="C15" s="6" t="n">
        <v>91.7</v>
      </c>
      <c r="D15" s="6" t="n">
        <v>200</v>
      </c>
    </row>
    <row r="16">
      <c r="A16" s="2" t="inlineStr">
        <is>
          <t>Probability weight</t>
        </is>
      </c>
      <c r="B16" s="6" t="n">
        <v>0.3</v>
      </c>
      <c r="C16" s="6" t="n">
        <v>0.45</v>
      </c>
      <c r="D16" s="6" t="n">
        <v>0.25</v>
      </c>
    </row>
    <row r="17">
      <c r="A17" s="2" t="inlineStr">
        <is>
          <t>Weights sum (must be 1.0)</t>
        </is>
      </c>
      <c r="B17" s="2">
        <f>SUM(B16:D16)</f>
        <v/>
      </c>
    </row>
    <row r="19">
      <c r="A19" s="3" t="inlineStr">
        <is>
          <t>Scenario narratives</t>
        </is>
      </c>
    </row>
    <row r="20" ht="76" customHeight="1">
      <c r="A20" s="2" t="inlineStr">
        <is>
          <t>BEAR</t>
        </is>
      </c>
      <c r="B20" s="7" t="inlineStr">
        <is>
          <t>Carded play proves a permanent reset and bites further; the cost-out programme slips against a rising compliance base; the Adelaide strategic review concludes in a further write-down; consumer weakness persists; the unsigned share of the asset-monetisation target does not complete, as the failed Auckland car park concession process already foreshadowed. No re-bid emerges and the price reverts toward the un-bid 0.46-0.60 range. Revenue declines before stabilising and the EBITDA margin holds near 19%.</t>
        </is>
      </c>
    </row>
    <row r="21" ht="76" customHeight="1">
      <c r="A21" s="2" t="inlineStr">
        <is>
          <t>BASE</t>
        </is>
      </c>
      <c r="B21" s="7" t="inlineStr">
        <is>
          <t>Cost-out delivers roughly half its $70m target after execution slippage; B3 Adelaide costs roll off from FY28; the NZICC annualises but converts visitation to precinct spend only gradually; carded play is NOT recovered and no consumer recovery is assumed. Revenue grows with inflation only, and the EBITDA margin recovers from 19.5% to a mature 24% - reaching the bottom-up mid-cycle level of roughly $211m by year 4, well short of the $330m the company earned pre-2019.</t>
        </is>
      </c>
    </row>
    <row r="22" ht="76" customHeight="1">
      <c r="A22" s="2" t="inlineStr">
        <is>
          <t>BULL</t>
        </is>
      </c>
      <c r="B22" s="7" t="inlineStr">
        <is>
          <t>The cost-out programme delivers in full, the NZICC drives genuine precinct-wide operating leverage, SkyCity wins an online casino licence at the 2027 auction, the consumer recovers, and the full $275-300m monetisation completes and takes net debt/EBITDA below 2.0x, reopening the dividend. A bidder returns with a binding offer at or above the rejected $0.75. Margin recovers to 28%, still below the 33-34% of FY2016-18.</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44"/>
  <sheetViews>
    <sheetView workbookViewId="0">
      <selection activeCell="A1" sqref="A1"/>
    </sheetView>
  </sheetViews>
  <sheetFormatPr baseColWidth="8" defaultRowHeight="15"/>
  <cols>
    <col width="40"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s>
  <sheetData>
    <row r="1">
      <c r="A1" s="8" t="inlineStr">
        <is>
          <t>SKC.NZ DCF - BEAR case</t>
        </is>
      </c>
    </row>
    <row r="2">
      <c r="A2" t="inlineStr">
        <is>
          <t>All rows are formulas except the blue driver rows 5, 7, 9, 14 and the FY0 revenue in B6.</t>
        </is>
      </c>
    </row>
    <row r="3">
      <c r="A3" s="2" t="inlineStr">
        <is>
          <t>Year</t>
        </is>
      </c>
      <c r="B3" s="2" t="inlineStr">
        <is>
          <t>FY2026A</t>
        </is>
      </c>
      <c r="C3" s="2" t="inlineStr">
        <is>
          <t>FY2027E</t>
        </is>
      </c>
      <c r="D3" s="2" t="inlineStr">
        <is>
          <t>FY2028E</t>
        </is>
      </c>
      <c r="E3" s="2" t="inlineStr">
        <is>
          <t>FY2029E</t>
        </is>
      </c>
      <c r="F3" s="2" t="inlineStr">
        <is>
          <t>FY2030E</t>
        </is>
      </c>
      <c r="G3" s="2" t="inlineStr">
        <is>
          <t>FY2031E</t>
        </is>
      </c>
      <c r="H3" s="2" t="inlineStr">
        <is>
          <t>FY2032E</t>
        </is>
      </c>
      <c r="I3" s="2" t="inlineStr">
        <is>
          <t>FY2033E</t>
        </is>
      </c>
      <c r="J3" s="2" t="inlineStr">
        <is>
          <t>FY2034E</t>
        </is>
      </c>
      <c r="K3" s="2" t="inlineStr">
        <is>
          <t>FY2035E</t>
        </is>
      </c>
      <c r="L3" s="2" t="inlineStr">
        <is>
          <t>FY2036E</t>
        </is>
      </c>
    </row>
    <row r="4">
      <c r="A4" t="inlineStr">
        <is>
          <t>Year index</t>
        </is>
      </c>
      <c r="B4" t="n">
        <v>0</v>
      </c>
      <c r="C4" t="n">
        <v>1</v>
      </c>
      <c r="D4" t="n">
        <v>2</v>
      </c>
      <c r="E4" t="n">
        <v>3</v>
      </c>
      <c r="F4" t="n">
        <v>4</v>
      </c>
      <c r="G4" t="n">
        <v>5</v>
      </c>
      <c r="H4" t="n">
        <v>6</v>
      </c>
      <c r="I4" t="n">
        <v>7</v>
      </c>
      <c r="J4" t="n">
        <v>8</v>
      </c>
      <c r="K4" t="n">
        <v>9</v>
      </c>
      <c r="L4" t="n">
        <v>10</v>
      </c>
    </row>
    <row r="5">
      <c r="A5" s="2" t="inlineStr">
        <is>
          <t>Revenue growth YoY</t>
        </is>
      </c>
      <c r="C5" s="9" t="n">
        <v>-0.03</v>
      </c>
      <c r="D5" s="9" t="n">
        <v>-0.015</v>
      </c>
      <c r="E5" s="9" t="n">
        <v>0</v>
      </c>
      <c r="F5" s="9" t="n">
        <v>0.01</v>
      </c>
      <c r="G5" s="9" t="n">
        <v>0.01</v>
      </c>
      <c r="H5" s="9" t="n">
        <v>0.015</v>
      </c>
      <c r="I5" s="9" t="n">
        <v>0.015</v>
      </c>
      <c r="J5" s="9" t="n">
        <v>0.015</v>
      </c>
      <c r="K5" s="9" t="n">
        <v>0.015</v>
      </c>
      <c r="L5" s="9" t="n">
        <v>0.015</v>
      </c>
    </row>
    <row r="6">
      <c r="A6" s="2" t="inlineStr">
        <is>
          <t>Revenue</t>
        </is>
      </c>
      <c r="B6" s="4" t="n">
        <v>813.651</v>
      </c>
      <c r="C6">
        <f>B6*(1+C5)</f>
        <v/>
      </c>
      <c r="D6">
        <f>C6*(1+D5)</f>
        <v/>
      </c>
      <c r="E6">
        <f>D6*(1+E5)</f>
        <v/>
      </c>
      <c r="F6">
        <f>E6*(1+F5)</f>
        <v/>
      </c>
      <c r="G6">
        <f>F6*(1+G5)</f>
        <v/>
      </c>
      <c r="H6">
        <f>G6*(1+H5)</f>
        <v/>
      </c>
      <c r="I6">
        <f>H6*(1+I5)</f>
        <v/>
      </c>
      <c r="J6">
        <f>I6*(1+J5)</f>
        <v/>
      </c>
      <c r="K6">
        <f>J6*(1+K5)</f>
        <v/>
      </c>
      <c r="L6">
        <f>K6*(1+L5)</f>
        <v/>
      </c>
    </row>
    <row r="7">
      <c r="A7" s="2" t="inlineStr">
        <is>
          <t>Adj EBITDA margin</t>
        </is>
      </c>
      <c r="C7" s="9" t="n">
        <v>0.17</v>
      </c>
      <c r="D7" s="9" t="n">
        <v>0.175</v>
      </c>
      <c r="E7" s="9" t="n">
        <v>0.185</v>
      </c>
      <c r="F7" s="9" t="n">
        <v>0.19</v>
      </c>
      <c r="G7" s="9" t="n">
        <v>0.19</v>
      </c>
      <c r="H7" s="9" t="n">
        <v>0.19</v>
      </c>
      <c r="I7" s="9" t="n">
        <v>0.19</v>
      </c>
      <c r="J7" s="9" t="n">
        <v>0.19</v>
      </c>
      <c r="K7" s="9" t="n">
        <v>0.19</v>
      </c>
      <c r="L7" s="9" t="n">
        <v>0.19</v>
      </c>
    </row>
    <row r="8">
      <c r="A8" t="inlineStr">
        <is>
          <t>Adjusted EBITDA</t>
        </is>
      </c>
      <c r="C8">
        <f>C6*C7</f>
        <v/>
      </c>
      <c r="D8">
        <f>D6*D7</f>
        <v/>
      </c>
      <c r="E8">
        <f>E6*E7</f>
        <v/>
      </c>
      <c r="F8">
        <f>F6*F7</f>
        <v/>
      </c>
      <c r="G8">
        <f>G6*G7</f>
        <v/>
      </c>
      <c r="H8">
        <f>H6*H7</f>
        <v/>
      </c>
      <c r="I8">
        <f>I6*I7</f>
        <v/>
      </c>
      <c r="J8">
        <f>J6*J7</f>
        <v/>
      </c>
      <c r="K8">
        <f>K6*K7</f>
        <v/>
      </c>
      <c r="L8">
        <f>L6*L7</f>
        <v/>
      </c>
    </row>
    <row r="9">
      <c r="A9" s="2" t="inlineStr">
        <is>
          <t>SBC % of revenue</t>
        </is>
      </c>
      <c r="C9" s="10" t="n">
        <v>0.001</v>
      </c>
      <c r="D9" s="10" t="n">
        <v>0.001</v>
      </c>
      <c r="E9" s="10" t="n">
        <v>0.001</v>
      </c>
      <c r="F9" s="10" t="n">
        <v>0.001</v>
      </c>
      <c r="G9" s="10" t="n">
        <v>0.001</v>
      </c>
      <c r="H9" s="10" t="n">
        <v>0.001</v>
      </c>
      <c r="I9" s="10" t="n">
        <v>0.001</v>
      </c>
      <c r="J9" s="10" t="n">
        <v>0.001</v>
      </c>
      <c r="K9" s="10" t="n">
        <v>0.001</v>
      </c>
      <c r="L9" s="10" t="n">
        <v>0.001</v>
      </c>
    </row>
    <row r="10">
      <c r="A10" t="inlineStr">
        <is>
          <t>SBC (negative)</t>
        </is>
      </c>
      <c r="C10">
        <f>-C6*C9</f>
        <v/>
      </c>
      <c r="D10">
        <f>-D6*D9</f>
        <v/>
      </c>
      <c r="E10">
        <f>-E6*E9</f>
        <v/>
      </c>
      <c r="F10">
        <f>-F6*F9</f>
        <v/>
      </c>
      <c r="G10">
        <f>-G6*G9</f>
        <v/>
      </c>
      <c r="H10">
        <f>-H6*H9</f>
        <v/>
      </c>
      <c r="I10">
        <f>-I6*I9</f>
        <v/>
      </c>
      <c r="J10">
        <f>-J6*J9</f>
        <v/>
      </c>
      <c r="K10">
        <f>-K6*K9</f>
        <v/>
      </c>
      <c r="L10">
        <f>-L6*L9</f>
        <v/>
      </c>
    </row>
    <row r="11">
      <c r="A11" t="inlineStr">
        <is>
          <t>Owner EBITDA</t>
        </is>
      </c>
      <c r="C11">
        <f>C8+C10</f>
        <v/>
      </c>
      <c r="D11">
        <f>D8+D10</f>
        <v/>
      </c>
      <c r="E11">
        <f>E8+E10</f>
        <v/>
      </c>
      <c r="F11">
        <f>F8+F10</f>
        <v/>
      </c>
      <c r="G11">
        <f>G8+G10</f>
        <v/>
      </c>
      <c r="H11">
        <f>H8+H10</f>
        <v/>
      </c>
      <c r="I11">
        <f>I8+I10</f>
        <v/>
      </c>
      <c r="J11">
        <f>J8+J10</f>
        <v/>
      </c>
      <c r="K11">
        <f>K8+K10</f>
        <v/>
      </c>
      <c r="L11">
        <f>L8+L10</f>
        <v/>
      </c>
    </row>
    <row r="12">
      <c r="A12" t="inlineStr">
        <is>
          <t>D&amp;A (negative)</t>
        </is>
      </c>
      <c r="C12">
        <f>-C6*Assumptions!$B$3</f>
        <v/>
      </c>
      <c r="D12">
        <f>-D6*Assumptions!$B$3</f>
        <v/>
      </c>
      <c r="E12">
        <f>-E6*Assumptions!$B$3</f>
        <v/>
      </c>
      <c r="F12">
        <f>-F6*Assumptions!$B$3</f>
        <v/>
      </c>
      <c r="G12">
        <f>-G6*Assumptions!$B$3</f>
        <v/>
      </c>
      <c r="H12">
        <f>-H6*Assumptions!$B$3</f>
        <v/>
      </c>
      <c r="I12">
        <f>-I6*Assumptions!$B$3</f>
        <v/>
      </c>
      <c r="J12">
        <f>-J6*Assumptions!$B$3</f>
        <v/>
      </c>
      <c r="K12">
        <f>-K6*Assumptions!$B$3</f>
        <v/>
      </c>
      <c r="L12">
        <f>-L6*Assumptions!$B$3</f>
        <v/>
      </c>
    </row>
    <row r="13">
      <c r="A13" t="inlineStr">
        <is>
          <t>EBIT</t>
        </is>
      </c>
      <c r="C13">
        <f>C11+C12</f>
        <v/>
      </c>
      <c r="D13">
        <f>D11+D12</f>
        <v/>
      </c>
      <c r="E13">
        <f>E11+E12</f>
        <v/>
      </c>
      <c r="F13">
        <f>F11+F12</f>
        <v/>
      </c>
      <c r="G13">
        <f>G11+G12</f>
        <v/>
      </c>
      <c r="H13">
        <f>H11+H12</f>
        <v/>
      </c>
      <c r="I13">
        <f>I11+I12</f>
        <v/>
      </c>
      <c r="J13">
        <f>J11+J12</f>
        <v/>
      </c>
      <c r="K13">
        <f>K11+K12</f>
        <v/>
      </c>
      <c r="L13">
        <f>L11+L12</f>
        <v/>
      </c>
    </row>
    <row r="14">
      <c r="A14" s="2" t="inlineStr">
        <is>
          <t>Cash tax rate</t>
        </is>
      </c>
      <c r="C14" s="9" t="n">
        <v>0.12</v>
      </c>
      <c r="D14" s="9" t="n">
        <v>0.2</v>
      </c>
      <c r="E14" s="9" t="n">
        <v>0.26</v>
      </c>
      <c r="F14" s="9" t="n">
        <v>0.28</v>
      </c>
      <c r="G14" s="9" t="n">
        <v>0.28</v>
      </c>
      <c r="H14" s="9" t="n">
        <v>0.28</v>
      </c>
      <c r="I14" s="9" t="n">
        <v>0.28</v>
      </c>
      <c r="J14" s="9" t="n">
        <v>0.28</v>
      </c>
      <c r="K14" s="9" t="n">
        <v>0.28</v>
      </c>
      <c r="L14" s="9" t="n">
        <v>0.28</v>
      </c>
    </row>
    <row r="15">
      <c r="A15" t="inlineStr">
        <is>
          <t>NOPAT</t>
        </is>
      </c>
      <c r="C15">
        <f>C13*(1-C14)</f>
        <v/>
      </c>
      <c r="D15">
        <f>D13*(1-D14)</f>
        <v/>
      </c>
      <c r="E15">
        <f>E13*(1-E14)</f>
        <v/>
      </c>
      <c r="F15">
        <f>F13*(1-F14)</f>
        <v/>
      </c>
      <c r="G15">
        <f>G13*(1-G14)</f>
        <v/>
      </c>
      <c r="H15">
        <f>H13*(1-H14)</f>
        <v/>
      </c>
      <c r="I15">
        <f>I13*(1-I14)</f>
        <v/>
      </c>
      <c r="J15">
        <f>J13*(1-J14)</f>
        <v/>
      </c>
      <c r="K15">
        <f>K13*(1-K14)</f>
        <v/>
      </c>
      <c r="L15">
        <f>L13*(1-L14)</f>
        <v/>
      </c>
    </row>
    <row r="16">
      <c r="A16" t="inlineStr">
        <is>
          <t>add back D&amp;A</t>
        </is>
      </c>
      <c r="C16">
        <f>-C12</f>
        <v/>
      </c>
      <c r="D16">
        <f>-D12</f>
        <v/>
      </c>
      <c r="E16">
        <f>-E12</f>
        <v/>
      </c>
      <c r="F16">
        <f>-F12</f>
        <v/>
      </c>
      <c r="G16">
        <f>-G12</f>
        <v/>
      </c>
      <c r="H16">
        <f>-H12</f>
        <v/>
      </c>
      <c r="I16">
        <f>-I12</f>
        <v/>
      </c>
      <c r="J16">
        <f>-J12</f>
        <v/>
      </c>
      <c r="K16">
        <f>-K12</f>
        <v/>
      </c>
      <c r="L16">
        <f>-L12</f>
        <v/>
      </c>
    </row>
    <row r="17">
      <c r="A17" t="inlineStr">
        <is>
          <t>less capex</t>
        </is>
      </c>
      <c r="C17">
        <f>-C6*0.115</f>
        <v/>
      </c>
      <c r="D17">
        <f>-D6*0.11</f>
        <v/>
      </c>
      <c r="E17">
        <f>-E6*0.11</f>
        <v/>
      </c>
      <c r="F17">
        <f>-F6*0.105</f>
        <v/>
      </c>
      <c r="G17">
        <f>-G6*0.105</f>
        <v/>
      </c>
      <c r="H17">
        <f>-H6*0.105</f>
        <v/>
      </c>
      <c r="I17">
        <f>-I6*0.105</f>
        <v/>
      </c>
      <c r="J17">
        <f>-J6*0.105</f>
        <v/>
      </c>
      <c r="K17">
        <f>-K6*0.105</f>
        <v/>
      </c>
      <c r="L17">
        <f>-L6*0.105</f>
        <v/>
      </c>
    </row>
    <row r="18">
      <c r="A18" t="inlineStr">
        <is>
          <t>Working capital</t>
        </is>
      </c>
      <c r="C18" t="n">
        <v>0</v>
      </c>
      <c r="D18" t="n">
        <v>0</v>
      </c>
      <c r="E18" t="n">
        <v>0</v>
      </c>
      <c r="F18" t="n">
        <v>0</v>
      </c>
      <c r="G18" t="n">
        <v>0</v>
      </c>
      <c r="H18" t="n">
        <v>0</v>
      </c>
      <c r="I18" t="n">
        <v>0</v>
      </c>
      <c r="J18" t="n">
        <v>0</v>
      </c>
      <c r="K18" t="n">
        <v>0</v>
      </c>
      <c r="L18" t="n">
        <v>0</v>
      </c>
    </row>
    <row r="19">
      <c r="A19" s="2" t="inlineStr">
        <is>
          <t>UNLEVERED OWNER FCF</t>
        </is>
      </c>
      <c r="C19" s="2">
        <f>C15+C16+C17+C18</f>
        <v/>
      </c>
      <c r="D19" s="2">
        <f>D15+D16+D17+D18</f>
        <v/>
      </c>
      <c r="E19" s="2">
        <f>E15+E16+E17+E18</f>
        <v/>
      </c>
      <c r="F19" s="2">
        <f>F15+F16+F17+F18</f>
        <v/>
      </c>
      <c r="G19" s="2">
        <f>G15+G16+G17+G18</f>
        <v/>
      </c>
      <c r="H19" s="2">
        <f>H15+H16+H17+H18</f>
        <v/>
      </c>
      <c r="I19" s="2">
        <f>I15+I16+I17+I18</f>
        <v/>
      </c>
      <c r="J19" s="2">
        <f>J15+J16+J17+J18</f>
        <v/>
      </c>
      <c r="K19" s="2">
        <f>K15+K16+K17+K18</f>
        <v/>
      </c>
      <c r="L19" s="2">
        <f>L15+L16+L17+L18</f>
        <v/>
      </c>
    </row>
    <row r="20">
      <c r="A20" t="inlineStr">
        <is>
          <t>Discount factor</t>
        </is>
      </c>
      <c r="C20">
        <f>1/(1+Assumptions!$B$2)^C4</f>
        <v/>
      </c>
      <c r="D20">
        <f>1/(1+Assumptions!$B$2)^D4</f>
        <v/>
      </c>
      <c r="E20">
        <f>1/(1+Assumptions!$B$2)^E4</f>
        <v/>
      </c>
      <c r="F20">
        <f>1/(1+Assumptions!$B$2)^F4</f>
        <v/>
      </c>
      <c r="G20">
        <f>1/(1+Assumptions!$B$2)^G4</f>
        <v/>
      </c>
      <c r="H20">
        <f>1/(1+Assumptions!$B$2)^H4</f>
        <v/>
      </c>
      <c r="I20">
        <f>1/(1+Assumptions!$B$2)^I4</f>
        <v/>
      </c>
      <c r="J20">
        <f>1/(1+Assumptions!$B$2)^J4</f>
        <v/>
      </c>
      <c r="K20">
        <f>1/(1+Assumptions!$B$2)^K4</f>
        <v/>
      </c>
      <c r="L20">
        <f>1/(1+Assumptions!$B$2)^L4</f>
        <v/>
      </c>
    </row>
    <row r="21">
      <c r="A21" t="inlineStr">
        <is>
          <t>PV of FCF</t>
        </is>
      </c>
      <c r="C21">
        <f>C19*C20</f>
        <v/>
      </c>
      <c r="D21">
        <f>D19*D20</f>
        <v/>
      </c>
      <c r="E21">
        <f>E19*E20</f>
        <v/>
      </c>
      <c r="F21">
        <f>F19*F20</f>
        <v/>
      </c>
      <c r="G21">
        <f>G19*G20</f>
        <v/>
      </c>
      <c r="H21">
        <f>H19*H20</f>
        <v/>
      </c>
      <c r="I21">
        <f>I19*I20</f>
        <v/>
      </c>
      <c r="J21">
        <f>J19*J20</f>
        <v/>
      </c>
      <c r="K21">
        <f>K19*K20</f>
        <v/>
      </c>
      <c r="L21">
        <f>L19*L20</f>
        <v/>
      </c>
    </row>
    <row r="23">
      <c r="A23" t="inlineStr">
        <is>
          <t>Memo: FCF before SBC</t>
        </is>
      </c>
      <c r="C23">
        <f>C19-C10</f>
        <v/>
      </c>
      <c r="D23">
        <f>D19-D10</f>
        <v/>
      </c>
      <c r="E23">
        <f>E19-E10</f>
        <v/>
      </c>
      <c r="F23">
        <f>F19-F10</f>
        <v/>
      </c>
      <c r="G23">
        <f>G19-G10</f>
        <v/>
      </c>
      <c r="H23">
        <f>H19-H10</f>
        <v/>
      </c>
      <c r="I23">
        <f>I19-I10</f>
        <v/>
      </c>
      <c r="J23">
        <f>J19-J10</f>
        <v/>
      </c>
      <c r="K23">
        <f>K19-K10</f>
        <v/>
      </c>
      <c r="L23">
        <f>L19-L10</f>
        <v/>
      </c>
    </row>
    <row r="24">
      <c r="A24" t="inlineStr">
        <is>
          <t>Memo: owner-FCF margin</t>
        </is>
      </c>
      <c r="C24" s="11">
        <f>C19/C6</f>
        <v/>
      </c>
      <c r="D24" s="11">
        <f>D19/D6</f>
        <v/>
      </c>
      <c r="E24" s="11">
        <f>E19/E6</f>
        <v/>
      </c>
      <c r="F24" s="11">
        <f>F19/F6</f>
        <v/>
      </c>
      <c r="G24" s="11">
        <f>G19/G6</f>
        <v/>
      </c>
      <c r="H24" s="11">
        <f>H19/H6</f>
        <v/>
      </c>
      <c r="I24" s="11">
        <f>I19/I6</f>
        <v/>
      </c>
      <c r="J24" s="11">
        <f>J19/J6</f>
        <v/>
      </c>
      <c r="K24" s="11">
        <f>K19/K6</f>
        <v/>
      </c>
      <c r="L24" s="11">
        <f>L19/L6</f>
        <v/>
      </c>
    </row>
    <row r="26">
      <c r="A26" s="2" t="inlineStr">
        <is>
          <t>Sum of PV of FCF</t>
        </is>
      </c>
      <c r="B26">
        <f>SUM(C21:L21)</f>
        <v/>
      </c>
    </row>
    <row r="27">
      <c r="A27" s="2" t="inlineStr">
        <is>
          <t>Terminal growth</t>
        </is>
      </c>
      <c r="B27">
        <f>Assumptions!$B$13</f>
        <v/>
      </c>
    </row>
    <row r="28">
      <c r="A28" s="2" t="inlineStr">
        <is>
          <t>Terminal-year FCF</t>
        </is>
      </c>
      <c r="B28">
        <f>L19*(1+B27)</f>
        <v/>
      </c>
    </row>
    <row r="29">
      <c r="A29" s="2" t="inlineStr">
        <is>
          <t>Gordon terminal value</t>
        </is>
      </c>
      <c r="B29">
        <f>B28/(Assumptions!$B$2-B27)</f>
        <v/>
      </c>
    </row>
    <row r="30">
      <c r="A30" s="2" t="inlineStr">
        <is>
          <t>Cap terminal value</t>
        </is>
      </c>
      <c r="B30">
        <f>Assumptions!$B$14*L19</f>
        <v/>
      </c>
    </row>
    <row r="31">
      <c r="A31" s="2" t="inlineStr">
        <is>
          <t>Terminal value used</t>
        </is>
      </c>
      <c r="B31">
        <f>MAX(0,MIN(B29,B30))</f>
        <v/>
      </c>
    </row>
    <row r="32">
      <c r="A32" s="2" t="inlineStr">
        <is>
          <t>Implied exit multiple</t>
        </is>
      </c>
      <c r="B32">
        <f>B31/L19</f>
        <v/>
      </c>
    </row>
    <row r="33">
      <c r="A33" s="2" t="inlineStr">
        <is>
          <t>PV of terminal value</t>
        </is>
      </c>
      <c r="B33">
        <f>B31*L20</f>
        <v/>
      </c>
    </row>
    <row r="34">
      <c r="A34" s="2" t="inlineStr">
        <is>
          <t>Enterprise value</t>
        </is>
      </c>
      <c r="B34">
        <f>B26+B33</f>
        <v/>
      </c>
    </row>
    <row r="35">
      <c r="A35" s="2" t="inlineStr">
        <is>
          <t>less net debt</t>
        </is>
      </c>
      <c r="B35">
        <f>-Assumptions!$B$4</f>
        <v/>
      </c>
    </row>
    <row r="36">
      <c r="A36" s="2" t="inlineStr">
        <is>
          <t>add non-operating assets</t>
        </is>
      </c>
      <c r="B36">
        <f>Assumptions!$B$15</f>
        <v/>
      </c>
    </row>
    <row r="37">
      <c r="A37" s="2" t="inlineStr">
        <is>
          <t>Equity value</t>
        </is>
      </c>
      <c r="B37">
        <f>B34+B35+B36</f>
        <v/>
      </c>
    </row>
    <row r="38">
      <c r="A38" s="2" t="inlineStr">
        <is>
          <t>Shares on issue (m)</t>
        </is>
      </c>
      <c r="B38">
        <f>Assumptions!$B$5</f>
        <v/>
      </c>
    </row>
    <row r="39">
      <c r="A39" s="2" t="inlineStr">
        <is>
          <t>VALUE PER SHARE</t>
        </is>
      </c>
      <c r="B39" s="5">
        <f>B37/B38</f>
        <v/>
      </c>
    </row>
    <row r="40">
      <c r="A40" s="2" t="inlineStr">
        <is>
          <t>Upside vs current price</t>
        </is>
      </c>
      <c r="B40" s="11">
        <f>B39/Assumptions!$B$6-1</f>
        <v/>
      </c>
    </row>
    <row r="41">
      <c r="A41" s="2" t="inlineStr">
        <is>
          <t>Implied EV / clean FY26 EBITDA</t>
        </is>
      </c>
      <c r="B41">
        <f>B34/Assumptions!$B$8</f>
        <v/>
      </c>
    </row>
    <row r="42">
      <c r="A42" s="2" t="inlineStr">
        <is>
          <t>Implied price / book</t>
        </is>
      </c>
      <c r="B42">
        <f>B39/Assumptions!$B$7</f>
        <v/>
      </c>
    </row>
    <row r="43">
      <c r="A43" s="2" t="inlineStr">
        <is>
          <t>Street basis: SBC is immaterial (0.09% of revenue), so street equals house.</t>
        </is>
      </c>
    </row>
    <row r="44">
      <c r="A44" s="2" t="inlineStr">
        <is>
          <t>Street value per share</t>
        </is>
      </c>
      <c r="B44">
        <f>B39+SUMPRODUCT(-C10:L10*C20:L20)/B38</f>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44"/>
  <sheetViews>
    <sheetView workbookViewId="0">
      <selection activeCell="A1" sqref="A1"/>
    </sheetView>
  </sheetViews>
  <sheetFormatPr baseColWidth="8" defaultRowHeight="15"/>
  <cols>
    <col width="40"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s>
  <sheetData>
    <row r="1">
      <c r="A1" s="8" t="inlineStr">
        <is>
          <t>SKC.NZ DCF - BASE case</t>
        </is>
      </c>
    </row>
    <row r="2">
      <c r="A2" t="inlineStr">
        <is>
          <t>All rows are formulas except the blue driver rows 5, 7, 9, 14 and the FY0 revenue in B6.</t>
        </is>
      </c>
    </row>
    <row r="3">
      <c r="A3" s="2" t="inlineStr">
        <is>
          <t>Year</t>
        </is>
      </c>
      <c r="B3" s="2" t="inlineStr">
        <is>
          <t>FY2026A</t>
        </is>
      </c>
      <c r="C3" s="2" t="inlineStr">
        <is>
          <t>FY2027E</t>
        </is>
      </c>
      <c r="D3" s="2" t="inlineStr">
        <is>
          <t>FY2028E</t>
        </is>
      </c>
      <c r="E3" s="2" t="inlineStr">
        <is>
          <t>FY2029E</t>
        </is>
      </c>
      <c r="F3" s="2" t="inlineStr">
        <is>
          <t>FY2030E</t>
        </is>
      </c>
      <c r="G3" s="2" t="inlineStr">
        <is>
          <t>FY2031E</t>
        </is>
      </c>
      <c r="H3" s="2" t="inlineStr">
        <is>
          <t>FY2032E</t>
        </is>
      </c>
      <c r="I3" s="2" t="inlineStr">
        <is>
          <t>FY2033E</t>
        </is>
      </c>
      <c r="J3" s="2" t="inlineStr">
        <is>
          <t>FY2034E</t>
        </is>
      </c>
      <c r="K3" s="2" t="inlineStr">
        <is>
          <t>FY2035E</t>
        </is>
      </c>
      <c r="L3" s="2" t="inlineStr">
        <is>
          <t>FY2036E</t>
        </is>
      </c>
    </row>
    <row r="4">
      <c r="A4" t="inlineStr">
        <is>
          <t>Year index</t>
        </is>
      </c>
      <c r="B4" t="n">
        <v>0</v>
      </c>
      <c r="C4" t="n">
        <v>1</v>
      </c>
      <c r="D4" t="n">
        <v>2</v>
      </c>
      <c r="E4" t="n">
        <v>3</v>
      </c>
      <c r="F4" t="n">
        <v>4</v>
      </c>
      <c r="G4" t="n">
        <v>5</v>
      </c>
      <c r="H4" t="n">
        <v>6</v>
      </c>
      <c r="I4" t="n">
        <v>7</v>
      </c>
      <c r="J4" t="n">
        <v>8</v>
      </c>
      <c r="K4" t="n">
        <v>9</v>
      </c>
      <c r="L4" t="n">
        <v>10</v>
      </c>
    </row>
    <row r="5">
      <c r="A5" s="2" t="inlineStr">
        <is>
          <t>Revenue growth YoY</t>
        </is>
      </c>
      <c r="C5" s="9" t="n">
        <v>0.01</v>
      </c>
      <c r="D5" s="9" t="n">
        <v>0.02</v>
      </c>
      <c r="E5" s="9" t="n">
        <v>0.025</v>
      </c>
      <c r="F5" s="9" t="n">
        <v>0.025</v>
      </c>
      <c r="G5" s="9" t="n">
        <v>0.02</v>
      </c>
      <c r="H5" s="9" t="n">
        <v>0.02</v>
      </c>
      <c r="I5" s="9" t="n">
        <v>0.02</v>
      </c>
      <c r="J5" s="9" t="n">
        <v>0.02</v>
      </c>
      <c r="K5" s="9" t="n">
        <v>0.02</v>
      </c>
      <c r="L5" s="9" t="n">
        <v>0.02</v>
      </c>
    </row>
    <row r="6">
      <c r="A6" s="2" t="inlineStr">
        <is>
          <t>Revenue</t>
        </is>
      </c>
      <c r="B6" s="4" t="n">
        <v>813.651</v>
      </c>
      <c r="C6">
        <f>B6*(1+C5)</f>
        <v/>
      </c>
      <c r="D6">
        <f>C6*(1+D5)</f>
        <v/>
      </c>
      <c r="E6">
        <f>D6*(1+E5)</f>
        <v/>
      </c>
      <c r="F6">
        <f>E6*(1+F5)</f>
        <v/>
      </c>
      <c r="G6">
        <f>F6*(1+G5)</f>
        <v/>
      </c>
      <c r="H6">
        <f>G6*(1+H5)</f>
        <v/>
      </c>
      <c r="I6">
        <f>H6*(1+I5)</f>
        <v/>
      </c>
      <c r="J6">
        <f>I6*(1+J5)</f>
        <v/>
      </c>
      <c r="K6">
        <f>J6*(1+K5)</f>
        <v/>
      </c>
      <c r="L6">
        <f>K6*(1+L5)</f>
        <v/>
      </c>
    </row>
    <row r="7">
      <c r="A7" s="2" t="inlineStr">
        <is>
          <t>Adj EBITDA margin</t>
        </is>
      </c>
      <c r="C7" s="9" t="n">
        <v>0.195</v>
      </c>
      <c r="D7" s="9" t="n">
        <v>0.215</v>
      </c>
      <c r="E7" s="9" t="n">
        <v>0.235</v>
      </c>
      <c r="F7" s="9" t="n">
        <v>0.24</v>
      </c>
      <c r="G7" s="9" t="n">
        <v>0.24</v>
      </c>
      <c r="H7" s="9" t="n">
        <v>0.24</v>
      </c>
      <c r="I7" s="9" t="n">
        <v>0.24</v>
      </c>
      <c r="J7" s="9" t="n">
        <v>0.24</v>
      </c>
      <c r="K7" s="9" t="n">
        <v>0.24</v>
      </c>
      <c r="L7" s="9" t="n">
        <v>0.24</v>
      </c>
    </row>
    <row r="8">
      <c r="A8" t="inlineStr">
        <is>
          <t>Adjusted EBITDA</t>
        </is>
      </c>
      <c r="C8">
        <f>C6*C7</f>
        <v/>
      </c>
      <c r="D8">
        <f>D6*D7</f>
        <v/>
      </c>
      <c r="E8">
        <f>E6*E7</f>
        <v/>
      </c>
      <c r="F8">
        <f>F6*F7</f>
        <v/>
      </c>
      <c r="G8">
        <f>G6*G7</f>
        <v/>
      </c>
      <c r="H8">
        <f>H6*H7</f>
        <v/>
      </c>
      <c r="I8">
        <f>I6*I7</f>
        <v/>
      </c>
      <c r="J8">
        <f>J6*J7</f>
        <v/>
      </c>
      <c r="K8">
        <f>K6*K7</f>
        <v/>
      </c>
      <c r="L8">
        <f>L6*L7</f>
        <v/>
      </c>
    </row>
    <row r="9">
      <c r="A9" s="2" t="inlineStr">
        <is>
          <t>SBC % of revenue</t>
        </is>
      </c>
      <c r="C9" s="10" t="n">
        <v>0.001</v>
      </c>
      <c r="D9" s="10" t="n">
        <v>0.001</v>
      </c>
      <c r="E9" s="10" t="n">
        <v>0.001</v>
      </c>
      <c r="F9" s="10" t="n">
        <v>0.001</v>
      </c>
      <c r="G9" s="10" t="n">
        <v>0.001</v>
      </c>
      <c r="H9" s="10" t="n">
        <v>0.001</v>
      </c>
      <c r="I9" s="10" t="n">
        <v>0.001</v>
      </c>
      <c r="J9" s="10" t="n">
        <v>0.001</v>
      </c>
      <c r="K9" s="10" t="n">
        <v>0.001</v>
      </c>
      <c r="L9" s="10" t="n">
        <v>0.001</v>
      </c>
    </row>
    <row r="10">
      <c r="A10" t="inlineStr">
        <is>
          <t>SBC (negative)</t>
        </is>
      </c>
      <c r="C10">
        <f>-C6*C9</f>
        <v/>
      </c>
      <c r="D10">
        <f>-D6*D9</f>
        <v/>
      </c>
      <c r="E10">
        <f>-E6*E9</f>
        <v/>
      </c>
      <c r="F10">
        <f>-F6*F9</f>
        <v/>
      </c>
      <c r="G10">
        <f>-G6*G9</f>
        <v/>
      </c>
      <c r="H10">
        <f>-H6*H9</f>
        <v/>
      </c>
      <c r="I10">
        <f>-I6*I9</f>
        <v/>
      </c>
      <c r="J10">
        <f>-J6*J9</f>
        <v/>
      </c>
      <c r="K10">
        <f>-K6*K9</f>
        <v/>
      </c>
      <c r="L10">
        <f>-L6*L9</f>
        <v/>
      </c>
    </row>
    <row r="11">
      <c r="A11" t="inlineStr">
        <is>
          <t>Owner EBITDA</t>
        </is>
      </c>
      <c r="C11">
        <f>C8+C10</f>
        <v/>
      </c>
      <c r="D11">
        <f>D8+D10</f>
        <v/>
      </c>
      <c r="E11">
        <f>E8+E10</f>
        <v/>
      </c>
      <c r="F11">
        <f>F8+F10</f>
        <v/>
      </c>
      <c r="G11">
        <f>G8+G10</f>
        <v/>
      </c>
      <c r="H11">
        <f>H8+H10</f>
        <v/>
      </c>
      <c r="I11">
        <f>I8+I10</f>
        <v/>
      </c>
      <c r="J11">
        <f>J8+J10</f>
        <v/>
      </c>
      <c r="K11">
        <f>K8+K10</f>
        <v/>
      </c>
      <c r="L11">
        <f>L8+L10</f>
        <v/>
      </c>
    </row>
    <row r="12">
      <c r="A12" t="inlineStr">
        <is>
          <t>D&amp;A (negative)</t>
        </is>
      </c>
      <c r="C12">
        <f>-C6*Assumptions!$B$3</f>
        <v/>
      </c>
      <c r="D12">
        <f>-D6*Assumptions!$B$3</f>
        <v/>
      </c>
      <c r="E12">
        <f>-E6*Assumptions!$B$3</f>
        <v/>
      </c>
      <c r="F12">
        <f>-F6*Assumptions!$B$3</f>
        <v/>
      </c>
      <c r="G12">
        <f>-G6*Assumptions!$B$3</f>
        <v/>
      </c>
      <c r="H12">
        <f>-H6*Assumptions!$B$3</f>
        <v/>
      </c>
      <c r="I12">
        <f>-I6*Assumptions!$B$3</f>
        <v/>
      </c>
      <c r="J12">
        <f>-J6*Assumptions!$B$3</f>
        <v/>
      </c>
      <c r="K12">
        <f>-K6*Assumptions!$B$3</f>
        <v/>
      </c>
      <c r="L12">
        <f>-L6*Assumptions!$B$3</f>
        <v/>
      </c>
    </row>
    <row r="13">
      <c r="A13" t="inlineStr">
        <is>
          <t>EBIT</t>
        </is>
      </c>
      <c r="C13">
        <f>C11+C12</f>
        <v/>
      </c>
      <c r="D13">
        <f>D11+D12</f>
        <v/>
      </c>
      <c r="E13">
        <f>E11+E12</f>
        <v/>
      </c>
      <c r="F13">
        <f>F11+F12</f>
        <v/>
      </c>
      <c r="G13">
        <f>G11+G12</f>
        <v/>
      </c>
      <c r="H13">
        <f>H11+H12</f>
        <v/>
      </c>
      <c r="I13">
        <f>I11+I12</f>
        <v/>
      </c>
      <c r="J13">
        <f>J11+J12</f>
        <v/>
      </c>
      <c r="K13">
        <f>K11+K12</f>
        <v/>
      </c>
      <c r="L13">
        <f>L11+L12</f>
        <v/>
      </c>
    </row>
    <row r="14">
      <c r="A14" s="2" t="inlineStr">
        <is>
          <t>Cash tax rate</t>
        </is>
      </c>
      <c r="C14" s="9" t="n">
        <v>0.1</v>
      </c>
      <c r="D14" s="9" t="n">
        <v>0.18</v>
      </c>
      <c r="E14" s="9" t="n">
        <v>0.24</v>
      </c>
      <c r="F14" s="9" t="n">
        <v>0.28</v>
      </c>
      <c r="G14" s="9" t="n">
        <v>0.28</v>
      </c>
      <c r="H14" s="9" t="n">
        <v>0.28</v>
      </c>
      <c r="I14" s="9" t="n">
        <v>0.28</v>
      </c>
      <c r="J14" s="9" t="n">
        <v>0.28</v>
      </c>
      <c r="K14" s="9" t="n">
        <v>0.28</v>
      </c>
      <c r="L14" s="9" t="n">
        <v>0.28</v>
      </c>
    </row>
    <row r="15">
      <c r="A15" t="inlineStr">
        <is>
          <t>NOPAT</t>
        </is>
      </c>
      <c r="C15">
        <f>C13*(1-C14)</f>
        <v/>
      </c>
      <c r="D15">
        <f>D13*(1-D14)</f>
        <v/>
      </c>
      <c r="E15">
        <f>E13*(1-E14)</f>
        <v/>
      </c>
      <c r="F15">
        <f>F13*(1-F14)</f>
        <v/>
      </c>
      <c r="G15">
        <f>G13*(1-G14)</f>
        <v/>
      </c>
      <c r="H15">
        <f>H13*(1-H14)</f>
        <v/>
      </c>
      <c r="I15">
        <f>I13*(1-I14)</f>
        <v/>
      </c>
      <c r="J15">
        <f>J13*(1-J14)</f>
        <v/>
      </c>
      <c r="K15">
        <f>K13*(1-K14)</f>
        <v/>
      </c>
      <c r="L15">
        <f>L13*(1-L14)</f>
        <v/>
      </c>
    </row>
    <row r="16">
      <c r="A16" t="inlineStr">
        <is>
          <t>add back D&amp;A</t>
        </is>
      </c>
      <c r="C16">
        <f>-C12</f>
        <v/>
      </c>
      <c r="D16">
        <f>-D12</f>
        <v/>
      </c>
      <c r="E16">
        <f>-E12</f>
        <v/>
      </c>
      <c r="F16">
        <f>-F12</f>
        <v/>
      </c>
      <c r="G16">
        <f>-G12</f>
        <v/>
      </c>
      <c r="H16">
        <f>-H12</f>
        <v/>
      </c>
      <c r="I16">
        <f>-I12</f>
        <v/>
      </c>
      <c r="J16">
        <f>-J12</f>
        <v/>
      </c>
      <c r="K16">
        <f>-K12</f>
        <v/>
      </c>
      <c r="L16">
        <f>-L12</f>
        <v/>
      </c>
    </row>
    <row r="17">
      <c r="A17" t="inlineStr">
        <is>
          <t>less capex</t>
        </is>
      </c>
      <c r="C17">
        <f>-C6*0.11</f>
        <v/>
      </c>
      <c r="D17">
        <f>-D6*0.105</f>
        <v/>
      </c>
      <c r="E17">
        <f>-E6*0.1</f>
        <v/>
      </c>
      <c r="F17">
        <f>-F6*0.1</f>
        <v/>
      </c>
      <c r="G17">
        <f>-G6*0.1</f>
        <v/>
      </c>
      <c r="H17">
        <f>-H6*0.1</f>
        <v/>
      </c>
      <c r="I17">
        <f>-I6*0.1</f>
        <v/>
      </c>
      <c r="J17">
        <f>-J6*0.1</f>
        <v/>
      </c>
      <c r="K17">
        <f>-K6*0.1</f>
        <v/>
      </c>
      <c r="L17">
        <f>-L6*0.1</f>
        <v/>
      </c>
    </row>
    <row r="18">
      <c r="A18" t="inlineStr">
        <is>
          <t>Working capital</t>
        </is>
      </c>
      <c r="C18" t="n">
        <v>0</v>
      </c>
      <c r="D18" t="n">
        <v>0</v>
      </c>
      <c r="E18" t="n">
        <v>0</v>
      </c>
      <c r="F18" t="n">
        <v>0</v>
      </c>
      <c r="G18" t="n">
        <v>0</v>
      </c>
      <c r="H18" t="n">
        <v>0</v>
      </c>
      <c r="I18" t="n">
        <v>0</v>
      </c>
      <c r="J18" t="n">
        <v>0</v>
      </c>
      <c r="K18" t="n">
        <v>0</v>
      </c>
      <c r="L18" t="n">
        <v>0</v>
      </c>
    </row>
    <row r="19">
      <c r="A19" s="2" t="inlineStr">
        <is>
          <t>UNLEVERED OWNER FCF</t>
        </is>
      </c>
      <c r="C19" s="2">
        <f>C15+C16+C17+C18</f>
        <v/>
      </c>
      <c r="D19" s="2">
        <f>D15+D16+D17+D18</f>
        <v/>
      </c>
      <c r="E19" s="2">
        <f>E15+E16+E17+E18</f>
        <v/>
      </c>
      <c r="F19" s="2">
        <f>F15+F16+F17+F18</f>
        <v/>
      </c>
      <c r="G19" s="2">
        <f>G15+G16+G17+G18</f>
        <v/>
      </c>
      <c r="H19" s="2">
        <f>H15+H16+H17+H18</f>
        <v/>
      </c>
      <c r="I19" s="2">
        <f>I15+I16+I17+I18</f>
        <v/>
      </c>
      <c r="J19" s="2">
        <f>J15+J16+J17+J18</f>
        <v/>
      </c>
      <c r="K19" s="2">
        <f>K15+K16+K17+K18</f>
        <v/>
      </c>
      <c r="L19" s="2">
        <f>L15+L16+L17+L18</f>
        <v/>
      </c>
    </row>
    <row r="20">
      <c r="A20" t="inlineStr">
        <is>
          <t>Discount factor</t>
        </is>
      </c>
      <c r="C20">
        <f>1/(1+Assumptions!$B$2)^C4</f>
        <v/>
      </c>
      <c r="D20">
        <f>1/(1+Assumptions!$B$2)^D4</f>
        <v/>
      </c>
      <c r="E20">
        <f>1/(1+Assumptions!$B$2)^E4</f>
        <v/>
      </c>
      <c r="F20">
        <f>1/(1+Assumptions!$B$2)^F4</f>
        <v/>
      </c>
      <c r="G20">
        <f>1/(1+Assumptions!$B$2)^G4</f>
        <v/>
      </c>
      <c r="H20">
        <f>1/(1+Assumptions!$B$2)^H4</f>
        <v/>
      </c>
      <c r="I20">
        <f>1/(1+Assumptions!$B$2)^I4</f>
        <v/>
      </c>
      <c r="J20">
        <f>1/(1+Assumptions!$B$2)^J4</f>
        <v/>
      </c>
      <c r="K20">
        <f>1/(1+Assumptions!$B$2)^K4</f>
        <v/>
      </c>
      <c r="L20">
        <f>1/(1+Assumptions!$B$2)^L4</f>
        <v/>
      </c>
    </row>
    <row r="21">
      <c r="A21" t="inlineStr">
        <is>
          <t>PV of FCF</t>
        </is>
      </c>
      <c r="C21">
        <f>C19*C20</f>
        <v/>
      </c>
      <c r="D21">
        <f>D19*D20</f>
        <v/>
      </c>
      <c r="E21">
        <f>E19*E20</f>
        <v/>
      </c>
      <c r="F21">
        <f>F19*F20</f>
        <v/>
      </c>
      <c r="G21">
        <f>G19*G20</f>
        <v/>
      </c>
      <c r="H21">
        <f>H19*H20</f>
        <v/>
      </c>
      <c r="I21">
        <f>I19*I20</f>
        <v/>
      </c>
      <c r="J21">
        <f>J19*J20</f>
        <v/>
      </c>
      <c r="K21">
        <f>K19*K20</f>
        <v/>
      </c>
      <c r="L21">
        <f>L19*L20</f>
        <v/>
      </c>
    </row>
    <row r="23">
      <c r="A23" t="inlineStr">
        <is>
          <t>Memo: FCF before SBC</t>
        </is>
      </c>
      <c r="C23">
        <f>C19-C10</f>
        <v/>
      </c>
      <c r="D23">
        <f>D19-D10</f>
        <v/>
      </c>
      <c r="E23">
        <f>E19-E10</f>
        <v/>
      </c>
      <c r="F23">
        <f>F19-F10</f>
        <v/>
      </c>
      <c r="G23">
        <f>G19-G10</f>
        <v/>
      </c>
      <c r="H23">
        <f>H19-H10</f>
        <v/>
      </c>
      <c r="I23">
        <f>I19-I10</f>
        <v/>
      </c>
      <c r="J23">
        <f>J19-J10</f>
        <v/>
      </c>
      <c r="K23">
        <f>K19-K10</f>
        <v/>
      </c>
      <c r="L23">
        <f>L19-L10</f>
        <v/>
      </c>
    </row>
    <row r="24">
      <c r="A24" t="inlineStr">
        <is>
          <t>Memo: owner-FCF margin</t>
        </is>
      </c>
      <c r="C24" s="11">
        <f>C19/C6</f>
        <v/>
      </c>
      <c r="D24" s="11">
        <f>D19/D6</f>
        <v/>
      </c>
      <c r="E24" s="11">
        <f>E19/E6</f>
        <v/>
      </c>
      <c r="F24" s="11">
        <f>F19/F6</f>
        <v/>
      </c>
      <c r="G24" s="11">
        <f>G19/G6</f>
        <v/>
      </c>
      <c r="H24" s="11">
        <f>H19/H6</f>
        <v/>
      </c>
      <c r="I24" s="11">
        <f>I19/I6</f>
        <v/>
      </c>
      <c r="J24" s="11">
        <f>J19/J6</f>
        <v/>
      </c>
      <c r="K24" s="11">
        <f>K19/K6</f>
        <v/>
      </c>
      <c r="L24" s="11">
        <f>L19/L6</f>
        <v/>
      </c>
    </row>
    <row r="26">
      <c r="A26" s="2" t="inlineStr">
        <is>
          <t>Sum of PV of FCF</t>
        </is>
      </c>
      <c r="B26">
        <f>SUM(C21:L21)</f>
        <v/>
      </c>
    </row>
    <row r="27">
      <c r="A27" s="2" t="inlineStr">
        <is>
          <t>Terminal growth</t>
        </is>
      </c>
      <c r="B27">
        <f>Assumptions!$C$13</f>
        <v/>
      </c>
    </row>
    <row r="28">
      <c r="A28" s="2" t="inlineStr">
        <is>
          <t>Terminal-year FCF</t>
        </is>
      </c>
      <c r="B28">
        <f>L19*(1+B27)</f>
        <v/>
      </c>
    </row>
    <row r="29">
      <c r="A29" s="2" t="inlineStr">
        <is>
          <t>Gordon terminal value</t>
        </is>
      </c>
      <c r="B29">
        <f>B28/(Assumptions!$B$2-B27)</f>
        <v/>
      </c>
    </row>
    <row r="30">
      <c r="A30" s="2" t="inlineStr">
        <is>
          <t>Cap terminal value</t>
        </is>
      </c>
      <c r="B30">
        <f>Assumptions!$C$14*L19</f>
        <v/>
      </c>
    </row>
    <row r="31">
      <c r="A31" s="2" t="inlineStr">
        <is>
          <t>Terminal value used</t>
        </is>
      </c>
      <c r="B31">
        <f>MAX(0,MIN(B29,B30))</f>
        <v/>
      </c>
    </row>
    <row r="32">
      <c r="A32" s="2" t="inlineStr">
        <is>
          <t>Implied exit multiple</t>
        </is>
      </c>
      <c r="B32">
        <f>B31/L19</f>
        <v/>
      </c>
    </row>
    <row r="33">
      <c r="A33" s="2" t="inlineStr">
        <is>
          <t>PV of terminal value</t>
        </is>
      </c>
      <c r="B33">
        <f>B31*L20</f>
        <v/>
      </c>
    </row>
    <row r="34">
      <c r="A34" s="2" t="inlineStr">
        <is>
          <t>Enterprise value</t>
        </is>
      </c>
      <c r="B34">
        <f>B26+B33</f>
        <v/>
      </c>
    </row>
    <row r="35">
      <c r="A35" s="2" t="inlineStr">
        <is>
          <t>less net debt</t>
        </is>
      </c>
      <c r="B35">
        <f>-Assumptions!$B$4</f>
        <v/>
      </c>
    </row>
    <row r="36">
      <c r="A36" s="2" t="inlineStr">
        <is>
          <t>add non-operating assets</t>
        </is>
      </c>
      <c r="B36">
        <f>Assumptions!$C$15</f>
        <v/>
      </c>
    </row>
    <row r="37">
      <c r="A37" s="2" t="inlineStr">
        <is>
          <t>Equity value</t>
        </is>
      </c>
      <c r="B37">
        <f>B34+B35+B36</f>
        <v/>
      </c>
    </row>
    <row r="38">
      <c r="A38" s="2" t="inlineStr">
        <is>
          <t>Shares on issue (m)</t>
        </is>
      </c>
      <c r="B38">
        <f>Assumptions!$B$5</f>
        <v/>
      </c>
    </row>
    <row r="39">
      <c r="A39" s="2" t="inlineStr">
        <is>
          <t>VALUE PER SHARE</t>
        </is>
      </c>
      <c r="B39" s="5">
        <f>B37/B38</f>
        <v/>
      </c>
    </row>
    <row r="40">
      <c r="A40" s="2" t="inlineStr">
        <is>
          <t>Upside vs current price</t>
        </is>
      </c>
      <c r="B40" s="11">
        <f>B39/Assumptions!$B$6-1</f>
        <v/>
      </c>
    </row>
    <row r="41">
      <c r="A41" s="2" t="inlineStr">
        <is>
          <t>Implied EV / clean FY26 EBITDA</t>
        </is>
      </c>
      <c r="B41">
        <f>B34/Assumptions!$B$8</f>
        <v/>
      </c>
    </row>
    <row r="42">
      <c r="A42" s="2" t="inlineStr">
        <is>
          <t>Implied price / book</t>
        </is>
      </c>
      <c r="B42">
        <f>B39/Assumptions!$B$7</f>
        <v/>
      </c>
    </row>
    <row r="43">
      <c r="A43" s="2" t="inlineStr">
        <is>
          <t>Street basis: SBC is immaterial (0.09% of revenue), so street equals house.</t>
        </is>
      </c>
    </row>
    <row r="44">
      <c r="A44" s="2" t="inlineStr">
        <is>
          <t>Street value per share</t>
        </is>
      </c>
      <c r="B44">
        <f>B39+SUMPRODUCT(-C10:L10*C20:L20)/B38</f>
        <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44"/>
  <sheetViews>
    <sheetView workbookViewId="0">
      <selection activeCell="A1" sqref="A1"/>
    </sheetView>
  </sheetViews>
  <sheetFormatPr baseColWidth="8" defaultRowHeight="15"/>
  <cols>
    <col width="40"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s>
  <sheetData>
    <row r="1">
      <c r="A1" s="8" t="inlineStr">
        <is>
          <t>SKC.NZ DCF - BULL case</t>
        </is>
      </c>
    </row>
    <row r="2">
      <c r="A2" t="inlineStr">
        <is>
          <t>All rows are formulas except the blue driver rows 5, 7, 9, 14 and the FY0 revenue in B6.</t>
        </is>
      </c>
    </row>
    <row r="3">
      <c r="A3" s="2" t="inlineStr">
        <is>
          <t>Year</t>
        </is>
      </c>
      <c r="B3" s="2" t="inlineStr">
        <is>
          <t>FY2026A</t>
        </is>
      </c>
      <c r="C3" s="2" t="inlineStr">
        <is>
          <t>FY2027E</t>
        </is>
      </c>
      <c r="D3" s="2" t="inlineStr">
        <is>
          <t>FY2028E</t>
        </is>
      </c>
      <c r="E3" s="2" t="inlineStr">
        <is>
          <t>FY2029E</t>
        </is>
      </c>
      <c r="F3" s="2" t="inlineStr">
        <is>
          <t>FY2030E</t>
        </is>
      </c>
      <c r="G3" s="2" t="inlineStr">
        <is>
          <t>FY2031E</t>
        </is>
      </c>
      <c r="H3" s="2" t="inlineStr">
        <is>
          <t>FY2032E</t>
        </is>
      </c>
      <c r="I3" s="2" t="inlineStr">
        <is>
          <t>FY2033E</t>
        </is>
      </c>
      <c r="J3" s="2" t="inlineStr">
        <is>
          <t>FY2034E</t>
        </is>
      </c>
      <c r="K3" s="2" t="inlineStr">
        <is>
          <t>FY2035E</t>
        </is>
      </c>
      <c r="L3" s="2" t="inlineStr">
        <is>
          <t>FY2036E</t>
        </is>
      </c>
    </row>
    <row r="4">
      <c r="A4" t="inlineStr">
        <is>
          <t>Year index</t>
        </is>
      </c>
      <c r="B4" t="n">
        <v>0</v>
      </c>
      <c r="C4" t="n">
        <v>1</v>
      </c>
      <c r="D4" t="n">
        <v>2</v>
      </c>
      <c r="E4" t="n">
        <v>3</v>
      </c>
      <c r="F4" t="n">
        <v>4</v>
      </c>
      <c r="G4" t="n">
        <v>5</v>
      </c>
      <c r="H4" t="n">
        <v>6</v>
      </c>
      <c r="I4" t="n">
        <v>7</v>
      </c>
      <c r="J4" t="n">
        <v>8</v>
      </c>
      <c r="K4" t="n">
        <v>9</v>
      </c>
      <c r="L4" t="n">
        <v>10</v>
      </c>
    </row>
    <row r="5">
      <c r="A5" s="2" t="inlineStr">
        <is>
          <t>Revenue growth YoY</t>
        </is>
      </c>
      <c r="C5" s="9" t="n">
        <v>0.03</v>
      </c>
      <c r="D5" s="9" t="n">
        <v>0.045</v>
      </c>
      <c r="E5" s="9" t="n">
        <v>0.045</v>
      </c>
      <c r="F5" s="9" t="n">
        <v>0.04</v>
      </c>
      <c r="G5" s="9" t="n">
        <v>0.035</v>
      </c>
      <c r="H5" s="9" t="n">
        <v>0.03</v>
      </c>
      <c r="I5" s="9" t="n">
        <v>0.03</v>
      </c>
      <c r="J5" s="9" t="n">
        <v>0.025</v>
      </c>
      <c r="K5" s="9" t="n">
        <v>0.025</v>
      </c>
      <c r="L5" s="9" t="n">
        <v>0.025</v>
      </c>
    </row>
    <row r="6">
      <c r="A6" s="2" t="inlineStr">
        <is>
          <t>Revenue</t>
        </is>
      </c>
      <c r="B6" s="4" t="n">
        <v>813.651</v>
      </c>
      <c r="C6">
        <f>B6*(1+C5)</f>
        <v/>
      </c>
      <c r="D6">
        <f>C6*(1+D5)</f>
        <v/>
      </c>
      <c r="E6">
        <f>D6*(1+E5)</f>
        <v/>
      </c>
      <c r="F6">
        <f>E6*(1+F5)</f>
        <v/>
      </c>
      <c r="G6">
        <f>F6*(1+G5)</f>
        <v/>
      </c>
      <c r="H6">
        <f>G6*(1+H5)</f>
        <v/>
      </c>
      <c r="I6">
        <f>H6*(1+I5)</f>
        <v/>
      </c>
      <c r="J6">
        <f>I6*(1+J5)</f>
        <v/>
      </c>
      <c r="K6">
        <f>J6*(1+K5)</f>
        <v/>
      </c>
      <c r="L6">
        <f>K6*(1+L5)</f>
        <v/>
      </c>
    </row>
    <row r="7">
      <c r="A7" s="2" t="inlineStr">
        <is>
          <t>Adj EBITDA margin</t>
        </is>
      </c>
      <c r="C7" s="9" t="n">
        <v>0.21</v>
      </c>
      <c r="D7" s="9" t="n">
        <v>0.24</v>
      </c>
      <c r="E7" s="9" t="n">
        <v>0.265</v>
      </c>
      <c r="F7" s="9" t="n">
        <v>0.275</v>
      </c>
      <c r="G7" s="9" t="n">
        <v>0.28</v>
      </c>
      <c r="H7" s="9" t="n">
        <v>0.28</v>
      </c>
      <c r="I7" s="9" t="n">
        <v>0.28</v>
      </c>
      <c r="J7" s="9" t="n">
        <v>0.28</v>
      </c>
      <c r="K7" s="9" t="n">
        <v>0.28</v>
      </c>
      <c r="L7" s="9" t="n">
        <v>0.28</v>
      </c>
    </row>
    <row r="8">
      <c r="A8" t="inlineStr">
        <is>
          <t>Adjusted EBITDA</t>
        </is>
      </c>
      <c r="C8">
        <f>C6*C7</f>
        <v/>
      </c>
      <c r="D8">
        <f>D6*D7</f>
        <v/>
      </c>
      <c r="E8">
        <f>E6*E7</f>
        <v/>
      </c>
      <c r="F8">
        <f>F6*F7</f>
        <v/>
      </c>
      <c r="G8">
        <f>G6*G7</f>
        <v/>
      </c>
      <c r="H8">
        <f>H6*H7</f>
        <v/>
      </c>
      <c r="I8">
        <f>I6*I7</f>
        <v/>
      </c>
      <c r="J8">
        <f>J6*J7</f>
        <v/>
      </c>
      <c r="K8">
        <f>K6*K7</f>
        <v/>
      </c>
      <c r="L8">
        <f>L6*L7</f>
        <v/>
      </c>
    </row>
    <row r="9">
      <c r="A9" s="2" t="inlineStr">
        <is>
          <t>SBC % of revenue</t>
        </is>
      </c>
      <c r="C9" s="10" t="n">
        <v>0.001</v>
      </c>
      <c r="D9" s="10" t="n">
        <v>0.001</v>
      </c>
      <c r="E9" s="10" t="n">
        <v>0.001</v>
      </c>
      <c r="F9" s="10" t="n">
        <v>0.001</v>
      </c>
      <c r="G9" s="10" t="n">
        <v>0.001</v>
      </c>
      <c r="H9" s="10" t="n">
        <v>0.001</v>
      </c>
      <c r="I9" s="10" t="n">
        <v>0.001</v>
      </c>
      <c r="J9" s="10" t="n">
        <v>0.001</v>
      </c>
      <c r="K9" s="10" t="n">
        <v>0.001</v>
      </c>
      <c r="L9" s="10" t="n">
        <v>0.001</v>
      </c>
    </row>
    <row r="10">
      <c r="A10" t="inlineStr">
        <is>
          <t>SBC (negative)</t>
        </is>
      </c>
      <c r="C10">
        <f>-C6*C9</f>
        <v/>
      </c>
      <c r="D10">
        <f>-D6*D9</f>
        <v/>
      </c>
      <c r="E10">
        <f>-E6*E9</f>
        <v/>
      </c>
      <c r="F10">
        <f>-F6*F9</f>
        <v/>
      </c>
      <c r="G10">
        <f>-G6*G9</f>
        <v/>
      </c>
      <c r="H10">
        <f>-H6*H9</f>
        <v/>
      </c>
      <c r="I10">
        <f>-I6*I9</f>
        <v/>
      </c>
      <c r="J10">
        <f>-J6*J9</f>
        <v/>
      </c>
      <c r="K10">
        <f>-K6*K9</f>
        <v/>
      </c>
      <c r="L10">
        <f>-L6*L9</f>
        <v/>
      </c>
    </row>
    <row r="11">
      <c r="A11" t="inlineStr">
        <is>
          <t>Owner EBITDA</t>
        </is>
      </c>
      <c r="C11">
        <f>C8+C10</f>
        <v/>
      </c>
      <c r="D11">
        <f>D8+D10</f>
        <v/>
      </c>
      <c r="E11">
        <f>E8+E10</f>
        <v/>
      </c>
      <c r="F11">
        <f>F8+F10</f>
        <v/>
      </c>
      <c r="G11">
        <f>G8+G10</f>
        <v/>
      </c>
      <c r="H11">
        <f>H8+H10</f>
        <v/>
      </c>
      <c r="I11">
        <f>I8+I10</f>
        <v/>
      </c>
      <c r="J11">
        <f>J8+J10</f>
        <v/>
      </c>
      <c r="K11">
        <f>K8+K10</f>
        <v/>
      </c>
      <c r="L11">
        <f>L8+L10</f>
        <v/>
      </c>
    </row>
    <row r="12">
      <c r="A12" t="inlineStr">
        <is>
          <t>D&amp;A (negative)</t>
        </is>
      </c>
      <c r="C12">
        <f>-C6*Assumptions!$B$3</f>
        <v/>
      </c>
      <c r="D12">
        <f>-D6*Assumptions!$B$3</f>
        <v/>
      </c>
      <c r="E12">
        <f>-E6*Assumptions!$B$3</f>
        <v/>
      </c>
      <c r="F12">
        <f>-F6*Assumptions!$B$3</f>
        <v/>
      </c>
      <c r="G12">
        <f>-G6*Assumptions!$B$3</f>
        <v/>
      </c>
      <c r="H12">
        <f>-H6*Assumptions!$B$3</f>
        <v/>
      </c>
      <c r="I12">
        <f>-I6*Assumptions!$B$3</f>
        <v/>
      </c>
      <c r="J12">
        <f>-J6*Assumptions!$B$3</f>
        <v/>
      </c>
      <c r="K12">
        <f>-K6*Assumptions!$B$3</f>
        <v/>
      </c>
      <c r="L12">
        <f>-L6*Assumptions!$B$3</f>
        <v/>
      </c>
    </row>
    <row r="13">
      <c r="A13" t="inlineStr">
        <is>
          <t>EBIT</t>
        </is>
      </c>
      <c r="C13">
        <f>C11+C12</f>
        <v/>
      </c>
      <c r="D13">
        <f>D11+D12</f>
        <v/>
      </c>
      <c r="E13">
        <f>E11+E12</f>
        <v/>
      </c>
      <c r="F13">
        <f>F11+F12</f>
        <v/>
      </c>
      <c r="G13">
        <f>G11+G12</f>
        <v/>
      </c>
      <c r="H13">
        <f>H11+H12</f>
        <v/>
      </c>
      <c r="I13">
        <f>I11+I12</f>
        <v/>
      </c>
      <c r="J13">
        <f>J11+J12</f>
        <v/>
      </c>
      <c r="K13">
        <f>K11+K12</f>
        <v/>
      </c>
      <c r="L13">
        <f>L11+L12</f>
        <v/>
      </c>
    </row>
    <row r="14">
      <c r="A14" s="2" t="inlineStr">
        <is>
          <t>Cash tax rate</t>
        </is>
      </c>
      <c r="C14" s="9" t="n">
        <v>0.08</v>
      </c>
      <c r="D14" s="9" t="n">
        <v>0.16</v>
      </c>
      <c r="E14" s="9" t="n">
        <v>0.22</v>
      </c>
      <c r="F14" s="9" t="n">
        <v>0.28</v>
      </c>
      <c r="G14" s="9" t="n">
        <v>0.28</v>
      </c>
      <c r="H14" s="9" t="n">
        <v>0.28</v>
      </c>
      <c r="I14" s="9" t="n">
        <v>0.28</v>
      </c>
      <c r="J14" s="9" t="n">
        <v>0.28</v>
      </c>
      <c r="K14" s="9" t="n">
        <v>0.28</v>
      </c>
      <c r="L14" s="9" t="n">
        <v>0.28</v>
      </c>
    </row>
    <row r="15">
      <c r="A15" t="inlineStr">
        <is>
          <t>NOPAT</t>
        </is>
      </c>
      <c r="C15">
        <f>C13*(1-C14)</f>
        <v/>
      </c>
      <c r="D15">
        <f>D13*(1-D14)</f>
        <v/>
      </c>
      <c r="E15">
        <f>E13*(1-E14)</f>
        <v/>
      </c>
      <c r="F15">
        <f>F13*(1-F14)</f>
        <v/>
      </c>
      <c r="G15">
        <f>G13*(1-G14)</f>
        <v/>
      </c>
      <c r="H15">
        <f>H13*(1-H14)</f>
        <v/>
      </c>
      <c r="I15">
        <f>I13*(1-I14)</f>
        <v/>
      </c>
      <c r="J15">
        <f>J13*(1-J14)</f>
        <v/>
      </c>
      <c r="K15">
        <f>K13*(1-K14)</f>
        <v/>
      </c>
      <c r="L15">
        <f>L13*(1-L14)</f>
        <v/>
      </c>
    </row>
    <row r="16">
      <c r="A16" t="inlineStr">
        <is>
          <t>add back D&amp;A</t>
        </is>
      </c>
      <c r="C16">
        <f>-C12</f>
        <v/>
      </c>
      <c r="D16">
        <f>-D12</f>
        <v/>
      </c>
      <c r="E16">
        <f>-E12</f>
        <v/>
      </c>
      <c r="F16">
        <f>-F12</f>
        <v/>
      </c>
      <c r="G16">
        <f>-G12</f>
        <v/>
      </c>
      <c r="H16">
        <f>-H12</f>
        <v/>
      </c>
      <c r="I16">
        <f>-I12</f>
        <v/>
      </c>
      <c r="J16">
        <f>-J12</f>
        <v/>
      </c>
      <c r="K16">
        <f>-K12</f>
        <v/>
      </c>
      <c r="L16">
        <f>-L12</f>
        <v/>
      </c>
    </row>
    <row r="17">
      <c r="A17" t="inlineStr">
        <is>
          <t>less capex</t>
        </is>
      </c>
      <c r="C17">
        <f>-C6*0.105</f>
        <v/>
      </c>
      <c r="D17">
        <f>-D6*0.1</f>
        <v/>
      </c>
      <c r="E17">
        <f>-E6*0.095</f>
        <v/>
      </c>
      <c r="F17">
        <f>-F6*0.095</f>
        <v/>
      </c>
      <c r="G17">
        <f>-G6*0.095</f>
        <v/>
      </c>
      <c r="H17">
        <f>-H6*0.095</f>
        <v/>
      </c>
      <c r="I17">
        <f>-I6*0.095</f>
        <v/>
      </c>
      <c r="J17">
        <f>-J6*0.095</f>
        <v/>
      </c>
      <c r="K17">
        <f>-K6*0.095</f>
        <v/>
      </c>
      <c r="L17">
        <f>-L6*0.095</f>
        <v/>
      </c>
    </row>
    <row r="18">
      <c r="A18" t="inlineStr">
        <is>
          <t>Working capital</t>
        </is>
      </c>
      <c r="C18" t="n">
        <v>0</v>
      </c>
      <c r="D18" t="n">
        <v>0</v>
      </c>
      <c r="E18" t="n">
        <v>0</v>
      </c>
      <c r="F18" t="n">
        <v>0</v>
      </c>
      <c r="G18" t="n">
        <v>0</v>
      </c>
      <c r="H18" t="n">
        <v>0</v>
      </c>
      <c r="I18" t="n">
        <v>0</v>
      </c>
      <c r="J18" t="n">
        <v>0</v>
      </c>
      <c r="K18" t="n">
        <v>0</v>
      </c>
      <c r="L18" t="n">
        <v>0</v>
      </c>
    </row>
    <row r="19">
      <c r="A19" s="2" t="inlineStr">
        <is>
          <t>UNLEVERED OWNER FCF</t>
        </is>
      </c>
      <c r="C19" s="2">
        <f>C15+C16+C17+C18</f>
        <v/>
      </c>
      <c r="D19" s="2">
        <f>D15+D16+D17+D18</f>
        <v/>
      </c>
      <c r="E19" s="2">
        <f>E15+E16+E17+E18</f>
        <v/>
      </c>
      <c r="F19" s="2">
        <f>F15+F16+F17+F18</f>
        <v/>
      </c>
      <c r="G19" s="2">
        <f>G15+G16+G17+G18</f>
        <v/>
      </c>
      <c r="H19" s="2">
        <f>H15+H16+H17+H18</f>
        <v/>
      </c>
      <c r="I19" s="2">
        <f>I15+I16+I17+I18</f>
        <v/>
      </c>
      <c r="J19" s="2">
        <f>J15+J16+J17+J18</f>
        <v/>
      </c>
      <c r="K19" s="2">
        <f>K15+K16+K17+K18</f>
        <v/>
      </c>
      <c r="L19" s="2">
        <f>L15+L16+L17+L18</f>
        <v/>
      </c>
    </row>
    <row r="20">
      <c r="A20" t="inlineStr">
        <is>
          <t>Discount factor</t>
        </is>
      </c>
      <c r="C20">
        <f>1/(1+Assumptions!$B$2)^C4</f>
        <v/>
      </c>
      <c r="D20">
        <f>1/(1+Assumptions!$B$2)^D4</f>
        <v/>
      </c>
      <c r="E20">
        <f>1/(1+Assumptions!$B$2)^E4</f>
        <v/>
      </c>
      <c r="F20">
        <f>1/(1+Assumptions!$B$2)^F4</f>
        <v/>
      </c>
      <c r="G20">
        <f>1/(1+Assumptions!$B$2)^G4</f>
        <v/>
      </c>
      <c r="H20">
        <f>1/(1+Assumptions!$B$2)^H4</f>
        <v/>
      </c>
      <c r="I20">
        <f>1/(1+Assumptions!$B$2)^I4</f>
        <v/>
      </c>
      <c r="J20">
        <f>1/(1+Assumptions!$B$2)^J4</f>
        <v/>
      </c>
      <c r="K20">
        <f>1/(1+Assumptions!$B$2)^K4</f>
        <v/>
      </c>
      <c r="L20">
        <f>1/(1+Assumptions!$B$2)^L4</f>
        <v/>
      </c>
    </row>
    <row r="21">
      <c r="A21" t="inlineStr">
        <is>
          <t>PV of FCF</t>
        </is>
      </c>
      <c r="C21">
        <f>C19*C20</f>
        <v/>
      </c>
      <c r="D21">
        <f>D19*D20</f>
        <v/>
      </c>
      <c r="E21">
        <f>E19*E20</f>
        <v/>
      </c>
      <c r="F21">
        <f>F19*F20</f>
        <v/>
      </c>
      <c r="G21">
        <f>G19*G20</f>
        <v/>
      </c>
      <c r="H21">
        <f>H19*H20</f>
        <v/>
      </c>
      <c r="I21">
        <f>I19*I20</f>
        <v/>
      </c>
      <c r="J21">
        <f>J19*J20</f>
        <v/>
      </c>
      <c r="K21">
        <f>K19*K20</f>
        <v/>
      </c>
      <c r="L21">
        <f>L19*L20</f>
        <v/>
      </c>
    </row>
    <row r="23">
      <c r="A23" t="inlineStr">
        <is>
          <t>Memo: FCF before SBC</t>
        </is>
      </c>
      <c r="C23">
        <f>C19-C10</f>
        <v/>
      </c>
      <c r="D23">
        <f>D19-D10</f>
        <v/>
      </c>
      <c r="E23">
        <f>E19-E10</f>
        <v/>
      </c>
      <c r="F23">
        <f>F19-F10</f>
        <v/>
      </c>
      <c r="G23">
        <f>G19-G10</f>
        <v/>
      </c>
      <c r="H23">
        <f>H19-H10</f>
        <v/>
      </c>
      <c r="I23">
        <f>I19-I10</f>
        <v/>
      </c>
      <c r="J23">
        <f>J19-J10</f>
        <v/>
      </c>
      <c r="K23">
        <f>K19-K10</f>
        <v/>
      </c>
      <c r="L23">
        <f>L19-L10</f>
        <v/>
      </c>
    </row>
    <row r="24">
      <c r="A24" t="inlineStr">
        <is>
          <t>Memo: owner-FCF margin</t>
        </is>
      </c>
      <c r="C24" s="11">
        <f>C19/C6</f>
        <v/>
      </c>
      <c r="D24" s="11">
        <f>D19/D6</f>
        <v/>
      </c>
      <c r="E24" s="11">
        <f>E19/E6</f>
        <v/>
      </c>
      <c r="F24" s="11">
        <f>F19/F6</f>
        <v/>
      </c>
      <c r="G24" s="11">
        <f>G19/G6</f>
        <v/>
      </c>
      <c r="H24" s="11">
        <f>H19/H6</f>
        <v/>
      </c>
      <c r="I24" s="11">
        <f>I19/I6</f>
        <v/>
      </c>
      <c r="J24" s="11">
        <f>J19/J6</f>
        <v/>
      </c>
      <c r="K24" s="11">
        <f>K19/K6</f>
        <v/>
      </c>
      <c r="L24" s="11">
        <f>L19/L6</f>
        <v/>
      </c>
    </row>
    <row r="26">
      <c r="A26" s="2" t="inlineStr">
        <is>
          <t>Sum of PV of FCF</t>
        </is>
      </c>
      <c r="B26">
        <f>SUM(C21:L21)</f>
        <v/>
      </c>
    </row>
    <row r="27">
      <c r="A27" s="2" t="inlineStr">
        <is>
          <t>Terminal growth</t>
        </is>
      </c>
      <c r="B27">
        <f>Assumptions!$D$13</f>
        <v/>
      </c>
    </row>
    <row r="28">
      <c r="A28" s="2" t="inlineStr">
        <is>
          <t>Terminal-year FCF</t>
        </is>
      </c>
      <c r="B28">
        <f>L19*(1+B27)</f>
        <v/>
      </c>
    </row>
    <row r="29">
      <c r="A29" s="2" t="inlineStr">
        <is>
          <t>Gordon terminal value</t>
        </is>
      </c>
      <c r="B29">
        <f>B28/(Assumptions!$B$2-B27)</f>
        <v/>
      </c>
    </row>
    <row r="30">
      <c r="A30" s="2" t="inlineStr">
        <is>
          <t>Cap terminal value</t>
        </is>
      </c>
      <c r="B30">
        <f>Assumptions!$D$14*L19</f>
        <v/>
      </c>
    </row>
    <row r="31">
      <c r="A31" s="2" t="inlineStr">
        <is>
          <t>Terminal value used</t>
        </is>
      </c>
      <c r="B31">
        <f>MAX(0,MIN(B29,B30))</f>
        <v/>
      </c>
    </row>
    <row r="32">
      <c r="A32" s="2" t="inlineStr">
        <is>
          <t>Implied exit multiple</t>
        </is>
      </c>
      <c r="B32">
        <f>B31/L19</f>
        <v/>
      </c>
    </row>
    <row r="33">
      <c r="A33" s="2" t="inlineStr">
        <is>
          <t>PV of terminal value</t>
        </is>
      </c>
      <c r="B33">
        <f>B31*L20</f>
        <v/>
      </c>
    </row>
    <row r="34">
      <c r="A34" s="2" t="inlineStr">
        <is>
          <t>Enterprise value</t>
        </is>
      </c>
      <c r="B34">
        <f>B26+B33</f>
        <v/>
      </c>
    </row>
    <row r="35">
      <c r="A35" s="2" t="inlineStr">
        <is>
          <t>less net debt</t>
        </is>
      </c>
      <c r="B35">
        <f>-Assumptions!$B$4</f>
        <v/>
      </c>
    </row>
    <row r="36">
      <c r="A36" s="2" t="inlineStr">
        <is>
          <t>add non-operating assets</t>
        </is>
      </c>
      <c r="B36">
        <f>Assumptions!$D$15</f>
        <v/>
      </c>
    </row>
    <row r="37">
      <c r="A37" s="2" t="inlineStr">
        <is>
          <t>Equity value</t>
        </is>
      </c>
      <c r="B37">
        <f>B34+B35+B36</f>
        <v/>
      </c>
    </row>
    <row r="38">
      <c r="A38" s="2" t="inlineStr">
        <is>
          <t>Shares on issue (m)</t>
        </is>
      </c>
      <c r="B38">
        <f>Assumptions!$B$5</f>
        <v/>
      </c>
    </row>
    <row r="39">
      <c r="A39" s="2" t="inlineStr">
        <is>
          <t>VALUE PER SHARE</t>
        </is>
      </c>
      <c r="B39" s="5">
        <f>B37/B38</f>
        <v/>
      </c>
    </row>
    <row r="40">
      <c r="A40" s="2" t="inlineStr">
        <is>
          <t>Upside vs current price</t>
        </is>
      </c>
      <c r="B40" s="11">
        <f>B39/Assumptions!$B$6-1</f>
        <v/>
      </c>
    </row>
    <row r="41">
      <c r="A41" s="2" t="inlineStr">
        <is>
          <t>Implied EV / clean FY26 EBITDA</t>
        </is>
      </c>
      <c r="B41">
        <f>B34/Assumptions!$B$8</f>
        <v/>
      </c>
    </row>
    <row r="42">
      <c r="A42" s="2" t="inlineStr">
        <is>
          <t>Implied price / book</t>
        </is>
      </c>
      <c r="B42">
        <f>B39/Assumptions!$B$7</f>
        <v/>
      </c>
    </row>
    <row r="43">
      <c r="A43" s="2" t="inlineStr">
        <is>
          <t>Street basis: SBC is immaterial (0.09% of revenue), so street equals house.</t>
        </is>
      </c>
    </row>
    <row r="44">
      <c r="A44" s="2" t="inlineStr">
        <is>
          <t>Street value per share</t>
        </is>
      </c>
      <c r="B44">
        <f>B39+SUMPRODUCT(-C10:L10*C20:L20)/B38</f>
        <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cols>
    <col width="44"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s>
  <sheetData>
    <row r="1">
      <c r="A1" s="3" t="inlineStr">
        <is>
          <t>Reported FCF reconciled to owner FCF (NZD m)</t>
        </is>
      </c>
    </row>
    <row r="2">
      <c r="B2" s="2" t="inlineStr">
        <is>
          <t>FY2016</t>
        </is>
      </c>
      <c r="C2" s="2" t="inlineStr">
        <is>
          <t>FY2017</t>
        </is>
      </c>
      <c r="D2" s="2" t="inlineStr">
        <is>
          <t>FY2018</t>
        </is>
      </c>
      <c r="E2" s="2" t="inlineStr">
        <is>
          <t>FY2019</t>
        </is>
      </c>
      <c r="F2" s="2" t="inlineStr">
        <is>
          <t>FY2020</t>
        </is>
      </c>
      <c r="G2" s="2" t="inlineStr">
        <is>
          <t>FY2021</t>
        </is>
      </c>
      <c r="H2" s="2" t="inlineStr">
        <is>
          <t>FY2022</t>
        </is>
      </c>
      <c r="I2" s="2" t="inlineStr">
        <is>
          <t>FY2023</t>
        </is>
      </c>
      <c r="J2" s="2" t="inlineStr">
        <is>
          <t>FY2024</t>
        </is>
      </c>
      <c r="K2" s="2" t="inlineStr">
        <is>
          <t>FY2025</t>
        </is>
      </c>
      <c r="L2" s="2" t="inlineStr">
        <is>
          <t>FY2026</t>
        </is>
      </c>
    </row>
    <row r="3">
      <c r="A3" s="2" t="inlineStr">
        <is>
          <t>Operating cash flow</t>
        </is>
      </c>
      <c r="B3" s="4" t="n">
        <v>305.2</v>
      </c>
      <c r="C3" s="4" t="n">
        <v>279.5</v>
      </c>
      <c r="D3" s="4" t="n">
        <v>289.1</v>
      </c>
      <c r="E3" s="4" t="n">
        <v>252.3</v>
      </c>
      <c r="F3" s="4" t="n">
        <v>120.2</v>
      </c>
      <c r="G3" s="4" t="n">
        <v>288.2</v>
      </c>
      <c r="H3" s="4" t="n">
        <v>91.09999999999999</v>
      </c>
      <c r="I3" s="4" t="n">
        <v>280.1</v>
      </c>
      <c r="J3" s="4" t="n">
        <v>203.6</v>
      </c>
      <c r="K3" s="4" t="n">
        <v>45.2</v>
      </c>
      <c r="L3" s="4" t="n">
        <v>121.676</v>
      </c>
    </row>
    <row r="4">
      <c r="A4" s="2" t="inlineStr">
        <is>
          <t>less capex</t>
        </is>
      </c>
      <c r="B4" s="4" t="n">
        <v>-156.5</v>
      </c>
      <c r="C4" s="4" t="n">
        <v>-158.6</v>
      </c>
      <c r="D4" s="4" t="n">
        <v>-215.1</v>
      </c>
      <c r="E4" s="4" t="n">
        <v>-332.8</v>
      </c>
      <c r="F4" s="4" t="n">
        <v>-345.1</v>
      </c>
      <c r="G4" s="4" t="n">
        <v>-177.5</v>
      </c>
      <c r="H4" s="4" t="n">
        <v>-111.5</v>
      </c>
      <c r="I4" s="4" t="n">
        <v>-262.9</v>
      </c>
      <c r="J4" s="4" t="n">
        <v>-310.7</v>
      </c>
      <c r="K4" s="4" t="n">
        <v>-163.8</v>
      </c>
      <c r="L4" s="4" t="n">
        <v>-113.627</v>
      </c>
    </row>
    <row r="5">
      <c r="A5" s="2" t="inlineStr">
        <is>
          <t>Free cash flow (company definition)</t>
        </is>
      </c>
      <c r="B5" s="2">
        <f>B3+B4</f>
        <v/>
      </c>
      <c r="C5" s="2">
        <f>C3+C4</f>
        <v/>
      </c>
      <c r="D5" s="2">
        <f>D3+D4</f>
        <v/>
      </c>
      <c r="E5" s="2">
        <f>E3+E4</f>
        <v/>
      </c>
      <c r="F5" s="2">
        <f>F3+F4</f>
        <v/>
      </c>
      <c r="G5" s="2">
        <f>G3+G4</f>
        <v/>
      </c>
      <c r="H5" s="2">
        <f>H3+H4</f>
        <v/>
      </c>
      <c r="I5" s="2">
        <f>I3+I4</f>
        <v/>
      </c>
      <c r="J5" s="2">
        <f>J3+J4</f>
        <v/>
      </c>
      <c r="K5" s="2">
        <f>K3+K4</f>
        <v/>
      </c>
      <c r="L5" s="2">
        <f>L3+L4</f>
        <v/>
      </c>
    </row>
    <row r="6">
      <c r="A6" s="2" t="inlineStr">
        <is>
          <t>less SBC incl equity-award taxes</t>
        </is>
      </c>
      <c r="B6" s="4" t="n">
        <v>0</v>
      </c>
      <c r="C6" s="4" t="n">
        <v>0</v>
      </c>
      <c r="D6" s="4" t="n">
        <v>0</v>
      </c>
      <c r="E6" s="4" t="n">
        <v>0</v>
      </c>
      <c r="F6" s="4" t="n">
        <v>0</v>
      </c>
      <c r="G6" s="4" t="n">
        <v>0</v>
      </c>
      <c r="H6" s="4" t="n">
        <v>0</v>
      </c>
      <c r="I6" s="4" t="n">
        <v>0</v>
      </c>
      <c r="J6" s="4" t="n">
        <v>0</v>
      </c>
      <c r="K6" s="4" t="n">
        <v>-1.247</v>
      </c>
      <c r="L6" s="4" t="n">
        <v>-0.76</v>
      </c>
    </row>
    <row r="7">
      <c r="A7" s="2" t="inlineStr">
        <is>
          <t>less interest income (not stripped - net DEBT)</t>
        </is>
      </c>
      <c r="B7" s="4" t="n">
        <v>0</v>
      </c>
      <c r="C7" s="4" t="n">
        <v>0</v>
      </c>
      <c r="D7" s="4" t="n">
        <v>0</v>
      </c>
      <c r="E7" s="4" t="n">
        <v>0</v>
      </c>
      <c r="F7" s="4" t="n">
        <v>0</v>
      </c>
      <c r="G7" s="4" t="n">
        <v>0</v>
      </c>
      <c r="H7" s="4" t="n">
        <v>0</v>
      </c>
      <c r="I7" s="4" t="n">
        <v>0</v>
      </c>
      <c r="J7" s="4" t="n">
        <v>0</v>
      </c>
      <c r="K7" s="4" t="n">
        <v>0</v>
      </c>
      <c r="L7" s="4" t="n">
        <v>0</v>
      </c>
    </row>
    <row r="8">
      <c r="A8" s="2" t="inlineStr">
        <is>
          <t>OWNER FCF</t>
        </is>
      </c>
      <c r="B8" s="2">
        <f>B5+B6+B7</f>
        <v/>
      </c>
      <c r="C8" s="2">
        <f>C5+C6+C7</f>
        <v/>
      </c>
      <c r="D8" s="2">
        <f>D5+D6+D7</f>
        <v/>
      </c>
      <c r="E8" s="2">
        <f>E5+E6+E7</f>
        <v/>
      </c>
      <c r="F8" s="2">
        <f>F5+F6+F7</f>
        <v/>
      </c>
      <c r="G8" s="2">
        <f>G5+G6+G7</f>
        <v/>
      </c>
      <c r="H8" s="2">
        <f>H5+H6+H7</f>
        <v/>
      </c>
      <c r="I8" s="2">
        <f>I5+I6+I7</f>
        <v/>
      </c>
      <c r="J8" s="2">
        <f>J5+J6+J7</f>
        <v/>
      </c>
      <c r="K8" s="2">
        <f>K5+K6+K7</f>
        <v/>
      </c>
      <c r="L8" s="2">
        <f>L5+L6+L7</f>
        <v/>
      </c>
    </row>
    <row r="10" ht="32" customHeight="1">
      <c r="A10" s="12" t="inlineStr">
        <is>
          <t>Memo: SkyCity reports interest paid in FINANCING, so operating cash flow is a PRE-INTEREST figure. FY2026 interest paid was 32.326 plus 8.212 on leases. The DCF is unlevered to match: interest is excluded from the flows and debt is deducted in the bridge.</t>
        </is>
      </c>
    </row>
    <row r="11" ht="32" customHeight="1">
      <c r="A11" s="12" t="inlineStr">
        <is>
          <t>Memo: FCF was NEGATIVE in FY2019, FY2020, FY2022, FY2024 and FY2025, so no FCF CAGR can be computed. FY2026 FCF of 8.049 is only marginally positive.</t>
        </is>
      </c>
    </row>
    <row r="12" ht="32" customHeight="1">
      <c r="A12" s="12" t="inlineStr">
        <is>
          <t>Memo: FY2026 cash tax is abnormal. Pre-tax was a LOSS of 12.071 and a 30.304 tax BENEFIT produced the positive NPAT of 18.233. The model ramps the cash tax rate to 28% by year 4.</t>
        </is>
      </c>
    </row>
    <row r="13" ht="32" customHeight="1">
      <c r="A13" s="12" t="inlineStr">
        <is>
          <t>Memo: SBC is immaterial (0.760 in FY2026, 0.09% of revenue), so the house and street bases coincide.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31"/>
  <sheetViews>
    <sheetView workbookViewId="0">
      <selection activeCell="A1" sqref="A1"/>
    </sheetView>
  </sheetViews>
  <sheetFormatPr baseColWidth="8" defaultRowHeight="15"/>
  <cols>
    <col width="42" customWidth="1" min="1" max="1"/>
    <col width="14" customWidth="1" min="2" max="2"/>
    <col width="14" customWidth="1" min="3" max="3"/>
    <col width="14" customWidth="1" min="4" max="4"/>
    <col width="14" customWidth="1" min="5" max="5"/>
    <col width="14" customWidth="1" min="6" max="6"/>
    <col width="14" customWidth="1" min="7" max="7"/>
    <col width="14" customWidth="1" min="8" max="8"/>
  </cols>
  <sheetData>
    <row r="1">
      <c r="A1" s="3" t="inlineStr">
        <is>
          <t>Scenario summary</t>
        </is>
      </c>
    </row>
    <row r="2">
      <c r="A2" s="2" t="inlineStr"/>
      <c r="B2" s="2" t="inlineStr">
        <is>
          <t>BEAR</t>
        </is>
      </c>
      <c r="C2" s="2" t="inlineStr">
        <is>
          <t>BASE</t>
        </is>
      </c>
      <c r="D2" s="2" t="inlineStr">
        <is>
          <t>BULL</t>
        </is>
      </c>
    </row>
    <row r="3">
      <c r="A3" s="2" t="inlineStr">
        <is>
          <t>Value per share</t>
        </is>
      </c>
      <c r="B3" s="13">
        <f>DCF_Bear!$B$39</f>
        <v/>
      </c>
      <c r="C3" s="13">
        <f>DCF_Base!$B$39</f>
        <v/>
      </c>
      <c r="D3" s="13">
        <f>DCF_Bull!$B$39</f>
        <v/>
      </c>
    </row>
    <row r="4">
      <c r="A4" s="2" t="inlineStr">
        <is>
          <t>Upside vs price</t>
        </is>
      </c>
      <c r="B4" s="14">
        <f>DCF_Bear!$B$40</f>
        <v/>
      </c>
      <c r="C4" s="14">
        <f>DCF_Base!$B$40</f>
        <v/>
      </c>
      <c r="D4" s="14">
        <f>DCF_Bull!$B$40</f>
        <v/>
      </c>
    </row>
    <row r="5">
      <c r="A5" s="2" t="inlineStr">
        <is>
          <t>Implied EV/clean EBITDA</t>
        </is>
      </c>
      <c r="B5" s="13">
        <f>DCF_Bear!$B$41</f>
        <v/>
      </c>
      <c r="C5" s="13">
        <f>DCF_Base!$B$41</f>
        <v/>
      </c>
      <c r="D5" s="13">
        <f>DCF_Bull!$B$41</f>
        <v/>
      </c>
    </row>
    <row r="6">
      <c r="A6" s="2" t="inlineStr">
        <is>
          <t>Implied P/B</t>
        </is>
      </c>
      <c r="B6" s="13">
        <f>DCF_Bear!$B$42</f>
        <v/>
      </c>
      <c r="C6" s="13">
        <f>DCF_Base!$B$42</f>
        <v/>
      </c>
      <c r="D6" s="13">
        <f>DCF_Bull!$B$42</f>
        <v/>
      </c>
    </row>
    <row r="7">
      <c r="A7" s="2" t="inlineStr">
        <is>
          <t>Street value per share</t>
        </is>
      </c>
      <c r="B7" s="13">
        <f>DCF_Bear!$B$44</f>
        <v/>
      </c>
      <c r="C7" s="13">
        <f>DCF_Base!$B$44</f>
        <v/>
      </c>
      <c r="D7" s="13">
        <f>DCF_Bull!$B$44</f>
        <v/>
      </c>
    </row>
    <row r="8">
      <c r="A8" s="2" t="inlineStr">
        <is>
          <t>Probability weight</t>
        </is>
      </c>
      <c r="B8" s="13">
        <f>Assumptions!B16</f>
        <v/>
      </c>
      <c r="C8" s="13">
        <f>Assumptions!C16</f>
        <v/>
      </c>
      <c r="D8" s="13">
        <f>Assumptions!D16</f>
        <v/>
      </c>
    </row>
    <row r="10">
      <c r="A10" s="2" t="inlineStr">
        <is>
          <t>PROBABILITY-WEIGHTED VALUE</t>
        </is>
      </c>
      <c r="B10" s="5">
        <f>SUMPRODUCT(B3:D3,B8:D8)</f>
        <v/>
      </c>
    </row>
    <row r="11">
      <c r="A11" s="2" t="inlineStr">
        <is>
          <t>Current price</t>
        </is>
      </c>
      <c r="B11" s="13">
        <f>Assumptions!$B$6</f>
        <v/>
      </c>
    </row>
    <row r="12">
      <c r="A12" s="2" t="inlineStr">
        <is>
          <t>Upside vs weighted value</t>
        </is>
      </c>
      <c r="B12" s="11">
        <f>B10/B11-1</f>
        <v/>
      </c>
    </row>
    <row r="13">
      <c r="A13" s="2" t="inlineStr">
        <is>
          <t>Margin of safety</t>
        </is>
      </c>
      <c r="B13" s="11">
        <f>1-B11/B10</f>
        <v/>
      </c>
    </row>
    <row r="14">
      <c r="A14" s="2" t="inlineStr">
        <is>
          <t>Band position (house vs street)</t>
        </is>
      </c>
      <c r="B14" t="inlineStr">
        <is>
          <t>n/a - SBC immaterial, house and street coincide</t>
        </is>
      </c>
    </row>
    <row r="16">
      <c r="A16" s="3" t="inlineStr">
        <is>
          <t>15% hurdle entry price</t>
        </is>
      </c>
    </row>
    <row r="17">
      <c r="A17" s="2" t="inlineStr"/>
      <c r="B17" s="2" t="inlineStr">
        <is>
          <t>BEAR</t>
        </is>
      </c>
      <c r="C17" s="2" t="inlineStr">
        <is>
          <t>BASE</t>
        </is>
      </c>
      <c r="D17" s="2" t="inlineStr">
        <is>
          <t>BULL</t>
        </is>
      </c>
    </row>
    <row r="18">
      <c r="A18" s="2" t="inlineStr">
        <is>
          <t>Entry price at 15% hurdle</t>
        </is>
      </c>
      <c r="B18">
        <f>(SUMPRODUCT(DCF_Bear!C19:L19,1/(1.15)^DCF_Bear!C4:L4)+DCF_Bear!B31/1.15^10-Assumptions!$B$4+Assumptions!B15)/Assumptions!$B$5</f>
        <v/>
      </c>
      <c r="C18">
        <f>(SUMPRODUCT(DCF_Base!C19:L19,1/(1.15)^DCF_Base!C4:L4)+DCF_Base!B31/1.15^10-Assumptions!$B$4+Assumptions!C15)/Assumptions!$B$5</f>
        <v/>
      </c>
      <c r="D18">
        <f>(SUMPRODUCT(DCF_Bull!C19:L19,1/(1.15)^DCF_Bull!C4:L4)+DCF_Bull!B31/1.15^10-Assumptions!$B$4+Assumptions!D15)/Assumptions!$B$5</f>
        <v/>
      </c>
    </row>
    <row r="19">
      <c r="A19" s="2" t="inlineStr">
        <is>
          <t>WEIGHTED ENTRY PRICE</t>
        </is>
      </c>
      <c r="B19" s="5">
        <f>SUMPRODUCT(B18:D18,B8:D8)</f>
        <v/>
      </c>
    </row>
    <row r="21">
      <c r="A21" s="3" t="inlineStr">
        <is>
          <t>Required-return table (base case)</t>
        </is>
      </c>
    </row>
    <row r="22">
      <c r="A22" s="2" t="inlineStr">
        <is>
          <t>Required return</t>
        </is>
      </c>
      <c r="B22" s="11" t="n">
        <v>0.09</v>
      </c>
      <c r="C22" s="11" t="n">
        <v>0.1</v>
      </c>
      <c r="D22" s="11" t="n">
        <v>0.11</v>
      </c>
      <c r="E22" s="11" t="n">
        <v>0.115</v>
      </c>
      <c r="F22" s="11" t="n">
        <v>0.12</v>
      </c>
      <c r="G22" s="11" t="n">
        <v>0.15</v>
      </c>
    </row>
    <row r="23">
      <c r="A23" s="2" t="inlineStr">
        <is>
          <t>Value per share</t>
        </is>
      </c>
      <c r="B23">
        <f>(SUMPRODUCT(DCF_Base!C19:L19,1/(1+0.09)^DCF_Base!C4:L4)+MAX(0,MIN(DCF_Base!L19*(1+DCF_Base!B27)/(0.09-DCF_Base!B27),DCF_Base!B30))/(1+0.09)^10-Assumptions!$B$4+Assumptions!C15)/Assumptions!$B$5</f>
        <v/>
      </c>
      <c r="C23">
        <f>(SUMPRODUCT(DCF_Base!C19:L19,1/(1+0.1)^DCF_Base!C4:L4)+MAX(0,MIN(DCF_Base!L19*(1+DCF_Base!B27)/(0.1-DCF_Base!B27),DCF_Base!B30))/(1+0.1)^10-Assumptions!$B$4+Assumptions!C15)/Assumptions!$B$5</f>
        <v/>
      </c>
      <c r="D23">
        <f>(SUMPRODUCT(DCF_Base!C19:L19,1/(1+0.11)^DCF_Base!C4:L4)+MAX(0,MIN(DCF_Base!L19*(1+DCF_Base!B27)/(0.11-DCF_Base!B27),DCF_Base!B30))/(1+0.11)^10-Assumptions!$B$4+Assumptions!C15)/Assumptions!$B$5</f>
        <v/>
      </c>
      <c r="E23">
        <f>(SUMPRODUCT(DCF_Base!C19:L19,1/(1+0.115)^DCF_Base!C4:L4)+MAX(0,MIN(DCF_Base!L19*(1+DCF_Base!B27)/(0.115-DCF_Base!B27),DCF_Base!B30))/(1+0.115)^10-Assumptions!$B$4+Assumptions!C15)/Assumptions!$B$5</f>
        <v/>
      </c>
      <c r="F23">
        <f>(SUMPRODUCT(DCF_Base!C19:L19,1/(1+0.12)^DCF_Base!C4:L4)+MAX(0,MIN(DCF_Base!L19*(1+DCF_Base!B27)/(0.12-DCF_Base!B27),DCF_Base!B30))/(1+0.12)^10-Assumptions!$B$4+Assumptions!C15)/Assumptions!$B$5</f>
        <v/>
      </c>
      <c r="G23">
        <f>(SUMPRODUCT(DCF_Base!C19:L19,1/(1+0.15)^DCF_Base!C4:L4)+MAX(0,MIN(DCF_Base!L19*(1+DCF_Base!B27)/(0.15-DCF_Base!B27),DCF_Base!B30))/(1+0.15)^10-Assumptions!$B$4+Assumptions!C15)/Assumptions!$B$5</f>
        <v/>
      </c>
    </row>
    <row r="25">
      <c r="A25" s="3" t="inlineStr">
        <is>
          <t>Sensitivity: WACC (rows) x terminal growth (cols), base case</t>
        </is>
      </c>
    </row>
    <row r="26">
      <c r="B26" s="11" t="n">
        <v>0.015</v>
      </c>
      <c r="C26" s="11" t="n">
        <v>0.02</v>
      </c>
      <c r="D26" s="11" t="n">
        <v>0.025</v>
      </c>
      <c r="E26" s="11" t="n">
        <v>0.03</v>
      </c>
      <c r="F26" s="11" t="n">
        <v>0.035</v>
      </c>
    </row>
    <row r="27">
      <c r="A27" s="11" t="n">
        <v>0.095</v>
      </c>
      <c r="B27">
        <f>IF(0.095&lt;=0.015,"n/a",(SUMPRODUCT(DCF_Base!C19:L19,1/(1+0.095)^DCF_Base!C4:L4)+MAX(0,MIN(DCF_Base!L19*(1+0.015)/(0.095-0.015),DCF_Base!B30))/(1+0.095)^10-Assumptions!$B$4+Assumptions!C15)/Assumptions!$B$5)</f>
        <v/>
      </c>
      <c r="C27">
        <f>IF(0.095&lt;=0.02,"n/a",(SUMPRODUCT(DCF_Base!C19:L19,1/(1+0.095)^DCF_Base!C4:L4)+MAX(0,MIN(DCF_Base!L19*(1+0.02)/(0.095-0.02),DCF_Base!B30))/(1+0.095)^10-Assumptions!$B$4+Assumptions!C15)/Assumptions!$B$5)</f>
        <v/>
      </c>
      <c r="D27">
        <f>IF(0.095&lt;=0.025,"n/a",(SUMPRODUCT(DCF_Base!C19:L19,1/(1+0.095)^DCF_Base!C4:L4)+MAX(0,MIN(DCF_Base!L19*(1+0.025)/(0.095-0.025),DCF_Base!B30))/(1+0.095)^10-Assumptions!$B$4+Assumptions!C15)/Assumptions!$B$5)</f>
        <v/>
      </c>
      <c r="E27">
        <f>IF(0.095&lt;=0.03,"n/a",(SUMPRODUCT(DCF_Base!C19:L19,1/(1+0.095)^DCF_Base!C4:L4)+MAX(0,MIN(DCF_Base!L19*(1+0.03)/(0.095-0.03),DCF_Base!B30))/(1+0.095)^10-Assumptions!$B$4+Assumptions!C15)/Assumptions!$B$5)</f>
        <v/>
      </c>
      <c r="F27">
        <f>IF(0.095&lt;=0.035,"n/a",(SUMPRODUCT(DCF_Base!C19:L19,1/(1+0.095)^DCF_Base!C4:L4)+MAX(0,MIN(DCF_Base!L19*(1+0.035)/(0.095-0.035),DCF_Base!B30))/(1+0.095)^10-Assumptions!$B$4+Assumptions!C15)/Assumptions!$B$5)</f>
        <v/>
      </c>
    </row>
    <row r="28">
      <c r="A28" s="11" t="n">
        <v>0.105</v>
      </c>
      <c r="B28">
        <f>IF(0.105&lt;=0.015,"n/a",(SUMPRODUCT(DCF_Base!C19:L19,1/(1+0.105)^DCF_Base!C4:L4)+MAX(0,MIN(DCF_Base!L19*(1+0.015)/(0.105-0.015),DCF_Base!B30))/(1+0.105)^10-Assumptions!$B$4+Assumptions!C15)/Assumptions!$B$5)</f>
        <v/>
      </c>
      <c r="C28">
        <f>IF(0.105&lt;=0.02,"n/a",(SUMPRODUCT(DCF_Base!C19:L19,1/(1+0.105)^DCF_Base!C4:L4)+MAX(0,MIN(DCF_Base!L19*(1+0.02)/(0.105-0.02),DCF_Base!B30))/(1+0.105)^10-Assumptions!$B$4+Assumptions!C15)/Assumptions!$B$5)</f>
        <v/>
      </c>
      <c r="D28">
        <f>IF(0.105&lt;=0.025,"n/a",(SUMPRODUCT(DCF_Base!C19:L19,1/(1+0.105)^DCF_Base!C4:L4)+MAX(0,MIN(DCF_Base!L19*(1+0.025)/(0.105-0.025),DCF_Base!B30))/(1+0.105)^10-Assumptions!$B$4+Assumptions!C15)/Assumptions!$B$5)</f>
        <v/>
      </c>
      <c r="E28">
        <f>IF(0.105&lt;=0.03,"n/a",(SUMPRODUCT(DCF_Base!C19:L19,1/(1+0.105)^DCF_Base!C4:L4)+MAX(0,MIN(DCF_Base!L19*(1+0.03)/(0.105-0.03),DCF_Base!B30))/(1+0.105)^10-Assumptions!$B$4+Assumptions!C15)/Assumptions!$B$5)</f>
        <v/>
      </c>
      <c r="F28">
        <f>IF(0.105&lt;=0.035,"n/a",(SUMPRODUCT(DCF_Base!C19:L19,1/(1+0.105)^DCF_Base!C4:L4)+MAX(0,MIN(DCF_Base!L19*(1+0.035)/(0.105-0.035),DCF_Base!B30))/(1+0.105)^10-Assumptions!$B$4+Assumptions!C15)/Assumptions!$B$5)</f>
        <v/>
      </c>
    </row>
    <row r="29">
      <c r="A29" s="11" t="n">
        <v>0.115</v>
      </c>
      <c r="B29">
        <f>IF(0.115&lt;=0.015,"n/a",(SUMPRODUCT(DCF_Base!C19:L19,1/(1+0.115)^DCF_Base!C4:L4)+MAX(0,MIN(DCF_Base!L19*(1+0.015)/(0.115-0.015),DCF_Base!B30))/(1+0.115)^10-Assumptions!$B$4+Assumptions!C15)/Assumptions!$B$5)</f>
        <v/>
      </c>
      <c r="C29">
        <f>IF(0.115&lt;=0.02,"n/a",(SUMPRODUCT(DCF_Base!C19:L19,1/(1+0.115)^DCF_Base!C4:L4)+MAX(0,MIN(DCF_Base!L19*(1+0.02)/(0.115-0.02),DCF_Base!B30))/(1+0.115)^10-Assumptions!$B$4+Assumptions!C15)/Assumptions!$B$5)</f>
        <v/>
      </c>
      <c r="D29" s="15">
        <f>IF(0.115&lt;=0.025,"n/a",(SUMPRODUCT(DCF_Base!C19:L19,1/(1+0.115)^DCF_Base!C4:L4)+MAX(0,MIN(DCF_Base!L19*(1+0.025)/(0.115-0.025),DCF_Base!B30))/(1+0.115)^10-Assumptions!$B$4+Assumptions!C15)/Assumptions!$B$5)</f>
        <v/>
      </c>
      <c r="E29">
        <f>IF(0.115&lt;=0.03,"n/a",(SUMPRODUCT(DCF_Base!C19:L19,1/(1+0.115)^DCF_Base!C4:L4)+MAX(0,MIN(DCF_Base!L19*(1+0.03)/(0.115-0.03),DCF_Base!B30))/(1+0.115)^10-Assumptions!$B$4+Assumptions!C15)/Assumptions!$B$5)</f>
        <v/>
      </c>
      <c r="F29">
        <f>IF(0.115&lt;=0.035,"n/a",(SUMPRODUCT(DCF_Base!C19:L19,1/(1+0.115)^DCF_Base!C4:L4)+MAX(0,MIN(DCF_Base!L19*(1+0.035)/(0.115-0.035),DCF_Base!B30))/(1+0.115)^10-Assumptions!$B$4+Assumptions!C15)/Assumptions!$B$5)</f>
        <v/>
      </c>
    </row>
    <row r="30">
      <c r="A30" s="11" t="n">
        <v>0.125</v>
      </c>
      <c r="B30">
        <f>IF(0.125&lt;=0.015,"n/a",(SUMPRODUCT(DCF_Base!C19:L19,1/(1+0.125)^DCF_Base!C4:L4)+MAX(0,MIN(DCF_Base!L19*(1+0.015)/(0.125-0.015),DCF_Base!B30))/(1+0.125)^10-Assumptions!$B$4+Assumptions!C15)/Assumptions!$B$5)</f>
        <v/>
      </c>
      <c r="C30">
        <f>IF(0.125&lt;=0.02,"n/a",(SUMPRODUCT(DCF_Base!C19:L19,1/(1+0.125)^DCF_Base!C4:L4)+MAX(0,MIN(DCF_Base!L19*(1+0.02)/(0.125-0.02),DCF_Base!B30))/(1+0.125)^10-Assumptions!$B$4+Assumptions!C15)/Assumptions!$B$5)</f>
        <v/>
      </c>
      <c r="D30">
        <f>IF(0.125&lt;=0.025,"n/a",(SUMPRODUCT(DCF_Base!C19:L19,1/(1+0.125)^DCF_Base!C4:L4)+MAX(0,MIN(DCF_Base!L19*(1+0.025)/(0.125-0.025),DCF_Base!B30))/(1+0.125)^10-Assumptions!$B$4+Assumptions!C15)/Assumptions!$B$5)</f>
        <v/>
      </c>
      <c r="E30">
        <f>IF(0.125&lt;=0.03,"n/a",(SUMPRODUCT(DCF_Base!C19:L19,1/(1+0.125)^DCF_Base!C4:L4)+MAX(0,MIN(DCF_Base!L19*(1+0.03)/(0.125-0.03),DCF_Base!B30))/(1+0.125)^10-Assumptions!$B$4+Assumptions!C15)/Assumptions!$B$5)</f>
        <v/>
      </c>
      <c r="F30">
        <f>IF(0.125&lt;=0.035,"n/a",(SUMPRODUCT(DCF_Base!C19:L19,1/(1+0.125)^DCF_Base!C4:L4)+MAX(0,MIN(DCF_Base!L19*(1+0.035)/(0.125-0.035),DCF_Base!B30))/(1+0.125)^10-Assumptions!$B$4+Assumptions!C15)/Assumptions!$B$5)</f>
        <v/>
      </c>
    </row>
    <row r="31">
      <c r="A31" s="11" t="n">
        <v>0.135</v>
      </c>
      <c r="B31">
        <f>IF(0.135&lt;=0.015,"n/a",(SUMPRODUCT(DCF_Base!C19:L19,1/(1+0.135)^DCF_Base!C4:L4)+MAX(0,MIN(DCF_Base!L19*(1+0.015)/(0.135-0.015),DCF_Base!B30))/(1+0.135)^10-Assumptions!$B$4+Assumptions!C15)/Assumptions!$B$5)</f>
        <v/>
      </c>
      <c r="C31">
        <f>IF(0.135&lt;=0.02,"n/a",(SUMPRODUCT(DCF_Base!C19:L19,1/(1+0.135)^DCF_Base!C4:L4)+MAX(0,MIN(DCF_Base!L19*(1+0.02)/(0.135-0.02),DCF_Base!B30))/(1+0.135)^10-Assumptions!$B$4+Assumptions!C15)/Assumptions!$B$5)</f>
        <v/>
      </c>
      <c r="D31">
        <f>IF(0.135&lt;=0.025,"n/a",(SUMPRODUCT(DCF_Base!C19:L19,1/(1+0.135)^DCF_Base!C4:L4)+MAX(0,MIN(DCF_Base!L19*(1+0.025)/(0.135-0.025),DCF_Base!B30))/(1+0.135)^10-Assumptions!$B$4+Assumptions!C15)/Assumptions!$B$5)</f>
        <v/>
      </c>
      <c r="E31">
        <f>IF(0.135&lt;=0.03,"n/a",(SUMPRODUCT(DCF_Base!C19:L19,1/(1+0.135)^DCF_Base!C4:L4)+MAX(0,MIN(DCF_Base!L19*(1+0.03)/(0.135-0.03),DCF_Base!B30))/(1+0.135)^10-Assumptions!$B$4+Assumptions!C15)/Assumptions!$B$5)</f>
        <v/>
      </c>
      <c r="F31">
        <f>IF(0.135&lt;=0.035,"n/a",(SUMPRODUCT(DCF_Base!C19:L19,1/(1+0.135)^DCF_Base!C4:L4)+MAX(0,MIN(DCF_Base!L19*(1+0.035)/(0.135-0.035),DCF_Base!B30))/(1+0.135)^10-Assumptions!$B$4+Assumptions!C15)/Assumptions!$B$5)</f>
        <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6"/>
  <sheetViews>
    <sheetView workbookViewId="0">
      <selection activeCell="A1" sqref="A1"/>
    </sheetView>
  </sheetViews>
  <sheetFormatPr baseColWidth="8" defaultRowHeight="15"/>
  <cols>
    <col width="40" customWidth="1" min="1" max="1"/>
    <col width="100" customWidth="1" min="2" max="2"/>
  </cols>
  <sheetData>
    <row r="1">
      <c r="A1" s="3" t="inlineStr">
        <is>
          <t>Step 8c sanity check - historical multiples vs implied multiples</t>
        </is>
      </c>
    </row>
    <row r="2">
      <c r="A2" s="2" t="inlineStr">
        <is>
          <t>ran</t>
        </is>
      </c>
      <c r="B2" s="12" t="inlineStr">
        <is>
          <t>True</t>
        </is>
      </c>
    </row>
    <row r="3">
      <c r="A3" s="2" t="inlineStr">
        <is>
          <t>passed</t>
        </is>
      </c>
      <c r="B3" s="12" t="inlineStr">
        <is>
          <t>False</t>
        </is>
      </c>
    </row>
    <row r="4">
      <c r="A4" s="2" t="inlineStr">
        <is>
          <t>method</t>
        </is>
      </c>
      <c r="B4" s="12" t="inlineStr">
        <is>
          <t>Ten years of Yahoo monthly closes aligned to the 30 June fiscal year end, converted to EV using each year's reported net debt and share count, versus implied multiples at the base-case IV.</t>
        </is>
      </c>
    </row>
    <row r="5">
      <c r="A5" s="2" t="inlineStr">
        <is>
          <t>primary_anchors</t>
        </is>
      </c>
      <c r="B5" s="12" t="inlineStr">
        <is>
          <t>EV/EBITDA and P/B</t>
        </is>
      </c>
    </row>
    <row r="6">
      <c r="A6" s="2" t="inlineStr">
        <is>
          <t>why_not_pe</t>
        </is>
      </c>
      <c r="B6" s="12" t="inlineStr">
        <is>
          <t>P/E is deliberately EXCLUDED as an anchor. FY2026 pre-tax was a LOSS of 12.071 and reported NPAT of 18.233 exists only because of a 30.304 tax benefit, so any implied P/E is an artefact of a distorted denominator rather than information about value.</t>
        </is>
      </c>
    </row>
    <row r="8">
      <c r="A8" s="2" t="inlineStr">
        <is>
          <t>Historical (10 years, June-aligned)</t>
        </is>
      </c>
    </row>
    <row r="9">
      <c r="A9" t="inlineStr">
        <is>
          <t>ev_ebitda_10yr_mean</t>
        </is>
      </c>
      <c r="B9" s="4" t="n">
        <v>11.75</v>
      </c>
    </row>
    <row r="10">
      <c r="A10" t="inlineStr">
        <is>
          <t>ev_ebitda_10yr_median</t>
        </is>
      </c>
      <c r="B10" s="4" t="n">
        <v>10.18</v>
      </c>
    </row>
    <row r="11">
      <c r="A11" t="inlineStr">
        <is>
          <t>ev_ebitda_ex_fy26_median</t>
        </is>
      </c>
      <c r="B11" s="4" t="n">
        <v>9.76</v>
      </c>
    </row>
    <row r="12">
      <c r="A12" t="inlineStr">
        <is>
          <t>ev_ebitda_trough</t>
        </is>
      </c>
      <c r="B12" s="4" t="n">
        <v>6.43</v>
      </c>
    </row>
    <row r="13">
      <c r="A13" t="inlineStr">
        <is>
          <t>ev_ebitda_trough_year</t>
        </is>
      </c>
      <c r="B13" s="4" t="inlineStr">
        <is>
          <t>FY2020 (COVID)</t>
        </is>
      </c>
    </row>
    <row r="14">
      <c r="A14" t="inlineStr">
        <is>
          <t>pb_10yr_mean</t>
        </is>
      </c>
      <c r="B14" s="4" t="n">
        <v>1.41</v>
      </c>
    </row>
    <row r="15">
      <c r="A15" t="inlineStr">
        <is>
          <t>pb_10yr_median</t>
        </is>
      </c>
      <c r="B15" s="4" t="n">
        <v>1.24</v>
      </c>
    </row>
    <row r="16">
      <c r="A16" t="inlineStr">
        <is>
          <t>pb_min</t>
        </is>
      </c>
      <c r="B16" s="4" t="n">
        <v>0.42</v>
      </c>
    </row>
    <row r="18">
      <c r="A18" s="2" t="inlineStr">
        <is>
          <t>Implied at base-case IV</t>
        </is>
      </c>
    </row>
    <row r="19">
      <c r="A19" t="inlineStr">
        <is>
          <t>ev_ebitda_on_clean_fy26</t>
        </is>
      </c>
      <c r="B19" s="4" t="n">
        <v>6.13</v>
      </c>
    </row>
    <row r="20">
      <c r="A20" t="inlineStr">
        <is>
          <t>ev_ebitda_on_company_underlying</t>
        </is>
      </c>
      <c r="B20" s="4" t="n">
        <v>5.15</v>
      </c>
    </row>
    <row r="21">
      <c r="A21" t="inlineStr">
        <is>
          <t>price_to_book</t>
        </is>
      </c>
      <c r="B21" s="4" t="n">
        <v>0.25</v>
      </c>
    </row>
    <row r="23">
      <c r="A23" s="2" t="inlineStr">
        <is>
          <t>Market reference</t>
        </is>
      </c>
    </row>
    <row r="24">
      <c r="A24" t="inlineStr">
        <is>
          <t>ev_ebitda_at_current_price</t>
        </is>
      </c>
      <c r="B24" s="4" t="n">
        <v>9</v>
      </c>
    </row>
    <row r="25">
      <c r="A25" t="inlineStr">
        <is>
          <t>pb_at_current_price</t>
        </is>
      </c>
      <c r="B25" s="4" t="n">
        <v>0.48</v>
      </c>
    </row>
    <row r="26">
      <c r="A26" t="inlineStr">
        <is>
          <t>ev_ebitda_at_070_bid</t>
        </is>
      </c>
      <c r="B26" s="4" t="n">
        <v>9.220000000000001</v>
      </c>
    </row>
    <row r="27">
      <c r="A27" t="inlineStr">
        <is>
          <t>ev_ebitda_at_075_bid</t>
        </is>
      </c>
      <c r="B27" s="4" t="n">
        <v>9.58</v>
      </c>
    </row>
    <row r="29">
      <c r="A29" s="2" t="inlineStr">
        <is>
          <t>Trip reasons</t>
        </is>
      </c>
    </row>
    <row r="30" ht="30" customHeight="1">
      <c r="B30" s="12" t="inlineStr">
        <is>
          <t>Base-case implied EV/EBITDA of 6.13x sits BELOW the stock's own decade trough of 6.43x (FY2020 COVID) and far below the 9.76x ex-FY26 median.</t>
        </is>
      </c>
    </row>
    <row r="31" ht="30" customHeight="1">
      <c r="B31" s="12" t="inlineStr">
        <is>
          <t>Base-case implied P/B of 0.25x is below the 0.42x all-time low set this year.</t>
        </is>
      </c>
    </row>
    <row r="32" ht="30" customHeight="1">
      <c r="B32" s="12" t="inlineStr">
        <is>
          <t>Base-case IV of 0.355 is roughly half the 0.70/0.75 at which two independent sophisticated buyers bid.</t>
        </is>
      </c>
    </row>
    <row r="34" ht="110" customHeight="1">
      <c r="A34" s="2" t="inlineStr">
        <is>
          <t>diagnosis</t>
        </is>
      </c>
      <c r="B34" s="12" t="inlineStr">
        <is>
          <t>Two distinct causes, one a genuine model error and one a real economic conclusion. (1) ERROR, now fixed: the DCF valued only operating cash flows while deducting GROSS net debt, silently discarding the non-operating assets being sold to retire that debt. Under section 7(d) an asset producing no income inside the flows must be credited in the bridge, or its value is simply lost. (2) NOT an error: after fixing that, the model still implies a multiple well below history, and testing shows that even at an 8% WACC with 3% terminal growth - rates that would ignore every documented regulatory, leverage and liquidity risk - the historic 9.76x is unreachable on these cash flows. The historic multiple was earned by a monopoly with growth, dividends, an investment-grade balance sheet and no regulatory scandal; today's SkyCity has the monopoly but none of the rest. A structurally DERATED multiple is the correct conclusion, not a modelling artefact.</t>
        </is>
      </c>
    </row>
    <row r="35" ht="110" customHeight="1">
      <c r="A35" s="2" t="inlineStr">
        <is>
          <t>fix_applied</t>
        </is>
      </c>
      <c r="B35" s="12" t="inlineStr">
        <is>
          <t>Added a scenario-differentiated non-operating asset bridge (base 91.7m: the 74.056m unconditional property sale at full value plus remaining investment property at a 15% haircut; bear 60m; bull 200m reflecting fuller delivery of the 275-300m monetisation target). Raised base terminal growth from 2.0% to 2.5% (NZ long-run inflation plus modest real pricing power on an inflation-linked monopoly asset) and the terminal FCF cap from 12x to 14x. Together these lift base IV from 0.251 to 0.355 and implied EV/EBITDA from 5.97x to 6.13x. The residual gap to history is retained deliberately and is the model's central finding.</t>
        </is>
      </c>
    </row>
    <row r="36" ht="110" customHeight="1">
      <c r="A36" s="2" t="inlineStr">
        <is>
          <t>residual_disagreement_is_the_thesis</t>
        </is>
      </c>
      <c r="B36" s="12" t="inlineStr">
        <is>
          <t>The model says 0.355, the market says 0.67 and two bidders said 0.70-0.75. The gap is almost entirely the terminal multiple: the bids underwrite a return to a ~9.5x historic multiple, this model does not. A buyer of SKC.NZ at 0.67 is paying for a multiple recovery and for balance-sheet value, not for the discounted operating cash flows.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2026-08-28T09:02:27Z</dcterms:created>
  <dcterms:modified xsi:type="dcterms:W3CDTF">2026-08-28T09:02:27Z</dcterms:modified>
</cp:coreProperties>
</file>