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Model_Info" sheetId="1" state="visible" r:id="rId3"/>
    <sheet name="Actuals" sheetId="2" state="visible" r:id="rId4"/>
    <sheet name="Assumptions" sheetId="3" state="visible" r:id="rId5"/>
    <sheet name="DCF_Bear" sheetId="4" state="visible" r:id="rId6"/>
    <sheet name="DCF_Base" sheetId="5" state="visible" r:id="rId7"/>
    <sheet name="DCF_Bull" sheetId="6" state="visible" r:id="rId8"/>
    <sheet name="Valuation"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<sst xmlns="http://schemas.openxmlformats.org/spreadsheetml/2006/main" count="340" uniqueCount="160">
  <si>
    <t xml:space="preserve">Ticker</t>
  </si>
  <si>
    <t xml:space="preserve">6603.HK</t>
  </si>
  <si>
    <t xml:space="preserve">Company</t>
  </si>
  <si>
    <t xml:space="preserve">IFBH Limited</t>
  </si>
  <si>
    <t xml:space="preserve">Valuation date</t>
  </si>
  <si>
    <t xml:space="preserve">2026-10-24</t>
  </si>
  <si>
    <t xml:space="preserve">Current price</t>
  </si>
  <si>
    <t xml:space="preserve">Price as of</t>
  </si>
  <si>
    <t xml:space="preserve">2026-10-23T08:08:08Z (HKEX regular close, Friday; 52-week range 3.88-25.58 HKD)</t>
  </si>
  <si>
    <t xml:space="preserve">Balance sheet date</t>
  </si>
  <si>
    <t xml:space="preserve">2026-06-30</t>
  </si>
  <si>
    <t xml:space="preserve">Model</t>
  </si>
  <si>
    <t xml:space="preserve">owner_fcf_dcf_component</t>
  </si>
  <si>
    <t xml:space="preserve">Currency (model)</t>
  </si>
  <si>
    <t xml:space="preserve">USD</t>
  </si>
  <si>
    <t xml:space="preserve">Currency (quote)</t>
  </si>
  <si>
    <t xml:space="preserve">HKD</t>
  </si>
  <si>
    <t xml:space="preserve">Units</t>
  </si>
  <si>
    <t xml:space="preserve">millions</t>
  </si>
  <si>
    <t xml:space="preserve">Engine</t>
  </si>
  <si>
    <t xml:space="preserve">dcf_engine v1</t>
  </si>
  <si>
    <t xml:space="preserve">Built at</t>
  </si>
  <si>
    <t xml:space="preserve">2026-10-23T14:35:25Z</t>
  </si>
  <si>
    <t xml:space="preserve">Drivers file</t>
  </si>
  <si>
    <t xml:space="preserve">6603.HK_Drivers.json</t>
  </si>
  <si>
    <t xml:space="preserve">Convention</t>
  </si>
  <si>
    <t xml:space="preserve">Percents stored as percents; formulas divide by 100. Blue = input, green = link, black = formula.</t>
  </si>
  <si>
    <t xml:space="preserve">Methodology</t>
  </si>
  <si>
    <t xml:space="preserve">summary: Asset-light brand owner valued on owner FCF with interest income stripped and the US$161m net cash added once in the bridge. The valuation is dominated by the cash: at HK$4.23 the market capitalisation is below net cash, so the operating business is being priced at less than zero. The scenarios ask whether the brand is worth anything after the 2026 supply shock, not whether the 2024 hypergrowth repeats -- the base case does not regain FY2025 revenue until FY2031 and the mature margin is held well below the FY2024 peak. The hurdle entry price and required-return table are reported in HKD alongside the USD computation.
key_risks_to_valuation: The net cash is ~113% of the market cap; any leakage of that cash (related-party transactions with the controlling shareholder's OEM, special dividends to the pre-IPO holders, acquisitions announced in the outlook) changes the value one-for-one and is not in any scenario.; Supply-shock narrative unverified: if H2 FY2026 revenue does not improve on H1's US$50.4m, the base case's -38% FY2026 is too optimistic and the bear's -45% is the base.; Mainland China concentration (~90% of FY2025 revenue) through distributors; distributor destocking and share loss to domestic brands is a one-way door for a premium imported brand.; Marketing intensity: 12% of revenue in H1 FY2026 vs 4.7% in FY2024. The mature 17% EBITDA margin assumes it settles at 8-10%; every 1pp of marketing is ~1pp of margin.; Thai Baht appreciation squeezes gross margin (USD-priced sales, THB-costed procurement) -- FY2025 GP margin fell 3.8pp partly on this.; Only three years of history; no cycle has been observed. The 42% 2-year revenue CAGR is not a forward input.
sanity_check_response: The multiples sanity check tripped on 'base upside 159% with price in the upper half of the 10-year range'. The second half of that trigger is an artifact: only 17 monthly closes exist (IPO 30 June 2025), the stock has only ever fallen (HK$36.60 to HK$4.23, price is at the BOTTOM of its range), and the one historical multiple row (FY2025: P/B 192x, EV/EBITDA 1226x) is a single IPO-peak data point on a tiny pre-collapse equity base, further inflated by the known fx-direction handling in the historical table. So the 'historical average' is not a market-set ceiling. The diagnosis (WACC too low for structural risk) is nonetheless taken at face: WACC raised from 11.0% to 14.2% with explicit illiquidity, single-distributor and China concentration premiums (see inputs.wacc_rationale). The upside that remains is the cash: net cash of US$161m is US$0.61 (HK$4.77) per share against a HK$4.23 price, so even a zero-value operating business implies ~13% upside before any discount rate is applied. The discount rate only touches the operating-business slice of the value, which is the smaller part in every scenario.</t>
  </si>
  <si>
    <t xml:space="preserve">Data sources</t>
  </si>
  <si>
    <t xml:space="preserve">price: Yahoo Finance chart API at inputs.price_as_of (HKEX regular close); 52-week range 3.88-25.58 HKD. FX from Yahoo HKD=X on the same date.
financials: 6603.HK_Metrics.csv (USD millions, FY2023-H1 FY2026) derived from the FY2025 annual report and H1 FY2025/H1 FY2026 interim reports in Extracted/; cash, deposits, lease liabilities, share count and buybacks read directly from the H1 FY2026 interim; listing expenses, inventory write-down and FX loss from the FY2025 AR notes.
qualitative: H1 FY2026 interim MD&amp;A (business review, outlook), FY2025 AR MD&amp;A, and 6603.HK_Analysis.json (2026-10-24): bull/bear points, China market-share press reports, Stock Connect removal.</t>
  </si>
  <si>
    <t xml:space="preserve">Scenario narrative: bear</t>
  </si>
  <si>
    <t xml:space="preserve">The supply shortage was the visible cause but not the only one: H2 FY2025 revenue was already down 5% YoY before the shock, Innococo had collapsed 63% in FY2025, and the 85% share-price fall since the IPO encodes a loss of distributor and investor confidence that the filings do not spell out. Press reports cited in the Analysis JSON put 'if''s offline China coconut-water share at ~30% by Q3 2025 against a 60%+ peak, so share was being lost before any supply shock. Chinese distributors re-source to domestic and Vita Coco brands, 'if' settles back to FY2023 scale (~US$87m), the listed cost base and defensive marketing produce two loss-making years, and the company ends up a cash box with a small, low-margin brand attached. Governance axes in this scenario: production is bought from the controlling shareholder's OEM (related-party purchases), and US$42m of pre-IPO dividends were paid out in H1 2025 -- the cash is real but the minority's claim on it depends on the board. Removal from Stock Connect in September 2026 removes Mainland buyers from the register, which does not change the cash flows but does mean the discount to cash can persist for a long time.</t>
  </si>
  <si>
    <t xml:space="preserve">Scenario narrative: base</t>
  </si>
  <si>
    <t xml:space="preserve">Supply-shock-then-recovery. The April 2026 PET/packaging/coconut-water shortage is what management says it is -- transitory -- and product availability is restored through H2 FY2026, but the half-year of empty distributor shelves in Mainland China, the Innococo channel teardown and softer category sentiment mean 'if' regains its FY2025 revenue only around FY2031. Marketing stays structurally higher than the 4.7% of revenue that produced FY2024's 25.6% EBITDA margin, so the mature margin settles at 17%. Owner FCF roughly tracks NOPAT because the business is asset-light; the US$161m cash pile is the floor under the value and is added at face.</t>
  </si>
  <si>
    <t xml:space="preserve">Scenario narrative: bull</t>
  </si>
  <si>
    <t xml:space="preserve">The dedicated China sales organisation, licensed import/export entity and local manufacturing that were built during H1 FY2026 convert into headquarters-to-headquarters relationships with key channel accounts, shortening the route to market and taking out a distributor margin layer. Supply normalises fully, the Roasted Coconut Water line (sales +100% YoY) and international markets (Taiwan +31%, USA +133%, Philippines, Laos, Australia IGA) add a second leg, and revenue is back above FY2025 by FY2028 on a 22% mature margin. The IPO narrative, a year late.</t>
  </si>
  <si>
    <t xml:space="preserve">Period</t>
  </si>
  <si>
    <t xml:space="preserve">Revenue</t>
  </si>
  <si>
    <t xml:space="preserve">CostOfRevenue</t>
  </si>
  <si>
    <t xml:space="preserve">GrossProfit</t>
  </si>
  <si>
    <t xml:space="preserve">GrossMargin</t>
  </si>
  <si>
    <t xml:space="preserve">OperatingIncome</t>
  </si>
  <si>
    <t xml:space="preserve">OperatingMargin</t>
  </si>
  <si>
    <t xml:space="preserve">EBITDA</t>
  </si>
  <si>
    <t xml:space="preserve">NetIncome</t>
  </si>
  <si>
    <t xml:space="preserve">NetMargin</t>
  </si>
  <si>
    <t xml:space="preserve">EPS</t>
  </si>
  <si>
    <t xml:space="preserve">OperatingCashFlow</t>
  </si>
  <si>
    <t xml:space="preserve">CapEx</t>
  </si>
  <si>
    <t xml:space="preserve">FreeCashFlow</t>
  </si>
  <si>
    <t xml:space="preserve">ShareholdersEquity</t>
  </si>
  <si>
    <t xml:space="preserve">TotalAssets</t>
  </si>
  <si>
    <t xml:space="preserve">TotalLiabilities</t>
  </si>
  <si>
    <t xml:space="preserve">TotalDebt</t>
  </si>
  <si>
    <t xml:space="preserve">CashAndEquivalents</t>
  </si>
  <si>
    <t xml:space="preserve">SharesOutstanding</t>
  </si>
  <si>
    <t xml:space="preserve">StockBasedComp</t>
  </si>
  <si>
    <t xml:space="preserve">DividendPerShare</t>
  </si>
  <si>
    <t xml:space="preserve">EBITDABeforeSignificant</t>
  </si>
  <si>
    <t xml:space="preserve">RevenueContinuing</t>
  </si>
  <si>
    <t xml:space="preserve">EBITDAContinuingBeforeSignificant</t>
  </si>
  <si>
    <t xml:space="preserve">EBITContinuingBeforeSignificant</t>
  </si>
  <si>
    <t xml:space="preserve">Currency</t>
  </si>
  <si>
    <t xml:space="preserve">RevenueOutsideMainlandChina</t>
  </si>
  <si>
    <t xml:space="preserve">FY2023</t>
  </si>
  <si>
    <t xml:space="preserve">FY2024</t>
  </si>
  <si>
    <t xml:space="preserve">FY2025</t>
  </si>
  <si>
    <t xml:space="preserve">Input</t>
  </si>
  <si>
    <t xml:space="preserve">Value</t>
  </si>
  <si>
    <t xml:space="preserve">Current price (quote currency)</t>
  </si>
  <si>
    <t xml:space="preserve">Shares, final projected (m)</t>
  </si>
  <si>
    <t xml:space="preserve">Net debt (m, model currency)</t>
  </si>
  <si>
    <t xml:space="preserve">Equity bridge total (m, + adds)</t>
  </si>
  <si>
    <t xml:space="preserve">Hurdle rate (%)</t>
  </si>
  <si>
    <t xml:space="preserve">Base revenue FY0 (m)</t>
  </si>
  <si>
    <t xml:space="preserve">FY0</t>
  </si>
  <si>
    <t xml:space="preserve">Currency / units</t>
  </si>
  <si>
    <t xml:space="preserve">USD millions</t>
  </si>
  <si>
    <t xml:space="preserve">FX rate (model -&gt; quote)</t>
  </si>
  <si>
    <t xml:space="preserve">BEAR</t>
  </si>
  <si>
    <t xml:space="preserve">FY2026</t>
  </si>
  <si>
    <t xml:space="preserve">FY2027</t>
  </si>
  <si>
    <t xml:space="preserve">FY2028</t>
  </si>
  <si>
    <t xml:space="preserve">FY2029</t>
  </si>
  <si>
    <t xml:space="preserve">FY2030</t>
  </si>
  <si>
    <t xml:space="preserve">FY2031</t>
  </si>
  <si>
    <t xml:space="preserve">FY2032</t>
  </si>
  <si>
    <t xml:space="preserve">FY2033</t>
  </si>
  <si>
    <t xml:space="preserve">FY2034</t>
  </si>
  <si>
    <t xml:space="preserve">FY2035</t>
  </si>
  <si>
    <t xml:space="preserve">Revenue growth (%)</t>
  </si>
  <si>
    <t xml:space="preserve">EBITDA margin (%)</t>
  </si>
  <si>
    <t xml:space="preserve">SBC (% of revenue)</t>
  </si>
  <si>
    <t xml:space="preserve">Lease cost (% of revenue)</t>
  </si>
  <si>
    <t xml:space="preserve">D&amp;A (% of revenue)</t>
  </si>
  <si>
    <t xml:space="preserve">Capex (% of revenue)</t>
  </si>
  <si>
    <t xml:space="preserve">Cash tax rate (%)</t>
  </si>
  <si>
    <t xml:space="preserve">WACC (%)</t>
  </si>
  <si>
    <t xml:space="preserve">Terminal growth (%)</t>
  </si>
  <si>
    <t xml:space="preserve">Terminal cap multiple (x FCF)</t>
  </si>
  <si>
    <t xml:space="preserve">Working-capital capture (% of revenue change)</t>
  </si>
  <si>
    <t xml:space="preserve">Scenario weight</t>
  </si>
  <si>
    <t xml:space="preserve">BASE</t>
  </si>
  <si>
    <t xml:space="preserve">BULL</t>
  </si>
  <si>
    <t xml:space="preserve">6603.HK owner-FCF component DCF: bear case (millions, USD)</t>
  </si>
  <si>
    <t xml:space="preserve">Line</t>
  </si>
  <si>
    <t xml:space="preserve">Year index (discount exponent)</t>
  </si>
  <si>
    <t xml:space="preserve">SBC charge</t>
  </si>
  <si>
    <t xml:space="preserve">Owner EBITDA (after SBC and leases)</t>
  </si>
  <si>
    <t xml:space="preserve">D&amp;A</t>
  </si>
  <si>
    <t xml:space="preserve">EBIT</t>
  </si>
  <si>
    <t xml:space="preserve">NOPAT</t>
  </si>
  <si>
    <t xml:space="preserve">D&amp;A add-back</t>
  </si>
  <si>
    <t xml:space="preserve">Capex</t>
  </si>
  <si>
    <t xml:space="preserve">Working capital</t>
  </si>
  <si>
    <t xml:space="preserve">Unlevered owner FCF</t>
  </si>
  <si>
    <t xml:space="preserve">Discount factor</t>
  </si>
  <si>
    <t xml:space="preserve">PV of FCF</t>
  </si>
  <si>
    <t xml:space="preserve">Lease cost</t>
  </si>
  <si>
    <t xml:space="preserve">Valuation</t>
  </si>
  <si>
    <t xml:space="preserve">Sum of PV of FCF</t>
  </si>
  <si>
    <t xml:space="preserve">Terminal-year FCF</t>
  </si>
  <si>
    <t xml:space="preserve">Gordon terminal value</t>
  </si>
  <si>
    <t xml:space="preserve">Cap terminal value</t>
  </si>
  <si>
    <t xml:space="preserve">Terminal value used: MAX(0,MIN(Gordon,cap))</t>
  </si>
  <si>
    <t xml:space="preserve">PV of terminal value</t>
  </si>
  <si>
    <t xml:space="preserve">Enterprise value</t>
  </si>
  <si>
    <t xml:space="preserve">Equity value (EV + bridge - net debt)</t>
  </si>
  <si>
    <t xml:space="preserve">Value per share (quote currency)</t>
  </si>
  <si>
    <t xml:space="preserve">Upside vs price</t>
  </si>
  <si>
    <t xml:space="preserve">Street memo: PV of explicit-period SBC</t>
  </si>
  <si>
    <t xml:space="preserve">Street memo: PV of terminal SBC (Gordon)</t>
  </si>
  <si>
    <t xml:space="preserve">Street value per share</t>
  </si>
  <si>
    <t xml:space="preserve">Terminal value at hurdle: MAX(0,MIN(Gordon@hurdle,cap))</t>
  </si>
  <si>
    <t xml:space="preserve">Hurdle entry price (quote currency)</t>
  </si>
  <si>
    <t xml:space="preserve">6603.HK owner-FCF component DCF: base case (millions, USD)</t>
  </si>
  <si>
    <t xml:space="preserve">6603.HK owner-FCF component DCF: bull case (millions, USD)</t>
  </si>
  <si>
    <t xml:space="preserve">6603.HK valuation summary</t>
  </si>
  <si>
    <t xml:space="preserve">Scenario</t>
  </si>
  <si>
    <t xml:space="preserve">Value per share</t>
  </si>
  <si>
    <t xml:space="preserve">Weight</t>
  </si>
  <si>
    <t xml:space="preserve">Hurdle entry price</t>
  </si>
  <si>
    <t xml:space="preserve">Bear</t>
  </si>
  <si>
    <t xml:space="preserve">Base</t>
  </si>
  <si>
    <t xml:space="preserve">Bull</t>
  </si>
  <si>
    <t xml:space="preserve">Probability-weighted value per share</t>
  </si>
  <si>
    <t xml:space="preserve">Street weighted value per share</t>
  </si>
  <si>
    <t xml:space="preserve">Margin of safety (1 - price/weighted)</t>
  </si>
  <si>
    <t xml:space="preserve">Band position (%; 0 = house, 100 = street)</t>
  </si>
  <si>
    <t xml:space="preserve">Weighted 15% hurdle entry price</t>
  </si>
  <si>
    <t xml:space="preserve">Required-return table (base case; each row rebuilds its own terminal value)</t>
  </si>
  <si>
    <t xml:space="preserve">Rate (%)</t>
  </si>
  <si>
    <t xml:space="preserve">Value per share at 9%</t>
  </si>
  <si>
    <t xml:space="preserve">Value per share at 10%</t>
  </si>
  <si>
    <t xml:space="preserve">Value per share at 11%</t>
  </si>
  <si>
    <t xml:space="preserve">Value per share at 12%</t>
  </si>
  <si>
    <t xml:space="preserve">Value per share at 14.2% (WACC)</t>
  </si>
  <si>
    <t xml:space="preserve">Value per share at 15%</t>
  </si>
  <si>
    <t xml:space="preserve">Sensitivity: value per share, rows WACC (%) x columns terminal growth (%)</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</si>
</sst>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sz val="11"/>
      <color rgb="FF0000FF"/>
      <name val="Cambria"/>
      <family val="0"/>
      <charset val="1"/>
    </font>
    <font>
      <sz val="11"/>
      <color rgb="FF008000"/>
      <name val="Cambria"/>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100"/>
  </cols>
  <sheetData>
    <row r="1" customFormat="false" ht="15" hidden="false" customHeight="false" outlineLevel="0" collapsed="false">
      <c r="A1" s="0" t="s">
        <v>0</v>
      </c>
      <c r="B1" s="0" t="s">
        <v>1</v>
      </c>
    </row>
    <row r="2" customFormat="false" ht="15" hidden="false" customHeight="false" outlineLevel="0" collapsed="false">
      <c r="A2" s="0" t="s">
        <v>2</v>
      </c>
      <c r="B2" s="0" t="s">
        <v>3</v>
      </c>
    </row>
    <row r="3" customFormat="false" ht="15" hidden="false" customHeight="false" outlineLevel="0" collapsed="false">
      <c r="A3" s="0" t="s">
        <v>4</v>
      </c>
      <c r="B3" s="0" t="s">
        <v>5</v>
      </c>
    </row>
    <row r="4" customFormat="false" ht="15" hidden="false" customHeight="false" outlineLevel="0" collapsed="false">
      <c r="A4" s="0" t="s">
        <v>6</v>
      </c>
      <c r="B4" s="0" t="n">
        <v>4.23</v>
      </c>
    </row>
    <row r="5" customFormat="false" ht="15" hidden="false" customHeight="false" outlineLevel="0" collapsed="false">
      <c r="A5" s="0" t="s">
        <v>7</v>
      </c>
      <c r="B5" s="0" t="s">
        <v>8</v>
      </c>
    </row>
    <row r="6" customFormat="false" ht="15" hidden="false" customHeight="false" outlineLevel="0" collapsed="false">
      <c r="A6" s="0" t="s">
        <v>9</v>
      </c>
      <c r="B6" s="0" t="s">
        <v>10</v>
      </c>
    </row>
    <row r="7" customFormat="false" ht="15" hidden="false" customHeight="false" outlineLevel="0" collapsed="false">
      <c r="A7" s="0" t="s">
        <v>11</v>
      </c>
      <c r="B7" s="0" t="s">
        <v>12</v>
      </c>
    </row>
    <row r="8" customFormat="false" ht="15" hidden="false" customHeight="false" outlineLevel="0" collapsed="false">
      <c r="A8" s="0" t="s">
        <v>13</v>
      </c>
      <c r="B8" s="0" t="s">
        <v>14</v>
      </c>
    </row>
    <row r="9" customFormat="false" ht="15" hidden="false" customHeight="false" outlineLevel="0" collapsed="false">
      <c r="A9" s="0" t="s">
        <v>15</v>
      </c>
      <c r="B9" s="0" t="s">
        <v>16</v>
      </c>
    </row>
    <row r="10" customFormat="false" ht="15" hidden="false" customHeight="false" outlineLevel="0" collapsed="false">
      <c r="A10" s="0" t="s">
        <v>17</v>
      </c>
      <c r="B10" s="0" t="s">
        <v>18</v>
      </c>
    </row>
    <row r="11" customFormat="false" ht="15" hidden="false" customHeight="false" outlineLevel="0" collapsed="false">
      <c r="A11" s="0" t="s">
        <v>19</v>
      </c>
      <c r="B11" s="0" t="s">
        <v>20</v>
      </c>
    </row>
    <row r="12" customFormat="false" ht="15" hidden="false" customHeight="false" outlineLevel="0" collapsed="false">
      <c r="A12" s="0" t="s">
        <v>21</v>
      </c>
      <c r="B12" s="0" t="s">
        <v>22</v>
      </c>
    </row>
    <row r="13" customFormat="false" ht="15" hidden="false" customHeight="false" outlineLevel="0" collapsed="false">
      <c r="A13" s="0" t="s">
        <v>23</v>
      </c>
      <c r="B13" s="0" t="s">
        <v>24</v>
      </c>
    </row>
    <row r="14" customFormat="false" ht="15" hidden="false" customHeight="false" outlineLevel="0" collapsed="false">
      <c r="A14" s="0" t="s">
        <v>25</v>
      </c>
      <c r="B14" s="0" t="s">
        <v>26</v>
      </c>
    </row>
    <row r="15" customFormat="false" ht="35.05" hidden="false" customHeight="false" outlineLevel="0" collapsed="false">
      <c r="A15" s="0" t="s">
        <v>27</v>
      </c>
      <c r="B15" s="1" t="s">
        <v>28</v>
      </c>
    </row>
    <row r="16" customFormat="false" ht="35.05" hidden="false" customHeight="false" outlineLevel="0" collapsed="false">
      <c r="A16" s="0" t="s">
        <v>29</v>
      </c>
      <c r="B16" s="1" t="s">
        <v>30</v>
      </c>
    </row>
    <row r="17" customFormat="false" ht="15" hidden="false" customHeight="false" outlineLevel="0" collapsed="false">
      <c r="A17" s="0" t="s">
        <v>31</v>
      </c>
      <c r="B17" s="0" t="s">
        <v>32</v>
      </c>
    </row>
    <row r="18" customFormat="false" ht="15" hidden="false" customHeight="false" outlineLevel="0" collapsed="false">
      <c r="A18" s="0" t="s">
        <v>33</v>
      </c>
      <c r="B18" s="0" t="s">
        <v>34</v>
      </c>
    </row>
    <row r="19" customFormat="false" ht="15" hidden="false" customHeight="false" outlineLevel="0" collapsed="false">
      <c r="A19" s="0" t="s">
        <v>35</v>
      </c>
      <c r="B19" s="0" t="s">
        <v>36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C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sheetData>
    <row r="1" customFormat="false" ht="15" hidden="false" customHeight="false" outlineLevel="0" collapsed="false">
      <c r="A1" s="2" t="s">
        <v>37</v>
      </c>
      <c r="B1" s="2" t="s">
        <v>38</v>
      </c>
      <c r="C1" s="2" t="s">
        <v>39</v>
      </c>
      <c r="D1" s="2" t="s">
        <v>40</v>
      </c>
      <c r="E1" s="2" t="s">
        <v>41</v>
      </c>
      <c r="F1" s="2" t="s">
        <v>42</v>
      </c>
      <c r="G1" s="2" t="s">
        <v>43</v>
      </c>
      <c r="H1" s="2" t="s">
        <v>44</v>
      </c>
      <c r="I1" s="2" t="s">
        <v>45</v>
      </c>
      <c r="J1" s="2" t="s">
        <v>46</v>
      </c>
      <c r="K1" s="2" t="s">
        <v>47</v>
      </c>
      <c r="L1" s="2" t="s">
        <v>48</v>
      </c>
      <c r="M1" s="2" t="s">
        <v>49</v>
      </c>
      <c r="N1" s="2" t="s">
        <v>50</v>
      </c>
      <c r="O1" s="2" t="s">
        <v>51</v>
      </c>
      <c r="P1" s="2" t="s">
        <v>52</v>
      </c>
      <c r="Q1" s="2" t="s">
        <v>53</v>
      </c>
      <c r="R1" s="2" t="s">
        <v>54</v>
      </c>
      <c r="S1" s="2" t="s">
        <v>55</v>
      </c>
      <c r="T1" s="2" t="s">
        <v>56</v>
      </c>
      <c r="U1" s="2" t="s">
        <v>57</v>
      </c>
      <c r="V1" s="2" t="s">
        <v>58</v>
      </c>
      <c r="W1" s="2" t="s">
        <v>59</v>
      </c>
      <c r="X1" s="2" t="s">
        <v>60</v>
      </c>
      <c r="Y1" s="2" t="s">
        <v>61</v>
      </c>
      <c r="Z1" s="2" t="s">
        <v>62</v>
      </c>
      <c r="AA1" s="2" t="s">
        <v>17</v>
      </c>
      <c r="AB1" s="2" t="s">
        <v>63</v>
      </c>
      <c r="AC1" s="2" t="s">
        <v>64</v>
      </c>
    </row>
    <row r="2" customFormat="false" ht="15" hidden="false" customHeight="false" outlineLevel="0" collapsed="false">
      <c r="A2" s="0" t="s">
        <v>65</v>
      </c>
      <c r="B2" s="0" t="n">
        <v>87.442</v>
      </c>
      <c r="C2" s="0" t="n">
        <v>57.103</v>
      </c>
      <c r="D2" s="0" t="n">
        <v>30.339</v>
      </c>
      <c r="E2" s="0" t="n">
        <v>34.7</v>
      </c>
      <c r="F2" s="0" t="n">
        <v>20.23</v>
      </c>
      <c r="G2" s="0" t="n">
        <v>23.1</v>
      </c>
      <c r="I2" s="0" t="n">
        <v>16.754</v>
      </c>
      <c r="J2" s="0" t="n">
        <v>19.2</v>
      </c>
      <c r="O2" s="0" t="n">
        <v>9.506</v>
      </c>
      <c r="P2" s="0" t="n">
        <v>30.511</v>
      </c>
      <c r="Q2" s="0" t="n">
        <v>21.005</v>
      </c>
      <c r="R2" s="0" t="n">
        <v>0</v>
      </c>
      <c r="S2" s="0" t="n">
        <v>15.599</v>
      </c>
      <c r="AA2" s="0" t="s">
        <v>18</v>
      </c>
      <c r="AB2" s="0" t="s">
        <v>14</v>
      </c>
    </row>
    <row r="3" customFormat="false" ht="15" hidden="false" customHeight="false" outlineLevel="0" collapsed="false">
      <c r="A3" s="0" t="s">
        <v>66</v>
      </c>
      <c r="B3" s="0" t="n">
        <v>157.648</v>
      </c>
      <c r="C3" s="0" t="n">
        <v>99.789</v>
      </c>
      <c r="D3" s="0" t="n">
        <v>57.859</v>
      </c>
      <c r="E3" s="0" t="n">
        <v>36.7</v>
      </c>
      <c r="F3" s="0" t="n">
        <v>39.065</v>
      </c>
      <c r="G3" s="0" t="n">
        <v>24.8</v>
      </c>
      <c r="H3" s="0" t="n">
        <v>40.355</v>
      </c>
      <c r="I3" s="0" t="n">
        <v>33.316</v>
      </c>
      <c r="J3" s="0" t="n">
        <v>21.1</v>
      </c>
      <c r="K3" s="0" t="n">
        <v>0.152</v>
      </c>
      <c r="L3" s="0" t="n">
        <v>41.753</v>
      </c>
      <c r="M3" s="0" t="n">
        <v>0.187</v>
      </c>
      <c r="N3" s="0" t="n">
        <v>41.566</v>
      </c>
      <c r="O3" s="0" t="n">
        <v>48.089</v>
      </c>
      <c r="P3" s="0" t="n">
        <v>74.136</v>
      </c>
      <c r="Q3" s="0" t="n">
        <v>26.047</v>
      </c>
      <c r="R3" s="0" t="n">
        <v>0</v>
      </c>
      <c r="S3" s="0" t="n">
        <v>54.833</v>
      </c>
      <c r="T3" s="0" t="n">
        <v>218.784</v>
      </c>
      <c r="U3" s="0" t="n">
        <v>0</v>
      </c>
      <c r="AA3" s="0" t="s">
        <v>18</v>
      </c>
      <c r="AB3" s="0" t="s">
        <v>14</v>
      </c>
      <c r="AC3" s="0" t="n">
        <v>11.991</v>
      </c>
    </row>
    <row r="4" customFormat="false" ht="15" hidden="false" customHeight="false" outlineLevel="0" collapsed="false">
      <c r="A4" s="0" t="s">
        <v>67</v>
      </c>
      <c r="B4" s="0" t="n">
        <v>176.399</v>
      </c>
      <c r="C4" s="0" t="n">
        <v>118.395</v>
      </c>
      <c r="D4" s="0" t="n">
        <v>58.004</v>
      </c>
      <c r="E4" s="0" t="n">
        <v>32.9</v>
      </c>
      <c r="F4" s="0" t="n">
        <v>25.241</v>
      </c>
      <c r="G4" s="0" t="n">
        <v>14.3</v>
      </c>
      <c r="H4" s="0" t="n">
        <v>26.636</v>
      </c>
      <c r="I4" s="0" t="n">
        <v>22.768</v>
      </c>
      <c r="J4" s="0" t="n">
        <v>12.9</v>
      </c>
      <c r="K4" s="0" t="n">
        <v>0.093</v>
      </c>
      <c r="L4" s="0" t="n">
        <v>12.332</v>
      </c>
      <c r="M4" s="0" t="n">
        <v>0.465</v>
      </c>
      <c r="N4" s="0" t="n">
        <v>11.867</v>
      </c>
      <c r="O4" s="0" t="n">
        <v>170.832</v>
      </c>
      <c r="P4" s="0" t="n">
        <v>200.123</v>
      </c>
      <c r="Q4" s="0" t="n">
        <v>29.291</v>
      </c>
      <c r="R4" s="0" t="n">
        <v>0</v>
      </c>
      <c r="S4" s="0" t="n">
        <v>163.858</v>
      </c>
      <c r="T4" s="0" t="n">
        <v>246.119</v>
      </c>
      <c r="U4" s="0" t="n">
        <v>0</v>
      </c>
      <c r="AA4" s="0" t="s">
        <v>18</v>
      </c>
      <c r="AB4" s="0" t="s">
        <v>14</v>
      </c>
      <c r="AC4" s="0" t="n">
        <v>17.014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4"/>
  </cols>
  <sheetData>
    <row r="1" customFormat="false" ht="15" hidden="false" customHeight="false" outlineLevel="0" collapsed="false">
      <c r="A1" s="2" t="s">
        <v>68</v>
      </c>
      <c r="B1" s="2" t="s">
        <v>69</v>
      </c>
    </row>
    <row r="2" customFormat="false" ht="15" hidden="false" customHeight="false" outlineLevel="0" collapsed="false">
      <c r="A2" s="0" t="s">
        <v>70</v>
      </c>
      <c r="B2" s="3" t="n">
        <v>4.23</v>
      </c>
    </row>
    <row r="3" customFormat="false" ht="15" hidden="false" customHeight="false" outlineLevel="0" collapsed="false">
      <c r="A3" s="0" t="s">
        <v>71</v>
      </c>
      <c r="B3" s="3" t="n">
        <v>264.778</v>
      </c>
    </row>
    <row r="4" customFormat="false" ht="15" hidden="false" customHeight="false" outlineLevel="0" collapsed="false">
      <c r="A4" s="0" t="s">
        <v>72</v>
      </c>
      <c r="B4" s="3" t="n">
        <v>-161.073</v>
      </c>
    </row>
    <row r="5" customFormat="false" ht="15" hidden="false" customHeight="false" outlineLevel="0" collapsed="false">
      <c r="A5" s="0" t="s">
        <v>73</v>
      </c>
      <c r="B5" s="3" t="n">
        <v>0</v>
      </c>
    </row>
    <row r="6" customFormat="false" ht="15" hidden="false" customHeight="false" outlineLevel="0" collapsed="false">
      <c r="A6" s="0" t="s">
        <v>74</v>
      </c>
      <c r="B6" s="3" t="n">
        <v>15</v>
      </c>
    </row>
    <row r="7" customFormat="false" ht="15" hidden="false" customHeight="false" outlineLevel="0" collapsed="false">
      <c r="A7" s="0" t="s">
        <v>75</v>
      </c>
      <c r="B7" s="3" t="n">
        <v>176.399</v>
      </c>
    </row>
    <row r="8" customFormat="false" ht="15" hidden="false" customHeight="false" outlineLevel="0" collapsed="false">
      <c r="A8" s="0" t="s">
        <v>76</v>
      </c>
      <c r="B8" s="3" t="s">
        <v>67</v>
      </c>
    </row>
    <row r="9" customFormat="false" ht="15" hidden="false" customHeight="false" outlineLevel="0" collapsed="false">
      <c r="A9" s="0" t="s">
        <v>77</v>
      </c>
      <c r="B9" s="3" t="s">
        <v>78</v>
      </c>
    </row>
    <row r="10" customFormat="false" ht="15" hidden="false" customHeight="false" outlineLevel="0" collapsed="false">
      <c r="A10" s="0" t="s">
        <v>79</v>
      </c>
      <c r="B10" s="3" t="n">
        <v>7.8423</v>
      </c>
    </row>
    <row r="12" customFormat="false" ht="15" hidden="false" customHeight="false" outlineLevel="0" collapsed="false">
      <c r="A12" s="2" t="s">
        <v>80</v>
      </c>
      <c r="C12" s="2" t="s">
        <v>81</v>
      </c>
      <c r="D12" s="2" t="s">
        <v>82</v>
      </c>
      <c r="E12" s="2" t="s">
        <v>83</v>
      </c>
      <c r="F12" s="2" t="s">
        <v>84</v>
      </c>
      <c r="G12" s="2" t="s">
        <v>85</v>
      </c>
      <c r="H12" s="2" t="s">
        <v>86</v>
      </c>
      <c r="I12" s="2" t="s">
        <v>87</v>
      </c>
      <c r="J12" s="2" t="s">
        <v>88</v>
      </c>
      <c r="K12" s="2" t="s">
        <v>89</v>
      </c>
      <c r="L12" s="2" t="s">
        <v>90</v>
      </c>
    </row>
    <row r="13" customFormat="false" ht="15" hidden="false" customHeight="false" outlineLevel="0" collapsed="false">
      <c r="A13" s="0" t="s">
        <v>91</v>
      </c>
      <c r="C13" s="3" t="n">
        <v>-45</v>
      </c>
      <c r="D13" s="3" t="n">
        <v>-10</v>
      </c>
      <c r="E13" s="3" t="n">
        <v>0</v>
      </c>
      <c r="F13" s="3" t="n">
        <v>2</v>
      </c>
      <c r="G13" s="3" t="n">
        <v>2</v>
      </c>
      <c r="H13" s="3" t="n">
        <v>2</v>
      </c>
      <c r="I13" s="3" t="n">
        <v>2</v>
      </c>
      <c r="J13" s="3" t="n">
        <v>2</v>
      </c>
      <c r="K13" s="3" t="n">
        <v>2</v>
      </c>
      <c r="L13" s="3" t="n">
        <v>2</v>
      </c>
    </row>
    <row r="14" customFormat="false" ht="15" hidden="false" customHeight="false" outlineLevel="0" collapsed="false">
      <c r="A14" s="0" t="s">
        <v>92</v>
      </c>
      <c r="C14" s="3" t="n">
        <v>1</v>
      </c>
      <c r="D14" s="3" t="n">
        <v>-2</v>
      </c>
      <c r="E14" s="3" t="n">
        <v>2</v>
      </c>
      <c r="F14" s="3" t="n">
        <v>5</v>
      </c>
      <c r="G14" s="3" t="n">
        <v>7</v>
      </c>
      <c r="H14" s="3" t="n">
        <v>8</v>
      </c>
      <c r="I14" s="3" t="n">
        <v>8</v>
      </c>
      <c r="J14" s="3" t="n">
        <v>8</v>
      </c>
      <c r="K14" s="3" t="n">
        <v>8</v>
      </c>
      <c r="L14" s="3" t="n">
        <v>8</v>
      </c>
    </row>
    <row r="15" customFormat="false" ht="15" hidden="false" customHeight="false" outlineLevel="0" collapsed="false">
      <c r="A15" s="0" t="s">
        <v>93</v>
      </c>
      <c r="C15" s="3" t="n">
        <v>0</v>
      </c>
      <c r="D15" s="3" t="n">
        <v>0</v>
      </c>
      <c r="E15" s="3" t="n">
        <v>0</v>
      </c>
      <c r="F15" s="3" t="n">
        <v>0</v>
      </c>
      <c r="G15" s="3" t="n">
        <v>0</v>
      </c>
      <c r="H15" s="3" t="n">
        <v>0</v>
      </c>
      <c r="I15" s="3" t="n">
        <v>0</v>
      </c>
      <c r="J15" s="3" t="n">
        <v>0</v>
      </c>
      <c r="K15" s="3" t="n">
        <v>0</v>
      </c>
      <c r="L15" s="3" t="n">
        <v>0</v>
      </c>
    </row>
    <row r="16" customFormat="false" ht="15" hidden="false" customHeight="false" outlineLevel="0" collapsed="false">
      <c r="A16" s="0" t="s">
        <v>94</v>
      </c>
      <c r="C16" s="3" t="n">
        <v>0</v>
      </c>
      <c r="D16" s="3" t="n">
        <v>0</v>
      </c>
      <c r="E16" s="3" t="n">
        <v>0</v>
      </c>
      <c r="F16" s="3" t="n">
        <v>0</v>
      </c>
      <c r="G16" s="3" t="n">
        <v>0</v>
      </c>
      <c r="H16" s="3" t="n">
        <v>0</v>
      </c>
      <c r="I16" s="3" t="n">
        <v>0</v>
      </c>
      <c r="J16" s="3" t="n">
        <v>0</v>
      </c>
      <c r="K16" s="3" t="n">
        <v>0</v>
      </c>
      <c r="L16" s="3" t="n">
        <v>0</v>
      </c>
    </row>
    <row r="17" customFormat="false" ht="15" hidden="false" customHeight="false" outlineLevel="0" collapsed="false">
      <c r="A17" s="0" t="s">
        <v>95</v>
      </c>
      <c r="C17" s="3" t="n">
        <v>1.5</v>
      </c>
      <c r="D17" s="3" t="n">
        <v>1.6</v>
      </c>
      <c r="E17" s="3" t="n">
        <v>1.5</v>
      </c>
      <c r="F17" s="3" t="n">
        <v>1.4</v>
      </c>
      <c r="G17" s="3" t="n">
        <v>1.3</v>
      </c>
      <c r="H17" s="3" t="n">
        <v>1.2</v>
      </c>
      <c r="I17" s="3" t="n">
        <v>1.2</v>
      </c>
      <c r="J17" s="3" t="n">
        <v>1.2</v>
      </c>
      <c r="K17" s="3" t="n">
        <v>1.2</v>
      </c>
      <c r="L17" s="3" t="n">
        <v>1.2</v>
      </c>
    </row>
    <row r="18" customFormat="false" ht="15" hidden="false" customHeight="false" outlineLevel="0" collapsed="false">
      <c r="A18" s="0" t="s">
        <v>96</v>
      </c>
      <c r="C18" s="3" t="n">
        <v>1.5</v>
      </c>
      <c r="D18" s="3" t="n">
        <v>1.2</v>
      </c>
      <c r="E18" s="3" t="n">
        <v>1</v>
      </c>
      <c r="F18" s="3" t="n">
        <v>1</v>
      </c>
      <c r="G18" s="3" t="n">
        <v>1</v>
      </c>
      <c r="H18" s="3" t="n">
        <v>1</v>
      </c>
      <c r="I18" s="3" t="n">
        <v>1</v>
      </c>
      <c r="J18" s="3" t="n">
        <v>1</v>
      </c>
      <c r="K18" s="3" t="n">
        <v>1</v>
      </c>
      <c r="L18" s="3" t="n">
        <v>1</v>
      </c>
    </row>
    <row r="19" customFormat="false" ht="15" hidden="false" customHeight="false" outlineLevel="0" collapsed="false">
      <c r="A19" s="0" t="s">
        <v>97</v>
      </c>
      <c r="C19" s="3" t="n">
        <v>20</v>
      </c>
      <c r="D19" s="3" t="n">
        <v>20</v>
      </c>
      <c r="E19" s="3" t="n">
        <v>20</v>
      </c>
      <c r="F19" s="3" t="n">
        <v>20</v>
      </c>
      <c r="G19" s="3" t="n">
        <v>20</v>
      </c>
      <c r="H19" s="3" t="n">
        <v>20</v>
      </c>
      <c r="I19" s="3" t="n">
        <v>20</v>
      </c>
      <c r="J19" s="3" t="n">
        <v>20</v>
      </c>
      <c r="K19" s="3" t="n">
        <v>20</v>
      </c>
      <c r="L19" s="3" t="n">
        <v>20</v>
      </c>
    </row>
    <row r="20" customFormat="false" ht="15" hidden="false" customHeight="false" outlineLevel="0" collapsed="false">
      <c r="A20" s="0" t="s">
        <v>98</v>
      </c>
      <c r="B20" s="3" t="n">
        <v>14.2</v>
      </c>
    </row>
    <row r="21" customFormat="false" ht="15" hidden="false" customHeight="false" outlineLevel="0" collapsed="false">
      <c r="A21" s="0" t="s">
        <v>99</v>
      </c>
      <c r="B21" s="3" t="n">
        <v>2</v>
      </c>
    </row>
    <row r="22" customFormat="false" ht="15" hidden="false" customHeight="false" outlineLevel="0" collapsed="false">
      <c r="A22" s="0" t="s">
        <v>100</v>
      </c>
      <c r="B22" s="3" t="n">
        <v>12</v>
      </c>
    </row>
    <row r="23" customFormat="false" ht="15" hidden="false" customHeight="false" outlineLevel="0" collapsed="false">
      <c r="A23" s="0" t="s">
        <v>101</v>
      </c>
      <c r="B23" s="3" t="n">
        <v>-5</v>
      </c>
    </row>
    <row r="24" customFormat="false" ht="15" hidden="false" customHeight="false" outlineLevel="0" collapsed="false">
      <c r="A24" s="0" t="s">
        <v>102</v>
      </c>
      <c r="B24" s="3" t="n">
        <v>0.35</v>
      </c>
    </row>
    <row r="26" customFormat="false" ht="15" hidden="false" customHeight="false" outlineLevel="0" collapsed="false">
      <c r="A26" s="2" t="s">
        <v>103</v>
      </c>
      <c r="C26" s="2" t="s">
        <v>81</v>
      </c>
      <c r="D26" s="2" t="s">
        <v>82</v>
      </c>
      <c r="E26" s="2" t="s">
        <v>83</v>
      </c>
      <c r="F26" s="2" t="s">
        <v>84</v>
      </c>
      <c r="G26" s="2" t="s">
        <v>85</v>
      </c>
      <c r="H26" s="2" t="s">
        <v>86</v>
      </c>
      <c r="I26" s="2" t="s">
        <v>87</v>
      </c>
      <c r="J26" s="2" t="s">
        <v>88</v>
      </c>
      <c r="K26" s="2" t="s">
        <v>89</v>
      </c>
      <c r="L26" s="2" t="s">
        <v>90</v>
      </c>
    </row>
    <row r="27" customFormat="false" ht="15" hidden="false" customHeight="false" outlineLevel="0" collapsed="false">
      <c r="A27" s="0" t="s">
        <v>91</v>
      </c>
      <c r="C27" s="3" t="n">
        <v>-38</v>
      </c>
      <c r="D27" s="3" t="n">
        <v>18</v>
      </c>
      <c r="E27" s="3" t="n">
        <v>12</v>
      </c>
      <c r="F27" s="3" t="n">
        <v>9</v>
      </c>
      <c r="G27" s="3" t="n">
        <v>7</v>
      </c>
      <c r="H27" s="3" t="n">
        <v>6</v>
      </c>
      <c r="I27" s="3" t="n">
        <v>5</v>
      </c>
      <c r="J27" s="3" t="n">
        <v>4</v>
      </c>
      <c r="K27" s="3" t="n">
        <v>3.5</v>
      </c>
      <c r="L27" s="3" t="n">
        <v>3</v>
      </c>
    </row>
    <row r="28" customFormat="false" ht="15" hidden="false" customHeight="false" outlineLevel="0" collapsed="false">
      <c r="A28" s="0" t="s">
        <v>92</v>
      </c>
      <c r="C28" s="3" t="n">
        <v>5</v>
      </c>
      <c r="D28" s="3" t="n">
        <v>10</v>
      </c>
      <c r="E28" s="3" t="n">
        <v>13</v>
      </c>
      <c r="F28" s="3" t="n">
        <v>15</v>
      </c>
      <c r="G28" s="3" t="n">
        <v>16</v>
      </c>
      <c r="H28" s="3" t="n">
        <v>16.5</v>
      </c>
      <c r="I28" s="3" t="n">
        <v>17</v>
      </c>
      <c r="J28" s="3" t="n">
        <v>17</v>
      </c>
      <c r="K28" s="3" t="n">
        <v>17</v>
      </c>
      <c r="L28" s="3" t="n">
        <v>17</v>
      </c>
    </row>
    <row r="29" customFormat="false" ht="15" hidden="false" customHeight="false" outlineLevel="0" collapsed="false">
      <c r="A29" s="0" t="s">
        <v>93</v>
      </c>
      <c r="C29" s="3" t="n">
        <v>0</v>
      </c>
      <c r="D29" s="3" t="n">
        <v>0</v>
      </c>
      <c r="E29" s="3" t="n">
        <v>0</v>
      </c>
      <c r="F29" s="3" t="n">
        <v>0</v>
      </c>
      <c r="G29" s="3" t="n">
        <v>0</v>
      </c>
      <c r="H29" s="3" t="n">
        <v>0</v>
      </c>
      <c r="I29" s="3" t="n">
        <v>0</v>
      </c>
      <c r="J29" s="3" t="n">
        <v>0</v>
      </c>
      <c r="K29" s="3" t="n">
        <v>0</v>
      </c>
      <c r="L29" s="3" t="n">
        <v>0</v>
      </c>
    </row>
    <row r="30" customFormat="false" ht="15" hidden="false" customHeight="false" outlineLevel="0" collapsed="false">
      <c r="A30" s="0" t="s">
        <v>94</v>
      </c>
      <c r="C30" s="3" t="n">
        <v>0</v>
      </c>
      <c r="D30" s="3" t="n">
        <v>0</v>
      </c>
      <c r="E30" s="3" t="n">
        <v>0</v>
      </c>
      <c r="F30" s="3" t="n">
        <v>0</v>
      </c>
      <c r="G30" s="3" t="n">
        <v>0</v>
      </c>
      <c r="H30" s="3" t="n">
        <v>0</v>
      </c>
      <c r="I30" s="3" t="n">
        <v>0</v>
      </c>
      <c r="J30" s="3" t="n">
        <v>0</v>
      </c>
      <c r="K30" s="3" t="n">
        <v>0</v>
      </c>
      <c r="L30" s="3" t="n">
        <v>0</v>
      </c>
    </row>
    <row r="31" customFormat="false" ht="15" hidden="false" customHeight="false" outlineLevel="0" collapsed="false">
      <c r="A31" s="0" t="s">
        <v>95</v>
      </c>
      <c r="C31" s="3" t="n">
        <v>1.4</v>
      </c>
      <c r="D31" s="3" t="n">
        <v>1.2</v>
      </c>
      <c r="E31" s="3" t="n">
        <v>1.1</v>
      </c>
      <c r="F31" s="3" t="n">
        <v>1</v>
      </c>
      <c r="G31" s="3" t="n">
        <v>1</v>
      </c>
      <c r="H31" s="3" t="n">
        <v>1</v>
      </c>
      <c r="I31" s="3" t="n">
        <v>1</v>
      </c>
      <c r="J31" s="3" t="n">
        <v>1</v>
      </c>
      <c r="K31" s="3" t="n">
        <v>1</v>
      </c>
      <c r="L31" s="3" t="n">
        <v>1</v>
      </c>
    </row>
    <row r="32" customFormat="false" ht="15" hidden="false" customHeight="false" outlineLevel="0" collapsed="false">
      <c r="A32" s="0" t="s">
        <v>96</v>
      </c>
      <c r="C32" s="3" t="n">
        <v>1.5</v>
      </c>
      <c r="D32" s="3" t="n">
        <v>1.5</v>
      </c>
      <c r="E32" s="3" t="n">
        <v>1.2</v>
      </c>
      <c r="F32" s="3" t="n">
        <v>1.2</v>
      </c>
      <c r="G32" s="3" t="n">
        <v>1</v>
      </c>
      <c r="H32" s="3" t="n">
        <v>1</v>
      </c>
      <c r="I32" s="3" t="n">
        <v>1</v>
      </c>
      <c r="J32" s="3" t="n">
        <v>1</v>
      </c>
      <c r="K32" s="3" t="n">
        <v>1</v>
      </c>
      <c r="L32" s="3" t="n">
        <v>1</v>
      </c>
    </row>
    <row r="33" customFormat="false" ht="15" hidden="false" customHeight="false" outlineLevel="0" collapsed="false">
      <c r="A33" s="0" t="s">
        <v>97</v>
      </c>
      <c r="C33" s="3" t="n">
        <v>20</v>
      </c>
      <c r="D33" s="3" t="n">
        <v>20</v>
      </c>
      <c r="E33" s="3" t="n">
        <v>20</v>
      </c>
      <c r="F33" s="3" t="n">
        <v>20</v>
      </c>
      <c r="G33" s="3" t="n">
        <v>20</v>
      </c>
      <c r="H33" s="3" t="n">
        <v>20</v>
      </c>
      <c r="I33" s="3" t="n">
        <v>20</v>
      </c>
      <c r="J33" s="3" t="n">
        <v>20</v>
      </c>
      <c r="K33" s="3" t="n">
        <v>20</v>
      </c>
      <c r="L33" s="3" t="n">
        <v>20</v>
      </c>
    </row>
    <row r="34" customFormat="false" ht="15" hidden="false" customHeight="false" outlineLevel="0" collapsed="false">
      <c r="A34" s="0" t="s">
        <v>98</v>
      </c>
      <c r="B34" s="3" t="n">
        <v>14.2</v>
      </c>
    </row>
    <row r="35" customFormat="false" ht="15" hidden="false" customHeight="false" outlineLevel="0" collapsed="false">
      <c r="A35" s="0" t="s">
        <v>99</v>
      </c>
      <c r="B35" s="3" t="n">
        <v>2.5</v>
      </c>
    </row>
    <row r="36" customFormat="false" ht="15" hidden="false" customHeight="false" outlineLevel="0" collapsed="false">
      <c r="A36" s="0" t="s">
        <v>100</v>
      </c>
      <c r="B36" s="3" t="n">
        <v>15</v>
      </c>
    </row>
    <row r="37" customFormat="false" ht="15" hidden="false" customHeight="false" outlineLevel="0" collapsed="false">
      <c r="A37" s="0" t="s">
        <v>101</v>
      </c>
      <c r="B37" s="3" t="n">
        <v>-5</v>
      </c>
    </row>
    <row r="38" customFormat="false" ht="15" hidden="false" customHeight="false" outlineLevel="0" collapsed="false">
      <c r="A38" s="0" t="s">
        <v>102</v>
      </c>
      <c r="B38" s="3" t="n">
        <v>0.45</v>
      </c>
    </row>
    <row r="40" customFormat="false" ht="15" hidden="false" customHeight="false" outlineLevel="0" collapsed="false">
      <c r="A40" s="2" t="s">
        <v>104</v>
      </c>
      <c r="C40" s="2" t="s">
        <v>81</v>
      </c>
      <c r="D40" s="2" t="s">
        <v>82</v>
      </c>
      <c r="E40" s="2" t="s">
        <v>83</v>
      </c>
      <c r="F40" s="2" t="s">
        <v>84</v>
      </c>
      <c r="G40" s="2" t="s">
        <v>85</v>
      </c>
      <c r="H40" s="2" t="s">
        <v>86</v>
      </c>
      <c r="I40" s="2" t="s">
        <v>87</v>
      </c>
      <c r="J40" s="2" t="s">
        <v>88</v>
      </c>
      <c r="K40" s="2" t="s">
        <v>89</v>
      </c>
      <c r="L40" s="2" t="s">
        <v>90</v>
      </c>
    </row>
    <row r="41" customFormat="false" ht="15" hidden="false" customHeight="false" outlineLevel="0" collapsed="false">
      <c r="A41" s="0" t="s">
        <v>91</v>
      </c>
      <c r="C41" s="3" t="n">
        <v>-35</v>
      </c>
      <c r="D41" s="3" t="n">
        <v>30</v>
      </c>
      <c r="E41" s="3" t="n">
        <v>20</v>
      </c>
      <c r="F41" s="3" t="n">
        <v>15</v>
      </c>
      <c r="G41" s="3" t="n">
        <v>12</v>
      </c>
      <c r="H41" s="3" t="n">
        <v>10</v>
      </c>
      <c r="I41" s="3" t="n">
        <v>8</v>
      </c>
      <c r="J41" s="3" t="n">
        <v>6</v>
      </c>
      <c r="K41" s="3" t="n">
        <v>4</v>
      </c>
      <c r="L41" s="3" t="n">
        <v>3</v>
      </c>
    </row>
    <row r="42" customFormat="false" ht="15" hidden="false" customHeight="false" outlineLevel="0" collapsed="false">
      <c r="A42" s="0" t="s">
        <v>92</v>
      </c>
      <c r="C42" s="3" t="n">
        <v>6</v>
      </c>
      <c r="D42" s="3" t="n">
        <v>13</v>
      </c>
      <c r="E42" s="3" t="n">
        <v>17</v>
      </c>
      <c r="F42" s="3" t="n">
        <v>19</v>
      </c>
      <c r="G42" s="3" t="n">
        <v>20</v>
      </c>
      <c r="H42" s="3" t="n">
        <v>21</v>
      </c>
      <c r="I42" s="3" t="n">
        <v>22</v>
      </c>
      <c r="J42" s="3" t="n">
        <v>22</v>
      </c>
      <c r="K42" s="3" t="n">
        <v>22</v>
      </c>
      <c r="L42" s="3" t="n">
        <v>22</v>
      </c>
    </row>
    <row r="43" customFormat="false" ht="15" hidden="false" customHeight="false" outlineLevel="0" collapsed="false">
      <c r="A43" s="0" t="s">
        <v>93</v>
      </c>
      <c r="C43" s="3" t="n">
        <v>0</v>
      </c>
      <c r="D43" s="3" t="n">
        <v>0</v>
      </c>
      <c r="E43" s="3" t="n">
        <v>0</v>
      </c>
      <c r="F43" s="3" t="n">
        <v>0</v>
      </c>
      <c r="G43" s="3" t="n">
        <v>0</v>
      </c>
      <c r="H43" s="3" t="n">
        <v>0</v>
      </c>
      <c r="I43" s="3" t="n">
        <v>0</v>
      </c>
      <c r="J43" s="3" t="n">
        <v>0</v>
      </c>
      <c r="K43" s="3" t="n">
        <v>0</v>
      </c>
      <c r="L43" s="3" t="n">
        <v>0</v>
      </c>
    </row>
    <row r="44" customFormat="false" ht="15" hidden="false" customHeight="false" outlineLevel="0" collapsed="false">
      <c r="A44" s="0" t="s">
        <v>94</v>
      </c>
      <c r="C44" s="3" t="n">
        <v>0</v>
      </c>
      <c r="D44" s="3" t="n">
        <v>0</v>
      </c>
      <c r="E44" s="3" t="n">
        <v>0</v>
      </c>
      <c r="F44" s="3" t="n">
        <v>0</v>
      </c>
      <c r="G44" s="3" t="n">
        <v>0</v>
      </c>
      <c r="H44" s="3" t="n">
        <v>0</v>
      </c>
      <c r="I44" s="3" t="n">
        <v>0</v>
      </c>
      <c r="J44" s="3" t="n">
        <v>0</v>
      </c>
      <c r="K44" s="3" t="n">
        <v>0</v>
      </c>
      <c r="L44" s="3" t="n">
        <v>0</v>
      </c>
    </row>
    <row r="45" customFormat="false" ht="15" hidden="false" customHeight="false" outlineLevel="0" collapsed="false">
      <c r="A45" s="0" t="s">
        <v>95</v>
      </c>
      <c r="C45" s="3" t="n">
        <v>1.4</v>
      </c>
      <c r="D45" s="3" t="n">
        <v>1.2</v>
      </c>
      <c r="E45" s="3" t="n">
        <v>1</v>
      </c>
      <c r="F45" s="3" t="n">
        <v>1</v>
      </c>
      <c r="G45" s="3" t="n">
        <v>1</v>
      </c>
      <c r="H45" s="3" t="n">
        <v>1</v>
      </c>
      <c r="I45" s="3" t="n">
        <v>1</v>
      </c>
      <c r="J45" s="3" t="n">
        <v>1</v>
      </c>
      <c r="K45" s="3" t="n">
        <v>1</v>
      </c>
      <c r="L45" s="3" t="n">
        <v>1</v>
      </c>
    </row>
    <row r="46" customFormat="false" ht="15" hidden="false" customHeight="false" outlineLevel="0" collapsed="false">
      <c r="A46" s="0" t="s">
        <v>96</v>
      </c>
      <c r="C46" s="3" t="n">
        <v>1.5</v>
      </c>
      <c r="D46" s="3" t="n">
        <v>1.5</v>
      </c>
      <c r="E46" s="3" t="n">
        <v>1.2</v>
      </c>
      <c r="F46" s="3" t="n">
        <v>1.2</v>
      </c>
      <c r="G46" s="3" t="n">
        <v>1</v>
      </c>
      <c r="H46" s="3" t="n">
        <v>1</v>
      </c>
      <c r="I46" s="3" t="n">
        <v>1</v>
      </c>
      <c r="J46" s="3" t="n">
        <v>1</v>
      </c>
      <c r="K46" s="3" t="n">
        <v>1</v>
      </c>
      <c r="L46" s="3" t="n">
        <v>1</v>
      </c>
    </row>
    <row r="47" customFormat="false" ht="15" hidden="false" customHeight="false" outlineLevel="0" collapsed="false">
      <c r="A47" s="0" t="s">
        <v>97</v>
      </c>
      <c r="C47" s="3" t="n">
        <v>20</v>
      </c>
      <c r="D47" s="3" t="n">
        <v>20</v>
      </c>
      <c r="E47" s="3" t="n">
        <v>20</v>
      </c>
      <c r="F47" s="3" t="n">
        <v>20</v>
      </c>
      <c r="G47" s="3" t="n">
        <v>20</v>
      </c>
      <c r="H47" s="3" t="n">
        <v>20</v>
      </c>
      <c r="I47" s="3" t="n">
        <v>20</v>
      </c>
      <c r="J47" s="3" t="n">
        <v>20</v>
      </c>
      <c r="K47" s="3" t="n">
        <v>20</v>
      </c>
      <c r="L47" s="3" t="n">
        <v>20</v>
      </c>
    </row>
    <row r="48" customFormat="false" ht="15" hidden="false" customHeight="false" outlineLevel="0" collapsed="false">
      <c r="A48" s="0" t="s">
        <v>98</v>
      </c>
      <c r="B48" s="3" t="n">
        <v>14.2</v>
      </c>
    </row>
    <row r="49" customFormat="false" ht="15" hidden="false" customHeight="false" outlineLevel="0" collapsed="false">
      <c r="A49" s="0" t="s">
        <v>99</v>
      </c>
      <c r="B49" s="3" t="n">
        <v>3</v>
      </c>
    </row>
    <row r="50" customFormat="false" ht="15" hidden="false" customHeight="false" outlineLevel="0" collapsed="false">
      <c r="A50" s="0" t="s">
        <v>100</v>
      </c>
      <c r="B50" s="3" t="n">
        <v>18</v>
      </c>
    </row>
    <row r="51" customFormat="false" ht="15" hidden="false" customHeight="false" outlineLevel="0" collapsed="false">
      <c r="A51" s="0" t="s">
        <v>101</v>
      </c>
      <c r="B51" s="3" t="n">
        <v>-5</v>
      </c>
    </row>
    <row r="52" customFormat="false" ht="15" hidden="false" customHeight="false" outlineLevel="0" collapsed="false">
      <c r="A52" s="0" t="s">
        <v>102</v>
      </c>
      <c r="B52" s="3" t="n">
        <v>0.2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105</v>
      </c>
    </row>
    <row r="3" customFormat="false" ht="15" hidden="false" customHeight="false" outlineLevel="0" collapsed="false">
      <c r="A3" s="0" t="s">
        <v>106</v>
      </c>
      <c r="B3" s="0" t="s">
        <v>67</v>
      </c>
      <c r="C3" s="2" t="s">
        <v>81</v>
      </c>
      <c r="D3" s="2" t="s">
        <v>82</v>
      </c>
      <c r="E3" s="2" t="s">
        <v>83</v>
      </c>
      <c r="F3" s="2" t="s">
        <v>84</v>
      </c>
      <c r="G3" s="2" t="s">
        <v>85</v>
      </c>
      <c r="H3" s="2" t="s">
        <v>86</v>
      </c>
      <c r="I3" s="2" t="s">
        <v>87</v>
      </c>
      <c r="J3" s="2" t="s">
        <v>88</v>
      </c>
      <c r="K3" s="2" t="s">
        <v>89</v>
      </c>
      <c r="L3" s="2" t="s">
        <v>90</v>
      </c>
    </row>
    <row r="4" customFormat="false" ht="15" hidden="false" customHeight="false" outlineLevel="0" collapsed="false">
      <c r="A4" s="0" t="s">
        <v>107</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91</v>
      </c>
      <c r="C5" s="4" t="n">
        <f aca="false">Assumptions!C13</f>
        <v>-45</v>
      </c>
      <c r="D5" s="4" t="n">
        <f aca="false">Assumptions!D13</f>
        <v>-10</v>
      </c>
      <c r="E5" s="4" t="n">
        <f aca="false">Assumptions!E13</f>
        <v>0</v>
      </c>
      <c r="F5" s="4" t="n">
        <f aca="false">Assumptions!F13</f>
        <v>2</v>
      </c>
      <c r="G5" s="4" t="n">
        <f aca="false">Assumptions!G13</f>
        <v>2</v>
      </c>
      <c r="H5" s="4" t="n">
        <f aca="false">Assumptions!H13</f>
        <v>2</v>
      </c>
      <c r="I5" s="4" t="n">
        <f aca="false">Assumptions!I13</f>
        <v>2</v>
      </c>
      <c r="J5" s="4" t="n">
        <f aca="false">Assumptions!J13</f>
        <v>2</v>
      </c>
      <c r="K5" s="4" t="n">
        <f aca="false">Assumptions!K13</f>
        <v>2</v>
      </c>
      <c r="L5" s="4" t="n">
        <f aca="false">Assumptions!L13</f>
        <v>2</v>
      </c>
    </row>
    <row r="6" customFormat="false" ht="15" hidden="false" customHeight="false" outlineLevel="0" collapsed="false">
      <c r="A6" s="0" t="s">
        <v>38</v>
      </c>
      <c r="B6" s="3" t="n">
        <v>176.399</v>
      </c>
      <c r="C6" s="0" t="n">
        <f aca="false">B6*(1+C5/100)</f>
        <v>97.01945</v>
      </c>
      <c r="D6" s="0" t="n">
        <f aca="false">C6*(1+D5/100)</f>
        <v>87.317505</v>
      </c>
      <c r="E6" s="0" t="n">
        <f aca="false">D6*(1+E5/100)</f>
        <v>87.317505</v>
      </c>
      <c r="F6" s="0" t="n">
        <f aca="false">E6*(1+F5/100)</f>
        <v>89.0638551</v>
      </c>
      <c r="G6" s="0" t="n">
        <f aca="false">F6*(1+G5/100)</f>
        <v>90.845132202</v>
      </c>
      <c r="H6" s="0" t="n">
        <f aca="false">G6*(1+H5/100)</f>
        <v>92.66203484604</v>
      </c>
      <c r="I6" s="0" t="n">
        <f aca="false">H6*(1+I5/100)</f>
        <v>94.5152755429608</v>
      </c>
      <c r="J6" s="0" t="n">
        <f aca="false">I6*(1+J5/100)</f>
        <v>96.40558105382</v>
      </c>
      <c r="K6" s="0" t="n">
        <f aca="false">J6*(1+K5/100)</f>
        <v>98.3336926748964</v>
      </c>
      <c r="L6" s="0" t="n">
        <f aca="false">K6*(1+L5/100)</f>
        <v>100.300366528394</v>
      </c>
    </row>
    <row r="7" customFormat="false" ht="15" hidden="false" customHeight="false" outlineLevel="0" collapsed="false">
      <c r="A7" s="0" t="s">
        <v>92</v>
      </c>
      <c r="C7" s="4" t="n">
        <f aca="false">Assumptions!C14</f>
        <v>1</v>
      </c>
      <c r="D7" s="4" t="n">
        <f aca="false">Assumptions!D14</f>
        <v>-2</v>
      </c>
      <c r="E7" s="4" t="n">
        <f aca="false">Assumptions!E14</f>
        <v>2</v>
      </c>
      <c r="F7" s="4" t="n">
        <f aca="false">Assumptions!F14</f>
        <v>5</v>
      </c>
      <c r="G7" s="4" t="n">
        <f aca="false">Assumptions!G14</f>
        <v>7</v>
      </c>
      <c r="H7" s="4" t="n">
        <f aca="false">Assumptions!H14</f>
        <v>8</v>
      </c>
      <c r="I7" s="4" t="n">
        <f aca="false">Assumptions!I14</f>
        <v>8</v>
      </c>
      <c r="J7" s="4" t="n">
        <f aca="false">Assumptions!J14</f>
        <v>8</v>
      </c>
      <c r="K7" s="4" t="n">
        <f aca="false">Assumptions!K14</f>
        <v>8</v>
      </c>
      <c r="L7" s="4" t="n">
        <f aca="false">Assumptions!L14</f>
        <v>8</v>
      </c>
    </row>
    <row r="8" customFormat="false" ht="15" hidden="false" customHeight="false" outlineLevel="0" collapsed="false">
      <c r="A8" s="0" t="s">
        <v>44</v>
      </c>
      <c r="C8" s="0" t="n">
        <f aca="false">C6*C7/100</f>
        <v>0.9701945</v>
      </c>
      <c r="D8" s="0" t="n">
        <f aca="false">D6*D7/100</f>
        <v>-1.7463501</v>
      </c>
      <c r="E8" s="0" t="n">
        <f aca="false">E6*E7/100</f>
        <v>1.7463501</v>
      </c>
      <c r="F8" s="0" t="n">
        <f aca="false">F6*F7/100</f>
        <v>4.453192755</v>
      </c>
      <c r="G8" s="0" t="n">
        <f aca="false">G6*G7/100</f>
        <v>6.35915925414</v>
      </c>
      <c r="H8" s="0" t="n">
        <f aca="false">H6*H7/100</f>
        <v>7.4129627876832</v>
      </c>
      <c r="I8" s="0" t="n">
        <f aca="false">I6*I7/100</f>
        <v>7.56122204343687</v>
      </c>
      <c r="J8" s="0" t="n">
        <f aca="false">J6*J7/100</f>
        <v>7.7124464843056</v>
      </c>
      <c r="K8" s="0" t="n">
        <f aca="false">K6*K7/100</f>
        <v>7.86669541399172</v>
      </c>
      <c r="L8" s="0" t="n">
        <f aca="false">L6*L7/100</f>
        <v>8.02402932227155</v>
      </c>
    </row>
    <row r="9" customFormat="false" ht="15" hidden="false" customHeight="false" outlineLevel="0" collapsed="false">
      <c r="A9" s="0" t="s">
        <v>93</v>
      </c>
      <c r="C9" s="4" t="n">
        <f aca="false">Assumptions!C15</f>
        <v>0</v>
      </c>
      <c r="D9" s="4" t="n">
        <f aca="false">Assumptions!D15</f>
        <v>0</v>
      </c>
      <c r="E9" s="4" t="n">
        <f aca="false">Assumptions!E15</f>
        <v>0</v>
      </c>
      <c r="F9" s="4" t="n">
        <f aca="false">Assumptions!F15</f>
        <v>0</v>
      </c>
      <c r="G9" s="4" t="n">
        <f aca="false">Assumptions!G15</f>
        <v>0</v>
      </c>
      <c r="H9" s="4" t="n">
        <f aca="false">Assumptions!H15</f>
        <v>0</v>
      </c>
      <c r="I9" s="4" t="n">
        <f aca="false">Assumptions!I15</f>
        <v>0</v>
      </c>
      <c r="J9" s="4" t="n">
        <f aca="false">Assumptions!J15</f>
        <v>0</v>
      </c>
      <c r="K9" s="4" t="n">
        <f aca="false">Assumptions!K15</f>
        <v>0</v>
      </c>
      <c r="L9" s="4" t="n">
        <f aca="false">Assumptions!L15</f>
        <v>0</v>
      </c>
    </row>
    <row r="10" customFormat="false" ht="15" hidden="false" customHeight="false" outlineLevel="0" collapsed="false">
      <c r="A10" s="0" t="s">
        <v>108</v>
      </c>
      <c r="C10" s="0" t="n">
        <f aca="false">-C6*C9/100</f>
        <v>-0</v>
      </c>
      <c r="D10" s="0" t="n">
        <f aca="false">-D6*D9/100</f>
        <v>-0</v>
      </c>
      <c r="E10" s="0" t="n">
        <f aca="false">-E6*E9/100</f>
        <v>-0</v>
      </c>
      <c r="F10" s="0" t="n">
        <f aca="false">-F6*F9/100</f>
        <v>-0</v>
      </c>
      <c r="G10" s="0" t="n">
        <f aca="false">-G6*G9/100</f>
        <v>-0</v>
      </c>
      <c r="H10" s="0" t="n">
        <f aca="false">-H6*H9/100</f>
        <v>-0</v>
      </c>
      <c r="I10" s="0" t="n">
        <f aca="false">-I6*I9/100</f>
        <v>-0</v>
      </c>
      <c r="J10" s="0" t="n">
        <f aca="false">-J6*J9/100</f>
        <v>-0</v>
      </c>
      <c r="K10" s="0" t="n">
        <f aca="false">-K6*K9/100</f>
        <v>-0</v>
      </c>
      <c r="L10" s="0" t="n">
        <f aca="false">-L6*L9/100</f>
        <v>-0</v>
      </c>
    </row>
    <row r="11" customFormat="false" ht="15" hidden="false" customHeight="false" outlineLevel="0" collapsed="false">
      <c r="A11" s="0" t="s">
        <v>109</v>
      </c>
      <c r="C11" s="0" t="n">
        <f aca="false">C8+C10+C24</f>
        <v>0.9701945</v>
      </c>
      <c r="D11" s="0" t="n">
        <f aca="false">D8+D10+D24</f>
        <v>-1.7463501</v>
      </c>
      <c r="E11" s="0" t="n">
        <f aca="false">E8+E10+E24</f>
        <v>1.7463501</v>
      </c>
      <c r="F11" s="0" t="n">
        <f aca="false">F8+F10+F24</f>
        <v>4.453192755</v>
      </c>
      <c r="G11" s="0" t="n">
        <f aca="false">G8+G10+G24</f>
        <v>6.35915925414</v>
      </c>
      <c r="H11" s="0" t="n">
        <f aca="false">H8+H10+H24</f>
        <v>7.4129627876832</v>
      </c>
      <c r="I11" s="0" t="n">
        <f aca="false">I8+I10+I24</f>
        <v>7.56122204343687</v>
      </c>
      <c r="J11" s="0" t="n">
        <f aca="false">J8+J10+J24</f>
        <v>7.7124464843056</v>
      </c>
      <c r="K11" s="0" t="n">
        <f aca="false">K8+K10+K24</f>
        <v>7.86669541399172</v>
      </c>
      <c r="L11" s="0" t="n">
        <f aca="false">L8+L10+L24</f>
        <v>8.02402932227155</v>
      </c>
    </row>
    <row r="12" customFormat="false" ht="15" hidden="false" customHeight="false" outlineLevel="0" collapsed="false">
      <c r="A12" s="0" t="s">
        <v>110</v>
      </c>
      <c r="C12" s="4" t="n">
        <f aca="false">-C6*Assumptions!C17/100</f>
        <v>-1.45529175</v>
      </c>
      <c r="D12" s="4" t="n">
        <f aca="false">-D6*Assumptions!D17/100</f>
        <v>-1.39708008</v>
      </c>
      <c r="E12" s="4" t="n">
        <f aca="false">-E6*Assumptions!E17/100</f>
        <v>-1.309762575</v>
      </c>
      <c r="F12" s="4" t="n">
        <f aca="false">-F6*Assumptions!F17/100</f>
        <v>-1.2468939714</v>
      </c>
      <c r="G12" s="4" t="n">
        <f aca="false">-G6*Assumptions!G17/100</f>
        <v>-1.180986718626</v>
      </c>
      <c r="H12" s="4" t="n">
        <f aca="false">-H6*Assumptions!H17/100</f>
        <v>-1.11194441815248</v>
      </c>
      <c r="I12" s="4" t="n">
        <f aca="false">-I6*Assumptions!I17/100</f>
        <v>-1.13418330651553</v>
      </c>
      <c r="J12" s="4" t="n">
        <f aca="false">-J6*Assumptions!J17/100</f>
        <v>-1.15686697264584</v>
      </c>
      <c r="K12" s="4" t="n">
        <f aca="false">-K6*Assumptions!K17/100</f>
        <v>-1.18000431209876</v>
      </c>
      <c r="L12" s="4" t="n">
        <f aca="false">-L6*Assumptions!L17/100</f>
        <v>-1.20360439834073</v>
      </c>
    </row>
    <row r="13" customFormat="false" ht="15" hidden="false" customHeight="false" outlineLevel="0" collapsed="false">
      <c r="A13" s="0" t="s">
        <v>111</v>
      </c>
      <c r="C13" s="0" t="n">
        <f aca="false">C11+C12</f>
        <v>-0.48509725</v>
      </c>
      <c r="D13" s="0" t="n">
        <f aca="false">D11+D12</f>
        <v>-3.14343018</v>
      </c>
      <c r="E13" s="0" t="n">
        <f aca="false">E11+E12</f>
        <v>0.436587525</v>
      </c>
      <c r="F13" s="0" t="n">
        <f aca="false">F11+F12</f>
        <v>3.2062987836</v>
      </c>
      <c r="G13" s="0" t="n">
        <f aca="false">G11+G12</f>
        <v>5.178172535514</v>
      </c>
      <c r="H13" s="0" t="n">
        <f aca="false">H11+H12</f>
        <v>6.30101836953072</v>
      </c>
      <c r="I13" s="0" t="n">
        <f aca="false">I11+I12</f>
        <v>6.42703873692134</v>
      </c>
      <c r="J13" s="0" t="n">
        <f aca="false">J11+J12</f>
        <v>6.55557951165976</v>
      </c>
      <c r="K13" s="0" t="n">
        <f aca="false">K11+K12</f>
        <v>6.68669110189296</v>
      </c>
      <c r="L13" s="0" t="n">
        <f aca="false">L11+L12</f>
        <v>6.82042492393082</v>
      </c>
    </row>
    <row r="14" customFormat="false" ht="15" hidden="false" customHeight="false" outlineLevel="0" collapsed="false">
      <c r="A14" s="0" t="s">
        <v>97</v>
      </c>
      <c r="C14" s="4" t="n">
        <f aca="false">Assumptions!C19</f>
        <v>20</v>
      </c>
      <c r="D14" s="4" t="n">
        <f aca="false">Assumptions!D19</f>
        <v>20</v>
      </c>
      <c r="E14" s="4" t="n">
        <f aca="false">Assumptions!E19</f>
        <v>20</v>
      </c>
      <c r="F14" s="4" t="n">
        <f aca="false">Assumptions!F19</f>
        <v>20</v>
      </c>
      <c r="G14" s="4" t="n">
        <f aca="false">Assumptions!G19</f>
        <v>20</v>
      </c>
      <c r="H14" s="4" t="n">
        <f aca="false">Assumptions!H19</f>
        <v>20</v>
      </c>
      <c r="I14" s="4" t="n">
        <f aca="false">Assumptions!I19</f>
        <v>20</v>
      </c>
      <c r="J14" s="4" t="n">
        <f aca="false">Assumptions!J19</f>
        <v>20</v>
      </c>
      <c r="K14" s="4" t="n">
        <f aca="false">Assumptions!K19</f>
        <v>20</v>
      </c>
      <c r="L14" s="4" t="n">
        <f aca="false">Assumptions!L19</f>
        <v>20</v>
      </c>
    </row>
    <row r="15" customFormat="false" ht="15" hidden="false" customHeight="false" outlineLevel="0" collapsed="false">
      <c r="A15" s="0" t="s">
        <v>112</v>
      </c>
      <c r="C15" s="0" t="n">
        <f aca="false">C13-MAX(0,C13)*C14/100</f>
        <v>-0.48509725</v>
      </c>
      <c r="D15" s="0" t="n">
        <f aca="false">D13-MAX(0,D13)*D14/100</f>
        <v>-3.14343018</v>
      </c>
      <c r="E15" s="0" t="n">
        <f aca="false">E13-MAX(0,E13)*E14/100</f>
        <v>0.34927002</v>
      </c>
      <c r="F15" s="0" t="n">
        <f aca="false">F13-MAX(0,F13)*F14/100</f>
        <v>2.56503902688</v>
      </c>
      <c r="G15" s="0" t="n">
        <f aca="false">G13-MAX(0,G13)*G14/100</f>
        <v>4.1425380284112</v>
      </c>
      <c r="H15" s="0" t="n">
        <f aca="false">H13-MAX(0,H13)*H14/100</f>
        <v>5.04081469562458</v>
      </c>
      <c r="I15" s="0" t="n">
        <f aca="false">I13-MAX(0,I13)*I14/100</f>
        <v>5.14163098953707</v>
      </c>
      <c r="J15" s="0" t="n">
        <f aca="false">J13-MAX(0,J13)*J14/100</f>
        <v>5.24446360932781</v>
      </c>
      <c r="K15" s="0" t="n">
        <f aca="false">K13-MAX(0,K13)*K14/100</f>
        <v>5.34935288151437</v>
      </c>
      <c r="L15" s="0" t="n">
        <f aca="false">L13-MAX(0,L13)*L14/100</f>
        <v>5.45633993914465</v>
      </c>
    </row>
    <row r="16" customFormat="false" ht="15" hidden="false" customHeight="false" outlineLevel="0" collapsed="false">
      <c r="A16" s="0" t="s">
        <v>113</v>
      </c>
      <c r="C16" s="0" t="n">
        <f aca="false">-C12</f>
        <v>1.45529175</v>
      </c>
      <c r="D16" s="0" t="n">
        <f aca="false">-D12</f>
        <v>1.39708008</v>
      </c>
      <c r="E16" s="0" t="n">
        <f aca="false">-E12</f>
        <v>1.309762575</v>
      </c>
      <c r="F16" s="0" t="n">
        <f aca="false">-F12</f>
        <v>1.2468939714</v>
      </c>
      <c r="G16" s="0" t="n">
        <f aca="false">-G12</f>
        <v>1.180986718626</v>
      </c>
      <c r="H16" s="0" t="n">
        <f aca="false">-H12</f>
        <v>1.11194441815248</v>
      </c>
      <c r="I16" s="0" t="n">
        <f aca="false">-I12</f>
        <v>1.13418330651553</v>
      </c>
      <c r="J16" s="0" t="n">
        <f aca="false">-J12</f>
        <v>1.15686697264584</v>
      </c>
      <c r="K16" s="0" t="n">
        <f aca="false">-K12</f>
        <v>1.18000431209876</v>
      </c>
      <c r="L16" s="0" t="n">
        <f aca="false">-L12</f>
        <v>1.20360439834073</v>
      </c>
    </row>
    <row r="17" customFormat="false" ht="15" hidden="false" customHeight="false" outlineLevel="0" collapsed="false">
      <c r="A17" s="0" t="s">
        <v>114</v>
      </c>
      <c r="C17" s="4" t="n">
        <f aca="false">-C6*Assumptions!C18/100</f>
        <v>-1.45529175</v>
      </c>
      <c r="D17" s="4" t="n">
        <f aca="false">-D6*Assumptions!D18/100</f>
        <v>-1.04781006</v>
      </c>
      <c r="E17" s="4" t="n">
        <f aca="false">-E6*Assumptions!E18/100</f>
        <v>-0.87317505</v>
      </c>
      <c r="F17" s="4" t="n">
        <f aca="false">-F6*Assumptions!F18/100</f>
        <v>-0.890638551</v>
      </c>
      <c r="G17" s="4" t="n">
        <f aca="false">-G6*Assumptions!G18/100</f>
        <v>-0.90845132202</v>
      </c>
      <c r="H17" s="4" t="n">
        <f aca="false">-H6*Assumptions!H18/100</f>
        <v>-0.9266203484604</v>
      </c>
      <c r="I17" s="4" t="n">
        <f aca="false">-I6*Assumptions!I18/100</f>
        <v>-0.945152755429608</v>
      </c>
      <c r="J17" s="4" t="n">
        <f aca="false">-J6*Assumptions!J18/100</f>
        <v>-0.9640558105382</v>
      </c>
      <c r="K17" s="4" t="n">
        <f aca="false">-K6*Assumptions!K18/100</f>
        <v>-0.983336926748964</v>
      </c>
      <c r="L17" s="4" t="n">
        <f aca="false">-L6*Assumptions!L18/100</f>
        <v>-1.00300366528394</v>
      </c>
    </row>
    <row r="18" customFormat="false" ht="15" hidden="false" customHeight="false" outlineLevel="0" collapsed="false">
      <c r="A18" s="0" t="s">
        <v>115</v>
      </c>
      <c r="C18" s="4" t="n">
        <f aca="false">(C6-B6)*Assumptions!$B$23/100</f>
        <v>3.9689775</v>
      </c>
      <c r="D18" s="4" t="n">
        <f aca="false">(D6-C6)*Assumptions!$B$23/100</f>
        <v>0.48509725</v>
      </c>
      <c r="E18" s="4" t="n">
        <f aca="false">(E6-D6)*Assumptions!$B$23/100</f>
        <v>-0</v>
      </c>
      <c r="F18" s="4" t="n">
        <f aca="false">(F6-E6)*Assumptions!$B$23/100</f>
        <v>-0.0873175050000001</v>
      </c>
      <c r="G18" s="4" t="n">
        <f aca="false">(G6-F6)*Assumptions!$B$23/100</f>
        <v>-0.0890638551000002</v>
      </c>
      <c r="H18" s="4" t="n">
        <f aca="false">(H6-G6)*Assumptions!$B$23/100</f>
        <v>-0.0908451322019999</v>
      </c>
      <c r="I18" s="4" t="n">
        <f aca="false">(I6-H6)*Assumptions!$B$23/100</f>
        <v>-0.0926620348460403</v>
      </c>
      <c r="J18" s="4" t="n">
        <f aca="false">(J6-I6)*Assumptions!$B$23/100</f>
        <v>-0.0945152755429611</v>
      </c>
      <c r="K18" s="4" t="n">
        <f aca="false">(K6-J6)*Assumptions!$B$23/100</f>
        <v>-0.0964055810538198</v>
      </c>
      <c r="L18" s="4" t="n">
        <f aca="false">(L6-K6)*Assumptions!$B$23/100</f>
        <v>-0.0983336926748969</v>
      </c>
    </row>
    <row r="19" customFormat="false" ht="15" hidden="false" customHeight="false" outlineLevel="0" collapsed="false">
      <c r="A19" s="0" t="s">
        <v>116</v>
      </c>
      <c r="C19" s="0" t="n">
        <f aca="false">C15+C16+C17+C18</f>
        <v>3.48388025</v>
      </c>
      <c r="D19" s="0" t="n">
        <f aca="false">D15+D16+D17+D18</f>
        <v>-2.30906291</v>
      </c>
      <c r="E19" s="0" t="n">
        <f aca="false">E15+E16+E17+E18</f>
        <v>0.785857545</v>
      </c>
      <c r="F19" s="0" t="n">
        <f aca="false">F15+F16+F17+F18</f>
        <v>2.83397694228</v>
      </c>
      <c r="G19" s="0" t="n">
        <f aca="false">G15+G16+G17+G18</f>
        <v>4.3260095699172</v>
      </c>
      <c r="H19" s="0" t="n">
        <f aca="false">H15+H16+H17+H18</f>
        <v>5.13529363311466</v>
      </c>
      <c r="I19" s="0" t="n">
        <f aca="false">I15+I16+I17+I18</f>
        <v>5.23799950577695</v>
      </c>
      <c r="J19" s="0" t="n">
        <f aca="false">J15+J16+J17+J18</f>
        <v>5.34275949589249</v>
      </c>
      <c r="K19" s="0" t="n">
        <f aca="false">K15+K16+K17+K18</f>
        <v>5.44961468581034</v>
      </c>
      <c r="L19" s="0" t="n">
        <f aca="false">L15+L16+L17+L18</f>
        <v>5.55860697952655</v>
      </c>
    </row>
    <row r="20" customFormat="false" ht="15" hidden="false" customHeight="false" outlineLevel="0" collapsed="false">
      <c r="A20" s="0" t="s">
        <v>117</v>
      </c>
      <c r="C20" s="0" t="n">
        <f aca="false">1/(1+$B$27/100)^C4</f>
        <v>0.875656742556918</v>
      </c>
      <c r="D20" s="0" t="n">
        <f aca="false">1/(1+$B$27/100)^D4</f>
        <v>0.766774730785392</v>
      </c>
      <c r="E20" s="0" t="n">
        <f aca="false">1/(1+$B$27/100)^E4</f>
        <v>0.671431463034494</v>
      </c>
      <c r="F20" s="0" t="n">
        <f aca="false">1/(1+$B$27/100)^F4</f>
        <v>0.587943487771011</v>
      </c>
      <c r="G20" s="0" t="n">
        <f aca="false">1/(1+$B$27/100)^G4</f>
        <v>0.514836679309116</v>
      </c>
      <c r="H20" s="0" t="n">
        <f aca="false">1/(1+$B$27/100)^H4</f>
        <v>0.450820209552641</v>
      </c>
      <c r="I20" s="0" t="n">
        <f aca="false">1/(1+$B$27/100)^I4</f>
        <v>0.394763756175693</v>
      </c>
      <c r="J20" s="0" t="n">
        <f aca="false">1/(1+$B$27/100)^J4</f>
        <v>0.345677544812341</v>
      </c>
      <c r="K20" s="0" t="n">
        <f aca="false">1/(1+$B$27/100)^K4</f>
        <v>0.302694872865447</v>
      </c>
      <c r="L20" s="0" t="n">
        <f aca="false">1/(1+$B$27/100)^L4</f>
        <v>0.265056806362038</v>
      </c>
    </row>
    <row r="21" customFormat="false" ht="15" hidden="false" customHeight="false" outlineLevel="0" collapsed="false">
      <c r="A21" s="0" t="s">
        <v>118</v>
      </c>
      <c r="C21" s="0" t="n">
        <f aca="false">C19*C20</f>
        <v>3.05068323117338</v>
      </c>
      <c r="D21" s="0" t="n">
        <f aca="false">D19*D20</f>
        <v>-1.77053109118178</v>
      </c>
      <c r="E21" s="0" t="n">
        <f aca="false">E19*E20</f>
        <v>0.527649481176046</v>
      </c>
      <c r="F21" s="0" t="n">
        <f aca="false">F19*F20</f>
        <v>1.66621828770673</v>
      </c>
      <c r="G21" s="0" t="n">
        <f aca="false">G19*G20</f>
        <v>2.22718840163563</v>
      </c>
      <c r="H21" s="0" t="n">
        <f aca="false">H19*H20</f>
        <v>2.31509415179509</v>
      </c>
      <c r="I21" s="0" t="n">
        <f aca="false">I19*I20</f>
        <v>2.06777235974693</v>
      </c>
      <c r="J21" s="0" t="n">
        <f aca="false">J19*J20</f>
        <v>1.84687198506293</v>
      </c>
      <c r="K21" s="0" t="n">
        <f aca="false">K19*K20</f>
        <v>1.64957042448703</v>
      </c>
      <c r="L21" s="0" t="n">
        <f aca="false">L19*L20</f>
        <v>1.47334661381504</v>
      </c>
    </row>
    <row r="23" customFormat="false" ht="15" hidden="false" customHeight="false" outlineLevel="0" collapsed="false">
      <c r="A23" s="0" t="s">
        <v>94</v>
      </c>
      <c r="C23" s="4" t="n">
        <f aca="false">Assumptions!C16</f>
        <v>0</v>
      </c>
      <c r="D23" s="4" t="n">
        <f aca="false">Assumptions!D16</f>
        <v>0</v>
      </c>
      <c r="E23" s="4" t="n">
        <f aca="false">Assumptions!E16</f>
        <v>0</v>
      </c>
      <c r="F23" s="4" t="n">
        <f aca="false">Assumptions!F16</f>
        <v>0</v>
      </c>
      <c r="G23" s="4" t="n">
        <f aca="false">Assumptions!G16</f>
        <v>0</v>
      </c>
      <c r="H23" s="4" t="n">
        <f aca="false">Assumptions!H16</f>
        <v>0</v>
      </c>
      <c r="I23" s="4" t="n">
        <f aca="false">Assumptions!I16</f>
        <v>0</v>
      </c>
      <c r="J23" s="4" t="n">
        <f aca="false">Assumptions!J16</f>
        <v>0</v>
      </c>
      <c r="K23" s="4" t="n">
        <f aca="false">Assumptions!K16</f>
        <v>0</v>
      </c>
      <c r="L23" s="4" t="n">
        <f aca="false">Assumptions!L16</f>
        <v>0</v>
      </c>
    </row>
    <row r="24" customFormat="false" ht="15" hidden="false" customHeight="false" outlineLevel="0" collapsed="false">
      <c r="A24" s="0" t="s">
        <v>119</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120</v>
      </c>
    </row>
    <row r="27" customFormat="false" ht="15" hidden="false" customHeight="false" outlineLevel="0" collapsed="false">
      <c r="A27" s="0" t="s">
        <v>98</v>
      </c>
      <c r="B27" s="4" t="n">
        <f aca="false">Assumptions!$B$20</f>
        <v>14.2</v>
      </c>
    </row>
    <row r="28" customFormat="false" ht="15" hidden="false" customHeight="false" outlineLevel="0" collapsed="false">
      <c r="A28" s="0" t="s">
        <v>99</v>
      </c>
      <c r="B28" s="4" t="n">
        <f aca="false">Assumptions!$B$21</f>
        <v>2</v>
      </c>
    </row>
    <row r="29" customFormat="false" ht="15" hidden="false" customHeight="false" outlineLevel="0" collapsed="false">
      <c r="A29" s="0" t="s">
        <v>100</v>
      </c>
      <c r="B29" s="4" t="n">
        <f aca="false">Assumptions!$B$22</f>
        <v>12</v>
      </c>
    </row>
    <row r="30" customFormat="false" ht="15" hidden="false" customHeight="false" outlineLevel="0" collapsed="false">
      <c r="A30" s="0" t="s">
        <v>121</v>
      </c>
      <c r="B30" s="0" t="n">
        <f aca="false">SUM(C21:L21)</f>
        <v>15.053863845417</v>
      </c>
    </row>
    <row r="31" customFormat="false" ht="15" hidden="false" customHeight="false" outlineLevel="0" collapsed="false">
      <c r="A31" s="0" t="s">
        <v>122</v>
      </c>
      <c r="B31" s="0" t="n">
        <f aca="false">L19</f>
        <v>5.55860697952655</v>
      </c>
    </row>
    <row r="32" customFormat="false" ht="15" hidden="false" customHeight="false" outlineLevel="0" collapsed="false">
      <c r="A32" s="0" t="s">
        <v>123</v>
      </c>
      <c r="B32" s="0" t="n">
        <f aca="false">IF(B27&gt;B28,B31*(1+B28/100)/((B27-B28)/100),B31*B29)</f>
        <v>46.4735993370252</v>
      </c>
    </row>
    <row r="33" customFormat="false" ht="15" hidden="false" customHeight="false" outlineLevel="0" collapsed="false">
      <c r="A33" s="0" t="s">
        <v>124</v>
      </c>
      <c r="B33" s="0" t="n">
        <f aca="false">B31*B29</f>
        <v>66.7032837543186</v>
      </c>
    </row>
    <row r="34" customFormat="false" ht="15" hidden="false" customHeight="false" outlineLevel="0" collapsed="false">
      <c r="A34" s="0" t="s">
        <v>125</v>
      </c>
      <c r="B34" s="0" t="n">
        <f aca="false">MAX(0,MIN(B32,B33))</f>
        <v>46.4735993370252</v>
      </c>
    </row>
    <row r="35" customFormat="false" ht="15" hidden="false" customHeight="false" outlineLevel="0" collapsed="false">
      <c r="A35" s="0" t="s">
        <v>126</v>
      </c>
      <c r="B35" s="0" t="n">
        <f aca="false">B34/(1+B27/100)^L4</f>
        <v>12.3181438204208</v>
      </c>
    </row>
    <row r="36" customFormat="false" ht="15" hidden="false" customHeight="false" outlineLevel="0" collapsed="false">
      <c r="A36" s="0" t="s">
        <v>127</v>
      </c>
      <c r="B36" s="0" t="n">
        <f aca="false">B30+B35</f>
        <v>27.3720076658379</v>
      </c>
    </row>
    <row r="37" customFormat="false" ht="15" hidden="false" customHeight="false" outlineLevel="0" collapsed="false">
      <c r="A37" s="0" t="s">
        <v>128</v>
      </c>
      <c r="B37" s="0" t="n">
        <f aca="false">B36+Assumptions!$B$5-Assumptions!$B$4</f>
        <v>188.445007665838</v>
      </c>
    </row>
    <row r="38" customFormat="false" ht="15" hidden="false" customHeight="false" outlineLevel="0" collapsed="false">
      <c r="A38" s="0" t="s">
        <v>129</v>
      </c>
      <c r="B38" s="0" t="n">
        <f aca="false">B37/Assumptions!$B$3*Assumptions!$B$10</f>
        <v>5.58143910603525</v>
      </c>
    </row>
    <row r="39" customFormat="false" ht="15" hidden="false" customHeight="false" outlineLevel="0" collapsed="false">
      <c r="A39" s="0" t="s">
        <v>130</v>
      </c>
      <c r="B39" s="4" t="n">
        <f aca="false">B38/Assumptions!$B$2-1</f>
        <v>0.319489150362942</v>
      </c>
    </row>
    <row r="41" customFormat="false" ht="15" hidden="false" customHeight="false" outlineLevel="0" collapsed="false">
      <c r="A41" s="0" t="s">
        <v>131</v>
      </c>
      <c r="B41" s="0" t="n">
        <f aca="false">SUMPRODUCT(-C10:L10/(1+$B$27/100)^C4:L4)</f>
        <v>0</v>
      </c>
    </row>
    <row r="42" customFormat="false" ht="15" hidden="false" customHeight="false" outlineLevel="0" collapsed="false">
      <c r="A42" s="0" t="s">
        <v>132</v>
      </c>
      <c r="B42" s="0" t="n">
        <f aca="false">IF(B27&gt;B28,-L10*(1+B28/100)/((B27-B28)/100),-L10*20)/(1+B27/100)^L4</f>
        <v>0</v>
      </c>
    </row>
    <row r="43" customFormat="false" ht="15" hidden="false" customHeight="false" outlineLevel="0" collapsed="false">
      <c r="A43" s="0" t="s">
        <v>133</v>
      </c>
      <c r="B43" s="0" t="n">
        <f aca="false">(B37+B41+B42)/Assumptions!$B$3*Assumptions!$B$10</f>
        <v>5.58143910603525</v>
      </c>
    </row>
    <row r="45" customFormat="false" ht="15" hidden="false" customHeight="false" outlineLevel="0" collapsed="false">
      <c r="A45" s="0" t="s">
        <v>74</v>
      </c>
      <c r="B45" s="4" t="n">
        <f aca="false">Assumptions!$B$6</f>
        <v>15</v>
      </c>
    </row>
    <row r="46" customFormat="false" ht="15" hidden="false" customHeight="false" outlineLevel="0" collapsed="false">
      <c r="A46" s="0" t="s">
        <v>134</v>
      </c>
      <c r="B46" s="0" t="n">
        <f aca="false">MAX(0,MIN(IF(B45&gt;B28,B31*(1+B28/100)/((B45-B28)/100),B31*B29),B31*B29))</f>
        <v>43.6136855316698</v>
      </c>
    </row>
    <row r="47" customFormat="false" ht="15" hidden="false" customHeight="false" outlineLevel="0" collapsed="false">
      <c r="A47" s="0" t="s">
        <v>135</v>
      </c>
      <c r="B47" s="0" t="n">
        <f aca="false">(SUMPRODUCT(C19:L19/(1+B45/100)^C4:L4)+B46/(1+B45/100)^L4+Assumptions!$B$5-Assumptions!$B$4)/Assumptions!$B$3*Assumptions!$B$10</f>
        <v>5.51743123402739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136</v>
      </c>
    </row>
    <row r="3" customFormat="false" ht="15" hidden="false" customHeight="false" outlineLevel="0" collapsed="false">
      <c r="A3" s="0" t="s">
        <v>106</v>
      </c>
      <c r="B3" s="0" t="s">
        <v>67</v>
      </c>
      <c r="C3" s="2" t="s">
        <v>81</v>
      </c>
      <c r="D3" s="2" t="s">
        <v>82</v>
      </c>
      <c r="E3" s="2" t="s">
        <v>83</v>
      </c>
      <c r="F3" s="2" t="s">
        <v>84</v>
      </c>
      <c r="G3" s="2" t="s">
        <v>85</v>
      </c>
      <c r="H3" s="2" t="s">
        <v>86</v>
      </c>
      <c r="I3" s="2" t="s">
        <v>87</v>
      </c>
      <c r="J3" s="2" t="s">
        <v>88</v>
      </c>
      <c r="K3" s="2" t="s">
        <v>89</v>
      </c>
      <c r="L3" s="2" t="s">
        <v>90</v>
      </c>
    </row>
    <row r="4" customFormat="false" ht="15" hidden="false" customHeight="false" outlineLevel="0" collapsed="false">
      <c r="A4" s="0" t="s">
        <v>107</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91</v>
      </c>
      <c r="C5" s="4" t="n">
        <f aca="false">Assumptions!C27</f>
        <v>-38</v>
      </c>
      <c r="D5" s="4" t="n">
        <f aca="false">Assumptions!D27</f>
        <v>18</v>
      </c>
      <c r="E5" s="4" t="n">
        <f aca="false">Assumptions!E27</f>
        <v>12</v>
      </c>
      <c r="F5" s="4" t="n">
        <f aca="false">Assumptions!F27</f>
        <v>9</v>
      </c>
      <c r="G5" s="4" t="n">
        <f aca="false">Assumptions!G27</f>
        <v>7</v>
      </c>
      <c r="H5" s="4" t="n">
        <f aca="false">Assumptions!H27</f>
        <v>6</v>
      </c>
      <c r="I5" s="4" t="n">
        <f aca="false">Assumptions!I27</f>
        <v>5</v>
      </c>
      <c r="J5" s="4" t="n">
        <f aca="false">Assumptions!J27</f>
        <v>4</v>
      </c>
      <c r="K5" s="4" t="n">
        <f aca="false">Assumptions!K27</f>
        <v>3.5</v>
      </c>
      <c r="L5" s="4" t="n">
        <f aca="false">Assumptions!L27</f>
        <v>3</v>
      </c>
    </row>
    <row r="6" customFormat="false" ht="15" hidden="false" customHeight="false" outlineLevel="0" collapsed="false">
      <c r="A6" s="0" t="s">
        <v>38</v>
      </c>
      <c r="B6" s="3" t="n">
        <v>176.399</v>
      </c>
      <c r="C6" s="0" t="n">
        <f aca="false">B6*(1+C5/100)</f>
        <v>109.36738</v>
      </c>
      <c r="D6" s="0" t="n">
        <f aca="false">C6*(1+D5/100)</f>
        <v>129.0535084</v>
      </c>
      <c r="E6" s="0" t="n">
        <f aca="false">D6*(1+E5/100)</f>
        <v>144.539929408</v>
      </c>
      <c r="F6" s="0" t="n">
        <f aca="false">E6*(1+F5/100)</f>
        <v>157.54852305472</v>
      </c>
      <c r="G6" s="0" t="n">
        <f aca="false">F6*(1+G5/100)</f>
        <v>168.57691966855</v>
      </c>
      <c r="H6" s="0" t="n">
        <f aca="false">G6*(1+H5/100)</f>
        <v>178.691534848663</v>
      </c>
      <c r="I6" s="0" t="n">
        <f aca="false">H6*(1+I5/100)</f>
        <v>187.626111591097</v>
      </c>
      <c r="J6" s="0" t="n">
        <f aca="false">I6*(1+J5/100)</f>
        <v>195.131156054741</v>
      </c>
      <c r="K6" s="0" t="n">
        <f aca="false">J6*(1+K5/100)</f>
        <v>201.960746516656</v>
      </c>
      <c r="L6" s="0" t="n">
        <f aca="false">K6*(1+L5/100)</f>
        <v>208.019568912156</v>
      </c>
    </row>
    <row r="7" customFormat="false" ht="15" hidden="false" customHeight="false" outlineLevel="0" collapsed="false">
      <c r="A7" s="0" t="s">
        <v>92</v>
      </c>
      <c r="C7" s="4" t="n">
        <f aca="false">Assumptions!C28</f>
        <v>5</v>
      </c>
      <c r="D7" s="4" t="n">
        <f aca="false">Assumptions!D28</f>
        <v>10</v>
      </c>
      <c r="E7" s="4" t="n">
        <f aca="false">Assumptions!E28</f>
        <v>13</v>
      </c>
      <c r="F7" s="4" t="n">
        <f aca="false">Assumptions!F28</f>
        <v>15</v>
      </c>
      <c r="G7" s="4" t="n">
        <f aca="false">Assumptions!G28</f>
        <v>16</v>
      </c>
      <c r="H7" s="4" t="n">
        <f aca="false">Assumptions!H28</f>
        <v>16.5</v>
      </c>
      <c r="I7" s="4" t="n">
        <f aca="false">Assumptions!I28</f>
        <v>17</v>
      </c>
      <c r="J7" s="4" t="n">
        <f aca="false">Assumptions!J28</f>
        <v>17</v>
      </c>
      <c r="K7" s="4" t="n">
        <f aca="false">Assumptions!K28</f>
        <v>17</v>
      </c>
      <c r="L7" s="4" t="n">
        <f aca="false">Assumptions!L28</f>
        <v>17</v>
      </c>
    </row>
    <row r="8" customFormat="false" ht="15" hidden="false" customHeight="false" outlineLevel="0" collapsed="false">
      <c r="A8" s="0" t="s">
        <v>44</v>
      </c>
      <c r="C8" s="0" t="n">
        <f aca="false">C6*C7/100</f>
        <v>5.468369</v>
      </c>
      <c r="D8" s="0" t="n">
        <f aca="false">D6*D7/100</f>
        <v>12.90535084</v>
      </c>
      <c r="E8" s="0" t="n">
        <f aca="false">E6*E7/100</f>
        <v>18.79019082304</v>
      </c>
      <c r="F8" s="0" t="n">
        <f aca="false">F6*F7/100</f>
        <v>23.632278458208</v>
      </c>
      <c r="G8" s="0" t="n">
        <f aca="false">G6*G7/100</f>
        <v>26.9723071469681</v>
      </c>
      <c r="H8" s="0" t="n">
        <f aca="false">H6*H7/100</f>
        <v>29.4841032500295</v>
      </c>
      <c r="I8" s="0" t="n">
        <f aca="false">I6*I7/100</f>
        <v>31.8964389704864</v>
      </c>
      <c r="J8" s="0" t="n">
        <f aca="false">J6*J7/100</f>
        <v>33.1722965293059</v>
      </c>
      <c r="K8" s="0" t="n">
        <f aca="false">K6*K7/100</f>
        <v>34.3333269078316</v>
      </c>
      <c r="L8" s="0" t="n">
        <f aca="false">L6*L7/100</f>
        <v>35.3633267150666</v>
      </c>
    </row>
    <row r="9" customFormat="false" ht="15" hidden="false" customHeight="false" outlineLevel="0" collapsed="false">
      <c r="A9" s="0" t="s">
        <v>93</v>
      </c>
      <c r="C9" s="4" t="n">
        <f aca="false">Assumptions!C29</f>
        <v>0</v>
      </c>
      <c r="D9" s="4" t="n">
        <f aca="false">Assumptions!D29</f>
        <v>0</v>
      </c>
      <c r="E9" s="4" t="n">
        <f aca="false">Assumptions!E29</f>
        <v>0</v>
      </c>
      <c r="F9" s="4" t="n">
        <f aca="false">Assumptions!F29</f>
        <v>0</v>
      </c>
      <c r="G9" s="4" t="n">
        <f aca="false">Assumptions!G29</f>
        <v>0</v>
      </c>
      <c r="H9" s="4" t="n">
        <f aca="false">Assumptions!H29</f>
        <v>0</v>
      </c>
      <c r="I9" s="4" t="n">
        <f aca="false">Assumptions!I29</f>
        <v>0</v>
      </c>
      <c r="J9" s="4" t="n">
        <f aca="false">Assumptions!J29</f>
        <v>0</v>
      </c>
      <c r="K9" s="4" t="n">
        <f aca="false">Assumptions!K29</f>
        <v>0</v>
      </c>
      <c r="L9" s="4" t="n">
        <f aca="false">Assumptions!L29</f>
        <v>0</v>
      </c>
    </row>
    <row r="10" customFormat="false" ht="15" hidden="false" customHeight="false" outlineLevel="0" collapsed="false">
      <c r="A10" s="0" t="s">
        <v>108</v>
      </c>
      <c r="C10" s="0" t="n">
        <f aca="false">-C6*C9/100</f>
        <v>-0</v>
      </c>
      <c r="D10" s="0" t="n">
        <f aca="false">-D6*D9/100</f>
        <v>-0</v>
      </c>
      <c r="E10" s="0" t="n">
        <f aca="false">-E6*E9/100</f>
        <v>-0</v>
      </c>
      <c r="F10" s="0" t="n">
        <f aca="false">-F6*F9/100</f>
        <v>-0</v>
      </c>
      <c r="G10" s="0" t="n">
        <f aca="false">-G6*G9/100</f>
        <v>-0</v>
      </c>
      <c r="H10" s="0" t="n">
        <f aca="false">-H6*H9/100</f>
        <v>-0</v>
      </c>
      <c r="I10" s="0" t="n">
        <f aca="false">-I6*I9/100</f>
        <v>-0</v>
      </c>
      <c r="J10" s="0" t="n">
        <f aca="false">-J6*J9/100</f>
        <v>-0</v>
      </c>
      <c r="K10" s="0" t="n">
        <f aca="false">-K6*K9/100</f>
        <v>-0</v>
      </c>
      <c r="L10" s="0" t="n">
        <f aca="false">-L6*L9/100</f>
        <v>-0</v>
      </c>
    </row>
    <row r="11" customFormat="false" ht="15" hidden="false" customHeight="false" outlineLevel="0" collapsed="false">
      <c r="A11" s="0" t="s">
        <v>109</v>
      </c>
      <c r="C11" s="0" t="n">
        <f aca="false">C8+C10+C24</f>
        <v>5.468369</v>
      </c>
      <c r="D11" s="0" t="n">
        <f aca="false">D8+D10+D24</f>
        <v>12.90535084</v>
      </c>
      <c r="E11" s="0" t="n">
        <f aca="false">E8+E10+E24</f>
        <v>18.79019082304</v>
      </c>
      <c r="F11" s="0" t="n">
        <f aca="false">F8+F10+F24</f>
        <v>23.632278458208</v>
      </c>
      <c r="G11" s="0" t="n">
        <f aca="false">G8+G10+G24</f>
        <v>26.9723071469681</v>
      </c>
      <c r="H11" s="0" t="n">
        <f aca="false">H8+H10+H24</f>
        <v>29.4841032500295</v>
      </c>
      <c r="I11" s="0" t="n">
        <f aca="false">I8+I10+I24</f>
        <v>31.8964389704864</v>
      </c>
      <c r="J11" s="0" t="n">
        <f aca="false">J8+J10+J24</f>
        <v>33.1722965293059</v>
      </c>
      <c r="K11" s="0" t="n">
        <f aca="false">K8+K10+K24</f>
        <v>34.3333269078316</v>
      </c>
      <c r="L11" s="0" t="n">
        <f aca="false">L8+L10+L24</f>
        <v>35.3633267150666</v>
      </c>
    </row>
    <row r="12" customFormat="false" ht="15" hidden="false" customHeight="false" outlineLevel="0" collapsed="false">
      <c r="A12" s="0" t="s">
        <v>110</v>
      </c>
      <c r="C12" s="4" t="n">
        <f aca="false">-C6*Assumptions!C31/100</f>
        <v>-1.53114332</v>
      </c>
      <c r="D12" s="4" t="n">
        <f aca="false">-D6*Assumptions!D31/100</f>
        <v>-1.5486421008</v>
      </c>
      <c r="E12" s="4" t="n">
        <f aca="false">-E6*Assumptions!E31/100</f>
        <v>-1.589939223488</v>
      </c>
      <c r="F12" s="4" t="n">
        <f aca="false">-F6*Assumptions!F31/100</f>
        <v>-1.5754852305472</v>
      </c>
      <c r="G12" s="4" t="n">
        <f aca="false">-G6*Assumptions!G31/100</f>
        <v>-1.6857691966855</v>
      </c>
      <c r="H12" s="4" t="n">
        <f aca="false">-H6*Assumptions!H31/100</f>
        <v>-1.78691534848663</v>
      </c>
      <c r="I12" s="4" t="n">
        <f aca="false">-I6*Assumptions!I31/100</f>
        <v>-1.87626111591097</v>
      </c>
      <c r="J12" s="4" t="n">
        <f aca="false">-J6*Assumptions!J31/100</f>
        <v>-1.95131156054741</v>
      </c>
      <c r="K12" s="4" t="n">
        <f aca="false">-K6*Assumptions!K31/100</f>
        <v>-2.01960746516656</v>
      </c>
      <c r="L12" s="4" t="n">
        <f aca="false">-L6*Assumptions!L31/100</f>
        <v>-2.08019568912156</v>
      </c>
    </row>
    <row r="13" customFormat="false" ht="15" hidden="false" customHeight="false" outlineLevel="0" collapsed="false">
      <c r="A13" s="0" t="s">
        <v>111</v>
      </c>
      <c r="C13" s="0" t="n">
        <f aca="false">C11+C12</f>
        <v>3.93722568</v>
      </c>
      <c r="D13" s="0" t="n">
        <f aca="false">D11+D12</f>
        <v>11.3567087392</v>
      </c>
      <c r="E13" s="0" t="n">
        <f aca="false">E11+E12</f>
        <v>17.200251599552</v>
      </c>
      <c r="F13" s="0" t="n">
        <f aca="false">F11+F12</f>
        <v>22.0567932276608</v>
      </c>
      <c r="G13" s="0" t="n">
        <f aca="false">G11+G12</f>
        <v>25.2865379502826</v>
      </c>
      <c r="H13" s="0" t="n">
        <f aca="false">H11+H12</f>
        <v>27.6971879015428</v>
      </c>
      <c r="I13" s="0" t="n">
        <f aca="false">I11+I12</f>
        <v>30.0201778545755</v>
      </c>
      <c r="J13" s="0" t="n">
        <f aca="false">J11+J12</f>
        <v>31.2209849687585</v>
      </c>
      <c r="K13" s="0" t="n">
        <f aca="false">K11+K12</f>
        <v>32.313719442665</v>
      </c>
      <c r="L13" s="0" t="n">
        <f aca="false">L11+L12</f>
        <v>33.283131025945</v>
      </c>
    </row>
    <row r="14" customFormat="false" ht="15" hidden="false" customHeight="false" outlineLevel="0" collapsed="false">
      <c r="A14" s="0" t="s">
        <v>97</v>
      </c>
      <c r="C14" s="4" t="n">
        <f aca="false">Assumptions!C33</f>
        <v>20</v>
      </c>
      <c r="D14" s="4" t="n">
        <f aca="false">Assumptions!D33</f>
        <v>20</v>
      </c>
      <c r="E14" s="4" t="n">
        <f aca="false">Assumptions!E33</f>
        <v>20</v>
      </c>
      <c r="F14" s="4" t="n">
        <f aca="false">Assumptions!F33</f>
        <v>20</v>
      </c>
      <c r="G14" s="4" t="n">
        <f aca="false">Assumptions!G33</f>
        <v>20</v>
      </c>
      <c r="H14" s="4" t="n">
        <f aca="false">Assumptions!H33</f>
        <v>20</v>
      </c>
      <c r="I14" s="4" t="n">
        <f aca="false">Assumptions!I33</f>
        <v>20</v>
      </c>
      <c r="J14" s="4" t="n">
        <f aca="false">Assumptions!J33</f>
        <v>20</v>
      </c>
      <c r="K14" s="4" t="n">
        <f aca="false">Assumptions!K33</f>
        <v>20</v>
      </c>
      <c r="L14" s="4" t="n">
        <f aca="false">Assumptions!L33</f>
        <v>20</v>
      </c>
    </row>
    <row r="15" customFormat="false" ht="15" hidden="false" customHeight="false" outlineLevel="0" collapsed="false">
      <c r="A15" s="0" t="s">
        <v>112</v>
      </c>
      <c r="C15" s="0" t="n">
        <f aca="false">C13-MAX(0,C13)*C14/100</f>
        <v>3.149780544</v>
      </c>
      <c r="D15" s="0" t="n">
        <f aca="false">D13-MAX(0,D13)*D14/100</f>
        <v>9.08536699136</v>
      </c>
      <c r="E15" s="0" t="n">
        <f aca="false">E13-MAX(0,E13)*E14/100</f>
        <v>13.7602012796416</v>
      </c>
      <c r="F15" s="0" t="n">
        <f aca="false">F13-MAX(0,F13)*F14/100</f>
        <v>17.6454345821286</v>
      </c>
      <c r="G15" s="0" t="n">
        <f aca="false">G13-MAX(0,G13)*G14/100</f>
        <v>20.2292303602261</v>
      </c>
      <c r="H15" s="0" t="n">
        <f aca="false">H13-MAX(0,H13)*H14/100</f>
        <v>22.1577503212343</v>
      </c>
      <c r="I15" s="0" t="n">
        <f aca="false">I13-MAX(0,I13)*I14/100</f>
        <v>24.0161422836604</v>
      </c>
      <c r="J15" s="0" t="n">
        <f aca="false">J13-MAX(0,J13)*J14/100</f>
        <v>24.9767879750068</v>
      </c>
      <c r="K15" s="0" t="n">
        <f aca="false">K13-MAX(0,K13)*K14/100</f>
        <v>25.850975554132</v>
      </c>
      <c r="L15" s="0" t="n">
        <f aca="false">L13-MAX(0,L13)*L14/100</f>
        <v>26.626504820756</v>
      </c>
    </row>
    <row r="16" customFormat="false" ht="15" hidden="false" customHeight="false" outlineLevel="0" collapsed="false">
      <c r="A16" s="0" t="s">
        <v>113</v>
      </c>
      <c r="C16" s="0" t="n">
        <f aca="false">-C12</f>
        <v>1.53114332</v>
      </c>
      <c r="D16" s="0" t="n">
        <f aca="false">-D12</f>
        <v>1.5486421008</v>
      </c>
      <c r="E16" s="0" t="n">
        <f aca="false">-E12</f>
        <v>1.589939223488</v>
      </c>
      <c r="F16" s="0" t="n">
        <f aca="false">-F12</f>
        <v>1.5754852305472</v>
      </c>
      <c r="G16" s="0" t="n">
        <f aca="false">-G12</f>
        <v>1.6857691966855</v>
      </c>
      <c r="H16" s="0" t="n">
        <f aca="false">-H12</f>
        <v>1.78691534848663</v>
      </c>
      <c r="I16" s="0" t="n">
        <f aca="false">-I12</f>
        <v>1.87626111591097</v>
      </c>
      <c r="J16" s="0" t="n">
        <f aca="false">-J12</f>
        <v>1.95131156054741</v>
      </c>
      <c r="K16" s="0" t="n">
        <f aca="false">-K12</f>
        <v>2.01960746516656</v>
      </c>
      <c r="L16" s="0" t="n">
        <f aca="false">-L12</f>
        <v>2.08019568912156</v>
      </c>
    </row>
    <row r="17" customFormat="false" ht="15" hidden="false" customHeight="false" outlineLevel="0" collapsed="false">
      <c r="A17" s="0" t="s">
        <v>114</v>
      </c>
      <c r="C17" s="4" t="n">
        <f aca="false">-C6*Assumptions!C32/100</f>
        <v>-1.6405107</v>
      </c>
      <c r="D17" s="4" t="n">
        <f aca="false">-D6*Assumptions!D32/100</f>
        <v>-1.935802626</v>
      </c>
      <c r="E17" s="4" t="n">
        <f aca="false">-E6*Assumptions!E32/100</f>
        <v>-1.734479152896</v>
      </c>
      <c r="F17" s="4" t="n">
        <f aca="false">-F6*Assumptions!F32/100</f>
        <v>-1.89058227665664</v>
      </c>
      <c r="G17" s="4" t="n">
        <f aca="false">-G6*Assumptions!G32/100</f>
        <v>-1.6857691966855</v>
      </c>
      <c r="H17" s="4" t="n">
        <f aca="false">-H6*Assumptions!H32/100</f>
        <v>-1.78691534848663</v>
      </c>
      <c r="I17" s="4" t="n">
        <f aca="false">-I6*Assumptions!I32/100</f>
        <v>-1.87626111591097</v>
      </c>
      <c r="J17" s="4" t="n">
        <f aca="false">-J6*Assumptions!J32/100</f>
        <v>-1.95131156054741</v>
      </c>
      <c r="K17" s="4" t="n">
        <f aca="false">-K6*Assumptions!K32/100</f>
        <v>-2.01960746516656</v>
      </c>
      <c r="L17" s="4" t="n">
        <f aca="false">-L6*Assumptions!L32/100</f>
        <v>-2.08019568912156</v>
      </c>
    </row>
    <row r="18" customFormat="false" ht="15" hidden="false" customHeight="false" outlineLevel="0" collapsed="false">
      <c r="A18" s="0" t="s">
        <v>115</v>
      </c>
      <c r="C18" s="4" t="n">
        <f aca="false">(C6-B6)*Assumptions!$B$37/100</f>
        <v>3.351581</v>
      </c>
      <c r="D18" s="4" t="n">
        <f aca="false">(D6-C6)*Assumptions!$B$37/100</f>
        <v>-0.98430642</v>
      </c>
      <c r="E18" s="4" t="n">
        <f aca="false">(E6-D6)*Assumptions!$B$37/100</f>
        <v>-0.7743210504</v>
      </c>
      <c r="F18" s="4" t="n">
        <f aca="false">(F6-E6)*Assumptions!$B$37/100</f>
        <v>-0.650429682336001</v>
      </c>
      <c r="G18" s="4" t="n">
        <f aca="false">(G6-F6)*Assumptions!$B$37/100</f>
        <v>-0.551419830691521</v>
      </c>
      <c r="H18" s="4" t="n">
        <f aca="false">(H6-G6)*Assumptions!$B$37/100</f>
        <v>-0.505730759005653</v>
      </c>
      <c r="I18" s="4" t="n">
        <f aca="false">(I6-H6)*Assumptions!$B$37/100</f>
        <v>-0.44672883712166</v>
      </c>
      <c r="J18" s="4" t="n">
        <f aca="false">(J6-I6)*Assumptions!$B$37/100</f>
        <v>-0.375252223182194</v>
      </c>
      <c r="K18" s="4" t="n">
        <f aca="false">(K6-J6)*Assumptions!$B$37/100</f>
        <v>-0.341479523095795</v>
      </c>
      <c r="L18" s="4" t="n">
        <f aca="false">(L6-K6)*Assumptions!$B$37/100</f>
        <v>-0.302941119774985</v>
      </c>
    </row>
    <row r="19" customFormat="false" ht="15" hidden="false" customHeight="false" outlineLevel="0" collapsed="false">
      <c r="A19" s="0" t="s">
        <v>116</v>
      </c>
      <c r="C19" s="0" t="n">
        <f aca="false">C15+C16+C17+C18</f>
        <v>6.391994164</v>
      </c>
      <c r="D19" s="0" t="n">
        <f aca="false">D15+D16+D17+D18</f>
        <v>7.71390004616</v>
      </c>
      <c r="E19" s="0" t="n">
        <f aca="false">E15+E16+E17+E18</f>
        <v>12.8413402998336</v>
      </c>
      <c r="F19" s="0" t="n">
        <f aca="false">F15+F16+F17+F18</f>
        <v>16.6799078536832</v>
      </c>
      <c r="G19" s="0" t="n">
        <f aca="false">G15+G16+G17+G18</f>
        <v>19.6778105295345</v>
      </c>
      <c r="H19" s="0" t="n">
        <f aca="false">H15+H16+H17+H18</f>
        <v>21.6520195622286</v>
      </c>
      <c r="I19" s="0" t="n">
        <f aca="false">I15+I16+I17+I18</f>
        <v>23.5694134465387</v>
      </c>
      <c r="J19" s="0" t="n">
        <f aca="false">J15+J16+J17+J18</f>
        <v>24.6015357518246</v>
      </c>
      <c r="K19" s="0" t="n">
        <f aca="false">K15+K16+K17+K18</f>
        <v>25.5094960310362</v>
      </c>
      <c r="L19" s="0" t="n">
        <f aca="false">L15+L16+L17+L18</f>
        <v>26.323563700981</v>
      </c>
    </row>
    <row r="20" customFormat="false" ht="15" hidden="false" customHeight="false" outlineLevel="0" collapsed="false">
      <c r="A20" s="0" t="s">
        <v>117</v>
      </c>
      <c r="C20" s="0" t="n">
        <f aca="false">1/(1+$B$27/100)^C4</f>
        <v>0.875656742556918</v>
      </c>
      <c r="D20" s="0" t="n">
        <f aca="false">1/(1+$B$27/100)^D4</f>
        <v>0.766774730785392</v>
      </c>
      <c r="E20" s="0" t="n">
        <f aca="false">1/(1+$B$27/100)^E4</f>
        <v>0.671431463034494</v>
      </c>
      <c r="F20" s="0" t="n">
        <f aca="false">1/(1+$B$27/100)^F4</f>
        <v>0.587943487771011</v>
      </c>
      <c r="G20" s="0" t="n">
        <f aca="false">1/(1+$B$27/100)^G4</f>
        <v>0.514836679309116</v>
      </c>
      <c r="H20" s="0" t="n">
        <f aca="false">1/(1+$B$27/100)^H4</f>
        <v>0.450820209552641</v>
      </c>
      <c r="I20" s="0" t="n">
        <f aca="false">1/(1+$B$27/100)^I4</f>
        <v>0.394763756175693</v>
      </c>
      <c r="J20" s="0" t="n">
        <f aca="false">1/(1+$B$27/100)^J4</f>
        <v>0.345677544812341</v>
      </c>
      <c r="K20" s="0" t="n">
        <f aca="false">1/(1+$B$27/100)^K4</f>
        <v>0.302694872865447</v>
      </c>
      <c r="L20" s="0" t="n">
        <f aca="false">1/(1+$B$27/100)^L4</f>
        <v>0.265056806362038</v>
      </c>
    </row>
    <row r="21" customFormat="false" ht="15" hidden="false" customHeight="false" outlineLevel="0" collapsed="false">
      <c r="A21" s="0" t="s">
        <v>118</v>
      </c>
      <c r="C21" s="0" t="n">
        <f aca="false">C19*C20</f>
        <v>5.59719278809107</v>
      </c>
      <c r="D21" s="0" t="n">
        <f aca="false">D19*D20</f>
        <v>5.91482363119976</v>
      </c>
      <c r="E21" s="0" t="n">
        <f aca="false">E19*E20</f>
        <v>8.62207990484108</v>
      </c>
      <c r="F21" s="0" t="n">
        <f aca="false">F19*F20</f>
        <v>9.80684319919357</v>
      </c>
      <c r="G21" s="0" t="n">
        <f aca="false">G19*G20</f>
        <v>10.1308586290995</v>
      </c>
      <c r="H21" s="0" t="n">
        <f aca="false">H19*H20</f>
        <v>9.76116799628179</v>
      </c>
      <c r="I21" s="0" t="n">
        <f aca="false">I19*I20</f>
        <v>9.3043501830135</v>
      </c>
      <c r="J21" s="0" t="n">
        <f aca="false">J19*J20</f>
        <v>8.50419847730374</v>
      </c>
      <c r="K21" s="0" t="n">
        <f aca="false">K19*K20</f>
        <v>7.72159365797614</v>
      </c>
      <c r="L21" s="0" t="n">
        <f aca="false">L19*L20</f>
        <v>6.97723972664969</v>
      </c>
    </row>
    <row r="23" customFormat="false" ht="15" hidden="false" customHeight="false" outlineLevel="0" collapsed="false">
      <c r="A23" s="0" t="s">
        <v>94</v>
      </c>
      <c r="C23" s="4" t="n">
        <f aca="false">Assumptions!C30</f>
        <v>0</v>
      </c>
      <c r="D23" s="4" t="n">
        <f aca="false">Assumptions!D30</f>
        <v>0</v>
      </c>
      <c r="E23" s="4" t="n">
        <f aca="false">Assumptions!E30</f>
        <v>0</v>
      </c>
      <c r="F23" s="4" t="n">
        <f aca="false">Assumptions!F30</f>
        <v>0</v>
      </c>
      <c r="G23" s="4" t="n">
        <f aca="false">Assumptions!G30</f>
        <v>0</v>
      </c>
      <c r="H23" s="4" t="n">
        <f aca="false">Assumptions!H30</f>
        <v>0</v>
      </c>
      <c r="I23" s="4" t="n">
        <f aca="false">Assumptions!I30</f>
        <v>0</v>
      </c>
      <c r="J23" s="4" t="n">
        <f aca="false">Assumptions!J30</f>
        <v>0</v>
      </c>
      <c r="K23" s="4" t="n">
        <f aca="false">Assumptions!K30</f>
        <v>0</v>
      </c>
      <c r="L23" s="4" t="n">
        <f aca="false">Assumptions!L30</f>
        <v>0</v>
      </c>
    </row>
    <row r="24" customFormat="false" ht="15" hidden="false" customHeight="false" outlineLevel="0" collapsed="false">
      <c r="A24" s="0" t="s">
        <v>119</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120</v>
      </c>
    </row>
    <row r="27" customFormat="false" ht="15" hidden="false" customHeight="false" outlineLevel="0" collapsed="false">
      <c r="A27" s="0" t="s">
        <v>98</v>
      </c>
      <c r="B27" s="4" t="n">
        <f aca="false">Assumptions!$B$34</f>
        <v>14.2</v>
      </c>
    </row>
    <row r="28" customFormat="false" ht="15" hidden="false" customHeight="false" outlineLevel="0" collapsed="false">
      <c r="A28" s="0" t="s">
        <v>99</v>
      </c>
      <c r="B28" s="4" t="n">
        <f aca="false">Assumptions!$B$35</f>
        <v>2.5</v>
      </c>
    </row>
    <row r="29" customFormat="false" ht="15" hidden="false" customHeight="false" outlineLevel="0" collapsed="false">
      <c r="A29" s="0" t="s">
        <v>100</v>
      </c>
      <c r="B29" s="4" t="n">
        <f aca="false">Assumptions!$B$36</f>
        <v>15</v>
      </c>
    </row>
    <row r="30" customFormat="false" ht="15" hidden="false" customHeight="false" outlineLevel="0" collapsed="false">
      <c r="A30" s="0" t="s">
        <v>121</v>
      </c>
      <c r="B30" s="0" t="n">
        <f aca="false">SUM(C21:L21)</f>
        <v>82.3403481936499</v>
      </c>
    </row>
    <row r="31" customFormat="false" ht="15" hidden="false" customHeight="false" outlineLevel="0" collapsed="false">
      <c r="A31" s="0" t="s">
        <v>122</v>
      </c>
      <c r="B31" s="0" t="n">
        <f aca="false">L19</f>
        <v>26.323563700981</v>
      </c>
    </row>
    <row r="32" customFormat="false" ht="15" hidden="false" customHeight="false" outlineLevel="0" collapsed="false">
      <c r="A32" s="0" t="s">
        <v>123</v>
      </c>
      <c r="B32" s="0" t="n">
        <f aca="false">IF(B27&gt;B28,B31*(1+B28/100)/((B27-B28)/100),B31*B29)</f>
        <v>230.612417038509</v>
      </c>
    </row>
    <row r="33" customFormat="false" ht="15" hidden="false" customHeight="false" outlineLevel="0" collapsed="false">
      <c r="A33" s="0" t="s">
        <v>124</v>
      </c>
      <c r="B33" s="0" t="n">
        <f aca="false">B31*B29</f>
        <v>394.853455514715</v>
      </c>
    </row>
    <row r="34" customFormat="false" ht="15" hidden="false" customHeight="false" outlineLevel="0" collapsed="false">
      <c r="A34" s="0" t="s">
        <v>125</v>
      </c>
      <c r="B34" s="0" t="n">
        <f aca="false">MAX(0,MIN(B32,B33))</f>
        <v>230.612417038509</v>
      </c>
    </row>
    <row r="35" customFormat="false" ht="15" hidden="false" customHeight="false" outlineLevel="0" collapsed="false">
      <c r="A35" s="0" t="s">
        <v>126</v>
      </c>
      <c r="B35" s="0" t="n">
        <f aca="false">B34/(1+B27/100)^L4</f>
        <v>61.1253907676575</v>
      </c>
    </row>
    <row r="36" customFormat="false" ht="15" hidden="false" customHeight="false" outlineLevel="0" collapsed="false">
      <c r="A36" s="0" t="s">
        <v>127</v>
      </c>
      <c r="B36" s="0" t="n">
        <f aca="false">B30+B35</f>
        <v>143.465738961307</v>
      </c>
    </row>
    <row r="37" customFormat="false" ht="15" hidden="false" customHeight="false" outlineLevel="0" collapsed="false">
      <c r="A37" s="0" t="s">
        <v>128</v>
      </c>
      <c r="B37" s="0" t="n">
        <f aca="false">B36+Assumptions!$B$5-Assumptions!$B$4</f>
        <v>304.538738961307</v>
      </c>
    </row>
    <row r="38" customFormat="false" ht="15" hidden="false" customHeight="false" outlineLevel="0" collapsed="false">
      <c r="A38" s="0" t="s">
        <v>129</v>
      </c>
      <c r="B38" s="0" t="n">
        <f aca="false">B37/Assumptions!$B$3*Assumptions!$B$10</f>
        <v>9.01994936345263</v>
      </c>
    </row>
    <row r="39" customFormat="false" ht="15" hidden="false" customHeight="false" outlineLevel="0" collapsed="false">
      <c r="A39" s="0" t="s">
        <v>130</v>
      </c>
      <c r="B39" s="4" t="n">
        <f aca="false">B38/Assumptions!$B$2-1</f>
        <v>1.13237573604081</v>
      </c>
    </row>
    <row r="41" customFormat="false" ht="15" hidden="false" customHeight="false" outlineLevel="0" collapsed="false">
      <c r="A41" s="0" t="s">
        <v>131</v>
      </c>
      <c r="B41" s="0" t="n">
        <f aca="false">SUMPRODUCT(-C10:L10/(1+$B$27/100)^C4:L4)</f>
        <v>0</v>
      </c>
    </row>
    <row r="42" customFormat="false" ht="15" hidden="false" customHeight="false" outlineLevel="0" collapsed="false">
      <c r="A42" s="0" t="s">
        <v>132</v>
      </c>
      <c r="B42" s="0" t="n">
        <f aca="false">IF(B27&gt;B28,-L10*(1+B28/100)/((B27-B28)/100),-L10*20)/(1+B27/100)^L4</f>
        <v>0</v>
      </c>
    </row>
    <row r="43" customFormat="false" ht="15" hidden="false" customHeight="false" outlineLevel="0" collapsed="false">
      <c r="A43" s="0" t="s">
        <v>133</v>
      </c>
      <c r="B43" s="0" t="n">
        <f aca="false">(B37+B41+B42)/Assumptions!$B$3*Assumptions!$B$10</f>
        <v>9.01994936345263</v>
      </c>
    </row>
    <row r="45" customFormat="false" ht="15" hidden="false" customHeight="false" outlineLevel="0" collapsed="false">
      <c r="A45" s="0" t="s">
        <v>74</v>
      </c>
      <c r="B45" s="4" t="n">
        <f aca="false">Assumptions!$B$6</f>
        <v>15</v>
      </c>
    </row>
    <row r="46" customFormat="false" ht="15" hidden="false" customHeight="false" outlineLevel="0" collapsed="false">
      <c r="A46" s="0" t="s">
        <v>134</v>
      </c>
      <c r="B46" s="0" t="n">
        <f aca="false">MAX(0,MIN(IF(B45&gt;B28,B31*(1+B28/100)/((B45-B28)/100),B31*B29),B31*B29))</f>
        <v>215.853222348044</v>
      </c>
    </row>
    <row r="47" customFormat="false" ht="15" hidden="false" customHeight="false" outlineLevel="0" collapsed="false">
      <c r="A47" s="0" t="s">
        <v>135</v>
      </c>
      <c r="B47" s="0" t="n">
        <f aca="false">(SUMPRODUCT(C19:L19/(1+B45/100)^C4:L4)+B46/(1+B45/100)^L4+Assumptions!$B$5-Assumptions!$B$4)/Assumptions!$B$3*Assumptions!$B$10</f>
        <v>8.69611127255175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137</v>
      </c>
    </row>
    <row r="3" customFormat="false" ht="15" hidden="false" customHeight="false" outlineLevel="0" collapsed="false">
      <c r="A3" s="0" t="s">
        <v>106</v>
      </c>
      <c r="B3" s="0" t="s">
        <v>67</v>
      </c>
      <c r="C3" s="2" t="s">
        <v>81</v>
      </c>
      <c r="D3" s="2" t="s">
        <v>82</v>
      </c>
      <c r="E3" s="2" t="s">
        <v>83</v>
      </c>
      <c r="F3" s="2" t="s">
        <v>84</v>
      </c>
      <c r="G3" s="2" t="s">
        <v>85</v>
      </c>
      <c r="H3" s="2" t="s">
        <v>86</v>
      </c>
      <c r="I3" s="2" t="s">
        <v>87</v>
      </c>
      <c r="J3" s="2" t="s">
        <v>88</v>
      </c>
      <c r="K3" s="2" t="s">
        <v>89</v>
      </c>
      <c r="L3" s="2" t="s">
        <v>90</v>
      </c>
    </row>
    <row r="4" customFormat="false" ht="15" hidden="false" customHeight="false" outlineLevel="0" collapsed="false">
      <c r="A4" s="0" t="s">
        <v>107</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91</v>
      </c>
      <c r="C5" s="4" t="n">
        <f aca="false">Assumptions!C41</f>
        <v>-35</v>
      </c>
      <c r="D5" s="4" t="n">
        <f aca="false">Assumptions!D41</f>
        <v>30</v>
      </c>
      <c r="E5" s="4" t="n">
        <f aca="false">Assumptions!E41</f>
        <v>20</v>
      </c>
      <c r="F5" s="4" t="n">
        <f aca="false">Assumptions!F41</f>
        <v>15</v>
      </c>
      <c r="G5" s="4" t="n">
        <f aca="false">Assumptions!G41</f>
        <v>12</v>
      </c>
      <c r="H5" s="4" t="n">
        <f aca="false">Assumptions!H41</f>
        <v>10</v>
      </c>
      <c r="I5" s="4" t="n">
        <f aca="false">Assumptions!I41</f>
        <v>8</v>
      </c>
      <c r="J5" s="4" t="n">
        <f aca="false">Assumptions!J41</f>
        <v>6</v>
      </c>
      <c r="K5" s="4" t="n">
        <f aca="false">Assumptions!K41</f>
        <v>4</v>
      </c>
      <c r="L5" s="4" t="n">
        <f aca="false">Assumptions!L41</f>
        <v>3</v>
      </c>
    </row>
    <row r="6" customFormat="false" ht="15" hidden="false" customHeight="false" outlineLevel="0" collapsed="false">
      <c r="A6" s="0" t="s">
        <v>38</v>
      </c>
      <c r="B6" s="3" t="n">
        <v>176.399</v>
      </c>
      <c r="C6" s="0" t="n">
        <f aca="false">B6*(1+C5/100)</f>
        <v>114.65935</v>
      </c>
      <c r="D6" s="0" t="n">
        <f aca="false">C6*(1+D5/100)</f>
        <v>149.057155</v>
      </c>
      <c r="E6" s="0" t="n">
        <f aca="false">D6*(1+E5/100)</f>
        <v>178.868586</v>
      </c>
      <c r="F6" s="0" t="n">
        <f aca="false">E6*(1+F5/100)</f>
        <v>205.6988739</v>
      </c>
      <c r="G6" s="0" t="n">
        <f aca="false">F6*(1+G5/100)</f>
        <v>230.382738768</v>
      </c>
      <c r="H6" s="0" t="n">
        <f aca="false">G6*(1+H5/100)</f>
        <v>253.4210126448</v>
      </c>
      <c r="I6" s="0" t="n">
        <f aca="false">H6*(1+I5/100)</f>
        <v>273.694693656384</v>
      </c>
      <c r="J6" s="0" t="n">
        <f aca="false">I6*(1+J5/100)</f>
        <v>290.116375275767</v>
      </c>
      <c r="K6" s="0" t="n">
        <f aca="false">J6*(1+K5/100)</f>
        <v>301.721030286798</v>
      </c>
      <c r="L6" s="0" t="n">
        <f aca="false">K6*(1+L5/100)</f>
        <v>310.772661195402</v>
      </c>
    </row>
    <row r="7" customFormat="false" ht="15" hidden="false" customHeight="false" outlineLevel="0" collapsed="false">
      <c r="A7" s="0" t="s">
        <v>92</v>
      </c>
      <c r="C7" s="4" t="n">
        <f aca="false">Assumptions!C42</f>
        <v>6</v>
      </c>
      <c r="D7" s="4" t="n">
        <f aca="false">Assumptions!D42</f>
        <v>13</v>
      </c>
      <c r="E7" s="4" t="n">
        <f aca="false">Assumptions!E42</f>
        <v>17</v>
      </c>
      <c r="F7" s="4" t="n">
        <f aca="false">Assumptions!F42</f>
        <v>19</v>
      </c>
      <c r="G7" s="4" t="n">
        <f aca="false">Assumptions!G42</f>
        <v>20</v>
      </c>
      <c r="H7" s="4" t="n">
        <f aca="false">Assumptions!H42</f>
        <v>21</v>
      </c>
      <c r="I7" s="4" t="n">
        <f aca="false">Assumptions!I42</f>
        <v>22</v>
      </c>
      <c r="J7" s="4" t="n">
        <f aca="false">Assumptions!J42</f>
        <v>22</v>
      </c>
      <c r="K7" s="4" t="n">
        <f aca="false">Assumptions!K42</f>
        <v>22</v>
      </c>
      <c r="L7" s="4" t="n">
        <f aca="false">Assumptions!L42</f>
        <v>22</v>
      </c>
    </row>
    <row r="8" customFormat="false" ht="15" hidden="false" customHeight="false" outlineLevel="0" collapsed="false">
      <c r="A8" s="0" t="s">
        <v>44</v>
      </c>
      <c r="C8" s="0" t="n">
        <f aca="false">C6*C7/100</f>
        <v>6.879561</v>
      </c>
      <c r="D8" s="0" t="n">
        <f aca="false">D6*D7/100</f>
        <v>19.37743015</v>
      </c>
      <c r="E8" s="0" t="n">
        <f aca="false">E6*E7/100</f>
        <v>30.40765962</v>
      </c>
      <c r="F8" s="0" t="n">
        <f aca="false">F6*F7/100</f>
        <v>39.082786041</v>
      </c>
      <c r="G8" s="0" t="n">
        <f aca="false">G6*G7/100</f>
        <v>46.0765477536</v>
      </c>
      <c r="H8" s="0" t="n">
        <f aca="false">H6*H7/100</f>
        <v>53.218412655408</v>
      </c>
      <c r="I8" s="0" t="n">
        <f aca="false">I6*I7/100</f>
        <v>60.2128326044045</v>
      </c>
      <c r="J8" s="0" t="n">
        <f aca="false">J6*J7/100</f>
        <v>63.8256025606688</v>
      </c>
      <c r="K8" s="0" t="n">
        <f aca="false">K6*K7/100</f>
        <v>66.3786266630955</v>
      </c>
      <c r="L8" s="0" t="n">
        <f aca="false">L6*L7/100</f>
        <v>68.3699854629884</v>
      </c>
    </row>
    <row r="9" customFormat="false" ht="15" hidden="false" customHeight="false" outlineLevel="0" collapsed="false">
      <c r="A9" s="0" t="s">
        <v>93</v>
      </c>
      <c r="C9" s="4" t="n">
        <f aca="false">Assumptions!C43</f>
        <v>0</v>
      </c>
      <c r="D9" s="4" t="n">
        <f aca="false">Assumptions!D43</f>
        <v>0</v>
      </c>
      <c r="E9" s="4" t="n">
        <f aca="false">Assumptions!E43</f>
        <v>0</v>
      </c>
      <c r="F9" s="4" t="n">
        <f aca="false">Assumptions!F43</f>
        <v>0</v>
      </c>
      <c r="G9" s="4" t="n">
        <f aca="false">Assumptions!G43</f>
        <v>0</v>
      </c>
      <c r="H9" s="4" t="n">
        <f aca="false">Assumptions!H43</f>
        <v>0</v>
      </c>
      <c r="I9" s="4" t="n">
        <f aca="false">Assumptions!I43</f>
        <v>0</v>
      </c>
      <c r="J9" s="4" t="n">
        <f aca="false">Assumptions!J43</f>
        <v>0</v>
      </c>
      <c r="K9" s="4" t="n">
        <f aca="false">Assumptions!K43</f>
        <v>0</v>
      </c>
      <c r="L9" s="4" t="n">
        <f aca="false">Assumptions!L43</f>
        <v>0</v>
      </c>
    </row>
    <row r="10" customFormat="false" ht="15" hidden="false" customHeight="false" outlineLevel="0" collapsed="false">
      <c r="A10" s="0" t="s">
        <v>108</v>
      </c>
      <c r="C10" s="0" t="n">
        <f aca="false">-C6*C9/100</f>
        <v>-0</v>
      </c>
      <c r="D10" s="0" t="n">
        <f aca="false">-D6*D9/100</f>
        <v>-0</v>
      </c>
      <c r="E10" s="0" t="n">
        <f aca="false">-E6*E9/100</f>
        <v>-0</v>
      </c>
      <c r="F10" s="0" t="n">
        <f aca="false">-F6*F9/100</f>
        <v>-0</v>
      </c>
      <c r="G10" s="0" t="n">
        <f aca="false">-G6*G9/100</f>
        <v>-0</v>
      </c>
      <c r="H10" s="0" t="n">
        <f aca="false">-H6*H9/100</f>
        <v>-0</v>
      </c>
      <c r="I10" s="0" t="n">
        <f aca="false">-I6*I9/100</f>
        <v>-0</v>
      </c>
      <c r="J10" s="0" t="n">
        <f aca="false">-J6*J9/100</f>
        <v>-0</v>
      </c>
      <c r="K10" s="0" t="n">
        <f aca="false">-K6*K9/100</f>
        <v>-0</v>
      </c>
      <c r="L10" s="0" t="n">
        <f aca="false">-L6*L9/100</f>
        <v>-0</v>
      </c>
    </row>
    <row r="11" customFormat="false" ht="15" hidden="false" customHeight="false" outlineLevel="0" collapsed="false">
      <c r="A11" s="0" t="s">
        <v>109</v>
      </c>
      <c r="C11" s="0" t="n">
        <f aca="false">C8+C10+C24</f>
        <v>6.879561</v>
      </c>
      <c r="D11" s="0" t="n">
        <f aca="false">D8+D10+D24</f>
        <v>19.37743015</v>
      </c>
      <c r="E11" s="0" t="n">
        <f aca="false">E8+E10+E24</f>
        <v>30.40765962</v>
      </c>
      <c r="F11" s="0" t="n">
        <f aca="false">F8+F10+F24</f>
        <v>39.082786041</v>
      </c>
      <c r="G11" s="0" t="n">
        <f aca="false">G8+G10+G24</f>
        <v>46.0765477536</v>
      </c>
      <c r="H11" s="0" t="n">
        <f aca="false">H8+H10+H24</f>
        <v>53.218412655408</v>
      </c>
      <c r="I11" s="0" t="n">
        <f aca="false">I8+I10+I24</f>
        <v>60.2128326044045</v>
      </c>
      <c r="J11" s="0" t="n">
        <f aca="false">J8+J10+J24</f>
        <v>63.8256025606688</v>
      </c>
      <c r="K11" s="0" t="n">
        <f aca="false">K8+K10+K24</f>
        <v>66.3786266630955</v>
      </c>
      <c r="L11" s="0" t="n">
        <f aca="false">L8+L10+L24</f>
        <v>68.3699854629884</v>
      </c>
    </row>
    <row r="12" customFormat="false" ht="15" hidden="false" customHeight="false" outlineLevel="0" collapsed="false">
      <c r="A12" s="0" t="s">
        <v>110</v>
      </c>
      <c r="C12" s="4" t="n">
        <f aca="false">-C6*Assumptions!C45/100</f>
        <v>-1.6052309</v>
      </c>
      <c r="D12" s="4" t="n">
        <f aca="false">-D6*Assumptions!D45/100</f>
        <v>-1.78868586</v>
      </c>
      <c r="E12" s="4" t="n">
        <f aca="false">-E6*Assumptions!E45/100</f>
        <v>-1.78868586</v>
      </c>
      <c r="F12" s="4" t="n">
        <f aca="false">-F6*Assumptions!F45/100</f>
        <v>-2.056988739</v>
      </c>
      <c r="G12" s="4" t="n">
        <f aca="false">-G6*Assumptions!G45/100</f>
        <v>-2.30382738768</v>
      </c>
      <c r="H12" s="4" t="n">
        <f aca="false">-H6*Assumptions!H45/100</f>
        <v>-2.534210126448</v>
      </c>
      <c r="I12" s="4" t="n">
        <f aca="false">-I6*Assumptions!I45/100</f>
        <v>-2.73694693656384</v>
      </c>
      <c r="J12" s="4" t="n">
        <f aca="false">-J6*Assumptions!J45/100</f>
        <v>-2.90116375275767</v>
      </c>
      <c r="K12" s="4" t="n">
        <f aca="false">-K6*Assumptions!K45/100</f>
        <v>-3.01721030286798</v>
      </c>
      <c r="L12" s="4" t="n">
        <f aca="false">-L6*Assumptions!L45/100</f>
        <v>-3.10772661195402</v>
      </c>
    </row>
    <row r="13" customFormat="false" ht="15" hidden="false" customHeight="false" outlineLevel="0" collapsed="false">
      <c r="A13" s="0" t="s">
        <v>111</v>
      </c>
      <c r="C13" s="0" t="n">
        <f aca="false">C11+C12</f>
        <v>5.2743301</v>
      </c>
      <c r="D13" s="0" t="n">
        <f aca="false">D11+D12</f>
        <v>17.58874429</v>
      </c>
      <c r="E13" s="0" t="n">
        <f aca="false">E11+E12</f>
        <v>28.61897376</v>
      </c>
      <c r="F13" s="0" t="n">
        <f aca="false">F11+F12</f>
        <v>37.025797302</v>
      </c>
      <c r="G13" s="0" t="n">
        <f aca="false">G11+G12</f>
        <v>43.77272036592</v>
      </c>
      <c r="H13" s="0" t="n">
        <f aca="false">H11+H12</f>
        <v>50.68420252896</v>
      </c>
      <c r="I13" s="0" t="n">
        <f aca="false">I11+I12</f>
        <v>57.4758856678407</v>
      </c>
      <c r="J13" s="0" t="n">
        <f aca="false">J11+J12</f>
        <v>60.9244388079111</v>
      </c>
      <c r="K13" s="0" t="n">
        <f aca="false">K11+K12</f>
        <v>63.3614163602275</v>
      </c>
      <c r="L13" s="0" t="n">
        <f aca="false">L11+L12</f>
        <v>65.2622588510344</v>
      </c>
    </row>
    <row r="14" customFormat="false" ht="15" hidden="false" customHeight="false" outlineLevel="0" collapsed="false">
      <c r="A14" s="0" t="s">
        <v>97</v>
      </c>
      <c r="C14" s="4" t="n">
        <f aca="false">Assumptions!C47</f>
        <v>20</v>
      </c>
      <c r="D14" s="4" t="n">
        <f aca="false">Assumptions!D47</f>
        <v>20</v>
      </c>
      <c r="E14" s="4" t="n">
        <f aca="false">Assumptions!E47</f>
        <v>20</v>
      </c>
      <c r="F14" s="4" t="n">
        <f aca="false">Assumptions!F47</f>
        <v>20</v>
      </c>
      <c r="G14" s="4" t="n">
        <f aca="false">Assumptions!G47</f>
        <v>20</v>
      </c>
      <c r="H14" s="4" t="n">
        <f aca="false">Assumptions!H47</f>
        <v>20</v>
      </c>
      <c r="I14" s="4" t="n">
        <f aca="false">Assumptions!I47</f>
        <v>20</v>
      </c>
      <c r="J14" s="4" t="n">
        <f aca="false">Assumptions!J47</f>
        <v>20</v>
      </c>
      <c r="K14" s="4" t="n">
        <f aca="false">Assumptions!K47</f>
        <v>20</v>
      </c>
      <c r="L14" s="4" t="n">
        <f aca="false">Assumptions!L47</f>
        <v>20</v>
      </c>
    </row>
    <row r="15" customFormat="false" ht="15" hidden="false" customHeight="false" outlineLevel="0" collapsed="false">
      <c r="A15" s="0" t="s">
        <v>112</v>
      </c>
      <c r="C15" s="0" t="n">
        <f aca="false">C13-MAX(0,C13)*C14/100</f>
        <v>4.21946408</v>
      </c>
      <c r="D15" s="0" t="n">
        <f aca="false">D13-MAX(0,D13)*D14/100</f>
        <v>14.070995432</v>
      </c>
      <c r="E15" s="0" t="n">
        <f aca="false">E13-MAX(0,E13)*E14/100</f>
        <v>22.895179008</v>
      </c>
      <c r="F15" s="0" t="n">
        <f aca="false">F13-MAX(0,F13)*F14/100</f>
        <v>29.6206378416</v>
      </c>
      <c r="G15" s="0" t="n">
        <f aca="false">G13-MAX(0,G13)*G14/100</f>
        <v>35.018176292736</v>
      </c>
      <c r="H15" s="0" t="n">
        <f aca="false">H13-MAX(0,H13)*H14/100</f>
        <v>40.547362023168</v>
      </c>
      <c r="I15" s="0" t="n">
        <f aca="false">I13-MAX(0,I13)*I14/100</f>
        <v>45.9807085342725</v>
      </c>
      <c r="J15" s="0" t="n">
        <f aca="false">J13-MAX(0,J13)*J14/100</f>
        <v>48.7395510463289</v>
      </c>
      <c r="K15" s="0" t="n">
        <f aca="false">K13-MAX(0,K13)*K14/100</f>
        <v>50.689133088182</v>
      </c>
      <c r="L15" s="0" t="n">
        <f aca="false">L13-MAX(0,L13)*L14/100</f>
        <v>52.2098070808275</v>
      </c>
    </row>
    <row r="16" customFormat="false" ht="15" hidden="false" customHeight="false" outlineLevel="0" collapsed="false">
      <c r="A16" s="0" t="s">
        <v>113</v>
      </c>
      <c r="C16" s="0" t="n">
        <f aca="false">-C12</f>
        <v>1.6052309</v>
      </c>
      <c r="D16" s="0" t="n">
        <f aca="false">-D12</f>
        <v>1.78868586</v>
      </c>
      <c r="E16" s="0" t="n">
        <f aca="false">-E12</f>
        <v>1.78868586</v>
      </c>
      <c r="F16" s="0" t="n">
        <f aca="false">-F12</f>
        <v>2.056988739</v>
      </c>
      <c r="G16" s="0" t="n">
        <f aca="false">-G12</f>
        <v>2.30382738768</v>
      </c>
      <c r="H16" s="0" t="n">
        <f aca="false">-H12</f>
        <v>2.534210126448</v>
      </c>
      <c r="I16" s="0" t="n">
        <f aca="false">-I12</f>
        <v>2.73694693656384</v>
      </c>
      <c r="J16" s="0" t="n">
        <f aca="false">-J12</f>
        <v>2.90116375275767</v>
      </c>
      <c r="K16" s="0" t="n">
        <f aca="false">-K12</f>
        <v>3.01721030286798</v>
      </c>
      <c r="L16" s="0" t="n">
        <f aca="false">-L12</f>
        <v>3.10772661195402</v>
      </c>
    </row>
    <row r="17" customFormat="false" ht="15" hidden="false" customHeight="false" outlineLevel="0" collapsed="false">
      <c r="A17" s="0" t="s">
        <v>114</v>
      </c>
      <c r="C17" s="4" t="n">
        <f aca="false">-C6*Assumptions!C46/100</f>
        <v>-1.71989025</v>
      </c>
      <c r="D17" s="4" t="n">
        <f aca="false">-D6*Assumptions!D46/100</f>
        <v>-2.235857325</v>
      </c>
      <c r="E17" s="4" t="n">
        <f aca="false">-E6*Assumptions!E46/100</f>
        <v>-2.146423032</v>
      </c>
      <c r="F17" s="4" t="n">
        <f aca="false">-F6*Assumptions!F46/100</f>
        <v>-2.4683864868</v>
      </c>
      <c r="G17" s="4" t="n">
        <f aca="false">-G6*Assumptions!G46/100</f>
        <v>-2.30382738768</v>
      </c>
      <c r="H17" s="4" t="n">
        <f aca="false">-H6*Assumptions!H46/100</f>
        <v>-2.534210126448</v>
      </c>
      <c r="I17" s="4" t="n">
        <f aca="false">-I6*Assumptions!I46/100</f>
        <v>-2.73694693656384</v>
      </c>
      <c r="J17" s="4" t="n">
        <f aca="false">-J6*Assumptions!J46/100</f>
        <v>-2.90116375275767</v>
      </c>
      <c r="K17" s="4" t="n">
        <f aca="false">-K6*Assumptions!K46/100</f>
        <v>-3.01721030286798</v>
      </c>
      <c r="L17" s="4" t="n">
        <f aca="false">-L6*Assumptions!L46/100</f>
        <v>-3.10772661195402</v>
      </c>
    </row>
    <row r="18" customFormat="false" ht="15" hidden="false" customHeight="false" outlineLevel="0" collapsed="false">
      <c r="A18" s="0" t="s">
        <v>115</v>
      </c>
      <c r="C18" s="4" t="n">
        <f aca="false">(C6-B6)*Assumptions!$B$51/100</f>
        <v>3.0869825</v>
      </c>
      <c r="D18" s="4" t="n">
        <f aca="false">(D6-C6)*Assumptions!$B$51/100</f>
        <v>-1.71989025</v>
      </c>
      <c r="E18" s="4" t="n">
        <f aca="false">(E6-D6)*Assumptions!$B$51/100</f>
        <v>-1.49057155</v>
      </c>
      <c r="F18" s="4" t="n">
        <f aca="false">(F6-E6)*Assumptions!$B$51/100</f>
        <v>-1.341514395</v>
      </c>
      <c r="G18" s="4" t="n">
        <f aca="false">(G6-F6)*Assumptions!$B$51/100</f>
        <v>-1.2341932434</v>
      </c>
      <c r="H18" s="4" t="n">
        <f aca="false">(H6-G6)*Assumptions!$B$51/100</f>
        <v>-1.15191369384</v>
      </c>
      <c r="I18" s="4" t="n">
        <f aca="false">(I6-H6)*Assumptions!$B$51/100</f>
        <v>-1.0136840505792</v>
      </c>
      <c r="J18" s="4" t="n">
        <f aca="false">(J6-I6)*Assumptions!$B$51/100</f>
        <v>-0.821084080969152</v>
      </c>
      <c r="K18" s="4" t="n">
        <f aca="false">(K6-J6)*Assumptions!$B$51/100</f>
        <v>-0.580232750551534</v>
      </c>
      <c r="L18" s="4" t="n">
        <f aca="false">(L6-K6)*Assumptions!$B$51/100</f>
        <v>-0.452581545430198</v>
      </c>
    </row>
    <row r="19" customFormat="false" ht="15" hidden="false" customHeight="false" outlineLevel="0" collapsed="false">
      <c r="A19" s="0" t="s">
        <v>116</v>
      </c>
      <c r="C19" s="0" t="n">
        <f aca="false">C15+C16+C17+C18</f>
        <v>7.19178723</v>
      </c>
      <c r="D19" s="0" t="n">
        <f aca="false">D15+D16+D17+D18</f>
        <v>11.903933717</v>
      </c>
      <c r="E19" s="0" t="n">
        <f aca="false">E15+E16+E17+E18</f>
        <v>21.046870286</v>
      </c>
      <c r="F19" s="0" t="n">
        <f aca="false">F15+F16+F17+F18</f>
        <v>27.8677256988</v>
      </c>
      <c r="G19" s="0" t="n">
        <f aca="false">G15+G16+G17+G18</f>
        <v>33.783983049336</v>
      </c>
      <c r="H19" s="0" t="n">
        <f aca="false">H15+H16+H17+H18</f>
        <v>39.395448329328</v>
      </c>
      <c r="I19" s="0" t="n">
        <f aca="false">I15+I16+I17+I18</f>
        <v>44.9670244836933</v>
      </c>
      <c r="J19" s="0" t="n">
        <f aca="false">J15+J16+J17+J18</f>
        <v>47.9184669653597</v>
      </c>
      <c r="K19" s="0" t="n">
        <f aca="false">K15+K16+K17+K18</f>
        <v>50.1089003376305</v>
      </c>
      <c r="L19" s="0" t="n">
        <f aca="false">L15+L16+L17+L18</f>
        <v>51.7572255353973</v>
      </c>
    </row>
    <row r="20" customFormat="false" ht="15" hidden="false" customHeight="false" outlineLevel="0" collapsed="false">
      <c r="A20" s="0" t="s">
        <v>117</v>
      </c>
      <c r="C20" s="0" t="n">
        <f aca="false">1/(1+$B$27/100)^C4</f>
        <v>0.875656742556918</v>
      </c>
      <c r="D20" s="0" t="n">
        <f aca="false">1/(1+$B$27/100)^D4</f>
        <v>0.766774730785392</v>
      </c>
      <c r="E20" s="0" t="n">
        <f aca="false">1/(1+$B$27/100)^E4</f>
        <v>0.671431463034494</v>
      </c>
      <c r="F20" s="0" t="n">
        <f aca="false">1/(1+$B$27/100)^F4</f>
        <v>0.587943487771011</v>
      </c>
      <c r="G20" s="0" t="n">
        <f aca="false">1/(1+$B$27/100)^G4</f>
        <v>0.514836679309116</v>
      </c>
      <c r="H20" s="0" t="n">
        <f aca="false">1/(1+$B$27/100)^H4</f>
        <v>0.450820209552641</v>
      </c>
      <c r="I20" s="0" t="n">
        <f aca="false">1/(1+$B$27/100)^I4</f>
        <v>0.394763756175693</v>
      </c>
      <c r="J20" s="0" t="n">
        <f aca="false">1/(1+$B$27/100)^J4</f>
        <v>0.345677544812341</v>
      </c>
      <c r="K20" s="0" t="n">
        <f aca="false">1/(1+$B$27/100)^K4</f>
        <v>0.302694872865447</v>
      </c>
      <c r="L20" s="0" t="n">
        <f aca="false">1/(1+$B$27/100)^L4</f>
        <v>0.265056806362038</v>
      </c>
    </row>
    <row r="21" customFormat="false" ht="15" hidden="false" customHeight="false" outlineLevel="0" collapsed="false">
      <c r="A21" s="0" t="s">
        <v>118</v>
      </c>
      <c r="C21" s="0" t="n">
        <f aca="false">C19*C20</f>
        <v>6.29753697898424</v>
      </c>
      <c r="D21" s="0" t="n">
        <f aca="false">D19*D20</f>
        <v>9.12763557113983</v>
      </c>
      <c r="E21" s="0" t="n">
        <f aca="false">E19*E20</f>
        <v>14.1315309084262</v>
      </c>
      <c r="F21" s="0" t="n">
        <f aca="false">F19*F20</f>
        <v>16.3846478435983</v>
      </c>
      <c r="G21" s="0" t="n">
        <f aca="false">G19*G20</f>
        <v>17.3932336469556</v>
      </c>
      <c r="H21" s="0" t="n">
        <f aca="false">H19*H20</f>
        <v>17.7602642712479</v>
      </c>
      <c r="I21" s="0" t="n">
        <f aca="false">I19*I20</f>
        <v>17.7513514892271</v>
      </c>
      <c r="J21" s="0" t="n">
        <f aca="false">J19*J20</f>
        <v>16.5643380117568</v>
      </c>
      <c r="K21" s="0" t="n">
        <f aca="false">K19*K20</f>
        <v>15.1677072171264</v>
      </c>
      <c r="L21" s="0" t="n">
        <f aca="false">L19*L20</f>
        <v>13.7186049065721</v>
      </c>
    </row>
    <row r="23" customFormat="false" ht="15" hidden="false" customHeight="false" outlineLevel="0" collapsed="false">
      <c r="A23" s="0" t="s">
        <v>94</v>
      </c>
      <c r="C23" s="4" t="n">
        <f aca="false">Assumptions!C44</f>
        <v>0</v>
      </c>
      <c r="D23" s="4" t="n">
        <f aca="false">Assumptions!D44</f>
        <v>0</v>
      </c>
      <c r="E23" s="4" t="n">
        <f aca="false">Assumptions!E44</f>
        <v>0</v>
      </c>
      <c r="F23" s="4" t="n">
        <f aca="false">Assumptions!F44</f>
        <v>0</v>
      </c>
      <c r="G23" s="4" t="n">
        <f aca="false">Assumptions!G44</f>
        <v>0</v>
      </c>
      <c r="H23" s="4" t="n">
        <f aca="false">Assumptions!H44</f>
        <v>0</v>
      </c>
      <c r="I23" s="4" t="n">
        <f aca="false">Assumptions!I44</f>
        <v>0</v>
      </c>
      <c r="J23" s="4" t="n">
        <f aca="false">Assumptions!J44</f>
        <v>0</v>
      </c>
      <c r="K23" s="4" t="n">
        <f aca="false">Assumptions!K44</f>
        <v>0</v>
      </c>
      <c r="L23" s="4" t="n">
        <f aca="false">Assumptions!L44</f>
        <v>0</v>
      </c>
    </row>
    <row r="24" customFormat="false" ht="15" hidden="false" customHeight="false" outlineLevel="0" collapsed="false">
      <c r="A24" s="0" t="s">
        <v>119</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120</v>
      </c>
    </row>
    <row r="27" customFormat="false" ht="15" hidden="false" customHeight="false" outlineLevel="0" collapsed="false">
      <c r="A27" s="0" t="s">
        <v>98</v>
      </c>
      <c r="B27" s="4" t="n">
        <f aca="false">Assumptions!$B$48</f>
        <v>14.2</v>
      </c>
    </row>
    <row r="28" customFormat="false" ht="15" hidden="false" customHeight="false" outlineLevel="0" collapsed="false">
      <c r="A28" s="0" t="s">
        <v>99</v>
      </c>
      <c r="B28" s="4" t="n">
        <f aca="false">Assumptions!$B$49</f>
        <v>3</v>
      </c>
    </row>
    <row r="29" customFormat="false" ht="15" hidden="false" customHeight="false" outlineLevel="0" collapsed="false">
      <c r="A29" s="0" t="s">
        <v>100</v>
      </c>
      <c r="B29" s="4" t="n">
        <f aca="false">Assumptions!$B$50</f>
        <v>18</v>
      </c>
    </row>
    <row r="30" customFormat="false" ht="15" hidden="false" customHeight="false" outlineLevel="0" collapsed="false">
      <c r="A30" s="0" t="s">
        <v>121</v>
      </c>
      <c r="B30" s="0" t="n">
        <f aca="false">SUM(C21:L21)</f>
        <v>144.296850845035</v>
      </c>
    </row>
    <row r="31" customFormat="false" ht="15" hidden="false" customHeight="false" outlineLevel="0" collapsed="false">
      <c r="A31" s="0" t="s">
        <v>122</v>
      </c>
      <c r="B31" s="0" t="n">
        <f aca="false">L19</f>
        <v>51.7572255353973</v>
      </c>
    </row>
    <row r="32" customFormat="false" ht="15" hidden="false" customHeight="false" outlineLevel="0" collapsed="false">
      <c r="A32" s="0" t="s">
        <v>123</v>
      </c>
      <c r="B32" s="0" t="n">
        <f aca="false">IF(B27&gt;B28,B31*(1+B28/100)/((B27-B28)/100),B31*B29)</f>
        <v>475.9816276916</v>
      </c>
    </row>
    <row r="33" customFormat="false" ht="15" hidden="false" customHeight="false" outlineLevel="0" collapsed="false">
      <c r="A33" s="0" t="s">
        <v>124</v>
      </c>
      <c r="B33" s="0" t="n">
        <f aca="false">B31*B29</f>
        <v>931.630059637151</v>
      </c>
    </row>
    <row r="34" customFormat="false" ht="15" hidden="false" customHeight="false" outlineLevel="0" collapsed="false">
      <c r="A34" s="0" t="s">
        <v>125</v>
      </c>
      <c r="B34" s="0" t="n">
        <f aca="false">MAX(0,MIN(B32,B33))</f>
        <v>475.9816276916</v>
      </c>
    </row>
    <row r="35" customFormat="false" ht="15" hidden="false" customHeight="false" outlineLevel="0" collapsed="false">
      <c r="A35" s="0" t="s">
        <v>126</v>
      </c>
      <c r="B35" s="0" t="n">
        <f aca="false">B34/(1+B27/100)^L4</f>
        <v>126.16217012294</v>
      </c>
    </row>
    <row r="36" customFormat="false" ht="15" hidden="false" customHeight="false" outlineLevel="0" collapsed="false">
      <c r="A36" s="0" t="s">
        <v>127</v>
      </c>
      <c r="B36" s="0" t="n">
        <f aca="false">B30+B35</f>
        <v>270.459020967975</v>
      </c>
    </row>
    <row r="37" customFormat="false" ht="15" hidden="false" customHeight="false" outlineLevel="0" collapsed="false">
      <c r="A37" s="0" t="s">
        <v>128</v>
      </c>
      <c r="B37" s="0" t="n">
        <f aca="false">B36+Assumptions!$B$5-Assumptions!$B$4</f>
        <v>431.532020967975</v>
      </c>
    </row>
    <row r="38" customFormat="false" ht="15" hidden="false" customHeight="false" outlineLevel="0" collapsed="false">
      <c r="A38" s="0" t="s">
        <v>129</v>
      </c>
      <c r="B38" s="0" t="n">
        <f aca="false">B37/Assumptions!$B$3*Assumptions!$B$10</f>
        <v>12.7812868442134</v>
      </c>
    </row>
    <row r="39" customFormat="false" ht="15" hidden="false" customHeight="false" outlineLevel="0" collapsed="false">
      <c r="A39" s="0" t="s">
        <v>130</v>
      </c>
      <c r="B39" s="4" t="n">
        <f aca="false">B38/Assumptions!$B$2-1</f>
        <v>2.02158081423486</v>
      </c>
    </row>
    <row r="41" customFormat="false" ht="15" hidden="false" customHeight="false" outlineLevel="0" collapsed="false">
      <c r="A41" s="0" t="s">
        <v>131</v>
      </c>
      <c r="B41" s="0" t="n">
        <f aca="false">SUMPRODUCT(-C10:L10/(1+$B$27/100)^C4:L4)</f>
        <v>0</v>
      </c>
    </row>
    <row r="42" customFormat="false" ht="15" hidden="false" customHeight="false" outlineLevel="0" collapsed="false">
      <c r="A42" s="0" t="s">
        <v>132</v>
      </c>
      <c r="B42" s="0" t="n">
        <f aca="false">IF(B27&gt;B28,-L10*(1+B28/100)/((B27-B28)/100),-L10*20)/(1+B27/100)^L4</f>
        <v>0</v>
      </c>
    </row>
    <row r="43" customFormat="false" ht="15" hidden="false" customHeight="false" outlineLevel="0" collapsed="false">
      <c r="A43" s="0" t="s">
        <v>133</v>
      </c>
      <c r="B43" s="0" t="n">
        <f aca="false">(B37+B41+B42)/Assumptions!$B$3*Assumptions!$B$10</f>
        <v>12.7812868442134</v>
      </c>
    </row>
    <row r="45" customFormat="false" ht="15" hidden="false" customHeight="false" outlineLevel="0" collapsed="false">
      <c r="A45" s="0" t="s">
        <v>74</v>
      </c>
      <c r="B45" s="4" t="n">
        <f aca="false">Assumptions!$B$6</f>
        <v>15</v>
      </c>
    </row>
    <row r="46" customFormat="false" ht="15" hidden="false" customHeight="false" outlineLevel="0" collapsed="false">
      <c r="A46" s="0" t="s">
        <v>134</v>
      </c>
      <c r="B46" s="0" t="n">
        <f aca="false">MAX(0,MIN(IF(B45&gt;B28,B31*(1+B28/100)/((B45-B28)/100),B31*B29),B31*B29))</f>
        <v>444.249519178827</v>
      </c>
    </row>
    <row r="47" customFormat="false" ht="15" hidden="false" customHeight="false" outlineLevel="0" collapsed="false">
      <c r="A47" s="0" t="s">
        <v>135</v>
      </c>
      <c r="B47" s="0" t="n">
        <f aca="false">(SUMPRODUCT(C19:L19/(1+B45/100)^C4:L4)+B46/(1+B45/100)^L4+Assumptions!$B$5-Assumptions!$B$4)/Assumptions!$B$3*Assumptions!$B$10</f>
        <v>12.1242033730502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60"/>
  </cols>
  <sheetData>
    <row r="1" customFormat="false" ht="15" hidden="false" customHeight="false" outlineLevel="0" collapsed="false">
      <c r="A1" s="2" t="s">
        <v>138</v>
      </c>
    </row>
    <row r="3" customFormat="false" ht="15" hidden="false" customHeight="false" outlineLevel="0" collapsed="false">
      <c r="A3" s="2" t="s">
        <v>139</v>
      </c>
      <c r="B3" s="2" t="s">
        <v>140</v>
      </c>
      <c r="C3" s="2" t="s">
        <v>130</v>
      </c>
      <c r="D3" s="2" t="s">
        <v>141</v>
      </c>
      <c r="E3" s="2" t="s">
        <v>133</v>
      </c>
      <c r="F3" s="2" t="s">
        <v>142</v>
      </c>
    </row>
    <row r="4" customFormat="false" ht="15" hidden="false" customHeight="false" outlineLevel="0" collapsed="false">
      <c r="A4" s="0" t="s">
        <v>143</v>
      </c>
      <c r="B4" s="4" t="n">
        <f aca="false">DCF_Bear!$B$38</f>
        <v>5.58143910603525</v>
      </c>
      <c r="C4" s="0" t="n">
        <f aca="false">B4/Assumptions!$B$2-1</f>
        <v>0.319489150362942</v>
      </c>
      <c r="D4" s="4" t="n">
        <f aca="false">Assumptions!$B$24</f>
        <v>0.35</v>
      </c>
      <c r="E4" s="4" t="n">
        <f aca="false">DCF_Bear!$B$43</f>
        <v>5.58143910603525</v>
      </c>
      <c r="F4" s="4" t="n">
        <f aca="false">DCF_Bear!$B$47</f>
        <v>5.51743123402739</v>
      </c>
    </row>
    <row r="5" customFormat="false" ht="15" hidden="false" customHeight="false" outlineLevel="0" collapsed="false">
      <c r="A5" s="0" t="s">
        <v>144</v>
      </c>
      <c r="B5" s="4" t="n">
        <f aca="false">DCF_Base!$B$38</f>
        <v>9.01994936345263</v>
      </c>
      <c r="C5" s="0" t="n">
        <f aca="false">B5/Assumptions!$B$2-1</f>
        <v>1.13237573604081</v>
      </c>
      <c r="D5" s="4" t="n">
        <f aca="false">Assumptions!$B$38</f>
        <v>0.45</v>
      </c>
      <c r="E5" s="4" t="n">
        <f aca="false">DCF_Base!$B$43</f>
        <v>9.01994936345263</v>
      </c>
      <c r="F5" s="4" t="n">
        <f aca="false">DCF_Base!$B$47</f>
        <v>8.69611127255175</v>
      </c>
    </row>
    <row r="6" customFormat="false" ht="15" hidden="false" customHeight="false" outlineLevel="0" collapsed="false">
      <c r="A6" s="0" t="s">
        <v>145</v>
      </c>
      <c r="B6" s="4" t="n">
        <f aca="false">DCF_Bull!$B$38</f>
        <v>12.7812868442134</v>
      </c>
      <c r="C6" s="0" t="n">
        <f aca="false">B6/Assumptions!$B$2-1</f>
        <v>2.02158081423486</v>
      </c>
      <c r="D6" s="4" t="n">
        <f aca="false">Assumptions!$B$52</f>
        <v>0.2</v>
      </c>
      <c r="E6" s="4" t="n">
        <f aca="false">DCF_Bull!$B$43</f>
        <v>12.7812868442134</v>
      </c>
      <c r="F6" s="4" t="n">
        <f aca="false">DCF_Bull!$B$47</f>
        <v>12.1242033730502</v>
      </c>
    </row>
    <row r="8" customFormat="false" ht="15" hidden="false" customHeight="false" outlineLevel="0" collapsed="false">
      <c r="A8" s="0" t="s">
        <v>146</v>
      </c>
      <c r="B8" s="0" t="n">
        <f aca="false">SUMPRODUCT(B4:B6,D4:D6)</f>
        <v>8.56873826950871</v>
      </c>
    </row>
    <row r="9" customFormat="false" ht="15" hidden="false" customHeight="false" outlineLevel="0" collapsed="false">
      <c r="A9" s="0" t="s">
        <v>147</v>
      </c>
      <c r="B9" s="0" t="n">
        <f aca="false">SUMPRODUCT(E4:E6,D4:D6)</f>
        <v>8.56873826950871</v>
      </c>
    </row>
    <row r="10" customFormat="false" ht="15" hidden="false" customHeight="false" outlineLevel="0" collapsed="false">
      <c r="A10" s="0" t="s">
        <v>148</v>
      </c>
      <c r="B10" s="0" t="n">
        <f aca="false">1-Assumptions!$B$2/B8</f>
        <v>0.506345057235302</v>
      </c>
    </row>
    <row r="11" customFormat="false" ht="15" hidden="false" customHeight="false" outlineLevel="0" collapsed="false">
      <c r="A11" s="0" t="s">
        <v>149</v>
      </c>
      <c r="B11" s="0" t="str">
        <f aca="false">IF(ABS(B9-B8)&gt;0.01*ABS(B8),(Assumptions!$B$2-B8)/(B9-B8)*100,"n/a")</f>
        <v>n/a</v>
      </c>
    </row>
    <row r="12" customFormat="false" ht="15" hidden="false" customHeight="false" outlineLevel="0" collapsed="false">
      <c r="A12" s="0" t="s">
        <v>150</v>
      </c>
      <c r="B12" s="0" t="n">
        <f aca="false">SUMPRODUCT(F4:F6,D4:D6)</f>
        <v>8.26919167916791</v>
      </c>
    </row>
    <row r="14" customFormat="false" ht="15" hidden="false" customHeight="false" outlineLevel="0" collapsed="false">
      <c r="A14" s="2" t="s">
        <v>151</v>
      </c>
      <c r="C14" s="0" t="s">
        <v>152</v>
      </c>
    </row>
    <row r="15" customFormat="false" ht="15" hidden="false" customHeight="false" outlineLevel="0" collapsed="false">
      <c r="A15" s="0" t="s">
        <v>153</v>
      </c>
      <c r="B15" s="0" t="n">
        <f aca="false">(SUMPRODUCT(DCF_Base!$C$19:$L$19/(1+$C$15/100)^DCF_Base!$C$4:$L$4)+MAX(0,MIN(IF($C$15&gt;DCF_Base!$B$28,DCF_Base!$L$19*(1+DCF_Base!$B$28/100)/(($C$15-DCF_Base!$B$28)/100),DCF_Base!$L$19*DCF_Base!$B$29),DCF_Base!$L$19*DCF_Base!$B$29))/(1+$C$15/100)^DCF_Base!$L$4+Assumptions!$B$5-Assumptions!$B$4)/Assumptions!$B$3*Assumptions!$B$10</f>
        <v>12.9064171220342</v>
      </c>
      <c r="C15" s="3" t="n">
        <v>9</v>
      </c>
    </row>
    <row r="16" customFormat="false" ht="15" hidden="false" customHeight="false" outlineLevel="0" collapsed="false">
      <c r="A16" s="0" t="s">
        <v>154</v>
      </c>
      <c r="B16" s="0" t="n">
        <f aca="false">(SUMPRODUCT(DCF_Base!$C$19:$L$19/(1+$C$16/100)^DCF_Base!$C$4:$L$4)+MAX(0,MIN(IF($C$16&gt;DCF_Base!$B$28,DCF_Base!$L$19*(1+DCF_Base!$B$28/100)/(($C$16-DCF_Base!$B$28)/100),DCF_Base!$L$19*DCF_Base!$B$29),DCF_Base!$L$19*DCF_Base!$B$29))/(1+$C$16/100)^DCF_Base!$L$4+Assumptions!$B$5-Assumptions!$B$4)/Assumptions!$B$3*Assumptions!$B$10</f>
        <v>11.9060087872144</v>
      </c>
      <c r="C16" s="3" t="n">
        <v>10</v>
      </c>
    </row>
    <row r="17" customFormat="false" ht="15" hidden="false" customHeight="false" outlineLevel="0" collapsed="false">
      <c r="A17" s="0" t="s">
        <v>155</v>
      </c>
      <c r="B17" s="0" t="n">
        <f aca="false">(SUMPRODUCT(DCF_Base!$C$19:$L$19/(1+$C$17/100)^DCF_Base!$C$4:$L$4)+MAX(0,MIN(IF($C$17&gt;DCF_Base!$B$28,DCF_Base!$L$19*(1+DCF_Base!$B$28/100)/(($C$17-DCF_Base!$B$28)/100),DCF_Base!$L$19*DCF_Base!$B$29),DCF_Base!$L$19*DCF_Base!$B$29))/(1+$C$17/100)^DCF_Base!$L$4+Assumptions!$B$5-Assumptions!$B$4)/Assumptions!$B$3*Assumptions!$B$10</f>
        <v>10.9525370072058</v>
      </c>
      <c r="C17" s="3" t="n">
        <v>11</v>
      </c>
    </row>
    <row r="18" customFormat="false" ht="15" hidden="false" customHeight="false" outlineLevel="0" collapsed="false">
      <c r="A18" s="0" t="s">
        <v>156</v>
      </c>
      <c r="B18" s="0" t="n">
        <f aca="false">(SUMPRODUCT(DCF_Base!$C$19:$L$19/(1+$C$18/100)^DCF_Base!$C$4:$L$4)+MAX(0,MIN(IF($C$18&gt;DCF_Base!$B$28,DCF_Base!$L$19*(1+DCF_Base!$B$28/100)/(($C$18-DCF_Base!$B$28)/100),DCF_Base!$L$19*DCF_Base!$B$29),DCF_Base!$L$19*DCF_Base!$B$29))/(1+$C$18/100)^DCF_Base!$L$4+Assumptions!$B$5-Assumptions!$B$4)/Assumptions!$B$3*Assumptions!$B$10</f>
        <v>10.2042406899749</v>
      </c>
      <c r="C18" s="3" t="n">
        <v>12</v>
      </c>
    </row>
    <row r="19" customFormat="false" ht="15" hidden="false" customHeight="false" outlineLevel="0" collapsed="false">
      <c r="A19" s="0" t="s">
        <v>157</v>
      </c>
      <c r="B19" s="0" t="n">
        <f aca="false">(SUMPRODUCT(DCF_Base!$C$19:$L$19/(1+$C$19/100)^DCF_Base!$C$4:$L$4)+MAX(0,MIN(IF($C$19&gt;DCF_Base!$B$28,DCF_Base!$L$19*(1+DCF_Base!$B$28/100)/(($C$19-DCF_Base!$B$28)/100),DCF_Base!$L$19*DCF_Base!$B$29),DCF_Base!$L$19*DCF_Base!$B$29))/(1+$C$19/100)^DCF_Base!$L$4+Assumptions!$B$5-Assumptions!$B$4)/Assumptions!$B$3*Assumptions!$B$10</f>
        <v>9.01994936345263</v>
      </c>
      <c r="C19" s="3" t="n">
        <v>14.2</v>
      </c>
    </row>
    <row r="20" customFormat="false" ht="15" hidden="false" customHeight="false" outlineLevel="0" collapsed="false">
      <c r="A20" s="0" t="s">
        <v>158</v>
      </c>
      <c r="B20" s="0" t="n">
        <f aca="false">(SUMPRODUCT(DCF_Base!$C$19:$L$19/(1+$C$20/100)^DCF_Base!$C$4:$L$4)+MAX(0,MIN(IF($C$20&gt;DCF_Base!$B$28,DCF_Base!$L$19*(1+DCF_Base!$B$28/100)/(($C$20-DCF_Base!$B$28)/100),DCF_Base!$L$19*DCF_Base!$B$29),DCF_Base!$L$19*DCF_Base!$B$29))/(1+$C$20/100)^DCF_Base!$L$4+Assumptions!$B$5-Assumptions!$B$4)/Assumptions!$B$3*Assumptions!$B$10</f>
        <v>8.69611127255175</v>
      </c>
      <c r="C20" s="3" t="n">
        <v>15</v>
      </c>
    </row>
    <row r="22" customFormat="false" ht="15" hidden="false" customHeight="false" outlineLevel="0" collapsed="false">
      <c r="A22" s="2" t="s">
        <v>159</v>
      </c>
    </row>
    <row r="23" customFormat="false" ht="15" hidden="false" customHeight="false" outlineLevel="0" collapsed="false">
      <c r="B23" s="3" t="n">
        <v>1.5</v>
      </c>
      <c r="C23" s="3" t="n">
        <v>2</v>
      </c>
      <c r="D23" s="3" t="n">
        <v>2.5</v>
      </c>
      <c r="E23" s="3" t="n">
        <v>3</v>
      </c>
      <c r="F23" s="3" t="n">
        <v>3.5</v>
      </c>
    </row>
    <row r="24" customFormat="false" ht="15" hidden="false" customHeight="false" outlineLevel="0" collapsed="false">
      <c r="A24" s="3" t="n">
        <v>12.2</v>
      </c>
      <c r="B24" s="0" t="n">
        <f aca="false">(SUMPRODUCT(DCF_Base!$C$19:$L$19/(1+$A$24/100)^DCF_Base!$C$4:$L$4)+MAX(0,MIN(IF($A$24&gt;$B$23,DCF_Base!$L$19*(1+$B$23/100)/(($A$24-$B$23)/100),DCF_Base!$L$19*DCF_Base!$B$29),DCF_Base!$L$19*DCF_Base!$B$29))/(1+$A$24/100)^DCF_Base!$L$4+Assumptions!$B$5-Assumptions!$B$4)/Assumptions!$B$3*Assumptions!$B$10</f>
        <v>9.80702372365088</v>
      </c>
      <c r="C24" s="0" t="n">
        <f aca="false">(SUMPRODUCT(DCF_Base!$C$19:$L$19/(1+$A$24/100)^DCF_Base!$C$4:$L$4)+MAX(0,MIN(IF($A$24&gt;$C$23,DCF_Base!$L$19*(1+$C$23/100)/(($A$24-$C$23)/100),DCF_Base!$L$19*DCF_Base!$B$29),DCF_Base!$L$19*DCF_Base!$B$29))/(1+$A$24/100)^DCF_Base!$L$4+Assumptions!$B$5-Assumptions!$B$4)/Assumptions!$B$3*Assumptions!$B$10</f>
        <v>9.93377623740543</v>
      </c>
      <c r="D24" s="0" t="n">
        <f aca="false">(SUMPRODUCT(DCF_Base!$C$19:$L$19/(1+$A$24/100)^DCF_Base!$C$4:$L$4)+MAX(0,MIN(IF($A$24&gt;$D$23,DCF_Base!$L$19*(1+$D$23/100)/(($A$24-$D$23)/100),DCF_Base!$L$19*DCF_Base!$B$29),DCF_Base!$L$19*DCF_Base!$B$29))/(1+$A$24/100)^DCF_Base!$L$4+Assumptions!$B$5-Assumptions!$B$4)/Assumptions!$B$3*Assumptions!$B$10</f>
        <v>10.0735960206192</v>
      </c>
      <c r="E24" s="0" t="n">
        <f aca="false">(SUMPRODUCT(DCF_Base!$C$19:$L$19/(1+$A$24/100)^DCF_Base!$C$4:$L$4)+MAX(0,MIN(IF($A$24&gt;$E$23,DCF_Base!$L$19*(1+$E$23/100)/(($A$24-$E$23)/100),DCF_Base!$L$19*DCF_Base!$B$29),DCF_Base!$L$19*DCF_Base!$B$29))/(1+$A$24/100)^DCF_Base!$L$4+Assumptions!$B$5-Assumptions!$B$4)/Assumptions!$B$3*Assumptions!$B$10</f>
        <v>10.2286136063562</v>
      </c>
      <c r="F24" s="0" t="n">
        <f aca="false">(SUMPRODUCT(DCF_Base!$C$19:$L$19/(1+$A$24/100)^DCF_Base!$C$4:$L$4)+MAX(0,MIN(IF($A$24&gt;$F$23,DCF_Base!$L$19*(1+$F$23/100)/(($A$24-$F$23)/100),DCF_Base!$L$19*DCF_Base!$B$29),DCF_Base!$L$19*DCF_Base!$B$29))/(1+$A$24/100)^DCF_Base!$L$4+Assumptions!$B$5-Assumptions!$B$4)/Assumptions!$B$3*Assumptions!$B$10</f>
        <v>10.4014493053964</v>
      </c>
    </row>
    <row r="25" customFormat="false" ht="15" hidden="false" customHeight="false" outlineLevel="0" collapsed="false">
      <c r="A25" s="3" t="n">
        <v>13.2</v>
      </c>
      <c r="B25" s="0" t="n">
        <f aca="false">(SUMPRODUCT(DCF_Base!$C$19:$L$19/(1+$A$25/100)^DCF_Base!$C$4:$L$4)+MAX(0,MIN(IF($A$25&gt;$B$23,DCF_Base!$L$19*(1+$B$23/100)/(($A$25-$B$23)/100),DCF_Base!$L$19*DCF_Base!$B$29),DCF_Base!$L$19*DCF_Base!$B$29))/(1+$A$25/100)^DCF_Base!$L$4+Assumptions!$B$5-Assumptions!$B$4)/Assumptions!$B$3*Assumptions!$B$10</f>
        <v>9.29176094602216</v>
      </c>
      <c r="C25" s="0" t="n">
        <f aca="false">(SUMPRODUCT(DCF_Base!$C$19:$L$19/(1+$A$25/100)^DCF_Base!$C$4:$L$4)+MAX(0,MIN(IF($A$25&gt;$C$23,DCF_Base!$L$19*(1+$C$23/100)/(($A$25-$C$23)/100),DCF_Base!$L$19*DCF_Base!$B$29),DCF_Base!$L$19*DCF_Base!$B$29))/(1+$A$25/100)^DCF_Base!$L$4+Assumptions!$B$5-Assumptions!$B$4)/Assumptions!$B$3*Assumptions!$B$10</f>
        <v>9.38922725430252</v>
      </c>
      <c r="D25" s="0" t="n">
        <f aca="false">(SUMPRODUCT(DCF_Base!$C$19:$L$19/(1+$A$25/100)^DCF_Base!$C$4:$L$4)+MAX(0,MIN(IF($A$25&gt;$D$23,DCF_Base!$L$19*(1+$D$23/100)/(($A$25-$D$23)/100),DCF_Base!$L$19*DCF_Base!$B$29),DCF_Base!$L$19*DCF_Base!$B$29))/(1+$A$25/100)^DCF_Base!$L$4+Assumptions!$B$5-Assumptions!$B$4)/Assumptions!$B$3*Assumptions!$B$10</f>
        <v>9.49580256335674</v>
      </c>
      <c r="E25" s="0" t="n">
        <f aca="false">(SUMPRODUCT(DCF_Base!$C$19:$L$19/(1+$A$25/100)^DCF_Base!$C$4:$L$4)+MAX(0,MIN(IF($A$25&gt;$E$23,DCF_Base!$L$19*(1+$E$23/100)/(($A$25-$E$23)/100),DCF_Base!$L$19*DCF_Base!$B$29),DCF_Base!$L$19*DCF_Base!$B$29))/(1+$A$25/100)^DCF_Base!$L$4+Assumptions!$B$5-Assumptions!$B$4)/Assumptions!$B$3*Assumptions!$B$10</f>
        <v>9.61282643212216</v>
      </c>
      <c r="F25" s="0" t="n">
        <f aca="false">(SUMPRODUCT(DCF_Base!$C$19:$L$19/(1+$A$25/100)^DCF_Base!$C$4:$L$4)+MAX(0,MIN(IF($A$25&gt;$F$23,DCF_Base!$L$19*(1+$F$23/100)/(($A$25-$F$23)/100),DCF_Base!$L$19*DCF_Base!$B$29),DCF_Base!$L$19*DCF_Base!$B$29))/(1+$A$25/100)^DCF_Base!$L$4+Assumptions!$B$5-Assumptions!$B$4)/Assumptions!$B$3*Assumptions!$B$10</f>
        <v>9.74191461725515</v>
      </c>
    </row>
    <row r="26" customFormat="false" ht="15" hidden="false" customHeight="false" outlineLevel="0" collapsed="false">
      <c r="A26" s="3" t="n">
        <v>14.2</v>
      </c>
      <c r="B26" s="0" t="n">
        <f aca="false">(SUMPRODUCT(DCF_Base!$C$19:$L$19/(1+$A$26/100)^DCF_Base!$C$4:$L$4)+MAX(0,MIN(IF($A$26&gt;$B$23,DCF_Base!$L$19*(1+$B$23/100)/(($A$26-$B$23)/100),DCF_Base!$L$19*DCF_Base!$B$29),DCF_Base!$L$19*DCF_Base!$B$29))/(1+$A$26/100)^DCF_Base!$L$4+Assumptions!$B$5-Assumptions!$B$4)/Assumptions!$B$3*Assumptions!$B$10</f>
        <v>8.86112331880078</v>
      </c>
      <c r="C26" s="0" t="n">
        <f aca="false">(SUMPRODUCT(DCF_Base!$C$19:$L$19/(1+$A$26/100)^DCF_Base!$C$4:$L$4)+MAX(0,MIN(IF($A$26&gt;$C$23,DCF_Base!$L$19*(1+$C$23/100)/(($A$26-$C$23)/100),DCF_Base!$L$19*DCF_Base!$B$29),DCF_Base!$L$19*DCF_Base!$B$29))/(1+$A$26/100)^DCF_Base!$L$4+Assumptions!$B$5-Assumptions!$B$4)/Assumptions!$B$3*Assumptions!$B$10</f>
        <v>8.93728170906417</v>
      </c>
      <c r="D26" s="0" t="n">
        <f aca="false">(SUMPRODUCT(DCF_Base!$C$19:$L$19/(1+$A$26/100)^DCF_Base!$C$4:$L$4)+MAX(0,MIN(IF($A$26&gt;$D$23,DCF_Base!$L$19*(1+$D$23/100)/(($A$26-$D$23)/100),DCF_Base!$L$19*DCF_Base!$B$29),DCF_Base!$L$19*DCF_Base!$B$29))/(1+$A$26/100)^DCF_Base!$L$4+Assumptions!$B$5-Assumptions!$B$4)/Assumptions!$B$3*Assumptions!$B$10</f>
        <v>9.01994936345263</v>
      </c>
      <c r="E26" s="0" t="n">
        <f aca="false">(SUMPRODUCT(DCF_Base!$C$19:$L$19/(1+$A$26/100)^DCF_Base!$C$4:$L$4)+MAX(0,MIN(IF($A$26&gt;$E$23,DCF_Base!$L$19*(1+$E$23/100)/(($A$26-$E$23)/100),DCF_Base!$L$19*DCF_Base!$B$29),DCF_Base!$L$19*DCF_Base!$B$29))/(1+$A$26/100)^DCF_Base!$L$4+Assumptions!$B$5-Assumptions!$B$4)/Assumptions!$B$3*Assumptions!$B$10</f>
        <v>9.10999805841149</v>
      </c>
      <c r="F26" s="0" t="n">
        <f aca="false">(SUMPRODUCT(DCF_Base!$C$19:$L$19/(1+$A$26/100)^DCF_Base!$C$4:$L$4)+MAX(0,MIN(IF($A$26&gt;$F$23,DCF_Base!$L$19*(1+$F$23/100)/(($A$26-$F$23)/100),DCF_Base!$L$19*DCF_Base!$B$29),DCF_Base!$L$19*DCF_Base!$B$29))/(1+$A$26/100)^DCF_Base!$L$4+Assumptions!$B$5-Assumptions!$B$4)/Assumptions!$B$3*Assumptions!$B$10</f>
        <v>9.20846251925436</v>
      </c>
    </row>
    <row r="27" customFormat="false" ht="15" hidden="false" customHeight="false" outlineLevel="0" collapsed="false">
      <c r="A27" s="3" t="n">
        <v>15.2</v>
      </c>
      <c r="B27" s="0" t="n">
        <f aca="false">(SUMPRODUCT(DCF_Base!$C$19:$L$19/(1+$A$27/100)^DCF_Base!$C$4:$L$4)+MAX(0,MIN(IF($A$27&gt;$B$23,DCF_Base!$L$19*(1+$B$23/100)/(($A$27-$B$23)/100),DCF_Base!$L$19*DCF_Base!$B$29),DCF_Base!$L$19*DCF_Base!$B$29))/(1+$A$27/100)^DCF_Base!$L$4+Assumptions!$B$5-Assumptions!$B$4)/Assumptions!$B$3*Assumptions!$B$10</f>
        <v>8.49638967247809</v>
      </c>
      <c r="C27" s="0" t="n">
        <f aca="false">(SUMPRODUCT(DCF_Base!$C$19:$L$19/(1+$A$27/100)^DCF_Base!$C$4:$L$4)+MAX(0,MIN(IF($A$27&gt;$C$23,DCF_Base!$L$19*(1+$C$23/100)/(($A$27-$C$23)/100),DCF_Base!$L$19*DCF_Base!$B$29),DCF_Base!$L$19*DCF_Base!$B$29))/(1+$A$27/100)^DCF_Base!$L$4+Assumptions!$B$5-Assumptions!$B$4)/Assumptions!$B$3*Assumptions!$B$10</f>
        <v>8.55671635351311</v>
      </c>
      <c r="D27" s="0" t="n">
        <f aca="false">(SUMPRODUCT(DCF_Base!$C$19:$L$19/(1+$A$27/100)^DCF_Base!$C$4:$L$4)+MAX(0,MIN(IF($A$27&gt;$D$23,DCF_Base!$L$19*(1+$D$23/100)/(($A$27-$D$23)/100),DCF_Base!$L$19*DCF_Base!$B$29),DCF_Base!$L$19*DCF_Base!$B$29))/(1+$A$27/100)^DCF_Base!$L$4+Assumptions!$B$5-Assumptions!$B$4)/Assumptions!$B$3*Assumptions!$B$10</f>
        <v>8.62179316691309</v>
      </c>
      <c r="E27" s="0" t="n">
        <f aca="false">(SUMPRODUCT(DCF_Base!$C$19:$L$19/(1+$A$27/100)^DCF_Base!$C$4:$L$4)+MAX(0,MIN(IF($A$27&gt;$E$23,DCF_Base!$L$19*(1+$E$23/100)/(($A$27-$E$23)/100),DCF_Base!$L$19*DCF_Base!$B$29),DCF_Base!$L$19*DCF_Base!$B$29))/(1+$A$27/100)^DCF_Base!$L$4+Assumptions!$B$5-Assumptions!$B$4)/Assumptions!$B$3*Assumptions!$B$10</f>
        <v>8.69220414534585</v>
      </c>
      <c r="F27" s="0" t="n">
        <f aca="false">(SUMPRODUCT(DCF_Base!$C$19:$L$19/(1+$A$27/100)^DCF_Base!$C$4:$L$4)+MAX(0,MIN(IF($A$27&gt;$F$23,DCF_Base!$L$19*(1+$F$23/100)/(($A$27-$F$23)/100),DCF_Base!$L$19*DCF_Base!$B$29),DCF_Base!$L$19*DCF_Base!$B$29))/(1+$A$27/100)^DCF_Base!$L$4+Assumptions!$B$5-Assumptions!$B$4)/Assumptions!$B$3*Assumptions!$B$10</f>
        <v>8.76863315612329</v>
      </c>
    </row>
    <row r="28" customFormat="false" ht="15" hidden="false" customHeight="false" outlineLevel="0" collapsed="false">
      <c r="A28" s="3" t="n">
        <v>16.2</v>
      </c>
      <c r="B28" s="0" t="n">
        <f aca="false">(SUMPRODUCT(DCF_Base!$C$19:$L$19/(1+$A$28/100)^DCF_Base!$C$4:$L$4)+MAX(0,MIN(IF($A$28&gt;$B$23,DCF_Base!$L$19*(1+$B$23/100)/(($A$28-$B$23)/100),DCF_Base!$L$19*DCF_Base!$B$29),DCF_Base!$L$19*DCF_Base!$B$29))/(1+$A$28/100)^DCF_Base!$L$4+Assumptions!$B$5-Assumptions!$B$4)/Assumptions!$B$3*Assumptions!$B$10</f>
        <v>8.18394575776056</v>
      </c>
      <c r="C28" s="0" t="n">
        <f aca="false">(SUMPRODUCT(DCF_Base!$C$19:$L$19/(1+$A$28/100)^DCF_Base!$C$4:$L$4)+MAX(0,MIN(IF($A$28&gt;$C$23,DCF_Base!$L$19*(1+$C$23/100)/(($A$28-$C$23)/100),DCF_Base!$L$19*DCF_Base!$B$29),DCF_Base!$L$19*DCF_Base!$B$29))/(1+$A$28/100)^DCF_Base!$L$4+Assumptions!$B$5-Assumptions!$B$4)/Assumptions!$B$3*Assumptions!$B$10</f>
        <v>8.23229786558422</v>
      </c>
      <c r="D28" s="0" t="n">
        <f aca="false">(SUMPRODUCT(DCF_Base!$C$19:$L$19/(1+$A$28/100)^DCF_Base!$C$4:$L$4)+MAX(0,MIN(IF($A$28&gt;$D$23,DCF_Base!$L$19*(1+$D$23/100)/(($A$28-$D$23)/100),DCF_Base!$L$19*DCF_Base!$B$29),DCF_Base!$L$19*DCF_Base!$B$29))/(1+$A$28/100)^DCF_Base!$L$4+Assumptions!$B$5-Assumptions!$B$4)/Assumptions!$B$3*Assumptions!$B$10</f>
        <v>8.28417932434391</v>
      </c>
      <c r="E28" s="0" t="n">
        <f aca="false">(SUMPRODUCT(DCF_Base!$C$19:$L$19/(1+$A$28/100)^DCF_Base!$C$4:$L$4)+MAX(0,MIN(IF($A$28&gt;$E$23,DCF_Base!$L$19*(1+$E$23/100)/(($A$28-$E$23)/100),DCF_Base!$L$19*DCF_Base!$B$29),DCF_Base!$L$19*DCF_Base!$B$29))/(1+$A$28/100)^DCF_Base!$L$4+Assumptions!$B$5-Assumptions!$B$4)/Assumptions!$B$3*Assumptions!$B$10</f>
        <v>8.339991196646</v>
      </c>
      <c r="F28" s="0" t="n">
        <f aca="false">(SUMPRODUCT(DCF_Base!$C$19:$L$19/(1+$A$28/100)^DCF_Base!$C$4:$L$4)+MAX(0,MIN(IF($A$28&gt;$F$23,DCF_Base!$L$19*(1+$F$23/100)/(($A$28-$F$23)/100),DCF_Base!$L$19*DCF_Base!$B$29),DCF_Base!$L$19*DCF_Base!$B$29))/(1+$A$28/100)^DCF_Base!$L$4+Assumptions!$B$5-Assumptions!$B$4)/Assumptions!$B$3*Assumptions!$B$10</f>
        <v>8.40019770456244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2026-10-23T14:35:25Z</dcterms:created>
  <dc:creator>openpyxl</dc:creator>
  <dc:description/>
  <dc:language>en-NZ</dc:language>
  <cp:lastModifiedBy/>
  <dcterms:modified xsi:type="dcterms:W3CDTF">2026-10-23T14:35:25Z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