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<sst xmlns="http://schemas.openxmlformats.org/spreadsheetml/2006/main" count="365" uniqueCount="168">
  <si>
    <t xml:space="preserve">Ticker</t>
  </si>
  <si>
    <t xml:space="preserve">4901.T</t>
  </si>
  <si>
    <t xml:space="preserve">Company</t>
  </si>
  <si>
    <t xml:space="preserve">FUJIFILM Holdings Corporation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</si>
  <si>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</si>
  <si>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</si>
  <si>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</si>
  <si>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</si>
  <si>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 15:30 JST, Friday 30 Oct 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</si>
  <si>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</si>
  <si>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</si>
  <si>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</si>
  <si>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</si>
  <si>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</si>
  <si>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</si>
  <si>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</si>
  <si>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</si>
  <si>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</si>
  <si>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</si>
  <si>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</si>
  <si>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</si>
  <si>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2026-10-31T06:11:41Z</t>
  </si>
  <si>
    <t xml:space="preserve">Drivers file</t>
  </si>
  <si>
    <t xml:space="preserve">4901.T_Drivers.json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</si>
  <si>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</si>
  <si>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</si>
  <si>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</si>
  <si>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Fujifilm is valued as a going-concern operating conglomerate on owner FCF built from components, not on its recent reported FCF, which is distorted by a capex supercycle (571bn JPY in FY2026 against a 125-166bn pre-cycle run-rate). The judgment is in the capex glide (guided 404bn in FY2027, normalising to ~7% of revenue), the recovery of Healthcare margins as new CDMO plants fill, and a 15x terminal cap that refuses to pay a growth multiple for a business whose largest segment is shrinking. Discounted at a JPY WACC of 6.5%; risk is in the scenario flows and the 25/50/25 weights, not stacked into the discount rate.
key_risks_to_valuation: Capex does not normalise: a second North Carolina phase, Toyama and semiconductor-materials capacity keep capex above 10% of revenue beyond FY2027 (each 1pp of capex is ~35bn JPY/yr of FCF, ~30 JPY/share of PV per year it persists); CDMO utilisation and margin recovery slower than the three-to-four-year base ramp; Healthcare operating income stuck near 41bn instead of recovering to 120bn+; Business Innovation (35% of revenue) decline accelerates or restructuring costs recur; the spin-off removes a cash-generative segment; Input costs (silver assumption doubled to 400,000 JPY/kg, memory -25bn JPY OI headwind, oil at $100 = 30-40bn JPY/quarter) and a stronger yen against the 150 JPY/USD guidance basis; Discount-rate sensitivity: a terminal-heavy valuation at a 6.5% JPY WACC; each +1pp WACC removes roughly 12-15% of value; Terminal cap at 15x FCF binds in the base and bull scenarios; a market paying a higher multiple for a 'pure' Healthcare/Electronics Fujifilm post spin-off is upside not in the house number</t>
  </si>
  <si>
    <t xml:space="preserve">Data sources</t>
  </si>
  <si>
    <t xml:space="preserve">price: Yahoo Finance chart API at inputs.price_as_of; 52-week range 2855-3908 JPY
financials: 4901.T_Metrics.csv (FY2016-FY2026 annual + quarterlies, US GAAP, JPY millions, split-adjusted 3-for-1 April 2024); 4901.T_Annual_FY2026.txt (statements, segment capex/D&amp;A note, per-share data); 4901.T_Quarterly_Q1-2027.txt (2026-06-30 balance sheet, share count, Q1 cash flow); 4901.T_Presentation_FY2026.txt and 4901.T_Presentation_Q1-2027.txt (FY2027 capex/D&amp;A forecast, cash allocation, VISION2030 ROE target)
qualitative: 4901.T_Analysis.json (2026-10-31): segment mix, Bio CDMO ramp, spin-off announcement, guidance as of 6 Aug 2026, bull/bear cases</t>
  </si>
  <si>
    <t xml:space="preserve">Scenario narrative: bear</t>
  </si>
  <si>
    <t xml:space="preserve">CDMO execution disappoints again: utilisation ramps slip, regulatory inspections idle small/medium facilities, and the second North Carolina phase plus Toyama keep capex at 8-11% of revenue for years while Healthcare operating income stays near the FY2027 trough. Business Innovation's print decline accelerates, the semiconductor cycle turns, and silver, memory and Middle East-driven energy costs (management's own 30-40bn/quarter oil risk) plus a stronger yen compress EBITDA margin to 15%. Growth fades to 1%. FCF stays barely positive through the horizon.</t>
  </si>
  <si>
    <t xml:space="preserve">Scenario narrative: base</t>
  </si>
  <si>
    <t xml:space="preserve">Revenue grows 6% in FY2027 per the raised guidance, decelerating to 2% by year 9. The Bio CDMO ramp recovers over three to four years rather than one: Healthcare operating income climbs back from the guided 41bn trough as North Carolina phase 1 (eight 20,000L bioreactors, operating since March 2026), the UK drug-substance building and Toyama (FY2027 start) fill with contracted volume from Janssen, Regeneron and new clients; Electronics rides AI-driven photoresist/CMP/advanced-packaging demand; Instax keeps growing mid-single digits; Business Innovation drifts down and is partially spun off within 2-3 years without changing group economics in the model. Group EBITDA margin rises from 16.2% to 18.5% by year 7. Capex falls from the guided 404bn (11.3%) to 7% of revenue by year 6, so owner FCF turns positive in year 1 and reaches roughly 7% of revenue at maturity. Terminal value is capped at 15x year-10 FCF.</t>
  </si>
  <si>
    <t xml:space="preserve">Scenario narrative: bull</t>
  </si>
  <si>
    <t xml:space="preserve">Both secular bets land together: the CDMO facilities reach high utilisation on schedule with new large-scale antibody contracts, and the AI semiconductor-materials cycle extends (Rapidus, India capacity, advanced packaging). Margins reach the VISION2030 ambition (~20.5% EBITDA, 10%+ ROE) and growth stays at 6-7% for four years. The Business Innovation spin-off crystallises a cleaner Healthcare/Electronics multiple. Capex normalises faster, to 6.5% of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</si>
  <si>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</si>
  <si>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</si>
  <si>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</si>
  <si>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</si>
  <si>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</si>
  <si>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</si>
  <si>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</si>
  <si>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</si>
  <si>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</si>
  <si>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</si>
  <si>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</si>
  <si>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</si>
  <si>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</si>
  <si>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</si>
  <si>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</si>
  <si>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</si>
  <si>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</si>
  <si>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</si>
  <si>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</si>
  <si>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</si>
  <si>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</si>
  <si>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</si>
  <si>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</si>
  <si>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</si>
  <si>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</si>
  <si>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</si>
  <si>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</si>
  <si>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</si>
  <si>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TotalEquityInclNCI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</si>
  <si>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</si>
  <si>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</si>
  <si>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</si>
  <si>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</si>
  <si>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</si>
  <si>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</si>
  <si>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</si>
  <si>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</si>
  <si>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</si>
  <si>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</si>
  <si>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</si>
  <si>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</si>
  <si>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</si>
  <si>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</si>
  <si>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</si>
  <si>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</si>
  <si>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</si>
  <si>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</si>
  <si>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</si>
  <si>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</si>
  <si>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</si>
  <si>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</si>
  <si>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</si>
  <si>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</si>
  <si>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</si>
  <si>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</si>
  <si>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</si>
  <si>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</si>
  <si>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</si>
  <si>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</si>
  <si>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</si>
  <si>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</si>
  <si>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</si>
  <si>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</si>
  <si>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</si>
  <si>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</si>
  <si>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</si>
  <si>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</si>
  <si>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</si>
  <si>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</si>
  <si>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</si>
  <si>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</si>
  <si>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</si>
  <si>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</si>
  <si>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</si>
  <si>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</si>
  <si>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</si>
  <si>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</si>
  <si>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4901.T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</si>
  <si>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</si>
  <si>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</si>
  <si>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</si>
  <si>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</si>
  <si>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</si>
  <si>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</si>
  <si>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</si>
  <si>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</si>
  <si>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</si>
  <si>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</si>
  <si>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</si>
  <si>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</si>
  <si>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</si>
  <si>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</si>
  <si>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</si>
  <si>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</si>
  <si>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</si>
  <si>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</si>
  <si>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</si>
  <si>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</si>
  <si>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</si>
  <si>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</si>
  <si>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</si>
  <si>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</si>
  <si>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</si>
  <si>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</si>
  <si>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</si>
  <si>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</si>
  <si>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</si>
  <si>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</si>
  <si>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4901.T owner-FCF component DCF: base case (millions, JPY)</t>
  </si>
  <si>
    <t xml:space="preserve">4901.T owner-FCF component DCF: bull case (millions, JPY)</t>
  </si>
  <si>
    <t xml:space="preserve">4901.T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</si>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</sst>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3503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2460383</v>
      </c>
      <c r="C2" s="0" t="n">
        <v>1491758</v>
      </c>
      <c r="D2" s="0" t="n">
        <v>968625</v>
      </c>
      <c r="E2" s="0" t="n">
        <v>39.4</v>
      </c>
      <c r="F2" s="0" t="n">
        <v>180626</v>
      </c>
      <c r="G2" s="0" t="n">
        <v>7.3</v>
      </c>
      <c r="H2" s="0" t="n">
        <v>305586</v>
      </c>
      <c r="I2" s="0" t="n">
        <v>116402</v>
      </c>
      <c r="J2" s="0" t="n">
        <v>4.7</v>
      </c>
      <c r="K2" s="0" t="n">
        <v>83.067</v>
      </c>
      <c r="L2" s="0" t="n">
        <v>223479</v>
      </c>
      <c r="M2" s="0" t="n">
        <v>86088</v>
      </c>
      <c r="N2" s="0" t="n">
        <v>137391</v>
      </c>
      <c r="O2" s="0" t="n">
        <v>2014826</v>
      </c>
      <c r="P2" s="0" t="n">
        <v>3311970</v>
      </c>
      <c r="Q2" s="0" t="n">
        <v>1079973</v>
      </c>
      <c r="R2" s="0" t="n">
        <v>365693</v>
      </c>
      <c r="S2" s="0" t="n">
        <v>600897</v>
      </c>
      <c r="T2" s="0" t="n">
        <v>1401.3</v>
      </c>
      <c r="V2" s="0" t="n">
        <v>21.667</v>
      </c>
      <c r="AA2" s="0" t="s">
        <v>17</v>
      </c>
      <c r="AB2" s="0" t="s">
        <v>14</v>
      </c>
      <c r="AC2" s="0" t="n">
        <v>83.343</v>
      </c>
      <c r="AD2" s="0" t="n">
        <v>2231997</v>
      </c>
    </row>
    <row r="3" customFormat="false" ht="15" hidden="false" customHeight="false" outlineLevel="0" collapsed="false">
      <c r="A3" s="0" t="s">
        <v>66</v>
      </c>
      <c r="B3" s="0" t="n">
        <v>2322163</v>
      </c>
      <c r="C3" s="0" t="n">
        <v>1391519</v>
      </c>
      <c r="D3" s="0" t="n">
        <v>930644</v>
      </c>
      <c r="E3" s="0" t="n">
        <v>40.1</v>
      </c>
      <c r="F3" s="0" t="n">
        <v>172281</v>
      </c>
      <c r="G3" s="0" t="n">
        <v>7.4</v>
      </c>
      <c r="H3" s="0" t="n">
        <v>289916</v>
      </c>
      <c r="I3" s="0" t="n">
        <v>131506</v>
      </c>
      <c r="J3" s="0" t="n">
        <v>5.7</v>
      </c>
      <c r="K3" s="0" t="n">
        <v>98.407</v>
      </c>
      <c r="L3" s="0" t="n">
        <v>288619</v>
      </c>
      <c r="M3" s="0" t="n">
        <v>96965</v>
      </c>
      <c r="N3" s="0" t="n">
        <v>191654</v>
      </c>
      <c r="O3" s="0" t="n">
        <v>2043559</v>
      </c>
      <c r="P3" s="0" t="n">
        <v>3533189</v>
      </c>
      <c r="Q3" s="0" t="n">
        <v>1265131</v>
      </c>
      <c r="R3" s="0" t="n">
        <v>558842</v>
      </c>
      <c r="S3" s="0" t="n">
        <v>875958</v>
      </c>
      <c r="T3" s="0" t="n">
        <v>1336.4</v>
      </c>
      <c r="V3" s="0" t="n">
        <v>23.333</v>
      </c>
      <c r="AA3" s="0" t="s">
        <v>17</v>
      </c>
      <c r="AB3" s="0" t="s">
        <v>14</v>
      </c>
      <c r="AC3" s="0" t="n">
        <v>98.757</v>
      </c>
      <c r="AD3" s="0" t="n">
        <v>2268058</v>
      </c>
    </row>
    <row r="4" customFormat="false" ht="15" hidden="false" customHeight="false" outlineLevel="0" collapsed="false">
      <c r="A4" s="0" t="s">
        <v>67</v>
      </c>
      <c r="B4" s="0" t="n">
        <v>2433365</v>
      </c>
      <c r="C4" s="0" t="n">
        <v>1463354</v>
      </c>
      <c r="D4" s="0" t="n">
        <v>970011</v>
      </c>
      <c r="E4" s="0" t="n">
        <v>39.9</v>
      </c>
      <c r="F4" s="0" t="n">
        <v>130679</v>
      </c>
      <c r="G4" s="0" t="n">
        <v>5.4</v>
      </c>
      <c r="H4" s="0" t="n">
        <v>258321</v>
      </c>
      <c r="I4" s="0" t="n">
        <v>140694</v>
      </c>
      <c r="J4" s="0" t="n">
        <v>5.8</v>
      </c>
      <c r="K4" s="0" t="n">
        <v>107.183</v>
      </c>
      <c r="L4" s="0" t="n">
        <v>261152</v>
      </c>
      <c r="M4" s="0" t="n">
        <v>81584</v>
      </c>
      <c r="N4" s="0" t="n">
        <v>179568</v>
      </c>
      <c r="O4" s="0" t="n">
        <v>2079134</v>
      </c>
      <c r="P4" s="0" t="n">
        <v>3492940</v>
      </c>
      <c r="Q4" s="0" t="n">
        <v>1194234</v>
      </c>
      <c r="R4" s="0" t="n">
        <v>454178</v>
      </c>
      <c r="S4" s="0" t="n">
        <v>768246</v>
      </c>
      <c r="T4" s="0" t="n">
        <v>1312.6</v>
      </c>
      <c r="V4" s="0" t="n">
        <v>25</v>
      </c>
      <c r="AA4" s="0" t="s">
        <v>17</v>
      </c>
      <c r="AB4" s="0" t="s">
        <v>14</v>
      </c>
      <c r="AC4" s="0" t="n">
        <v>107.54</v>
      </c>
      <c r="AD4" s="0" t="n">
        <v>2298706</v>
      </c>
    </row>
    <row r="5" customFormat="false" ht="15" hidden="false" customHeight="false" outlineLevel="0" collapsed="false">
      <c r="A5" s="0" t="s">
        <v>68</v>
      </c>
      <c r="B5" s="0" t="n">
        <v>2431489</v>
      </c>
      <c r="C5" s="0" t="n">
        <v>1433973</v>
      </c>
      <c r="D5" s="0" t="n">
        <v>997516</v>
      </c>
      <c r="E5" s="0" t="n">
        <v>41</v>
      </c>
      <c r="F5" s="0" t="n">
        <v>209827</v>
      </c>
      <c r="G5" s="0" t="n">
        <v>8.6</v>
      </c>
      <c r="H5" s="0" t="n">
        <v>339759</v>
      </c>
      <c r="I5" s="0" t="n">
        <v>138106</v>
      </c>
      <c r="J5" s="0" t="n">
        <v>5.7</v>
      </c>
      <c r="K5" s="0" t="n">
        <v>108.607</v>
      </c>
      <c r="L5" s="0" t="n">
        <v>249343</v>
      </c>
      <c r="M5" s="0" t="n">
        <v>89020</v>
      </c>
      <c r="N5" s="0" t="n">
        <v>160323</v>
      </c>
      <c r="O5" s="0" t="n">
        <v>2036963</v>
      </c>
      <c r="P5" s="0" t="n">
        <v>3414692</v>
      </c>
      <c r="Q5" s="0" t="n">
        <v>1169851</v>
      </c>
      <c r="R5" s="0" t="n">
        <v>524112</v>
      </c>
      <c r="S5" s="0" t="n">
        <v>654747</v>
      </c>
      <c r="T5" s="0" t="n">
        <v>1271.6</v>
      </c>
      <c r="V5" s="0" t="n">
        <v>26.667</v>
      </c>
      <c r="AA5" s="0" t="s">
        <v>17</v>
      </c>
      <c r="AB5" s="0" t="s">
        <v>14</v>
      </c>
      <c r="AC5" s="0" t="n">
        <v>108.937</v>
      </c>
      <c r="AD5" s="0" t="n">
        <v>2244841</v>
      </c>
    </row>
    <row r="6" customFormat="false" ht="15" hidden="false" customHeight="false" outlineLevel="0" collapsed="false">
      <c r="A6" s="0" t="s">
        <v>69</v>
      </c>
      <c r="B6" s="0" t="n">
        <v>2315141</v>
      </c>
      <c r="C6" s="0" t="n">
        <v>1360648</v>
      </c>
      <c r="D6" s="0" t="n">
        <v>954493</v>
      </c>
      <c r="E6" s="0" t="n">
        <v>41.2</v>
      </c>
      <c r="F6" s="0" t="n">
        <v>186570</v>
      </c>
      <c r="G6" s="0" t="n">
        <v>8.1</v>
      </c>
      <c r="H6" s="0" t="n">
        <v>309223</v>
      </c>
      <c r="I6" s="0" t="n">
        <v>124987</v>
      </c>
      <c r="J6" s="0" t="n">
        <v>5.4</v>
      </c>
      <c r="K6" s="0" t="n">
        <v>101.74</v>
      </c>
      <c r="L6" s="0" t="n">
        <v>255667</v>
      </c>
      <c r="M6" s="0" t="n">
        <v>109724</v>
      </c>
      <c r="N6" s="0" t="n">
        <v>145943</v>
      </c>
      <c r="O6" s="0" t="n">
        <v>1953252</v>
      </c>
      <c r="P6" s="0" t="n">
        <v>3321692</v>
      </c>
      <c r="Q6" s="0" t="n">
        <v>1327935</v>
      </c>
      <c r="R6" s="0" t="n">
        <v>624169</v>
      </c>
      <c r="S6" s="0" t="n">
        <v>396091</v>
      </c>
      <c r="T6" s="0" t="n">
        <v>1228.5</v>
      </c>
      <c r="V6" s="0" t="n">
        <v>31.667</v>
      </c>
      <c r="AA6" s="0" t="s">
        <v>17</v>
      </c>
      <c r="AB6" s="0" t="s">
        <v>14</v>
      </c>
      <c r="AC6" s="0" t="n">
        <v>102.06</v>
      </c>
      <c r="AD6" s="0" t="n">
        <v>1993757</v>
      </c>
    </row>
    <row r="7" customFormat="false" ht="15" hidden="false" customHeight="false" outlineLevel="0" collapsed="false">
      <c r="A7" s="0" t="s">
        <v>70</v>
      </c>
      <c r="B7" s="0" t="n">
        <v>2192519</v>
      </c>
      <c r="C7" s="0" t="n">
        <v>1322828</v>
      </c>
      <c r="D7" s="0" t="n">
        <v>869691</v>
      </c>
      <c r="E7" s="0" t="n">
        <v>39.7</v>
      </c>
      <c r="F7" s="0" t="n">
        <v>165473</v>
      </c>
      <c r="G7" s="0" t="n">
        <v>7.5</v>
      </c>
      <c r="H7" s="0" t="n">
        <v>288896</v>
      </c>
      <c r="I7" s="0" t="n">
        <v>181205</v>
      </c>
      <c r="J7" s="0" t="n">
        <v>8.3</v>
      </c>
      <c r="K7" s="0" t="n">
        <v>150.583</v>
      </c>
      <c r="L7" s="0" t="n">
        <v>420861</v>
      </c>
      <c r="M7" s="0" t="n">
        <v>125607</v>
      </c>
      <c r="N7" s="0" t="n">
        <v>295254</v>
      </c>
      <c r="O7" s="0" t="n">
        <v>2204566</v>
      </c>
      <c r="P7" s="0" t="n">
        <v>3549203</v>
      </c>
      <c r="Q7" s="0" t="n">
        <v>1327046</v>
      </c>
      <c r="R7" s="0" t="n">
        <v>503080</v>
      </c>
      <c r="S7" s="0" t="n">
        <v>394795</v>
      </c>
      <c r="T7" s="0" t="n">
        <v>1203.4</v>
      </c>
      <c r="V7" s="0" t="n">
        <v>33.333</v>
      </c>
      <c r="AA7" s="0" t="s">
        <v>17</v>
      </c>
      <c r="AB7" s="0" t="s">
        <v>14</v>
      </c>
      <c r="AC7" s="0" t="n">
        <v>151.093</v>
      </c>
      <c r="AD7" s="0" t="n">
        <v>2222157</v>
      </c>
    </row>
    <row r="8" customFormat="false" ht="15" hidden="false" customHeight="false" outlineLevel="0" collapsed="false">
      <c r="A8" s="0" t="s">
        <v>71</v>
      </c>
      <c r="B8" s="0" t="n">
        <v>2525773</v>
      </c>
      <c r="C8" s="0" t="n">
        <v>1492549</v>
      </c>
      <c r="D8" s="0" t="n">
        <v>1033224</v>
      </c>
      <c r="E8" s="0" t="n">
        <v>40.9</v>
      </c>
      <c r="F8" s="0" t="n">
        <v>229702</v>
      </c>
      <c r="G8" s="0" t="n">
        <v>9.1</v>
      </c>
      <c r="H8" s="0" t="n">
        <v>362701</v>
      </c>
      <c r="I8" s="0" t="n">
        <v>211180</v>
      </c>
      <c r="J8" s="0" t="n">
        <v>8.4</v>
      </c>
      <c r="K8" s="0" t="n">
        <v>175.37</v>
      </c>
      <c r="L8" s="0" t="n">
        <v>323934</v>
      </c>
      <c r="M8" s="0" t="n">
        <v>165907</v>
      </c>
      <c r="N8" s="0" t="n">
        <v>158027</v>
      </c>
      <c r="O8" s="0" t="n">
        <v>2502657</v>
      </c>
      <c r="P8" s="0" t="n">
        <v>3955280</v>
      </c>
      <c r="Q8" s="0" t="n">
        <v>1430340</v>
      </c>
      <c r="R8" s="0" t="n">
        <v>447196</v>
      </c>
      <c r="S8" s="0" t="n">
        <v>486328</v>
      </c>
      <c r="T8" s="0" t="n">
        <v>1204.2</v>
      </c>
      <c r="V8" s="0" t="n">
        <v>36.667</v>
      </c>
      <c r="AA8" s="0" t="s">
        <v>17</v>
      </c>
      <c r="AB8" s="0" t="s">
        <v>14</v>
      </c>
      <c r="AC8" s="0" t="n">
        <v>175.777</v>
      </c>
      <c r="AD8" s="0" t="n">
        <v>2524940</v>
      </c>
    </row>
    <row r="9" customFormat="false" ht="15" hidden="false" customHeight="false" outlineLevel="0" collapsed="false">
      <c r="A9" s="0" t="s">
        <v>72</v>
      </c>
      <c r="B9" s="0" t="n">
        <v>2859041</v>
      </c>
      <c r="C9" s="0" t="n">
        <v>1721113</v>
      </c>
      <c r="D9" s="0" t="n">
        <v>1137928</v>
      </c>
      <c r="E9" s="0" t="n">
        <v>39.8</v>
      </c>
      <c r="F9" s="0" t="n">
        <v>273079</v>
      </c>
      <c r="G9" s="0" t="n">
        <v>9.6</v>
      </c>
      <c r="H9" s="0" t="n">
        <v>415294</v>
      </c>
      <c r="I9" s="0" t="n">
        <v>219422</v>
      </c>
      <c r="J9" s="0" t="n">
        <v>7.7</v>
      </c>
      <c r="K9" s="0" t="n">
        <v>182.137</v>
      </c>
      <c r="L9" s="0" t="n">
        <v>210452</v>
      </c>
      <c r="M9" s="0" t="n">
        <v>323472</v>
      </c>
      <c r="N9" s="0" t="n">
        <v>-113020</v>
      </c>
      <c r="O9" s="0" t="n">
        <v>2763145</v>
      </c>
      <c r="P9" s="0" t="n">
        <v>4134311</v>
      </c>
      <c r="Q9" s="0" t="n">
        <v>1346451</v>
      </c>
      <c r="R9" s="0" t="n">
        <v>376153</v>
      </c>
      <c r="S9" s="0" t="n">
        <v>268608</v>
      </c>
      <c r="T9" s="0" t="n">
        <v>1204.7</v>
      </c>
      <c r="V9" s="0" t="n">
        <v>43.333</v>
      </c>
      <c r="AA9" s="0" t="s">
        <v>17</v>
      </c>
      <c r="AB9" s="0" t="s">
        <v>14</v>
      </c>
      <c r="AC9" s="0" t="n">
        <v>182.403</v>
      </c>
      <c r="AD9" s="0" t="n">
        <v>2787860</v>
      </c>
    </row>
    <row r="10" customFormat="false" ht="15" hidden="false" customHeight="false" outlineLevel="0" collapsed="false">
      <c r="A10" s="0" t="s">
        <v>73</v>
      </c>
      <c r="B10" s="0" t="n">
        <v>2960916</v>
      </c>
      <c r="C10" s="0" t="n">
        <v>1774656</v>
      </c>
      <c r="D10" s="0" t="n">
        <v>1186260</v>
      </c>
      <c r="E10" s="0" t="n">
        <v>40.1</v>
      </c>
      <c r="F10" s="0" t="n">
        <v>276725</v>
      </c>
      <c r="G10" s="0" t="n">
        <v>9.3</v>
      </c>
      <c r="H10" s="0" t="n">
        <v>426739</v>
      </c>
      <c r="I10" s="0" t="n">
        <v>243509</v>
      </c>
      <c r="J10" s="0" t="n">
        <v>8.2</v>
      </c>
      <c r="K10" s="0" t="n">
        <v>202.05</v>
      </c>
      <c r="L10" s="0" t="n">
        <v>407941</v>
      </c>
      <c r="M10" s="0" t="n">
        <v>464712</v>
      </c>
      <c r="N10" s="0" t="n">
        <v>-56771</v>
      </c>
      <c r="O10" s="0" t="n">
        <v>3169247</v>
      </c>
      <c r="P10" s="0" t="n">
        <v>4783460</v>
      </c>
      <c r="Q10" s="0" t="n">
        <v>1610145</v>
      </c>
      <c r="R10" s="0" t="n">
        <v>502819</v>
      </c>
      <c r="S10" s="0" t="n">
        <v>179715</v>
      </c>
      <c r="T10" s="0" t="n">
        <v>1205.2</v>
      </c>
      <c r="V10" s="0" t="n">
        <v>50</v>
      </c>
      <c r="AA10" s="0" t="s">
        <v>17</v>
      </c>
      <c r="AB10" s="0" t="s">
        <v>14</v>
      </c>
      <c r="AC10" s="0" t="n">
        <v>202.29</v>
      </c>
      <c r="AD10" s="0" t="n">
        <v>3173315</v>
      </c>
    </row>
    <row r="11" customFormat="false" ht="15" hidden="false" customHeight="false" outlineLevel="0" collapsed="false">
      <c r="A11" s="0" t="s">
        <v>74</v>
      </c>
      <c r="B11" s="0" t="n">
        <v>3195828</v>
      </c>
      <c r="C11" s="0" t="n">
        <v>1895749</v>
      </c>
      <c r="D11" s="0" t="n">
        <v>1300079</v>
      </c>
      <c r="E11" s="0" t="n">
        <v>40.7</v>
      </c>
      <c r="F11" s="0" t="n">
        <v>330155</v>
      </c>
      <c r="G11" s="0" t="n">
        <v>10.3</v>
      </c>
      <c r="H11" s="0" t="n">
        <v>493722</v>
      </c>
      <c r="I11" s="0" t="n">
        <v>260951</v>
      </c>
      <c r="J11" s="0" t="n">
        <v>8.2</v>
      </c>
      <c r="K11" s="0" t="n">
        <v>216.46</v>
      </c>
      <c r="L11" s="0" t="n">
        <v>428162</v>
      </c>
      <c r="M11" s="0" t="n">
        <v>558005</v>
      </c>
      <c r="N11" s="0" t="n">
        <v>-129843</v>
      </c>
      <c r="O11" s="0" t="n">
        <v>3348480</v>
      </c>
      <c r="P11" s="0" t="n">
        <v>5249908</v>
      </c>
      <c r="Q11" s="0" t="n">
        <v>1897226</v>
      </c>
      <c r="R11" s="0" t="n">
        <v>685908</v>
      </c>
      <c r="S11" s="0" t="n">
        <v>172111</v>
      </c>
      <c r="T11" s="0" t="n">
        <v>1205.5</v>
      </c>
      <c r="V11" s="0" t="n">
        <v>65</v>
      </c>
      <c r="AA11" s="0" t="s">
        <v>17</v>
      </c>
      <c r="AB11" s="0" t="s">
        <v>14</v>
      </c>
      <c r="AC11" s="0" t="n">
        <v>216.67</v>
      </c>
      <c r="AD11" s="0" t="n">
        <v>3352682</v>
      </c>
    </row>
    <row r="12" customFormat="false" ht="15" hidden="false" customHeight="false" outlineLevel="0" collapsed="false">
      <c r="A12" s="0" t="s">
        <v>75</v>
      </c>
      <c r="B12" s="0" t="n">
        <v>3356969</v>
      </c>
      <c r="C12" s="0" t="n">
        <v>1987457</v>
      </c>
      <c r="D12" s="0" t="n">
        <v>1369512</v>
      </c>
      <c r="E12" s="0" t="n">
        <v>40.8</v>
      </c>
      <c r="F12" s="0" t="n">
        <v>350210</v>
      </c>
      <c r="G12" s="0" t="n">
        <v>10.4</v>
      </c>
      <c r="H12" s="0" t="n">
        <v>522581</v>
      </c>
      <c r="I12" s="0" t="n">
        <v>276735</v>
      </c>
      <c r="J12" s="0" t="n">
        <v>8.2</v>
      </c>
      <c r="K12" s="0" t="n">
        <v>229.45</v>
      </c>
      <c r="L12" s="0" t="n">
        <v>410555</v>
      </c>
      <c r="M12" s="0" t="n">
        <v>570566</v>
      </c>
      <c r="N12" s="0" t="n">
        <v>-160011</v>
      </c>
      <c r="O12" s="0" t="n">
        <v>3839550</v>
      </c>
      <c r="P12" s="0" t="n">
        <v>6053776</v>
      </c>
      <c r="Q12" s="0" t="n">
        <v>2209391</v>
      </c>
      <c r="R12" s="0" t="n">
        <v>894947</v>
      </c>
      <c r="S12" s="0" t="n">
        <v>170553</v>
      </c>
      <c r="T12" s="0" t="n">
        <v>1206.1</v>
      </c>
      <c r="V12" s="0" t="n">
        <v>70</v>
      </c>
      <c r="AA12" s="0" t="s">
        <v>17</v>
      </c>
      <c r="AB12" s="0" t="s">
        <v>14</v>
      </c>
      <c r="AC12" s="0" t="n">
        <v>229.65</v>
      </c>
      <c r="AD12" s="0" t="n">
        <v>3844385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3503</v>
      </c>
    </row>
    <row r="3" customFormat="false" ht="15" hidden="false" customHeight="false" outlineLevel="0" collapsed="false">
      <c r="A3" s="0" t="s">
        <v>79</v>
      </c>
      <c r="B3" s="3" t="n">
        <v>1196.6</v>
      </c>
    </row>
    <row r="4" customFormat="false" ht="15" hidden="false" customHeight="false" outlineLevel="0" collapsed="false">
      <c r="A4" s="0" t="s">
        <v>80</v>
      </c>
      <c r="B4" s="3" t="n">
        <v>824951</v>
      </c>
    </row>
    <row r="5" customFormat="false" ht="15" hidden="false" customHeight="false" outlineLevel="0" collapsed="false">
      <c r="A5" s="0" t="s">
        <v>81</v>
      </c>
      <c r="B5" s="3" t="n">
        <v>76224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3356969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4</v>
      </c>
      <c r="D13" s="3" t="n">
        <v>2.5</v>
      </c>
      <c r="E13" s="3" t="n">
        <v>2</v>
      </c>
      <c r="F13" s="3" t="n">
        <v>2</v>
      </c>
      <c r="G13" s="3" t="n">
        <v>1.5</v>
      </c>
      <c r="H13" s="3" t="n">
        <v>1.5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15.5</v>
      </c>
      <c r="D14" s="3" t="n">
        <v>15.3</v>
      </c>
      <c r="E14" s="3" t="n">
        <v>15.2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5.9</v>
      </c>
      <c r="D17" s="3" t="n">
        <v>6.3</v>
      </c>
      <c r="E17" s="3" t="n">
        <v>6.7</v>
      </c>
      <c r="F17" s="3" t="n">
        <v>6.9</v>
      </c>
      <c r="G17" s="3" t="n">
        <v>7</v>
      </c>
      <c r="H17" s="3" t="n">
        <v>7</v>
      </c>
      <c r="I17" s="3" t="n">
        <v>7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104</v>
      </c>
      <c r="C18" s="3" t="n">
        <v>11.5</v>
      </c>
      <c r="D18" s="3" t="n">
        <v>11</v>
      </c>
      <c r="E18" s="3" t="n">
        <v>10</v>
      </c>
      <c r="F18" s="3" t="n">
        <v>9</v>
      </c>
      <c r="G18" s="3" t="n">
        <v>8.5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105</v>
      </c>
      <c r="C19" s="3" t="n">
        <v>25</v>
      </c>
      <c r="D19" s="3" t="n">
        <v>25.5</v>
      </c>
      <c r="E19" s="3" t="n">
        <v>26</v>
      </c>
      <c r="F19" s="3" t="n">
        <v>26.5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106</v>
      </c>
      <c r="B20" s="3" t="n">
        <v>6.5</v>
      </c>
    </row>
    <row r="21" customFormat="false" ht="15" hidden="false" customHeight="false" outlineLevel="0" collapsed="false">
      <c r="A21" s="0" t="s">
        <v>107</v>
      </c>
      <c r="B21" s="3" t="n">
        <v>1.5</v>
      </c>
    </row>
    <row r="22" customFormat="false" ht="15" hidden="false" customHeight="false" outlineLevel="0" collapsed="false">
      <c r="A22" s="0" t="s">
        <v>108</v>
      </c>
      <c r="B22" s="3" t="n">
        <v>15</v>
      </c>
    </row>
    <row r="23" customFormat="false" ht="15" hidden="false" customHeight="false" outlineLevel="0" collapsed="false">
      <c r="A23" s="0" t="s">
        <v>109</v>
      </c>
      <c r="B23" s="3" t="n">
        <v>-10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100</v>
      </c>
      <c r="C28" s="3" t="n">
        <v>16.2</v>
      </c>
      <c r="D28" s="3" t="n">
        <v>16.8</v>
      </c>
      <c r="E28" s="3" t="n">
        <v>17.4</v>
      </c>
      <c r="F28" s="3" t="n">
        <v>17.9</v>
      </c>
      <c r="G28" s="3" t="n">
        <v>18.2</v>
      </c>
      <c r="H28" s="3" t="n">
        <v>18.4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5.9</v>
      </c>
      <c r="D31" s="3" t="n">
        <v>6.2</v>
      </c>
      <c r="E31" s="3" t="n">
        <v>6.5</v>
      </c>
      <c r="F31" s="3" t="n">
        <v>6.6</v>
      </c>
      <c r="G31" s="3" t="n">
        <v>6.6</v>
      </c>
      <c r="H31" s="3" t="n">
        <v>6.6</v>
      </c>
      <c r="I31" s="3" t="n">
        <v>6.5</v>
      </c>
      <c r="J31" s="3" t="n">
        <v>6.5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104</v>
      </c>
      <c r="C32" s="3" t="n">
        <v>11.3</v>
      </c>
      <c r="D32" s="3" t="n">
        <v>9.5</v>
      </c>
      <c r="E32" s="3" t="n">
        <v>8.5</v>
      </c>
      <c r="F32" s="3" t="n">
        <v>7.8</v>
      </c>
      <c r="G32" s="3" t="n">
        <v>7.3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105</v>
      </c>
      <c r="C33" s="3" t="n">
        <v>25</v>
      </c>
      <c r="D33" s="3" t="n">
        <v>25.5</v>
      </c>
      <c r="E33" s="3" t="n">
        <v>26</v>
      </c>
      <c r="F33" s="3" t="n">
        <v>26.5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106</v>
      </c>
      <c r="B34" s="3" t="n">
        <v>6.5</v>
      </c>
    </row>
    <row r="35" customFormat="false" ht="15" hidden="false" customHeight="false" outlineLevel="0" collapsed="false">
      <c r="A35" s="0" t="s">
        <v>107</v>
      </c>
      <c r="B35" s="3" t="n">
        <v>1.5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-10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7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100</v>
      </c>
      <c r="C42" s="3" t="n">
        <v>16.5</v>
      </c>
      <c r="D42" s="3" t="n">
        <v>17.5</v>
      </c>
      <c r="E42" s="3" t="n">
        <v>18.5</v>
      </c>
      <c r="F42" s="3" t="n">
        <v>19.3</v>
      </c>
      <c r="G42" s="3" t="n">
        <v>20</v>
      </c>
      <c r="H42" s="3" t="n">
        <v>20.5</v>
      </c>
      <c r="I42" s="3" t="n">
        <v>20.5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5.9</v>
      </c>
      <c r="D45" s="3" t="n">
        <v>6.2</v>
      </c>
      <c r="E45" s="3" t="n">
        <v>6.4</v>
      </c>
      <c r="F45" s="3" t="n">
        <v>6.5</v>
      </c>
      <c r="G45" s="3" t="n">
        <v>6.5</v>
      </c>
      <c r="H45" s="3" t="n">
        <v>6.5</v>
      </c>
      <c r="I45" s="3" t="n">
        <v>6.4</v>
      </c>
      <c r="J45" s="3" t="n">
        <v>6.4</v>
      </c>
      <c r="K45" s="3" t="n">
        <v>6.4</v>
      </c>
      <c r="L45" s="3" t="n">
        <v>6.4</v>
      </c>
    </row>
    <row r="46" customFormat="false" ht="15" hidden="false" customHeight="false" outlineLevel="0" collapsed="false">
      <c r="A46" s="0" t="s">
        <v>104</v>
      </c>
      <c r="C46" s="3" t="n">
        <v>11</v>
      </c>
      <c r="D46" s="3" t="n">
        <v>8.5</v>
      </c>
      <c r="E46" s="3" t="n">
        <v>7.5</v>
      </c>
      <c r="F46" s="3" t="n">
        <v>7</v>
      </c>
      <c r="G46" s="3" t="n">
        <v>6.8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105</v>
      </c>
      <c r="C47" s="3" t="n">
        <v>25</v>
      </c>
      <c r="D47" s="3" t="n">
        <v>25.5</v>
      </c>
      <c r="E47" s="3" t="n">
        <v>26</v>
      </c>
      <c r="F47" s="3" t="n">
        <v>26.5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106</v>
      </c>
      <c r="B48" s="3" t="n">
        <v>6.5</v>
      </c>
    </row>
    <row r="49" customFormat="false" ht="15" hidden="false" customHeight="false" outlineLevel="0" collapsed="false">
      <c r="A49" s="0" t="s">
        <v>107</v>
      </c>
      <c r="B49" s="3" t="n">
        <v>1.5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-10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4</v>
      </c>
      <c r="D5" s="4" t="n">
        <f aca="false">Assumptions!D13</f>
        <v>2.5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3356969</v>
      </c>
      <c r="C6" s="0" t="n">
        <f aca="false">B6*(1+C5/100)</f>
        <v>3491247.76</v>
      </c>
      <c r="D6" s="0" t="n">
        <f aca="false">C6*(1+D5/100)</f>
        <v>3578528.954</v>
      </c>
      <c r="E6" s="0" t="n">
        <f aca="false">D6*(1+E5/100)</f>
        <v>3650099.53308</v>
      </c>
      <c r="F6" s="0" t="n">
        <f aca="false">E6*(1+F5/100)</f>
        <v>3723101.5237416</v>
      </c>
      <c r="G6" s="0" t="n">
        <f aca="false">F6*(1+G5/100)</f>
        <v>3778948.04659772</v>
      </c>
      <c r="H6" s="0" t="n">
        <f aca="false">G6*(1+H5/100)</f>
        <v>3835632.26729669</v>
      </c>
      <c r="I6" s="0" t="n">
        <f aca="false">H6*(1+I5/100)</f>
        <v>3873988.58996966</v>
      </c>
      <c r="J6" s="0" t="n">
        <f aca="false">I6*(1+J5/100)</f>
        <v>3912728.47586935</v>
      </c>
      <c r="K6" s="0" t="n">
        <f aca="false">J6*(1+K5/100)</f>
        <v>3951855.76062805</v>
      </c>
      <c r="L6" s="0" t="n">
        <f aca="false">K6*(1+L5/100)</f>
        <v>3991374.31823433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15.5</v>
      </c>
      <c r="D7" s="4" t="n">
        <f aca="false">Assumptions!D14</f>
        <v>15.3</v>
      </c>
      <c r="E7" s="4" t="n">
        <f aca="false">Assumptions!E14</f>
        <v>15.2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541143.4028</v>
      </c>
      <c r="D8" s="0" t="n">
        <f aca="false">D6*D7/100</f>
        <v>547514.929962</v>
      </c>
      <c r="E8" s="0" t="n">
        <f aca="false">E6*E7/100</f>
        <v>554815.12902816</v>
      </c>
      <c r="F8" s="0" t="n">
        <f aca="false">F6*F7/100</f>
        <v>558465.22856124</v>
      </c>
      <c r="G8" s="0" t="n">
        <f aca="false">G6*G7/100</f>
        <v>566842.206989659</v>
      </c>
      <c r="H8" s="0" t="n">
        <f aca="false">H6*H7/100</f>
        <v>575344.840094504</v>
      </c>
      <c r="I8" s="0" t="n">
        <f aca="false">I6*I7/100</f>
        <v>581098.288495448</v>
      </c>
      <c r="J8" s="0" t="n">
        <f aca="false">J6*J7/100</f>
        <v>586909.271380403</v>
      </c>
      <c r="K8" s="0" t="n">
        <f aca="false">K6*K7/100</f>
        <v>592778.364094207</v>
      </c>
      <c r="L8" s="0" t="n">
        <f aca="false">L6*L7/100</f>
        <v>598706.147735149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541143.4028</v>
      </c>
      <c r="D11" s="0" t="n">
        <f aca="false">D8+D10+D24</f>
        <v>547514.929962</v>
      </c>
      <c r="E11" s="0" t="n">
        <f aca="false">E8+E10+E24</f>
        <v>554815.12902816</v>
      </c>
      <c r="F11" s="0" t="n">
        <f aca="false">F8+F10+F24</f>
        <v>558465.22856124</v>
      </c>
      <c r="G11" s="0" t="n">
        <f aca="false">G8+G10+G24</f>
        <v>566842.206989659</v>
      </c>
      <c r="H11" s="0" t="n">
        <f aca="false">H8+H10+H24</f>
        <v>575344.840094504</v>
      </c>
      <c r="I11" s="0" t="n">
        <f aca="false">I8+I10+I24</f>
        <v>581098.288495448</v>
      </c>
      <c r="J11" s="0" t="n">
        <f aca="false">J8+J10+J24</f>
        <v>586909.271380403</v>
      </c>
      <c r="K11" s="0" t="n">
        <f aca="false">K8+K10+K24</f>
        <v>592778.364094207</v>
      </c>
      <c r="L11" s="0" t="n">
        <f aca="false">L8+L10+L24</f>
        <v>598706.147735149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-205983.61784</v>
      </c>
      <c r="D12" s="4" t="n">
        <f aca="false">-D6*Assumptions!D17/100</f>
        <v>-225447.324102</v>
      </c>
      <c r="E12" s="4" t="n">
        <f aca="false">-E6*Assumptions!E17/100</f>
        <v>-244556.66871636</v>
      </c>
      <c r="F12" s="4" t="n">
        <f aca="false">-F6*Assumptions!F17/100</f>
        <v>-256894.00513817</v>
      </c>
      <c r="G12" s="4" t="n">
        <f aca="false">-G6*Assumptions!G17/100</f>
        <v>-264526.363261841</v>
      </c>
      <c r="H12" s="4" t="n">
        <f aca="false">-H6*Assumptions!H17/100</f>
        <v>-268494.258710768</v>
      </c>
      <c r="I12" s="4" t="n">
        <f aca="false">-I6*Assumptions!I17/100</f>
        <v>-271179.201297876</v>
      </c>
      <c r="J12" s="4" t="n">
        <f aca="false">-J6*Assumptions!J17/100</f>
        <v>-273890.993310855</v>
      </c>
      <c r="K12" s="4" t="n">
        <f aca="false">-K6*Assumptions!K17/100</f>
        <v>-276629.903243963</v>
      </c>
      <c r="L12" s="4" t="n">
        <f aca="false">-L6*Assumptions!L17/100</f>
        <v>-279396.202276403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335159.78496</v>
      </c>
      <c r="D13" s="0" t="n">
        <f aca="false">D11+D12</f>
        <v>322067.60586</v>
      </c>
      <c r="E13" s="0" t="n">
        <f aca="false">E11+E12</f>
        <v>310258.4603118</v>
      </c>
      <c r="F13" s="0" t="n">
        <f aca="false">F11+F12</f>
        <v>301571.22342307</v>
      </c>
      <c r="G13" s="0" t="n">
        <f aca="false">G11+G12</f>
        <v>302315.843727818</v>
      </c>
      <c r="H13" s="0" t="n">
        <f aca="false">H11+H12</f>
        <v>306850.581383735</v>
      </c>
      <c r="I13" s="0" t="n">
        <f aca="false">I11+I12</f>
        <v>309919.087197572</v>
      </c>
      <c r="J13" s="0" t="n">
        <f aca="false">J11+J12</f>
        <v>313018.278069548</v>
      </c>
      <c r="K13" s="0" t="n">
        <f aca="false">K11+K12</f>
        <v>316148.460850244</v>
      </c>
      <c r="L13" s="0" t="n">
        <f aca="false">L11+L12</f>
        <v>319309.945458746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25</v>
      </c>
      <c r="D14" s="4" t="n">
        <f aca="false">Assumptions!D19</f>
        <v>25.5</v>
      </c>
      <c r="E14" s="4" t="n">
        <f aca="false">Assumptions!E19</f>
        <v>26</v>
      </c>
      <c r="F14" s="4" t="n">
        <f aca="false">Assumptions!F19</f>
        <v>26.5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251369.83872</v>
      </c>
      <c r="D15" s="0" t="n">
        <f aca="false">D13-MAX(0,D13)*D14/100</f>
        <v>239940.3663657</v>
      </c>
      <c r="E15" s="0" t="n">
        <f aca="false">E13-MAX(0,E13)*E14/100</f>
        <v>229591.260630732</v>
      </c>
      <c r="F15" s="0" t="n">
        <f aca="false">F13-MAX(0,F13)*F14/100</f>
        <v>221654.849215956</v>
      </c>
      <c r="G15" s="0" t="n">
        <f aca="false">G13-MAX(0,G13)*G14/100</f>
        <v>220690.565921307</v>
      </c>
      <c r="H15" s="0" t="n">
        <f aca="false">H13-MAX(0,H13)*H14/100</f>
        <v>224000.924410127</v>
      </c>
      <c r="I15" s="0" t="n">
        <f aca="false">I13-MAX(0,I13)*I14/100</f>
        <v>226240.933654228</v>
      </c>
      <c r="J15" s="0" t="n">
        <f aca="false">J13-MAX(0,J13)*J14/100</f>
        <v>228503.34299077</v>
      </c>
      <c r="K15" s="0" t="n">
        <f aca="false">K13-MAX(0,K13)*K14/100</f>
        <v>230788.376420678</v>
      </c>
      <c r="L15" s="0" t="n">
        <f aca="false">L13-MAX(0,L13)*L14/100</f>
        <v>233096.260184885</v>
      </c>
    </row>
    <row r="16" customFormat="false" ht="15" hidden="false" customHeight="false" outlineLevel="0" collapsed="false">
      <c r="A16" s="0" t="s">
        <v>121</v>
      </c>
      <c r="C16" s="0" t="n">
        <f aca="false">-C12</f>
        <v>205983.61784</v>
      </c>
      <c r="D16" s="0" t="n">
        <f aca="false">-D12</f>
        <v>225447.324102</v>
      </c>
      <c r="E16" s="0" t="n">
        <f aca="false">-E12</f>
        <v>244556.66871636</v>
      </c>
      <c r="F16" s="0" t="n">
        <f aca="false">-F12</f>
        <v>256894.00513817</v>
      </c>
      <c r="G16" s="0" t="n">
        <f aca="false">-G12</f>
        <v>264526.363261841</v>
      </c>
      <c r="H16" s="0" t="n">
        <f aca="false">-H12</f>
        <v>268494.258710768</v>
      </c>
      <c r="I16" s="0" t="n">
        <f aca="false">-I12</f>
        <v>271179.201297876</v>
      </c>
      <c r="J16" s="0" t="n">
        <f aca="false">-J12</f>
        <v>273890.993310855</v>
      </c>
      <c r="K16" s="0" t="n">
        <f aca="false">-K12</f>
        <v>276629.903243963</v>
      </c>
      <c r="L16" s="0" t="n">
        <f aca="false">-L12</f>
        <v>279396.202276403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-401493.4924</v>
      </c>
      <c r="D17" s="4" t="n">
        <f aca="false">-D6*Assumptions!D18/100</f>
        <v>-393638.18494</v>
      </c>
      <c r="E17" s="4" t="n">
        <f aca="false">-E6*Assumptions!E18/100</f>
        <v>-365009.953308</v>
      </c>
      <c r="F17" s="4" t="n">
        <f aca="false">-F6*Assumptions!F18/100</f>
        <v>-335079.137136744</v>
      </c>
      <c r="G17" s="4" t="n">
        <f aca="false">-G6*Assumptions!G18/100</f>
        <v>-321210.583960807</v>
      </c>
      <c r="H17" s="4" t="n">
        <f aca="false">-H6*Assumptions!H18/100</f>
        <v>-306850.581383735</v>
      </c>
      <c r="I17" s="4" t="n">
        <f aca="false">-I6*Assumptions!I18/100</f>
        <v>-309919.087197573</v>
      </c>
      <c r="J17" s="4" t="n">
        <f aca="false">-J6*Assumptions!J18/100</f>
        <v>-313018.278069548</v>
      </c>
      <c r="K17" s="4" t="n">
        <f aca="false">-K6*Assumptions!K18/100</f>
        <v>-316148.460850244</v>
      </c>
      <c r="L17" s="4" t="n">
        <f aca="false">-L6*Assumptions!L18/100</f>
        <v>-319309.945458746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-13427.876</v>
      </c>
      <c r="D18" s="4" t="n">
        <f aca="false">(D6-C6)*Assumptions!$B$23/100</f>
        <v>-8728.11939999997</v>
      </c>
      <c r="E18" s="4" t="n">
        <f aca="false">(E6-D6)*Assumptions!$B$23/100</f>
        <v>-7157.05790800001</v>
      </c>
      <c r="F18" s="4" t="n">
        <f aca="false">(F6-E6)*Assumptions!$B$23/100</f>
        <v>-7300.19906616001</v>
      </c>
      <c r="G18" s="4" t="n">
        <f aca="false">(G6-F6)*Assumptions!$B$23/100</f>
        <v>-5584.65228561238</v>
      </c>
      <c r="H18" s="4" t="n">
        <f aca="false">(H6-G6)*Assumptions!$B$23/100</f>
        <v>-5668.42206989657</v>
      </c>
      <c r="I18" s="4" t="n">
        <f aca="false">(I6-H6)*Assumptions!$B$23/100</f>
        <v>-3835.63226729669</v>
      </c>
      <c r="J18" s="4" t="n">
        <f aca="false">(J6-I6)*Assumptions!$B$23/100</f>
        <v>-3873.98858996965</v>
      </c>
      <c r="K18" s="4" t="n">
        <f aca="false">(K6-J6)*Assumptions!$B$23/100</f>
        <v>-3912.72847586935</v>
      </c>
      <c r="L18" s="4" t="n">
        <f aca="false">(L6-K6)*Assumptions!$B$23/100</f>
        <v>-3951.85576062803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42432.08816</v>
      </c>
      <c r="D19" s="0" t="n">
        <f aca="false">D15+D16+D17+D18</f>
        <v>63021.3861277</v>
      </c>
      <c r="E19" s="0" t="n">
        <f aca="false">E15+E16+E17+E18</f>
        <v>101980.918131092</v>
      </c>
      <c r="F19" s="0" t="n">
        <f aca="false">F15+F16+F17+F18</f>
        <v>136169.518151223</v>
      </c>
      <c r="G19" s="0" t="n">
        <f aca="false">G15+G16+G17+G18</f>
        <v>158421.692936729</v>
      </c>
      <c r="H19" s="0" t="n">
        <f aca="false">H15+H16+H17+H18</f>
        <v>179976.179667263</v>
      </c>
      <c r="I19" s="0" t="n">
        <f aca="false">I15+I16+I17+I18</f>
        <v>183665.415487235</v>
      </c>
      <c r="J19" s="0" t="n">
        <f aca="false">J15+J16+J17+J18</f>
        <v>185502.069642107</v>
      </c>
      <c r="K19" s="0" t="n">
        <f aca="false">K15+K16+K17+K18</f>
        <v>187357.090338528</v>
      </c>
      <c r="L19" s="0" t="n">
        <f aca="false">L15+L16+L17+L18</f>
        <v>189230.661241913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39842.3363004694</v>
      </c>
      <c r="D21" s="0" t="n">
        <f aca="false">D19*D20</f>
        <v>55563.3900925302</v>
      </c>
      <c r="E21" s="0" t="n">
        <f aca="false">E19*E20</f>
        <v>84424.8104560586</v>
      </c>
      <c r="F21" s="0" t="n">
        <f aca="false">F19*F20</f>
        <v>105847.710734966</v>
      </c>
      <c r="G21" s="0" t="n">
        <f aca="false">G19*G20</f>
        <v>115628.957763725</v>
      </c>
      <c r="H21" s="0" t="n">
        <f aca="false">H19*H20</f>
        <v>123343.816497078</v>
      </c>
      <c r="I21" s="0" t="n">
        <f aca="false">I19*I20</f>
        <v>118189.836316244</v>
      </c>
      <c r="J21" s="0" t="n">
        <f aca="false">J19*J20</f>
        <v>112086.135849208</v>
      </c>
      <c r="K21" s="0" t="n">
        <f aca="false">K19*K20</f>
        <v>106297.649960282</v>
      </c>
      <c r="L21" s="0" t="n">
        <f aca="false">L19*L20</f>
        <v>100808.099962333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962032.743932893</v>
      </c>
    </row>
    <row r="31" customFormat="false" ht="15" hidden="false" customHeight="false" outlineLevel="0" collapsed="false">
      <c r="A31" s="0" t="s">
        <v>130</v>
      </c>
      <c r="B31" s="0" t="n">
        <f aca="false">L19</f>
        <v>189230.661241913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3841382.42321084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2838459.9186287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2838459.9186287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1512121.49943499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2474154.24336788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1725427.24336788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1441.94153716186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-0.588369529785366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1441.94153716186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1422734.23081883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182.771725700125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3356969</v>
      </c>
      <c r="C6" s="0" t="n">
        <f aca="false">B6*(1+C5/100)</f>
        <v>3558387.14</v>
      </c>
      <c r="D6" s="0" t="n">
        <f aca="false">C6*(1+D5/100)</f>
        <v>3754098.4327</v>
      </c>
      <c r="E6" s="0" t="n">
        <f aca="false">D6*(1+E5/100)</f>
        <v>3941803.354335</v>
      </c>
      <c r="F6" s="0" t="n">
        <f aca="false">E6*(1+F5/100)</f>
        <v>4119184.50528007</v>
      </c>
      <c r="G6" s="0" t="n">
        <f aca="false">F6*(1+G5/100)</f>
        <v>4283951.88549128</v>
      </c>
      <c r="H6" s="0" t="n">
        <f aca="false">G6*(1+H5/100)</f>
        <v>4433890.20148347</v>
      </c>
      <c r="I6" s="0" t="n">
        <f aca="false">H6*(1+I5/100)</f>
        <v>4566906.90752798</v>
      </c>
      <c r="J6" s="0" t="n">
        <f aca="false">I6*(1+J5/100)</f>
        <v>4681079.58021618</v>
      </c>
      <c r="K6" s="0" t="n">
        <f aca="false">J6*(1+K5/100)</f>
        <v>4774701.1718205</v>
      </c>
      <c r="L6" s="0" t="n">
        <f aca="false">K6*(1+L5/100)</f>
        <v>4870195.19525691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16.2</v>
      </c>
      <c r="D7" s="4" t="n">
        <f aca="false">Assumptions!D28</f>
        <v>16.8</v>
      </c>
      <c r="E7" s="4" t="n">
        <f aca="false">Assumptions!E28</f>
        <v>17.4</v>
      </c>
      <c r="F7" s="4" t="n">
        <f aca="false">Assumptions!F28</f>
        <v>17.9</v>
      </c>
      <c r="G7" s="4" t="n">
        <f aca="false">Assumptions!G28</f>
        <v>18.2</v>
      </c>
      <c r="H7" s="4" t="n">
        <f aca="false">Assumptions!H28</f>
        <v>18.4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576458.71668</v>
      </c>
      <c r="D8" s="0" t="n">
        <f aca="false">D6*D7/100</f>
        <v>630688.5366936</v>
      </c>
      <c r="E8" s="0" t="n">
        <f aca="false">E6*E7/100</f>
        <v>685873.78365429</v>
      </c>
      <c r="F8" s="0" t="n">
        <f aca="false">F6*F7/100</f>
        <v>737334.026445133</v>
      </c>
      <c r="G8" s="0" t="n">
        <f aca="false">G6*G7/100</f>
        <v>779679.243159413</v>
      </c>
      <c r="H8" s="0" t="n">
        <f aca="false">H6*H7/100</f>
        <v>815835.797072959</v>
      </c>
      <c r="I8" s="0" t="n">
        <f aca="false">I6*I7/100</f>
        <v>844877.777892676</v>
      </c>
      <c r="J8" s="0" t="n">
        <f aca="false">J6*J7/100</f>
        <v>865999.722339993</v>
      </c>
      <c r="K8" s="0" t="n">
        <f aca="false">K6*K7/100</f>
        <v>883319.716786792</v>
      </c>
      <c r="L8" s="0" t="n">
        <f aca="false">L6*L7/100</f>
        <v>900986.111122528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576458.71668</v>
      </c>
      <c r="D11" s="0" t="n">
        <f aca="false">D8+D10+D24</f>
        <v>630688.5366936</v>
      </c>
      <c r="E11" s="0" t="n">
        <f aca="false">E8+E10+E24</f>
        <v>685873.78365429</v>
      </c>
      <c r="F11" s="0" t="n">
        <f aca="false">F8+F10+F24</f>
        <v>737334.026445133</v>
      </c>
      <c r="G11" s="0" t="n">
        <f aca="false">G8+G10+G24</f>
        <v>779679.243159413</v>
      </c>
      <c r="H11" s="0" t="n">
        <f aca="false">H8+H10+H24</f>
        <v>815835.797072959</v>
      </c>
      <c r="I11" s="0" t="n">
        <f aca="false">I8+I10+I24</f>
        <v>844877.777892676</v>
      </c>
      <c r="J11" s="0" t="n">
        <f aca="false">J8+J10+J24</f>
        <v>865999.722339993</v>
      </c>
      <c r="K11" s="0" t="n">
        <f aca="false">K8+K10+K24</f>
        <v>883319.716786792</v>
      </c>
      <c r="L11" s="0" t="n">
        <f aca="false">L8+L10+L24</f>
        <v>900986.111122528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-209944.84126</v>
      </c>
      <c r="D12" s="4" t="n">
        <f aca="false">-D6*Assumptions!D31/100</f>
        <v>-232754.1028274</v>
      </c>
      <c r="E12" s="4" t="n">
        <f aca="false">-E6*Assumptions!E31/100</f>
        <v>-256217.218031775</v>
      </c>
      <c r="F12" s="4" t="n">
        <f aca="false">-F6*Assumptions!F31/100</f>
        <v>-271866.177348485</v>
      </c>
      <c r="G12" s="4" t="n">
        <f aca="false">-G6*Assumptions!G31/100</f>
        <v>-282740.824442424</v>
      </c>
      <c r="H12" s="4" t="n">
        <f aca="false">-H6*Assumptions!H31/100</f>
        <v>-292636.753297909</v>
      </c>
      <c r="I12" s="4" t="n">
        <f aca="false">-I6*Assumptions!I31/100</f>
        <v>-296848.948989319</v>
      </c>
      <c r="J12" s="4" t="n">
        <f aca="false">-J6*Assumptions!J31/100</f>
        <v>-304270.172714051</v>
      </c>
      <c r="K12" s="4" t="n">
        <f aca="false">-K6*Assumptions!K31/100</f>
        <v>-310355.576168333</v>
      </c>
      <c r="L12" s="4" t="n">
        <f aca="false">-L6*Assumptions!L31/100</f>
        <v>-316562.687691699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366513.87542</v>
      </c>
      <c r="D13" s="0" t="n">
        <f aca="false">D11+D12</f>
        <v>397934.4338662</v>
      </c>
      <c r="E13" s="0" t="n">
        <f aca="false">E11+E12</f>
        <v>429656.565622515</v>
      </c>
      <c r="F13" s="0" t="n">
        <f aca="false">F11+F12</f>
        <v>465467.849096648</v>
      </c>
      <c r="G13" s="0" t="n">
        <f aca="false">G11+G12</f>
        <v>496938.418716988</v>
      </c>
      <c r="H13" s="0" t="n">
        <f aca="false">H11+H12</f>
        <v>523199.04377505</v>
      </c>
      <c r="I13" s="0" t="n">
        <f aca="false">I11+I12</f>
        <v>548028.828903357</v>
      </c>
      <c r="J13" s="0" t="n">
        <f aca="false">J11+J12</f>
        <v>561729.549625941</v>
      </c>
      <c r="K13" s="0" t="n">
        <f aca="false">K11+K12</f>
        <v>572964.14061846</v>
      </c>
      <c r="L13" s="0" t="n">
        <f aca="false">L11+L12</f>
        <v>584423.423430829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25</v>
      </c>
      <c r="D14" s="4" t="n">
        <f aca="false">Assumptions!D33</f>
        <v>25.5</v>
      </c>
      <c r="E14" s="4" t="n">
        <f aca="false">Assumptions!E33</f>
        <v>26</v>
      </c>
      <c r="F14" s="4" t="n">
        <f aca="false">Assumptions!F33</f>
        <v>26.5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274885.406565</v>
      </c>
      <c r="D15" s="0" t="n">
        <f aca="false">D13-MAX(0,D13)*D14/100</f>
        <v>296461.153230319</v>
      </c>
      <c r="E15" s="0" t="n">
        <f aca="false">E13-MAX(0,E13)*E14/100</f>
        <v>317945.858560661</v>
      </c>
      <c r="F15" s="0" t="n">
        <f aca="false">F13-MAX(0,F13)*F14/100</f>
        <v>342118.869086037</v>
      </c>
      <c r="G15" s="0" t="n">
        <f aca="false">G13-MAX(0,G13)*G14/100</f>
        <v>362765.045663402</v>
      </c>
      <c r="H15" s="0" t="n">
        <f aca="false">H13-MAX(0,H13)*H14/100</f>
        <v>381935.301955786</v>
      </c>
      <c r="I15" s="0" t="n">
        <f aca="false">I13-MAX(0,I13)*I14/100</f>
        <v>400061.045099451</v>
      </c>
      <c r="J15" s="0" t="n">
        <f aca="false">J13-MAX(0,J13)*J14/100</f>
        <v>410062.571226937</v>
      </c>
      <c r="K15" s="0" t="n">
        <f aca="false">K13-MAX(0,K13)*K14/100</f>
        <v>418263.822651476</v>
      </c>
      <c r="L15" s="0" t="n">
        <f aca="false">L13-MAX(0,L13)*L14/100</f>
        <v>426629.099104505</v>
      </c>
    </row>
    <row r="16" customFormat="false" ht="15" hidden="false" customHeight="false" outlineLevel="0" collapsed="false">
      <c r="A16" s="0" t="s">
        <v>121</v>
      </c>
      <c r="C16" s="0" t="n">
        <f aca="false">-C12</f>
        <v>209944.84126</v>
      </c>
      <c r="D16" s="0" t="n">
        <f aca="false">-D12</f>
        <v>232754.1028274</v>
      </c>
      <c r="E16" s="0" t="n">
        <f aca="false">-E12</f>
        <v>256217.218031775</v>
      </c>
      <c r="F16" s="0" t="n">
        <f aca="false">-F12</f>
        <v>271866.177348485</v>
      </c>
      <c r="G16" s="0" t="n">
        <f aca="false">-G12</f>
        <v>282740.824442424</v>
      </c>
      <c r="H16" s="0" t="n">
        <f aca="false">-H12</f>
        <v>292636.753297909</v>
      </c>
      <c r="I16" s="0" t="n">
        <f aca="false">-I12</f>
        <v>296848.948989319</v>
      </c>
      <c r="J16" s="0" t="n">
        <f aca="false">-J12</f>
        <v>304270.172714051</v>
      </c>
      <c r="K16" s="0" t="n">
        <f aca="false">-K12</f>
        <v>310355.576168333</v>
      </c>
      <c r="L16" s="0" t="n">
        <f aca="false">-L12</f>
        <v>316562.687691699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-402097.74682</v>
      </c>
      <c r="D17" s="4" t="n">
        <f aca="false">-D6*Assumptions!D32/100</f>
        <v>-356639.3511065</v>
      </c>
      <c r="E17" s="4" t="n">
        <f aca="false">-E6*Assumptions!E32/100</f>
        <v>-335053.285118475</v>
      </c>
      <c r="F17" s="4" t="n">
        <f aca="false">-F6*Assumptions!F32/100</f>
        <v>-321296.391411846</v>
      </c>
      <c r="G17" s="4" t="n">
        <f aca="false">-G6*Assumptions!G32/100</f>
        <v>-312728.487640863</v>
      </c>
      <c r="H17" s="4" t="n">
        <f aca="false">-H6*Assumptions!H32/100</f>
        <v>-310372.314103843</v>
      </c>
      <c r="I17" s="4" t="n">
        <f aca="false">-I6*Assumptions!I32/100</f>
        <v>-319683.483526958</v>
      </c>
      <c r="J17" s="4" t="n">
        <f aca="false">-J6*Assumptions!J32/100</f>
        <v>-327675.570615132</v>
      </c>
      <c r="K17" s="4" t="n">
        <f aca="false">-K6*Assumptions!K32/100</f>
        <v>-334229.082027435</v>
      </c>
      <c r="L17" s="4" t="n">
        <f aca="false">-L6*Assumptions!L32/100</f>
        <v>-340913.663667984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-20141.814</v>
      </c>
      <c r="D18" s="4" t="n">
        <f aca="false">(D6-C6)*Assumptions!$B$37/100</f>
        <v>-19571.12927</v>
      </c>
      <c r="E18" s="4" t="n">
        <f aca="false">(E6-D6)*Assumptions!$B$37/100</f>
        <v>-18770.4921635</v>
      </c>
      <c r="F18" s="4" t="n">
        <f aca="false">(F6-E6)*Assumptions!$B$37/100</f>
        <v>-17738.1150945075</v>
      </c>
      <c r="G18" s="4" t="n">
        <f aca="false">(G6-F6)*Assumptions!$B$37/100</f>
        <v>-16476.7380211203</v>
      </c>
      <c r="H18" s="4" t="n">
        <f aca="false">(H6-G6)*Assumptions!$B$37/100</f>
        <v>-14993.8315992194</v>
      </c>
      <c r="I18" s="4" t="n">
        <f aca="false">(I6-H6)*Assumptions!$B$37/100</f>
        <v>-13301.6706044504</v>
      </c>
      <c r="J18" s="4" t="n">
        <f aca="false">(J6-I6)*Assumptions!$B$37/100</f>
        <v>-11417.2672688199</v>
      </c>
      <c r="K18" s="4" t="n">
        <f aca="false">(K6-J6)*Assumptions!$B$37/100</f>
        <v>-9362.15916043241</v>
      </c>
      <c r="L18" s="4" t="n">
        <f aca="false">(L6-K6)*Assumptions!$B$37/100</f>
        <v>-9549.40234364104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62590.6870049999</v>
      </c>
      <c r="D19" s="0" t="n">
        <f aca="false">D15+D16+D17+D18</f>
        <v>153004.775681219</v>
      </c>
      <c r="E19" s="0" t="n">
        <f aca="false">E15+E16+E17+E18</f>
        <v>220339.299310461</v>
      </c>
      <c r="F19" s="0" t="n">
        <f aca="false">F15+F16+F17+F18</f>
        <v>274950.539928168</v>
      </c>
      <c r="G19" s="0" t="n">
        <f aca="false">G15+G16+G17+G18</f>
        <v>316300.644443842</v>
      </c>
      <c r="H19" s="0" t="n">
        <f aca="false">H15+H16+H17+H18</f>
        <v>349205.909550633</v>
      </c>
      <c r="I19" s="0" t="n">
        <f aca="false">I15+I16+I17+I18</f>
        <v>363924.83995736</v>
      </c>
      <c r="J19" s="0" t="n">
        <f aca="false">J15+J16+J17+J18</f>
        <v>375239.906057036</v>
      </c>
      <c r="K19" s="0" t="n">
        <f aca="false">K15+K16+K17+K18</f>
        <v>385028.157631941</v>
      </c>
      <c r="L19" s="0" t="n">
        <f aca="false">L15+L16+L17+L18</f>
        <v>392728.72078458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58770.5981267605</v>
      </c>
      <c r="D21" s="0" t="n">
        <f aca="false">D19*D20</f>
        <v>134898.080787515</v>
      </c>
      <c r="E21" s="0" t="n">
        <f aca="false">E19*E20</f>
        <v>182407.68882267</v>
      </c>
      <c r="F21" s="0" t="n">
        <f aca="false">F19*F20</f>
        <v>213725.403540162</v>
      </c>
      <c r="G21" s="0" t="n">
        <f aca="false">G19*G20</f>
        <v>230861.778958789</v>
      </c>
      <c r="H21" s="0" t="n">
        <f aca="false">H19*H20</f>
        <v>239322.724301293</v>
      </c>
      <c r="I21" s="0" t="n">
        <f aca="false">I19*I20</f>
        <v>234187.896245307</v>
      </c>
      <c r="J21" s="0" t="n">
        <f aca="false">J19*J20</f>
        <v>226731.654086117</v>
      </c>
      <c r="K21" s="0" t="n">
        <f aca="false">K19*K20</f>
        <v>218446.968037674</v>
      </c>
      <c r="L21" s="0" t="n">
        <f aca="false">L19*L20</f>
        <v>209216.814458618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1948569.6073649</v>
      </c>
    </row>
    <row r="31" customFormat="false" ht="15" hidden="false" customHeight="false" outlineLevel="0" collapsed="false">
      <c r="A31" s="0" t="s">
        <v>130</v>
      </c>
      <c r="B31" s="0" t="n">
        <f aca="false">L19</f>
        <v>392728.72078458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7972393.03192697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5890930.8117687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5890930.8117687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3138252.21687927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5086821.82424417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4338094.82424417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3625.35084760503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0.034927447218106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3625.35084760503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2952738.15997295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1025.88933457317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3356969</v>
      </c>
      <c r="C6" s="0" t="n">
        <f aca="false">B6*(1+C5/100)</f>
        <v>3591956.83</v>
      </c>
      <c r="D6" s="0" t="n">
        <f aca="false">C6*(1+D5/100)</f>
        <v>3843393.8081</v>
      </c>
      <c r="E6" s="0" t="n">
        <f aca="false">D6*(1+E5/100)</f>
        <v>4093214.4056265</v>
      </c>
      <c r="F6" s="0" t="n">
        <f aca="false">E6*(1+F5/100)</f>
        <v>4338807.26996409</v>
      </c>
      <c r="G6" s="0" t="n">
        <f aca="false">F6*(1+G5/100)</f>
        <v>4577441.66981212</v>
      </c>
      <c r="H6" s="0" t="n">
        <f aca="false">G6*(1+H5/100)</f>
        <v>4806313.75330272</v>
      </c>
      <c r="I6" s="0" t="n">
        <f aca="false">H6*(1+I5/100)</f>
        <v>4998566.30343483</v>
      </c>
      <c r="J6" s="0" t="n">
        <f aca="false">I6*(1+J5/100)</f>
        <v>5173516.12405505</v>
      </c>
      <c r="K6" s="0" t="n">
        <f aca="false">J6*(1+K5/100)</f>
        <v>5328721.6077767</v>
      </c>
      <c r="L6" s="0" t="n">
        <f aca="false">K6*(1+L5/100)</f>
        <v>5461939.64797112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16.5</v>
      </c>
      <c r="D7" s="4" t="n">
        <f aca="false">Assumptions!D42</f>
        <v>17.5</v>
      </c>
      <c r="E7" s="4" t="n">
        <f aca="false">Assumptions!E42</f>
        <v>18.5</v>
      </c>
      <c r="F7" s="4" t="n">
        <f aca="false">Assumptions!F42</f>
        <v>19.3</v>
      </c>
      <c r="G7" s="4" t="n">
        <f aca="false">Assumptions!G42</f>
        <v>20</v>
      </c>
      <c r="H7" s="4" t="n">
        <f aca="false">Assumptions!H42</f>
        <v>20.5</v>
      </c>
      <c r="I7" s="4" t="n">
        <f aca="false">Assumptions!I42</f>
        <v>20.5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592672.87695</v>
      </c>
      <c r="D8" s="0" t="n">
        <f aca="false">D6*D7/100</f>
        <v>672593.9164175</v>
      </c>
      <c r="E8" s="0" t="n">
        <f aca="false">E6*E7/100</f>
        <v>757244.665040903</v>
      </c>
      <c r="F8" s="0" t="n">
        <f aca="false">F6*F7/100</f>
        <v>837389.80310307</v>
      </c>
      <c r="G8" s="0" t="n">
        <f aca="false">G6*G7/100</f>
        <v>915488.333962423</v>
      </c>
      <c r="H8" s="0" t="n">
        <f aca="false">H6*H7/100</f>
        <v>985294.319427058</v>
      </c>
      <c r="I8" s="0" t="n">
        <f aca="false">I6*I7/100</f>
        <v>1024706.09220414</v>
      </c>
      <c r="J8" s="0" t="n">
        <f aca="false">J6*J7/100</f>
        <v>1060570.80543129</v>
      </c>
      <c r="K8" s="0" t="n">
        <f aca="false">K6*K7/100</f>
        <v>1092387.92959422</v>
      </c>
      <c r="L8" s="0" t="n">
        <f aca="false">L6*L7/100</f>
        <v>1119697.62783408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592672.87695</v>
      </c>
      <c r="D11" s="0" t="n">
        <f aca="false">D8+D10+D24</f>
        <v>672593.9164175</v>
      </c>
      <c r="E11" s="0" t="n">
        <f aca="false">E8+E10+E24</f>
        <v>757244.665040903</v>
      </c>
      <c r="F11" s="0" t="n">
        <f aca="false">F8+F10+F24</f>
        <v>837389.80310307</v>
      </c>
      <c r="G11" s="0" t="n">
        <f aca="false">G8+G10+G24</f>
        <v>915488.333962423</v>
      </c>
      <c r="H11" s="0" t="n">
        <f aca="false">H8+H10+H24</f>
        <v>985294.319427058</v>
      </c>
      <c r="I11" s="0" t="n">
        <f aca="false">I8+I10+I24</f>
        <v>1024706.09220414</v>
      </c>
      <c r="J11" s="0" t="n">
        <f aca="false">J8+J10+J24</f>
        <v>1060570.80543129</v>
      </c>
      <c r="K11" s="0" t="n">
        <f aca="false">K8+K10+K24</f>
        <v>1092387.92959422</v>
      </c>
      <c r="L11" s="0" t="n">
        <f aca="false">L8+L10+L24</f>
        <v>1119697.62783408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-211925.45297</v>
      </c>
      <c r="D12" s="4" t="n">
        <f aca="false">-D6*Assumptions!D45/100</f>
        <v>-238290.4161022</v>
      </c>
      <c r="E12" s="4" t="n">
        <f aca="false">-E6*Assumptions!E45/100</f>
        <v>-261965.721960096</v>
      </c>
      <c r="F12" s="4" t="n">
        <f aca="false">-F6*Assumptions!F45/100</f>
        <v>-282022.472547666</v>
      </c>
      <c r="G12" s="4" t="n">
        <f aca="false">-G6*Assumptions!G45/100</f>
        <v>-297533.708537787</v>
      </c>
      <c r="H12" s="4" t="n">
        <f aca="false">-H6*Assumptions!H45/100</f>
        <v>-312410.393964677</v>
      </c>
      <c r="I12" s="4" t="n">
        <f aca="false">-I6*Assumptions!I45/100</f>
        <v>-319908.243419829</v>
      </c>
      <c r="J12" s="4" t="n">
        <f aca="false">-J6*Assumptions!J45/100</f>
        <v>-331105.031939523</v>
      </c>
      <c r="K12" s="4" t="n">
        <f aca="false">-K6*Assumptions!K45/100</f>
        <v>-341038.182897709</v>
      </c>
      <c r="L12" s="4" t="n">
        <f aca="false">-L6*Assumptions!L45/100</f>
        <v>-349564.137470152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380747.42398</v>
      </c>
      <c r="D13" s="0" t="n">
        <f aca="false">D11+D12</f>
        <v>434303.5003153</v>
      </c>
      <c r="E13" s="0" t="n">
        <f aca="false">E11+E12</f>
        <v>495278.943080807</v>
      </c>
      <c r="F13" s="0" t="n">
        <f aca="false">F11+F12</f>
        <v>555367.330555404</v>
      </c>
      <c r="G13" s="0" t="n">
        <f aca="false">G11+G12</f>
        <v>617954.625424636</v>
      </c>
      <c r="H13" s="0" t="n">
        <f aca="false">H11+H12</f>
        <v>672883.925462381</v>
      </c>
      <c r="I13" s="0" t="n">
        <f aca="false">I11+I12</f>
        <v>704797.848784311</v>
      </c>
      <c r="J13" s="0" t="n">
        <f aca="false">J11+J12</f>
        <v>729465.773491762</v>
      </c>
      <c r="K13" s="0" t="n">
        <f aca="false">K11+K12</f>
        <v>751349.746696515</v>
      </c>
      <c r="L13" s="0" t="n">
        <f aca="false">L11+L12</f>
        <v>770133.490363927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25</v>
      </c>
      <c r="D14" s="4" t="n">
        <f aca="false">Assumptions!D47</f>
        <v>25.5</v>
      </c>
      <c r="E14" s="4" t="n">
        <f aca="false">Assumptions!E47</f>
        <v>26</v>
      </c>
      <c r="F14" s="4" t="n">
        <f aca="false">Assumptions!F47</f>
        <v>26.5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285560.567985</v>
      </c>
      <c r="D15" s="0" t="n">
        <f aca="false">D13-MAX(0,D13)*D14/100</f>
        <v>323556.107734899</v>
      </c>
      <c r="E15" s="0" t="n">
        <f aca="false">E13-MAX(0,E13)*E14/100</f>
        <v>366506.417879797</v>
      </c>
      <c r="F15" s="0" t="n">
        <f aca="false">F13-MAX(0,F13)*F14/100</f>
        <v>408194.987958222</v>
      </c>
      <c r="G15" s="0" t="n">
        <f aca="false">G13-MAX(0,G13)*G14/100</f>
        <v>451106.876559984</v>
      </c>
      <c r="H15" s="0" t="n">
        <f aca="false">H13-MAX(0,H13)*H14/100</f>
        <v>491205.265587538</v>
      </c>
      <c r="I15" s="0" t="n">
        <f aca="false">I13-MAX(0,I13)*I14/100</f>
        <v>514502.429612547</v>
      </c>
      <c r="J15" s="0" t="n">
        <f aca="false">J13-MAX(0,J13)*J14/100</f>
        <v>532510.014648986</v>
      </c>
      <c r="K15" s="0" t="n">
        <f aca="false">K13-MAX(0,K13)*K14/100</f>
        <v>548485.315088456</v>
      </c>
      <c r="L15" s="0" t="n">
        <f aca="false">L13-MAX(0,L13)*L14/100</f>
        <v>562197.447965667</v>
      </c>
    </row>
    <row r="16" customFormat="false" ht="15" hidden="false" customHeight="false" outlineLevel="0" collapsed="false">
      <c r="A16" s="0" t="s">
        <v>121</v>
      </c>
      <c r="C16" s="0" t="n">
        <f aca="false">-C12</f>
        <v>211925.45297</v>
      </c>
      <c r="D16" s="0" t="n">
        <f aca="false">-D12</f>
        <v>238290.4161022</v>
      </c>
      <c r="E16" s="0" t="n">
        <f aca="false">-E12</f>
        <v>261965.721960096</v>
      </c>
      <c r="F16" s="0" t="n">
        <f aca="false">-F12</f>
        <v>282022.472547666</v>
      </c>
      <c r="G16" s="0" t="n">
        <f aca="false">-G12</f>
        <v>297533.708537787</v>
      </c>
      <c r="H16" s="0" t="n">
        <f aca="false">-H12</f>
        <v>312410.393964677</v>
      </c>
      <c r="I16" s="0" t="n">
        <f aca="false">-I12</f>
        <v>319908.243419829</v>
      </c>
      <c r="J16" s="0" t="n">
        <f aca="false">-J12</f>
        <v>331105.031939523</v>
      </c>
      <c r="K16" s="0" t="n">
        <f aca="false">-K12</f>
        <v>341038.182897709</v>
      </c>
      <c r="L16" s="0" t="n">
        <f aca="false">-L12</f>
        <v>349564.137470152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-395115.2513</v>
      </c>
      <c r="D17" s="4" t="n">
        <f aca="false">-D6*Assumptions!D46/100</f>
        <v>-326688.4736885</v>
      </c>
      <c r="E17" s="4" t="n">
        <f aca="false">-E6*Assumptions!E46/100</f>
        <v>-306991.080421988</v>
      </c>
      <c r="F17" s="4" t="n">
        <f aca="false">-F6*Assumptions!F46/100</f>
        <v>-303716.508897486</v>
      </c>
      <c r="G17" s="4" t="n">
        <f aca="false">-G6*Assumptions!G46/100</f>
        <v>-311266.033547224</v>
      </c>
      <c r="H17" s="4" t="n">
        <f aca="false">-H6*Assumptions!H46/100</f>
        <v>-312410.393964677</v>
      </c>
      <c r="I17" s="4" t="n">
        <f aca="false">-I6*Assumptions!I46/100</f>
        <v>-324906.809723264</v>
      </c>
      <c r="J17" s="4" t="n">
        <f aca="false">-J6*Assumptions!J46/100</f>
        <v>-336278.548063578</v>
      </c>
      <c r="K17" s="4" t="n">
        <f aca="false">-K6*Assumptions!K46/100</f>
        <v>-346366.904505485</v>
      </c>
      <c r="L17" s="4" t="n">
        <f aca="false">-L6*Assumptions!L46/100</f>
        <v>-355026.077118123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-23498.783</v>
      </c>
      <c r="D18" s="4" t="n">
        <f aca="false">(D6-C6)*Assumptions!$B$51/100</f>
        <v>-25143.69781</v>
      </c>
      <c r="E18" s="4" t="n">
        <f aca="false">(E6-D6)*Assumptions!$B$51/100</f>
        <v>-24982.05975265</v>
      </c>
      <c r="F18" s="4" t="n">
        <f aca="false">(F6-E6)*Assumptions!$B$51/100</f>
        <v>-24559.286433759</v>
      </c>
      <c r="G18" s="4" t="n">
        <f aca="false">(G6-F6)*Assumptions!$B$51/100</f>
        <v>-23863.4399848024</v>
      </c>
      <c r="H18" s="4" t="n">
        <f aca="false">(H6-G6)*Assumptions!$B$51/100</f>
        <v>-22887.2083490606</v>
      </c>
      <c r="I18" s="4" t="n">
        <f aca="false">(I6-H6)*Assumptions!$B$51/100</f>
        <v>-19225.2550132109</v>
      </c>
      <c r="J18" s="4" t="n">
        <f aca="false">(J6-I6)*Assumptions!$B$51/100</f>
        <v>-17494.9820620218</v>
      </c>
      <c r="K18" s="4" t="n">
        <f aca="false">(K6-J6)*Assumptions!$B$51/100</f>
        <v>-15520.5483721651</v>
      </c>
      <c r="L18" s="4" t="n">
        <f aca="false">(L6-K6)*Assumptions!$B$51/100</f>
        <v>-13321.8040194417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78871.9866549999</v>
      </c>
      <c r="D19" s="0" t="n">
        <f aca="false">D15+D16+D17+D18</f>
        <v>210014.352338599</v>
      </c>
      <c r="E19" s="0" t="n">
        <f aca="false">E15+E16+E17+E18</f>
        <v>296498.999665255</v>
      </c>
      <c r="F19" s="0" t="n">
        <f aca="false">F15+F16+F17+F18</f>
        <v>361941.665174642</v>
      </c>
      <c r="G19" s="0" t="n">
        <f aca="false">G15+G16+G17+G18</f>
        <v>413511.111565745</v>
      </c>
      <c r="H19" s="0" t="n">
        <f aca="false">H15+H16+H17+H18</f>
        <v>468318.057238477</v>
      </c>
      <c r="I19" s="0" t="n">
        <f aca="false">I15+I16+I17+I18</f>
        <v>490278.608295901</v>
      </c>
      <c r="J19" s="0" t="n">
        <f aca="false">J15+J16+J17+J18</f>
        <v>509841.516462909</v>
      </c>
      <c r="K19" s="0" t="n">
        <f aca="false">K15+K16+K17+K18</f>
        <v>527636.045108514</v>
      </c>
      <c r="L19" s="0" t="n">
        <f aca="false">L15+L16+L17+L18</f>
        <v>543413.704298254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74058.2034319248</v>
      </c>
      <c r="D21" s="0" t="n">
        <f aca="false">D19*D20</f>
        <v>185161.103254291</v>
      </c>
      <c r="E21" s="0" t="n">
        <f aca="false">E19*E20</f>
        <v>245456.427593374</v>
      </c>
      <c r="F21" s="0" t="n">
        <f aca="false">F19*F20</f>
        <v>281345.61389717</v>
      </c>
      <c r="G21" s="0" t="n">
        <f aca="false">G19*G20</f>
        <v>301813.836020316</v>
      </c>
      <c r="H21" s="0" t="n">
        <f aca="false">H19*H20</f>
        <v>320954.3430752</v>
      </c>
      <c r="I21" s="0" t="n">
        <f aca="false">I19*I20</f>
        <v>315497.331438949</v>
      </c>
      <c r="J21" s="0" t="n">
        <f aca="false">J19*J20</f>
        <v>308062.144999681</v>
      </c>
      <c r="K21" s="0" t="n">
        <f aca="false">K19*K20</f>
        <v>299356.013311435</v>
      </c>
      <c r="L21" s="0" t="n">
        <f aca="false">L19*L20</f>
        <v>289490.628338334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2621195.64536067</v>
      </c>
    </row>
    <row r="31" customFormat="false" ht="15" hidden="false" customHeight="false" outlineLevel="0" collapsed="false">
      <c r="A31" s="0" t="s">
        <v>130</v>
      </c>
      <c r="B31" s="0" t="n">
        <f aca="false">L19</f>
        <v>543413.704298254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11031298.1972546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8151205.56447381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8151205.56447381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4342359.42507501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6963555.07043568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6214828.07043568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5193.7389858229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0.482654577739909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5193.7389858229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4085665.99898317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1616.09083719966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1441.94153716186</v>
      </c>
      <c r="C4" s="0" t="n">
        <f aca="false">B4/Assumptions!$B$2-1</f>
        <v>-0.588369529785366</v>
      </c>
      <c r="D4" s="4" t="n">
        <f aca="false">Assumptions!$B$24</f>
        <v>0.25</v>
      </c>
      <c r="E4" s="4" t="n">
        <f aca="false">DCF_Bear!$B$43</f>
        <v>1441.94153716186</v>
      </c>
      <c r="F4" s="4" t="n">
        <f aca="false">DCF_Bear!$B$47</f>
        <v>182.771725700125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3625.35084760503</v>
      </c>
      <c r="C5" s="0" t="n">
        <f aca="false">B5/Assumptions!$B$2-1</f>
        <v>0.034927447218106</v>
      </c>
      <c r="D5" s="4" t="n">
        <f aca="false">Assumptions!$B$38</f>
        <v>0.5</v>
      </c>
      <c r="E5" s="4" t="n">
        <f aca="false">DCF_Base!$B$43</f>
        <v>3625.35084760503</v>
      </c>
      <c r="F5" s="4" t="n">
        <f aca="false">DCF_Base!$B$47</f>
        <v>1025.88933457317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5193.7389858229</v>
      </c>
      <c r="C6" s="0" t="n">
        <f aca="false">B6/Assumptions!$B$2-1</f>
        <v>0.482654577739909</v>
      </c>
      <c r="D6" s="4" t="n">
        <f aca="false">Assumptions!$B$52</f>
        <v>0.25</v>
      </c>
      <c r="E6" s="4" t="n">
        <f aca="false">DCF_Bull!$B$43</f>
        <v>5193.7389858229</v>
      </c>
      <c r="F6" s="4" t="n">
        <f aca="false">DCF_Bull!$B$47</f>
        <v>1616.09083719966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3471.5955545487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3471.5955545487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-0.00904611293505919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962.66030801153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3625.35084760503</v>
      </c>
      <c r="C15" s="3" t="n">
        <v>6.5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2667.43121826882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2228.01720410562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1882.9929038284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1605.29553674458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1025.88933457317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4373.63309058014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4373.63309058014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4373.63309058014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4373.63309058014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4373.63309058014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3981.33190737394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3981.33190737394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3981.33190737394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3981.33190737394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3981.33190737394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3625.35084760503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3625.35084760503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3625.35084760503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3625.35084760503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3625.35084760503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3199.57826817739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3301.94845496546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3301.94845496546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3301.94845496546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3301.94845496546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2653.975848977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2785.22447774253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2935.22291061741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3007.80279749236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3007.80279749236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2026-10-31T06:11:41Z</dcterms:created>
  <dc:creator>openpyxl</dc:creator>
  <dc:description/>
  <dc:language>en-NZ</dc:language>
  <cp:lastModifiedBy/>
  <dcterms:modified xsi:type="dcterms:W3CDTF">2026-10-31T06:11:41Z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