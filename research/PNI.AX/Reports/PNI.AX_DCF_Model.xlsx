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<sst xmlns="http://schemas.openxmlformats.org/spreadsheetml/2006/main" count="367" uniqueCount="170">
  <si>
    <t xml:space="preserve">Ticker</t>
  </si>
  <si>
    <t xml:space="preserve">PNI.AX</t>
  </si>
  <si>
    <t xml:space="preserve">Company</t>
  </si>
  <si>
    <t xml:space="preserve">Pinnacle Investment Management Group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</si>
  <si>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</si>
  <si>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</si>
  <si>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</si>
  <si>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</si>
  <si>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2026-09-25T04:15:11Z (intraday, ASX regular session; 14:15 AEST)</t>
  </si>
  <si>
    <t xml:space="preserve">Balance sheet date</t>
  </si>
  <si>
    <t xml:space="preserve">2026-06-30</t>
  </si>
  <si>
    <t xml:space="preserve">Model</t>
  </si>
  <si>
    <t xml:space="preserve">Normalised underlying-earnings owner-FCF DCF for a multi-affiliate fund manager (equity-accounted associate profit grossed into the earnings base; engine route)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</si>
  <si>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</si>
  <si>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</si>
  <si>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</si>
  <si>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</si>
  <si>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</si>
  <si>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</si>
  <si>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</si>
  <si>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</si>
  <si>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2026-09-25T04:42:57Z</t>
  </si>
  <si>
    <t xml:space="preserve">Drivers file</t>
  </si>
  <si>
    <t xml:space="preserve">PNI.AX_Drivers.json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</si>
  <si>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</si>
  <si>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</si>
  <si>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</si>
  <si>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Pinnacle is valued as an operating company: an owner-FCF DCF, because its value is a growing stream of distributable profit from 19 Affiliates plus its own distribution/RE fees. The dcf-methods non-FCF routes were considered and rejected: it is not a bank (no deposits), not a REIT (no AFFO), not a LIC or holdco (it does not sit on a portfolio at NAV; the Affiliate stakes are equity-accounted operating interests carried at A$0.2bn against an earnings stream worth billions, so NTA is meaningless), and there is no live corporate action. What has to change is the engine's inputs, not the engine: the P&amp;L structure (post-tax Affiliate profit share below a thin revenue line; net income 1.6x revenue) and the seed-capital noise in OCF make revenue x margin and statutory FCF both unusable, so the 'revenue' driver is a normalised Underlying NPAT base (ex PAM step-gain, ex Principal Investment returns and all interest, perf fees normalised to ~A$30m, SBC grossed up so the engine charges it), margin 100%, tax 0% (already post-tax), and an explicit reinvestment charge (13% -&gt; 5% of earnings) standing in for seed capital, equity recycling and Affiliate profit retention (dividends received were 80% of profit share in FY26). Every income stream stripped has its asset in the bridge (PI book at fair value +A$198.8m) and the debt that funds it is net debt (A$162.4m); post-balance-date deal costs (Metrics -A$100.5m, AVI -A$44.9m) are deducted because their earnings are in the FY27 growth rate. WACC 11% in AUD, the same in all scenarios; risk is charged in the bear flows and a 25% bear weight, not in the rate. Terminal cap 15x owner FCF for a cyclical asset manager. On these assumptions the stock, even after a 39% drawdown from the 52-week high, sits above the probability-weighted value; the required-return table shows what discount rate today's price implies.
key_risks_to_valuation: Performance-fee normalisation level: every A$10m of post-tax perf fees is ~7% of the earnings base; FY25 46.6 / FY26 35.6 against an assumed ~30 through-cycle; Reinvestment charge (13% -&gt; 5%): if Affiliates keep retaining ~20% of profit and Pinnacle keeps seeding at FY22/FY25 scale, owner FCF conversion stays near 80% and the taper is too generous; if retention is timing, the model is too harsh by ~A$1/share; FY27 acquired uplift (~+20pp): PAM's earnings power is inferred from the A$397m/75.1% price and 2 months of consolidated revenue, not disclosed; Metrics' contribution is inferred from the A$100.5m/6.8% price; Market beta: 11.8bn of FY26's 50bn FUM increase was market movement; a bear-style drawdown in FY27 rather than FY28 removes the acquired uplift's cushion; Affiliate cost capture: FY26 Affiliate expenses ran ~22% above consensus and Pinnacle's profit share (~37%) trails its FUM share (~40%); the model assumes no further slippage; Share count: 7.9m employee loan shares sit outside the 233.1m issued count and only 1.3m are counted as dilutive; a sustained re-rating would bring more into the money; Currency: PAM/AVI (GBP), VSS (USD), Advantage (JPY), Langdon (CAD) earnings are now material and the AUD base carries translation risk not modelled</t>
  </si>
  <si>
    <t xml:space="preserve">Data sources</t>
  </si>
  <si>
    <t xml:space="preserve">price: Yahoo Finance chart API at inputs.price_as_of (intraday); 52-week range 12.30-21.13
financials: PNI.AX_Metrics.csv / core_metrics + kpis (FY2016-FY2026 annual and H1), FY2026 Annual Report (results commentary pp.22-23 for Underlying NPAT and PI; note 5 EPS denominators; note 8 financial assets; note 12 leases; note 16 share capital; note 19 borrowings; note 23 associates; note 31 subsequent events; business-combination note for PAM consideration)
qualitative: PNI.AX_Analysis.json (2026-09-25): growth drivers, bull/bear cases, FY26 result commentary, guidance (none formal; 'cautious optimism')</t>
  </si>
  <si>
    <t xml:space="preserve">Scenario narrative: bear</t>
  </si>
  <si>
    <t xml:space="preserve">FY27 still carries the acquired uplift (+14%) but FY28 brings the market dislocation management keeps warning about: a 15% FUM drawdown, performance fees near zero, net outflows in retail and the private-equity exit freeze hitting Five V and Advantage fundraising, while Affiliate cost bases (performance-linked incentives, PAM/AVI integration, compliance across five jurisdictions) do not flex down, so earnings fall 15% then a further 3% before recovering at 8% decaying to 2.5%. SBC rises to 5.2% of a smaller base. The A$250m CBA facility, drawn against a mark-to-market seed book, is a solvency non-issue but limits new-affiliate firepower. Terminal growth 2.5%.</t>
  </si>
  <si>
    <t xml:space="preserve">Scenario narrative: base</t>
  </si>
  <si>
    <t xml:space="preserve">The acquired uplift lands in FY27 (full-year PAM at 100%, Metrics back to ~35%, AVI folded into PAM) and organic growth is modest as Affiliate expense growth and Horizon 2/3 spend absorb most of the base-fee gain from a 28% higher opening FUM. Performance fees run at a through-cycle ~A$30m post-tax, not FY25's A$46.6m. From FY28 the platform compounds at 10% decaying to 3.5% on existing-affiliate flows (private markets and international distribution growing faster than domestic public equities) with reinvestment tapering from 13% to 5% of earnings as the affiliate stable matures and distributes more. Gordon binds the terminal value (12.9x owner FCF, under the 15x cap).</t>
  </si>
  <si>
    <t xml:space="preserve">Scenario narrative: bull</t>
  </si>
  <si>
    <t xml:space="preserve">PAM/AVI make Pinnacle a genuine global distribution platform: international FUM (33% of total) keeps compounding, Horizon 2 adds two or three new affiliates on the 2018-2021 pattern, private credit (Metrics) and private markets (Five V, Advantage option to 13%) stay in structural demand, and Affiliate profit share catches up with FUM share as FY26's incentive-cost step-up normalises. Perf-fee-eligible FUM (A$61bn, 34% 10-yr CAGR) delivers above-normal fees in strong markets. FY27 +30%, then 15% decaying to 5%, terminal growth 3.5%.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</si>
  <si>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</si>
  <si>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</si>
  <si>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</si>
  <si>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</si>
  <si>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</si>
  <si>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</si>
  <si>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</si>
  <si>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</si>
  <si>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</si>
  <si>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</si>
  <si>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</si>
  <si>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</si>
  <si>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</si>
  <si>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</si>
  <si>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</si>
  <si>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</si>
  <si>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</si>
  <si>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</si>
  <si>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</si>
  <si>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</si>
  <si>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</si>
  <si>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</si>
  <si>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</si>
  <si>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</si>
  <si>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</si>
  <si>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</si>
  <si>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</si>
  <si>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AUM</t>
  </si>
  <si>
    <t xml:space="preserve">EPSDiluted</t>
  </si>
  <si>
    <t xml:space="preserve">ShareOfAssociatesProfit</t>
  </si>
  <si>
    <t xml:space="preserve">UnderlyingEPS</t>
  </si>
  <si>
    <t xml:space="preserve">UnderlyingNPAT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</si>
  <si>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</si>
  <si>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</si>
  <si>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</si>
  <si>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</si>
  <si>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</si>
  <si>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</si>
  <si>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</si>
  <si>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</si>
  <si>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</si>
  <si>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</si>
  <si>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</si>
  <si>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</si>
  <si>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</si>
  <si>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</si>
  <si>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</si>
  <si>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</si>
  <si>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</si>
  <si>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</si>
  <si>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</si>
  <si>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</si>
  <si>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</si>
  <si>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</si>
  <si>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</si>
  <si>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</si>
  <si>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</si>
  <si>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</si>
  <si>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</si>
  <si>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</si>
  <si>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</si>
  <si>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</si>
  <si>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</si>
  <si>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</si>
  <si>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</si>
  <si>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</si>
  <si>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</si>
  <si>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</si>
  <si>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</si>
  <si>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</si>
  <si>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</si>
  <si>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</si>
  <si>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</si>
  <si>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</si>
  <si>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</si>
  <si>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</si>
  <si>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</si>
  <si>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</si>
  <si>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</si>
  <si>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</si>
  <si>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PNI.AX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</si>
  <si>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</si>
  <si>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</si>
  <si>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</si>
  <si>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</si>
  <si>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</si>
  <si>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</si>
  <si>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</si>
  <si>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</si>
  <si>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</si>
  <si>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</si>
  <si>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</si>
  <si>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</si>
  <si>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</si>
  <si>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</si>
  <si>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</si>
  <si>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</si>
  <si>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</si>
  <si>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</si>
  <si>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</si>
  <si>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</si>
  <si>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</si>
  <si>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</si>
  <si>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</si>
  <si>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</si>
  <si>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</si>
  <si>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</si>
  <si>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</si>
  <si>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</si>
  <si>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</si>
  <si>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</si>
  <si>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PNI.AX owner-FCF component DCF: base case (millions, AUD)</t>
  </si>
  <si>
    <t xml:space="preserve">PNI.AX owner-FCF component DCF: bull case (millions, AUD)</t>
  </si>
  <si>
    <t xml:space="preserve">PNI.AX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</si>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</sst>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12.99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8.384</v>
      </c>
      <c r="I2" s="0" t="n">
        <v>4.537</v>
      </c>
      <c r="K2" s="0" t="n">
        <v>0.041</v>
      </c>
      <c r="L2" s="0" t="n">
        <v>-0.175</v>
      </c>
      <c r="M2" s="0" t="n">
        <v>0.133</v>
      </c>
      <c r="N2" s="0" t="n">
        <v>-0.308</v>
      </c>
      <c r="O2" s="0" t="n">
        <v>43.131</v>
      </c>
      <c r="P2" s="0" t="n">
        <v>58.413</v>
      </c>
      <c r="Q2" s="0" t="n">
        <v>8.83</v>
      </c>
      <c r="R2" s="0" t="n">
        <v>0</v>
      </c>
      <c r="S2" s="0" t="n">
        <v>13.544</v>
      </c>
      <c r="T2" s="0" t="n">
        <v>110.659</v>
      </c>
      <c r="U2" s="0" t="n">
        <v>0.531</v>
      </c>
      <c r="V2" s="0" t="n">
        <v>0.033</v>
      </c>
      <c r="AA2" s="0" t="s">
        <v>17</v>
      </c>
      <c r="AB2" s="0" t="s">
        <v>14</v>
      </c>
      <c r="AC2" s="0" t="n">
        <v>19.8</v>
      </c>
      <c r="AD2" s="0" t="n">
        <v>0.041</v>
      </c>
      <c r="AE2" s="0" t="n">
        <v>15.92</v>
      </c>
      <c r="AG2" s="0" t="n">
        <v>5.8</v>
      </c>
    </row>
    <row r="3" customFormat="false" ht="15" hidden="false" customHeight="false" outlineLevel="0" collapsed="false">
      <c r="A3" s="0" t="s">
        <v>69</v>
      </c>
      <c r="B3" s="0" t="n">
        <v>10.976</v>
      </c>
      <c r="I3" s="0" t="n">
        <v>13.098</v>
      </c>
      <c r="K3" s="0" t="n">
        <v>0.089</v>
      </c>
      <c r="L3" s="0" t="n">
        <v>-17.418</v>
      </c>
      <c r="M3" s="0" t="n">
        <v>0.055</v>
      </c>
      <c r="N3" s="0" t="n">
        <v>-17.473</v>
      </c>
      <c r="O3" s="0" t="n">
        <v>75.66</v>
      </c>
      <c r="P3" s="0" t="n">
        <v>81.752</v>
      </c>
      <c r="Q3" s="0" t="n">
        <v>6.092</v>
      </c>
      <c r="R3" s="0" t="n">
        <v>0</v>
      </c>
      <c r="S3" s="0" t="n">
        <v>10.945</v>
      </c>
      <c r="T3" s="0" t="n">
        <v>159.732</v>
      </c>
      <c r="U3" s="0" t="n">
        <v>0.575</v>
      </c>
      <c r="AA3" s="0" t="s">
        <v>17</v>
      </c>
      <c r="AB3" s="0" t="s">
        <v>14</v>
      </c>
      <c r="AD3" s="0" t="n">
        <v>0.082</v>
      </c>
      <c r="AE3" s="0" t="n">
        <v>17.598</v>
      </c>
    </row>
    <row r="4" customFormat="false" ht="15" hidden="false" customHeight="false" outlineLevel="0" collapsed="false">
      <c r="A4" s="0" t="s">
        <v>70</v>
      </c>
      <c r="B4" s="0" t="n">
        <v>16.542</v>
      </c>
      <c r="I4" s="0" t="n">
        <v>23.476</v>
      </c>
      <c r="K4" s="0" t="n">
        <v>0.145</v>
      </c>
      <c r="L4" s="0" t="n">
        <v>20.87</v>
      </c>
      <c r="M4" s="0" t="n">
        <v>0.043</v>
      </c>
      <c r="N4" s="0" t="n">
        <v>20.827</v>
      </c>
      <c r="O4" s="0" t="n">
        <v>98.097</v>
      </c>
      <c r="P4" s="0" t="n">
        <v>104.899</v>
      </c>
      <c r="Q4" s="0" t="n">
        <v>6.802</v>
      </c>
      <c r="R4" s="0" t="n">
        <v>0</v>
      </c>
      <c r="S4" s="0" t="n">
        <v>9.332</v>
      </c>
      <c r="T4" s="0" t="n">
        <v>175.194</v>
      </c>
      <c r="U4" s="0" t="n">
        <v>0.364</v>
      </c>
      <c r="AA4" s="0" t="s">
        <v>17</v>
      </c>
      <c r="AB4" s="0" t="s">
        <v>14</v>
      </c>
      <c r="AD4" s="0" t="n">
        <v>0.134</v>
      </c>
      <c r="AE4" s="0" t="n">
        <v>24.903</v>
      </c>
    </row>
    <row r="5" customFormat="false" ht="15" hidden="false" customHeight="false" outlineLevel="0" collapsed="false">
      <c r="A5" s="0" t="s">
        <v>71</v>
      </c>
      <c r="B5" s="0" t="n">
        <v>21.123</v>
      </c>
      <c r="I5" s="0" t="n">
        <v>30.549</v>
      </c>
      <c r="K5" s="0" t="n">
        <v>0.183</v>
      </c>
      <c r="L5" s="0" t="n">
        <v>21.09</v>
      </c>
      <c r="M5" s="0" t="n">
        <v>0.053</v>
      </c>
      <c r="N5" s="0" t="n">
        <v>21.037</v>
      </c>
      <c r="O5" s="0" t="n">
        <v>177.053</v>
      </c>
      <c r="P5" s="0" t="n">
        <v>186.758</v>
      </c>
      <c r="Q5" s="0" t="n">
        <v>9.705</v>
      </c>
      <c r="R5" s="0" t="n">
        <v>0</v>
      </c>
      <c r="S5" s="0" t="n">
        <v>26.72</v>
      </c>
      <c r="T5" s="0" t="n">
        <v>178.649</v>
      </c>
      <c r="U5" s="0" t="n">
        <v>1.435</v>
      </c>
      <c r="AA5" s="0" t="s">
        <v>17</v>
      </c>
      <c r="AB5" s="0" t="s">
        <v>14</v>
      </c>
      <c r="AD5" s="0" t="n">
        <v>0.171</v>
      </c>
      <c r="AE5" s="0" t="n">
        <v>33.133</v>
      </c>
    </row>
    <row r="6" customFormat="false" ht="15" hidden="false" customHeight="false" outlineLevel="0" collapsed="false">
      <c r="A6" s="0" t="s">
        <v>72</v>
      </c>
      <c r="B6" s="0" t="n">
        <v>22.407</v>
      </c>
      <c r="I6" s="0" t="n">
        <v>32.206</v>
      </c>
      <c r="K6" s="0" t="n">
        <v>0.188</v>
      </c>
      <c r="L6" s="0" t="n">
        <v>22.094</v>
      </c>
      <c r="M6" s="0" t="n">
        <v>2.698</v>
      </c>
      <c r="N6" s="0" t="n">
        <v>19.396</v>
      </c>
      <c r="O6" s="0" t="n">
        <v>188.547</v>
      </c>
      <c r="P6" s="0" t="n">
        <v>238.633</v>
      </c>
      <c r="Q6" s="0" t="n">
        <v>50.086</v>
      </c>
      <c r="R6" s="0" t="n">
        <v>30.021</v>
      </c>
      <c r="S6" s="0" t="n">
        <v>16.066</v>
      </c>
      <c r="T6" s="0" t="n">
        <v>179.922</v>
      </c>
      <c r="U6" s="0" t="n">
        <v>1.961</v>
      </c>
      <c r="AA6" s="0" t="s">
        <v>17</v>
      </c>
      <c r="AB6" s="0" t="s">
        <v>14</v>
      </c>
      <c r="AD6" s="0" t="n">
        <v>0.179</v>
      </c>
      <c r="AE6" s="0" t="n">
        <v>37.953</v>
      </c>
    </row>
    <row r="7" customFormat="false" ht="15" hidden="false" customHeight="false" outlineLevel="0" collapsed="false">
      <c r="A7" s="0" t="s">
        <v>73</v>
      </c>
      <c r="B7" s="0" t="n">
        <v>32.514</v>
      </c>
      <c r="I7" s="0" t="n">
        <v>67.017</v>
      </c>
      <c r="K7" s="0" t="n">
        <v>0.382</v>
      </c>
      <c r="L7" s="0" t="n">
        <v>32.971</v>
      </c>
      <c r="M7" s="0" t="n">
        <v>0.055</v>
      </c>
      <c r="N7" s="0" t="n">
        <v>32.916</v>
      </c>
      <c r="O7" s="0" t="n">
        <v>243.892</v>
      </c>
      <c r="P7" s="0" t="n">
        <v>366.2</v>
      </c>
      <c r="Q7" s="0" t="n">
        <v>122.308</v>
      </c>
      <c r="R7" s="0" t="n">
        <v>100.022</v>
      </c>
      <c r="S7" s="0" t="n">
        <v>96.136</v>
      </c>
      <c r="T7" s="0" t="n">
        <v>183.608</v>
      </c>
      <c r="U7" s="0" t="n">
        <v>2.007</v>
      </c>
      <c r="AA7" s="0" t="s">
        <v>17</v>
      </c>
      <c r="AB7" s="0" t="s">
        <v>14</v>
      </c>
      <c r="AD7" s="0" t="n">
        <v>0.365</v>
      </c>
      <c r="AE7" s="0" t="n">
        <v>66.44</v>
      </c>
    </row>
    <row r="8" customFormat="false" ht="15" hidden="false" customHeight="false" outlineLevel="0" collapsed="false">
      <c r="A8" s="0" t="s">
        <v>74</v>
      </c>
      <c r="B8" s="0" t="n">
        <v>45.997</v>
      </c>
      <c r="I8" s="0" t="n">
        <v>76.365</v>
      </c>
      <c r="K8" s="0" t="n">
        <v>0.402</v>
      </c>
      <c r="L8" s="0" t="n">
        <v>-14.926</v>
      </c>
      <c r="M8" s="0" t="n">
        <v>2.013</v>
      </c>
      <c r="N8" s="0" t="n">
        <v>-16.939</v>
      </c>
      <c r="O8" s="0" t="n">
        <v>402.184</v>
      </c>
      <c r="P8" s="0" t="n">
        <v>536.758</v>
      </c>
      <c r="Q8" s="0" t="n">
        <v>134.574</v>
      </c>
      <c r="R8" s="0" t="n">
        <v>120.085</v>
      </c>
      <c r="S8" s="0" t="n">
        <v>38.265</v>
      </c>
      <c r="T8" s="0" t="n">
        <v>193.329</v>
      </c>
      <c r="U8" s="0" t="n">
        <v>2.848</v>
      </c>
      <c r="AA8" s="0" t="s">
        <v>17</v>
      </c>
      <c r="AB8" s="0" t="s">
        <v>14</v>
      </c>
      <c r="AD8" s="0" t="n">
        <v>0.395</v>
      </c>
      <c r="AE8" s="0" t="n">
        <v>75.686</v>
      </c>
    </row>
    <row r="9" customFormat="false" ht="15" hidden="false" customHeight="false" outlineLevel="0" collapsed="false">
      <c r="A9" s="0" t="s">
        <v>75</v>
      </c>
      <c r="B9" s="0" t="n">
        <v>45.513</v>
      </c>
      <c r="I9" s="0" t="n">
        <v>76.472</v>
      </c>
      <c r="K9" s="0" t="n">
        <v>0.393</v>
      </c>
      <c r="L9" s="0" t="n">
        <v>55.041</v>
      </c>
      <c r="M9" s="0" t="n">
        <v>0.009</v>
      </c>
      <c r="N9" s="0" t="n">
        <v>55.032</v>
      </c>
      <c r="O9" s="0" t="n">
        <v>422.573</v>
      </c>
      <c r="P9" s="0" t="n">
        <v>552.636</v>
      </c>
      <c r="Q9" s="0" t="n">
        <v>130.063</v>
      </c>
      <c r="R9" s="0" t="n">
        <v>120.137</v>
      </c>
      <c r="S9" s="0" t="n">
        <v>27.616</v>
      </c>
      <c r="T9" s="0" t="n">
        <v>196.082</v>
      </c>
      <c r="U9" s="0" t="n">
        <v>3.408</v>
      </c>
      <c r="AA9" s="0" t="s">
        <v>17</v>
      </c>
      <c r="AB9" s="0" t="s">
        <v>14</v>
      </c>
      <c r="AD9" s="0" t="n">
        <v>0.39</v>
      </c>
      <c r="AE9" s="0" t="n">
        <v>67.359</v>
      </c>
    </row>
    <row r="10" customFormat="false" ht="15" hidden="false" customHeight="false" outlineLevel="0" collapsed="false">
      <c r="A10" s="0" t="s">
        <v>76</v>
      </c>
      <c r="B10" s="0" t="n">
        <v>48.988</v>
      </c>
      <c r="I10" s="0" t="n">
        <v>90.351</v>
      </c>
      <c r="K10" s="0" t="n">
        <v>0.458</v>
      </c>
      <c r="L10" s="0" t="n">
        <v>96.301</v>
      </c>
      <c r="M10" s="0" t="n">
        <v>0.036</v>
      </c>
      <c r="N10" s="0" t="n">
        <v>96.265</v>
      </c>
      <c r="O10" s="0" t="n">
        <v>455.894</v>
      </c>
      <c r="P10" s="0" t="n">
        <v>582.992</v>
      </c>
      <c r="Q10" s="0" t="n">
        <v>127.098</v>
      </c>
      <c r="R10" s="0" t="n">
        <v>100.131</v>
      </c>
      <c r="S10" s="0" t="n">
        <v>32.565</v>
      </c>
      <c r="T10" s="0" t="n">
        <v>198.574</v>
      </c>
      <c r="U10" s="0" t="n">
        <v>3.16</v>
      </c>
      <c r="AA10" s="0" t="s">
        <v>17</v>
      </c>
      <c r="AB10" s="0" t="s">
        <v>14</v>
      </c>
      <c r="AD10" s="0" t="n">
        <v>0.455</v>
      </c>
      <c r="AE10" s="0" t="n">
        <v>90.816</v>
      </c>
    </row>
    <row r="11" customFormat="false" ht="15" hidden="false" customHeight="false" outlineLevel="0" collapsed="false">
      <c r="A11" s="0" t="s">
        <v>77</v>
      </c>
      <c r="B11" s="0" t="n">
        <v>65.475</v>
      </c>
      <c r="I11" s="0" t="n">
        <v>134.427</v>
      </c>
      <c r="K11" s="0" t="n">
        <v>0.632</v>
      </c>
      <c r="L11" s="0" t="n">
        <v>-145.167</v>
      </c>
      <c r="M11" s="0" t="n">
        <v>0.326</v>
      </c>
      <c r="N11" s="0" t="n">
        <v>-145.493</v>
      </c>
      <c r="O11" s="0" t="n">
        <v>918.417</v>
      </c>
      <c r="P11" s="0" t="n">
        <v>1058.615</v>
      </c>
      <c r="Q11" s="0" t="n">
        <v>140.198</v>
      </c>
      <c r="R11" s="0" t="n">
        <v>100.046</v>
      </c>
      <c r="S11" s="0" t="n">
        <v>26.557</v>
      </c>
      <c r="T11" s="0" t="n">
        <v>215.573725</v>
      </c>
      <c r="U11" s="0" t="n">
        <v>4.169</v>
      </c>
      <c r="AA11" s="0" t="s">
        <v>17</v>
      </c>
      <c r="AB11" s="0" t="s">
        <v>14</v>
      </c>
      <c r="AD11" s="0" t="n">
        <v>0.624</v>
      </c>
      <c r="AE11" s="0" t="n">
        <v>129.723</v>
      </c>
      <c r="AF11" s="0" t="n">
        <v>0.53</v>
      </c>
      <c r="AG11" s="0" t="n">
        <v>114</v>
      </c>
    </row>
    <row r="12" customFormat="false" ht="15" hidden="false" customHeight="false" outlineLevel="0" collapsed="false">
      <c r="A12" s="0" t="s">
        <v>78</v>
      </c>
      <c r="B12" s="0" t="n">
        <v>109.688</v>
      </c>
      <c r="I12" s="0" t="n">
        <v>176.712</v>
      </c>
      <c r="K12" s="0" t="n">
        <v>0.787</v>
      </c>
      <c r="L12" s="0" t="n">
        <v>348.343</v>
      </c>
      <c r="M12" s="0" t="n">
        <v>5.814</v>
      </c>
      <c r="N12" s="0" t="n">
        <v>342.529</v>
      </c>
      <c r="O12" s="0" t="n">
        <v>1155.193</v>
      </c>
      <c r="P12" s="0" t="n">
        <v>1483.572</v>
      </c>
      <c r="Q12" s="0" t="n">
        <v>328.379</v>
      </c>
      <c r="R12" s="0" t="n">
        <v>251.868</v>
      </c>
      <c r="S12" s="0" t="n">
        <v>89.45</v>
      </c>
      <c r="T12" s="0" t="n">
        <v>226.339479</v>
      </c>
      <c r="U12" s="0" t="n">
        <v>6.745</v>
      </c>
      <c r="V12" s="0" t="n">
        <v>0.6</v>
      </c>
      <c r="AA12" s="0" t="s">
        <v>17</v>
      </c>
      <c r="AB12" s="0" t="s">
        <v>14</v>
      </c>
      <c r="AC12" s="0" t="n">
        <v>229.4</v>
      </c>
      <c r="AD12" s="0" t="n">
        <v>0.781</v>
      </c>
      <c r="AE12" s="0" t="n">
        <v>136.038</v>
      </c>
      <c r="AF12" s="0" t="n">
        <v>0.61</v>
      </c>
      <c r="AG12" s="0" t="n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12.99</v>
      </c>
    </row>
    <row r="3" customFormat="false" ht="15" hidden="false" customHeight="false" outlineLevel="0" collapsed="false">
      <c r="A3" s="0" t="s">
        <v>82</v>
      </c>
      <c r="B3" s="3" t="n">
        <v>236.884</v>
      </c>
    </row>
    <row r="4" customFormat="false" ht="15" hidden="false" customHeight="false" outlineLevel="0" collapsed="false">
      <c r="A4" s="0" t="s">
        <v>83</v>
      </c>
      <c r="B4" s="3" t="n">
        <v>162.418</v>
      </c>
    </row>
    <row r="5" customFormat="false" ht="15" hidden="false" customHeight="false" outlineLevel="0" collapsed="false">
      <c r="A5" s="0" t="s">
        <v>84</v>
      </c>
      <c r="B5" s="3" t="n">
        <v>53.361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139.1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14</v>
      </c>
      <c r="D13" s="3" t="n">
        <v>-15</v>
      </c>
      <c r="E13" s="3" t="n">
        <v>-3</v>
      </c>
      <c r="F13" s="3" t="n">
        <v>8</v>
      </c>
      <c r="G13" s="3" t="n">
        <v>7</v>
      </c>
      <c r="H13" s="3" t="n">
        <v>6</v>
      </c>
      <c r="I13" s="3" t="n">
        <v>5</v>
      </c>
      <c r="J13" s="3" t="n">
        <v>4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103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104</v>
      </c>
      <c r="C15" s="3" t="n">
        <v>4.85</v>
      </c>
      <c r="D15" s="3" t="n">
        <v>5.2</v>
      </c>
      <c r="E15" s="3" t="n">
        <v>5.2</v>
      </c>
      <c r="F15" s="3" t="n">
        <v>4.9</v>
      </c>
      <c r="G15" s="3" t="n">
        <v>4.7</v>
      </c>
      <c r="H15" s="3" t="n">
        <v>4.5</v>
      </c>
      <c r="I15" s="3" t="n">
        <v>4.35</v>
      </c>
      <c r="J15" s="3" t="n">
        <v>4.25</v>
      </c>
      <c r="K15" s="3" t="n">
        <v>4.15</v>
      </c>
      <c r="L15" s="3" t="n">
        <v>4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0.5</v>
      </c>
      <c r="D17" s="3" t="n">
        <v>0.5</v>
      </c>
      <c r="E17" s="3" t="n">
        <v>0.5</v>
      </c>
      <c r="F17" s="3" t="n">
        <v>0.5</v>
      </c>
      <c r="G17" s="3" t="n">
        <v>0.5</v>
      </c>
      <c r="H17" s="3" t="n">
        <v>0.5</v>
      </c>
      <c r="I17" s="3" t="n">
        <v>0.5</v>
      </c>
      <c r="J17" s="3" t="n">
        <v>0.5</v>
      </c>
      <c r="K17" s="3" t="n">
        <v>0.5</v>
      </c>
      <c r="L17" s="3" t="n">
        <v>0.5</v>
      </c>
    </row>
    <row r="18" customFormat="false" ht="15" hidden="false" customHeight="false" outlineLevel="0" collapsed="false">
      <c r="A18" s="0" t="s">
        <v>107</v>
      </c>
      <c r="C18" s="3" t="n">
        <v>13</v>
      </c>
      <c r="D18" s="3" t="n">
        <v>12</v>
      </c>
      <c r="E18" s="3" t="n">
        <v>11</v>
      </c>
      <c r="F18" s="3" t="n">
        <v>10</v>
      </c>
      <c r="G18" s="3" t="n">
        <v>9</v>
      </c>
      <c r="H18" s="3" t="n">
        <v>8</v>
      </c>
      <c r="I18" s="3" t="n">
        <v>7</v>
      </c>
      <c r="J18" s="3" t="n">
        <v>6</v>
      </c>
      <c r="K18" s="3" t="n">
        <v>5.5</v>
      </c>
      <c r="L18" s="3" t="n">
        <v>5</v>
      </c>
    </row>
    <row r="19" customFormat="false" ht="15" hidden="false" customHeight="false" outlineLevel="0" collapsed="false">
      <c r="A19" s="0" t="s">
        <v>108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109</v>
      </c>
      <c r="B20" s="3" t="n">
        <v>11</v>
      </c>
    </row>
    <row r="21" customFormat="false" ht="15" hidden="false" customHeight="false" outlineLevel="0" collapsed="false">
      <c r="A21" s="0" t="s">
        <v>110</v>
      </c>
      <c r="B21" s="3" t="n">
        <v>2.5</v>
      </c>
    </row>
    <row r="22" customFormat="false" ht="15" hidden="false" customHeight="false" outlineLevel="0" collapsed="false">
      <c r="A22" s="0" t="s">
        <v>111</v>
      </c>
      <c r="B22" s="3" t="n">
        <v>15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24</v>
      </c>
      <c r="D27" s="3" t="n">
        <v>10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103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104</v>
      </c>
      <c r="C29" s="3" t="n">
        <v>4.85</v>
      </c>
      <c r="D29" s="3" t="n">
        <v>4.75</v>
      </c>
      <c r="E29" s="3" t="n">
        <v>4.65</v>
      </c>
      <c r="F29" s="3" t="n">
        <v>4.55</v>
      </c>
      <c r="G29" s="3" t="n">
        <v>4.45</v>
      </c>
      <c r="H29" s="3" t="n">
        <v>4.35</v>
      </c>
      <c r="I29" s="3" t="n">
        <v>4.25</v>
      </c>
      <c r="J29" s="3" t="n">
        <v>4.15</v>
      </c>
      <c r="K29" s="3" t="n">
        <v>4.05</v>
      </c>
      <c r="L29" s="3" t="n">
        <v>4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0.5</v>
      </c>
      <c r="D31" s="3" t="n">
        <v>0.5</v>
      </c>
      <c r="E31" s="3" t="n">
        <v>0.5</v>
      </c>
      <c r="F31" s="3" t="n">
        <v>0.5</v>
      </c>
      <c r="G31" s="3" t="n">
        <v>0.5</v>
      </c>
      <c r="H31" s="3" t="n">
        <v>0.5</v>
      </c>
      <c r="I31" s="3" t="n">
        <v>0.5</v>
      </c>
      <c r="J31" s="3" t="n">
        <v>0.5</v>
      </c>
      <c r="K31" s="3" t="n">
        <v>0.5</v>
      </c>
      <c r="L31" s="3" t="n">
        <v>0.5</v>
      </c>
    </row>
    <row r="32" customFormat="false" ht="15" hidden="false" customHeight="false" outlineLevel="0" collapsed="false">
      <c r="A32" s="0" t="s">
        <v>107</v>
      </c>
      <c r="C32" s="3" t="n">
        <v>13</v>
      </c>
      <c r="D32" s="3" t="n">
        <v>12</v>
      </c>
      <c r="E32" s="3" t="n">
        <v>11</v>
      </c>
      <c r="F32" s="3" t="n">
        <v>10</v>
      </c>
      <c r="G32" s="3" t="n">
        <v>9</v>
      </c>
      <c r="H32" s="3" t="n">
        <v>8</v>
      </c>
      <c r="I32" s="3" t="n">
        <v>7</v>
      </c>
      <c r="J32" s="3" t="n">
        <v>6</v>
      </c>
      <c r="K32" s="3" t="n">
        <v>5.5</v>
      </c>
      <c r="L32" s="3" t="n">
        <v>5</v>
      </c>
    </row>
    <row r="33" customFormat="false" ht="15" hidden="false" customHeight="false" outlineLevel="0" collapsed="false">
      <c r="A33" s="0" t="s">
        <v>108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109</v>
      </c>
      <c r="B34" s="3" t="n">
        <v>11</v>
      </c>
    </row>
    <row r="35" customFormat="false" ht="15" hidden="false" customHeight="false" outlineLevel="0" collapsed="false">
      <c r="A35" s="0" t="s">
        <v>110</v>
      </c>
      <c r="B35" s="3" t="n">
        <v>3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30</v>
      </c>
      <c r="D41" s="3" t="n">
        <v>15</v>
      </c>
      <c r="E41" s="3" t="n">
        <v>13</v>
      </c>
      <c r="F41" s="3" t="n">
        <v>11</v>
      </c>
      <c r="G41" s="3" t="n">
        <v>10</v>
      </c>
      <c r="H41" s="3" t="n">
        <v>9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103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104</v>
      </c>
      <c r="C43" s="3" t="n">
        <v>4.85</v>
      </c>
      <c r="D43" s="3" t="n">
        <v>4.75</v>
      </c>
      <c r="E43" s="3" t="n">
        <v>4.65</v>
      </c>
      <c r="F43" s="3" t="n">
        <v>4.55</v>
      </c>
      <c r="G43" s="3" t="n">
        <v>4.45</v>
      </c>
      <c r="H43" s="3" t="n">
        <v>4.35</v>
      </c>
      <c r="I43" s="3" t="n">
        <v>4.25</v>
      </c>
      <c r="J43" s="3" t="n">
        <v>4.15</v>
      </c>
      <c r="K43" s="3" t="n">
        <v>4.05</v>
      </c>
      <c r="L43" s="3" t="n">
        <v>4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0.5</v>
      </c>
      <c r="D45" s="3" t="n">
        <v>0.5</v>
      </c>
      <c r="E45" s="3" t="n">
        <v>0.5</v>
      </c>
      <c r="F45" s="3" t="n">
        <v>0.5</v>
      </c>
      <c r="G45" s="3" t="n">
        <v>0.5</v>
      </c>
      <c r="H45" s="3" t="n">
        <v>0.5</v>
      </c>
      <c r="I45" s="3" t="n">
        <v>0.5</v>
      </c>
      <c r="J45" s="3" t="n">
        <v>0.5</v>
      </c>
      <c r="K45" s="3" t="n">
        <v>0.5</v>
      </c>
      <c r="L45" s="3" t="n">
        <v>0.5</v>
      </c>
    </row>
    <row r="46" customFormat="false" ht="15" hidden="false" customHeight="false" outlineLevel="0" collapsed="false">
      <c r="A46" s="0" t="s">
        <v>107</v>
      </c>
      <c r="C46" s="3" t="n">
        <v>13</v>
      </c>
      <c r="D46" s="3" t="n">
        <v>12</v>
      </c>
      <c r="E46" s="3" t="n">
        <v>11</v>
      </c>
      <c r="F46" s="3" t="n">
        <v>10</v>
      </c>
      <c r="G46" s="3" t="n">
        <v>9</v>
      </c>
      <c r="H46" s="3" t="n">
        <v>8</v>
      </c>
      <c r="I46" s="3" t="n">
        <v>7</v>
      </c>
      <c r="J46" s="3" t="n">
        <v>6</v>
      </c>
      <c r="K46" s="3" t="n">
        <v>5.5</v>
      </c>
      <c r="L46" s="3" t="n">
        <v>5</v>
      </c>
    </row>
    <row r="47" customFormat="false" ht="15" hidden="false" customHeight="false" outlineLevel="0" collapsed="false">
      <c r="A47" s="0" t="s">
        <v>108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109</v>
      </c>
      <c r="B48" s="3" t="n">
        <v>11</v>
      </c>
    </row>
    <row r="49" customFormat="false" ht="15" hidden="false" customHeight="false" outlineLevel="0" collapsed="false">
      <c r="A49" s="0" t="s">
        <v>110</v>
      </c>
      <c r="B49" s="3" t="n">
        <v>3.5</v>
      </c>
    </row>
    <row r="50" customFormat="false" ht="15" hidden="false" customHeight="false" outlineLevel="0" collapsed="false">
      <c r="A50" s="0" t="s">
        <v>111</v>
      </c>
      <c r="B50" s="3" t="n">
        <v>15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14</v>
      </c>
      <c r="D5" s="4" t="n">
        <f aca="false">Assumptions!D13</f>
        <v>-15</v>
      </c>
      <c r="E5" s="4" t="n">
        <f aca="false">Assumptions!E13</f>
        <v>-3</v>
      </c>
      <c r="F5" s="4" t="n">
        <f aca="false">Assumptions!F13</f>
        <v>8</v>
      </c>
      <c r="G5" s="4" t="n">
        <f aca="false">Assumptions!G13</f>
        <v>7</v>
      </c>
      <c r="H5" s="4" t="n">
        <f aca="false">Assumptions!H13</f>
        <v>6</v>
      </c>
      <c r="I5" s="4" t="n">
        <f aca="false">Assumptions!I13</f>
        <v>5</v>
      </c>
      <c r="J5" s="4" t="n">
        <f aca="false">Assumptions!J13</f>
        <v>4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139.1</v>
      </c>
      <c r="C6" s="0" t="n">
        <f aca="false">B6*(1+C5/100)</f>
        <v>158.574</v>
      </c>
      <c r="D6" s="0" t="n">
        <f aca="false">C6*(1+D5/100)</f>
        <v>134.7879</v>
      </c>
      <c r="E6" s="0" t="n">
        <f aca="false">D6*(1+E5/100)</f>
        <v>130.744263</v>
      </c>
      <c r="F6" s="0" t="n">
        <f aca="false">E6*(1+F5/100)</f>
        <v>141.20380404</v>
      </c>
      <c r="G6" s="0" t="n">
        <f aca="false">F6*(1+G5/100)</f>
        <v>151.0880703228</v>
      </c>
      <c r="H6" s="0" t="n">
        <f aca="false">G6*(1+H5/100)</f>
        <v>160.153354542168</v>
      </c>
      <c r="I6" s="0" t="n">
        <f aca="false">H6*(1+I5/100)</f>
        <v>168.161022269276</v>
      </c>
      <c r="J6" s="0" t="n">
        <f aca="false">I6*(1+J5/100)</f>
        <v>174.887463160048</v>
      </c>
      <c r="K6" s="0" t="n">
        <f aca="false">J6*(1+K5/100)</f>
        <v>180.134087054849</v>
      </c>
      <c r="L6" s="0" t="n">
        <f aca="false">K6*(1+L5/100)</f>
        <v>184.63743923122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158.574</v>
      </c>
      <c r="D8" s="0" t="n">
        <f aca="false">D6*D7/100</f>
        <v>134.7879</v>
      </c>
      <c r="E8" s="0" t="n">
        <f aca="false">E6*E7/100</f>
        <v>130.744263</v>
      </c>
      <c r="F8" s="0" t="n">
        <f aca="false">F6*F7/100</f>
        <v>141.20380404</v>
      </c>
      <c r="G8" s="0" t="n">
        <f aca="false">G6*G7/100</f>
        <v>151.0880703228</v>
      </c>
      <c r="H8" s="0" t="n">
        <f aca="false">H6*H7/100</f>
        <v>160.153354542168</v>
      </c>
      <c r="I8" s="0" t="n">
        <f aca="false">I6*I7/100</f>
        <v>168.161022269277</v>
      </c>
      <c r="J8" s="0" t="n">
        <f aca="false">J6*J7/100</f>
        <v>174.887463160048</v>
      </c>
      <c r="K8" s="0" t="n">
        <f aca="false">K6*K7/100</f>
        <v>180.134087054849</v>
      </c>
      <c r="L8" s="0" t="n">
        <f aca="false">L6*L7/100</f>
        <v>184.63743923122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4.85</v>
      </c>
      <c r="D9" s="4" t="n">
        <f aca="false">Assumptions!D15</f>
        <v>5.2</v>
      </c>
      <c r="E9" s="4" t="n">
        <f aca="false">Assumptions!E15</f>
        <v>5.2</v>
      </c>
      <c r="F9" s="4" t="n">
        <f aca="false">Assumptions!F15</f>
        <v>4.9</v>
      </c>
      <c r="G9" s="4" t="n">
        <f aca="false">Assumptions!G15</f>
        <v>4.7</v>
      </c>
      <c r="H9" s="4" t="n">
        <f aca="false">Assumptions!H15</f>
        <v>4.5</v>
      </c>
      <c r="I9" s="4" t="n">
        <f aca="false">Assumptions!I15</f>
        <v>4.35</v>
      </c>
      <c r="J9" s="4" t="n">
        <f aca="false">Assumptions!J15</f>
        <v>4.25</v>
      </c>
      <c r="K9" s="4" t="n">
        <f aca="false">Assumptions!K15</f>
        <v>4.15</v>
      </c>
      <c r="L9" s="4" t="n">
        <f aca="false">Assumptions!L15</f>
        <v>4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-7.690839</v>
      </c>
      <c r="D10" s="0" t="n">
        <f aca="false">-D6*D9/100</f>
        <v>-7.0089708</v>
      </c>
      <c r="E10" s="0" t="n">
        <f aca="false">-E6*E9/100</f>
        <v>-6.798701676</v>
      </c>
      <c r="F10" s="0" t="n">
        <f aca="false">-F6*F9/100</f>
        <v>-6.91898639796</v>
      </c>
      <c r="G10" s="0" t="n">
        <f aca="false">-G6*G9/100</f>
        <v>-7.1011393051716</v>
      </c>
      <c r="H10" s="0" t="n">
        <f aca="false">-H6*H9/100</f>
        <v>-7.20690095439756</v>
      </c>
      <c r="I10" s="0" t="n">
        <f aca="false">-I6*I9/100</f>
        <v>-7.31500446871353</v>
      </c>
      <c r="J10" s="0" t="n">
        <f aca="false">-J6*J9/100</f>
        <v>-7.43271718430202</v>
      </c>
      <c r="K10" s="0" t="n">
        <f aca="false">-K6*K9/100</f>
        <v>-7.47556461277623</v>
      </c>
      <c r="L10" s="0" t="n">
        <f aca="false">-L6*L9/100</f>
        <v>-7.38549756924881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150.883161</v>
      </c>
      <c r="D11" s="0" t="n">
        <f aca="false">D8+D10+D24</f>
        <v>127.7789292</v>
      </c>
      <c r="E11" s="0" t="n">
        <f aca="false">E8+E10+E24</f>
        <v>123.945561324</v>
      </c>
      <c r="F11" s="0" t="n">
        <f aca="false">F8+F10+F24</f>
        <v>134.28481764204</v>
      </c>
      <c r="G11" s="0" t="n">
        <f aca="false">G8+G10+G24</f>
        <v>143.986931017628</v>
      </c>
      <c r="H11" s="0" t="n">
        <f aca="false">H8+H10+H24</f>
        <v>152.946453587771</v>
      </c>
      <c r="I11" s="0" t="n">
        <f aca="false">I8+I10+I24</f>
        <v>160.846017800563</v>
      </c>
      <c r="J11" s="0" t="n">
        <f aca="false">J8+J10+J24</f>
        <v>167.454745975746</v>
      </c>
      <c r="K11" s="0" t="n">
        <f aca="false">K8+K10+K24</f>
        <v>172.658522442073</v>
      </c>
      <c r="L11" s="0" t="n">
        <f aca="false">L8+L10+L24</f>
        <v>177.251941661971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-0.79287</v>
      </c>
      <c r="D12" s="4" t="n">
        <f aca="false">-D6*Assumptions!D17/100</f>
        <v>-0.6739395</v>
      </c>
      <c r="E12" s="4" t="n">
        <f aca="false">-E6*Assumptions!E17/100</f>
        <v>-0.653721315</v>
      </c>
      <c r="F12" s="4" t="n">
        <f aca="false">-F6*Assumptions!F17/100</f>
        <v>-0.7060190202</v>
      </c>
      <c r="G12" s="4" t="n">
        <f aca="false">-G6*Assumptions!G17/100</f>
        <v>-0.755440351614</v>
      </c>
      <c r="H12" s="4" t="n">
        <f aca="false">-H6*Assumptions!H17/100</f>
        <v>-0.80076677271084</v>
      </c>
      <c r="I12" s="4" t="n">
        <f aca="false">-I6*Assumptions!I17/100</f>
        <v>-0.840805111346382</v>
      </c>
      <c r="J12" s="4" t="n">
        <f aca="false">-J6*Assumptions!J17/100</f>
        <v>-0.874437315800238</v>
      </c>
      <c r="K12" s="4" t="n">
        <f aca="false">-K6*Assumptions!K17/100</f>
        <v>-0.900670435274245</v>
      </c>
      <c r="L12" s="4" t="n">
        <f aca="false">-L6*Assumptions!L17/100</f>
        <v>-0.923187196156101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150.090291</v>
      </c>
      <c r="D13" s="0" t="n">
        <f aca="false">D11+D12</f>
        <v>127.1049897</v>
      </c>
      <c r="E13" s="0" t="n">
        <f aca="false">E11+E12</f>
        <v>123.291840009</v>
      </c>
      <c r="F13" s="0" t="n">
        <f aca="false">F11+F12</f>
        <v>133.57879862184</v>
      </c>
      <c r="G13" s="0" t="n">
        <f aca="false">G11+G12</f>
        <v>143.231490666014</v>
      </c>
      <c r="H13" s="0" t="n">
        <f aca="false">H11+H12</f>
        <v>152.14568681506</v>
      </c>
      <c r="I13" s="0" t="n">
        <f aca="false">I11+I12</f>
        <v>160.005212689217</v>
      </c>
      <c r="J13" s="0" t="n">
        <f aca="false">J11+J12</f>
        <v>166.580308659945</v>
      </c>
      <c r="K13" s="0" t="n">
        <f aca="false">K11+K12</f>
        <v>171.757852006798</v>
      </c>
      <c r="L13" s="0" t="n">
        <f aca="false">L11+L12</f>
        <v>176.328754465815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150.090291</v>
      </c>
      <c r="D15" s="0" t="n">
        <f aca="false">D13-MAX(0,D13)*D14/100</f>
        <v>127.1049897</v>
      </c>
      <c r="E15" s="0" t="n">
        <f aca="false">E13-MAX(0,E13)*E14/100</f>
        <v>123.291840009</v>
      </c>
      <c r="F15" s="0" t="n">
        <f aca="false">F13-MAX(0,F13)*F14/100</f>
        <v>133.57879862184</v>
      </c>
      <c r="G15" s="0" t="n">
        <f aca="false">G13-MAX(0,G13)*G14/100</f>
        <v>143.231490666014</v>
      </c>
      <c r="H15" s="0" t="n">
        <f aca="false">H13-MAX(0,H13)*H14/100</f>
        <v>152.14568681506</v>
      </c>
      <c r="I15" s="0" t="n">
        <f aca="false">I13-MAX(0,I13)*I14/100</f>
        <v>160.005212689217</v>
      </c>
      <c r="J15" s="0" t="n">
        <f aca="false">J13-MAX(0,J13)*J14/100</f>
        <v>166.580308659945</v>
      </c>
      <c r="K15" s="0" t="n">
        <f aca="false">K13-MAX(0,K13)*K14/100</f>
        <v>171.757852006798</v>
      </c>
      <c r="L15" s="0" t="n">
        <f aca="false">L13-MAX(0,L13)*L14/100</f>
        <v>176.328754465815</v>
      </c>
    </row>
    <row r="16" customFormat="false" ht="15" hidden="false" customHeight="false" outlineLevel="0" collapsed="false">
      <c r="A16" s="0" t="s">
        <v>124</v>
      </c>
      <c r="C16" s="0" t="n">
        <f aca="false">-C12</f>
        <v>0.79287</v>
      </c>
      <c r="D16" s="0" t="n">
        <f aca="false">-D12</f>
        <v>0.6739395</v>
      </c>
      <c r="E16" s="0" t="n">
        <f aca="false">-E12</f>
        <v>0.653721315</v>
      </c>
      <c r="F16" s="0" t="n">
        <f aca="false">-F12</f>
        <v>0.7060190202</v>
      </c>
      <c r="G16" s="0" t="n">
        <f aca="false">-G12</f>
        <v>0.755440351614</v>
      </c>
      <c r="H16" s="0" t="n">
        <f aca="false">-H12</f>
        <v>0.80076677271084</v>
      </c>
      <c r="I16" s="0" t="n">
        <f aca="false">-I12</f>
        <v>0.840805111346382</v>
      </c>
      <c r="J16" s="0" t="n">
        <f aca="false">-J12</f>
        <v>0.874437315800238</v>
      </c>
      <c r="K16" s="0" t="n">
        <f aca="false">-K12</f>
        <v>0.900670435274245</v>
      </c>
      <c r="L16" s="0" t="n">
        <f aca="false">-L12</f>
        <v>0.923187196156101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-20.61462</v>
      </c>
      <c r="D17" s="4" t="n">
        <f aca="false">-D6*Assumptions!D18/100</f>
        <v>-16.174548</v>
      </c>
      <c r="E17" s="4" t="n">
        <f aca="false">-E6*Assumptions!E18/100</f>
        <v>-14.38186893</v>
      </c>
      <c r="F17" s="4" t="n">
        <f aca="false">-F6*Assumptions!F18/100</f>
        <v>-14.120380404</v>
      </c>
      <c r="G17" s="4" t="n">
        <f aca="false">-G6*Assumptions!G18/100</f>
        <v>-13.597926329052</v>
      </c>
      <c r="H17" s="4" t="n">
        <f aca="false">-H6*Assumptions!H18/100</f>
        <v>-12.8122683633734</v>
      </c>
      <c r="I17" s="4" t="n">
        <f aca="false">-I6*Assumptions!I18/100</f>
        <v>-11.7712715588494</v>
      </c>
      <c r="J17" s="4" t="n">
        <f aca="false">-J6*Assumptions!J18/100</f>
        <v>-10.4932477896029</v>
      </c>
      <c r="K17" s="4" t="n">
        <f aca="false">-K6*Assumptions!K18/100</f>
        <v>-9.90737478801669</v>
      </c>
      <c r="L17" s="4" t="n">
        <f aca="false">-L6*Assumptions!L18/100</f>
        <v>-9.23187196156101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130.268541</v>
      </c>
      <c r="D19" s="0" t="n">
        <f aca="false">D15+D16+D17+D18</f>
        <v>111.6043812</v>
      </c>
      <c r="E19" s="0" t="n">
        <f aca="false">E15+E16+E17+E18</f>
        <v>109.563692394</v>
      </c>
      <c r="F19" s="0" t="n">
        <f aca="false">F15+F16+F17+F18</f>
        <v>120.16443723804</v>
      </c>
      <c r="G19" s="0" t="n">
        <f aca="false">G15+G16+G17+G18</f>
        <v>130.389004688576</v>
      </c>
      <c r="H19" s="0" t="n">
        <f aca="false">H15+H16+H17+H18</f>
        <v>140.134185224397</v>
      </c>
      <c r="I19" s="0" t="n">
        <f aca="false">I15+I16+I17+I18</f>
        <v>149.074746241714</v>
      </c>
      <c r="J19" s="0" t="n">
        <f aca="false">J15+J16+J17+J18</f>
        <v>156.961498186143</v>
      </c>
      <c r="K19" s="0" t="n">
        <f aca="false">K15+K16+K17+K18</f>
        <v>162.751147654056</v>
      </c>
      <c r="L19" s="0" t="n">
        <f aca="false">L15+L16+L17+L18</f>
        <v>168.02006970041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117.359045945946</v>
      </c>
      <c r="D21" s="0" t="n">
        <f aca="false">D19*D20</f>
        <v>90.580619430241</v>
      </c>
      <c r="E21" s="0" t="n">
        <f aca="false">E19*E20</f>
        <v>80.1120275820013</v>
      </c>
      <c r="F21" s="0" t="n">
        <f aca="false">F19*F20</f>
        <v>79.1560367993998</v>
      </c>
      <c r="G21" s="0" t="n">
        <f aca="false">G19*G20</f>
        <v>77.3795279966693</v>
      </c>
      <c r="H21" s="0" t="n">
        <f aca="false">H19*H20</f>
        <v>74.9214579529932</v>
      </c>
      <c r="I21" s="0" t="n">
        <f aca="false">I19*I20</f>
        <v>71.8031053787335</v>
      </c>
      <c r="J21" s="0" t="n">
        <f aca="false">J19*J20</f>
        <v>68.109752961601</v>
      </c>
      <c r="K21" s="0" t="n">
        <f aca="false">K19*K20</f>
        <v>63.6234551982039</v>
      </c>
      <c r="L21" s="0" t="n">
        <f aca="false">L19*L20</f>
        <v>59.1740606710886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782.219089916878</v>
      </c>
    </row>
    <row r="31" customFormat="false" ht="15" hidden="false" customHeight="false" outlineLevel="0" collapsed="false">
      <c r="A31" s="0" t="s">
        <v>133</v>
      </c>
      <c r="B31" s="0" t="n">
        <f aca="false">L19</f>
        <v>168.02006970041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2026.12436991671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2520.30104550616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2026.12436991671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713.569555151363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1495.78864506824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1386.73164506824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5.85405365102008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-0.54934152032178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42.4855358951851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31.365694731928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6.16581481102714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1377.76457154336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3.75912080868166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24</v>
      </c>
      <c r="D5" s="4" t="n">
        <f aca="false">Assumptions!D27</f>
        <v>10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139.1</v>
      </c>
      <c r="C6" s="0" t="n">
        <f aca="false">B6*(1+C5/100)</f>
        <v>172.484</v>
      </c>
      <c r="D6" s="0" t="n">
        <f aca="false">C6*(1+D5/100)</f>
        <v>189.7324</v>
      </c>
      <c r="E6" s="0" t="n">
        <f aca="false">D6*(1+E5/100)</f>
        <v>206.808316</v>
      </c>
      <c r="F6" s="0" t="n">
        <f aca="false">E6*(1+F5/100)</f>
        <v>223.35298128</v>
      </c>
      <c r="G6" s="0" t="n">
        <f aca="false">F6*(1+G5/100)</f>
        <v>238.9876899696</v>
      </c>
      <c r="H6" s="0" t="n">
        <f aca="false">G6*(1+H5/100)</f>
        <v>253.326951367776</v>
      </c>
      <c r="I6" s="0" t="n">
        <f aca="false">H6*(1+I5/100)</f>
        <v>265.993298936165</v>
      </c>
      <c r="J6" s="0" t="n">
        <f aca="false">I6*(1+J5/100)</f>
        <v>277.962997388292</v>
      </c>
      <c r="K6" s="0" t="n">
        <f aca="false">J6*(1+K5/100)</f>
        <v>289.081517283824</v>
      </c>
      <c r="L6" s="0" t="n">
        <f aca="false">K6*(1+L5/100)</f>
        <v>299.199370388758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172.484</v>
      </c>
      <c r="D8" s="0" t="n">
        <f aca="false">D6*D7/100</f>
        <v>189.7324</v>
      </c>
      <c r="E8" s="0" t="n">
        <f aca="false">E6*E7/100</f>
        <v>206.808316</v>
      </c>
      <c r="F8" s="0" t="n">
        <f aca="false">F6*F7/100</f>
        <v>223.35298128</v>
      </c>
      <c r="G8" s="0" t="n">
        <f aca="false">G6*G7/100</f>
        <v>238.9876899696</v>
      </c>
      <c r="H8" s="0" t="n">
        <f aca="false">H6*H7/100</f>
        <v>253.326951367776</v>
      </c>
      <c r="I8" s="0" t="n">
        <f aca="false">I6*I7/100</f>
        <v>265.993298936165</v>
      </c>
      <c r="J8" s="0" t="n">
        <f aca="false">J6*J7/100</f>
        <v>277.962997388292</v>
      </c>
      <c r="K8" s="0" t="n">
        <f aca="false">K6*K7/100</f>
        <v>289.081517283824</v>
      </c>
      <c r="L8" s="0" t="n">
        <f aca="false">L6*L7/100</f>
        <v>299.199370388758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4.85</v>
      </c>
      <c r="D9" s="4" t="n">
        <f aca="false">Assumptions!D29</f>
        <v>4.75</v>
      </c>
      <c r="E9" s="4" t="n">
        <f aca="false">Assumptions!E29</f>
        <v>4.65</v>
      </c>
      <c r="F9" s="4" t="n">
        <f aca="false">Assumptions!F29</f>
        <v>4.55</v>
      </c>
      <c r="G9" s="4" t="n">
        <f aca="false">Assumptions!G29</f>
        <v>4.45</v>
      </c>
      <c r="H9" s="4" t="n">
        <f aca="false">Assumptions!H29</f>
        <v>4.35</v>
      </c>
      <c r="I9" s="4" t="n">
        <f aca="false">Assumptions!I29</f>
        <v>4.25</v>
      </c>
      <c r="J9" s="4" t="n">
        <f aca="false">Assumptions!J29</f>
        <v>4.15</v>
      </c>
      <c r="K9" s="4" t="n">
        <f aca="false">Assumptions!K29</f>
        <v>4.05</v>
      </c>
      <c r="L9" s="4" t="n">
        <f aca="false">Assumptions!L29</f>
        <v>4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-8.365474</v>
      </c>
      <c r="D10" s="0" t="n">
        <f aca="false">-D6*D9/100</f>
        <v>-9.012289</v>
      </c>
      <c r="E10" s="0" t="n">
        <f aca="false">-E6*E9/100</f>
        <v>-9.616586694</v>
      </c>
      <c r="F10" s="0" t="n">
        <f aca="false">-F6*F9/100</f>
        <v>-10.16256064824</v>
      </c>
      <c r="G10" s="0" t="n">
        <f aca="false">-G6*G9/100</f>
        <v>-10.6349522036472</v>
      </c>
      <c r="H10" s="0" t="n">
        <f aca="false">-H6*H9/100</f>
        <v>-11.0197223844983</v>
      </c>
      <c r="I10" s="0" t="n">
        <f aca="false">-I6*I9/100</f>
        <v>-11.304715204787</v>
      </c>
      <c r="J10" s="0" t="n">
        <f aca="false">-J6*J9/100</f>
        <v>-11.5354643916141</v>
      </c>
      <c r="K10" s="0" t="n">
        <f aca="false">-K6*K9/100</f>
        <v>-11.7078014499949</v>
      </c>
      <c r="L10" s="0" t="n">
        <f aca="false">-L6*L9/100</f>
        <v>-11.9679748155503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164.118526</v>
      </c>
      <c r="D11" s="0" t="n">
        <f aca="false">D8+D10+D24</f>
        <v>180.720111</v>
      </c>
      <c r="E11" s="0" t="n">
        <f aca="false">E8+E10+E24</f>
        <v>197.191729306</v>
      </c>
      <c r="F11" s="0" t="n">
        <f aca="false">F8+F10+F24</f>
        <v>213.19042063176</v>
      </c>
      <c r="G11" s="0" t="n">
        <f aca="false">G8+G10+G24</f>
        <v>228.352737765953</v>
      </c>
      <c r="H11" s="0" t="n">
        <f aca="false">H8+H10+H24</f>
        <v>242.307228983278</v>
      </c>
      <c r="I11" s="0" t="n">
        <f aca="false">I8+I10+I24</f>
        <v>254.688583731378</v>
      </c>
      <c r="J11" s="0" t="n">
        <f aca="false">J8+J10+J24</f>
        <v>266.427532996678</v>
      </c>
      <c r="K11" s="0" t="n">
        <f aca="false">K8+K10+K24</f>
        <v>277.373715833829</v>
      </c>
      <c r="L11" s="0" t="n">
        <f aca="false">L8+L10+L24</f>
        <v>287.231395573207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-0.86242</v>
      </c>
      <c r="D12" s="4" t="n">
        <f aca="false">-D6*Assumptions!D31/100</f>
        <v>-0.948662</v>
      </c>
      <c r="E12" s="4" t="n">
        <f aca="false">-E6*Assumptions!E31/100</f>
        <v>-1.03404158</v>
      </c>
      <c r="F12" s="4" t="n">
        <f aca="false">-F6*Assumptions!F31/100</f>
        <v>-1.1167649064</v>
      </c>
      <c r="G12" s="4" t="n">
        <f aca="false">-G6*Assumptions!G31/100</f>
        <v>-1.194938449848</v>
      </c>
      <c r="H12" s="4" t="n">
        <f aca="false">-H6*Assumptions!H31/100</f>
        <v>-1.26663475683888</v>
      </c>
      <c r="I12" s="4" t="n">
        <f aca="false">-I6*Assumptions!I31/100</f>
        <v>-1.32996649468082</v>
      </c>
      <c r="J12" s="4" t="n">
        <f aca="false">-J6*Assumptions!J31/100</f>
        <v>-1.38981498694146</v>
      </c>
      <c r="K12" s="4" t="n">
        <f aca="false">-K6*Assumptions!K31/100</f>
        <v>-1.44540758641912</v>
      </c>
      <c r="L12" s="4" t="n">
        <f aca="false">-L6*Assumptions!L31/100</f>
        <v>-1.49599685194379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163.256106</v>
      </c>
      <c r="D13" s="0" t="n">
        <f aca="false">D11+D12</f>
        <v>179.771449</v>
      </c>
      <c r="E13" s="0" t="n">
        <f aca="false">E11+E12</f>
        <v>196.157687726</v>
      </c>
      <c r="F13" s="0" t="n">
        <f aca="false">F11+F12</f>
        <v>212.07365572536</v>
      </c>
      <c r="G13" s="0" t="n">
        <f aca="false">G11+G12</f>
        <v>227.157799316105</v>
      </c>
      <c r="H13" s="0" t="n">
        <f aca="false">H11+H12</f>
        <v>241.040594226439</v>
      </c>
      <c r="I13" s="0" t="n">
        <f aca="false">I11+I12</f>
        <v>253.358617236697</v>
      </c>
      <c r="J13" s="0" t="n">
        <f aca="false">J11+J12</f>
        <v>265.037718009737</v>
      </c>
      <c r="K13" s="0" t="n">
        <f aca="false">K11+K12</f>
        <v>275.92830824741</v>
      </c>
      <c r="L13" s="0" t="n">
        <f aca="false">L11+L12</f>
        <v>285.735398721264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163.256106</v>
      </c>
      <c r="D15" s="0" t="n">
        <f aca="false">D13-MAX(0,D13)*D14/100</f>
        <v>179.771449</v>
      </c>
      <c r="E15" s="0" t="n">
        <f aca="false">E13-MAX(0,E13)*E14/100</f>
        <v>196.157687726</v>
      </c>
      <c r="F15" s="0" t="n">
        <f aca="false">F13-MAX(0,F13)*F14/100</f>
        <v>212.07365572536</v>
      </c>
      <c r="G15" s="0" t="n">
        <f aca="false">G13-MAX(0,G13)*G14/100</f>
        <v>227.157799316105</v>
      </c>
      <c r="H15" s="0" t="n">
        <f aca="false">H13-MAX(0,H13)*H14/100</f>
        <v>241.040594226439</v>
      </c>
      <c r="I15" s="0" t="n">
        <f aca="false">I13-MAX(0,I13)*I14/100</f>
        <v>253.358617236697</v>
      </c>
      <c r="J15" s="0" t="n">
        <f aca="false">J13-MAX(0,J13)*J14/100</f>
        <v>265.037718009737</v>
      </c>
      <c r="K15" s="0" t="n">
        <f aca="false">K13-MAX(0,K13)*K14/100</f>
        <v>275.92830824741</v>
      </c>
      <c r="L15" s="0" t="n">
        <f aca="false">L13-MAX(0,L13)*L14/100</f>
        <v>285.735398721264</v>
      </c>
    </row>
    <row r="16" customFormat="false" ht="15" hidden="false" customHeight="false" outlineLevel="0" collapsed="false">
      <c r="A16" s="0" t="s">
        <v>124</v>
      </c>
      <c r="C16" s="0" t="n">
        <f aca="false">-C12</f>
        <v>0.86242</v>
      </c>
      <c r="D16" s="0" t="n">
        <f aca="false">-D12</f>
        <v>0.948662</v>
      </c>
      <c r="E16" s="0" t="n">
        <f aca="false">-E12</f>
        <v>1.03404158</v>
      </c>
      <c r="F16" s="0" t="n">
        <f aca="false">-F12</f>
        <v>1.1167649064</v>
      </c>
      <c r="G16" s="0" t="n">
        <f aca="false">-G12</f>
        <v>1.194938449848</v>
      </c>
      <c r="H16" s="0" t="n">
        <f aca="false">-H12</f>
        <v>1.26663475683888</v>
      </c>
      <c r="I16" s="0" t="n">
        <f aca="false">-I12</f>
        <v>1.32996649468082</v>
      </c>
      <c r="J16" s="0" t="n">
        <f aca="false">-J12</f>
        <v>1.38981498694146</v>
      </c>
      <c r="K16" s="0" t="n">
        <f aca="false">-K12</f>
        <v>1.44540758641912</v>
      </c>
      <c r="L16" s="0" t="n">
        <f aca="false">-L12</f>
        <v>1.49599685194379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-22.42292</v>
      </c>
      <c r="D17" s="4" t="n">
        <f aca="false">-D6*Assumptions!D32/100</f>
        <v>-22.767888</v>
      </c>
      <c r="E17" s="4" t="n">
        <f aca="false">-E6*Assumptions!E32/100</f>
        <v>-22.74891476</v>
      </c>
      <c r="F17" s="4" t="n">
        <f aca="false">-F6*Assumptions!F32/100</f>
        <v>-22.335298128</v>
      </c>
      <c r="G17" s="4" t="n">
        <f aca="false">-G6*Assumptions!G32/100</f>
        <v>-21.508892097264</v>
      </c>
      <c r="H17" s="4" t="n">
        <f aca="false">-H6*Assumptions!H32/100</f>
        <v>-20.2661561094221</v>
      </c>
      <c r="I17" s="4" t="n">
        <f aca="false">-I6*Assumptions!I32/100</f>
        <v>-18.6195309255315</v>
      </c>
      <c r="J17" s="4" t="n">
        <f aca="false">-J6*Assumptions!J32/100</f>
        <v>-16.6777798432975</v>
      </c>
      <c r="K17" s="4" t="n">
        <f aca="false">-K6*Assumptions!K32/100</f>
        <v>-15.8994834506103</v>
      </c>
      <c r="L17" s="4" t="n">
        <f aca="false">-L6*Assumptions!L32/100</f>
        <v>-14.9599685194379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141.695606</v>
      </c>
      <c r="D19" s="0" t="n">
        <f aca="false">D15+D16+D17+D18</f>
        <v>157.952223</v>
      </c>
      <c r="E19" s="0" t="n">
        <f aca="false">E15+E16+E17+E18</f>
        <v>174.442814546</v>
      </c>
      <c r="F19" s="0" t="n">
        <f aca="false">F15+F16+F17+F18</f>
        <v>190.85512250376</v>
      </c>
      <c r="G19" s="0" t="n">
        <f aca="false">G15+G16+G17+G18</f>
        <v>206.843845668689</v>
      </c>
      <c r="H19" s="0" t="n">
        <f aca="false">H15+H16+H17+H18</f>
        <v>222.041072873856</v>
      </c>
      <c r="I19" s="0" t="n">
        <f aca="false">I15+I16+I17+I18</f>
        <v>236.069052805846</v>
      </c>
      <c r="J19" s="0" t="n">
        <f aca="false">J15+J16+J17+J18</f>
        <v>249.749753153381</v>
      </c>
      <c r="K19" s="0" t="n">
        <f aca="false">K15+K16+K17+K18</f>
        <v>261.474232383219</v>
      </c>
      <c r="L19" s="0" t="n">
        <f aca="false">L15+L16+L17+L18</f>
        <v>272.27142705377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127.653699099099</v>
      </c>
      <c r="D21" s="0" t="n">
        <f aca="false">D19*D20</f>
        <v>128.197567567568</v>
      </c>
      <c r="E21" s="0" t="n">
        <f aca="false">E19*E20</f>
        <v>127.551082525915</v>
      </c>
      <c r="F21" s="0" t="n">
        <f aca="false">F19*F20</f>
        <v>125.722180767465</v>
      </c>
      <c r="G21" s="0" t="n">
        <f aca="false">G19*G20</f>
        <v>122.751754912823</v>
      </c>
      <c r="H21" s="0" t="n">
        <f aca="false">H19*H20</f>
        <v>118.71222484733</v>
      </c>
      <c r="I21" s="0" t="n">
        <f aca="false">I19*I20</f>
        <v>113.704644834961</v>
      </c>
      <c r="J21" s="0" t="n">
        <f aca="false">J19*J20</f>
        <v>108.373035337142</v>
      </c>
      <c r="K21" s="0" t="n">
        <f aca="false">K19*K20</f>
        <v>102.21675453177</v>
      </c>
      <c r="L21" s="0" t="n">
        <f aca="false">L19*L20</f>
        <v>95.8897706221121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1170.77271504619</v>
      </c>
    </row>
    <row r="31" customFormat="false" ht="15" hidden="false" customHeight="false" outlineLevel="0" collapsed="false">
      <c r="A31" s="0" t="s">
        <v>133</v>
      </c>
      <c r="B31" s="0" t="n">
        <f aca="false">L19</f>
        <v>272.27142705377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3505.49462331728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4084.07140580654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3505.49462331728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1234.58079675969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2405.35351180588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2296.29651180588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9.69375944262119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-0.253752159921386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60.0222772583941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54.2672877696569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10.1762300401628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2336.99641554486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6.10397380892756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30</v>
      </c>
      <c r="D5" s="4" t="n">
        <f aca="false">Assumptions!D41</f>
        <v>15</v>
      </c>
      <c r="E5" s="4" t="n">
        <f aca="false">Assumptions!E41</f>
        <v>13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139.1</v>
      </c>
      <c r="C6" s="0" t="n">
        <f aca="false">B6*(1+C5/100)</f>
        <v>180.83</v>
      </c>
      <c r="D6" s="0" t="n">
        <f aca="false">C6*(1+D5/100)</f>
        <v>207.9545</v>
      </c>
      <c r="E6" s="0" t="n">
        <f aca="false">D6*(1+E5/100)</f>
        <v>234.988585</v>
      </c>
      <c r="F6" s="0" t="n">
        <f aca="false">E6*(1+F5/100)</f>
        <v>260.83732935</v>
      </c>
      <c r="G6" s="0" t="n">
        <f aca="false">F6*(1+G5/100)</f>
        <v>286.921062285</v>
      </c>
      <c r="H6" s="0" t="n">
        <f aca="false">G6*(1+H5/100)</f>
        <v>312.74395789065</v>
      </c>
      <c r="I6" s="0" t="n">
        <f aca="false">H6*(1+I5/100)</f>
        <v>337.763474521902</v>
      </c>
      <c r="J6" s="0" t="n">
        <f aca="false">I6*(1+J5/100)</f>
        <v>361.406917738435</v>
      </c>
      <c r="K6" s="0" t="n">
        <f aca="false">J6*(1+K5/100)</f>
        <v>383.091332802741</v>
      </c>
      <c r="L6" s="0" t="n">
        <f aca="false">K6*(1+L5/100)</f>
        <v>402.245899442878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180.83</v>
      </c>
      <c r="D8" s="0" t="n">
        <f aca="false">D6*D7/100</f>
        <v>207.9545</v>
      </c>
      <c r="E8" s="0" t="n">
        <f aca="false">E6*E7/100</f>
        <v>234.988585</v>
      </c>
      <c r="F8" s="0" t="n">
        <f aca="false">F6*F7/100</f>
        <v>260.83732935</v>
      </c>
      <c r="G8" s="0" t="n">
        <f aca="false">G6*G7/100</f>
        <v>286.921062285</v>
      </c>
      <c r="H8" s="0" t="n">
        <f aca="false">H6*H7/100</f>
        <v>312.74395789065</v>
      </c>
      <c r="I8" s="0" t="n">
        <f aca="false">I6*I7/100</f>
        <v>337.763474521902</v>
      </c>
      <c r="J8" s="0" t="n">
        <f aca="false">J6*J7/100</f>
        <v>361.406917738435</v>
      </c>
      <c r="K8" s="0" t="n">
        <f aca="false">K6*K7/100</f>
        <v>383.091332802741</v>
      </c>
      <c r="L8" s="0" t="n">
        <f aca="false">L6*L7/100</f>
        <v>402.245899442878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4.85</v>
      </c>
      <c r="D9" s="4" t="n">
        <f aca="false">Assumptions!D43</f>
        <v>4.75</v>
      </c>
      <c r="E9" s="4" t="n">
        <f aca="false">Assumptions!E43</f>
        <v>4.65</v>
      </c>
      <c r="F9" s="4" t="n">
        <f aca="false">Assumptions!F43</f>
        <v>4.55</v>
      </c>
      <c r="G9" s="4" t="n">
        <f aca="false">Assumptions!G43</f>
        <v>4.45</v>
      </c>
      <c r="H9" s="4" t="n">
        <f aca="false">Assumptions!H43</f>
        <v>4.35</v>
      </c>
      <c r="I9" s="4" t="n">
        <f aca="false">Assumptions!I43</f>
        <v>4.25</v>
      </c>
      <c r="J9" s="4" t="n">
        <f aca="false">Assumptions!J43</f>
        <v>4.15</v>
      </c>
      <c r="K9" s="4" t="n">
        <f aca="false">Assumptions!K43</f>
        <v>4.05</v>
      </c>
      <c r="L9" s="4" t="n">
        <f aca="false">Assumptions!L43</f>
        <v>4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-8.770255</v>
      </c>
      <c r="D10" s="0" t="n">
        <f aca="false">-D6*D9/100</f>
        <v>-9.87783875</v>
      </c>
      <c r="E10" s="0" t="n">
        <f aca="false">-E6*E9/100</f>
        <v>-10.9269692025</v>
      </c>
      <c r="F10" s="0" t="n">
        <f aca="false">-F6*F9/100</f>
        <v>-11.868098485425</v>
      </c>
      <c r="G10" s="0" t="n">
        <f aca="false">-G6*G9/100</f>
        <v>-12.7679872716825</v>
      </c>
      <c r="H10" s="0" t="n">
        <f aca="false">-H6*H9/100</f>
        <v>-13.6043621682433</v>
      </c>
      <c r="I10" s="0" t="n">
        <f aca="false">-I6*I9/100</f>
        <v>-14.3549476671808</v>
      </c>
      <c r="J10" s="0" t="n">
        <f aca="false">-J6*J9/100</f>
        <v>-14.9983870861451</v>
      </c>
      <c r="K10" s="0" t="n">
        <f aca="false">-K6*K9/100</f>
        <v>-15.515198978511</v>
      </c>
      <c r="L10" s="0" t="n">
        <f aca="false">-L6*L9/100</f>
        <v>-16.0898359777151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172.059745</v>
      </c>
      <c r="D11" s="0" t="n">
        <f aca="false">D8+D10+D24</f>
        <v>198.07666125</v>
      </c>
      <c r="E11" s="0" t="n">
        <f aca="false">E8+E10+E24</f>
        <v>224.0616157975</v>
      </c>
      <c r="F11" s="0" t="n">
        <f aca="false">F8+F10+F24</f>
        <v>248.969230864575</v>
      </c>
      <c r="G11" s="0" t="n">
        <f aca="false">G8+G10+G24</f>
        <v>274.153075013318</v>
      </c>
      <c r="H11" s="0" t="n">
        <f aca="false">H8+H10+H24</f>
        <v>299.139595722407</v>
      </c>
      <c r="I11" s="0" t="n">
        <f aca="false">I8+I10+I24</f>
        <v>323.408526854721</v>
      </c>
      <c r="J11" s="0" t="n">
        <f aca="false">J8+J10+J24</f>
        <v>346.40853065229</v>
      </c>
      <c r="K11" s="0" t="n">
        <f aca="false">K8+K10+K24</f>
        <v>367.57613382423</v>
      </c>
      <c r="L11" s="0" t="n">
        <f aca="false">L8+L10+L24</f>
        <v>386.156063465163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-0.90415</v>
      </c>
      <c r="D12" s="4" t="n">
        <f aca="false">-D6*Assumptions!D45/100</f>
        <v>-1.0397725</v>
      </c>
      <c r="E12" s="4" t="n">
        <f aca="false">-E6*Assumptions!E45/100</f>
        <v>-1.174942925</v>
      </c>
      <c r="F12" s="4" t="n">
        <f aca="false">-F6*Assumptions!F45/100</f>
        <v>-1.30418664675</v>
      </c>
      <c r="G12" s="4" t="n">
        <f aca="false">-G6*Assumptions!G45/100</f>
        <v>-1.434605311425</v>
      </c>
      <c r="H12" s="4" t="n">
        <f aca="false">-H6*Assumptions!H45/100</f>
        <v>-1.56371978945325</v>
      </c>
      <c r="I12" s="4" t="n">
        <f aca="false">-I6*Assumptions!I45/100</f>
        <v>-1.68881737260951</v>
      </c>
      <c r="J12" s="4" t="n">
        <f aca="false">-J6*Assumptions!J45/100</f>
        <v>-1.80703458869218</v>
      </c>
      <c r="K12" s="4" t="n">
        <f aca="false">-K6*Assumptions!K45/100</f>
        <v>-1.91545666401371</v>
      </c>
      <c r="L12" s="4" t="n">
        <f aca="false">-L6*Assumptions!L45/100</f>
        <v>-2.01122949721439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171.155595</v>
      </c>
      <c r="D13" s="0" t="n">
        <f aca="false">D11+D12</f>
        <v>197.03688875</v>
      </c>
      <c r="E13" s="0" t="n">
        <f aca="false">E11+E12</f>
        <v>222.8866728725</v>
      </c>
      <c r="F13" s="0" t="n">
        <f aca="false">F11+F12</f>
        <v>247.665044217825</v>
      </c>
      <c r="G13" s="0" t="n">
        <f aca="false">G11+G12</f>
        <v>272.718469701893</v>
      </c>
      <c r="H13" s="0" t="n">
        <f aca="false">H11+H12</f>
        <v>297.575875932954</v>
      </c>
      <c r="I13" s="0" t="n">
        <f aca="false">I11+I12</f>
        <v>321.719709482112</v>
      </c>
      <c r="J13" s="0" t="n">
        <f aca="false">J11+J12</f>
        <v>344.601496063598</v>
      </c>
      <c r="K13" s="0" t="n">
        <f aca="false">K11+K12</f>
        <v>365.660677160217</v>
      </c>
      <c r="L13" s="0" t="n">
        <f aca="false">L11+L12</f>
        <v>384.144833967949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171.155595</v>
      </c>
      <c r="D15" s="0" t="n">
        <f aca="false">D13-MAX(0,D13)*D14/100</f>
        <v>197.03688875</v>
      </c>
      <c r="E15" s="0" t="n">
        <f aca="false">E13-MAX(0,E13)*E14/100</f>
        <v>222.8866728725</v>
      </c>
      <c r="F15" s="0" t="n">
        <f aca="false">F13-MAX(0,F13)*F14/100</f>
        <v>247.665044217825</v>
      </c>
      <c r="G15" s="0" t="n">
        <f aca="false">G13-MAX(0,G13)*G14/100</f>
        <v>272.718469701893</v>
      </c>
      <c r="H15" s="0" t="n">
        <f aca="false">H13-MAX(0,H13)*H14/100</f>
        <v>297.575875932954</v>
      </c>
      <c r="I15" s="0" t="n">
        <f aca="false">I13-MAX(0,I13)*I14/100</f>
        <v>321.719709482112</v>
      </c>
      <c r="J15" s="0" t="n">
        <f aca="false">J13-MAX(0,J13)*J14/100</f>
        <v>344.601496063598</v>
      </c>
      <c r="K15" s="0" t="n">
        <f aca="false">K13-MAX(0,K13)*K14/100</f>
        <v>365.660677160217</v>
      </c>
      <c r="L15" s="0" t="n">
        <f aca="false">L13-MAX(0,L13)*L14/100</f>
        <v>384.144833967949</v>
      </c>
    </row>
    <row r="16" customFormat="false" ht="15" hidden="false" customHeight="false" outlineLevel="0" collapsed="false">
      <c r="A16" s="0" t="s">
        <v>124</v>
      </c>
      <c r="C16" s="0" t="n">
        <f aca="false">-C12</f>
        <v>0.90415</v>
      </c>
      <c r="D16" s="0" t="n">
        <f aca="false">-D12</f>
        <v>1.0397725</v>
      </c>
      <c r="E16" s="0" t="n">
        <f aca="false">-E12</f>
        <v>1.174942925</v>
      </c>
      <c r="F16" s="0" t="n">
        <f aca="false">-F12</f>
        <v>1.30418664675</v>
      </c>
      <c r="G16" s="0" t="n">
        <f aca="false">-G12</f>
        <v>1.434605311425</v>
      </c>
      <c r="H16" s="0" t="n">
        <f aca="false">-H12</f>
        <v>1.56371978945325</v>
      </c>
      <c r="I16" s="0" t="n">
        <f aca="false">-I12</f>
        <v>1.68881737260951</v>
      </c>
      <c r="J16" s="0" t="n">
        <f aca="false">-J12</f>
        <v>1.80703458869218</v>
      </c>
      <c r="K16" s="0" t="n">
        <f aca="false">-K12</f>
        <v>1.91545666401371</v>
      </c>
      <c r="L16" s="0" t="n">
        <f aca="false">-L12</f>
        <v>2.01122949721439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-23.5079</v>
      </c>
      <c r="D17" s="4" t="n">
        <f aca="false">-D6*Assumptions!D46/100</f>
        <v>-24.95454</v>
      </c>
      <c r="E17" s="4" t="n">
        <f aca="false">-E6*Assumptions!E46/100</f>
        <v>-25.84874435</v>
      </c>
      <c r="F17" s="4" t="n">
        <f aca="false">-F6*Assumptions!F46/100</f>
        <v>-26.083732935</v>
      </c>
      <c r="G17" s="4" t="n">
        <f aca="false">-G6*Assumptions!G46/100</f>
        <v>-25.82289560565</v>
      </c>
      <c r="H17" s="4" t="n">
        <f aca="false">-H6*Assumptions!H46/100</f>
        <v>-25.019516631252</v>
      </c>
      <c r="I17" s="4" t="n">
        <f aca="false">-I6*Assumptions!I46/100</f>
        <v>-23.6434432165331</v>
      </c>
      <c r="J17" s="4" t="n">
        <f aca="false">-J6*Assumptions!J46/100</f>
        <v>-21.6844150643061</v>
      </c>
      <c r="K17" s="4" t="n">
        <f aca="false">-K6*Assumptions!K46/100</f>
        <v>-21.0700233041508</v>
      </c>
      <c r="L17" s="4" t="n">
        <f aca="false">-L6*Assumptions!L46/100</f>
        <v>-20.1122949721439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148.551845</v>
      </c>
      <c r="D19" s="0" t="n">
        <f aca="false">D15+D16+D17+D18</f>
        <v>173.12212125</v>
      </c>
      <c r="E19" s="0" t="n">
        <f aca="false">E15+E16+E17+E18</f>
        <v>198.2128714475</v>
      </c>
      <c r="F19" s="0" t="n">
        <f aca="false">F15+F16+F17+F18</f>
        <v>222.885497929575</v>
      </c>
      <c r="G19" s="0" t="n">
        <f aca="false">G15+G16+G17+G18</f>
        <v>248.330179407668</v>
      </c>
      <c r="H19" s="0" t="n">
        <f aca="false">H15+H16+H17+H18</f>
        <v>274.120079091155</v>
      </c>
      <c r="I19" s="0" t="n">
        <f aca="false">I15+I16+I17+I18</f>
        <v>299.765083638188</v>
      </c>
      <c r="J19" s="0" t="n">
        <f aca="false">J15+J16+J17+J18</f>
        <v>324.724115587984</v>
      </c>
      <c r="K19" s="0" t="n">
        <f aca="false">K15+K16+K17+K18</f>
        <v>346.50611052008</v>
      </c>
      <c r="L19" s="0" t="n">
        <f aca="false">L15+L16+L17+L18</f>
        <v>366.043768493019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133.830490990991</v>
      </c>
      <c r="D21" s="0" t="n">
        <f aca="false">D19*D20</f>
        <v>140.509797297297</v>
      </c>
      <c r="E21" s="0" t="n">
        <f aca="false">E19*E20</f>
        <v>144.931543265325</v>
      </c>
      <c r="F21" s="0" t="n">
        <f aca="false">F19*F20</f>
        <v>146.821581173942</v>
      </c>
      <c r="G21" s="0" t="n">
        <f aca="false">G19*G20</f>
        <v>147.3718747665</v>
      </c>
      <c r="H21" s="0" t="n">
        <f aca="false">H19*H20</f>
        <v>146.555788274021</v>
      </c>
      <c r="I21" s="0" t="n">
        <f aca="false">I19*I20</f>
        <v>144.384373825718</v>
      </c>
      <c r="J21" s="0" t="n">
        <f aca="false">J19*J20</f>
        <v>140.906397740567</v>
      </c>
      <c r="K21" s="0" t="n">
        <f aca="false">K19*K20</f>
        <v>135.457822057507</v>
      </c>
      <c r="L21" s="0" t="n">
        <f aca="false">L19*L20</f>
        <v>128.914933815356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1409.68460320723</v>
      </c>
    </row>
    <row r="31" customFormat="false" ht="15" hidden="false" customHeight="false" outlineLevel="0" collapsed="false">
      <c r="A31" s="0" t="s">
        <v>133</v>
      </c>
      <c r="B31" s="0" t="n">
        <f aca="false">L19</f>
        <v>366.043768493019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5051.40400520367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5490.65652739529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5051.40400520367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1779.02608665191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3188.71068985913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3079.65368985913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13.0006825697773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0.000822368728047085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71.7306674524597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78.1989488638201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13.6336067702986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3294.39391643717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7.9064420847084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5.85405365102008</v>
      </c>
      <c r="C4" s="0" t="n">
        <f aca="false">B4/Assumptions!$B$2-1</f>
        <v>-0.54934152032178</v>
      </c>
      <c r="D4" s="4" t="n">
        <f aca="false">Assumptions!$B$24</f>
        <v>0.25</v>
      </c>
      <c r="E4" s="4" t="n">
        <f aca="false">DCF_Bear!$B$43</f>
        <v>6.16581481102714</v>
      </c>
      <c r="F4" s="4" t="n">
        <f aca="false">DCF_Bear!$B$47</f>
        <v>3.75912080868166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9.69375944262119</v>
      </c>
      <c r="C5" s="0" t="n">
        <f aca="false">B5/Assumptions!$B$2-1</f>
        <v>-0.253752159921386</v>
      </c>
      <c r="D5" s="4" t="n">
        <f aca="false">Assumptions!$B$38</f>
        <v>0.5</v>
      </c>
      <c r="E5" s="4" t="n">
        <f aca="false">DCF_Base!$B$43</f>
        <v>10.1762300401628</v>
      </c>
      <c r="F5" s="4" t="n">
        <f aca="false">DCF_Base!$B$47</f>
        <v>6.10397380892756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13.0006825697773</v>
      </c>
      <c r="C6" s="0" t="n">
        <f aca="false">B6/Assumptions!$B$2-1</f>
        <v>0.000822368728047085</v>
      </c>
      <c r="D6" s="4" t="n">
        <f aca="false">Assumptions!$B$52</f>
        <v>0.25</v>
      </c>
      <c r="E6" s="4" t="n">
        <f aca="false">DCF_Bull!$B$43</f>
        <v>13.6336067702986</v>
      </c>
      <c r="F6" s="4" t="n">
        <f aca="false">DCF_Bull!$B$47</f>
        <v>7.9064420847084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9.56056377650995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10.0379704154128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-0.358706484644356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718.346990601357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5.9683776278113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12.2661636330353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11.2442905787847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9.69375944262119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8.49179672741278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6.10397380892756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12.0580863947551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12.2661636330353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12.2661636330353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12.2661636330353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12.2661636330353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10.373839944083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10.7800502402771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11.2442905787847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11.3709015801958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11.3709015801958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9.0696984547857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9.36337421376711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9.69375944262119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10.0681960353225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10.4961235698383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8.03126280405024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8.24941045195881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8.49179672741278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8.76269903527309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9.06746413161594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7.18576115212828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7.35139472438181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7.53359165386068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7.73496720749523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7.95871782264473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2026-09-25T04:42:57Z</dcterms:created>
  <dc:creator>openpyxl</dc:creator>
  <dc:description/>
  <dc:language>en-NZ</dc:language>
  <cp:lastModifiedBy/>
  <dcterms:modified xsi:type="dcterms:W3CDTF">2026-09-25T04:42:57Z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