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<sst xmlns="http://schemas.openxmlformats.org/spreadsheetml/2006/main" count="345" uniqueCount="163">
  <si>
    <t xml:space="preserve">Ticker</t>
  </si>
  <si>
    <t xml:space="preserve">2589.HK</t>
  </si>
  <si>
    <t xml:space="preserve">Company</t>
  </si>
  <si>
    <t xml:space="preserve">Auntea Jenny (Shanghai) Industrial Co., Ltd.</t>
  </si>
  <si>
    <t xml:space="preserve">Valuation date</t>
  </si>
  <si>
    <t xml:space="preserve">2026-10-18</t>
  </si>
  <si>
    <t xml:space="preserve">Current price</t>
  </si>
  <si>
    <t xml:space="preserve">Price as of</t>
  </si>
  <si>
    <t xml:space="preserve">2026-10-16T08:08:14Z HKEX regular close (Friday); 52-week range 59.0-176.9, i.e. the price sits AT the 52-week low, 67% below the high; next regular session is Monday 2026-10-19</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</si>
  <si>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</si>
  <si>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</si>
  <si>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</si>
  <si>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</si>
  <si>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</si>
  <si>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</si>
  <si>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</si>
  <si>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</si>
  <si>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</si>
  <si>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</si>
  <si>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</si>
  <si>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</si>
  <si>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</si>
  <si>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2026-10-18T07:44:54Z</t>
  </si>
  <si>
    <t xml:space="preserve">Drivers file</t>
  </si>
  <si>
    <t xml:space="preserve">2589.HK_Drivers.json</t>
  </si>
  <si>
    <t xml:space="preserve">Convention</t>
  </si>
  <si>
    <t xml:space="preserve">Percents stored as percents; formulas divide by 100. Blue = input, green = link, black = formula.</t>
  </si>
  <si>
    <t xml:space="preserve">Methodology</t>
  </si>
  <si>
    <t xml:space="preserve">summary: Value Auntea Jenny as a capital-light franchise supply-chain business on owner free cash flow: EBITDA before share awards and ex non-operating income, less share awards, full lease cash, D&amp;A ex right-of-use, cash tax ramping to 25%, light capex, and a working-capital release that is explicitly a function of growth rather than a flat margin. The RMB2.44bn of cash, deposits and wealth-management products (RMB23/share, ~HK$27 - nearly half the market price) is added once in the bridge with its income stripped from the flows, net of the two dividends paid since the June balance sheet. The single most important judgment is the growth fade: the 40%-plus run-rate is a store-opening wave in a category whose total shop count is already contracting, so the base case halves it within two years and reaches low single digits by year 7 rather than extrapolating. The price at the 52-week low implies the market is pricing something close to or below the bear path; the valuation says what you get if the business merely stops growing, and what the upside is if it does not.
key_risks_to_valuation: Store-opening pace collapses faster than the fade: if net openings turn negative in FY2027 rather than FY2029, year-2 to year-4 revenue is ~15-25% below base; Franchisee economics: a closure rate back above 12% with weaker openings would also reverse the working-capital tailwind (contract liabilities and payables unwind), which the base case assumes keeps releasing cash while the system grows; Margin: price competition with Mixue/Guming or franchisee subsidy programmes could push operating EBITDA margin below the 14.5% bear floor; gross margin has only five periods of history; Tax: the 15% preferential rates for Western-Region/Hengqin subsidiaries are assumed to lapse by year 3; if they are withdrawn retroactively or expanded, the cash tax path moves +/-2pp; Cash pile: RMB763m of the 'cash' is bank wealth-management products at fair value; a credit event in those products or trapped-cash/withholding frictions on repatriation to H-share holders would cut the bridge; Currency: RMB flows converted at 1.1724 HKD/CNY; a 5% RMB move shifts the HKD value ~5%, and refresh_price.py does not update fx_rate; Governance/overhang: concentrated pre-IPO holders, extended lock-ups expiring 7 Nov 2026, thin float - the August 2026 23% one-day drop shows how little liquidity there is</t>
  </si>
  <si>
    <t xml:space="preserve">Data sources</t>
  </si>
  <si>
    <t xml:space="preserve">price: Yahoo Finance chart API at inputs.price_as_of (HKEX regular close); 52-week range 59.0-176.9 HKD
fx: Yahoo Finance CNYHKD=X at 2026-10-16; cross-checked against the company's own 2026 interim dividend conversion rate
financials: research/2589.HK/Reports/2589.HK_Metrics.csv (FY2022-H1 FY2026, CNY millions); FY2025 annual report (Extracted/2589.HK_Annual_FY2025.txt: cash-flow statement lines 4403-4495, tax reconciliation 6911-6933, EPS note 6961-6987, dividends 6936-6948); H1 FY2026 interim report (Extracted/2589.HK_HalfYear_H1-2026.txt: balance sheet 1855-1925, cash-flow 2060-2189, store movement 274-289, EPS 2590-2620, dividends 2559-2575, outlook 523-587)
qualitative: research/2589.HK/Reports/2589.HK_Analysis.json (2026-10-18)</t>
  </si>
  <si>
    <t xml:space="preserve">Scenario narrative: bear</t>
  </si>
  <si>
    <t xml:space="preserve">The category's saturation reaches Auntea Jenny's core lower-tier-city turf: Mixue's scale pricing and Guming's density squeeze a second-tier brand, closures climb back above the FY2025 rate of ~12% while openings dry up, and the network peaks in FY2027 then shrinks ~5% over FY2029-FY2030 as a soft Chinese consumer cuts small-ticket discretionary spend. FY2026 still grows 28% because H1 is in the bank. Price support for franchisees and higher marketing cut operating EBITDA margin to 14.5%; the working-capital tailwind reverses into an outflow in the shrinking years; preferential tax rates lapse immediately (25% from year 1); terminal growth 1.5% and a 12x cap. The company stays profitable and net cash throughout - this is a value trap, not a solvency case.</t>
  </si>
  <si>
    <t xml:space="preserve">Scenario narrative: base</t>
  </si>
  <si>
    <t xml:space="preserve">Store network keeps growing but at a decelerating pace as the mass-market tea category consolidates: FY2026 lands around RMB6.0bn on the reported H1 run-rate, FY2027 adds ~18% as openings normalise to ~1,500-2,000 net a year against a ~10-12% closure rate, then growth fades to low-single digits by the early 2030s as the national shop count stops growing and the company's lower-tier-city whitespace fills. Operating EBITDA margin drifts from 17.6% to 18.5% on procurement scale, offset by continued franchisee-support, coffee and cold-chain spending; gross margin stays ~31.5%. Cash tax ramps to the 25% statutory rate as regional preferences lapse. Working capital keeps releasing cash while the system grows (franchisee prepayments and supplier terms), shrinking to nothing as growth normalises. Overseas (61 stores) is a free option, not modelled explicitly.</t>
  </si>
  <si>
    <t xml:space="preserve">Scenario narrative: bull</t>
  </si>
  <si>
    <t xml:space="preserve">Auntea Jenny consolidates the number-three/four slot behind Mixue and Guming: openings stay above 2,000 a year through FY2028 as weaker regional chains exit and their franchisees migrate, the H1 FY2026 improvement in closures persists, coffee machines and the 'Daily Health+' line lift per-store purchasing, and overseas (UK, Australia, Indonesia, US, Korea, Malaysia) scales to several hundred stores. Revenue compounds ~38% / 25% / 18% / 13% before fading; operating EBITDA margin reaches 20% on procurement and logistics leverage; working-capital release is a little larger (10% capture); terminal growth 3%.</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</si>
  <si>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</si>
  <si>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</si>
  <si>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</si>
  <si>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</si>
  <si>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</si>
  <si>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</si>
  <si>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</si>
  <si>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</si>
  <si>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</si>
  <si>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</si>
  <si>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</si>
  <si>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</si>
  <si>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</si>
  <si>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</si>
  <si>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</si>
  <si>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</si>
  <si>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</si>
  <si>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</si>
  <si>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</si>
  <si>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</si>
  <si>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</si>
  <si>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</si>
  <si>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</si>
  <si>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</si>
  <si>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</si>
  <si>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</si>
  <si>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</si>
  <si>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AdjustedNetIncome</t>
  </si>
  <si>
    <t xml:space="preserve">StoreCount</t>
  </si>
  <si>
    <t xml:space="preserve">TimeDeposits</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</si>
  <si>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</si>
  <si>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</si>
  <si>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</si>
  <si>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</si>
  <si>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</si>
  <si>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</si>
  <si>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</si>
  <si>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</si>
  <si>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</si>
  <si>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</si>
  <si>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</si>
  <si>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</si>
  <si>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</si>
  <si>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</si>
  <si>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</si>
  <si>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</si>
  <si>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</si>
  <si>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</si>
  <si>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</si>
  <si>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</si>
  <si>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</si>
  <si>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</si>
  <si>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</si>
  <si>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</si>
  <si>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</si>
  <si>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</si>
  <si>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</si>
  <si>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</si>
  <si>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</si>
  <si>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</si>
  <si>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</si>
  <si>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</si>
  <si>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</si>
  <si>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</si>
  <si>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</si>
  <si>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</si>
  <si>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</si>
  <si>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</si>
  <si>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</si>
  <si>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</si>
  <si>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</si>
  <si>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2589.HK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</si>
  <si>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</si>
  <si>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</si>
  <si>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</si>
  <si>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</si>
  <si>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</si>
  <si>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</si>
  <si>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</si>
  <si>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</si>
  <si>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</si>
  <si>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</si>
  <si>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</si>
  <si>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</si>
  <si>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</si>
  <si>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</si>
  <si>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</si>
  <si>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</si>
  <si>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</si>
  <si>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</si>
  <si>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</si>
  <si>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</si>
  <si>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</si>
  <si>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</si>
  <si>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</si>
  <si>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</si>
  <si>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</si>
  <si>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</si>
  <si>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</si>
  <si>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</si>
  <si>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</si>
  <si>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</si>
  <si>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2589.HK owner-FCF component DCF: base case (millions, CNY)</t>
  </si>
  <si>
    <t xml:space="preserve">2589.HK owner-FCF component DCF: bull case (millions, CNY)</t>
  </si>
  <si>
    <t xml:space="preserve">2589.HK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</si>
  <si>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</si>
  <si>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</si>
  <si>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</si>
  <si>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</si>
  <si>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</si>
  <si>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</si>
  <si>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</si>
  <si>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</si>
  <si>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</si>
  <si>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</si>
  <si>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</si>
  <si>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</si>
  <si>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</si>
  <si>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</si>
  <si>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</si>
  <si>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</si>
  <si>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t>
  </si>
  <si>
    <t xml:space="preserve">Value per share at 12%</t>
  </si>
  <si>
    <t xml:space="preserve">Value per share at 12.5% (WACC)</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</si>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</sst>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row>
    <row r="2" customFormat="false" ht="15" hidden="false" customHeight="false" outlineLevel="0" collapsed="false">
      <c r="A2" s="0" t="s">
        <v>67</v>
      </c>
      <c r="B2" s="0" t="n">
        <v>2199.005</v>
      </c>
      <c r="D2" s="0" t="n">
        <v>586.279</v>
      </c>
      <c r="E2" s="0" t="n">
        <v>26.7</v>
      </c>
      <c r="I2" s="0" t="n">
        <v>149.47</v>
      </c>
      <c r="J2" s="0" t="n">
        <v>6.8</v>
      </c>
      <c r="K2" s="0" t="n">
        <v>1.59</v>
      </c>
      <c r="O2" s="0" t="n">
        <v>364.575</v>
      </c>
      <c r="P2" s="0" t="n">
        <v>925.195</v>
      </c>
      <c r="Q2" s="0" t="n">
        <v>560.62</v>
      </c>
      <c r="AA2" s="0" t="s">
        <v>18</v>
      </c>
      <c r="AB2" s="0" t="s">
        <v>14</v>
      </c>
      <c r="AC2" s="0" t="n">
        <v>154.313</v>
      </c>
    </row>
    <row r="3" customFormat="false" ht="15" hidden="false" customHeight="false" outlineLevel="0" collapsed="false">
      <c r="A3" s="0" t="s">
        <v>68</v>
      </c>
      <c r="B3" s="0" t="n">
        <v>3348.201</v>
      </c>
      <c r="D3" s="0" t="n">
        <v>1017.351</v>
      </c>
      <c r="E3" s="0" t="n">
        <v>30.4</v>
      </c>
      <c r="I3" s="0" t="n">
        <v>387.902</v>
      </c>
      <c r="J3" s="0" t="n">
        <v>11.6</v>
      </c>
      <c r="K3" s="0" t="n">
        <v>4.02</v>
      </c>
      <c r="O3" s="0" t="n">
        <v>838.969</v>
      </c>
      <c r="P3" s="0" t="n">
        <v>1548.079</v>
      </c>
      <c r="Q3" s="0" t="n">
        <v>709.11</v>
      </c>
      <c r="S3" s="0" t="n">
        <v>631.31</v>
      </c>
      <c r="AA3" s="0" t="s">
        <v>18</v>
      </c>
      <c r="AB3" s="0" t="s">
        <v>14</v>
      </c>
      <c r="AC3" s="0" t="n">
        <v>416.347</v>
      </c>
    </row>
    <row r="4" customFormat="false" ht="15" hidden="false" customHeight="false" outlineLevel="0" collapsed="false">
      <c r="A4" s="0" t="s">
        <v>69</v>
      </c>
      <c r="B4" s="0" t="n">
        <v>3284.576</v>
      </c>
      <c r="C4" s="0" t="n">
        <v>2257.257</v>
      </c>
      <c r="D4" s="0" t="n">
        <v>1027.319</v>
      </c>
      <c r="E4" s="0" t="n">
        <v>31.3</v>
      </c>
      <c r="F4" s="0" t="n">
        <v>454.58</v>
      </c>
      <c r="G4" s="0" t="n">
        <v>13.8</v>
      </c>
      <c r="H4" s="0" t="n">
        <v>537.475</v>
      </c>
      <c r="I4" s="0" t="n">
        <v>328.931</v>
      </c>
      <c r="J4" s="0" t="n">
        <v>10</v>
      </c>
      <c r="K4" s="0" t="n">
        <v>3.22</v>
      </c>
      <c r="L4" s="0" t="n">
        <v>420.544</v>
      </c>
      <c r="M4" s="0" t="n">
        <v>24.147</v>
      </c>
      <c r="N4" s="0" t="n">
        <v>396.397</v>
      </c>
      <c r="O4" s="0" t="n">
        <v>1184.086</v>
      </c>
      <c r="P4" s="0" t="n">
        <v>1855.783</v>
      </c>
      <c r="Q4" s="0" t="n">
        <v>671.697</v>
      </c>
      <c r="R4" s="0" t="n">
        <v>29.923</v>
      </c>
      <c r="S4" s="0" t="n">
        <v>342.659</v>
      </c>
      <c r="T4" s="0" t="n">
        <v>102.43</v>
      </c>
      <c r="U4" s="0" t="n">
        <v>57.782</v>
      </c>
      <c r="AA4" s="0" t="s">
        <v>18</v>
      </c>
      <c r="AB4" s="0" t="s">
        <v>14</v>
      </c>
      <c r="AC4" s="0" t="n">
        <v>418.086</v>
      </c>
      <c r="AE4" s="0" t="n">
        <v>20.228</v>
      </c>
    </row>
    <row r="5" customFormat="false" ht="15" hidden="false" customHeight="false" outlineLevel="0" collapsed="false">
      <c r="A5" s="0" t="s">
        <v>70</v>
      </c>
      <c r="B5" s="0" t="n">
        <v>4465.644</v>
      </c>
      <c r="C5" s="0" t="n">
        <v>3061.415</v>
      </c>
      <c r="D5" s="0" t="n">
        <v>1404.229</v>
      </c>
      <c r="E5" s="0" t="n">
        <v>31.4</v>
      </c>
      <c r="F5" s="0" t="n">
        <v>679.685</v>
      </c>
      <c r="G5" s="0" t="n">
        <v>15.2</v>
      </c>
      <c r="H5" s="0" t="n">
        <v>744.605</v>
      </c>
      <c r="I5" s="0" t="n">
        <v>501.317</v>
      </c>
      <c r="J5" s="0" t="n">
        <v>11.2</v>
      </c>
      <c r="K5" s="0" t="n">
        <v>4.81</v>
      </c>
      <c r="L5" s="0" t="n">
        <v>752.983</v>
      </c>
      <c r="M5" s="0" t="n">
        <v>29.596</v>
      </c>
      <c r="N5" s="0" t="n">
        <v>723.387</v>
      </c>
      <c r="O5" s="0" t="n">
        <v>1925.103</v>
      </c>
      <c r="P5" s="0" t="n">
        <v>2981.426</v>
      </c>
      <c r="Q5" s="0" t="n">
        <v>1056.323</v>
      </c>
      <c r="R5" s="0" t="n">
        <v>2</v>
      </c>
      <c r="S5" s="0" t="n">
        <v>1208.354</v>
      </c>
      <c r="T5" s="0" t="n">
        <v>105.203</v>
      </c>
      <c r="U5" s="0" t="n">
        <v>57.368</v>
      </c>
      <c r="AA5" s="0" t="s">
        <v>18</v>
      </c>
      <c r="AB5" s="0" t="s">
        <v>14</v>
      </c>
      <c r="AC5" s="0" t="n">
        <v>570.333</v>
      </c>
      <c r="AE5" s="0" t="n">
        <v>331.889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71</v>
      </c>
      <c r="B1" s="2" t="s">
        <v>72</v>
      </c>
    </row>
    <row r="2" customFormat="false" ht="15" hidden="false" customHeight="false" outlineLevel="0" collapsed="false">
      <c r="A2" s="0" t="s">
        <v>73</v>
      </c>
      <c r="B2" s="3" t="n">
        <v>59</v>
      </c>
    </row>
    <row r="3" customFormat="false" ht="15" hidden="false" customHeight="false" outlineLevel="0" collapsed="false">
      <c r="A3" s="0" t="s">
        <v>74</v>
      </c>
      <c r="B3" s="3" t="n">
        <v>105.203</v>
      </c>
    </row>
    <row r="4" customFormat="false" ht="15" hidden="false" customHeight="false" outlineLevel="0" collapsed="false">
      <c r="A4" s="0" t="s">
        <v>75</v>
      </c>
      <c r="B4" s="3" t="n">
        <v>-2417.6</v>
      </c>
    </row>
    <row r="5" customFormat="false" ht="15" hidden="false" customHeight="false" outlineLevel="0" collapsed="false">
      <c r="A5" s="0" t="s">
        <v>76</v>
      </c>
      <c r="B5" s="3" t="n">
        <v>-236.937</v>
      </c>
    </row>
    <row r="6" customFormat="false" ht="15" hidden="false" customHeight="false" outlineLevel="0" collapsed="false">
      <c r="A6" s="0" t="s">
        <v>77</v>
      </c>
      <c r="B6" s="3" t="n">
        <v>15</v>
      </c>
    </row>
    <row r="7" customFormat="false" ht="15" hidden="false" customHeight="false" outlineLevel="0" collapsed="false">
      <c r="A7" s="0" t="s">
        <v>78</v>
      </c>
      <c r="B7" s="3" t="n">
        <v>4465.644</v>
      </c>
    </row>
    <row r="8" customFormat="false" ht="15" hidden="false" customHeight="false" outlineLevel="0" collapsed="false">
      <c r="A8" s="0" t="s">
        <v>79</v>
      </c>
      <c r="B8" s="3" t="s">
        <v>70</v>
      </c>
    </row>
    <row r="9" customFormat="false" ht="15" hidden="false" customHeight="false" outlineLevel="0" collapsed="false">
      <c r="A9" s="0" t="s">
        <v>80</v>
      </c>
      <c r="B9" s="3" t="s">
        <v>81</v>
      </c>
    </row>
    <row r="10" customFormat="false" ht="15" hidden="false" customHeight="false" outlineLevel="0" collapsed="false">
      <c r="A10" s="0" t="s">
        <v>82</v>
      </c>
      <c r="B10" s="3" t="n">
        <v>1.1724</v>
      </c>
    </row>
    <row r="12" customFormat="false" ht="15" hidden="false" customHeight="false" outlineLevel="0" collapsed="false">
      <c r="A12" s="2" t="s">
        <v>83</v>
      </c>
      <c r="C12" s="2" t="s">
        <v>84</v>
      </c>
      <c r="D12" s="2" t="s">
        <v>85</v>
      </c>
      <c r="E12" s="2" t="s">
        <v>86</v>
      </c>
      <c r="F12" s="2" t="s">
        <v>87</v>
      </c>
      <c r="G12" s="2" t="s">
        <v>88</v>
      </c>
      <c r="H12" s="2" t="s">
        <v>89</v>
      </c>
      <c r="I12" s="2" t="s">
        <v>90</v>
      </c>
      <c r="J12" s="2" t="s">
        <v>91</v>
      </c>
      <c r="K12" s="2" t="s">
        <v>92</v>
      </c>
      <c r="L12" s="2" t="s">
        <v>93</v>
      </c>
    </row>
    <row r="13" customFormat="false" ht="15" hidden="false" customHeight="false" outlineLevel="0" collapsed="false">
      <c r="A13" s="0" t="s">
        <v>94</v>
      </c>
      <c r="C13" s="3" t="n">
        <v>28</v>
      </c>
      <c r="D13" s="3" t="n">
        <v>6</v>
      </c>
      <c r="E13" s="3" t="n">
        <v>0</v>
      </c>
      <c r="F13" s="3" t="n">
        <v>-3</v>
      </c>
      <c r="G13" s="3" t="n">
        <v>-2</v>
      </c>
      <c r="H13" s="3" t="n">
        <v>0</v>
      </c>
      <c r="I13" s="3" t="n">
        <v>1</v>
      </c>
      <c r="J13" s="3" t="n">
        <v>1.5</v>
      </c>
      <c r="K13" s="3" t="n">
        <v>2</v>
      </c>
      <c r="L13" s="3" t="n">
        <v>2</v>
      </c>
    </row>
    <row r="14" customFormat="false" ht="15" hidden="false" customHeight="false" outlineLevel="0" collapsed="false">
      <c r="A14" s="0" t="s">
        <v>95</v>
      </c>
      <c r="C14" s="3" t="n">
        <v>17.2</v>
      </c>
      <c r="D14" s="3" t="n">
        <v>16.5</v>
      </c>
      <c r="E14" s="3" t="n">
        <v>15.8</v>
      </c>
      <c r="F14" s="3" t="n">
        <v>15</v>
      </c>
      <c r="G14" s="3" t="n">
        <v>14.5</v>
      </c>
      <c r="H14" s="3" t="n">
        <v>14.5</v>
      </c>
      <c r="I14" s="3" t="n">
        <v>14.5</v>
      </c>
      <c r="J14" s="3" t="n">
        <v>14.5</v>
      </c>
      <c r="K14" s="3" t="n">
        <v>14.5</v>
      </c>
      <c r="L14" s="3" t="n">
        <v>14.5</v>
      </c>
    </row>
    <row r="15" customFormat="false" ht="15" hidden="false" customHeight="false" outlineLevel="0" collapsed="false">
      <c r="A15" s="0" t="s">
        <v>96</v>
      </c>
      <c r="C15" s="3" t="n">
        <v>1</v>
      </c>
      <c r="D15" s="3" t="n">
        <v>1</v>
      </c>
      <c r="E15" s="3" t="n">
        <v>1</v>
      </c>
      <c r="F15" s="3" t="n">
        <v>0.9</v>
      </c>
      <c r="G15" s="3" t="n">
        <v>0.9</v>
      </c>
      <c r="H15" s="3" t="n">
        <v>0.8</v>
      </c>
      <c r="I15" s="3" t="n">
        <v>0.8</v>
      </c>
      <c r="J15" s="3" t="n">
        <v>0.7</v>
      </c>
      <c r="K15" s="3" t="n">
        <v>0.7</v>
      </c>
      <c r="L15" s="3" t="n">
        <v>0.7</v>
      </c>
    </row>
    <row r="16" customFormat="false" ht="15" hidden="false" customHeight="false" outlineLevel="0" collapsed="false">
      <c r="A16" s="0" t="s">
        <v>97</v>
      </c>
      <c r="C16" s="3" t="n">
        <v>1.2</v>
      </c>
      <c r="D16" s="3" t="n">
        <v>1.2</v>
      </c>
      <c r="E16" s="3" t="n">
        <v>1.2</v>
      </c>
      <c r="F16" s="3" t="n">
        <v>1.2</v>
      </c>
      <c r="G16" s="3" t="n">
        <v>1.2</v>
      </c>
      <c r="H16" s="3" t="n">
        <v>1.2</v>
      </c>
      <c r="I16" s="3" t="n">
        <v>1.2</v>
      </c>
      <c r="J16" s="3" t="n">
        <v>1.2</v>
      </c>
      <c r="K16" s="3" t="n">
        <v>1.2</v>
      </c>
      <c r="L16" s="3" t="n">
        <v>1.2</v>
      </c>
    </row>
    <row r="17" customFormat="false" ht="15" hidden="false" customHeight="false" outlineLevel="0" collapsed="false">
      <c r="A17" s="0" t="s">
        <v>98</v>
      </c>
      <c r="C17" s="3" t="n">
        <v>0.6</v>
      </c>
      <c r="D17" s="3" t="n">
        <v>0.6</v>
      </c>
      <c r="E17" s="3" t="n">
        <v>0.6</v>
      </c>
      <c r="F17" s="3" t="n">
        <v>0.6</v>
      </c>
      <c r="G17" s="3" t="n">
        <v>0.6</v>
      </c>
      <c r="H17" s="3" t="n">
        <v>0.6</v>
      </c>
      <c r="I17" s="3" t="n">
        <v>0.6</v>
      </c>
      <c r="J17" s="3" t="n">
        <v>0.6</v>
      </c>
      <c r="K17" s="3" t="n">
        <v>0.6</v>
      </c>
      <c r="L17" s="3" t="n">
        <v>0.6</v>
      </c>
    </row>
    <row r="18" customFormat="false" ht="15" hidden="false" customHeight="false" outlineLevel="0" collapsed="false">
      <c r="A18" s="0" t="s">
        <v>99</v>
      </c>
      <c r="C18" s="3" t="n">
        <v>1</v>
      </c>
      <c r="D18" s="3" t="n">
        <v>1</v>
      </c>
      <c r="E18" s="3" t="n">
        <v>1</v>
      </c>
      <c r="F18" s="3" t="n">
        <v>1</v>
      </c>
      <c r="G18" s="3" t="n">
        <v>1</v>
      </c>
      <c r="H18" s="3" t="n">
        <v>1</v>
      </c>
      <c r="I18" s="3" t="n">
        <v>1</v>
      </c>
      <c r="J18" s="3" t="n">
        <v>1</v>
      </c>
      <c r="K18" s="3" t="n">
        <v>1</v>
      </c>
      <c r="L18" s="3" t="n">
        <v>1</v>
      </c>
    </row>
    <row r="19" customFormat="false" ht="15" hidden="false" customHeight="false" outlineLevel="0" collapsed="false">
      <c r="A19" s="0" t="s">
        <v>100</v>
      </c>
      <c r="C19" s="3" t="n">
        <v>25</v>
      </c>
      <c r="D19" s="3" t="n">
        <v>25</v>
      </c>
      <c r="E19" s="3" t="n">
        <v>25</v>
      </c>
      <c r="F19" s="3" t="n">
        <v>25</v>
      </c>
      <c r="G19" s="3" t="n">
        <v>25</v>
      </c>
      <c r="H19" s="3" t="n">
        <v>25</v>
      </c>
      <c r="I19" s="3" t="n">
        <v>25</v>
      </c>
      <c r="J19" s="3" t="n">
        <v>25</v>
      </c>
      <c r="K19" s="3" t="n">
        <v>25</v>
      </c>
      <c r="L19" s="3" t="n">
        <v>25</v>
      </c>
    </row>
    <row r="20" customFormat="false" ht="15" hidden="false" customHeight="false" outlineLevel="0" collapsed="false">
      <c r="A20" s="0" t="s">
        <v>101</v>
      </c>
      <c r="B20" s="3" t="n">
        <v>12.5</v>
      </c>
    </row>
    <row r="21" customFormat="false" ht="15" hidden="false" customHeight="false" outlineLevel="0" collapsed="false">
      <c r="A21" s="0" t="s">
        <v>102</v>
      </c>
      <c r="B21" s="3" t="n">
        <v>1.5</v>
      </c>
    </row>
    <row r="22" customFormat="false" ht="15" hidden="false" customHeight="false" outlineLevel="0" collapsed="false">
      <c r="A22" s="0" t="s">
        <v>103</v>
      </c>
      <c r="B22" s="3" t="n">
        <v>12</v>
      </c>
    </row>
    <row r="23" customFormat="false" ht="15" hidden="false" customHeight="false" outlineLevel="0" collapsed="false">
      <c r="A23" s="0" t="s">
        <v>104</v>
      </c>
      <c r="B23" s="3" t="n">
        <v>5</v>
      </c>
    </row>
    <row r="24" customFormat="false" ht="15" hidden="false" customHeight="false" outlineLevel="0" collapsed="false">
      <c r="A24" s="0" t="s">
        <v>105</v>
      </c>
      <c r="B24" s="3" t="n">
        <v>0.25</v>
      </c>
    </row>
    <row r="26" customFormat="false" ht="15" hidden="false" customHeight="false" outlineLevel="0" collapsed="false">
      <c r="A26" s="2" t="s">
        <v>106</v>
      </c>
      <c r="C26" s="2" t="s">
        <v>84</v>
      </c>
      <c r="D26" s="2" t="s">
        <v>85</v>
      </c>
      <c r="E26" s="2" t="s">
        <v>86</v>
      </c>
      <c r="F26" s="2" t="s">
        <v>87</v>
      </c>
      <c r="G26" s="2" t="s">
        <v>88</v>
      </c>
      <c r="H26" s="2" t="s">
        <v>89</v>
      </c>
      <c r="I26" s="2" t="s">
        <v>90</v>
      </c>
      <c r="J26" s="2" t="s">
        <v>91</v>
      </c>
      <c r="K26" s="2" t="s">
        <v>92</v>
      </c>
      <c r="L26" s="2" t="s">
        <v>93</v>
      </c>
    </row>
    <row r="27" customFormat="false" ht="15" hidden="false" customHeight="false" outlineLevel="0" collapsed="false">
      <c r="A27" s="0" t="s">
        <v>94</v>
      </c>
      <c r="C27" s="3" t="n">
        <v>34</v>
      </c>
      <c r="D27" s="3" t="n">
        <v>18</v>
      </c>
      <c r="E27" s="3" t="n">
        <v>12</v>
      </c>
      <c r="F27" s="3" t="n">
        <v>9</v>
      </c>
      <c r="G27" s="3" t="n">
        <v>7</v>
      </c>
      <c r="H27" s="3" t="n">
        <v>6</v>
      </c>
      <c r="I27" s="3" t="n">
        <v>5</v>
      </c>
      <c r="J27" s="3" t="n">
        <v>4</v>
      </c>
      <c r="K27" s="3" t="n">
        <v>3.5</v>
      </c>
      <c r="L27" s="3" t="n">
        <v>3</v>
      </c>
    </row>
    <row r="28" customFormat="false" ht="15" hidden="false" customHeight="false" outlineLevel="0" collapsed="false">
      <c r="A28" s="0" t="s">
        <v>95</v>
      </c>
      <c r="C28" s="3" t="n">
        <v>17.6</v>
      </c>
      <c r="D28" s="3" t="n">
        <v>17.8</v>
      </c>
      <c r="E28" s="3" t="n">
        <v>18</v>
      </c>
      <c r="F28" s="3" t="n">
        <v>18.2</v>
      </c>
      <c r="G28" s="3" t="n">
        <v>18.3</v>
      </c>
      <c r="H28" s="3" t="n">
        <v>18.4</v>
      </c>
      <c r="I28" s="3" t="n">
        <v>18.5</v>
      </c>
      <c r="J28" s="3" t="n">
        <v>18.5</v>
      </c>
      <c r="K28" s="3" t="n">
        <v>18.5</v>
      </c>
      <c r="L28" s="3" t="n">
        <v>18.5</v>
      </c>
    </row>
    <row r="29" customFormat="false" ht="15" hidden="false" customHeight="false" outlineLevel="0" collapsed="false">
      <c r="A29" s="0" t="s">
        <v>96</v>
      </c>
      <c r="C29" s="3" t="n">
        <v>1</v>
      </c>
      <c r="D29" s="3" t="n">
        <v>0.95</v>
      </c>
      <c r="E29" s="3" t="n">
        <v>0.9</v>
      </c>
      <c r="F29" s="3" t="n">
        <v>0.85</v>
      </c>
      <c r="G29" s="3" t="n">
        <v>0.8</v>
      </c>
      <c r="H29" s="3" t="n">
        <v>0.75</v>
      </c>
      <c r="I29" s="3" t="n">
        <v>0.7</v>
      </c>
      <c r="J29" s="3" t="n">
        <v>0.65</v>
      </c>
      <c r="K29" s="3" t="n">
        <v>0.6</v>
      </c>
      <c r="L29" s="3" t="n">
        <v>0.6</v>
      </c>
    </row>
    <row r="30" customFormat="false" ht="15" hidden="false" customHeight="false" outlineLevel="0" collapsed="false">
      <c r="A30" s="0" t="s">
        <v>97</v>
      </c>
      <c r="C30" s="3" t="n">
        <v>1.1</v>
      </c>
      <c r="D30" s="3" t="n">
        <v>1.1</v>
      </c>
      <c r="E30" s="3" t="n">
        <v>1.1</v>
      </c>
      <c r="F30" s="3" t="n">
        <v>1.1</v>
      </c>
      <c r="G30" s="3" t="n">
        <v>1.1</v>
      </c>
      <c r="H30" s="3" t="n">
        <v>1.1</v>
      </c>
      <c r="I30" s="3" t="n">
        <v>1.1</v>
      </c>
      <c r="J30" s="3" t="n">
        <v>1.1</v>
      </c>
      <c r="K30" s="3" t="n">
        <v>1.1</v>
      </c>
      <c r="L30" s="3" t="n">
        <v>1.1</v>
      </c>
    </row>
    <row r="31" customFormat="false" ht="15" hidden="false" customHeight="false" outlineLevel="0" collapsed="false">
      <c r="A31" s="0" t="s">
        <v>98</v>
      </c>
      <c r="C31" s="3" t="n">
        <v>0.55</v>
      </c>
      <c r="D31" s="3" t="n">
        <v>0.55</v>
      </c>
      <c r="E31" s="3" t="n">
        <v>0.55</v>
      </c>
      <c r="F31" s="3" t="n">
        <v>0.55</v>
      </c>
      <c r="G31" s="3" t="n">
        <v>0.55</v>
      </c>
      <c r="H31" s="3" t="n">
        <v>0.55</v>
      </c>
      <c r="I31" s="3" t="n">
        <v>0.55</v>
      </c>
      <c r="J31" s="3" t="n">
        <v>0.55</v>
      </c>
      <c r="K31" s="3" t="n">
        <v>0.55</v>
      </c>
      <c r="L31" s="3" t="n">
        <v>0.55</v>
      </c>
    </row>
    <row r="32" customFormat="false" ht="15" hidden="false" customHeight="false" outlineLevel="0" collapsed="false">
      <c r="A32" s="0" t="s">
        <v>99</v>
      </c>
      <c r="C32" s="3" t="n">
        <v>1</v>
      </c>
      <c r="D32" s="3" t="n">
        <v>1</v>
      </c>
      <c r="E32" s="3" t="n">
        <v>0.9</v>
      </c>
      <c r="F32" s="3" t="n">
        <v>0.9</v>
      </c>
      <c r="G32" s="3" t="n">
        <v>0.8</v>
      </c>
      <c r="H32" s="3" t="n">
        <v>0.8</v>
      </c>
      <c r="I32" s="3" t="n">
        <v>0.8</v>
      </c>
      <c r="J32" s="3" t="n">
        <v>0.8</v>
      </c>
      <c r="K32" s="3" t="n">
        <v>0.8</v>
      </c>
      <c r="L32" s="3" t="n">
        <v>0.8</v>
      </c>
    </row>
    <row r="33" customFormat="false" ht="15" hidden="false" customHeight="false" outlineLevel="0" collapsed="false">
      <c r="A33" s="0" t="s">
        <v>100</v>
      </c>
      <c r="C33" s="3" t="n">
        <v>23</v>
      </c>
      <c r="D33" s="3" t="n">
        <v>24</v>
      </c>
      <c r="E33" s="3" t="n">
        <v>25</v>
      </c>
      <c r="F33" s="3" t="n">
        <v>25</v>
      </c>
      <c r="G33" s="3" t="n">
        <v>25</v>
      </c>
      <c r="H33" s="3" t="n">
        <v>25</v>
      </c>
      <c r="I33" s="3" t="n">
        <v>25</v>
      </c>
      <c r="J33" s="3" t="n">
        <v>25</v>
      </c>
      <c r="K33" s="3" t="n">
        <v>25</v>
      </c>
      <c r="L33" s="3" t="n">
        <v>25</v>
      </c>
    </row>
    <row r="34" customFormat="false" ht="15" hidden="false" customHeight="false" outlineLevel="0" collapsed="false">
      <c r="A34" s="0" t="s">
        <v>101</v>
      </c>
      <c r="B34" s="3" t="n">
        <v>12.5</v>
      </c>
    </row>
    <row r="35" customFormat="false" ht="15" hidden="false" customHeight="false" outlineLevel="0" collapsed="false">
      <c r="A35" s="0" t="s">
        <v>102</v>
      </c>
      <c r="B35" s="3" t="n">
        <v>2.5</v>
      </c>
    </row>
    <row r="36" customFormat="false" ht="15" hidden="false" customHeight="false" outlineLevel="0" collapsed="false">
      <c r="A36" s="0" t="s">
        <v>103</v>
      </c>
      <c r="B36" s="3" t="n">
        <v>15</v>
      </c>
    </row>
    <row r="37" customFormat="false" ht="15" hidden="false" customHeight="false" outlineLevel="0" collapsed="false">
      <c r="A37" s="0" t="s">
        <v>104</v>
      </c>
      <c r="B37" s="3" t="n">
        <v>8</v>
      </c>
    </row>
    <row r="38" customFormat="false" ht="15" hidden="false" customHeight="false" outlineLevel="0" collapsed="false">
      <c r="A38" s="0" t="s">
        <v>105</v>
      </c>
      <c r="B38" s="3" t="n">
        <v>0.5</v>
      </c>
    </row>
    <row r="40" customFormat="false" ht="15" hidden="false" customHeight="false" outlineLevel="0" collapsed="false">
      <c r="A40" s="2" t="s">
        <v>107</v>
      </c>
      <c r="C40" s="2" t="s">
        <v>84</v>
      </c>
      <c r="D40" s="2" t="s">
        <v>85</v>
      </c>
      <c r="E40" s="2" t="s">
        <v>86</v>
      </c>
      <c r="F40" s="2" t="s">
        <v>87</v>
      </c>
      <c r="G40" s="2" t="s">
        <v>88</v>
      </c>
      <c r="H40" s="2" t="s">
        <v>89</v>
      </c>
      <c r="I40" s="2" t="s">
        <v>90</v>
      </c>
      <c r="J40" s="2" t="s">
        <v>91</v>
      </c>
      <c r="K40" s="2" t="s">
        <v>92</v>
      </c>
      <c r="L40" s="2" t="s">
        <v>93</v>
      </c>
    </row>
    <row r="41" customFormat="false" ht="15" hidden="false" customHeight="false" outlineLevel="0" collapsed="false">
      <c r="A41" s="0" t="s">
        <v>94</v>
      </c>
      <c r="C41" s="3" t="n">
        <v>38</v>
      </c>
      <c r="D41" s="3" t="n">
        <v>25</v>
      </c>
      <c r="E41" s="3" t="n">
        <v>18</v>
      </c>
      <c r="F41" s="3" t="n">
        <v>13</v>
      </c>
      <c r="G41" s="3" t="n">
        <v>10</v>
      </c>
      <c r="H41" s="3" t="n">
        <v>8</v>
      </c>
      <c r="I41" s="3" t="n">
        <v>6</v>
      </c>
      <c r="J41" s="3" t="n">
        <v>5</v>
      </c>
      <c r="K41" s="3" t="n">
        <v>4</v>
      </c>
      <c r="L41" s="3" t="n">
        <v>3.5</v>
      </c>
    </row>
    <row r="42" customFormat="false" ht="15" hidden="false" customHeight="false" outlineLevel="0" collapsed="false">
      <c r="A42" s="0" t="s">
        <v>95</v>
      </c>
      <c r="C42" s="3" t="n">
        <v>17.8</v>
      </c>
      <c r="D42" s="3" t="n">
        <v>18.3</v>
      </c>
      <c r="E42" s="3" t="n">
        <v>18.8</v>
      </c>
      <c r="F42" s="3" t="n">
        <v>19.2</v>
      </c>
      <c r="G42" s="3" t="n">
        <v>19.5</v>
      </c>
      <c r="H42" s="3" t="n">
        <v>19.8</v>
      </c>
      <c r="I42" s="3" t="n">
        <v>20</v>
      </c>
      <c r="J42" s="3" t="n">
        <v>20</v>
      </c>
      <c r="K42" s="3" t="n">
        <v>20</v>
      </c>
      <c r="L42" s="3" t="n">
        <v>20</v>
      </c>
    </row>
    <row r="43" customFormat="false" ht="15" hidden="false" customHeight="false" outlineLevel="0" collapsed="false">
      <c r="A43" s="0" t="s">
        <v>96</v>
      </c>
      <c r="C43" s="3" t="n">
        <v>1</v>
      </c>
      <c r="D43" s="3" t="n">
        <v>0.95</v>
      </c>
      <c r="E43" s="3" t="n">
        <v>0.9</v>
      </c>
      <c r="F43" s="3" t="n">
        <v>0.85</v>
      </c>
      <c r="G43" s="3" t="n">
        <v>0.8</v>
      </c>
      <c r="H43" s="3" t="n">
        <v>0.75</v>
      </c>
      <c r="I43" s="3" t="n">
        <v>0.7</v>
      </c>
      <c r="J43" s="3" t="n">
        <v>0.65</v>
      </c>
      <c r="K43" s="3" t="n">
        <v>0.6</v>
      </c>
      <c r="L43" s="3" t="n">
        <v>0.6</v>
      </c>
    </row>
    <row r="44" customFormat="false" ht="15" hidden="false" customHeight="false" outlineLevel="0" collapsed="false">
      <c r="A44" s="0" t="s">
        <v>97</v>
      </c>
      <c r="C44" s="3" t="n">
        <v>1</v>
      </c>
      <c r="D44" s="3" t="n">
        <v>1</v>
      </c>
      <c r="E44" s="3" t="n">
        <v>1</v>
      </c>
      <c r="F44" s="3" t="n">
        <v>1</v>
      </c>
      <c r="G44" s="3" t="n">
        <v>1</v>
      </c>
      <c r="H44" s="3" t="n">
        <v>1</v>
      </c>
      <c r="I44" s="3" t="n">
        <v>1</v>
      </c>
      <c r="J44" s="3" t="n">
        <v>1</v>
      </c>
      <c r="K44" s="3" t="n">
        <v>1</v>
      </c>
      <c r="L44" s="3" t="n">
        <v>1</v>
      </c>
    </row>
    <row r="45" customFormat="false" ht="15" hidden="false" customHeight="false" outlineLevel="0" collapsed="false">
      <c r="A45" s="0" t="s">
        <v>98</v>
      </c>
      <c r="C45" s="3" t="n">
        <v>0.55</v>
      </c>
      <c r="D45" s="3" t="n">
        <v>0.55</v>
      </c>
      <c r="E45" s="3" t="n">
        <v>0.55</v>
      </c>
      <c r="F45" s="3" t="n">
        <v>0.55</v>
      </c>
      <c r="G45" s="3" t="n">
        <v>0.55</v>
      </c>
      <c r="H45" s="3" t="n">
        <v>0.55</v>
      </c>
      <c r="I45" s="3" t="n">
        <v>0.55</v>
      </c>
      <c r="J45" s="3" t="n">
        <v>0.55</v>
      </c>
      <c r="K45" s="3" t="n">
        <v>0.55</v>
      </c>
      <c r="L45" s="3" t="n">
        <v>0.55</v>
      </c>
    </row>
    <row r="46" customFormat="false" ht="15" hidden="false" customHeight="false" outlineLevel="0" collapsed="false">
      <c r="A46" s="0" t="s">
        <v>99</v>
      </c>
      <c r="C46" s="3" t="n">
        <v>1</v>
      </c>
      <c r="D46" s="3" t="n">
        <v>1</v>
      </c>
      <c r="E46" s="3" t="n">
        <v>0.9</v>
      </c>
      <c r="F46" s="3" t="n">
        <v>0.9</v>
      </c>
      <c r="G46" s="3" t="n">
        <v>0.8</v>
      </c>
      <c r="H46" s="3" t="n">
        <v>0.8</v>
      </c>
      <c r="I46" s="3" t="n">
        <v>0.8</v>
      </c>
      <c r="J46" s="3" t="n">
        <v>0.8</v>
      </c>
      <c r="K46" s="3" t="n">
        <v>0.8</v>
      </c>
      <c r="L46" s="3" t="n">
        <v>0.8</v>
      </c>
    </row>
    <row r="47" customFormat="false" ht="15" hidden="false" customHeight="false" outlineLevel="0" collapsed="false">
      <c r="A47" s="0" t="s">
        <v>100</v>
      </c>
      <c r="C47" s="3" t="n">
        <v>23</v>
      </c>
      <c r="D47" s="3" t="n">
        <v>23</v>
      </c>
      <c r="E47" s="3" t="n">
        <v>24</v>
      </c>
      <c r="F47" s="3" t="n">
        <v>24</v>
      </c>
      <c r="G47" s="3" t="n">
        <v>24</v>
      </c>
      <c r="H47" s="3" t="n">
        <v>24</v>
      </c>
      <c r="I47" s="3" t="n">
        <v>24</v>
      </c>
      <c r="J47" s="3" t="n">
        <v>24</v>
      </c>
      <c r="K47" s="3" t="n">
        <v>24</v>
      </c>
      <c r="L47" s="3" t="n">
        <v>24</v>
      </c>
    </row>
    <row r="48" customFormat="false" ht="15" hidden="false" customHeight="false" outlineLevel="0" collapsed="false">
      <c r="A48" s="0" t="s">
        <v>101</v>
      </c>
      <c r="B48" s="3" t="n">
        <v>12.5</v>
      </c>
    </row>
    <row r="49" customFormat="false" ht="15" hidden="false" customHeight="false" outlineLevel="0" collapsed="false">
      <c r="A49" s="0" t="s">
        <v>102</v>
      </c>
      <c r="B49" s="3" t="n">
        <v>3</v>
      </c>
    </row>
    <row r="50" customFormat="false" ht="15" hidden="false" customHeight="false" outlineLevel="0" collapsed="false">
      <c r="A50" s="0" t="s">
        <v>103</v>
      </c>
      <c r="B50" s="3" t="n">
        <v>18</v>
      </c>
    </row>
    <row r="51" customFormat="false" ht="15" hidden="false" customHeight="false" outlineLevel="0" collapsed="false">
      <c r="A51" s="0" t="s">
        <v>104</v>
      </c>
      <c r="B51" s="3" t="n">
        <v>10</v>
      </c>
    </row>
    <row r="52" customFormat="false" ht="15" hidden="false" customHeight="false" outlineLevel="0" collapsed="false">
      <c r="A52" s="0" t="s">
        <v>105</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108</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Assumptions!C13</f>
        <v>28</v>
      </c>
      <c r="D5" s="4" t="n">
        <f aca="false">Assumptions!D13</f>
        <v>6</v>
      </c>
      <c r="E5" s="4" t="n">
        <f aca="false">Assumptions!E13</f>
        <v>0</v>
      </c>
      <c r="F5" s="4" t="n">
        <f aca="false">Assumptions!F13</f>
        <v>-3</v>
      </c>
      <c r="G5" s="4" t="n">
        <f aca="false">Assumptions!G13</f>
        <v>-2</v>
      </c>
      <c r="H5" s="4" t="n">
        <f aca="false">Assumptions!H13</f>
        <v>0</v>
      </c>
      <c r="I5" s="4" t="n">
        <f aca="false">Assumptions!I13</f>
        <v>1</v>
      </c>
      <c r="J5" s="4" t="n">
        <f aca="false">Assumptions!J13</f>
        <v>1.5</v>
      </c>
      <c r="K5" s="4" t="n">
        <f aca="false">Assumptions!K13</f>
        <v>2</v>
      </c>
      <c r="L5" s="4" t="n">
        <f aca="false">Assumptions!L13</f>
        <v>2</v>
      </c>
    </row>
    <row r="6" customFormat="false" ht="15" hidden="false" customHeight="false" outlineLevel="0" collapsed="false">
      <c r="A6" s="0" t="s">
        <v>38</v>
      </c>
      <c r="B6" s="3" t="n">
        <v>4465.644</v>
      </c>
      <c r="C6" s="0" t="n">
        <f aca="false">B6*(1+C5/100)</f>
        <v>5716.02432</v>
      </c>
      <c r="D6" s="0" t="n">
        <f aca="false">C6*(1+D5/100)</f>
        <v>6058.9857792</v>
      </c>
      <c r="E6" s="0" t="n">
        <f aca="false">D6*(1+E5/100)</f>
        <v>6058.9857792</v>
      </c>
      <c r="F6" s="0" t="n">
        <f aca="false">E6*(1+F5/100)</f>
        <v>5877.216205824</v>
      </c>
      <c r="G6" s="0" t="n">
        <f aca="false">F6*(1+G5/100)</f>
        <v>5759.67188170752</v>
      </c>
      <c r="H6" s="0" t="n">
        <f aca="false">G6*(1+H5/100)</f>
        <v>5759.67188170752</v>
      </c>
      <c r="I6" s="0" t="n">
        <f aca="false">H6*(1+I5/100)</f>
        <v>5817.2686005246</v>
      </c>
      <c r="J6" s="0" t="n">
        <f aca="false">I6*(1+J5/100)</f>
        <v>5904.52762953247</v>
      </c>
      <c r="K6" s="0" t="n">
        <f aca="false">J6*(1+K5/100)</f>
        <v>6022.61818212311</v>
      </c>
      <c r="L6" s="0" t="n">
        <f aca="false">K6*(1+L5/100)</f>
        <v>6143.07054576558</v>
      </c>
    </row>
    <row r="7" customFormat="false" ht="15" hidden="false" customHeight="false" outlineLevel="0" collapsed="false">
      <c r="A7" s="0" t="s">
        <v>95</v>
      </c>
      <c r="C7" s="4" t="n">
        <f aca="false">Assumptions!C14</f>
        <v>17.2</v>
      </c>
      <c r="D7" s="4" t="n">
        <f aca="false">Assumptions!D14</f>
        <v>16.5</v>
      </c>
      <c r="E7" s="4" t="n">
        <f aca="false">Assumptions!E14</f>
        <v>15.8</v>
      </c>
      <c r="F7" s="4" t="n">
        <f aca="false">Assumptions!F14</f>
        <v>15</v>
      </c>
      <c r="G7" s="4" t="n">
        <f aca="false">Assumptions!G14</f>
        <v>14.5</v>
      </c>
      <c r="H7" s="4" t="n">
        <f aca="false">Assumptions!H14</f>
        <v>14.5</v>
      </c>
      <c r="I7" s="4" t="n">
        <f aca="false">Assumptions!I14</f>
        <v>14.5</v>
      </c>
      <c r="J7" s="4" t="n">
        <f aca="false">Assumptions!J14</f>
        <v>14.5</v>
      </c>
      <c r="K7" s="4" t="n">
        <f aca="false">Assumptions!K14</f>
        <v>14.5</v>
      </c>
      <c r="L7" s="4" t="n">
        <f aca="false">Assumptions!L14</f>
        <v>14.5</v>
      </c>
    </row>
    <row r="8" customFormat="false" ht="15" hidden="false" customHeight="false" outlineLevel="0" collapsed="false">
      <c r="A8" s="0" t="s">
        <v>44</v>
      </c>
      <c r="C8" s="0" t="n">
        <f aca="false">C6*C7/100</f>
        <v>983.15618304</v>
      </c>
      <c r="D8" s="0" t="n">
        <f aca="false">D6*D7/100</f>
        <v>999.732653568</v>
      </c>
      <c r="E8" s="0" t="n">
        <f aca="false">E6*E7/100</f>
        <v>957.3197531136</v>
      </c>
      <c r="F8" s="0" t="n">
        <f aca="false">F6*F7/100</f>
        <v>881.5824308736</v>
      </c>
      <c r="G8" s="0" t="n">
        <f aca="false">G6*G7/100</f>
        <v>835.152422847591</v>
      </c>
      <c r="H8" s="0" t="n">
        <f aca="false">H6*H7/100</f>
        <v>835.152422847591</v>
      </c>
      <c r="I8" s="0" t="n">
        <f aca="false">I6*I7/100</f>
        <v>843.503947076066</v>
      </c>
      <c r="J8" s="0" t="n">
        <f aca="false">J6*J7/100</f>
        <v>856.156506282207</v>
      </c>
      <c r="K8" s="0" t="n">
        <f aca="false">K6*K7/100</f>
        <v>873.279636407852</v>
      </c>
      <c r="L8" s="0" t="n">
        <f aca="false">L6*L7/100</f>
        <v>890.745229136009</v>
      </c>
    </row>
    <row r="9" customFormat="false" ht="15" hidden="false" customHeight="false" outlineLevel="0" collapsed="false">
      <c r="A9" s="0" t="s">
        <v>96</v>
      </c>
      <c r="C9" s="4" t="n">
        <f aca="false">Assumptions!C15</f>
        <v>1</v>
      </c>
      <c r="D9" s="4" t="n">
        <f aca="false">Assumptions!D15</f>
        <v>1</v>
      </c>
      <c r="E9" s="4" t="n">
        <f aca="false">Assumptions!E15</f>
        <v>1</v>
      </c>
      <c r="F9" s="4" t="n">
        <f aca="false">Assumptions!F15</f>
        <v>0.9</v>
      </c>
      <c r="G9" s="4" t="n">
        <f aca="false">Assumptions!G15</f>
        <v>0.9</v>
      </c>
      <c r="H9" s="4" t="n">
        <f aca="false">Assumptions!H15</f>
        <v>0.8</v>
      </c>
      <c r="I9" s="4" t="n">
        <f aca="false">Assumptions!I15</f>
        <v>0.8</v>
      </c>
      <c r="J9" s="4" t="n">
        <f aca="false">Assumptions!J15</f>
        <v>0.7</v>
      </c>
      <c r="K9" s="4" t="n">
        <f aca="false">Assumptions!K15</f>
        <v>0.7</v>
      </c>
      <c r="L9" s="4" t="n">
        <f aca="false">Assumptions!L15</f>
        <v>0.7</v>
      </c>
    </row>
    <row r="10" customFormat="false" ht="15" hidden="false" customHeight="false" outlineLevel="0" collapsed="false">
      <c r="A10" s="0" t="s">
        <v>111</v>
      </c>
      <c r="C10" s="0" t="n">
        <f aca="false">-C6*C9/100</f>
        <v>-57.1602432</v>
      </c>
      <c r="D10" s="0" t="n">
        <f aca="false">-D6*D9/100</f>
        <v>-60.589857792</v>
      </c>
      <c r="E10" s="0" t="n">
        <f aca="false">-E6*E9/100</f>
        <v>-60.589857792</v>
      </c>
      <c r="F10" s="0" t="n">
        <f aca="false">-F6*F9/100</f>
        <v>-52.894945852416</v>
      </c>
      <c r="G10" s="0" t="n">
        <f aca="false">-G6*G9/100</f>
        <v>-51.8370469353677</v>
      </c>
      <c r="H10" s="0" t="n">
        <f aca="false">-H6*H9/100</f>
        <v>-46.0773750536602</v>
      </c>
      <c r="I10" s="0" t="n">
        <f aca="false">-I6*I9/100</f>
        <v>-46.5381488041968</v>
      </c>
      <c r="J10" s="0" t="n">
        <f aca="false">-J6*J9/100</f>
        <v>-41.3316934067273</v>
      </c>
      <c r="K10" s="0" t="n">
        <f aca="false">-K6*K9/100</f>
        <v>-42.1583272748618</v>
      </c>
      <c r="L10" s="0" t="n">
        <f aca="false">-L6*L9/100</f>
        <v>-43.001493820359</v>
      </c>
    </row>
    <row r="11" customFormat="false" ht="15" hidden="false" customHeight="false" outlineLevel="0" collapsed="false">
      <c r="A11" s="0" t="s">
        <v>112</v>
      </c>
      <c r="C11" s="0" t="n">
        <f aca="false">C8+C10+C24</f>
        <v>857.403648</v>
      </c>
      <c r="D11" s="0" t="n">
        <f aca="false">D8+D10+D24</f>
        <v>866.4349664256</v>
      </c>
      <c r="E11" s="0" t="n">
        <f aca="false">E8+E10+E24</f>
        <v>824.0220659712</v>
      </c>
      <c r="F11" s="0" t="n">
        <f aca="false">F8+F10+F24</f>
        <v>758.160890551296</v>
      </c>
      <c r="G11" s="0" t="n">
        <f aca="false">G8+G10+G24</f>
        <v>714.199313331733</v>
      </c>
      <c r="H11" s="0" t="n">
        <f aca="false">H8+H10+H24</f>
        <v>719.95898521344</v>
      </c>
      <c r="I11" s="0" t="n">
        <f aca="false">I8+I10+I24</f>
        <v>727.158575065575</v>
      </c>
      <c r="J11" s="0" t="n">
        <f aca="false">J8+J10+J24</f>
        <v>743.970481321091</v>
      </c>
      <c r="K11" s="0" t="n">
        <f aca="false">K8+K10+K24</f>
        <v>758.849890947512</v>
      </c>
      <c r="L11" s="0" t="n">
        <f aca="false">L8+L10+L24</f>
        <v>774.026888766463</v>
      </c>
    </row>
    <row r="12" customFormat="false" ht="15" hidden="false" customHeight="false" outlineLevel="0" collapsed="false">
      <c r="A12" s="0" t="s">
        <v>113</v>
      </c>
      <c r="C12" s="4" t="n">
        <f aca="false">-C6*Assumptions!C17/100</f>
        <v>-34.29614592</v>
      </c>
      <c r="D12" s="4" t="n">
        <f aca="false">-D6*Assumptions!D17/100</f>
        <v>-36.3539146752</v>
      </c>
      <c r="E12" s="4" t="n">
        <f aca="false">-E6*Assumptions!E17/100</f>
        <v>-36.3539146752</v>
      </c>
      <c r="F12" s="4" t="n">
        <f aca="false">-F6*Assumptions!F17/100</f>
        <v>-35.263297234944</v>
      </c>
      <c r="G12" s="4" t="n">
        <f aca="false">-G6*Assumptions!G17/100</f>
        <v>-34.5580312902451</v>
      </c>
      <c r="H12" s="4" t="n">
        <f aca="false">-H6*Assumptions!H17/100</f>
        <v>-34.5580312902451</v>
      </c>
      <c r="I12" s="4" t="n">
        <f aca="false">-I6*Assumptions!I17/100</f>
        <v>-34.9036116031476</v>
      </c>
      <c r="J12" s="4" t="n">
        <f aca="false">-J6*Assumptions!J17/100</f>
        <v>-35.4271657771948</v>
      </c>
      <c r="K12" s="4" t="n">
        <f aca="false">-K6*Assumptions!K17/100</f>
        <v>-36.1357090927387</v>
      </c>
      <c r="L12" s="4" t="n">
        <f aca="false">-L6*Assumptions!L17/100</f>
        <v>-36.8584232745935</v>
      </c>
    </row>
    <row r="13" customFormat="false" ht="15" hidden="false" customHeight="false" outlineLevel="0" collapsed="false">
      <c r="A13" s="0" t="s">
        <v>114</v>
      </c>
      <c r="C13" s="0" t="n">
        <f aca="false">C11+C12</f>
        <v>823.10750208</v>
      </c>
      <c r="D13" s="0" t="n">
        <f aca="false">D11+D12</f>
        <v>830.0810517504</v>
      </c>
      <c r="E13" s="0" t="n">
        <f aca="false">E11+E12</f>
        <v>787.668151296</v>
      </c>
      <c r="F13" s="0" t="n">
        <f aca="false">F11+F12</f>
        <v>722.897593316352</v>
      </c>
      <c r="G13" s="0" t="n">
        <f aca="false">G11+G12</f>
        <v>679.641282041487</v>
      </c>
      <c r="H13" s="0" t="n">
        <f aca="false">H11+H12</f>
        <v>685.400953923195</v>
      </c>
      <c r="I13" s="0" t="n">
        <f aca="false">I11+I12</f>
        <v>692.254963462427</v>
      </c>
      <c r="J13" s="0" t="n">
        <f aca="false">J11+J12</f>
        <v>708.543315543896</v>
      </c>
      <c r="K13" s="0" t="n">
        <f aca="false">K11+K12</f>
        <v>722.714181854774</v>
      </c>
      <c r="L13" s="0" t="n">
        <f aca="false">L11+L12</f>
        <v>737.168465491869</v>
      </c>
    </row>
    <row r="14" customFormat="false" ht="15" hidden="false" customHeight="false" outlineLevel="0" collapsed="false">
      <c r="A14" s="0" t="s">
        <v>100</v>
      </c>
      <c r="C14" s="4" t="n">
        <f aca="false">Assumptions!C19</f>
        <v>25</v>
      </c>
      <c r="D14" s="4" t="n">
        <f aca="false">Assumptions!D19</f>
        <v>25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115</v>
      </c>
      <c r="C15" s="0" t="n">
        <f aca="false">C13-MAX(0,C13)*C14/100</f>
        <v>617.33062656</v>
      </c>
      <c r="D15" s="0" t="n">
        <f aca="false">D13-MAX(0,D13)*D14/100</f>
        <v>622.5607888128</v>
      </c>
      <c r="E15" s="0" t="n">
        <f aca="false">E13-MAX(0,E13)*E14/100</f>
        <v>590.751113472</v>
      </c>
      <c r="F15" s="0" t="n">
        <f aca="false">F13-MAX(0,F13)*F14/100</f>
        <v>542.173194987264</v>
      </c>
      <c r="G15" s="0" t="n">
        <f aca="false">G13-MAX(0,G13)*G14/100</f>
        <v>509.730961531116</v>
      </c>
      <c r="H15" s="0" t="n">
        <f aca="false">H13-MAX(0,H13)*H14/100</f>
        <v>514.050715442396</v>
      </c>
      <c r="I15" s="0" t="n">
        <f aca="false">I13-MAX(0,I13)*I14/100</f>
        <v>519.19122259682</v>
      </c>
      <c r="J15" s="0" t="n">
        <f aca="false">J13-MAX(0,J13)*J14/100</f>
        <v>531.407486657922</v>
      </c>
      <c r="K15" s="0" t="n">
        <f aca="false">K13-MAX(0,K13)*K14/100</f>
        <v>542.03563639108</v>
      </c>
      <c r="L15" s="0" t="n">
        <f aca="false">L13-MAX(0,L13)*L14/100</f>
        <v>552.876349118902</v>
      </c>
    </row>
    <row r="16" customFormat="false" ht="15" hidden="false" customHeight="false" outlineLevel="0" collapsed="false">
      <c r="A16" s="0" t="s">
        <v>116</v>
      </c>
      <c r="C16" s="0" t="n">
        <f aca="false">-C12</f>
        <v>34.29614592</v>
      </c>
      <c r="D16" s="0" t="n">
        <f aca="false">-D12</f>
        <v>36.3539146752</v>
      </c>
      <c r="E16" s="0" t="n">
        <f aca="false">-E12</f>
        <v>36.3539146752</v>
      </c>
      <c r="F16" s="0" t="n">
        <f aca="false">-F12</f>
        <v>35.263297234944</v>
      </c>
      <c r="G16" s="0" t="n">
        <f aca="false">-G12</f>
        <v>34.5580312902451</v>
      </c>
      <c r="H16" s="0" t="n">
        <f aca="false">-H12</f>
        <v>34.5580312902451</v>
      </c>
      <c r="I16" s="0" t="n">
        <f aca="false">-I12</f>
        <v>34.9036116031476</v>
      </c>
      <c r="J16" s="0" t="n">
        <f aca="false">-J12</f>
        <v>35.4271657771948</v>
      </c>
      <c r="K16" s="0" t="n">
        <f aca="false">-K12</f>
        <v>36.1357090927387</v>
      </c>
      <c r="L16" s="0" t="n">
        <f aca="false">-L12</f>
        <v>36.8584232745935</v>
      </c>
    </row>
    <row r="17" customFormat="false" ht="15" hidden="false" customHeight="false" outlineLevel="0" collapsed="false">
      <c r="A17" s="0" t="s">
        <v>117</v>
      </c>
      <c r="C17" s="4" t="n">
        <f aca="false">-C6*Assumptions!C18/100</f>
        <v>-57.1602432</v>
      </c>
      <c r="D17" s="4" t="n">
        <f aca="false">-D6*Assumptions!D18/100</f>
        <v>-60.589857792</v>
      </c>
      <c r="E17" s="4" t="n">
        <f aca="false">-E6*Assumptions!E18/100</f>
        <v>-60.589857792</v>
      </c>
      <c r="F17" s="4" t="n">
        <f aca="false">-F6*Assumptions!F18/100</f>
        <v>-58.77216205824</v>
      </c>
      <c r="G17" s="4" t="n">
        <f aca="false">-G6*Assumptions!G18/100</f>
        <v>-57.5967188170752</v>
      </c>
      <c r="H17" s="4" t="n">
        <f aca="false">-H6*Assumptions!H18/100</f>
        <v>-57.5967188170752</v>
      </c>
      <c r="I17" s="4" t="n">
        <f aca="false">-I6*Assumptions!I18/100</f>
        <v>-58.172686005246</v>
      </c>
      <c r="J17" s="4" t="n">
        <f aca="false">-J6*Assumptions!J18/100</f>
        <v>-59.0452762953247</v>
      </c>
      <c r="K17" s="4" t="n">
        <f aca="false">-K6*Assumptions!K18/100</f>
        <v>-60.2261818212311</v>
      </c>
      <c r="L17" s="4" t="n">
        <f aca="false">-L6*Assumptions!L18/100</f>
        <v>-61.4307054576558</v>
      </c>
    </row>
    <row r="18" customFormat="false" ht="15" hidden="false" customHeight="false" outlineLevel="0" collapsed="false">
      <c r="A18" s="0" t="s">
        <v>118</v>
      </c>
      <c r="C18" s="4" t="n">
        <f aca="false">(C6-B6)*Assumptions!$B$23/100</f>
        <v>62.519016</v>
      </c>
      <c r="D18" s="4" t="n">
        <f aca="false">(D6-C6)*Assumptions!$B$23/100</f>
        <v>17.14807296</v>
      </c>
      <c r="E18" s="4" t="n">
        <f aca="false">(E6-D6)*Assumptions!$B$23/100</f>
        <v>0</v>
      </c>
      <c r="F18" s="4" t="n">
        <f aca="false">(F6-E6)*Assumptions!$B$23/100</f>
        <v>-9.08847866880001</v>
      </c>
      <c r="G18" s="4" t="n">
        <f aca="false">(G6-F6)*Assumptions!$B$23/100</f>
        <v>-5.87721620582402</v>
      </c>
      <c r="H18" s="4" t="n">
        <f aca="false">(H6-G6)*Assumptions!$B$23/100</f>
        <v>0</v>
      </c>
      <c r="I18" s="4" t="n">
        <f aca="false">(I6-H6)*Assumptions!$B$23/100</f>
        <v>2.87983594085376</v>
      </c>
      <c r="J18" s="4" t="n">
        <f aca="false">(J6-I6)*Assumptions!$B$23/100</f>
        <v>4.36295145039344</v>
      </c>
      <c r="K18" s="4" t="n">
        <f aca="false">(K6-J6)*Assumptions!$B$23/100</f>
        <v>5.90452762953246</v>
      </c>
      <c r="L18" s="4" t="n">
        <f aca="false">(L6-K6)*Assumptions!$B$23/100</f>
        <v>6.0226181821231</v>
      </c>
    </row>
    <row r="19" customFormat="false" ht="15" hidden="false" customHeight="false" outlineLevel="0" collapsed="false">
      <c r="A19" s="0" t="s">
        <v>119</v>
      </c>
      <c r="C19" s="0" t="n">
        <f aca="false">C15+C16+C17+C18</f>
        <v>656.98554528</v>
      </c>
      <c r="D19" s="0" t="n">
        <f aca="false">D15+D16+D17+D18</f>
        <v>615.472918656</v>
      </c>
      <c r="E19" s="0" t="n">
        <f aca="false">E15+E16+E17+E18</f>
        <v>566.5151703552</v>
      </c>
      <c r="F19" s="0" t="n">
        <f aca="false">F15+F16+F17+F18</f>
        <v>509.575851495168</v>
      </c>
      <c r="G19" s="0" t="n">
        <f aca="false">G15+G16+G17+G18</f>
        <v>480.815057798461</v>
      </c>
      <c r="H19" s="0" t="n">
        <f aca="false">H15+H16+H17+H18</f>
        <v>491.012027915566</v>
      </c>
      <c r="I19" s="0" t="n">
        <f aca="false">I15+I16+I17+I18</f>
        <v>498.801984135576</v>
      </c>
      <c r="J19" s="0" t="n">
        <f aca="false">J15+J16+J17+J18</f>
        <v>512.152327590186</v>
      </c>
      <c r="K19" s="0" t="n">
        <f aca="false">K15+K16+K17+K18</f>
        <v>523.84969129212</v>
      </c>
      <c r="L19" s="0" t="n">
        <f aca="false">L15+L16+L17+L18</f>
        <v>534.326685117963</v>
      </c>
    </row>
    <row r="20" customFormat="false" ht="15" hidden="false" customHeight="false" outlineLevel="0" collapsed="false">
      <c r="A20" s="0" t="s">
        <v>120</v>
      </c>
      <c r="C20" s="0" t="n">
        <f aca="false">1/(1+$B$27/100)^C4</f>
        <v>0.888888888888889</v>
      </c>
      <c r="D20" s="0" t="n">
        <f aca="false">1/(1+$B$27/100)^D4</f>
        <v>0.790123456790123</v>
      </c>
      <c r="E20" s="0" t="n">
        <f aca="false">1/(1+$B$27/100)^E4</f>
        <v>0.702331961591221</v>
      </c>
      <c r="F20" s="0" t="n">
        <f aca="false">1/(1+$B$27/100)^F4</f>
        <v>0.624295076969974</v>
      </c>
      <c r="G20" s="0" t="n">
        <f aca="false">1/(1+$B$27/100)^G4</f>
        <v>0.554928957306644</v>
      </c>
      <c r="H20" s="0" t="n">
        <f aca="false">1/(1+$B$27/100)^H4</f>
        <v>0.493270184272572</v>
      </c>
      <c r="I20" s="0" t="n">
        <f aca="false">1/(1+$B$27/100)^I4</f>
        <v>0.438462386020064</v>
      </c>
      <c r="J20" s="0" t="n">
        <f aca="false">1/(1+$B$27/100)^J4</f>
        <v>0.389744343128946</v>
      </c>
      <c r="K20" s="0" t="n">
        <f aca="false">1/(1+$B$27/100)^K4</f>
        <v>0.346439416114619</v>
      </c>
      <c r="L20" s="0" t="n">
        <f aca="false">1/(1+$B$27/100)^L4</f>
        <v>0.307946147657439</v>
      </c>
    </row>
    <row r="21" customFormat="false" ht="15" hidden="false" customHeight="false" outlineLevel="0" collapsed="false">
      <c r="A21" s="0" t="s">
        <v>121</v>
      </c>
      <c r="C21" s="0" t="n">
        <f aca="false">C19*C20</f>
        <v>583.98715136</v>
      </c>
      <c r="D21" s="0" t="n">
        <f aca="false">D19*D20</f>
        <v>486.299590049185</v>
      </c>
      <c r="E21" s="0" t="n">
        <f aca="false">E19*E20</f>
        <v>397.881710866752</v>
      </c>
      <c r="F21" s="0" t="n">
        <f aca="false">F19*F20</f>
        <v>318.125695431216</v>
      </c>
      <c r="G21" s="0" t="n">
        <f aca="false">G19*G20</f>
        <v>266.818198681434</v>
      </c>
      <c r="H21" s="0" t="n">
        <f aca="false">H19*H20</f>
        <v>242.201593489961</v>
      </c>
      <c r="I21" s="0" t="n">
        <f aca="false">I19*I20</f>
        <v>218.705908115627</v>
      </c>
      <c r="J21" s="0" t="n">
        <f aca="false">J19*J20</f>
        <v>199.608472498598</v>
      </c>
      <c r="K21" s="0" t="n">
        <f aca="false">K19*K20</f>
        <v>181.482181183065</v>
      </c>
      <c r="L21" s="0" t="n">
        <f aca="false">L19*L20</f>
        <v>164.543844272646</v>
      </c>
    </row>
    <row r="23" customFormat="false" ht="15" hidden="false" customHeight="false" outlineLevel="0" collapsed="false">
      <c r="A23" s="0" t="s">
        <v>97</v>
      </c>
      <c r="C23" s="4" t="n">
        <f aca="false">Assumptions!C16</f>
        <v>1.2</v>
      </c>
      <c r="D23" s="4" t="n">
        <f aca="false">Assumptions!D16</f>
        <v>1.2</v>
      </c>
      <c r="E23" s="4" t="n">
        <f aca="false">Assumptions!E16</f>
        <v>1.2</v>
      </c>
      <c r="F23" s="4" t="n">
        <f aca="false">Assumptions!F16</f>
        <v>1.2</v>
      </c>
      <c r="G23" s="4" t="n">
        <f aca="false">Assumptions!G16</f>
        <v>1.2</v>
      </c>
      <c r="H23" s="4" t="n">
        <f aca="false">Assumptions!H16</f>
        <v>1.2</v>
      </c>
      <c r="I23" s="4" t="n">
        <f aca="false">Assumptions!I16</f>
        <v>1.2</v>
      </c>
      <c r="J23" s="4" t="n">
        <f aca="false">Assumptions!J16</f>
        <v>1.2</v>
      </c>
      <c r="K23" s="4" t="n">
        <f aca="false">Assumptions!K16</f>
        <v>1.2</v>
      </c>
      <c r="L23" s="4" t="n">
        <f aca="false">Assumptions!L16</f>
        <v>1.2</v>
      </c>
    </row>
    <row r="24" customFormat="false" ht="15" hidden="false" customHeight="false" outlineLevel="0" collapsed="false">
      <c r="A24" s="0" t="s">
        <v>122</v>
      </c>
      <c r="C24" s="0" t="n">
        <f aca="false">-C6*C23/100</f>
        <v>-68.59229184</v>
      </c>
      <c r="D24" s="0" t="n">
        <f aca="false">-D6*D23/100</f>
        <v>-72.7078293504</v>
      </c>
      <c r="E24" s="0" t="n">
        <f aca="false">-E6*E23/100</f>
        <v>-72.7078293504</v>
      </c>
      <c r="F24" s="0" t="n">
        <f aca="false">-F6*F23/100</f>
        <v>-70.526594469888</v>
      </c>
      <c r="G24" s="0" t="n">
        <f aca="false">-G6*G23/100</f>
        <v>-69.1160625804902</v>
      </c>
      <c r="H24" s="0" t="n">
        <f aca="false">-H6*H23/100</f>
        <v>-69.1160625804902</v>
      </c>
      <c r="I24" s="0" t="n">
        <f aca="false">-I6*I23/100</f>
        <v>-69.8072232062952</v>
      </c>
      <c r="J24" s="0" t="n">
        <f aca="false">-J6*J23/100</f>
        <v>-70.8543315543896</v>
      </c>
      <c r="K24" s="0" t="n">
        <f aca="false">-K6*K23/100</f>
        <v>-72.2714181854774</v>
      </c>
      <c r="L24" s="0" t="n">
        <f aca="false">-L6*L23/100</f>
        <v>-73.7168465491869</v>
      </c>
    </row>
    <row r="26" customFormat="false" ht="15" hidden="false" customHeight="false" outlineLevel="0" collapsed="false">
      <c r="A26" s="2" t="s">
        <v>123</v>
      </c>
    </row>
    <row r="27" customFormat="false" ht="15" hidden="false" customHeight="false" outlineLevel="0" collapsed="false">
      <c r="A27" s="0" t="s">
        <v>101</v>
      </c>
      <c r="B27" s="4" t="n">
        <f aca="false">Assumptions!$B$20</f>
        <v>12.5</v>
      </c>
    </row>
    <row r="28" customFormat="false" ht="15" hidden="false" customHeight="false" outlineLevel="0" collapsed="false">
      <c r="A28" s="0" t="s">
        <v>102</v>
      </c>
      <c r="B28" s="4" t="n">
        <f aca="false">Assumptions!$B$21</f>
        <v>1.5</v>
      </c>
    </row>
    <row r="29" customFormat="false" ht="15" hidden="false" customHeight="false" outlineLevel="0" collapsed="false">
      <c r="A29" s="0" t="s">
        <v>103</v>
      </c>
      <c r="B29" s="4" t="n">
        <f aca="false">Assumptions!$B$22</f>
        <v>12</v>
      </c>
    </row>
    <row r="30" customFormat="false" ht="15" hidden="false" customHeight="false" outlineLevel="0" collapsed="false">
      <c r="A30" s="0" t="s">
        <v>124</v>
      </c>
      <c r="B30" s="0" t="n">
        <f aca="false">SUM(C21:L21)</f>
        <v>3059.65434594848</v>
      </c>
    </row>
    <row r="31" customFormat="false" ht="15" hidden="false" customHeight="false" outlineLevel="0" collapsed="false">
      <c r="A31" s="0" t="s">
        <v>125</v>
      </c>
      <c r="B31" s="0" t="n">
        <f aca="false">L19</f>
        <v>534.326685117963</v>
      </c>
    </row>
    <row r="32" customFormat="false" ht="15" hidden="false" customHeight="false" outlineLevel="0" collapsed="false">
      <c r="A32" s="0" t="s">
        <v>126</v>
      </c>
      <c r="B32" s="0" t="n">
        <f aca="false">IF(B27&gt;B28,B31*(1+B28/100)/((B27-B28)/100),B31*B29)</f>
        <v>4930.37804904302</v>
      </c>
    </row>
    <row r="33" customFormat="false" ht="15" hidden="false" customHeight="false" outlineLevel="0" collapsed="false">
      <c r="A33" s="0" t="s">
        <v>127</v>
      </c>
      <c r="B33" s="0" t="n">
        <f aca="false">B31*B29</f>
        <v>6411.92022141555</v>
      </c>
    </row>
    <row r="34" customFormat="false" ht="15" hidden="false" customHeight="false" outlineLevel="0" collapsed="false">
      <c r="A34" s="0" t="s">
        <v>128</v>
      </c>
      <c r="B34" s="0" t="n">
        <f aca="false">MAX(0,MIN(B32,B33))</f>
        <v>4930.37804904302</v>
      </c>
    </row>
    <row r="35" customFormat="false" ht="15" hidden="false" customHeight="false" outlineLevel="0" collapsed="false">
      <c r="A35" s="0" t="s">
        <v>129</v>
      </c>
      <c r="B35" s="0" t="n">
        <f aca="false">B34/(1+B27/100)^L4</f>
        <v>1518.2909266976</v>
      </c>
    </row>
    <row r="36" customFormat="false" ht="15" hidden="false" customHeight="false" outlineLevel="0" collapsed="false">
      <c r="A36" s="0" t="s">
        <v>130</v>
      </c>
      <c r="B36" s="0" t="n">
        <f aca="false">B30+B35</f>
        <v>4577.94527264608</v>
      </c>
    </row>
    <row r="37" customFormat="false" ht="15" hidden="false" customHeight="false" outlineLevel="0" collapsed="false">
      <c r="A37" s="0" t="s">
        <v>131</v>
      </c>
      <c r="B37" s="0" t="n">
        <f aca="false">B36+Assumptions!$B$5-Assumptions!$B$4</f>
        <v>6758.60827264608</v>
      </c>
    </row>
    <row r="38" customFormat="false" ht="15" hidden="false" customHeight="false" outlineLevel="0" collapsed="false">
      <c r="A38" s="0" t="s">
        <v>132</v>
      </c>
      <c r="B38" s="0" t="n">
        <f aca="false">B37/Assumptions!$B$3*Assumptions!$B$10</f>
        <v>75.3190720687648</v>
      </c>
    </row>
    <row r="39" customFormat="false" ht="15" hidden="false" customHeight="false" outlineLevel="0" collapsed="false">
      <c r="A39" s="0" t="s">
        <v>133</v>
      </c>
      <c r="B39" s="4" t="n">
        <f aca="false">B38/Assumptions!$B$2-1</f>
        <v>0.276594441843471</v>
      </c>
    </row>
    <row r="41" customFormat="false" ht="15" hidden="false" customHeight="false" outlineLevel="0" collapsed="false">
      <c r="A41" s="0" t="s">
        <v>134</v>
      </c>
      <c r="B41" s="0" t="n">
        <f aca="false">SUMPRODUCT(-C10:L10/(1+$B$27/100)^C4:L4)</f>
        <v>290.114766722587</v>
      </c>
    </row>
    <row r="42" customFormat="false" ht="15" hidden="false" customHeight="false" outlineLevel="0" collapsed="false">
      <c r="A42" s="0" t="s">
        <v>135</v>
      </c>
      <c r="B42" s="0" t="n">
        <f aca="false">IF(B27&gt;B28,-L10*(1+B28/100)/((B27-B28)/100),-L10*20)/(1+B27/100)^L4</f>
        <v>122.188877554338</v>
      </c>
    </row>
    <row r="43" customFormat="false" ht="15" hidden="false" customHeight="false" outlineLevel="0" collapsed="false">
      <c r="A43" s="0" t="s">
        <v>136</v>
      </c>
      <c r="B43" s="0" t="n">
        <f aca="false">(B37+B41+B42)/Assumptions!$B$3*Assumptions!$B$10</f>
        <v>79.9138535155892</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4017.34507699801</v>
      </c>
    </row>
    <row r="47" customFormat="false" ht="15" hidden="false" customHeight="false" outlineLevel="0" collapsed="false">
      <c r="A47" s="0" t="s">
        <v>138</v>
      </c>
      <c r="B47" s="0" t="n">
        <f aca="false">(SUMPRODUCT(C19:L19/(1+B45/100)^C4:L4)+B46/(1+B45/100)^L4+Assumptions!$B$5-Assumptions!$B$4)/Assumptions!$B$3*Assumptions!$B$10</f>
        <v>66.435622682729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139</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Assumptions!C27</f>
        <v>34</v>
      </c>
      <c r="D5" s="4" t="n">
        <f aca="false">Assumptions!D27</f>
        <v>18</v>
      </c>
      <c r="E5" s="4" t="n">
        <f aca="false">Assumptions!E27</f>
        <v>12</v>
      </c>
      <c r="F5" s="4" t="n">
        <f aca="false">Assumptions!F27</f>
        <v>9</v>
      </c>
      <c r="G5" s="4" t="n">
        <f aca="false">Assumptions!G27</f>
        <v>7</v>
      </c>
      <c r="H5" s="4" t="n">
        <f aca="false">Assumptions!H27</f>
        <v>6</v>
      </c>
      <c r="I5" s="4" t="n">
        <f aca="false">Assumptions!I27</f>
        <v>5</v>
      </c>
      <c r="J5" s="4" t="n">
        <f aca="false">Assumptions!J27</f>
        <v>4</v>
      </c>
      <c r="K5" s="4" t="n">
        <f aca="false">Assumptions!K27</f>
        <v>3.5</v>
      </c>
      <c r="L5" s="4" t="n">
        <f aca="false">Assumptions!L27</f>
        <v>3</v>
      </c>
    </row>
    <row r="6" customFormat="false" ht="15" hidden="false" customHeight="false" outlineLevel="0" collapsed="false">
      <c r="A6" s="0" t="s">
        <v>38</v>
      </c>
      <c r="B6" s="3" t="n">
        <v>4465.644</v>
      </c>
      <c r="C6" s="0" t="n">
        <f aca="false">B6*(1+C5/100)</f>
        <v>5983.96296</v>
      </c>
      <c r="D6" s="0" t="n">
        <f aca="false">C6*(1+D5/100)</f>
        <v>7061.0762928</v>
      </c>
      <c r="E6" s="0" t="n">
        <f aca="false">D6*(1+E5/100)</f>
        <v>7908.405447936</v>
      </c>
      <c r="F6" s="0" t="n">
        <f aca="false">E6*(1+F5/100)</f>
        <v>8620.16193825024</v>
      </c>
      <c r="G6" s="0" t="n">
        <f aca="false">F6*(1+G5/100)</f>
        <v>9223.57327392776</v>
      </c>
      <c r="H6" s="0" t="n">
        <f aca="false">G6*(1+H5/100)</f>
        <v>9776.98767036343</v>
      </c>
      <c r="I6" s="0" t="n">
        <f aca="false">H6*(1+I5/100)</f>
        <v>10265.8370538816</v>
      </c>
      <c r="J6" s="0" t="n">
        <f aca="false">I6*(1+J5/100)</f>
        <v>10676.4705360369</v>
      </c>
      <c r="K6" s="0" t="n">
        <f aca="false">J6*(1+K5/100)</f>
        <v>11050.1470047982</v>
      </c>
      <c r="L6" s="0" t="n">
        <f aca="false">K6*(1+L5/100)</f>
        <v>11381.6514149421</v>
      </c>
    </row>
    <row r="7" customFormat="false" ht="15" hidden="false" customHeight="false" outlineLevel="0" collapsed="false">
      <c r="A7" s="0" t="s">
        <v>95</v>
      </c>
      <c r="C7" s="4" t="n">
        <f aca="false">Assumptions!C28</f>
        <v>17.6</v>
      </c>
      <c r="D7" s="4" t="n">
        <f aca="false">Assumptions!D28</f>
        <v>17.8</v>
      </c>
      <c r="E7" s="4" t="n">
        <f aca="false">Assumptions!E28</f>
        <v>18</v>
      </c>
      <c r="F7" s="4" t="n">
        <f aca="false">Assumptions!F28</f>
        <v>18.2</v>
      </c>
      <c r="G7" s="4" t="n">
        <f aca="false">Assumptions!G28</f>
        <v>18.3</v>
      </c>
      <c r="H7" s="4" t="n">
        <f aca="false">Assumptions!H28</f>
        <v>18.4</v>
      </c>
      <c r="I7" s="4" t="n">
        <f aca="false">Assumptions!I28</f>
        <v>18.5</v>
      </c>
      <c r="J7" s="4" t="n">
        <f aca="false">Assumptions!J28</f>
        <v>18.5</v>
      </c>
      <c r="K7" s="4" t="n">
        <f aca="false">Assumptions!K28</f>
        <v>18.5</v>
      </c>
      <c r="L7" s="4" t="n">
        <f aca="false">Assumptions!L28</f>
        <v>18.5</v>
      </c>
    </row>
    <row r="8" customFormat="false" ht="15" hidden="false" customHeight="false" outlineLevel="0" collapsed="false">
      <c r="A8" s="0" t="s">
        <v>44</v>
      </c>
      <c r="C8" s="0" t="n">
        <f aca="false">C6*C7/100</f>
        <v>1053.17748096</v>
      </c>
      <c r="D8" s="0" t="n">
        <f aca="false">D6*D7/100</f>
        <v>1256.8715801184</v>
      </c>
      <c r="E8" s="0" t="n">
        <f aca="false">E6*E7/100</f>
        <v>1423.51298062848</v>
      </c>
      <c r="F8" s="0" t="n">
        <f aca="false">F6*F7/100</f>
        <v>1568.86947276154</v>
      </c>
      <c r="G8" s="0" t="n">
        <f aca="false">G6*G7/100</f>
        <v>1687.91390912878</v>
      </c>
      <c r="H8" s="0" t="n">
        <f aca="false">H6*H7/100</f>
        <v>1798.96573134687</v>
      </c>
      <c r="I8" s="0" t="n">
        <f aca="false">I6*I7/100</f>
        <v>1899.1798549681</v>
      </c>
      <c r="J8" s="0" t="n">
        <f aca="false">J6*J7/100</f>
        <v>1975.14704916682</v>
      </c>
      <c r="K8" s="0" t="n">
        <f aca="false">K6*K7/100</f>
        <v>2044.27719588766</v>
      </c>
      <c r="L8" s="0" t="n">
        <f aca="false">L6*L7/100</f>
        <v>2105.60551176429</v>
      </c>
    </row>
    <row r="9" customFormat="false" ht="15" hidden="false" customHeight="false" outlineLevel="0" collapsed="false">
      <c r="A9" s="0" t="s">
        <v>96</v>
      </c>
      <c r="C9" s="4" t="n">
        <f aca="false">Assumptions!C29</f>
        <v>1</v>
      </c>
      <c r="D9" s="4" t="n">
        <f aca="false">Assumptions!D29</f>
        <v>0.95</v>
      </c>
      <c r="E9" s="4" t="n">
        <f aca="false">Assumptions!E29</f>
        <v>0.9</v>
      </c>
      <c r="F9" s="4" t="n">
        <f aca="false">Assumptions!F29</f>
        <v>0.85</v>
      </c>
      <c r="G9" s="4" t="n">
        <f aca="false">Assumptions!G29</f>
        <v>0.8</v>
      </c>
      <c r="H9" s="4" t="n">
        <f aca="false">Assumptions!H29</f>
        <v>0.75</v>
      </c>
      <c r="I9" s="4" t="n">
        <f aca="false">Assumptions!I29</f>
        <v>0.7</v>
      </c>
      <c r="J9" s="4" t="n">
        <f aca="false">Assumptions!J29</f>
        <v>0.65</v>
      </c>
      <c r="K9" s="4" t="n">
        <f aca="false">Assumptions!K29</f>
        <v>0.6</v>
      </c>
      <c r="L9" s="4" t="n">
        <f aca="false">Assumptions!L29</f>
        <v>0.6</v>
      </c>
    </row>
    <row r="10" customFormat="false" ht="15" hidden="false" customHeight="false" outlineLevel="0" collapsed="false">
      <c r="A10" s="0" t="s">
        <v>111</v>
      </c>
      <c r="C10" s="0" t="n">
        <f aca="false">-C6*C9/100</f>
        <v>-59.8396296</v>
      </c>
      <c r="D10" s="0" t="n">
        <f aca="false">-D6*D9/100</f>
        <v>-67.0802247816</v>
      </c>
      <c r="E10" s="0" t="n">
        <f aca="false">-E6*E9/100</f>
        <v>-71.175649031424</v>
      </c>
      <c r="F10" s="0" t="n">
        <f aca="false">-F6*F9/100</f>
        <v>-73.271376475127</v>
      </c>
      <c r="G10" s="0" t="n">
        <f aca="false">-G6*G9/100</f>
        <v>-73.7885861914221</v>
      </c>
      <c r="H10" s="0" t="n">
        <f aca="false">-H6*H9/100</f>
        <v>-73.3274075277257</v>
      </c>
      <c r="I10" s="0" t="n">
        <f aca="false">-I6*I9/100</f>
        <v>-71.8608593771712</v>
      </c>
      <c r="J10" s="0" t="n">
        <f aca="false">-J6*J9/100</f>
        <v>-69.3970584842396</v>
      </c>
      <c r="K10" s="0" t="n">
        <f aca="false">-K6*K9/100</f>
        <v>-66.3008820287889</v>
      </c>
      <c r="L10" s="0" t="n">
        <f aca="false">-L6*L9/100</f>
        <v>-68.2899084896526</v>
      </c>
    </row>
    <row r="11" customFormat="false" ht="15" hidden="false" customHeight="false" outlineLevel="0" collapsed="false">
      <c r="A11" s="0" t="s">
        <v>112</v>
      </c>
      <c r="C11" s="0" t="n">
        <f aca="false">C8+C10+C24</f>
        <v>927.5142588</v>
      </c>
      <c r="D11" s="0" t="n">
        <f aca="false">D8+D10+D24</f>
        <v>1112.119516116</v>
      </c>
      <c r="E11" s="0" t="n">
        <f aca="false">E8+E10+E24</f>
        <v>1265.34487166976</v>
      </c>
      <c r="F11" s="0" t="n">
        <f aca="false">F8+F10+F24</f>
        <v>1400.77631496566</v>
      </c>
      <c r="G11" s="0" t="n">
        <f aca="false">G8+G10+G24</f>
        <v>1512.66601692415</v>
      </c>
      <c r="H11" s="0" t="n">
        <f aca="false">H8+H10+H24</f>
        <v>1618.09145944515</v>
      </c>
      <c r="I11" s="0" t="n">
        <f aca="false">I8+I10+I24</f>
        <v>1714.39478799823</v>
      </c>
      <c r="J11" s="0" t="n">
        <f aca="false">J8+J10+J24</f>
        <v>1788.30881478617</v>
      </c>
      <c r="K11" s="0" t="n">
        <f aca="false">K8+K10+K24</f>
        <v>1856.42469680609</v>
      </c>
      <c r="L11" s="0" t="n">
        <f aca="false">L8+L10+L24</f>
        <v>1912.11743771027</v>
      </c>
    </row>
    <row r="12" customFormat="false" ht="15" hidden="false" customHeight="false" outlineLevel="0" collapsed="false">
      <c r="A12" s="0" t="s">
        <v>113</v>
      </c>
      <c r="C12" s="4" t="n">
        <f aca="false">-C6*Assumptions!C31/100</f>
        <v>-32.91179628</v>
      </c>
      <c r="D12" s="4" t="n">
        <f aca="false">-D6*Assumptions!D31/100</f>
        <v>-38.8359196104</v>
      </c>
      <c r="E12" s="4" t="n">
        <f aca="false">-E6*Assumptions!E31/100</f>
        <v>-43.496229963648</v>
      </c>
      <c r="F12" s="4" t="n">
        <f aca="false">-F6*Assumptions!F31/100</f>
        <v>-47.4108906603763</v>
      </c>
      <c r="G12" s="4" t="n">
        <f aca="false">-G6*Assumptions!G31/100</f>
        <v>-50.7296530066027</v>
      </c>
      <c r="H12" s="4" t="n">
        <f aca="false">-H6*Assumptions!H31/100</f>
        <v>-53.7734321869988</v>
      </c>
      <c r="I12" s="4" t="n">
        <f aca="false">-I6*Assumptions!I31/100</f>
        <v>-56.4621037963488</v>
      </c>
      <c r="J12" s="4" t="n">
        <f aca="false">-J6*Assumptions!J31/100</f>
        <v>-58.7205879482028</v>
      </c>
      <c r="K12" s="4" t="n">
        <f aca="false">-K6*Assumptions!K31/100</f>
        <v>-60.7758085263898</v>
      </c>
      <c r="L12" s="4" t="n">
        <f aca="false">-L6*Assumptions!L31/100</f>
        <v>-62.5990827821815</v>
      </c>
    </row>
    <row r="13" customFormat="false" ht="15" hidden="false" customHeight="false" outlineLevel="0" collapsed="false">
      <c r="A13" s="0" t="s">
        <v>114</v>
      </c>
      <c r="C13" s="0" t="n">
        <f aca="false">C11+C12</f>
        <v>894.60246252</v>
      </c>
      <c r="D13" s="0" t="n">
        <f aca="false">D11+D12</f>
        <v>1073.2835965056</v>
      </c>
      <c r="E13" s="0" t="n">
        <f aca="false">E11+E12</f>
        <v>1221.84864170611</v>
      </c>
      <c r="F13" s="0" t="n">
        <f aca="false">F11+F12</f>
        <v>1353.36542430529</v>
      </c>
      <c r="G13" s="0" t="n">
        <f aca="false">G11+G12</f>
        <v>1461.93636391755</v>
      </c>
      <c r="H13" s="0" t="n">
        <f aca="false">H11+H12</f>
        <v>1564.31802725815</v>
      </c>
      <c r="I13" s="0" t="n">
        <f aca="false">I11+I12</f>
        <v>1657.93268420188</v>
      </c>
      <c r="J13" s="0" t="n">
        <f aca="false">J11+J12</f>
        <v>1729.58822683797</v>
      </c>
      <c r="K13" s="0" t="n">
        <f aca="false">K11+K12</f>
        <v>1795.6488882797</v>
      </c>
      <c r="L13" s="0" t="n">
        <f aca="false">L11+L12</f>
        <v>1849.51835492809</v>
      </c>
    </row>
    <row r="14" customFormat="false" ht="15" hidden="false" customHeight="false" outlineLevel="0" collapsed="false">
      <c r="A14" s="0" t="s">
        <v>100</v>
      </c>
      <c r="C14" s="4" t="n">
        <f aca="false">Assumptions!C33</f>
        <v>23</v>
      </c>
      <c r="D14" s="4" t="n">
        <f aca="false">Assumptions!D33</f>
        <v>24</v>
      </c>
      <c r="E14" s="4" t="n">
        <f aca="false">Assumptions!E33</f>
        <v>25</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115</v>
      </c>
      <c r="C15" s="0" t="n">
        <f aca="false">C13-MAX(0,C13)*C14/100</f>
        <v>688.8438961404</v>
      </c>
      <c r="D15" s="0" t="n">
        <f aca="false">D13-MAX(0,D13)*D14/100</f>
        <v>815.695533344256</v>
      </c>
      <c r="E15" s="0" t="n">
        <f aca="false">E13-MAX(0,E13)*E14/100</f>
        <v>916.386481279584</v>
      </c>
      <c r="F15" s="0" t="n">
        <f aca="false">F13-MAX(0,F13)*F14/100</f>
        <v>1015.02406822897</v>
      </c>
      <c r="G15" s="0" t="n">
        <f aca="false">G13-MAX(0,G13)*G14/100</f>
        <v>1096.45227293816</v>
      </c>
      <c r="H15" s="0" t="n">
        <f aca="false">H13-MAX(0,H13)*H14/100</f>
        <v>1173.23852044361</v>
      </c>
      <c r="I15" s="0" t="n">
        <f aca="false">I13-MAX(0,I13)*I14/100</f>
        <v>1243.44951315141</v>
      </c>
      <c r="J15" s="0" t="n">
        <f aca="false">J13-MAX(0,J13)*J14/100</f>
        <v>1297.19117012848</v>
      </c>
      <c r="K15" s="0" t="n">
        <f aca="false">K13-MAX(0,K13)*K14/100</f>
        <v>1346.73666620977</v>
      </c>
      <c r="L15" s="0" t="n">
        <f aca="false">L13-MAX(0,L13)*L14/100</f>
        <v>1387.13876619607</v>
      </c>
    </row>
    <row r="16" customFormat="false" ht="15" hidden="false" customHeight="false" outlineLevel="0" collapsed="false">
      <c r="A16" s="0" t="s">
        <v>116</v>
      </c>
      <c r="C16" s="0" t="n">
        <f aca="false">-C12</f>
        <v>32.91179628</v>
      </c>
      <c r="D16" s="0" t="n">
        <f aca="false">-D12</f>
        <v>38.8359196104</v>
      </c>
      <c r="E16" s="0" t="n">
        <f aca="false">-E12</f>
        <v>43.496229963648</v>
      </c>
      <c r="F16" s="0" t="n">
        <f aca="false">-F12</f>
        <v>47.4108906603763</v>
      </c>
      <c r="G16" s="0" t="n">
        <f aca="false">-G12</f>
        <v>50.7296530066027</v>
      </c>
      <c r="H16" s="0" t="n">
        <f aca="false">-H12</f>
        <v>53.7734321869988</v>
      </c>
      <c r="I16" s="0" t="n">
        <f aca="false">-I12</f>
        <v>56.4621037963488</v>
      </c>
      <c r="J16" s="0" t="n">
        <f aca="false">-J12</f>
        <v>58.7205879482028</v>
      </c>
      <c r="K16" s="0" t="n">
        <f aca="false">-K12</f>
        <v>60.7758085263898</v>
      </c>
      <c r="L16" s="0" t="n">
        <f aca="false">-L12</f>
        <v>62.5990827821815</v>
      </c>
    </row>
    <row r="17" customFormat="false" ht="15" hidden="false" customHeight="false" outlineLevel="0" collapsed="false">
      <c r="A17" s="0" t="s">
        <v>117</v>
      </c>
      <c r="C17" s="4" t="n">
        <f aca="false">-C6*Assumptions!C32/100</f>
        <v>-59.8396296</v>
      </c>
      <c r="D17" s="4" t="n">
        <f aca="false">-D6*Assumptions!D32/100</f>
        <v>-70.610762928</v>
      </c>
      <c r="E17" s="4" t="n">
        <f aca="false">-E6*Assumptions!E32/100</f>
        <v>-71.175649031424</v>
      </c>
      <c r="F17" s="4" t="n">
        <f aca="false">-F6*Assumptions!F32/100</f>
        <v>-77.5814574442522</v>
      </c>
      <c r="G17" s="4" t="n">
        <f aca="false">-G6*Assumptions!G32/100</f>
        <v>-73.7885861914221</v>
      </c>
      <c r="H17" s="4" t="n">
        <f aca="false">-H6*Assumptions!H32/100</f>
        <v>-78.2159013629074</v>
      </c>
      <c r="I17" s="4" t="n">
        <f aca="false">-I6*Assumptions!I32/100</f>
        <v>-82.1266964310528</v>
      </c>
      <c r="J17" s="4" t="n">
        <f aca="false">-J6*Assumptions!J32/100</f>
        <v>-85.4117642882949</v>
      </c>
      <c r="K17" s="4" t="n">
        <f aca="false">-K6*Assumptions!K32/100</f>
        <v>-88.4011760383852</v>
      </c>
      <c r="L17" s="4" t="n">
        <f aca="false">-L6*Assumptions!L32/100</f>
        <v>-91.0532113195368</v>
      </c>
    </row>
    <row r="18" customFormat="false" ht="15" hidden="false" customHeight="false" outlineLevel="0" collapsed="false">
      <c r="A18" s="0" t="s">
        <v>118</v>
      </c>
      <c r="C18" s="4" t="n">
        <f aca="false">(C6-B6)*Assumptions!$B$37/100</f>
        <v>121.4655168</v>
      </c>
      <c r="D18" s="4" t="n">
        <f aca="false">(D6-C6)*Assumptions!$B$37/100</f>
        <v>86.169066624</v>
      </c>
      <c r="E18" s="4" t="n">
        <f aca="false">(E6-D6)*Assumptions!$B$37/100</f>
        <v>67.7863324108801</v>
      </c>
      <c r="F18" s="4" t="n">
        <f aca="false">(F6-E6)*Assumptions!$B$37/100</f>
        <v>56.9405192251392</v>
      </c>
      <c r="G18" s="4" t="n">
        <f aca="false">(G6-F6)*Assumptions!$B$37/100</f>
        <v>48.2729068542014</v>
      </c>
      <c r="H18" s="4" t="n">
        <f aca="false">(H6-G6)*Assumptions!$B$37/100</f>
        <v>44.2731517148533</v>
      </c>
      <c r="I18" s="4" t="n">
        <f aca="false">(I6-H6)*Assumptions!$B$37/100</f>
        <v>39.1079506814538</v>
      </c>
      <c r="J18" s="4" t="n">
        <f aca="false">(J6-I6)*Assumptions!$B$37/100</f>
        <v>32.8506785724212</v>
      </c>
      <c r="K18" s="4" t="n">
        <f aca="false">(K6-J6)*Assumptions!$B$37/100</f>
        <v>29.8941175009031</v>
      </c>
      <c r="L18" s="4" t="n">
        <f aca="false">(L6-K6)*Assumptions!$B$37/100</f>
        <v>26.5203528115156</v>
      </c>
    </row>
    <row r="19" customFormat="false" ht="15" hidden="false" customHeight="false" outlineLevel="0" collapsed="false">
      <c r="A19" s="0" t="s">
        <v>119</v>
      </c>
      <c r="C19" s="0" t="n">
        <f aca="false">C15+C16+C17+C18</f>
        <v>783.3815796204</v>
      </c>
      <c r="D19" s="0" t="n">
        <f aca="false">D15+D16+D17+D18</f>
        <v>870.089756650656</v>
      </c>
      <c r="E19" s="0" t="n">
        <f aca="false">E15+E16+E17+E18</f>
        <v>956.493394622688</v>
      </c>
      <c r="F19" s="0" t="n">
        <f aca="false">F15+F16+F17+F18</f>
        <v>1041.79402067023</v>
      </c>
      <c r="G19" s="0" t="n">
        <f aca="false">G15+G16+G17+G18</f>
        <v>1121.66624660754</v>
      </c>
      <c r="H19" s="0" t="n">
        <f aca="false">H15+H16+H17+H18</f>
        <v>1193.06920298256</v>
      </c>
      <c r="I19" s="0" t="n">
        <f aca="false">I15+I16+I17+I18</f>
        <v>1256.89287119816</v>
      </c>
      <c r="J19" s="0" t="n">
        <f aca="false">J15+J16+J17+J18</f>
        <v>1303.35067236081</v>
      </c>
      <c r="K19" s="0" t="n">
        <f aca="false">K15+K16+K17+K18</f>
        <v>1349.00541619868</v>
      </c>
      <c r="L19" s="0" t="n">
        <f aca="false">L15+L16+L17+L18</f>
        <v>1385.20499047023</v>
      </c>
    </row>
    <row r="20" customFormat="false" ht="15" hidden="false" customHeight="false" outlineLevel="0" collapsed="false">
      <c r="A20" s="0" t="s">
        <v>120</v>
      </c>
      <c r="C20" s="0" t="n">
        <f aca="false">1/(1+$B$27/100)^C4</f>
        <v>0.888888888888889</v>
      </c>
      <c r="D20" s="0" t="n">
        <f aca="false">1/(1+$B$27/100)^D4</f>
        <v>0.790123456790123</v>
      </c>
      <c r="E20" s="0" t="n">
        <f aca="false">1/(1+$B$27/100)^E4</f>
        <v>0.702331961591221</v>
      </c>
      <c r="F20" s="0" t="n">
        <f aca="false">1/(1+$B$27/100)^F4</f>
        <v>0.624295076969974</v>
      </c>
      <c r="G20" s="0" t="n">
        <f aca="false">1/(1+$B$27/100)^G4</f>
        <v>0.554928957306644</v>
      </c>
      <c r="H20" s="0" t="n">
        <f aca="false">1/(1+$B$27/100)^H4</f>
        <v>0.493270184272572</v>
      </c>
      <c r="I20" s="0" t="n">
        <f aca="false">1/(1+$B$27/100)^I4</f>
        <v>0.438462386020064</v>
      </c>
      <c r="J20" s="0" t="n">
        <f aca="false">1/(1+$B$27/100)^J4</f>
        <v>0.389744343128946</v>
      </c>
      <c r="K20" s="0" t="n">
        <f aca="false">1/(1+$B$27/100)^K4</f>
        <v>0.346439416114619</v>
      </c>
      <c r="L20" s="0" t="n">
        <f aca="false">1/(1+$B$27/100)^L4</f>
        <v>0.307946147657439</v>
      </c>
    </row>
    <row r="21" customFormat="false" ht="15" hidden="false" customHeight="false" outlineLevel="0" collapsed="false">
      <c r="A21" s="0" t="s">
        <v>121</v>
      </c>
      <c r="C21" s="0" t="n">
        <f aca="false">C19*C20</f>
        <v>696.3391818848</v>
      </c>
      <c r="D21" s="0" t="n">
        <f aca="false">D19*D20</f>
        <v>687.478326242494</v>
      </c>
      <c r="E21" s="0" t="n">
        <f aca="false">E19*E20</f>
        <v>671.775882094398</v>
      </c>
      <c r="F21" s="0" t="n">
        <f aca="false">F19*F20</f>
        <v>650.38687832118</v>
      </c>
      <c r="G21" s="0" t="n">
        <f aca="false">G19*G20</f>
        <v>622.445080675981</v>
      </c>
      <c r="H21" s="0" t="n">
        <f aca="false">H19*H20</f>
        <v>588.505465605136</v>
      </c>
      <c r="I21" s="0" t="n">
        <f aca="false">I19*I20</f>
        <v>551.100247277154</v>
      </c>
      <c r="J21" s="0" t="n">
        <f aca="false">J19*J20</f>
        <v>507.973551665933</v>
      </c>
      <c r="K21" s="0" t="n">
        <f aca="false">K19*K20</f>
        <v>467.348648723329</v>
      </c>
      <c r="L21" s="0" t="n">
        <f aca="false">L19*L20</f>
        <v>426.568540531166</v>
      </c>
    </row>
    <row r="23" customFormat="false" ht="15" hidden="false" customHeight="false" outlineLevel="0" collapsed="false">
      <c r="A23" s="0" t="s">
        <v>97</v>
      </c>
      <c r="C23" s="4" t="n">
        <f aca="false">Assumptions!C30</f>
        <v>1.1</v>
      </c>
      <c r="D23" s="4" t="n">
        <f aca="false">Assumptions!D30</f>
        <v>1.1</v>
      </c>
      <c r="E23" s="4" t="n">
        <f aca="false">Assumptions!E30</f>
        <v>1.1</v>
      </c>
      <c r="F23" s="4" t="n">
        <f aca="false">Assumptions!F30</f>
        <v>1.1</v>
      </c>
      <c r="G23" s="4" t="n">
        <f aca="false">Assumptions!G30</f>
        <v>1.1</v>
      </c>
      <c r="H23" s="4" t="n">
        <f aca="false">Assumptions!H30</f>
        <v>1.1</v>
      </c>
      <c r="I23" s="4" t="n">
        <f aca="false">Assumptions!I30</f>
        <v>1.1</v>
      </c>
      <c r="J23" s="4" t="n">
        <f aca="false">Assumptions!J30</f>
        <v>1.1</v>
      </c>
      <c r="K23" s="4" t="n">
        <f aca="false">Assumptions!K30</f>
        <v>1.1</v>
      </c>
      <c r="L23" s="4" t="n">
        <f aca="false">Assumptions!L30</f>
        <v>1.1</v>
      </c>
    </row>
    <row r="24" customFormat="false" ht="15" hidden="false" customHeight="false" outlineLevel="0" collapsed="false">
      <c r="A24" s="0" t="s">
        <v>122</v>
      </c>
      <c r="C24" s="0" t="n">
        <f aca="false">-C6*C23/100</f>
        <v>-65.82359256</v>
      </c>
      <c r="D24" s="0" t="n">
        <f aca="false">-D6*D23/100</f>
        <v>-77.6718392208</v>
      </c>
      <c r="E24" s="0" t="n">
        <f aca="false">-E6*E23/100</f>
        <v>-86.992459927296</v>
      </c>
      <c r="F24" s="0" t="n">
        <f aca="false">-F6*F23/100</f>
        <v>-94.8217813207527</v>
      </c>
      <c r="G24" s="0" t="n">
        <f aca="false">-G6*G23/100</f>
        <v>-101.459306013205</v>
      </c>
      <c r="H24" s="0" t="n">
        <f aca="false">-H6*H23/100</f>
        <v>-107.546864373998</v>
      </c>
      <c r="I24" s="0" t="n">
        <f aca="false">-I6*I23/100</f>
        <v>-112.924207592698</v>
      </c>
      <c r="J24" s="0" t="n">
        <f aca="false">-J6*J23/100</f>
        <v>-117.441175896406</v>
      </c>
      <c r="K24" s="0" t="n">
        <f aca="false">-K6*K23/100</f>
        <v>-121.55161705278</v>
      </c>
      <c r="L24" s="0" t="n">
        <f aca="false">-L6*L23/100</f>
        <v>-125.198165564363</v>
      </c>
    </row>
    <row r="26" customFormat="false" ht="15" hidden="false" customHeight="false" outlineLevel="0" collapsed="false">
      <c r="A26" s="2" t="s">
        <v>123</v>
      </c>
    </row>
    <row r="27" customFormat="false" ht="15" hidden="false" customHeight="false" outlineLevel="0" collapsed="false">
      <c r="A27" s="0" t="s">
        <v>101</v>
      </c>
      <c r="B27" s="4" t="n">
        <f aca="false">Assumptions!$B$34</f>
        <v>12.5</v>
      </c>
    </row>
    <row r="28" customFormat="false" ht="15" hidden="false" customHeight="false" outlineLevel="0" collapsed="false">
      <c r="A28" s="0" t="s">
        <v>102</v>
      </c>
      <c r="B28" s="4" t="n">
        <f aca="false">Assumptions!$B$35</f>
        <v>2.5</v>
      </c>
    </row>
    <row r="29" customFormat="false" ht="15" hidden="false" customHeight="false" outlineLevel="0" collapsed="false">
      <c r="A29" s="0" t="s">
        <v>103</v>
      </c>
      <c r="B29" s="4" t="n">
        <f aca="false">Assumptions!$B$36</f>
        <v>15</v>
      </c>
    </row>
    <row r="30" customFormat="false" ht="15" hidden="false" customHeight="false" outlineLevel="0" collapsed="false">
      <c r="A30" s="0" t="s">
        <v>124</v>
      </c>
      <c r="B30" s="0" t="n">
        <f aca="false">SUM(C21:L21)</f>
        <v>5869.92180302157</v>
      </c>
    </row>
    <row r="31" customFormat="false" ht="15" hidden="false" customHeight="false" outlineLevel="0" collapsed="false">
      <c r="A31" s="0" t="s">
        <v>125</v>
      </c>
      <c r="B31" s="0" t="n">
        <f aca="false">L19</f>
        <v>1385.20499047023</v>
      </c>
    </row>
    <row r="32" customFormat="false" ht="15" hidden="false" customHeight="false" outlineLevel="0" collapsed="false">
      <c r="A32" s="0" t="s">
        <v>126</v>
      </c>
      <c r="B32" s="0" t="n">
        <f aca="false">IF(B27&gt;B28,B31*(1+B28/100)/((B27-B28)/100),B31*B29)</f>
        <v>14198.3511523198</v>
      </c>
    </row>
    <row r="33" customFormat="false" ht="15" hidden="false" customHeight="false" outlineLevel="0" collapsed="false">
      <c r="A33" s="0" t="s">
        <v>127</v>
      </c>
      <c r="B33" s="0" t="n">
        <f aca="false">B31*B29</f>
        <v>20778.0748570534</v>
      </c>
    </row>
    <row r="34" customFormat="false" ht="15" hidden="false" customHeight="false" outlineLevel="0" collapsed="false">
      <c r="A34" s="0" t="s">
        <v>128</v>
      </c>
      <c r="B34" s="0" t="n">
        <f aca="false">MAX(0,MIN(B32,B33))</f>
        <v>14198.3511523198</v>
      </c>
    </row>
    <row r="35" customFormat="false" ht="15" hidden="false" customHeight="false" outlineLevel="0" collapsed="false">
      <c r="A35" s="0" t="s">
        <v>129</v>
      </c>
      <c r="B35" s="0" t="n">
        <f aca="false">B34/(1+B27/100)^L4</f>
        <v>4372.32754044445</v>
      </c>
    </row>
    <row r="36" customFormat="false" ht="15" hidden="false" customHeight="false" outlineLevel="0" collapsed="false">
      <c r="A36" s="0" t="s">
        <v>130</v>
      </c>
      <c r="B36" s="0" t="n">
        <f aca="false">B30+B35</f>
        <v>10242.249343466</v>
      </c>
    </row>
    <row r="37" customFormat="false" ht="15" hidden="false" customHeight="false" outlineLevel="0" collapsed="false">
      <c r="A37" s="0" t="s">
        <v>131</v>
      </c>
      <c r="B37" s="0" t="n">
        <f aca="false">B36+Assumptions!$B$5-Assumptions!$B$4</f>
        <v>12422.912343466</v>
      </c>
    </row>
    <row r="38" customFormat="false" ht="15" hidden="false" customHeight="false" outlineLevel="0" collapsed="false">
      <c r="A38" s="0" t="s">
        <v>132</v>
      </c>
      <c r="B38" s="0" t="n">
        <f aca="false">B37/Assumptions!$B$3*Assumptions!$B$10</f>
        <v>138.443033292583</v>
      </c>
    </row>
    <row r="39" customFormat="false" ht="15" hidden="false" customHeight="false" outlineLevel="0" collapsed="false">
      <c r="A39" s="0" t="s">
        <v>133</v>
      </c>
      <c r="B39" s="4" t="n">
        <f aca="false">B38/Assumptions!$B$2-1</f>
        <v>1.34649208970479</v>
      </c>
    </row>
    <row r="41" customFormat="false" ht="15" hidden="false" customHeight="false" outlineLevel="0" collapsed="false">
      <c r="A41" s="0" t="s">
        <v>134</v>
      </c>
      <c r="B41" s="0" t="n">
        <f aca="false">SUMPRODUCT(-C10:L10/(1+$B$27/100)^C4:L4)</f>
        <v>381.596228730328</v>
      </c>
    </row>
    <row r="42" customFormat="false" ht="15" hidden="false" customHeight="false" outlineLevel="0" collapsed="false">
      <c r="A42" s="0" t="s">
        <v>135</v>
      </c>
      <c r="B42" s="0" t="n">
        <f aca="false">IF(B27&gt;B28,-L10*(1+B28/100)/((B27-B28)/100),-L10*20)/(1+B27/100)^L4</f>
        <v>215.553545993492</v>
      </c>
    </row>
    <row r="43" customFormat="false" ht="15" hidden="false" customHeight="false" outlineLevel="0" collapsed="false">
      <c r="A43" s="0" t="s">
        <v>136</v>
      </c>
      <c r="B43" s="0" t="n">
        <f aca="false">(B37+B41+B42)/Assumptions!$B$3*Assumptions!$B$10</f>
        <v>145.097771236236</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11358.6809218559</v>
      </c>
    </row>
    <row r="47" customFormat="false" ht="15" hidden="false" customHeight="false" outlineLevel="0" collapsed="false">
      <c r="A47" s="0" t="s">
        <v>138</v>
      </c>
      <c r="B47" s="0" t="n">
        <f aca="false">(SUMPRODUCT(C19:L19/(1+B45/100)^C4:L4)+B46/(1+B45/100)^L4+Assumptions!$B$5-Assumptions!$B$4)/Assumptions!$B$3*Assumptions!$B$10</f>
        <v>114.227116452089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Assumptions!C41</f>
        <v>38</v>
      </c>
      <c r="D5" s="4" t="n">
        <f aca="false">Assumptions!D41</f>
        <v>25</v>
      </c>
      <c r="E5" s="4" t="n">
        <f aca="false">Assumptions!E41</f>
        <v>18</v>
      </c>
      <c r="F5" s="4" t="n">
        <f aca="false">Assumptions!F41</f>
        <v>13</v>
      </c>
      <c r="G5" s="4" t="n">
        <f aca="false">Assumptions!G41</f>
        <v>10</v>
      </c>
      <c r="H5" s="4" t="n">
        <f aca="false">Assumptions!H41</f>
        <v>8</v>
      </c>
      <c r="I5" s="4" t="n">
        <f aca="false">Assumptions!I41</f>
        <v>6</v>
      </c>
      <c r="J5" s="4" t="n">
        <f aca="false">Assumptions!J41</f>
        <v>5</v>
      </c>
      <c r="K5" s="4" t="n">
        <f aca="false">Assumptions!K41</f>
        <v>4</v>
      </c>
      <c r="L5" s="4" t="n">
        <f aca="false">Assumptions!L41</f>
        <v>3.5</v>
      </c>
    </row>
    <row r="6" customFormat="false" ht="15" hidden="false" customHeight="false" outlineLevel="0" collapsed="false">
      <c r="A6" s="0" t="s">
        <v>38</v>
      </c>
      <c r="B6" s="3" t="n">
        <v>4465.644</v>
      </c>
      <c r="C6" s="0" t="n">
        <f aca="false">B6*(1+C5/100)</f>
        <v>6162.58872</v>
      </c>
      <c r="D6" s="0" t="n">
        <f aca="false">C6*(1+D5/100)</f>
        <v>7703.2359</v>
      </c>
      <c r="E6" s="0" t="n">
        <f aca="false">D6*(1+E5/100)</f>
        <v>9089.818362</v>
      </c>
      <c r="F6" s="0" t="n">
        <f aca="false">E6*(1+F5/100)</f>
        <v>10271.49474906</v>
      </c>
      <c r="G6" s="0" t="n">
        <f aca="false">F6*(1+G5/100)</f>
        <v>11298.644223966</v>
      </c>
      <c r="H6" s="0" t="n">
        <f aca="false">G6*(1+H5/100)</f>
        <v>12202.5357618833</v>
      </c>
      <c r="I6" s="0" t="n">
        <f aca="false">H6*(1+I5/100)</f>
        <v>12934.6879075963</v>
      </c>
      <c r="J6" s="0" t="n">
        <f aca="false">I6*(1+J5/100)</f>
        <v>13581.4223029761</v>
      </c>
      <c r="K6" s="0" t="n">
        <f aca="false">J6*(1+K5/100)</f>
        <v>14124.6791950951</v>
      </c>
      <c r="L6" s="0" t="n">
        <f aca="false">K6*(1+L5/100)</f>
        <v>14619.0429669235</v>
      </c>
    </row>
    <row r="7" customFormat="false" ht="15" hidden="false" customHeight="false" outlineLevel="0" collapsed="false">
      <c r="A7" s="0" t="s">
        <v>95</v>
      </c>
      <c r="C7" s="4" t="n">
        <f aca="false">Assumptions!C42</f>
        <v>17.8</v>
      </c>
      <c r="D7" s="4" t="n">
        <f aca="false">Assumptions!D42</f>
        <v>18.3</v>
      </c>
      <c r="E7" s="4" t="n">
        <f aca="false">Assumptions!E42</f>
        <v>18.8</v>
      </c>
      <c r="F7" s="4" t="n">
        <f aca="false">Assumptions!F42</f>
        <v>19.2</v>
      </c>
      <c r="G7" s="4" t="n">
        <f aca="false">Assumptions!G42</f>
        <v>19.5</v>
      </c>
      <c r="H7" s="4" t="n">
        <f aca="false">Assumptions!H42</f>
        <v>19.8</v>
      </c>
      <c r="I7" s="4" t="n">
        <f aca="false">Assumptions!I42</f>
        <v>20</v>
      </c>
      <c r="J7" s="4" t="n">
        <f aca="false">Assumptions!J42</f>
        <v>20</v>
      </c>
      <c r="K7" s="4" t="n">
        <f aca="false">Assumptions!K42</f>
        <v>20</v>
      </c>
      <c r="L7" s="4" t="n">
        <f aca="false">Assumptions!L42</f>
        <v>20</v>
      </c>
    </row>
    <row r="8" customFormat="false" ht="15" hidden="false" customHeight="false" outlineLevel="0" collapsed="false">
      <c r="A8" s="0" t="s">
        <v>44</v>
      </c>
      <c r="C8" s="0" t="n">
        <f aca="false">C6*C7/100</f>
        <v>1096.94079216</v>
      </c>
      <c r="D8" s="0" t="n">
        <f aca="false">D6*D7/100</f>
        <v>1409.6921697</v>
      </c>
      <c r="E8" s="0" t="n">
        <f aca="false">E6*E7/100</f>
        <v>1708.885852056</v>
      </c>
      <c r="F8" s="0" t="n">
        <f aca="false">F6*F7/100</f>
        <v>1972.12699181952</v>
      </c>
      <c r="G8" s="0" t="n">
        <f aca="false">G6*G7/100</f>
        <v>2203.23562367337</v>
      </c>
      <c r="H8" s="0" t="n">
        <f aca="false">H6*H7/100</f>
        <v>2416.10208085289</v>
      </c>
      <c r="I8" s="0" t="n">
        <f aca="false">I6*I7/100</f>
        <v>2586.93758151926</v>
      </c>
      <c r="J8" s="0" t="n">
        <f aca="false">J6*J7/100</f>
        <v>2716.28446059522</v>
      </c>
      <c r="K8" s="0" t="n">
        <f aca="false">K6*K7/100</f>
        <v>2824.93583901903</v>
      </c>
      <c r="L8" s="0" t="n">
        <f aca="false">L6*L7/100</f>
        <v>2923.80859338469</v>
      </c>
    </row>
    <row r="9" customFormat="false" ht="15" hidden="false" customHeight="false" outlineLevel="0" collapsed="false">
      <c r="A9" s="0" t="s">
        <v>96</v>
      </c>
      <c r="C9" s="4" t="n">
        <f aca="false">Assumptions!C43</f>
        <v>1</v>
      </c>
      <c r="D9" s="4" t="n">
        <f aca="false">Assumptions!D43</f>
        <v>0.95</v>
      </c>
      <c r="E9" s="4" t="n">
        <f aca="false">Assumptions!E43</f>
        <v>0.9</v>
      </c>
      <c r="F9" s="4" t="n">
        <f aca="false">Assumptions!F43</f>
        <v>0.85</v>
      </c>
      <c r="G9" s="4" t="n">
        <f aca="false">Assumptions!G43</f>
        <v>0.8</v>
      </c>
      <c r="H9" s="4" t="n">
        <f aca="false">Assumptions!H43</f>
        <v>0.75</v>
      </c>
      <c r="I9" s="4" t="n">
        <f aca="false">Assumptions!I43</f>
        <v>0.7</v>
      </c>
      <c r="J9" s="4" t="n">
        <f aca="false">Assumptions!J43</f>
        <v>0.65</v>
      </c>
      <c r="K9" s="4" t="n">
        <f aca="false">Assumptions!K43</f>
        <v>0.6</v>
      </c>
      <c r="L9" s="4" t="n">
        <f aca="false">Assumptions!L43</f>
        <v>0.6</v>
      </c>
    </row>
    <row r="10" customFormat="false" ht="15" hidden="false" customHeight="false" outlineLevel="0" collapsed="false">
      <c r="A10" s="0" t="s">
        <v>111</v>
      </c>
      <c r="C10" s="0" t="n">
        <f aca="false">-C6*C9/100</f>
        <v>-61.6258872</v>
      </c>
      <c r="D10" s="0" t="n">
        <f aca="false">-D6*D9/100</f>
        <v>-73.18074105</v>
      </c>
      <c r="E10" s="0" t="n">
        <f aca="false">-E6*E9/100</f>
        <v>-81.808365258</v>
      </c>
      <c r="F10" s="0" t="n">
        <f aca="false">-F6*F9/100</f>
        <v>-87.30770536701</v>
      </c>
      <c r="G10" s="0" t="n">
        <f aca="false">-G6*G9/100</f>
        <v>-90.389153791728</v>
      </c>
      <c r="H10" s="0" t="n">
        <f aca="false">-H6*H9/100</f>
        <v>-91.5190182141246</v>
      </c>
      <c r="I10" s="0" t="n">
        <f aca="false">-I6*I9/100</f>
        <v>-90.5428153531739</v>
      </c>
      <c r="J10" s="0" t="n">
        <f aca="false">-J6*J9/100</f>
        <v>-88.2792449693446</v>
      </c>
      <c r="K10" s="0" t="n">
        <f aca="false">-K6*K9/100</f>
        <v>-84.7480751705708</v>
      </c>
      <c r="L10" s="0" t="n">
        <f aca="false">-L6*L9/100</f>
        <v>-87.7142578015408</v>
      </c>
    </row>
    <row r="11" customFormat="false" ht="15" hidden="false" customHeight="false" outlineLevel="0" collapsed="false">
      <c r="A11" s="0" t="s">
        <v>112</v>
      </c>
      <c r="C11" s="0" t="n">
        <f aca="false">C8+C10+C24</f>
        <v>973.68901776</v>
      </c>
      <c r="D11" s="0" t="n">
        <f aca="false">D8+D10+D24</f>
        <v>1259.47906965</v>
      </c>
      <c r="E11" s="0" t="n">
        <f aca="false">E8+E10+E24</f>
        <v>1536.179303178</v>
      </c>
      <c r="F11" s="0" t="n">
        <f aca="false">F8+F10+F24</f>
        <v>1782.10433896191</v>
      </c>
      <c r="G11" s="0" t="n">
        <f aca="false">G8+G10+G24</f>
        <v>1999.86002764198</v>
      </c>
      <c r="H11" s="0" t="n">
        <f aca="false">H8+H10+H24</f>
        <v>2202.55770501993</v>
      </c>
      <c r="I11" s="0" t="n">
        <f aca="false">I8+I10+I24</f>
        <v>2367.04788709012</v>
      </c>
      <c r="J11" s="0" t="n">
        <f aca="false">J8+J10+J24</f>
        <v>2492.19099259611</v>
      </c>
      <c r="K11" s="0" t="n">
        <f aca="false">K8+K10+K24</f>
        <v>2598.94097189751</v>
      </c>
      <c r="L11" s="0" t="n">
        <f aca="false">L8+L10+L24</f>
        <v>2689.90390591392</v>
      </c>
    </row>
    <row r="12" customFormat="false" ht="15" hidden="false" customHeight="false" outlineLevel="0" collapsed="false">
      <c r="A12" s="0" t="s">
        <v>113</v>
      </c>
      <c r="C12" s="4" t="n">
        <f aca="false">-C6*Assumptions!C45/100</f>
        <v>-33.89423796</v>
      </c>
      <c r="D12" s="4" t="n">
        <f aca="false">-D6*Assumptions!D45/100</f>
        <v>-42.36779745</v>
      </c>
      <c r="E12" s="4" t="n">
        <f aca="false">-E6*Assumptions!E45/100</f>
        <v>-49.994000991</v>
      </c>
      <c r="F12" s="4" t="n">
        <f aca="false">-F6*Assumptions!F45/100</f>
        <v>-56.49322111983</v>
      </c>
      <c r="G12" s="4" t="n">
        <f aca="false">-G6*Assumptions!G45/100</f>
        <v>-62.142543231813</v>
      </c>
      <c r="H12" s="4" t="n">
        <f aca="false">-H6*Assumptions!H45/100</f>
        <v>-67.1139466903581</v>
      </c>
      <c r="I12" s="4" t="n">
        <f aca="false">-I6*Assumptions!I45/100</f>
        <v>-71.1407834917795</v>
      </c>
      <c r="J12" s="4" t="n">
        <f aca="false">-J6*Assumptions!J45/100</f>
        <v>-74.6978226663685</v>
      </c>
      <c r="K12" s="4" t="n">
        <f aca="false">-K6*Assumptions!K45/100</f>
        <v>-77.6857355730233</v>
      </c>
      <c r="L12" s="4" t="n">
        <f aca="false">-L6*Assumptions!L45/100</f>
        <v>-80.4047363180791</v>
      </c>
    </row>
    <row r="13" customFormat="false" ht="15" hidden="false" customHeight="false" outlineLevel="0" collapsed="false">
      <c r="A13" s="0" t="s">
        <v>114</v>
      </c>
      <c r="C13" s="0" t="n">
        <f aca="false">C11+C12</f>
        <v>939.7947798</v>
      </c>
      <c r="D13" s="0" t="n">
        <f aca="false">D11+D12</f>
        <v>1217.1112722</v>
      </c>
      <c r="E13" s="0" t="n">
        <f aca="false">E11+E12</f>
        <v>1486.185302187</v>
      </c>
      <c r="F13" s="0" t="n">
        <f aca="false">F11+F12</f>
        <v>1725.61111784208</v>
      </c>
      <c r="G13" s="0" t="n">
        <f aca="false">G11+G12</f>
        <v>1937.71748441017</v>
      </c>
      <c r="H13" s="0" t="n">
        <f aca="false">H11+H12</f>
        <v>2135.44375832957</v>
      </c>
      <c r="I13" s="0" t="n">
        <f aca="false">I11+I12</f>
        <v>2295.90710359834</v>
      </c>
      <c r="J13" s="0" t="n">
        <f aca="false">J11+J12</f>
        <v>2417.49316992974</v>
      </c>
      <c r="K13" s="0" t="n">
        <f aca="false">K11+K12</f>
        <v>2521.25523632448</v>
      </c>
      <c r="L13" s="0" t="n">
        <f aca="false">L11+L12</f>
        <v>2609.49916959584</v>
      </c>
    </row>
    <row r="14" customFormat="false" ht="15" hidden="false" customHeight="false" outlineLevel="0" collapsed="false">
      <c r="A14" s="0" t="s">
        <v>100</v>
      </c>
      <c r="C14" s="4" t="n">
        <f aca="false">Assumptions!C47</f>
        <v>23</v>
      </c>
      <c r="D14" s="4" t="n">
        <f aca="false">Assumptions!D47</f>
        <v>23</v>
      </c>
      <c r="E14" s="4" t="n">
        <f aca="false">Assumptions!E47</f>
        <v>24</v>
      </c>
      <c r="F14" s="4" t="n">
        <f aca="false">Assumptions!F47</f>
        <v>24</v>
      </c>
      <c r="G14" s="4" t="n">
        <f aca="false">Assumptions!G47</f>
        <v>24</v>
      </c>
      <c r="H14" s="4" t="n">
        <f aca="false">Assumptions!H47</f>
        <v>24</v>
      </c>
      <c r="I14" s="4" t="n">
        <f aca="false">Assumptions!I47</f>
        <v>24</v>
      </c>
      <c r="J14" s="4" t="n">
        <f aca="false">Assumptions!J47</f>
        <v>24</v>
      </c>
      <c r="K14" s="4" t="n">
        <f aca="false">Assumptions!K47</f>
        <v>24</v>
      </c>
      <c r="L14" s="4" t="n">
        <f aca="false">Assumptions!L47</f>
        <v>24</v>
      </c>
    </row>
    <row r="15" customFormat="false" ht="15" hidden="false" customHeight="false" outlineLevel="0" collapsed="false">
      <c r="A15" s="0" t="s">
        <v>115</v>
      </c>
      <c r="C15" s="0" t="n">
        <f aca="false">C13-MAX(0,C13)*C14/100</f>
        <v>723.641980446</v>
      </c>
      <c r="D15" s="0" t="n">
        <f aca="false">D13-MAX(0,D13)*D14/100</f>
        <v>937.175679594</v>
      </c>
      <c r="E15" s="0" t="n">
        <f aca="false">E13-MAX(0,E13)*E14/100</f>
        <v>1129.50082966212</v>
      </c>
      <c r="F15" s="0" t="n">
        <f aca="false">F13-MAX(0,F13)*F14/100</f>
        <v>1311.46444955998</v>
      </c>
      <c r="G15" s="0" t="n">
        <f aca="false">G13-MAX(0,G13)*G14/100</f>
        <v>1472.66528815173</v>
      </c>
      <c r="H15" s="0" t="n">
        <f aca="false">H13-MAX(0,H13)*H14/100</f>
        <v>1622.93725633048</v>
      </c>
      <c r="I15" s="0" t="n">
        <f aca="false">I13-MAX(0,I13)*I14/100</f>
        <v>1744.88939873474</v>
      </c>
      <c r="J15" s="0" t="n">
        <f aca="false">J13-MAX(0,J13)*J14/100</f>
        <v>1837.29480914661</v>
      </c>
      <c r="K15" s="0" t="n">
        <f aca="false">K13-MAX(0,K13)*K14/100</f>
        <v>1916.15397960661</v>
      </c>
      <c r="L15" s="0" t="n">
        <f aca="false">L13-MAX(0,L13)*L14/100</f>
        <v>1983.21936889284</v>
      </c>
    </row>
    <row r="16" customFormat="false" ht="15" hidden="false" customHeight="false" outlineLevel="0" collapsed="false">
      <c r="A16" s="0" t="s">
        <v>116</v>
      </c>
      <c r="C16" s="0" t="n">
        <f aca="false">-C12</f>
        <v>33.89423796</v>
      </c>
      <c r="D16" s="0" t="n">
        <f aca="false">-D12</f>
        <v>42.36779745</v>
      </c>
      <c r="E16" s="0" t="n">
        <f aca="false">-E12</f>
        <v>49.994000991</v>
      </c>
      <c r="F16" s="0" t="n">
        <f aca="false">-F12</f>
        <v>56.49322111983</v>
      </c>
      <c r="G16" s="0" t="n">
        <f aca="false">-G12</f>
        <v>62.142543231813</v>
      </c>
      <c r="H16" s="0" t="n">
        <f aca="false">-H12</f>
        <v>67.1139466903581</v>
      </c>
      <c r="I16" s="0" t="n">
        <f aca="false">-I12</f>
        <v>71.1407834917795</v>
      </c>
      <c r="J16" s="0" t="n">
        <f aca="false">-J12</f>
        <v>74.6978226663685</v>
      </c>
      <c r="K16" s="0" t="n">
        <f aca="false">-K12</f>
        <v>77.6857355730233</v>
      </c>
      <c r="L16" s="0" t="n">
        <f aca="false">-L12</f>
        <v>80.4047363180791</v>
      </c>
    </row>
    <row r="17" customFormat="false" ht="15" hidden="false" customHeight="false" outlineLevel="0" collapsed="false">
      <c r="A17" s="0" t="s">
        <v>117</v>
      </c>
      <c r="C17" s="4" t="n">
        <f aca="false">-C6*Assumptions!C46/100</f>
        <v>-61.6258872</v>
      </c>
      <c r="D17" s="4" t="n">
        <f aca="false">-D6*Assumptions!D46/100</f>
        <v>-77.032359</v>
      </c>
      <c r="E17" s="4" t="n">
        <f aca="false">-E6*Assumptions!E46/100</f>
        <v>-81.808365258</v>
      </c>
      <c r="F17" s="4" t="n">
        <f aca="false">-F6*Assumptions!F46/100</f>
        <v>-92.44345274154</v>
      </c>
      <c r="G17" s="4" t="n">
        <f aca="false">-G6*Assumptions!G46/100</f>
        <v>-90.389153791728</v>
      </c>
      <c r="H17" s="4" t="n">
        <f aca="false">-H6*Assumptions!H46/100</f>
        <v>-97.6202860950662</v>
      </c>
      <c r="I17" s="4" t="n">
        <f aca="false">-I6*Assumptions!I46/100</f>
        <v>-103.47750326077</v>
      </c>
      <c r="J17" s="4" t="n">
        <f aca="false">-J6*Assumptions!J46/100</f>
        <v>-108.651378423809</v>
      </c>
      <c r="K17" s="4" t="n">
        <f aca="false">-K6*Assumptions!K46/100</f>
        <v>-112.997433560761</v>
      </c>
      <c r="L17" s="4" t="n">
        <f aca="false">-L6*Assumptions!L46/100</f>
        <v>-116.952343735388</v>
      </c>
    </row>
    <row r="18" customFormat="false" ht="15" hidden="false" customHeight="false" outlineLevel="0" collapsed="false">
      <c r="A18" s="0" t="s">
        <v>118</v>
      </c>
      <c r="C18" s="4" t="n">
        <f aca="false">(C6-B6)*Assumptions!$B$51/100</f>
        <v>169.694472</v>
      </c>
      <c r="D18" s="4" t="n">
        <f aca="false">(D6-C6)*Assumptions!$B$51/100</f>
        <v>154.064718</v>
      </c>
      <c r="E18" s="4" t="n">
        <f aca="false">(E6-D6)*Assumptions!$B$51/100</f>
        <v>138.6582462</v>
      </c>
      <c r="F18" s="4" t="n">
        <f aca="false">(F6-E6)*Assumptions!$B$51/100</f>
        <v>118.167638706</v>
      </c>
      <c r="G18" s="4" t="n">
        <f aca="false">(G6-F6)*Assumptions!$B$51/100</f>
        <v>102.7149474906</v>
      </c>
      <c r="H18" s="4" t="n">
        <f aca="false">(H6-G6)*Assumptions!$B$51/100</f>
        <v>90.3891537917281</v>
      </c>
      <c r="I18" s="4" t="n">
        <f aca="false">(I6-H6)*Assumptions!$B$51/100</f>
        <v>73.2152145712997</v>
      </c>
      <c r="J18" s="4" t="n">
        <f aca="false">(J6-I6)*Assumptions!$B$51/100</f>
        <v>64.6734395379814</v>
      </c>
      <c r="K18" s="4" t="n">
        <f aca="false">(K6-J6)*Assumptions!$B$51/100</f>
        <v>54.3256892119045</v>
      </c>
      <c r="L18" s="4" t="n">
        <f aca="false">(L6-K6)*Assumptions!$B$51/100</f>
        <v>49.4363771828328</v>
      </c>
    </row>
    <row r="19" customFormat="false" ht="15" hidden="false" customHeight="false" outlineLevel="0" collapsed="false">
      <c r="A19" s="0" t="s">
        <v>119</v>
      </c>
      <c r="C19" s="0" t="n">
        <f aca="false">C15+C16+C17+C18</f>
        <v>865.604803206</v>
      </c>
      <c r="D19" s="0" t="n">
        <f aca="false">D15+D16+D17+D18</f>
        <v>1056.575836044</v>
      </c>
      <c r="E19" s="0" t="n">
        <f aca="false">E15+E16+E17+E18</f>
        <v>1236.34471159512</v>
      </c>
      <c r="F19" s="0" t="n">
        <f aca="false">F15+F16+F17+F18</f>
        <v>1393.68185664427</v>
      </c>
      <c r="G19" s="0" t="n">
        <f aca="false">G15+G16+G17+G18</f>
        <v>1547.13362508241</v>
      </c>
      <c r="H19" s="0" t="n">
        <f aca="false">H15+H16+H17+H18</f>
        <v>1682.8200707175</v>
      </c>
      <c r="I19" s="0" t="n">
        <f aca="false">I15+I16+I17+I18</f>
        <v>1785.76789353705</v>
      </c>
      <c r="J19" s="0" t="n">
        <f aca="false">J15+J16+J17+J18</f>
        <v>1868.01469292715</v>
      </c>
      <c r="K19" s="0" t="n">
        <f aca="false">K15+K16+K17+K18</f>
        <v>1935.16797083077</v>
      </c>
      <c r="L19" s="0" t="n">
        <f aca="false">L15+L16+L17+L18</f>
        <v>1996.10813865836</v>
      </c>
    </row>
    <row r="20" customFormat="false" ht="15" hidden="false" customHeight="false" outlineLevel="0" collapsed="false">
      <c r="A20" s="0" t="s">
        <v>120</v>
      </c>
      <c r="C20" s="0" t="n">
        <f aca="false">1/(1+$B$27/100)^C4</f>
        <v>0.888888888888889</v>
      </c>
      <c r="D20" s="0" t="n">
        <f aca="false">1/(1+$B$27/100)^D4</f>
        <v>0.790123456790123</v>
      </c>
      <c r="E20" s="0" t="n">
        <f aca="false">1/(1+$B$27/100)^E4</f>
        <v>0.702331961591221</v>
      </c>
      <c r="F20" s="0" t="n">
        <f aca="false">1/(1+$B$27/100)^F4</f>
        <v>0.624295076969974</v>
      </c>
      <c r="G20" s="0" t="n">
        <f aca="false">1/(1+$B$27/100)^G4</f>
        <v>0.554928957306644</v>
      </c>
      <c r="H20" s="0" t="n">
        <f aca="false">1/(1+$B$27/100)^H4</f>
        <v>0.493270184272572</v>
      </c>
      <c r="I20" s="0" t="n">
        <f aca="false">1/(1+$B$27/100)^I4</f>
        <v>0.438462386020064</v>
      </c>
      <c r="J20" s="0" t="n">
        <f aca="false">1/(1+$B$27/100)^J4</f>
        <v>0.389744343128946</v>
      </c>
      <c r="K20" s="0" t="n">
        <f aca="false">1/(1+$B$27/100)^K4</f>
        <v>0.346439416114619</v>
      </c>
      <c r="L20" s="0" t="n">
        <f aca="false">1/(1+$B$27/100)^L4</f>
        <v>0.307946147657439</v>
      </c>
    </row>
    <row r="21" customFormat="false" ht="15" hidden="false" customHeight="false" outlineLevel="0" collapsed="false">
      <c r="A21" s="0" t="s">
        <v>121</v>
      </c>
      <c r="C21" s="0" t="n">
        <f aca="false">C19*C20</f>
        <v>769.426491738667</v>
      </c>
      <c r="D21" s="0" t="n">
        <f aca="false">D19*D20</f>
        <v>834.825351936</v>
      </c>
      <c r="E21" s="0" t="n">
        <f aca="false">E19*E20</f>
        <v>868.324406497533</v>
      </c>
      <c r="F21" s="0" t="n">
        <f aca="false">F19*F20</f>
        <v>870.068721965391</v>
      </c>
      <c r="G21" s="0" t="n">
        <f aca="false">G19*G20</f>
        <v>858.549249381032</v>
      </c>
      <c r="H21" s="0" t="n">
        <f aca="false">H19*H20</f>
        <v>830.084966380402</v>
      </c>
      <c r="I21" s="0" t="n">
        <f aca="false">I19*I20</f>
        <v>782.992051478277</v>
      </c>
      <c r="J21" s="0" t="n">
        <f aca="false">J19*J20</f>
        <v>728.04815945011</v>
      </c>
      <c r="K21" s="0" t="n">
        <f aca="false">K19*K20</f>
        <v>670.418461898324</v>
      </c>
      <c r="L21" s="0" t="n">
        <f aca="false">L19*L20</f>
        <v>614.693811607503</v>
      </c>
    </row>
    <row r="23" customFormat="false" ht="15" hidden="false" customHeight="false" outlineLevel="0" collapsed="false">
      <c r="A23" s="0" t="s">
        <v>97</v>
      </c>
      <c r="C23" s="4" t="n">
        <f aca="false">Assumptions!C44</f>
        <v>1</v>
      </c>
      <c r="D23" s="4" t="n">
        <f aca="false">Assumptions!D44</f>
        <v>1</v>
      </c>
      <c r="E23" s="4" t="n">
        <f aca="false">Assumptions!E44</f>
        <v>1</v>
      </c>
      <c r="F23" s="4" t="n">
        <f aca="false">Assumptions!F44</f>
        <v>1</v>
      </c>
      <c r="G23" s="4" t="n">
        <f aca="false">Assumptions!G44</f>
        <v>1</v>
      </c>
      <c r="H23" s="4" t="n">
        <f aca="false">Assumptions!H44</f>
        <v>1</v>
      </c>
      <c r="I23" s="4" t="n">
        <f aca="false">Assumptions!I44</f>
        <v>1</v>
      </c>
      <c r="J23" s="4" t="n">
        <f aca="false">Assumptions!J44</f>
        <v>1</v>
      </c>
      <c r="K23" s="4" t="n">
        <f aca="false">Assumptions!K44</f>
        <v>1</v>
      </c>
      <c r="L23" s="4" t="n">
        <f aca="false">Assumptions!L44</f>
        <v>1</v>
      </c>
    </row>
    <row r="24" customFormat="false" ht="15" hidden="false" customHeight="false" outlineLevel="0" collapsed="false">
      <c r="A24" s="0" t="s">
        <v>122</v>
      </c>
      <c r="C24" s="0" t="n">
        <f aca="false">-C6*C23/100</f>
        <v>-61.6258872</v>
      </c>
      <c r="D24" s="0" t="n">
        <f aca="false">-D6*D23/100</f>
        <v>-77.032359</v>
      </c>
      <c r="E24" s="0" t="n">
        <f aca="false">-E6*E23/100</f>
        <v>-90.89818362</v>
      </c>
      <c r="F24" s="0" t="n">
        <f aca="false">-F6*F23/100</f>
        <v>-102.7149474906</v>
      </c>
      <c r="G24" s="0" t="n">
        <f aca="false">-G6*G23/100</f>
        <v>-112.98644223966</v>
      </c>
      <c r="H24" s="0" t="n">
        <f aca="false">-H6*H23/100</f>
        <v>-122.025357618833</v>
      </c>
      <c r="I24" s="0" t="n">
        <f aca="false">-I6*I23/100</f>
        <v>-129.346879075963</v>
      </c>
      <c r="J24" s="0" t="n">
        <f aca="false">-J6*J23/100</f>
        <v>-135.814223029761</v>
      </c>
      <c r="K24" s="0" t="n">
        <f aca="false">-K6*K23/100</f>
        <v>-141.246791950951</v>
      </c>
      <c r="L24" s="0" t="n">
        <f aca="false">-L6*L23/100</f>
        <v>-146.190429669235</v>
      </c>
    </row>
    <row r="26" customFormat="false" ht="15" hidden="false" customHeight="false" outlineLevel="0" collapsed="false">
      <c r="A26" s="2" t="s">
        <v>123</v>
      </c>
    </row>
    <row r="27" customFormat="false" ht="15" hidden="false" customHeight="false" outlineLevel="0" collapsed="false">
      <c r="A27" s="0" t="s">
        <v>101</v>
      </c>
      <c r="B27" s="4" t="n">
        <f aca="false">Assumptions!$B$48</f>
        <v>12.5</v>
      </c>
    </row>
    <row r="28" customFormat="false" ht="15" hidden="false" customHeight="false" outlineLevel="0" collapsed="false">
      <c r="A28" s="0" t="s">
        <v>102</v>
      </c>
      <c r="B28" s="4" t="n">
        <f aca="false">Assumptions!$B$49</f>
        <v>3</v>
      </c>
    </row>
    <row r="29" customFormat="false" ht="15" hidden="false" customHeight="false" outlineLevel="0" collapsed="false">
      <c r="A29" s="0" t="s">
        <v>103</v>
      </c>
      <c r="B29" s="4" t="n">
        <f aca="false">Assumptions!$B$50</f>
        <v>18</v>
      </c>
    </row>
    <row r="30" customFormat="false" ht="15" hidden="false" customHeight="false" outlineLevel="0" collapsed="false">
      <c r="A30" s="0" t="s">
        <v>124</v>
      </c>
      <c r="B30" s="0" t="n">
        <f aca="false">SUM(C21:L21)</f>
        <v>7827.43167233324</v>
      </c>
    </row>
    <row r="31" customFormat="false" ht="15" hidden="false" customHeight="false" outlineLevel="0" collapsed="false">
      <c r="A31" s="0" t="s">
        <v>125</v>
      </c>
      <c r="B31" s="0" t="n">
        <f aca="false">L19</f>
        <v>1996.10813865836</v>
      </c>
    </row>
    <row r="32" customFormat="false" ht="15" hidden="false" customHeight="false" outlineLevel="0" collapsed="false">
      <c r="A32" s="0" t="s">
        <v>126</v>
      </c>
      <c r="B32" s="0" t="n">
        <f aca="false">IF(B27&gt;B28,B31*(1+B28/100)/((B27-B28)/100),B31*B29)</f>
        <v>21642.0145559801</v>
      </c>
    </row>
    <row r="33" customFormat="false" ht="15" hidden="false" customHeight="false" outlineLevel="0" collapsed="false">
      <c r="A33" s="0" t="s">
        <v>127</v>
      </c>
      <c r="B33" s="0" t="n">
        <f aca="false">B31*B29</f>
        <v>35929.9464958505</v>
      </c>
    </row>
    <row r="34" customFormat="false" ht="15" hidden="false" customHeight="false" outlineLevel="0" collapsed="false">
      <c r="A34" s="0" t="s">
        <v>128</v>
      </c>
      <c r="B34" s="0" t="n">
        <f aca="false">MAX(0,MIN(B32,B33))</f>
        <v>21642.0145559801</v>
      </c>
    </row>
    <row r="35" customFormat="false" ht="15" hidden="false" customHeight="false" outlineLevel="0" collapsed="false">
      <c r="A35" s="0" t="s">
        <v>129</v>
      </c>
      <c r="B35" s="0" t="n">
        <f aca="false">B34/(1+B27/100)^L4</f>
        <v>6664.57501006029</v>
      </c>
    </row>
    <row r="36" customFormat="false" ht="15" hidden="false" customHeight="false" outlineLevel="0" collapsed="false">
      <c r="A36" s="0" t="s">
        <v>130</v>
      </c>
      <c r="B36" s="0" t="n">
        <f aca="false">B30+B35</f>
        <v>14492.0066823935</v>
      </c>
    </row>
    <row r="37" customFormat="false" ht="15" hidden="false" customHeight="false" outlineLevel="0" collapsed="false">
      <c r="A37" s="0" t="s">
        <v>131</v>
      </c>
      <c r="B37" s="0" t="n">
        <f aca="false">B36+Assumptions!$B$5-Assumptions!$B$4</f>
        <v>16672.6696823935</v>
      </c>
    </row>
    <row r="38" customFormat="false" ht="15" hidden="false" customHeight="false" outlineLevel="0" collapsed="false">
      <c r="A38" s="0" t="s">
        <v>132</v>
      </c>
      <c r="B38" s="0" t="n">
        <f aca="false">B37/Assumptions!$B$3*Assumptions!$B$10</f>
        <v>185.803046829826</v>
      </c>
    </row>
    <row r="39" customFormat="false" ht="15" hidden="false" customHeight="false" outlineLevel="0" collapsed="false">
      <c r="A39" s="0" t="s">
        <v>133</v>
      </c>
      <c r="B39" s="4" t="n">
        <f aca="false">B38/Assumptions!$B$2-1</f>
        <v>2.14920418355637</v>
      </c>
    </row>
    <row r="41" customFormat="false" ht="15" hidden="false" customHeight="false" outlineLevel="0" collapsed="false">
      <c r="A41" s="0" t="s">
        <v>134</v>
      </c>
      <c r="B41" s="0" t="n">
        <f aca="false">SUMPRODUCT(-C10:L10/(1+$B$27/100)^C4:L4)</f>
        <v>450.34324528445</v>
      </c>
    </row>
    <row r="42" customFormat="false" ht="15" hidden="false" customHeight="false" outlineLevel="0" collapsed="false">
      <c r="A42" s="0" t="s">
        <v>135</v>
      </c>
      <c r="B42" s="0" t="n">
        <f aca="false">IF(B27&gt;B28,-L10*(1+B28/100)/((B27-B28)/100),-L10*20)/(1+B27/100)^L4</f>
        <v>292.859008612152</v>
      </c>
    </row>
    <row r="43" customFormat="false" ht="15" hidden="false" customHeight="false" outlineLevel="0" collapsed="false">
      <c r="A43" s="0" t="s">
        <v>136</v>
      </c>
      <c r="B43" s="0" t="n">
        <f aca="false">(B37+B41+B42)/Assumptions!$B$3*Assumptions!$B$10</f>
        <v>194.085418268553</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17133.2615234843</v>
      </c>
    </row>
    <row r="47" customFormat="false" ht="15" hidden="false" customHeight="false" outlineLevel="0" collapsed="false">
      <c r="A47" s="0" t="s">
        <v>138</v>
      </c>
      <c r="B47" s="0" t="n">
        <f aca="false">(SUMPRODUCT(C19:L19/(1+B45/100)^C4:L4)+B46/(1+B45/100)^L4+Assumptions!$B$5-Assumptions!$B$4)/Assumptions!$B$3*Assumptions!$B$10</f>
        <v>149.324618827577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141</v>
      </c>
    </row>
    <row r="3" customFormat="false" ht="15" hidden="false" customHeight="false" outlineLevel="0" collapsed="false">
      <c r="A3" s="2" t="s">
        <v>142</v>
      </c>
      <c r="B3" s="2" t="s">
        <v>143</v>
      </c>
      <c r="C3" s="2" t="s">
        <v>133</v>
      </c>
      <c r="D3" s="2" t="s">
        <v>144</v>
      </c>
      <c r="E3" s="2" t="s">
        <v>136</v>
      </c>
      <c r="F3" s="2" t="s">
        <v>145</v>
      </c>
    </row>
    <row r="4" customFormat="false" ht="15" hidden="false" customHeight="false" outlineLevel="0" collapsed="false">
      <c r="A4" s="0" t="s">
        <v>146</v>
      </c>
      <c r="B4" s="4" t="n">
        <f aca="false">DCF_Bear!$B$38</f>
        <v>75.3190720687648</v>
      </c>
      <c r="C4" s="0" t="n">
        <f aca="false">B4/Assumptions!$B$2-1</f>
        <v>0.276594441843471</v>
      </c>
      <c r="D4" s="4" t="n">
        <f aca="false">Assumptions!$B$24</f>
        <v>0.25</v>
      </c>
      <c r="E4" s="4" t="n">
        <f aca="false">DCF_Bear!$B$43</f>
        <v>79.9138535155892</v>
      </c>
      <c r="F4" s="4" t="n">
        <f aca="false">DCF_Bear!$B$47</f>
        <v>66.435622682729</v>
      </c>
    </row>
    <row r="5" customFormat="false" ht="15" hidden="false" customHeight="false" outlineLevel="0" collapsed="false">
      <c r="A5" s="0" t="s">
        <v>147</v>
      </c>
      <c r="B5" s="4" t="n">
        <f aca="false">DCF_Base!$B$38</f>
        <v>138.443033292583</v>
      </c>
      <c r="C5" s="0" t="n">
        <f aca="false">B5/Assumptions!$B$2-1</f>
        <v>1.34649208970479</v>
      </c>
      <c r="D5" s="4" t="n">
        <f aca="false">Assumptions!$B$38</f>
        <v>0.5</v>
      </c>
      <c r="E5" s="4" t="n">
        <f aca="false">DCF_Base!$B$43</f>
        <v>145.097771236236</v>
      </c>
      <c r="F5" s="4" t="n">
        <f aca="false">DCF_Base!$B$47</f>
        <v>114.227116452089</v>
      </c>
    </row>
    <row r="6" customFormat="false" ht="15" hidden="false" customHeight="false" outlineLevel="0" collapsed="false">
      <c r="A6" s="0" t="s">
        <v>148</v>
      </c>
      <c r="B6" s="4" t="n">
        <f aca="false">DCF_Bull!$B$38</f>
        <v>185.803046829826</v>
      </c>
      <c r="C6" s="0" t="n">
        <f aca="false">B6/Assumptions!$B$2-1</f>
        <v>2.14920418355637</v>
      </c>
      <c r="D6" s="4" t="n">
        <f aca="false">Assumptions!$B$52</f>
        <v>0.25</v>
      </c>
      <c r="E6" s="4" t="n">
        <f aca="false">DCF_Bull!$B$43</f>
        <v>194.085418268553</v>
      </c>
      <c r="F6" s="4" t="n">
        <f aca="false">DCF_Bull!$B$47</f>
        <v>149.324618827577</v>
      </c>
    </row>
    <row r="8" customFormat="false" ht="15" hidden="false" customHeight="false" outlineLevel="0" collapsed="false">
      <c r="A8" s="0" t="s">
        <v>149</v>
      </c>
      <c r="B8" s="0" t="n">
        <f aca="false">SUMPRODUCT(B4:B6,D4:D6)</f>
        <v>134.502046370939</v>
      </c>
    </row>
    <row r="9" customFormat="false" ht="15" hidden="false" customHeight="false" outlineLevel="0" collapsed="false">
      <c r="A9" s="0" t="s">
        <v>150</v>
      </c>
      <c r="B9" s="0" t="n">
        <f aca="false">SUMPRODUCT(E4:E6,D4:D6)</f>
        <v>141.048703564154</v>
      </c>
    </row>
    <row r="10" customFormat="false" ht="15" hidden="false" customHeight="false" outlineLevel="0" collapsed="false">
      <c r="A10" s="0" t="s">
        <v>151</v>
      </c>
      <c r="B10" s="0" t="n">
        <f aca="false">1-Assumptions!$B$2/B8</f>
        <v>0.561344963947346</v>
      </c>
    </row>
    <row r="11" customFormat="false" ht="15" hidden="false" customHeight="false" outlineLevel="0" collapsed="false">
      <c r="A11" s="0" t="s">
        <v>152</v>
      </c>
      <c r="B11" s="0" t="n">
        <f aca="false">IF(ABS(B9-B8)&gt;0.01*ABS(B8),(Assumptions!$B$2-B8)/(B9-B8)*100,"n/a")</f>
        <v>-1153.29158290422</v>
      </c>
    </row>
    <row r="12" customFormat="false" ht="15" hidden="false" customHeight="false" outlineLevel="0" collapsed="false">
      <c r="A12" s="0" t="s">
        <v>153</v>
      </c>
      <c r="B12" s="0" t="n">
        <f aca="false">SUMPRODUCT(F4:F6,D4:D6)</f>
        <v>111.053618603621</v>
      </c>
    </row>
    <row r="14" customFormat="false" ht="15" hidden="false" customHeight="false" outlineLevel="0" collapsed="false">
      <c r="A14" s="2" t="s">
        <v>154</v>
      </c>
      <c r="C14" s="0" t="s">
        <v>155</v>
      </c>
    </row>
    <row r="15" customFormat="false" ht="15" hidden="false" customHeight="false" outlineLevel="0" collapsed="false">
      <c r="A15" s="0" t="s">
        <v>156</v>
      </c>
      <c r="B15" s="0" t="n">
        <f aca="false">(SUMPRODUCT(DCF_Base!$C$19:$L$19/(1+$C$15/100)^DCF_Base!$C$4:$L$4)+MAX(0,MIN(IF($C$15&gt;DCF_Base!$B$28,DCF_Base!$L$19*(1+DCF_Base!$B$28/100)/(($C$15-DCF_Base!$B$28)/100),DCF_Base!$L$19*DCF_Base!$B$29),DCF_Base!$L$19*DCF_Base!$B$29))/(1+$C$15/100)^DCF_Base!$L$4+Assumptions!$B$5-Assumptions!$B$4)/Assumptions!$B$3*Assumptions!$B$10</f>
        <v>199.1854626801</v>
      </c>
      <c r="C15" s="3" t="n">
        <v>9</v>
      </c>
    </row>
    <row r="16" customFormat="false" ht="15" hidden="false" customHeight="false" outlineLevel="0" collapsed="false">
      <c r="A16" s="0" t="s">
        <v>157</v>
      </c>
      <c r="B16" s="0" t="n">
        <f aca="false">(SUMPRODUCT(DCF_Base!$C$19:$L$19/(1+$C$16/100)^DCF_Base!$C$4:$L$4)+MAX(0,MIN(IF($C$16&gt;DCF_Base!$B$28,DCF_Base!$L$19*(1+DCF_Base!$B$28/100)/(($C$16-DCF_Base!$B$28)/100),DCF_Base!$L$19*DCF_Base!$B$29),DCF_Base!$L$19*DCF_Base!$B$29))/(1+$C$16/100)^DCF_Base!$L$4+Assumptions!$B$5-Assumptions!$B$4)/Assumptions!$B$3*Assumptions!$B$10</f>
        <v>179.086419849393</v>
      </c>
      <c r="C16" s="3" t="n">
        <v>10</v>
      </c>
    </row>
    <row r="17" customFormat="false" ht="15" hidden="false" customHeight="false" outlineLevel="0" collapsed="false">
      <c r="A17" s="0" t="s">
        <v>158</v>
      </c>
      <c r="B17" s="0" t="n">
        <f aca="false">(SUMPRODUCT(DCF_Base!$C$19:$L$19/(1+$C$17/100)^DCF_Base!$C$4:$L$4)+MAX(0,MIN(IF($C$17&gt;DCF_Base!$B$28,DCF_Base!$L$19*(1+DCF_Base!$B$28/100)/(($C$17-DCF_Base!$B$28)/100),DCF_Base!$L$19*DCF_Base!$B$29),DCF_Base!$L$19*DCF_Base!$B$29))/(1+$C$17/100)^DCF_Base!$L$4+Assumptions!$B$5-Assumptions!$B$4)/Assumptions!$B$3*Assumptions!$B$10</f>
        <v>159.927562108124</v>
      </c>
      <c r="C17" s="3" t="n">
        <v>11</v>
      </c>
    </row>
    <row r="18" customFormat="false" ht="15" hidden="false" customHeight="false" outlineLevel="0" collapsed="false">
      <c r="A18" s="0" t="s">
        <v>159</v>
      </c>
      <c r="B18" s="0" t="n">
        <f aca="false">(SUMPRODUCT(DCF_Base!$C$19:$L$19/(1+$C$18/100)^DCF_Base!$C$4:$L$4)+MAX(0,MIN(IF($C$18&gt;DCF_Base!$B$28,DCF_Base!$L$19*(1+DCF_Base!$B$28/100)/(($C$18-DCF_Base!$B$28)/100),DCF_Base!$L$19*DCF_Base!$B$29),DCF_Base!$L$19*DCF_Base!$B$29))/(1+$C$18/100)^DCF_Base!$L$4+Assumptions!$B$5-Assumptions!$B$4)/Assumptions!$B$3*Assumptions!$B$10</f>
        <v>144.84138939307</v>
      </c>
      <c r="C18" s="3" t="n">
        <v>12</v>
      </c>
    </row>
    <row r="19" customFormat="false" ht="15" hidden="false" customHeight="false" outlineLevel="0" collapsed="false">
      <c r="A19" s="0" t="s">
        <v>160</v>
      </c>
      <c r="B19" s="0" t="n">
        <f aca="false">(SUMPRODUCT(DCF_Base!$C$19:$L$19/(1+$C$19/100)^DCF_Base!$C$4:$L$4)+MAX(0,MIN(IF($C$19&gt;DCF_Base!$B$28,DCF_Base!$L$19*(1+DCF_Base!$B$28/100)/(($C$19-DCF_Base!$B$28)/100),DCF_Base!$L$19*DCF_Base!$B$29),DCF_Base!$L$19*DCF_Base!$B$29))/(1+$C$19/100)^DCF_Base!$L$4+Assumptions!$B$5-Assumptions!$B$4)/Assumptions!$B$3*Assumptions!$B$10</f>
        <v>138.443033292583</v>
      </c>
      <c r="C19" s="3" t="n">
        <v>12.5</v>
      </c>
    </row>
    <row r="20" customFormat="false" ht="15" hidden="false" customHeight="false" outlineLevel="0" collapsed="false">
      <c r="A20" s="0" t="s">
        <v>161</v>
      </c>
      <c r="B20" s="0" t="n">
        <f aca="false">(SUMPRODUCT(DCF_Base!$C$19:$L$19/(1+$C$20/100)^DCF_Base!$C$4:$L$4)+MAX(0,MIN(IF($C$20&gt;DCF_Base!$B$28,DCF_Base!$L$19*(1+DCF_Base!$B$28/100)/(($C$20-DCF_Base!$B$28)/100),DCF_Base!$L$19*DCF_Base!$B$29),DCF_Base!$L$19*DCF_Base!$B$29))/(1+$C$20/100)^DCF_Base!$L$4+Assumptions!$B$5-Assumptions!$B$4)/Assumptions!$B$3*Assumptions!$B$10</f>
        <v>114.227116452089</v>
      </c>
      <c r="C20" s="3" t="n">
        <v>15</v>
      </c>
    </row>
    <row r="22" customFormat="false" ht="15" hidden="false" customHeight="false" outlineLevel="0" collapsed="false">
      <c r="A22" s="2" t="s">
        <v>162</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10.5</v>
      </c>
      <c r="B24" s="0" t="n">
        <f aca="false">(SUMPRODUCT(DCF_Base!$C$19:$L$19/(1+$A$24/100)^DCF_Base!$C$4:$L$4)+MAX(0,MIN(IF($A$24&gt;$B$23,DCF_Base!$L$19*(1+$B$23/100)/(($A$24-$B$23)/100),DCF_Base!$L$19*DCF_Base!$B$29),DCF_Base!$L$19*DCF_Base!$B$29))/(1+$A$24/100)^DCF_Base!$L$4+Assumptions!$B$5-Assumptions!$B$4)/Assumptions!$B$3*Assumptions!$B$10</f>
        <v>160.173181557981</v>
      </c>
      <c r="C24" s="0" t="n">
        <f aca="false">(SUMPRODUCT(DCF_Base!$C$19:$L$19/(1+$A$24/100)^DCF_Base!$C$4:$L$4)+MAX(0,MIN(IF($A$24&gt;$C$23,DCF_Base!$L$19*(1+$C$23/100)/(($A$24-$C$23)/100),DCF_Base!$L$19*DCF_Base!$B$29),DCF_Base!$L$19*DCF_Base!$B$29))/(1+$A$24/100)^DCF_Base!$L$4+Assumptions!$B$5-Assumptions!$B$4)/Assumptions!$B$3*Assumptions!$B$10</f>
        <v>164.280986374606</v>
      </c>
      <c r="D24" s="0" t="n">
        <f aca="false">(SUMPRODUCT(DCF_Base!$C$19:$L$19/(1+$A$24/100)^DCF_Base!$C$4:$L$4)+MAX(0,MIN(IF($A$24&gt;$D$23,DCF_Base!$L$19*(1+$D$23/100)/(($A$24-$D$23)/100),DCF_Base!$L$19*DCF_Base!$B$29),DCF_Base!$L$19*DCF_Base!$B$29))/(1+$A$24/100)^DCF_Base!$L$4+Assumptions!$B$5-Assumptions!$B$4)/Assumptions!$B$3*Assumptions!$B$10</f>
        <v>168.902266793309</v>
      </c>
      <c r="E24" s="0" t="n">
        <f aca="false">(SUMPRODUCT(DCF_Base!$C$19:$L$19/(1+$A$24/100)^DCF_Base!$C$4:$L$4)+MAX(0,MIN(IF($A$24&gt;$E$23,DCF_Base!$L$19*(1+$E$23/100)/(($A$24-$E$23)/100),DCF_Base!$L$19*DCF_Base!$B$29),DCF_Base!$L$19*DCF_Base!$B$29))/(1+$A$24/100)^DCF_Base!$L$4+Assumptions!$B$5-Assumptions!$B$4)/Assumptions!$B$3*Assumptions!$B$10</f>
        <v>174.139717934507</v>
      </c>
      <c r="F24" s="0" t="n">
        <f aca="false">(SUMPRODUCT(DCF_Base!$C$19:$L$19/(1+$A$24/100)^DCF_Base!$C$4:$L$4)+MAX(0,MIN(IF($A$24&gt;$F$23,DCF_Base!$L$19*(1+$F$23/100)/(($A$24-$F$23)/100),DCF_Base!$L$19*DCF_Base!$B$29),DCF_Base!$L$19*DCF_Base!$B$29))/(1+$A$24/100)^DCF_Base!$L$4+Assumptions!$B$5-Assumptions!$B$4)/Assumptions!$B$3*Assumptions!$B$10</f>
        <v>180.125376381589</v>
      </c>
    </row>
    <row r="25" customFormat="false" ht="15" hidden="false" customHeight="false" outlineLevel="0" collapsed="false">
      <c r="A25" s="3" t="n">
        <v>11.5</v>
      </c>
      <c r="B25" s="0" t="n">
        <f aca="false">(SUMPRODUCT(DCF_Base!$C$19:$L$19/(1+$A$25/100)^DCF_Base!$C$4:$L$4)+MAX(0,MIN(IF($A$25&gt;$B$23,DCF_Base!$L$19*(1+$B$23/100)/(($A$25-$B$23)/100),DCF_Base!$L$19*DCF_Base!$B$29),DCF_Base!$L$19*DCF_Base!$B$29))/(1+$A$25/100)^DCF_Base!$L$4+Assumptions!$B$5-Assumptions!$B$4)/Assumptions!$B$3*Assumptions!$B$10</f>
        <v>145.520998849511</v>
      </c>
      <c r="C25" s="0" t="n">
        <f aca="false">(SUMPRODUCT(DCF_Base!$C$19:$L$19/(1+$A$25/100)^DCF_Base!$C$4:$L$4)+MAX(0,MIN(IF($A$25&gt;$C$23,DCF_Base!$L$19*(1+$C$23/100)/(($A$25-$C$23)/100),DCF_Base!$L$19*DCF_Base!$B$29),DCF_Base!$L$19*DCF_Base!$B$29))/(1+$A$25/100)^DCF_Base!$L$4+Assumptions!$B$5-Assumptions!$B$4)/Assumptions!$B$3*Assumptions!$B$10</f>
        <v>148.571241050709</v>
      </c>
      <c r="D25" s="0" t="n">
        <f aca="false">(SUMPRODUCT(DCF_Base!$C$19:$L$19/(1+$A$25/100)^DCF_Base!$C$4:$L$4)+MAX(0,MIN(IF($A$25&gt;$D$23,DCF_Base!$L$19*(1+$D$23/100)/(($A$25-$D$23)/100),DCF_Base!$L$19*DCF_Base!$B$29),DCF_Base!$L$19*DCF_Base!$B$29))/(1+$A$25/100)^DCF_Base!$L$4+Assumptions!$B$5-Assumptions!$B$4)/Assumptions!$B$3*Assumptions!$B$10</f>
        <v>151.96039905204</v>
      </c>
      <c r="E25" s="0" t="n">
        <f aca="false">(SUMPRODUCT(DCF_Base!$C$19:$L$19/(1+$A$25/100)^DCF_Base!$C$4:$L$4)+MAX(0,MIN(IF($A$25&gt;$E$23,DCF_Base!$L$19*(1+$E$23/100)/(($A$25-$E$23)/100),DCF_Base!$L$19*DCF_Base!$B$29),DCF_Base!$L$19*DCF_Base!$B$29))/(1+$A$25/100)^DCF_Base!$L$4+Assumptions!$B$5-Assumptions!$B$4)/Assumptions!$B$3*Assumptions!$B$10</f>
        <v>155.748281524116</v>
      </c>
      <c r="F25" s="0" t="n">
        <f aca="false">(SUMPRODUCT(DCF_Base!$C$19:$L$19/(1+$A$25/100)^DCF_Base!$C$4:$L$4)+MAX(0,MIN(IF($A$25&gt;$F$23,DCF_Base!$L$19*(1+$F$23/100)/(($A$25-$F$23)/100),DCF_Base!$L$19*DCF_Base!$B$29),DCF_Base!$L$19*DCF_Base!$B$29))/(1+$A$25/100)^DCF_Base!$L$4+Assumptions!$B$5-Assumptions!$B$4)/Assumptions!$B$3*Assumptions!$B$10</f>
        <v>160.009649305202</v>
      </c>
    </row>
    <row r="26" customFormat="false" ht="15" hidden="false" customHeight="false" outlineLevel="0" collapsed="false">
      <c r="A26" s="3" t="n">
        <v>12.5</v>
      </c>
      <c r="B26" s="0" t="n">
        <f aca="false">(SUMPRODUCT(DCF_Base!$C$19:$L$19/(1+$A$26/100)^DCF_Base!$C$4:$L$4)+MAX(0,MIN(IF($A$26&gt;$B$23,DCF_Base!$L$19*(1+$B$23/100)/(($A$26-$B$23)/100),DCF_Base!$L$19*DCF_Base!$B$29),DCF_Base!$L$19*DCF_Base!$B$29))/(1+$A$26/100)^DCF_Base!$L$4+Assumptions!$B$5-Assumptions!$B$4)/Assumptions!$B$3*Assumptions!$B$10</f>
        <v>133.581241617669</v>
      </c>
      <c r="C26" s="0" t="n">
        <f aca="false">(SUMPRODUCT(DCF_Base!$C$19:$L$19/(1+$A$26/100)^DCF_Base!$C$4:$L$4)+MAX(0,MIN(IF($A$26&gt;$C$23,DCF_Base!$L$19*(1+$C$23/100)/(($A$26-$C$23)/100),DCF_Base!$L$19*DCF_Base!$B$29),DCF_Base!$L$19*DCF_Base!$B$29))/(1+$A$26/100)^DCF_Base!$L$4+Assumptions!$B$5-Assumptions!$B$4)/Assumptions!$B$3*Assumptions!$B$10</f>
        <v>135.896380510485</v>
      </c>
      <c r="D26" s="0" t="n">
        <f aca="false">(SUMPRODUCT(DCF_Base!$C$19:$L$19/(1+$A$26/100)^DCF_Base!$C$4:$L$4)+MAX(0,MIN(IF($A$26&gt;$D$23,DCF_Base!$L$19*(1+$D$23/100)/(($A$26-$D$23)/100),DCF_Base!$L$19*DCF_Base!$B$29),DCF_Base!$L$19*DCF_Base!$B$29))/(1+$A$26/100)^DCF_Base!$L$4+Assumptions!$B$5-Assumptions!$B$4)/Assumptions!$B$3*Assumptions!$B$10</f>
        <v>138.443033292583</v>
      </c>
      <c r="E26" s="0" t="n">
        <f aca="false">(SUMPRODUCT(DCF_Base!$C$19:$L$19/(1+$A$26/100)^DCF_Base!$C$4:$L$4)+MAX(0,MIN(IF($A$26&gt;$E$23,DCF_Base!$L$19*(1+$E$23/100)/(($A$26-$E$23)/100),DCF_Base!$L$19*DCF_Base!$B$29),DCF_Base!$L$19*DCF_Base!$B$29))/(1+$A$26/100)^DCF_Base!$L$4+Assumptions!$B$5-Assumptions!$B$4)/Assumptions!$B$3*Assumptions!$B$10</f>
        <v>141.257754788585</v>
      </c>
      <c r="F26" s="0" t="n">
        <f aca="false">(SUMPRODUCT(DCF_Base!$C$19:$L$19/(1+$A$26/100)^DCF_Base!$C$4:$L$4)+MAX(0,MIN(IF($A$26&gt;$F$23,DCF_Base!$L$19*(1+$F$23/100)/(($A$26-$F$23)/100),DCF_Base!$L$19*DCF_Base!$B$29),DCF_Base!$L$19*DCF_Base!$B$29))/(1+$A$26/100)^DCF_Base!$L$4+Assumptions!$B$5-Assumptions!$B$4)/Assumptions!$B$3*Assumptions!$B$10</f>
        <v>144.385223117478</v>
      </c>
    </row>
    <row r="27" customFormat="false" ht="15" hidden="false" customHeight="false" outlineLevel="0" collapsed="false">
      <c r="A27" s="3" t="n">
        <v>13.5</v>
      </c>
      <c r="B27" s="0" t="n">
        <f aca="false">(SUMPRODUCT(DCF_Base!$C$19:$L$19/(1+$A$27/100)^DCF_Base!$C$4:$L$4)+MAX(0,MIN(IF($A$27&gt;$B$23,DCF_Base!$L$19*(1+$B$23/100)/(($A$27-$B$23)/100),DCF_Base!$L$19*DCF_Base!$B$29),DCF_Base!$L$19*DCF_Base!$B$29))/(1+$A$27/100)^DCF_Base!$L$4+Assumptions!$B$5-Assumptions!$B$4)/Assumptions!$B$3*Assumptions!$B$10</f>
        <v>123.672916034223</v>
      </c>
      <c r="C27" s="0" t="n">
        <f aca="false">(SUMPRODUCT(DCF_Base!$C$19:$L$19/(1+$A$27/100)^DCF_Base!$C$4:$L$4)+MAX(0,MIN(IF($A$27&gt;$C$23,DCF_Base!$L$19*(1+$C$23/100)/(($A$27-$C$23)/100),DCF_Base!$L$19*DCF_Base!$B$29),DCF_Base!$L$19*DCF_Base!$B$29))/(1+$A$27/100)^DCF_Base!$L$4+Assumptions!$B$5-Assumptions!$B$4)/Assumptions!$B$3*Assumptions!$B$10</f>
        <v>125.462243782959</v>
      </c>
      <c r="D27" s="0" t="n">
        <f aca="false">(SUMPRODUCT(DCF_Base!$C$19:$L$19/(1+$A$27/100)^DCF_Base!$C$4:$L$4)+MAX(0,MIN(IF($A$27&gt;$D$23,DCF_Base!$L$19*(1+$D$23/100)/(($A$27-$D$23)/100),DCF_Base!$L$19*DCF_Base!$B$29),DCF_Base!$L$19*DCF_Base!$B$29))/(1+$A$27/100)^DCF_Base!$L$4+Assumptions!$B$5-Assumptions!$B$4)/Assumptions!$B$3*Assumptions!$B$10</f>
        <v>127.414237690671</v>
      </c>
      <c r="E27" s="0" t="n">
        <f aca="false">(SUMPRODUCT(DCF_Base!$C$19:$L$19/(1+$A$27/100)^DCF_Base!$C$4:$L$4)+MAX(0,MIN(IF($A$27&gt;$E$23,DCF_Base!$L$19*(1+$E$23/100)/(($A$27-$E$23)/100),DCF_Base!$L$19*DCF_Base!$B$29),DCF_Base!$L$19*DCF_Base!$B$29))/(1+$A$27/100)^DCF_Base!$L$4+Assumptions!$B$5-Assumptions!$B$4)/Assumptions!$B$3*Assumptions!$B$10</f>
        <v>129.552135780069</v>
      </c>
      <c r="F27" s="0" t="n">
        <f aca="false">(SUMPRODUCT(DCF_Base!$C$19:$L$19/(1+$A$27/100)^DCF_Base!$C$4:$L$4)+MAX(0,MIN(IF($A$27&gt;$F$23,DCF_Base!$L$19*(1+$F$23/100)/(($A$27-$F$23)/100),DCF_Base!$L$19*DCF_Base!$B$29),DCF_Base!$L$19*DCF_Base!$B$29))/(1+$A$27/100)^DCF_Base!$L$4+Assumptions!$B$5-Assumptions!$B$4)/Assumptions!$B$3*Assumptions!$B$10</f>
        <v>131.903823678408</v>
      </c>
    </row>
    <row r="28" customFormat="false" ht="15" hidden="false" customHeight="false" outlineLevel="0" collapsed="false">
      <c r="A28" s="3" t="n">
        <v>14.5</v>
      </c>
      <c r="B28" s="0" t="n">
        <f aca="false">(SUMPRODUCT(DCF_Base!$C$19:$L$19/(1+$A$28/100)^DCF_Base!$C$4:$L$4)+MAX(0,MIN(IF($A$28&gt;$B$23,DCF_Base!$L$19*(1+$B$23/100)/(($A$28-$B$23)/100),DCF_Base!$L$19*DCF_Base!$B$29),DCF_Base!$L$19*DCF_Base!$B$29))/(1+$A$28/100)^DCF_Base!$L$4+Assumptions!$B$5-Assumptions!$B$4)/Assumptions!$B$3*Assumptions!$B$10</f>
        <v>115.32477221234</v>
      </c>
      <c r="C28" s="0" t="n">
        <f aca="false">(SUMPRODUCT(DCF_Base!$C$19:$L$19/(1+$A$28/100)^DCF_Base!$C$4:$L$4)+MAX(0,MIN(IF($A$28&gt;$C$23,DCF_Base!$L$19*(1+$C$23/100)/(($A$28-$C$23)/100),DCF_Base!$L$19*DCF_Base!$B$29),DCF_Base!$L$19*DCF_Base!$B$29))/(1+$A$28/100)^DCF_Base!$L$4+Assumptions!$B$5-Assumptions!$B$4)/Assumptions!$B$3*Assumptions!$B$10</f>
        <v>116.728972286873</v>
      </c>
      <c r="D28" s="0" t="n">
        <f aca="false">(SUMPRODUCT(DCF_Base!$C$19:$L$19/(1+$A$28/100)^DCF_Base!$C$4:$L$4)+MAX(0,MIN(IF($A$28&gt;$D$23,DCF_Base!$L$19*(1+$D$23/100)/(($A$28-$D$23)/100),DCF_Base!$L$19*DCF_Base!$B$29),DCF_Base!$L$19*DCF_Base!$B$29))/(1+$A$28/100)^DCF_Base!$L$4+Assumptions!$B$5-Assumptions!$B$4)/Assumptions!$B$3*Assumptions!$B$10</f>
        <v>118.250189034282</v>
      </c>
      <c r="E28" s="0" t="n">
        <f aca="false">(SUMPRODUCT(DCF_Base!$C$19:$L$19/(1+$A$28/100)^DCF_Base!$C$4:$L$4)+MAX(0,MIN(IF($A$28&gt;$E$23,DCF_Base!$L$19*(1+$E$23/100)/(($A$28-$E$23)/100),DCF_Base!$L$19*DCF_Base!$B$29),DCF_Base!$L$19*DCF_Base!$B$29))/(1+$A$28/100)^DCF_Base!$L$4+Assumptions!$B$5-Assumptions!$B$4)/Assumptions!$B$3*Assumptions!$B$10</f>
        <v>119.903685498858</v>
      </c>
      <c r="F28" s="0" t="n">
        <f aca="false">(SUMPRODUCT(DCF_Base!$C$19:$L$19/(1+$A$28/100)^DCF_Base!$C$4:$L$4)+MAX(0,MIN(IF($A$28&gt;$F$23,DCF_Base!$L$19*(1+$F$23/100)/(($A$28-$F$23)/100),DCF_Base!$L$19*DCF_Base!$B$29),DCF_Base!$L$19*DCF_Base!$B$29))/(1+$A$28/100)^DCF_Base!$L$4+Assumptions!$B$5-Assumptions!$B$4)/Assumptions!$B$3*Assumptions!$B$10</f>
        <v>121.70749982385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2026-10-18T07:44:54Z</dcterms:created>
  <dc:creator>openpyxl</dc:creator>
  <dc:description/>
  <dc:language>en-NZ</dc:language>
  <cp:lastModifiedBy/>
  <dcterms:modified xsi:type="dcterms:W3CDTF">2026-10-18T07:44:54Z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