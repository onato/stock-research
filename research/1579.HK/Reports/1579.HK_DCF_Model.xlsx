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<sst xmlns="http://schemas.openxmlformats.org/spreadsheetml/2006/main" count="357" uniqueCount="165">
  <si>
    <t xml:space="preserve">Ticker</t>
  </si>
  <si>
    <t xml:space="preserve">1579.HK</t>
  </si>
  <si>
    <t xml:space="preserve">Company</t>
  </si>
  <si>
    <t xml:space="preserve">Yihai International Holding Ltd.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</si>
  <si>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</si>
  <si>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</si>
  <si>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</si>
  <si>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</si>
  <si>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 16:08 HKT; 52-week range 11.83-17.33)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</si>
  <si>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</si>
  <si>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</si>
  <si>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</si>
  <si>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</si>
  <si>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</si>
  <si>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</si>
  <si>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</si>
  <si>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</si>
  <si>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</si>
  <si>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</si>
  <si>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</si>
  <si>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</si>
  <si>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</si>
  <si>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2026-10-16T14:10:27Z</t>
  </si>
  <si>
    <t xml:space="preserve">Drivers file</t>
  </si>
  <si>
    <t xml:space="preserve">1579.HK_Drivers.json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</si>
  <si>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</si>
  <si>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</si>
  <si>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</si>
  <si>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net-cash, debt-free consumer-staples manufacturer paying out ~100% of earnings, valued on fully attributable owner FCF in RMB and bridged to HKD. The value question is almost entirely about the durability of the Haidilao-linked revenue stream after the 2026 MPA expiry and whether the third-party channels can keep diversifying it; margin and capex are comparatively stable. Risk is carried in the scenarios and their weights, not in the discount rate.
key_risks_to_valuation: Successor Master Purchase Agreement for 2027 onward not yet confirmed; renewal terms (caps, pricing) set ~30% of revenue; Haidilao same-store sales and table turnover declining (H1 2026 revenue -3.7%, profit -14%); Raw-material cost tailwind (edible oil, beef tallow) is commodity-cycle dependent and could reverse the 4pp gross-margin gain; Tianwei Food HK listing sharpens C-end competition and capital-market comparison; Governance: controlling family on both sides of the related-party channel; pricing fairness relies on HKEX 14A review; FX: RMB flows against an HKD quote; a 5% CNY move shifts the HKD value ~5%; Interim dividend (~HK$0.42/share) declared but not yet out of the 30 Jun 2026 balance sheet</t>
  </si>
  <si>
    <t xml:space="preserve">Data sources</t>
  </si>
  <si>
    <t xml:space="preserve">price: Yahoo Finance chart API at inputs.price_as_of; 52-week range 11.83-17.33 HKD
fx: Yahoo Finance CNYHKD=X, 2026-10-16
financials: 1579.HK_Metrics.csv (core_metrics, FY2017-FY2025 annual and H1 FY2023-FY2026 interim); H1 FY2026 interim report (balance sheet, cash flow, note 21 EPS) for the 30 Jun 2026 anchors; FY2025 annual report for cash tax, ROU depreciation, other income and the no-borrowings statement
qualitative: 1579.HK_Analysis.json (2026-10-17)</t>
  </si>
  <si>
    <t xml:space="preserve">Scenario narrative: bear</t>
  </si>
  <si>
    <t xml:space="preserve">The successor MPA from 1 Jan 2027 is renewed at lower annual caps and tighter pricing (or Haidilao shifts part of its soup-base supply to Shuhai in-house / third-party suppliers): related-party revenue (~28-30% of group) falls ~25% in FY2027, only partly offset by third-party growth, for a -6% group year and a flat FY2028. Pricing concessions and a reversal of the edible-oil cost tailwind compress EBITDA margin to 19.5%, Tianwei's HK listing intensifies C-end competition, and growth settles at 2% with terminal growth 1.5%. Net cash and zero debt mean there is no solvency path; the bear case is a lower earnings base, not distress.</t>
  </si>
  <si>
    <t xml:space="preserve">Scenario narrative: base</t>
  </si>
  <si>
    <t xml:space="preserve">The 2027-29 Master Purchase Agreement with Haidilao/Super Hi/Shuhai is renewed on broadly current terms (same controlling family on both sides, HKEX 14A annual caps reset) and related-party sales track Haidilao's flat-to-slightly-negative same-store trend, while third-party B-end (+73% FY2025), overseas (+45%) and e-commerce channels carry group growth from 11% in FY2026 down to 3% by FY2033. EBITDA margin settles at 23%: the raw-material (cooking oil, beef tallow) tailwind that lifted gross margin to 33.6% is partly given back to channel mix and distribution spend. Capex eases from 4.2% to 3.5% of revenue as the Malaysia/overseas capacity build completes, and the ~100% payout continues on a net-cash balance sheet.</t>
  </si>
  <si>
    <t xml:space="preserve">Scenario narrative: bull</t>
  </si>
  <si>
    <t xml:space="preserve">Both engines fire: Haidilao's franchising and new-format push stabilises related-party volumes while the 'two-direct' KA model, B-end customisation and overseas direct sales (Singapore/Malaysia/Thailand) compound third-party revenue at double digits for three years (14%/10%/9%). Mix shift to dipping sauces, solid tallow and spices plus automation and AI-driven supply-chain efficiency lift EBITDA margin to 25% by FY2031. Terminal growth 3.0%; the 16x cap binds, so no multiple expansion beyond today's is assumed.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</si>
  <si>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</si>
  <si>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</si>
  <si>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</si>
  <si>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</si>
  <si>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</si>
  <si>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</si>
  <si>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</si>
  <si>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</si>
  <si>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</si>
  <si>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</si>
  <si>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</si>
  <si>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</si>
  <si>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</si>
  <si>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</si>
  <si>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</si>
  <si>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</si>
  <si>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</si>
  <si>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</si>
  <si>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</si>
  <si>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</si>
  <si>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</si>
  <si>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</si>
  <si>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</si>
  <si>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</si>
  <si>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</si>
  <si>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</si>
  <si>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</si>
  <si>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</si>
  <si>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</si>
  <si>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</si>
  <si>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</si>
  <si>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</si>
  <si>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</si>
  <si>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</si>
  <si>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</si>
  <si>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</si>
  <si>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</si>
  <si>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</si>
  <si>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</si>
  <si>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</si>
  <si>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</si>
  <si>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</si>
  <si>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</si>
  <si>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</si>
  <si>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</si>
  <si>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</si>
  <si>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</si>
  <si>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</si>
  <si>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</si>
  <si>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</si>
  <si>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</si>
  <si>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</si>
  <si>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</si>
  <si>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</si>
  <si>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</si>
  <si>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</si>
  <si>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</si>
  <si>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</si>
  <si>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</si>
  <si>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</si>
  <si>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</si>
  <si>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</si>
  <si>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</si>
  <si>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</si>
  <si>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</si>
  <si>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</si>
  <si>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</si>
  <si>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</si>
  <si>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</si>
  <si>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</si>
  <si>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</si>
  <si>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</si>
  <si>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</si>
  <si>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</si>
  <si>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1579.HK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</si>
  <si>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</si>
  <si>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</si>
  <si>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</si>
  <si>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</si>
  <si>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</si>
  <si>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</si>
  <si>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</si>
  <si>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</si>
  <si>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</si>
  <si>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</si>
  <si>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</si>
  <si>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</si>
  <si>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</si>
  <si>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</si>
  <si>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</si>
  <si>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</si>
  <si>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</si>
  <si>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</si>
  <si>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</si>
  <si>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</si>
  <si>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</si>
  <si>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</si>
  <si>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</si>
  <si>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</si>
  <si>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</si>
  <si>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</si>
  <si>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</si>
  <si>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</si>
  <si>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</si>
  <si>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</si>
  <si>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1579.HK owner-FCF component DCF: base case (millions, CNY)</t>
  </si>
  <si>
    <t xml:space="preserve">1579.HK owner-FCF component DCF: bull case (millions, CNY)</t>
  </si>
  <si>
    <t xml:space="preserve">1579.HK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</si>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</sst>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1646.221</v>
      </c>
      <c r="C2" s="0" t="n">
        <v>1034.415</v>
      </c>
      <c r="D2" s="0" t="n">
        <v>611.806</v>
      </c>
      <c r="E2" s="0" t="n">
        <v>37.2</v>
      </c>
      <c r="F2" s="0" t="n">
        <v>414.524</v>
      </c>
      <c r="G2" s="0" t="n">
        <v>25.2</v>
      </c>
      <c r="I2" s="0" t="n">
        <v>260.67</v>
      </c>
      <c r="J2" s="0" t="n">
        <v>15.8</v>
      </c>
      <c r="K2" s="0" t="n">
        <v>0.269</v>
      </c>
      <c r="L2" s="0" t="n">
        <v>353.202</v>
      </c>
      <c r="M2" s="0" t="n">
        <v>131.249</v>
      </c>
      <c r="N2" s="0" t="n">
        <v>221.953</v>
      </c>
      <c r="O2" s="0" t="n">
        <v>1505.809</v>
      </c>
      <c r="P2" s="0" t="n">
        <v>1806.691</v>
      </c>
      <c r="Q2" s="0" t="n">
        <v>300.882</v>
      </c>
      <c r="R2" s="0" t="n">
        <v>0</v>
      </c>
      <c r="S2" s="0" t="n">
        <v>1130.205</v>
      </c>
      <c r="T2" s="0" t="n">
        <v>969.033</v>
      </c>
      <c r="U2" s="0" t="n">
        <v>8.51</v>
      </c>
      <c r="AA2" s="0" t="s">
        <v>18</v>
      </c>
      <c r="AB2" s="0" t="s">
        <v>14</v>
      </c>
      <c r="AC2" s="0" t="n">
        <v>261.09</v>
      </c>
    </row>
    <row r="3" customFormat="false" ht="15" hidden="false" customHeight="false" outlineLevel="0" collapsed="false">
      <c r="A3" s="0" t="s">
        <v>66</v>
      </c>
      <c r="B3" s="0" t="n">
        <v>2681.373</v>
      </c>
      <c r="C3" s="0" t="n">
        <v>1642.476</v>
      </c>
      <c r="D3" s="0" t="n">
        <v>1038.897</v>
      </c>
      <c r="E3" s="0" t="n">
        <v>38.7</v>
      </c>
      <c r="F3" s="0" t="n">
        <v>690.702</v>
      </c>
      <c r="G3" s="0" t="n">
        <v>25.8</v>
      </c>
      <c r="H3" s="0" t="n">
        <v>714.18</v>
      </c>
      <c r="I3" s="0" t="n">
        <v>517.793</v>
      </c>
      <c r="J3" s="0" t="n">
        <v>19.3</v>
      </c>
      <c r="K3" s="0" t="n">
        <v>0.534</v>
      </c>
      <c r="L3" s="0" t="n">
        <v>328.571</v>
      </c>
      <c r="M3" s="0" t="n">
        <v>254.01</v>
      </c>
      <c r="N3" s="0" t="n">
        <v>74.561</v>
      </c>
      <c r="O3" s="0" t="n">
        <v>2039.721</v>
      </c>
      <c r="P3" s="0" t="n">
        <v>2462.039</v>
      </c>
      <c r="Q3" s="0" t="n">
        <v>422.318</v>
      </c>
      <c r="R3" s="0" t="n">
        <v>0</v>
      </c>
      <c r="S3" s="0" t="n">
        <v>1179.91</v>
      </c>
      <c r="T3" s="0" t="n">
        <v>969.801</v>
      </c>
      <c r="U3" s="0" t="n">
        <v>34.202</v>
      </c>
      <c r="AA3" s="0" t="s">
        <v>18</v>
      </c>
      <c r="AB3" s="0" t="s">
        <v>14</v>
      </c>
      <c r="AC3" s="0" t="n">
        <v>547.904</v>
      </c>
    </row>
    <row r="4" customFormat="false" ht="15" hidden="false" customHeight="false" outlineLevel="0" collapsed="false">
      <c r="A4" s="0" t="s">
        <v>67</v>
      </c>
      <c r="B4" s="0" t="n">
        <v>4282.488</v>
      </c>
      <c r="C4" s="0" t="n">
        <v>2641.088</v>
      </c>
      <c r="D4" s="0" t="n">
        <v>1641.4</v>
      </c>
      <c r="E4" s="0" t="n">
        <v>38.3</v>
      </c>
      <c r="F4" s="0" t="n">
        <v>1071.501</v>
      </c>
      <c r="G4" s="0" t="n">
        <v>25</v>
      </c>
      <c r="H4" s="0" t="n">
        <v>1126.071</v>
      </c>
      <c r="I4" s="0" t="n">
        <v>718.634</v>
      </c>
      <c r="J4" s="0" t="n">
        <v>16.8</v>
      </c>
      <c r="K4" s="0" t="n">
        <v>0.741</v>
      </c>
      <c r="L4" s="0" t="n">
        <v>951.392</v>
      </c>
      <c r="M4" s="0" t="n">
        <v>273.118</v>
      </c>
      <c r="N4" s="0" t="n">
        <v>678.274</v>
      </c>
      <c r="O4" s="0" t="n">
        <v>2728.147</v>
      </c>
      <c r="P4" s="0" t="n">
        <v>3311.751</v>
      </c>
      <c r="Q4" s="0" t="n">
        <v>583.604</v>
      </c>
      <c r="R4" s="0" t="n">
        <v>0</v>
      </c>
      <c r="S4" s="0" t="n">
        <v>1036.396</v>
      </c>
      <c r="T4" s="0" t="n">
        <v>969.884</v>
      </c>
      <c r="U4" s="0" t="n">
        <v>37.487</v>
      </c>
      <c r="AA4" s="0" t="s">
        <v>18</v>
      </c>
      <c r="AB4" s="0" t="s">
        <v>14</v>
      </c>
      <c r="AC4" s="0" t="n">
        <v>795.005</v>
      </c>
    </row>
    <row r="5" customFormat="false" ht="15" hidden="false" customHeight="false" outlineLevel="0" collapsed="false">
      <c r="A5" s="0" t="s">
        <v>68</v>
      </c>
      <c r="B5" s="0" t="n">
        <v>5360.021</v>
      </c>
      <c r="C5" s="0" t="n">
        <v>3269.911</v>
      </c>
      <c r="D5" s="0" t="n">
        <v>2090.11</v>
      </c>
      <c r="E5" s="0" t="n">
        <v>39</v>
      </c>
      <c r="F5" s="0" t="n">
        <v>1333.783</v>
      </c>
      <c r="G5" s="0" t="n">
        <v>24.9</v>
      </c>
      <c r="H5" s="0" t="n">
        <v>1419.944</v>
      </c>
      <c r="I5" s="0" t="n">
        <v>885.222</v>
      </c>
      <c r="J5" s="0" t="n">
        <v>16.5</v>
      </c>
      <c r="K5" s="0" t="n">
        <v>0.902</v>
      </c>
      <c r="L5" s="0" t="n">
        <v>1198.754</v>
      </c>
      <c r="M5" s="0" t="n">
        <v>335.389</v>
      </c>
      <c r="N5" s="0" t="n">
        <v>863.365</v>
      </c>
      <c r="O5" s="0" t="n">
        <v>3513.587</v>
      </c>
      <c r="P5" s="0" t="n">
        <v>4287.334</v>
      </c>
      <c r="Q5" s="0" t="n">
        <v>773.747</v>
      </c>
      <c r="R5" s="0" t="n">
        <v>0</v>
      </c>
      <c r="S5" s="0" t="n">
        <v>1986.929</v>
      </c>
      <c r="T5" s="0" t="n">
        <v>981.399</v>
      </c>
      <c r="U5" s="0" t="n">
        <v>0</v>
      </c>
      <c r="AA5" s="0" t="s">
        <v>18</v>
      </c>
      <c r="AB5" s="0" t="s">
        <v>14</v>
      </c>
      <c r="AC5" s="0" t="n">
        <v>982.861</v>
      </c>
    </row>
    <row r="6" customFormat="false" ht="15" hidden="false" customHeight="false" outlineLevel="0" collapsed="false">
      <c r="A6" s="0" t="s">
        <v>69</v>
      </c>
      <c r="B6" s="0" t="n">
        <v>5942.617</v>
      </c>
      <c r="C6" s="0" t="n">
        <v>4018.664</v>
      </c>
      <c r="D6" s="0" t="n">
        <v>1923.953</v>
      </c>
      <c r="E6" s="0" t="n">
        <v>32.4</v>
      </c>
      <c r="F6" s="0" t="n">
        <v>1147.031</v>
      </c>
      <c r="G6" s="0" t="n">
        <v>19.3</v>
      </c>
      <c r="H6" s="0" t="n">
        <v>1270.231</v>
      </c>
      <c r="I6" s="0" t="n">
        <v>766.201</v>
      </c>
      <c r="J6" s="0" t="n">
        <v>12.9</v>
      </c>
      <c r="K6" s="0" t="n">
        <v>0.782</v>
      </c>
      <c r="L6" s="0" t="n">
        <v>829.489</v>
      </c>
      <c r="M6" s="0" t="n">
        <v>637.054</v>
      </c>
      <c r="N6" s="0" t="n">
        <v>192.435</v>
      </c>
      <c r="O6" s="0" t="n">
        <v>4108.736</v>
      </c>
      <c r="P6" s="0" t="n">
        <v>5005.078</v>
      </c>
      <c r="Q6" s="0" t="n">
        <v>896.342</v>
      </c>
      <c r="R6" s="0" t="n">
        <v>0</v>
      </c>
      <c r="S6" s="0" t="n">
        <v>1573.621</v>
      </c>
      <c r="T6" s="0" t="n">
        <v>979.797</v>
      </c>
      <c r="U6" s="0" t="n">
        <v>0</v>
      </c>
      <c r="AA6" s="0" t="s">
        <v>18</v>
      </c>
      <c r="AB6" s="0" t="s">
        <v>14</v>
      </c>
      <c r="AC6" s="0" t="n">
        <v>857.559</v>
      </c>
    </row>
    <row r="7" customFormat="false" ht="15" hidden="false" customHeight="false" outlineLevel="0" collapsed="false">
      <c r="A7" s="0" t="s">
        <v>70</v>
      </c>
      <c r="B7" s="0" t="n">
        <v>6147.011</v>
      </c>
      <c r="C7" s="0" t="n">
        <v>4293.129</v>
      </c>
      <c r="D7" s="0" t="n">
        <v>1853.882</v>
      </c>
      <c r="E7" s="0" t="n">
        <v>30.2</v>
      </c>
      <c r="F7" s="0" t="n">
        <v>1117.712</v>
      </c>
      <c r="G7" s="0" t="n">
        <v>18.2</v>
      </c>
      <c r="H7" s="0" t="n">
        <v>1283.297</v>
      </c>
      <c r="I7" s="0" t="n">
        <v>741.987</v>
      </c>
      <c r="J7" s="0" t="n">
        <v>12.1</v>
      </c>
      <c r="K7" s="0" t="n">
        <v>0.757</v>
      </c>
      <c r="L7" s="0" t="n">
        <v>1271.826</v>
      </c>
      <c r="M7" s="0" t="n">
        <v>416.973</v>
      </c>
      <c r="N7" s="0" t="n">
        <v>854.853</v>
      </c>
      <c r="O7" s="0" t="n">
        <v>4537.021</v>
      </c>
      <c r="P7" s="0" t="n">
        <v>5551.293</v>
      </c>
      <c r="Q7" s="0" t="n">
        <v>1014.272</v>
      </c>
      <c r="R7" s="0" t="n">
        <v>0</v>
      </c>
      <c r="S7" s="0" t="n">
        <v>1880.531</v>
      </c>
      <c r="T7" s="0" t="n">
        <v>980.168</v>
      </c>
      <c r="U7" s="0" t="n">
        <v>0</v>
      </c>
      <c r="AA7" s="0" t="s">
        <v>18</v>
      </c>
      <c r="AB7" s="0" t="s">
        <v>14</v>
      </c>
      <c r="AC7" s="0" t="n">
        <v>815.986</v>
      </c>
    </row>
    <row r="8" customFormat="false" ht="15" hidden="false" customHeight="false" outlineLevel="0" collapsed="false">
      <c r="A8" s="0" t="s">
        <v>71</v>
      </c>
      <c r="B8" s="0" t="n">
        <v>6147.573</v>
      </c>
      <c r="C8" s="0" t="n">
        <v>4206.269</v>
      </c>
      <c r="D8" s="0" t="n">
        <v>1941.304</v>
      </c>
      <c r="E8" s="0" t="n">
        <v>31.6</v>
      </c>
      <c r="F8" s="0" t="n">
        <v>1194.821</v>
      </c>
      <c r="G8" s="0" t="n">
        <v>19.4</v>
      </c>
      <c r="H8" s="0" t="n">
        <v>1383.537</v>
      </c>
      <c r="I8" s="0" t="n">
        <v>852.696</v>
      </c>
      <c r="J8" s="0" t="n">
        <v>13.9</v>
      </c>
      <c r="K8" s="0" t="n">
        <v>0.875</v>
      </c>
      <c r="L8" s="0" t="n">
        <v>958.999</v>
      </c>
      <c r="M8" s="0" t="n">
        <v>300.962</v>
      </c>
      <c r="N8" s="0" t="n">
        <v>658.037</v>
      </c>
      <c r="O8" s="0" t="n">
        <v>5089.41</v>
      </c>
      <c r="P8" s="0" t="n">
        <v>6054.438</v>
      </c>
      <c r="Q8" s="0" t="n">
        <v>965.028</v>
      </c>
      <c r="R8" s="0" t="n">
        <v>0</v>
      </c>
      <c r="S8" s="0" t="n">
        <v>2309.358</v>
      </c>
      <c r="T8" s="0" t="n">
        <v>974.51</v>
      </c>
      <c r="U8" s="0" t="n">
        <v>0.159</v>
      </c>
      <c r="AA8" s="0" t="s">
        <v>18</v>
      </c>
      <c r="AB8" s="0" t="s">
        <v>14</v>
      </c>
      <c r="AC8" s="0" t="n">
        <v>907.028</v>
      </c>
    </row>
    <row r="9" customFormat="false" ht="15" hidden="false" customHeight="false" outlineLevel="0" collapsed="false">
      <c r="A9" s="0" t="s">
        <v>72</v>
      </c>
      <c r="B9" s="0" t="n">
        <v>6539.569</v>
      </c>
      <c r="C9" s="0" t="n">
        <v>4493.756</v>
      </c>
      <c r="D9" s="0" t="n">
        <v>2045.813</v>
      </c>
      <c r="E9" s="0" t="n">
        <v>31.3</v>
      </c>
      <c r="F9" s="0" t="n">
        <v>1108.343</v>
      </c>
      <c r="G9" s="0" t="n">
        <v>16.9</v>
      </c>
      <c r="H9" s="0" t="n">
        <v>1313.93</v>
      </c>
      <c r="I9" s="0" t="n">
        <v>739.425</v>
      </c>
      <c r="J9" s="0" t="n">
        <v>11.3</v>
      </c>
      <c r="K9" s="0" t="n">
        <v>0.76</v>
      </c>
      <c r="L9" s="0" t="n">
        <v>917.713</v>
      </c>
      <c r="M9" s="0" t="n">
        <v>257.147</v>
      </c>
      <c r="N9" s="0" t="n">
        <v>660.566</v>
      </c>
      <c r="O9" s="0" t="n">
        <v>4733.16</v>
      </c>
      <c r="P9" s="0" t="n">
        <v>5799.294</v>
      </c>
      <c r="Q9" s="0" t="n">
        <v>1066.134</v>
      </c>
      <c r="R9" s="0" t="n">
        <v>0</v>
      </c>
      <c r="S9" s="0" t="n">
        <v>1881.867</v>
      </c>
      <c r="T9" s="0" t="n">
        <v>970.132</v>
      </c>
      <c r="U9" s="0" t="n">
        <v>1.378</v>
      </c>
      <c r="AA9" s="0" t="s">
        <v>18</v>
      </c>
      <c r="AB9" s="0" t="s">
        <v>14</v>
      </c>
      <c r="AC9" s="0" t="n">
        <v>799.477</v>
      </c>
    </row>
    <row r="10" customFormat="false" ht="15" hidden="false" customHeight="false" outlineLevel="0" collapsed="false">
      <c r="A10" s="0" t="s">
        <v>73</v>
      </c>
      <c r="B10" s="0" t="n">
        <v>6612.566</v>
      </c>
      <c r="C10" s="0" t="n">
        <v>4447.524</v>
      </c>
      <c r="D10" s="0" t="n">
        <v>2165.042</v>
      </c>
      <c r="E10" s="0" t="n">
        <v>32.7</v>
      </c>
      <c r="F10" s="0" t="n">
        <v>1237.709</v>
      </c>
      <c r="G10" s="0" t="n">
        <v>18.7</v>
      </c>
      <c r="H10" s="0" t="n">
        <v>1467.489</v>
      </c>
      <c r="I10" s="0" t="n">
        <v>853.964</v>
      </c>
      <c r="J10" s="0" t="n">
        <v>12.9</v>
      </c>
      <c r="K10" s="0" t="n">
        <v>0.88</v>
      </c>
      <c r="L10" s="0" t="n">
        <v>986.438</v>
      </c>
      <c r="M10" s="0" t="n">
        <v>321.723</v>
      </c>
      <c r="N10" s="0" t="n">
        <v>664.715</v>
      </c>
      <c r="O10" s="0" t="n">
        <v>4944.923</v>
      </c>
      <c r="P10" s="0" t="n">
        <v>5939.71</v>
      </c>
      <c r="Q10" s="0" t="n">
        <v>994.787</v>
      </c>
      <c r="R10" s="0" t="n">
        <v>0</v>
      </c>
      <c r="S10" s="0" t="n">
        <v>2084.546</v>
      </c>
      <c r="T10" s="0" t="n">
        <v>970.132</v>
      </c>
      <c r="U10" s="0" t="n">
        <v>0</v>
      </c>
      <c r="AA10" s="0" t="s">
        <v>18</v>
      </c>
      <c r="AB10" s="0" t="s">
        <v>14</v>
      </c>
      <c r="AC10" s="0" t="n">
        <v>903.485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15.4</v>
      </c>
    </row>
    <row r="3" customFormat="false" ht="15" hidden="false" customHeight="false" outlineLevel="0" collapsed="false">
      <c r="A3" s="0" t="s">
        <v>77</v>
      </c>
      <c r="B3" s="3" t="n">
        <v>970.132</v>
      </c>
    </row>
    <row r="4" customFormat="false" ht="15" hidden="false" customHeight="false" outlineLevel="0" collapsed="false">
      <c r="A4" s="0" t="s">
        <v>78</v>
      </c>
      <c r="B4" s="3" t="n">
        <v>-2147.863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6612.566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1.1726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8</v>
      </c>
      <c r="D13" s="3" t="n">
        <v>-6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22</v>
      </c>
      <c r="D14" s="3" t="n">
        <v>20</v>
      </c>
      <c r="E14" s="3" t="n">
        <v>19.5</v>
      </c>
      <c r="F14" s="3" t="n">
        <v>19.5</v>
      </c>
      <c r="G14" s="3" t="n">
        <v>19.5</v>
      </c>
      <c r="H14" s="3" t="n">
        <v>19.5</v>
      </c>
      <c r="I14" s="3" t="n">
        <v>19.5</v>
      </c>
      <c r="J14" s="3" t="n">
        <v>19.5</v>
      </c>
      <c r="K14" s="3" t="n">
        <v>19.5</v>
      </c>
      <c r="L14" s="3" t="n">
        <v>19.5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0.32</v>
      </c>
      <c r="D16" s="3" t="n">
        <v>0.32</v>
      </c>
      <c r="E16" s="3" t="n">
        <v>0.32</v>
      </c>
      <c r="F16" s="3" t="n">
        <v>0.32</v>
      </c>
      <c r="G16" s="3" t="n">
        <v>0.32</v>
      </c>
      <c r="H16" s="3" t="n">
        <v>0.32</v>
      </c>
      <c r="I16" s="3" t="n">
        <v>0.32</v>
      </c>
      <c r="J16" s="3" t="n">
        <v>0.32</v>
      </c>
      <c r="K16" s="3" t="n">
        <v>0.32</v>
      </c>
      <c r="L16" s="3" t="n">
        <v>0.32</v>
      </c>
    </row>
    <row r="17" customFormat="false" ht="15" hidden="false" customHeight="false" outlineLevel="0" collapsed="false">
      <c r="A17" s="0" t="s">
        <v>101</v>
      </c>
      <c r="C17" s="3" t="n">
        <v>2.9</v>
      </c>
      <c r="D17" s="3" t="n">
        <v>3</v>
      </c>
      <c r="E17" s="3" t="n">
        <v>3.1</v>
      </c>
      <c r="F17" s="3" t="n">
        <v>3.1</v>
      </c>
      <c r="G17" s="3" t="n">
        <v>3.1</v>
      </c>
      <c r="H17" s="3" t="n">
        <v>3.1</v>
      </c>
      <c r="I17" s="3" t="n">
        <v>3.1</v>
      </c>
      <c r="J17" s="3" t="n">
        <v>3.1</v>
      </c>
      <c r="K17" s="3" t="n">
        <v>3.1</v>
      </c>
      <c r="L17" s="3" t="n">
        <v>3.1</v>
      </c>
    </row>
    <row r="18" customFormat="false" ht="15" hidden="false" customHeight="false" outlineLevel="0" collapsed="false">
      <c r="A18" s="0" t="s">
        <v>102</v>
      </c>
      <c r="C18" s="3" t="n">
        <v>4</v>
      </c>
      <c r="D18" s="3" t="n">
        <v>3.5</v>
      </c>
      <c r="E18" s="3" t="n">
        <v>3.2</v>
      </c>
      <c r="F18" s="3" t="n">
        <v>3.2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103</v>
      </c>
      <c r="C19" s="3" t="n">
        <v>33</v>
      </c>
      <c r="D19" s="3" t="n">
        <v>33</v>
      </c>
      <c r="E19" s="3" t="n">
        <v>33</v>
      </c>
      <c r="F19" s="3" t="n">
        <v>33</v>
      </c>
      <c r="G19" s="3" t="n">
        <v>33</v>
      </c>
      <c r="H19" s="3" t="n">
        <v>33</v>
      </c>
      <c r="I19" s="3" t="n">
        <v>33</v>
      </c>
      <c r="J19" s="3" t="n">
        <v>33</v>
      </c>
      <c r="K19" s="3" t="n">
        <v>33</v>
      </c>
      <c r="L19" s="3" t="n">
        <v>33</v>
      </c>
    </row>
    <row r="20" customFormat="false" ht="15" hidden="false" customHeight="false" outlineLevel="0" collapsed="false">
      <c r="A20" s="0" t="s">
        <v>104</v>
      </c>
      <c r="B20" s="3" t="n">
        <v>9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16</v>
      </c>
    </row>
    <row r="23" customFormat="false" ht="15" hidden="false" customHeight="false" outlineLevel="0" collapsed="false">
      <c r="A23" s="0" t="s">
        <v>107</v>
      </c>
      <c r="B23" s="3" t="n">
        <v>-5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11</v>
      </c>
      <c r="D27" s="3" t="n">
        <v>7</v>
      </c>
      <c r="E27" s="3" t="n">
        <v>6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22.8</v>
      </c>
      <c r="D28" s="3" t="n">
        <v>23</v>
      </c>
      <c r="E28" s="3" t="n">
        <v>23</v>
      </c>
      <c r="F28" s="3" t="n">
        <v>23</v>
      </c>
      <c r="G28" s="3" t="n">
        <v>23</v>
      </c>
      <c r="H28" s="3" t="n">
        <v>23</v>
      </c>
      <c r="I28" s="3" t="n">
        <v>23</v>
      </c>
      <c r="J28" s="3" t="n">
        <v>23</v>
      </c>
      <c r="K28" s="3" t="n">
        <v>23</v>
      </c>
      <c r="L28" s="3" t="n">
        <v>23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0.32</v>
      </c>
      <c r="D30" s="3" t="n">
        <v>0.32</v>
      </c>
      <c r="E30" s="3" t="n">
        <v>0.32</v>
      </c>
      <c r="F30" s="3" t="n">
        <v>0.32</v>
      </c>
      <c r="G30" s="3" t="n">
        <v>0.32</v>
      </c>
      <c r="H30" s="3" t="n">
        <v>0.32</v>
      </c>
      <c r="I30" s="3" t="n">
        <v>0.32</v>
      </c>
      <c r="J30" s="3" t="n">
        <v>0.32</v>
      </c>
      <c r="K30" s="3" t="n">
        <v>0.32</v>
      </c>
      <c r="L30" s="3" t="n">
        <v>0.32</v>
      </c>
    </row>
    <row r="31" customFormat="false" ht="15" hidden="false" customHeight="false" outlineLevel="0" collapsed="false">
      <c r="A31" s="0" t="s">
        <v>101</v>
      </c>
      <c r="C31" s="3" t="n">
        <v>2.9</v>
      </c>
      <c r="D31" s="3" t="n">
        <v>2.9</v>
      </c>
      <c r="E31" s="3" t="n">
        <v>3</v>
      </c>
      <c r="F31" s="3" t="n">
        <v>3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102</v>
      </c>
      <c r="C32" s="3" t="n">
        <v>4.2</v>
      </c>
      <c r="D32" s="3" t="n">
        <v>4</v>
      </c>
      <c r="E32" s="3" t="n">
        <v>4</v>
      </c>
      <c r="F32" s="3" t="n">
        <v>3.8</v>
      </c>
      <c r="G32" s="3" t="n">
        <v>3.8</v>
      </c>
      <c r="H32" s="3" t="n">
        <v>3.6</v>
      </c>
      <c r="I32" s="3" t="n">
        <v>3.6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103</v>
      </c>
      <c r="C33" s="3" t="n">
        <v>33</v>
      </c>
      <c r="D33" s="3" t="n">
        <v>33</v>
      </c>
      <c r="E33" s="3" t="n">
        <v>33</v>
      </c>
      <c r="F33" s="3" t="n">
        <v>33</v>
      </c>
      <c r="G33" s="3" t="n">
        <v>33</v>
      </c>
      <c r="H33" s="3" t="n">
        <v>33</v>
      </c>
      <c r="I33" s="3" t="n">
        <v>33</v>
      </c>
      <c r="J33" s="3" t="n">
        <v>33</v>
      </c>
      <c r="K33" s="3" t="n">
        <v>33</v>
      </c>
      <c r="L33" s="3" t="n">
        <v>33</v>
      </c>
    </row>
    <row r="34" customFormat="false" ht="15" hidden="false" customHeight="false" outlineLevel="0" collapsed="false">
      <c r="A34" s="0" t="s">
        <v>104</v>
      </c>
      <c r="B34" s="3" t="n">
        <v>9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16</v>
      </c>
    </row>
    <row r="37" customFormat="false" ht="15" hidden="false" customHeight="false" outlineLevel="0" collapsed="false">
      <c r="A37" s="0" t="s">
        <v>107</v>
      </c>
      <c r="B37" s="3" t="n">
        <v>-5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14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98</v>
      </c>
      <c r="C42" s="3" t="n">
        <v>23.3</v>
      </c>
      <c r="D42" s="3" t="n">
        <v>23.8</v>
      </c>
      <c r="E42" s="3" t="n">
        <v>24.2</v>
      </c>
      <c r="F42" s="3" t="n">
        <v>24.5</v>
      </c>
      <c r="G42" s="3" t="n">
        <v>24.8</v>
      </c>
      <c r="H42" s="3" t="n">
        <v>25</v>
      </c>
      <c r="I42" s="3" t="n">
        <v>25</v>
      </c>
      <c r="J42" s="3" t="n">
        <v>25</v>
      </c>
      <c r="K42" s="3" t="n">
        <v>25</v>
      </c>
      <c r="L42" s="3" t="n">
        <v>25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0.32</v>
      </c>
      <c r="D44" s="3" t="n">
        <v>0.32</v>
      </c>
      <c r="E44" s="3" t="n">
        <v>0.32</v>
      </c>
      <c r="F44" s="3" t="n">
        <v>0.32</v>
      </c>
      <c r="G44" s="3" t="n">
        <v>0.32</v>
      </c>
      <c r="H44" s="3" t="n">
        <v>0.32</v>
      </c>
      <c r="I44" s="3" t="n">
        <v>0.32</v>
      </c>
      <c r="J44" s="3" t="n">
        <v>0.32</v>
      </c>
      <c r="K44" s="3" t="n">
        <v>0.32</v>
      </c>
      <c r="L44" s="3" t="n">
        <v>0.32</v>
      </c>
    </row>
    <row r="45" customFormat="false" ht="15" hidden="false" customHeight="false" outlineLevel="0" collapsed="false">
      <c r="A45" s="0" t="s">
        <v>101</v>
      </c>
      <c r="C45" s="3" t="n">
        <v>2.9</v>
      </c>
      <c r="D45" s="3" t="n">
        <v>2.9</v>
      </c>
      <c r="E45" s="3" t="n">
        <v>3</v>
      </c>
      <c r="F45" s="3" t="n">
        <v>3</v>
      </c>
      <c r="G45" s="3" t="n">
        <v>3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102</v>
      </c>
      <c r="C46" s="3" t="n">
        <v>4.5</v>
      </c>
      <c r="D46" s="3" t="n">
        <v>4.5</v>
      </c>
      <c r="E46" s="3" t="n">
        <v>4.2</v>
      </c>
      <c r="F46" s="3" t="n">
        <v>4</v>
      </c>
      <c r="G46" s="3" t="n">
        <v>4</v>
      </c>
      <c r="H46" s="3" t="n">
        <v>3.8</v>
      </c>
      <c r="I46" s="3" t="n">
        <v>3.6</v>
      </c>
      <c r="J46" s="3" t="n">
        <v>3.5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103</v>
      </c>
      <c r="C47" s="3" t="n">
        <v>33</v>
      </c>
      <c r="D47" s="3" t="n">
        <v>33</v>
      </c>
      <c r="E47" s="3" t="n">
        <v>33</v>
      </c>
      <c r="F47" s="3" t="n">
        <v>33</v>
      </c>
      <c r="G47" s="3" t="n">
        <v>33</v>
      </c>
      <c r="H47" s="3" t="n">
        <v>33</v>
      </c>
      <c r="I47" s="3" t="n">
        <v>33</v>
      </c>
      <c r="J47" s="3" t="n">
        <v>33</v>
      </c>
      <c r="K47" s="3" t="n">
        <v>33</v>
      </c>
      <c r="L47" s="3" t="n">
        <v>33</v>
      </c>
    </row>
    <row r="48" customFormat="false" ht="15" hidden="false" customHeight="false" outlineLevel="0" collapsed="false">
      <c r="A48" s="0" t="s">
        <v>104</v>
      </c>
      <c r="B48" s="3" t="n">
        <v>9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16</v>
      </c>
    </row>
    <row r="51" customFormat="false" ht="15" hidden="false" customHeight="false" outlineLevel="0" collapsed="false">
      <c r="A51" s="0" t="s">
        <v>107</v>
      </c>
      <c r="B51" s="3" t="n">
        <v>-5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8</v>
      </c>
      <c r="D5" s="4" t="n">
        <f aca="false">Assumptions!D13</f>
        <v>-6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6612.566</v>
      </c>
      <c r="C6" s="0" t="n">
        <f aca="false">B6*(1+C5/100)</f>
        <v>7141.57128</v>
      </c>
      <c r="D6" s="0" t="n">
        <f aca="false">C6*(1+D5/100)</f>
        <v>6713.0770032</v>
      </c>
      <c r="E6" s="0" t="n">
        <f aca="false">D6*(1+E5/100)</f>
        <v>6713.0770032</v>
      </c>
      <c r="F6" s="0" t="n">
        <f aca="false">E6*(1+F5/100)</f>
        <v>6847.338543264</v>
      </c>
      <c r="G6" s="0" t="n">
        <f aca="false">F6*(1+G5/100)</f>
        <v>6984.28531412928</v>
      </c>
      <c r="H6" s="0" t="n">
        <f aca="false">G6*(1+H5/100)</f>
        <v>7123.97102041187</v>
      </c>
      <c r="I6" s="0" t="n">
        <f aca="false">H6*(1+I5/100)</f>
        <v>7266.4504408201</v>
      </c>
      <c r="J6" s="0" t="n">
        <f aca="false">I6*(1+J5/100)</f>
        <v>7411.77944963651</v>
      </c>
      <c r="K6" s="0" t="n">
        <f aca="false">J6*(1+K5/100)</f>
        <v>7560.01503862924</v>
      </c>
      <c r="L6" s="0" t="n">
        <f aca="false">K6*(1+L5/100)</f>
        <v>7711.21533940182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22</v>
      </c>
      <c r="D7" s="4" t="n">
        <f aca="false">Assumptions!D14</f>
        <v>20</v>
      </c>
      <c r="E7" s="4" t="n">
        <f aca="false">Assumptions!E14</f>
        <v>19.5</v>
      </c>
      <c r="F7" s="4" t="n">
        <f aca="false">Assumptions!F14</f>
        <v>19.5</v>
      </c>
      <c r="G7" s="4" t="n">
        <f aca="false">Assumptions!G14</f>
        <v>19.5</v>
      </c>
      <c r="H7" s="4" t="n">
        <f aca="false">Assumptions!H14</f>
        <v>19.5</v>
      </c>
      <c r="I7" s="4" t="n">
        <f aca="false">Assumptions!I14</f>
        <v>19.5</v>
      </c>
      <c r="J7" s="4" t="n">
        <f aca="false">Assumptions!J14</f>
        <v>19.5</v>
      </c>
      <c r="K7" s="4" t="n">
        <f aca="false">Assumptions!K14</f>
        <v>19.5</v>
      </c>
      <c r="L7" s="4" t="n">
        <f aca="false">Assumptions!L14</f>
        <v>19.5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1571.1456816</v>
      </c>
      <c r="D8" s="0" t="n">
        <f aca="false">D6*D7/100</f>
        <v>1342.61540064</v>
      </c>
      <c r="E8" s="0" t="n">
        <f aca="false">E6*E7/100</f>
        <v>1309.050015624</v>
      </c>
      <c r="F8" s="0" t="n">
        <f aca="false">F6*F7/100</f>
        <v>1335.23101593648</v>
      </c>
      <c r="G8" s="0" t="n">
        <f aca="false">G6*G7/100</f>
        <v>1361.93563625521</v>
      </c>
      <c r="H8" s="0" t="n">
        <f aca="false">H6*H7/100</f>
        <v>1389.17434898031</v>
      </c>
      <c r="I8" s="0" t="n">
        <f aca="false">I6*I7/100</f>
        <v>1416.95783595992</v>
      </c>
      <c r="J8" s="0" t="n">
        <f aca="false">J6*J7/100</f>
        <v>1445.29699267912</v>
      </c>
      <c r="K8" s="0" t="n">
        <f aca="false">K6*K7/100</f>
        <v>1474.2029325327</v>
      </c>
      <c r="L8" s="0" t="n">
        <f aca="false">L6*L7/100</f>
        <v>1503.68699118336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1548.292653504</v>
      </c>
      <c r="D11" s="0" t="n">
        <f aca="false">D8+D10+D24</f>
        <v>1321.13355422976</v>
      </c>
      <c r="E11" s="0" t="n">
        <f aca="false">E8+E10+E24</f>
        <v>1287.56816921376</v>
      </c>
      <c r="F11" s="0" t="n">
        <f aca="false">F8+F10+F24</f>
        <v>1313.31953259804</v>
      </c>
      <c r="G11" s="0" t="n">
        <f aca="false">G8+G10+G24</f>
        <v>1339.58592325</v>
      </c>
      <c r="H11" s="0" t="n">
        <f aca="false">H8+H10+H24</f>
        <v>1366.377641715</v>
      </c>
      <c r="I11" s="0" t="n">
        <f aca="false">I8+I10+I24</f>
        <v>1393.7051945493</v>
      </c>
      <c r="J11" s="0" t="n">
        <f aca="false">J8+J10+J24</f>
        <v>1421.57929844028</v>
      </c>
      <c r="K11" s="0" t="n">
        <f aca="false">K8+K10+K24</f>
        <v>1450.01088440909</v>
      </c>
      <c r="L11" s="0" t="n">
        <f aca="false">L8+L10+L24</f>
        <v>1479.01110209727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-207.10556712</v>
      </c>
      <c r="D12" s="4" t="n">
        <f aca="false">-D6*Assumptions!D17/100</f>
        <v>-201.392310096</v>
      </c>
      <c r="E12" s="4" t="n">
        <f aca="false">-E6*Assumptions!E17/100</f>
        <v>-208.1053870992</v>
      </c>
      <c r="F12" s="4" t="n">
        <f aca="false">-F6*Assumptions!F17/100</f>
        <v>-212.267494841184</v>
      </c>
      <c r="G12" s="4" t="n">
        <f aca="false">-G6*Assumptions!G17/100</f>
        <v>-216.512844738008</v>
      </c>
      <c r="H12" s="4" t="n">
        <f aca="false">-H6*Assumptions!H17/100</f>
        <v>-220.843101632768</v>
      </c>
      <c r="I12" s="4" t="n">
        <f aca="false">-I6*Assumptions!I17/100</f>
        <v>-225.259963665423</v>
      </c>
      <c r="J12" s="4" t="n">
        <f aca="false">-J6*Assumptions!J17/100</f>
        <v>-229.765162938732</v>
      </c>
      <c r="K12" s="4" t="n">
        <f aca="false">-K6*Assumptions!K17/100</f>
        <v>-234.360466197506</v>
      </c>
      <c r="L12" s="4" t="n">
        <f aca="false">-L6*Assumptions!L17/100</f>
        <v>-239.047675521456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1341.187086384</v>
      </c>
      <c r="D13" s="0" t="n">
        <f aca="false">D11+D12</f>
        <v>1119.74124413376</v>
      </c>
      <c r="E13" s="0" t="n">
        <f aca="false">E11+E12</f>
        <v>1079.46278211456</v>
      </c>
      <c r="F13" s="0" t="n">
        <f aca="false">F11+F12</f>
        <v>1101.05203775685</v>
      </c>
      <c r="G13" s="0" t="n">
        <f aca="false">G11+G12</f>
        <v>1123.07307851199</v>
      </c>
      <c r="H13" s="0" t="n">
        <f aca="false">H11+H12</f>
        <v>1145.53454008223</v>
      </c>
      <c r="I13" s="0" t="n">
        <f aca="false">I11+I12</f>
        <v>1168.44523088387</v>
      </c>
      <c r="J13" s="0" t="n">
        <f aca="false">J11+J12</f>
        <v>1191.81413550155</v>
      </c>
      <c r="K13" s="0" t="n">
        <f aca="false">K11+K12</f>
        <v>1215.65041821158</v>
      </c>
      <c r="L13" s="0" t="n">
        <f aca="false">L11+L12</f>
        <v>1239.96342657581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33</v>
      </c>
      <c r="D14" s="4" t="n">
        <f aca="false">Assumptions!D19</f>
        <v>33</v>
      </c>
      <c r="E14" s="4" t="n">
        <f aca="false">Assumptions!E19</f>
        <v>33</v>
      </c>
      <c r="F14" s="4" t="n">
        <f aca="false">Assumptions!F19</f>
        <v>33</v>
      </c>
      <c r="G14" s="4" t="n">
        <f aca="false">Assumptions!G19</f>
        <v>33</v>
      </c>
      <c r="H14" s="4" t="n">
        <f aca="false">Assumptions!H19</f>
        <v>33</v>
      </c>
      <c r="I14" s="4" t="n">
        <f aca="false">Assumptions!I19</f>
        <v>33</v>
      </c>
      <c r="J14" s="4" t="n">
        <f aca="false">Assumptions!J19</f>
        <v>33</v>
      </c>
      <c r="K14" s="4" t="n">
        <f aca="false">Assumptions!K19</f>
        <v>33</v>
      </c>
      <c r="L14" s="4" t="n">
        <f aca="false">Assumptions!L19</f>
        <v>33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898.59534787728</v>
      </c>
      <c r="D15" s="0" t="n">
        <f aca="false">D13-MAX(0,D13)*D14/100</f>
        <v>750.226633569619</v>
      </c>
      <c r="E15" s="0" t="n">
        <f aca="false">E13-MAX(0,E13)*E14/100</f>
        <v>723.240064016755</v>
      </c>
      <c r="F15" s="0" t="n">
        <f aca="false">F13-MAX(0,F13)*F14/100</f>
        <v>737.70486529709</v>
      </c>
      <c r="G15" s="0" t="n">
        <f aca="false">G13-MAX(0,G13)*G14/100</f>
        <v>752.458962603032</v>
      </c>
      <c r="H15" s="0" t="n">
        <f aca="false">H13-MAX(0,H13)*H14/100</f>
        <v>767.508141855093</v>
      </c>
      <c r="I15" s="0" t="n">
        <f aca="false">I13-MAX(0,I13)*I14/100</f>
        <v>782.858304692195</v>
      </c>
      <c r="J15" s="0" t="n">
        <f aca="false">J13-MAX(0,J13)*J14/100</f>
        <v>798.515470786038</v>
      </c>
      <c r="K15" s="0" t="n">
        <f aca="false">K13-MAX(0,K13)*K14/100</f>
        <v>814.485780201759</v>
      </c>
      <c r="L15" s="0" t="n">
        <f aca="false">L13-MAX(0,L13)*L14/100</f>
        <v>830.775495805794</v>
      </c>
    </row>
    <row r="16" customFormat="false" ht="15" hidden="false" customHeight="false" outlineLevel="0" collapsed="false">
      <c r="A16" s="0" t="s">
        <v>119</v>
      </c>
      <c r="C16" s="0" t="n">
        <f aca="false">-C12</f>
        <v>207.10556712</v>
      </c>
      <c r="D16" s="0" t="n">
        <f aca="false">-D12</f>
        <v>201.392310096</v>
      </c>
      <c r="E16" s="0" t="n">
        <f aca="false">-E12</f>
        <v>208.1053870992</v>
      </c>
      <c r="F16" s="0" t="n">
        <f aca="false">-F12</f>
        <v>212.267494841184</v>
      </c>
      <c r="G16" s="0" t="n">
        <f aca="false">-G12</f>
        <v>216.512844738008</v>
      </c>
      <c r="H16" s="0" t="n">
        <f aca="false">-H12</f>
        <v>220.843101632768</v>
      </c>
      <c r="I16" s="0" t="n">
        <f aca="false">-I12</f>
        <v>225.259963665423</v>
      </c>
      <c r="J16" s="0" t="n">
        <f aca="false">-J12</f>
        <v>229.765162938732</v>
      </c>
      <c r="K16" s="0" t="n">
        <f aca="false">-K12</f>
        <v>234.360466197506</v>
      </c>
      <c r="L16" s="0" t="n">
        <f aca="false">-L12</f>
        <v>239.047675521456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-285.6628512</v>
      </c>
      <c r="D17" s="4" t="n">
        <f aca="false">-D6*Assumptions!D18/100</f>
        <v>-234.957695112</v>
      </c>
      <c r="E17" s="4" t="n">
        <f aca="false">-E6*Assumptions!E18/100</f>
        <v>-214.8184641024</v>
      </c>
      <c r="F17" s="4" t="n">
        <f aca="false">-F6*Assumptions!F18/100</f>
        <v>-219.114833384448</v>
      </c>
      <c r="G17" s="4" t="n">
        <f aca="false">-G6*Assumptions!G18/100</f>
        <v>-209.528559423878</v>
      </c>
      <c r="H17" s="4" t="n">
        <f aca="false">-H6*Assumptions!H18/100</f>
        <v>-213.719130612356</v>
      </c>
      <c r="I17" s="4" t="n">
        <f aca="false">-I6*Assumptions!I18/100</f>
        <v>-217.993513224603</v>
      </c>
      <c r="J17" s="4" t="n">
        <f aca="false">-J6*Assumptions!J18/100</f>
        <v>-222.353383489095</v>
      </c>
      <c r="K17" s="4" t="n">
        <f aca="false">-K6*Assumptions!K18/100</f>
        <v>-226.800451158877</v>
      </c>
      <c r="L17" s="4" t="n">
        <f aca="false">-L6*Assumptions!L18/100</f>
        <v>-231.336460182055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-26.450264</v>
      </c>
      <c r="D18" s="4" t="n">
        <f aca="false">(D6-C6)*Assumptions!$B$23/100</f>
        <v>21.42471384</v>
      </c>
      <c r="E18" s="4" t="n">
        <f aca="false">(E6-D6)*Assumptions!$B$23/100</f>
        <v>-0</v>
      </c>
      <c r="F18" s="4" t="n">
        <f aca="false">(F6-E6)*Assumptions!$B$23/100</f>
        <v>-6.71307700319999</v>
      </c>
      <c r="G18" s="4" t="n">
        <f aca="false">(G6-F6)*Assumptions!$B$23/100</f>
        <v>-6.847338543264</v>
      </c>
      <c r="H18" s="4" t="n">
        <f aca="false">(H6-G6)*Assumptions!$B$23/100</f>
        <v>-6.98428531412928</v>
      </c>
      <c r="I18" s="4" t="n">
        <f aca="false">(I6-H6)*Assumptions!$B$23/100</f>
        <v>-7.12397102041186</v>
      </c>
      <c r="J18" s="4" t="n">
        <f aca="false">(J6-I6)*Assumptions!$B$23/100</f>
        <v>-7.26645044082011</v>
      </c>
      <c r="K18" s="4" t="n">
        <f aca="false">(K6-J6)*Assumptions!$B$23/100</f>
        <v>-7.41177944963652</v>
      </c>
      <c r="L18" s="4" t="n">
        <f aca="false">(L6-K6)*Assumptions!$B$23/100</f>
        <v>-7.56001503862926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793.58779979728</v>
      </c>
      <c r="D19" s="0" t="n">
        <f aca="false">D15+D16+D17+D18</f>
        <v>738.085962393619</v>
      </c>
      <c r="E19" s="0" t="n">
        <f aca="false">E15+E16+E17+E18</f>
        <v>716.526987013555</v>
      </c>
      <c r="F19" s="0" t="n">
        <f aca="false">F15+F16+F17+F18</f>
        <v>724.144449750626</v>
      </c>
      <c r="G19" s="0" t="n">
        <f aca="false">G15+G16+G17+G18</f>
        <v>752.595909373897</v>
      </c>
      <c r="H19" s="0" t="n">
        <f aca="false">H15+H16+H17+H18</f>
        <v>767.647827561376</v>
      </c>
      <c r="I19" s="0" t="n">
        <f aca="false">I15+I16+I17+I18</f>
        <v>783.000784112603</v>
      </c>
      <c r="J19" s="0" t="n">
        <f aca="false">J15+J16+J17+J18</f>
        <v>798.660799794855</v>
      </c>
      <c r="K19" s="0" t="n">
        <f aca="false">K15+K16+K17+K18</f>
        <v>814.634015790752</v>
      </c>
      <c r="L19" s="0" t="n">
        <f aca="false">L15+L16+L17+L18</f>
        <v>830.926696106567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728.062201648881</v>
      </c>
      <c r="D21" s="0" t="n">
        <f aca="false">D19*D20</f>
        <v>621.232187857604</v>
      </c>
      <c r="E21" s="0" t="n">
        <f aca="false">E19*E20</f>
        <v>553.290302389796</v>
      </c>
      <c r="F21" s="0" t="n">
        <f aca="false">F19*F20</f>
        <v>513.002184656278</v>
      </c>
      <c r="G21" s="0" t="n">
        <f aca="false">G19*G20</f>
        <v>489.135702701841</v>
      </c>
      <c r="H21" s="0" t="n">
        <f aca="false">H19*H20</f>
        <v>457.723318124659</v>
      </c>
      <c r="I21" s="0" t="n">
        <f aca="false">I19*I20</f>
        <v>428.328242648763</v>
      </c>
      <c r="J21" s="0" t="n">
        <f aca="false">J19*J20</f>
        <v>400.820924313521</v>
      </c>
      <c r="K21" s="0" t="n">
        <f aca="false">K19*K20</f>
        <v>375.080131008983</v>
      </c>
      <c r="L21" s="0" t="n">
        <f aca="false">L19*L20</f>
        <v>350.992416173544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0.32</v>
      </c>
      <c r="D23" s="4" t="n">
        <f aca="false">Assumptions!D16</f>
        <v>0.32</v>
      </c>
      <c r="E23" s="4" t="n">
        <f aca="false">Assumptions!E16</f>
        <v>0.32</v>
      </c>
      <c r="F23" s="4" t="n">
        <f aca="false">Assumptions!F16</f>
        <v>0.32</v>
      </c>
      <c r="G23" s="4" t="n">
        <f aca="false">Assumptions!G16</f>
        <v>0.32</v>
      </c>
      <c r="H23" s="4" t="n">
        <f aca="false">Assumptions!H16</f>
        <v>0.32</v>
      </c>
      <c r="I23" s="4" t="n">
        <f aca="false">Assumptions!I16</f>
        <v>0.32</v>
      </c>
      <c r="J23" s="4" t="n">
        <f aca="false">Assumptions!J16</f>
        <v>0.32</v>
      </c>
      <c r="K23" s="4" t="n">
        <f aca="false">Assumptions!K16</f>
        <v>0.32</v>
      </c>
      <c r="L23" s="4" t="n">
        <f aca="false">Assumptions!L16</f>
        <v>0.32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-22.853028096</v>
      </c>
      <c r="D24" s="0" t="n">
        <f aca="false">-D6*D23/100</f>
        <v>-21.48184641024</v>
      </c>
      <c r="E24" s="0" t="n">
        <f aca="false">-E6*E23/100</f>
        <v>-21.48184641024</v>
      </c>
      <c r="F24" s="0" t="n">
        <f aca="false">-F6*F23/100</f>
        <v>-21.9114833384448</v>
      </c>
      <c r="G24" s="0" t="n">
        <f aca="false">-G6*G23/100</f>
        <v>-22.3497130052137</v>
      </c>
      <c r="H24" s="0" t="n">
        <f aca="false">-H6*H23/100</f>
        <v>-22.796707265318</v>
      </c>
      <c r="I24" s="0" t="n">
        <f aca="false">-I6*I23/100</f>
        <v>-23.2526414106243</v>
      </c>
      <c r="J24" s="0" t="n">
        <f aca="false">-J6*J23/100</f>
        <v>-23.7176942388368</v>
      </c>
      <c r="K24" s="0" t="n">
        <f aca="false">-K6*K23/100</f>
        <v>-24.1920481236136</v>
      </c>
      <c r="L24" s="0" t="n">
        <f aca="false">-L6*L23/100</f>
        <v>-24.6758890860858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4917.66761152387</v>
      </c>
    </row>
    <row r="31" customFormat="false" ht="15" hidden="false" customHeight="false" outlineLevel="0" collapsed="false">
      <c r="A31" s="0" t="s">
        <v>128</v>
      </c>
      <c r="B31" s="0" t="n">
        <f aca="false">L19</f>
        <v>830.926696106567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11245.2079539755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13294.8271377051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11245.2079539755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4750.09736554863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9667.76497707249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11815.6279770725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14.281567215508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-0.0726255054864935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14.281567215508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6247.33775220863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9.09414693054027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11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6612.566</v>
      </c>
      <c r="C6" s="0" t="n">
        <f aca="false">B6*(1+C5/100)</f>
        <v>7339.94826</v>
      </c>
      <c r="D6" s="0" t="n">
        <f aca="false">C6*(1+D5/100)</f>
        <v>7853.7446382</v>
      </c>
      <c r="E6" s="0" t="n">
        <f aca="false">D6*(1+E5/100)</f>
        <v>8324.969316492</v>
      </c>
      <c r="F6" s="0" t="n">
        <f aca="false">E6*(1+F5/100)</f>
        <v>8741.2177823166</v>
      </c>
      <c r="G6" s="0" t="n">
        <f aca="false">F6*(1+G5/100)</f>
        <v>9134.57258252085</v>
      </c>
      <c r="H6" s="0" t="n">
        <f aca="false">G6*(1+H5/100)</f>
        <v>9499.95548582168</v>
      </c>
      <c r="I6" s="0" t="n">
        <f aca="false">H6*(1+I5/100)</f>
        <v>9832.45392782544</v>
      </c>
      <c r="J6" s="0" t="n">
        <f aca="false">I6*(1+J5/100)</f>
        <v>10127.4275456602</v>
      </c>
      <c r="K6" s="0" t="n">
        <f aca="false">J6*(1+K5/100)</f>
        <v>10431.25037203</v>
      </c>
      <c r="L6" s="0" t="n">
        <f aca="false">K6*(1+L5/100)</f>
        <v>10744.1878831909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22.8</v>
      </c>
      <c r="D7" s="4" t="n">
        <f aca="false">Assumptions!D28</f>
        <v>23</v>
      </c>
      <c r="E7" s="4" t="n">
        <f aca="false">Assumptions!E28</f>
        <v>23</v>
      </c>
      <c r="F7" s="4" t="n">
        <f aca="false">Assumptions!F28</f>
        <v>23</v>
      </c>
      <c r="G7" s="4" t="n">
        <f aca="false">Assumptions!G28</f>
        <v>23</v>
      </c>
      <c r="H7" s="4" t="n">
        <f aca="false">Assumptions!H28</f>
        <v>23</v>
      </c>
      <c r="I7" s="4" t="n">
        <f aca="false">Assumptions!I28</f>
        <v>23</v>
      </c>
      <c r="J7" s="4" t="n">
        <f aca="false">Assumptions!J28</f>
        <v>23</v>
      </c>
      <c r="K7" s="4" t="n">
        <f aca="false">Assumptions!K28</f>
        <v>23</v>
      </c>
      <c r="L7" s="4" t="n">
        <f aca="false">Assumptions!L28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1673.50820328</v>
      </c>
      <c r="D8" s="0" t="n">
        <f aca="false">D6*D7/100</f>
        <v>1806.361266786</v>
      </c>
      <c r="E8" s="0" t="n">
        <f aca="false">E6*E7/100</f>
        <v>1914.74294279316</v>
      </c>
      <c r="F8" s="0" t="n">
        <f aca="false">F6*F7/100</f>
        <v>2010.48008993282</v>
      </c>
      <c r="G8" s="0" t="n">
        <f aca="false">G6*G7/100</f>
        <v>2100.9516939798</v>
      </c>
      <c r="H8" s="0" t="n">
        <f aca="false">H6*H7/100</f>
        <v>2184.98976173899</v>
      </c>
      <c r="I8" s="0" t="n">
        <f aca="false">I6*I7/100</f>
        <v>2261.46440339985</v>
      </c>
      <c r="J8" s="0" t="n">
        <f aca="false">J6*J7/100</f>
        <v>2329.30833550185</v>
      </c>
      <c r="K8" s="0" t="n">
        <f aca="false">K6*K7/100</f>
        <v>2399.1875855669</v>
      </c>
      <c r="L8" s="0" t="n">
        <f aca="false">L6*L7/100</f>
        <v>2471.16321313391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1650.020368848</v>
      </c>
      <c r="D11" s="0" t="n">
        <f aca="false">D8+D10+D24</f>
        <v>1781.22928394376</v>
      </c>
      <c r="E11" s="0" t="n">
        <f aca="false">E8+E10+E24</f>
        <v>1888.10304098039</v>
      </c>
      <c r="F11" s="0" t="n">
        <f aca="false">F8+F10+F24</f>
        <v>1982.50819302941</v>
      </c>
      <c r="G11" s="0" t="n">
        <f aca="false">G8+G10+G24</f>
        <v>2071.72106171573</v>
      </c>
      <c r="H11" s="0" t="n">
        <f aca="false">H8+H10+H24</f>
        <v>2154.58990418436</v>
      </c>
      <c r="I11" s="0" t="n">
        <f aca="false">I8+I10+I24</f>
        <v>2230.00055083081</v>
      </c>
      <c r="J11" s="0" t="n">
        <f aca="false">J8+J10+J24</f>
        <v>2296.90056735573</v>
      </c>
      <c r="K11" s="0" t="n">
        <f aca="false">K8+K10+K24</f>
        <v>2365.80758437641</v>
      </c>
      <c r="L11" s="0" t="n">
        <f aca="false">L8+L10+L24</f>
        <v>2436.7818119077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-212.85849954</v>
      </c>
      <c r="D12" s="4" t="n">
        <f aca="false">-D6*Assumptions!D31/100</f>
        <v>-227.7585945078</v>
      </c>
      <c r="E12" s="4" t="n">
        <f aca="false">-E6*Assumptions!E31/100</f>
        <v>-249.74907949476</v>
      </c>
      <c r="F12" s="4" t="n">
        <f aca="false">-F6*Assumptions!F31/100</f>
        <v>-262.236533469498</v>
      </c>
      <c r="G12" s="4" t="n">
        <f aca="false">-G6*Assumptions!G31/100</f>
        <v>-274.037177475625</v>
      </c>
      <c r="H12" s="4" t="n">
        <f aca="false">-H6*Assumptions!H31/100</f>
        <v>-284.998664574651</v>
      </c>
      <c r="I12" s="4" t="n">
        <f aca="false">-I6*Assumptions!I31/100</f>
        <v>-294.973617834763</v>
      </c>
      <c r="J12" s="4" t="n">
        <f aca="false">-J6*Assumptions!J31/100</f>
        <v>-303.822826369806</v>
      </c>
      <c r="K12" s="4" t="n">
        <f aca="false">-K6*Assumptions!K31/100</f>
        <v>-312.9375111609</v>
      </c>
      <c r="L12" s="4" t="n">
        <f aca="false">-L6*Assumptions!L31/100</f>
        <v>-322.325636495727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1437.161869308</v>
      </c>
      <c r="D13" s="0" t="n">
        <f aca="false">D11+D12</f>
        <v>1553.47068943596</v>
      </c>
      <c r="E13" s="0" t="n">
        <f aca="false">E11+E12</f>
        <v>1638.35396148563</v>
      </c>
      <c r="F13" s="0" t="n">
        <f aca="false">F11+F12</f>
        <v>1720.27165955991</v>
      </c>
      <c r="G13" s="0" t="n">
        <f aca="false">G11+G12</f>
        <v>1797.6838842401</v>
      </c>
      <c r="H13" s="0" t="n">
        <f aca="false">H11+H12</f>
        <v>1869.59123960971</v>
      </c>
      <c r="I13" s="0" t="n">
        <f aca="false">I11+I12</f>
        <v>1935.02693299605</v>
      </c>
      <c r="J13" s="0" t="n">
        <f aca="false">J11+J12</f>
        <v>1993.07774098593</v>
      </c>
      <c r="K13" s="0" t="n">
        <f aca="false">K11+K12</f>
        <v>2052.87007321551</v>
      </c>
      <c r="L13" s="0" t="n">
        <f aca="false">L11+L12</f>
        <v>2114.45617541197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33</v>
      </c>
      <c r="D14" s="4" t="n">
        <f aca="false">Assumptions!D33</f>
        <v>33</v>
      </c>
      <c r="E14" s="4" t="n">
        <f aca="false">Assumptions!E33</f>
        <v>33</v>
      </c>
      <c r="F14" s="4" t="n">
        <f aca="false">Assumptions!F33</f>
        <v>33</v>
      </c>
      <c r="G14" s="4" t="n">
        <f aca="false">Assumptions!G33</f>
        <v>33</v>
      </c>
      <c r="H14" s="4" t="n">
        <f aca="false">Assumptions!H33</f>
        <v>33</v>
      </c>
      <c r="I14" s="4" t="n">
        <f aca="false">Assumptions!I33</f>
        <v>33</v>
      </c>
      <c r="J14" s="4" t="n">
        <f aca="false">Assumptions!J33</f>
        <v>33</v>
      </c>
      <c r="K14" s="4" t="n">
        <f aca="false">Assumptions!K33</f>
        <v>33</v>
      </c>
      <c r="L14" s="4" t="n">
        <f aca="false">Assumptions!L33</f>
        <v>33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962.89845243636</v>
      </c>
      <c r="D15" s="0" t="n">
        <f aca="false">D13-MAX(0,D13)*D14/100</f>
        <v>1040.82536192209</v>
      </c>
      <c r="E15" s="0" t="n">
        <f aca="false">E13-MAX(0,E13)*E14/100</f>
        <v>1097.69715419537</v>
      </c>
      <c r="F15" s="0" t="n">
        <f aca="false">F13-MAX(0,F13)*F14/100</f>
        <v>1152.58201190514</v>
      </c>
      <c r="G15" s="0" t="n">
        <f aca="false">G13-MAX(0,G13)*G14/100</f>
        <v>1204.44820244087</v>
      </c>
      <c r="H15" s="0" t="n">
        <f aca="false">H13-MAX(0,H13)*H14/100</f>
        <v>1252.6261305385</v>
      </c>
      <c r="I15" s="0" t="n">
        <f aca="false">I13-MAX(0,I13)*I14/100</f>
        <v>1296.46804510735</v>
      </c>
      <c r="J15" s="0" t="n">
        <f aca="false">J13-MAX(0,J13)*J14/100</f>
        <v>1335.36208646057</v>
      </c>
      <c r="K15" s="0" t="n">
        <f aca="false">K13-MAX(0,K13)*K14/100</f>
        <v>1375.42294905439</v>
      </c>
      <c r="L15" s="0" t="n">
        <f aca="false">L13-MAX(0,L13)*L14/100</f>
        <v>1416.68563752602</v>
      </c>
    </row>
    <row r="16" customFormat="false" ht="15" hidden="false" customHeight="false" outlineLevel="0" collapsed="false">
      <c r="A16" s="0" t="s">
        <v>119</v>
      </c>
      <c r="C16" s="0" t="n">
        <f aca="false">-C12</f>
        <v>212.85849954</v>
      </c>
      <c r="D16" s="0" t="n">
        <f aca="false">-D12</f>
        <v>227.7585945078</v>
      </c>
      <c r="E16" s="0" t="n">
        <f aca="false">-E12</f>
        <v>249.74907949476</v>
      </c>
      <c r="F16" s="0" t="n">
        <f aca="false">-F12</f>
        <v>262.236533469498</v>
      </c>
      <c r="G16" s="0" t="n">
        <f aca="false">-G12</f>
        <v>274.037177475625</v>
      </c>
      <c r="H16" s="0" t="n">
        <f aca="false">-H12</f>
        <v>284.998664574651</v>
      </c>
      <c r="I16" s="0" t="n">
        <f aca="false">-I12</f>
        <v>294.973617834763</v>
      </c>
      <c r="J16" s="0" t="n">
        <f aca="false">-J12</f>
        <v>303.822826369806</v>
      </c>
      <c r="K16" s="0" t="n">
        <f aca="false">-K12</f>
        <v>312.9375111609</v>
      </c>
      <c r="L16" s="0" t="n">
        <f aca="false">-L12</f>
        <v>322.325636495727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-308.27782692</v>
      </c>
      <c r="D17" s="4" t="n">
        <f aca="false">-D6*Assumptions!D32/100</f>
        <v>-314.149785528</v>
      </c>
      <c r="E17" s="4" t="n">
        <f aca="false">-E6*Assumptions!E32/100</f>
        <v>-332.99877265968</v>
      </c>
      <c r="F17" s="4" t="n">
        <f aca="false">-F6*Assumptions!F32/100</f>
        <v>-332.166275728031</v>
      </c>
      <c r="G17" s="4" t="n">
        <f aca="false">-G6*Assumptions!G32/100</f>
        <v>-347.113758135792</v>
      </c>
      <c r="H17" s="4" t="n">
        <f aca="false">-H6*Assumptions!H32/100</f>
        <v>-341.998397489581</v>
      </c>
      <c r="I17" s="4" t="n">
        <f aca="false">-I6*Assumptions!I32/100</f>
        <v>-353.968341401716</v>
      </c>
      <c r="J17" s="4" t="n">
        <f aca="false">-J6*Assumptions!J32/100</f>
        <v>-354.459964098107</v>
      </c>
      <c r="K17" s="4" t="n">
        <f aca="false">-K6*Assumptions!K32/100</f>
        <v>-365.09376302105</v>
      </c>
      <c r="L17" s="4" t="n">
        <f aca="false">-L6*Assumptions!L32/100</f>
        <v>-376.046575911682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-36.369113</v>
      </c>
      <c r="D18" s="4" t="n">
        <f aca="false">(D6-C6)*Assumptions!$B$37/100</f>
        <v>-25.68981891</v>
      </c>
      <c r="E18" s="4" t="n">
        <f aca="false">(E6-D6)*Assumptions!$B$37/100</f>
        <v>-23.5612339146</v>
      </c>
      <c r="F18" s="4" t="n">
        <f aca="false">(F6-E6)*Assumptions!$B$37/100</f>
        <v>-20.8124232912301</v>
      </c>
      <c r="G18" s="4" t="n">
        <f aca="false">(G6-F6)*Assumptions!$B$37/100</f>
        <v>-19.6677400102123</v>
      </c>
      <c r="H18" s="4" t="n">
        <f aca="false">(H6-G6)*Assumptions!$B$37/100</f>
        <v>-18.2691451650418</v>
      </c>
      <c r="I18" s="4" t="n">
        <f aca="false">(I6-H6)*Assumptions!$B$37/100</f>
        <v>-16.6249221001879</v>
      </c>
      <c r="J18" s="4" t="n">
        <f aca="false">(J6-I6)*Assumptions!$B$37/100</f>
        <v>-14.7486808917382</v>
      </c>
      <c r="K18" s="4" t="n">
        <f aca="false">(K6-J6)*Assumptions!$B$37/100</f>
        <v>-15.1911413184903</v>
      </c>
      <c r="L18" s="4" t="n">
        <f aca="false">(L6-K6)*Assumptions!$B$37/100</f>
        <v>-15.646875558045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831.11001205636</v>
      </c>
      <c r="D19" s="0" t="n">
        <f aca="false">D15+D16+D17+D18</f>
        <v>928.744351991893</v>
      </c>
      <c r="E19" s="0" t="n">
        <f aca="false">E15+E16+E17+E18</f>
        <v>990.886227115849</v>
      </c>
      <c r="F19" s="0" t="n">
        <f aca="false">F15+F16+F17+F18</f>
        <v>1061.83984635538</v>
      </c>
      <c r="G19" s="0" t="n">
        <f aca="false">G15+G16+G17+G18</f>
        <v>1111.70388177049</v>
      </c>
      <c r="H19" s="0" t="n">
        <f aca="false">H15+H16+H17+H18</f>
        <v>1177.35725245853</v>
      </c>
      <c r="I19" s="0" t="n">
        <f aca="false">I15+I16+I17+I18</f>
        <v>1220.84839944021</v>
      </c>
      <c r="J19" s="0" t="n">
        <f aca="false">J15+J16+J17+J18</f>
        <v>1269.97626784053</v>
      </c>
      <c r="K19" s="0" t="n">
        <f aca="false">K15+K16+K17+K18</f>
        <v>1308.07555587575</v>
      </c>
      <c r="L19" s="0" t="n">
        <f aca="false">L15+L16+L17+L18</f>
        <v>1347.31782255202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762.486249592991</v>
      </c>
      <c r="D21" s="0" t="n">
        <f aca="false">D19*D20</f>
        <v>781.705539930892</v>
      </c>
      <c r="E21" s="0" t="n">
        <f aca="false">E19*E20</f>
        <v>765.145975198895</v>
      </c>
      <c r="F21" s="0" t="n">
        <f aca="false">F19*F20</f>
        <v>752.234117271742</v>
      </c>
      <c r="G21" s="0" t="n">
        <f aca="false">G19*G20</f>
        <v>722.531245032346</v>
      </c>
      <c r="H21" s="0" t="n">
        <f aca="false">H19*H20</f>
        <v>702.019661705307</v>
      </c>
      <c r="I21" s="0" t="n">
        <f aca="false">I19*I20</f>
        <v>667.845882255948</v>
      </c>
      <c r="J21" s="0" t="n">
        <f aca="false">J19*J20</f>
        <v>637.358264813835</v>
      </c>
      <c r="K21" s="0" t="n">
        <f aca="false">K19*K20</f>
        <v>602.274323631422</v>
      </c>
      <c r="L21" s="0" t="n">
        <f aca="false">L19*L20</f>
        <v>569.121608569142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0.32</v>
      </c>
      <c r="D23" s="4" t="n">
        <f aca="false">Assumptions!D30</f>
        <v>0.32</v>
      </c>
      <c r="E23" s="4" t="n">
        <f aca="false">Assumptions!E30</f>
        <v>0.32</v>
      </c>
      <c r="F23" s="4" t="n">
        <f aca="false">Assumptions!F30</f>
        <v>0.32</v>
      </c>
      <c r="G23" s="4" t="n">
        <f aca="false">Assumptions!G30</f>
        <v>0.32</v>
      </c>
      <c r="H23" s="4" t="n">
        <f aca="false">Assumptions!H30</f>
        <v>0.32</v>
      </c>
      <c r="I23" s="4" t="n">
        <f aca="false">Assumptions!I30</f>
        <v>0.32</v>
      </c>
      <c r="J23" s="4" t="n">
        <f aca="false">Assumptions!J30</f>
        <v>0.32</v>
      </c>
      <c r="K23" s="4" t="n">
        <f aca="false">Assumptions!K30</f>
        <v>0.32</v>
      </c>
      <c r="L23" s="4" t="n">
        <f aca="false">Assumptions!L30</f>
        <v>0.32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-23.487834432</v>
      </c>
      <c r="D24" s="0" t="n">
        <f aca="false">-D6*D23/100</f>
        <v>-25.13198284224</v>
      </c>
      <c r="E24" s="0" t="n">
        <f aca="false">-E6*E23/100</f>
        <v>-26.6399018127744</v>
      </c>
      <c r="F24" s="0" t="n">
        <f aca="false">-F6*F23/100</f>
        <v>-27.9718969034131</v>
      </c>
      <c r="G24" s="0" t="n">
        <f aca="false">-G6*G23/100</f>
        <v>-29.2306322640667</v>
      </c>
      <c r="H24" s="0" t="n">
        <f aca="false">-H6*H23/100</f>
        <v>-30.3998575546294</v>
      </c>
      <c r="I24" s="0" t="n">
        <f aca="false">-I6*I23/100</f>
        <v>-31.4638525690414</v>
      </c>
      <c r="J24" s="0" t="n">
        <f aca="false">-J6*J23/100</f>
        <v>-32.4077681461127</v>
      </c>
      <c r="K24" s="0" t="n">
        <f aca="false">-K6*K23/100</f>
        <v>-33.380001190496</v>
      </c>
      <c r="L24" s="0" t="n">
        <f aca="false">-L6*L23/100</f>
        <v>-34.3814012262109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6962.72286800252</v>
      </c>
    </row>
    <row r="31" customFormat="false" ht="15" hidden="false" customHeight="false" outlineLevel="0" collapsed="false">
      <c r="A31" s="0" t="s">
        <v>128</v>
      </c>
      <c r="B31" s="0" t="n">
        <f aca="false">L19</f>
        <v>1347.31782255202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21246.1656633203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21557.0851608323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21246.1656633203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8974.60998128262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15937.3328492851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18085.1958492851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21.8596032837508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0.419454758685119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21.8596032837508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11048.0061449266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12.3324706485242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14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6612.566</v>
      </c>
      <c r="C6" s="0" t="n">
        <f aca="false">B6*(1+C5/100)</f>
        <v>7538.32524</v>
      </c>
      <c r="D6" s="0" t="n">
        <f aca="false">C6*(1+D5/100)</f>
        <v>8292.157764</v>
      </c>
      <c r="E6" s="0" t="n">
        <f aca="false">D6*(1+E5/100)</f>
        <v>9038.45196276</v>
      </c>
      <c r="F6" s="0" t="n">
        <f aca="false">E6*(1+F5/100)</f>
        <v>9761.5281197808</v>
      </c>
      <c r="G6" s="0" t="n">
        <f aca="false">F6*(1+G5/100)</f>
        <v>10444.8350881655</v>
      </c>
      <c r="H6" s="0" t="n">
        <f aca="false">G6*(1+H5/100)</f>
        <v>11071.5251934554</v>
      </c>
      <c r="I6" s="0" t="n">
        <f aca="false">H6*(1+I5/100)</f>
        <v>11625.1014531282</v>
      </c>
      <c r="J6" s="0" t="n">
        <f aca="false">I6*(1+J5/100)</f>
        <v>12148.2310185189</v>
      </c>
      <c r="K6" s="0" t="n">
        <f aca="false">J6*(1+K5/100)</f>
        <v>12634.1602592597</v>
      </c>
      <c r="L6" s="0" t="n">
        <f aca="false">K6*(1+L5/100)</f>
        <v>13076.3558683338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23.3</v>
      </c>
      <c r="D7" s="4" t="n">
        <f aca="false">Assumptions!D42</f>
        <v>23.8</v>
      </c>
      <c r="E7" s="4" t="n">
        <f aca="false">Assumptions!E42</f>
        <v>24.2</v>
      </c>
      <c r="F7" s="4" t="n">
        <f aca="false">Assumptions!F42</f>
        <v>24.5</v>
      </c>
      <c r="G7" s="4" t="n">
        <f aca="false">Assumptions!G42</f>
        <v>24.8</v>
      </c>
      <c r="H7" s="4" t="n">
        <f aca="false">Assumptions!H42</f>
        <v>25</v>
      </c>
      <c r="I7" s="4" t="n">
        <f aca="false">Assumptions!I42</f>
        <v>25</v>
      </c>
      <c r="J7" s="4" t="n">
        <f aca="false">Assumptions!J42</f>
        <v>25</v>
      </c>
      <c r="K7" s="4" t="n">
        <f aca="false">Assumptions!K42</f>
        <v>25</v>
      </c>
      <c r="L7" s="4" t="n">
        <f aca="false">Assumptions!L42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1756.42978092</v>
      </c>
      <c r="D8" s="0" t="n">
        <f aca="false">D6*D7/100</f>
        <v>1973.533547832</v>
      </c>
      <c r="E8" s="0" t="n">
        <f aca="false">E6*E7/100</f>
        <v>2187.30537498792</v>
      </c>
      <c r="F8" s="0" t="n">
        <f aca="false">F6*F7/100</f>
        <v>2391.5743893463</v>
      </c>
      <c r="G8" s="0" t="n">
        <f aca="false">G6*G7/100</f>
        <v>2590.31910186503</v>
      </c>
      <c r="H8" s="0" t="n">
        <f aca="false">H6*H7/100</f>
        <v>2767.88129836385</v>
      </c>
      <c r="I8" s="0" t="n">
        <f aca="false">I6*I7/100</f>
        <v>2906.27536328204</v>
      </c>
      <c r="J8" s="0" t="n">
        <f aca="false">J6*J7/100</f>
        <v>3037.05775462973</v>
      </c>
      <c r="K8" s="0" t="n">
        <f aca="false">K6*K7/100</f>
        <v>3158.54006481492</v>
      </c>
      <c r="L8" s="0" t="n">
        <f aca="false">L6*L7/100</f>
        <v>3269.08896708344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1732.307140152</v>
      </c>
      <c r="D11" s="0" t="n">
        <f aca="false">D8+D10+D24</f>
        <v>1946.9986429872</v>
      </c>
      <c r="E11" s="0" t="n">
        <f aca="false">E8+E10+E24</f>
        <v>2158.38232870709</v>
      </c>
      <c r="F11" s="0" t="n">
        <f aca="false">F8+F10+F24</f>
        <v>2360.337499363</v>
      </c>
      <c r="G11" s="0" t="n">
        <f aca="false">G8+G10+G24</f>
        <v>2556.89562958291</v>
      </c>
      <c r="H11" s="0" t="n">
        <f aca="false">H8+H10+H24</f>
        <v>2732.45241774479</v>
      </c>
      <c r="I11" s="0" t="n">
        <f aca="false">I8+I10+I24</f>
        <v>2869.07503863203</v>
      </c>
      <c r="J11" s="0" t="n">
        <f aca="false">J8+J10+J24</f>
        <v>2998.18341537047</v>
      </c>
      <c r="K11" s="0" t="n">
        <f aca="false">K8+K10+K24</f>
        <v>3118.11075198529</v>
      </c>
      <c r="L11" s="0" t="n">
        <f aca="false">L8+L10+L24</f>
        <v>3227.24462830477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-218.61143196</v>
      </c>
      <c r="D12" s="4" t="n">
        <f aca="false">-D6*Assumptions!D45/100</f>
        <v>-240.472575156</v>
      </c>
      <c r="E12" s="4" t="n">
        <f aca="false">-E6*Assumptions!E45/100</f>
        <v>-271.1535588828</v>
      </c>
      <c r="F12" s="4" t="n">
        <f aca="false">-F6*Assumptions!F45/100</f>
        <v>-292.845843593424</v>
      </c>
      <c r="G12" s="4" t="n">
        <f aca="false">-G6*Assumptions!G45/100</f>
        <v>-313.345052644964</v>
      </c>
      <c r="H12" s="4" t="n">
        <f aca="false">-H6*Assumptions!H45/100</f>
        <v>-332.145755803662</v>
      </c>
      <c r="I12" s="4" t="n">
        <f aca="false">-I6*Assumptions!I45/100</f>
        <v>-348.753043593845</v>
      </c>
      <c r="J12" s="4" t="n">
        <f aca="false">-J6*Assumptions!J45/100</f>
        <v>-364.446930555568</v>
      </c>
      <c r="K12" s="4" t="n">
        <f aca="false">-K6*Assumptions!K45/100</f>
        <v>-379.02480777779</v>
      </c>
      <c r="L12" s="4" t="n">
        <f aca="false">-L6*Assumptions!L45/100</f>
        <v>-392.290676050013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1513.695708192</v>
      </c>
      <c r="D13" s="0" t="n">
        <f aca="false">D11+D12</f>
        <v>1706.5260678312</v>
      </c>
      <c r="E13" s="0" t="n">
        <f aca="false">E11+E12</f>
        <v>1887.22876982429</v>
      </c>
      <c r="F13" s="0" t="n">
        <f aca="false">F11+F12</f>
        <v>2067.49165576957</v>
      </c>
      <c r="G13" s="0" t="n">
        <f aca="false">G11+G12</f>
        <v>2243.55057693794</v>
      </c>
      <c r="H13" s="0" t="n">
        <f aca="false">H11+H12</f>
        <v>2400.30666194113</v>
      </c>
      <c r="I13" s="0" t="n">
        <f aca="false">I11+I12</f>
        <v>2520.32199503819</v>
      </c>
      <c r="J13" s="0" t="n">
        <f aca="false">J11+J12</f>
        <v>2633.7364848149</v>
      </c>
      <c r="K13" s="0" t="n">
        <f aca="false">K11+K12</f>
        <v>2739.0859442075</v>
      </c>
      <c r="L13" s="0" t="n">
        <f aca="false">L11+L12</f>
        <v>2834.95395225476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33</v>
      </c>
      <c r="D14" s="4" t="n">
        <f aca="false">Assumptions!D47</f>
        <v>33</v>
      </c>
      <c r="E14" s="4" t="n">
        <f aca="false">Assumptions!E47</f>
        <v>33</v>
      </c>
      <c r="F14" s="4" t="n">
        <f aca="false">Assumptions!F47</f>
        <v>33</v>
      </c>
      <c r="G14" s="4" t="n">
        <f aca="false">Assumptions!G47</f>
        <v>33</v>
      </c>
      <c r="H14" s="4" t="n">
        <f aca="false">Assumptions!H47</f>
        <v>33</v>
      </c>
      <c r="I14" s="4" t="n">
        <f aca="false">Assumptions!I47</f>
        <v>33</v>
      </c>
      <c r="J14" s="4" t="n">
        <f aca="false">Assumptions!J47</f>
        <v>33</v>
      </c>
      <c r="K14" s="4" t="n">
        <f aca="false">Assumptions!K47</f>
        <v>33</v>
      </c>
      <c r="L14" s="4" t="n">
        <f aca="false">Assumptions!L47</f>
        <v>33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1014.17612448864</v>
      </c>
      <c r="D15" s="0" t="n">
        <f aca="false">D13-MAX(0,D13)*D14/100</f>
        <v>1143.3724654469</v>
      </c>
      <c r="E15" s="0" t="n">
        <f aca="false">E13-MAX(0,E13)*E14/100</f>
        <v>1264.44327578227</v>
      </c>
      <c r="F15" s="0" t="n">
        <f aca="false">F13-MAX(0,F13)*F14/100</f>
        <v>1385.21940936561</v>
      </c>
      <c r="G15" s="0" t="n">
        <f aca="false">G13-MAX(0,G13)*G14/100</f>
        <v>1503.17888654842</v>
      </c>
      <c r="H15" s="0" t="n">
        <f aca="false">H13-MAX(0,H13)*H14/100</f>
        <v>1608.20546350056</v>
      </c>
      <c r="I15" s="0" t="n">
        <f aca="false">I13-MAX(0,I13)*I14/100</f>
        <v>1688.61573667558</v>
      </c>
      <c r="J15" s="0" t="n">
        <f aca="false">J13-MAX(0,J13)*J14/100</f>
        <v>1764.60344482598</v>
      </c>
      <c r="K15" s="0" t="n">
        <f aca="false">K13-MAX(0,K13)*K14/100</f>
        <v>1835.18758261902</v>
      </c>
      <c r="L15" s="0" t="n">
        <f aca="false">L13-MAX(0,L13)*L14/100</f>
        <v>1899.41914801069</v>
      </c>
    </row>
    <row r="16" customFormat="false" ht="15" hidden="false" customHeight="false" outlineLevel="0" collapsed="false">
      <c r="A16" s="0" t="s">
        <v>119</v>
      </c>
      <c r="C16" s="0" t="n">
        <f aca="false">-C12</f>
        <v>218.61143196</v>
      </c>
      <c r="D16" s="0" t="n">
        <f aca="false">-D12</f>
        <v>240.472575156</v>
      </c>
      <c r="E16" s="0" t="n">
        <f aca="false">-E12</f>
        <v>271.1535588828</v>
      </c>
      <c r="F16" s="0" t="n">
        <f aca="false">-F12</f>
        <v>292.845843593424</v>
      </c>
      <c r="G16" s="0" t="n">
        <f aca="false">-G12</f>
        <v>313.345052644964</v>
      </c>
      <c r="H16" s="0" t="n">
        <f aca="false">-H12</f>
        <v>332.145755803662</v>
      </c>
      <c r="I16" s="0" t="n">
        <f aca="false">-I12</f>
        <v>348.753043593845</v>
      </c>
      <c r="J16" s="0" t="n">
        <f aca="false">-J12</f>
        <v>364.446930555568</v>
      </c>
      <c r="K16" s="0" t="n">
        <f aca="false">-K12</f>
        <v>379.02480777779</v>
      </c>
      <c r="L16" s="0" t="n">
        <f aca="false">-L12</f>
        <v>392.290676050013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-339.2246358</v>
      </c>
      <c r="D17" s="4" t="n">
        <f aca="false">-D6*Assumptions!D46/100</f>
        <v>-373.14709938</v>
      </c>
      <c r="E17" s="4" t="n">
        <f aca="false">-E6*Assumptions!E46/100</f>
        <v>-379.61498243592</v>
      </c>
      <c r="F17" s="4" t="n">
        <f aca="false">-F6*Assumptions!F46/100</f>
        <v>-390.461124791232</v>
      </c>
      <c r="G17" s="4" t="n">
        <f aca="false">-G6*Assumptions!G46/100</f>
        <v>-417.793403526618</v>
      </c>
      <c r="H17" s="4" t="n">
        <f aca="false">-H6*Assumptions!H46/100</f>
        <v>-420.717957351305</v>
      </c>
      <c r="I17" s="4" t="n">
        <f aca="false">-I6*Assumptions!I46/100</f>
        <v>-418.503652312614</v>
      </c>
      <c r="J17" s="4" t="n">
        <f aca="false">-J6*Assumptions!J46/100</f>
        <v>-425.188085648162</v>
      </c>
      <c r="K17" s="4" t="n">
        <f aca="false">-K6*Assumptions!K46/100</f>
        <v>-442.195609074089</v>
      </c>
      <c r="L17" s="4" t="n">
        <f aca="false">-L6*Assumptions!L46/100</f>
        <v>-457.672455391682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-46.2879620000001</v>
      </c>
      <c r="D18" s="4" t="n">
        <f aca="false">(D6-C6)*Assumptions!$B$51/100</f>
        <v>-37.6916262</v>
      </c>
      <c r="E18" s="4" t="n">
        <f aca="false">(E6-D6)*Assumptions!$B$51/100</f>
        <v>-37.314709938</v>
      </c>
      <c r="F18" s="4" t="n">
        <f aca="false">(F6-E6)*Assumptions!$B$51/100</f>
        <v>-36.1538078510401</v>
      </c>
      <c r="G18" s="4" t="n">
        <f aca="false">(G6-F6)*Assumptions!$B$51/100</f>
        <v>-34.1653484192329</v>
      </c>
      <c r="H18" s="4" t="n">
        <f aca="false">(H6-G6)*Assumptions!$B$51/100</f>
        <v>-31.3345052644964</v>
      </c>
      <c r="I18" s="4" t="n">
        <f aca="false">(I6-H6)*Assumptions!$B$51/100</f>
        <v>-27.6788129836385</v>
      </c>
      <c r="J18" s="4" t="n">
        <f aca="false">(J6-I6)*Assumptions!$B$51/100</f>
        <v>-26.1564782695383</v>
      </c>
      <c r="K18" s="4" t="n">
        <f aca="false">(K6-J6)*Assumptions!$B$51/100</f>
        <v>-24.2964620370379</v>
      </c>
      <c r="L18" s="4" t="n">
        <f aca="false">(L6-K6)*Assumptions!$B$51/100</f>
        <v>-22.1097804537044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847.27495864864</v>
      </c>
      <c r="D19" s="0" t="n">
        <f aca="false">D15+D16+D17+D18</f>
        <v>973.006315022904</v>
      </c>
      <c r="E19" s="0" t="n">
        <f aca="false">E15+E16+E17+E18</f>
        <v>1118.66714229115</v>
      </c>
      <c r="F19" s="0" t="n">
        <f aca="false">F15+F16+F17+F18</f>
        <v>1251.45032031677</v>
      </c>
      <c r="G19" s="0" t="n">
        <f aca="false">G15+G16+G17+G18</f>
        <v>1364.56518724753</v>
      </c>
      <c r="H19" s="0" t="n">
        <f aca="false">H15+H16+H17+H18</f>
        <v>1488.29875668842</v>
      </c>
      <c r="I19" s="0" t="n">
        <f aca="false">I15+I16+I17+I18</f>
        <v>1591.18631497318</v>
      </c>
      <c r="J19" s="0" t="n">
        <f aca="false">J15+J16+J17+J18</f>
        <v>1677.70581146385</v>
      </c>
      <c r="K19" s="0" t="n">
        <f aca="false">K15+K16+K17+K18</f>
        <v>1747.72031928569</v>
      </c>
      <c r="L19" s="0" t="n">
        <f aca="false">L15+L16+L17+L18</f>
        <v>1811.92758821532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777.316475824441</v>
      </c>
      <c r="D21" s="0" t="n">
        <f aca="false">D19*D20</f>
        <v>818.959948676798</v>
      </c>
      <c r="E21" s="0" t="n">
        <f aca="false">E19*E20</f>
        <v>863.816286964348</v>
      </c>
      <c r="F21" s="0" t="n">
        <f aca="false">F19*F20</f>
        <v>886.558957308013</v>
      </c>
      <c r="G21" s="0" t="n">
        <f aca="false">G19*G20</f>
        <v>886.87374384225</v>
      </c>
      <c r="H21" s="0" t="n">
        <f aca="false">H19*H20</f>
        <v>887.423921248263</v>
      </c>
      <c r="I21" s="0" t="n">
        <f aca="false">I19*I20</f>
        <v>870.433404216372</v>
      </c>
      <c r="J21" s="0" t="n">
        <f aca="false">J19*J20</f>
        <v>841.983973984746</v>
      </c>
      <c r="K21" s="0" t="n">
        <f aca="false">K19*K20</f>
        <v>804.69898582423</v>
      </c>
      <c r="L21" s="0" t="n">
        <f aca="false">L19*L20</f>
        <v>765.377794574592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0.32</v>
      </c>
      <c r="D23" s="4" t="n">
        <f aca="false">Assumptions!D44</f>
        <v>0.32</v>
      </c>
      <c r="E23" s="4" t="n">
        <f aca="false">Assumptions!E44</f>
        <v>0.32</v>
      </c>
      <c r="F23" s="4" t="n">
        <f aca="false">Assumptions!F44</f>
        <v>0.32</v>
      </c>
      <c r="G23" s="4" t="n">
        <f aca="false">Assumptions!G44</f>
        <v>0.32</v>
      </c>
      <c r="H23" s="4" t="n">
        <f aca="false">Assumptions!H44</f>
        <v>0.32</v>
      </c>
      <c r="I23" s="4" t="n">
        <f aca="false">Assumptions!I44</f>
        <v>0.32</v>
      </c>
      <c r="J23" s="4" t="n">
        <f aca="false">Assumptions!J44</f>
        <v>0.32</v>
      </c>
      <c r="K23" s="4" t="n">
        <f aca="false">Assumptions!K44</f>
        <v>0.32</v>
      </c>
      <c r="L23" s="4" t="n">
        <f aca="false">Assumptions!L44</f>
        <v>0.32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-24.122640768</v>
      </c>
      <c r="D24" s="0" t="n">
        <f aca="false">-D6*D23/100</f>
        <v>-26.5349048448</v>
      </c>
      <c r="E24" s="0" t="n">
        <f aca="false">-E6*E23/100</f>
        <v>-28.923046280832</v>
      </c>
      <c r="F24" s="0" t="n">
        <f aca="false">-F6*F23/100</f>
        <v>-31.2368899832986</v>
      </c>
      <c r="G24" s="0" t="n">
        <f aca="false">-G6*G23/100</f>
        <v>-33.4234722821295</v>
      </c>
      <c r="H24" s="0" t="n">
        <f aca="false">-H6*H23/100</f>
        <v>-35.4288806190572</v>
      </c>
      <c r="I24" s="0" t="n">
        <f aca="false">-I6*I23/100</f>
        <v>-37.2003246500101</v>
      </c>
      <c r="J24" s="0" t="n">
        <f aca="false">-J6*J23/100</f>
        <v>-38.8743392592606</v>
      </c>
      <c r="K24" s="0" t="n">
        <f aca="false">-K6*K23/100</f>
        <v>-40.429312829631</v>
      </c>
      <c r="L24" s="0" t="n">
        <f aca="false">-L6*L23/100</f>
        <v>-41.8443387786681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8403.44349246405</v>
      </c>
    </row>
    <row r="31" customFormat="false" ht="15" hidden="false" customHeight="false" outlineLevel="0" collapsed="false">
      <c r="A31" s="0" t="s">
        <v>128</v>
      </c>
      <c r="B31" s="0" t="n">
        <f aca="false">L19</f>
        <v>1811.92758821532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31104.7569310296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28990.8414114451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28990.8414114451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12246.0447131935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20649.4882056575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22797.3512056575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27.5551925137548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0.789298215178885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27.5551925137548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15552.3784655148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14.9019775655459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14.281567215508</v>
      </c>
      <c r="C4" s="0" t="n">
        <f aca="false">B4/Assumptions!$B$2-1</f>
        <v>-0.0726255054864935</v>
      </c>
      <c r="D4" s="4" t="n">
        <f aca="false">Assumptions!$B$24</f>
        <v>0.3</v>
      </c>
      <c r="E4" s="4" t="n">
        <f aca="false">DCF_Bear!$B$43</f>
        <v>14.281567215508</v>
      </c>
      <c r="F4" s="4" t="n">
        <f aca="false">DCF_Bear!$B$47</f>
        <v>9.09414693054027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21.8596032837508</v>
      </c>
      <c r="C5" s="0" t="n">
        <f aca="false">B5/Assumptions!$B$2-1</f>
        <v>0.419454758685119</v>
      </c>
      <c r="D5" s="4" t="n">
        <f aca="false">Assumptions!$B$38</f>
        <v>0.5</v>
      </c>
      <c r="E5" s="4" t="n">
        <f aca="false">DCF_Base!$B$43</f>
        <v>21.8596032837508</v>
      </c>
      <c r="F5" s="4" t="n">
        <f aca="false">DCF_Base!$B$47</f>
        <v>12.3324706485242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27.5551925137548</v>
      </c>
      <c r="C6" s="0" t="n">
        <f aca="false">B6/Assumptions!$B$2-1</f>
        <v>0.789298215178885</v>
      </c>
      <c r="D6" s="4" t="n">
        <f aca="false">Assumptions!$B$52</f>
        <v>0.2</v>
      </c>
      <c r="E6" s="4" t="n">
        <f aca="false">DCF_Bull!$B$43</f>
        <v>27.5551925137548</v>
      </c>
      <c r="F6" s="4" t="n">
        <f aca="false">DCF_Bull!$B$47</f>
        <v>14.9019775655459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20.7253103092788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20.7253103092788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0.256947193060585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11.8748749165334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21.8596032837508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19.2036621172369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17.1762974883119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15.5788049428121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12.3324706485242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25.1243715718874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25.1243715718874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25.1243715718874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25.1243715718874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25.1243715718874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23.2086041816069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23.4987245442439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23.4987245442439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23.4987245442439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23.4987245442439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20.3215335967034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21.0356373799754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21.8596032837508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22.0183490083314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22.0183490083314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18.1202972217262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18.6281245164968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19.2036621172369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19.8614193752255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20.6203700575201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16.387909907464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16.7602040428644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17.1762974883119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17.6444026144404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18.174921757386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2026-10-16T14:10:27Z</dcterms:created>
  <dc:creator>openpyxl</dc:creator>
  <dc:description/>
  <dc:language>en-NZ</dc:language>
  <cp:lastModifiedBy/>
  <dcterms:modified xsi:type="dcterms:W3CDTF">2026-10-16T14:10:27Z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