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<sst xmlns="http://schemas.openxmlformats.org/spreadsheetml/2006/main" count="390" uniqueCount="175">
  <si>
    <t xml:space="preserve">Ticker</t>
  </si>
  <si>
    <t xml:space="preserve">ECL</t>
  </si>
  <si>
    <t xml:space="preserve">Company</t>
  </si>
  <si>
    <t xml:space="preserve">Ecolab Inc.</t>
  </si>
  <si>
    <t xml:space="preserve">Valuation date</t>
  </si>
  <si>
    <t xml:space="preserve">2026-09-28</t>
  </si>
  <si>
    <t xml:space="preserve">Current price</t>
  </si>
  <si>
    <t xml:space="preserve">Price as of</t>
  </si>
  <si>
    <t xml:space="preserve">2026-09-25T20:00:03Z regular close (Yahoo Finance chart API)</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</si>
  <si>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</si>
  <si>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</si>
  <si>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</si>
  <si>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</si>
  <si>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</si>
  <si>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</si>
  <si>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</si>
  <si>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</si>
  <si>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</si>
  <si>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</si>
  <si>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</si>
  <si>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</si>
  <si>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2026-09-28T07:20:49Z</t>
  </si>
  <si>
    <t xml:space="preserve">Drivers file</t>
  </si>
  <si>
    <t xml:space="preserve">ECL_Drivers.json</t>
  </si>
  <si>
    <t xml:space="preserve">Convention</t>
  </si>
  <si>
    <t xml:space="preserve">Percents stored as percents; formulas divide by 100. Blue = input, green = link, black = formula.</t>
  </si>
  <si>
    <t xml:space="preserve">Methodology</t>
  </si>
  <si>
    <t xml:space="preserve">summary: Ecolab is a high-quality, defensive compounder with a recurring razor/razor-blade model, 34 years of dividend growth and demonstrated pricing power, and the market prices it that way at ~34x FY2026 adjusted EPS and ~21x EV/EBITDA. This DCF values the owner cash flows at an 8% USD WACC with SBC fully expensed, the count held flat, terminal value capped at 20x owner FCF, and the CoolIT purchase price deducted in full while its revenue is credited only as it is earned. The required-return table is the honest reading: the current price implies a required return well below the 8% WACC, i.e. the market is paying for either a lower discount rate or a higher exit multiple than this model grants. That is not a claim that the stock will fall; it is a statement that at this price the investor is accepting a bond-like return from a business whose quality is not in question.
key_risks_to_valuation: CoolIT integration and AI data-centre capex durability: the $4.75bn consideration is deducted in full while only ~$550m of revenue is credited; a 25-30% compounder would lift the base materially, a stall would leave goodwill at risk; Surcharge roll-off: 10-14% energy and 5% trade surcharges support FY2026 margins; if they unwind faster than input costs the 20% margin target slips further; Terminal-value dominance: ~60-65% of enterprise value sits in the terminal, bound by the 20x cap; each 0.5pp of WACC moves value roughly 8-10%; Leverage: pro-forma net debt ~$12.8bn (~3x EBITDA before CoolIT contribution) raises refinancing and rate sensitivity; the same WACC is used across scenarios so this risk is carried in the bear weight; FX: roughly half of sales are non-USD; the H1 2026 tailwind (~3-5pp reported vs organic) can reverse; SBC understated: equity-award tax withholding is not tagged in XBRL, so the SBC charge (0.85% of revenue) is modestly low</t>
  </si>
  <si>
    <t xml:space="preserve">Data sources</t>
  </si>
  <si>
    <t xml:space="preserve">price: Yahoo Finance chart API regularMarketPrice at inputs.price_as_of; 52-week range 243.15-309.27
financials: SEC XBRL companyfacts (CIK 0000031462) via ECL_Metrics.csv and state/xbrl_cache: FY2025 10-K (revenue, operating income, D&amp;A, SBC, cash taxes, OCF, capex, interest paid) and Q2 2026 10-Q (cash, debt, diluted shares, NCI, debt issuance)
qualitative: ECL_Analysis.json 2026-09-28 (CoolIT agreement March 2026, surcharges April/May 2026, raised FY2026 guidance at Q2 2026 results)</t>
  </si>
  <si>
    <t xml:space="preserve">Scenario narrative: bear</t>
  </si>
  <si>
    <t xml:space="preserve">AI data-centre capex slows after 2026 and CoolIT stalls at roughly its acquired revenue, with the $4.75bn purchase (funded entirely with new debt on a balance sheet already at ~2x net debt/EBITDA) earning well below its cost; falling energy prices unwind the surcharges before input costs fall; competitors cap pricing in the core; organic growth reverts to the ~3% of 2015-19 and margin progression stops at ~18% reported. Value is protected by the recurring installed base, not by growth, so terminal growth is 2.5% and the cap 18x.</t>
  </si>
  <si>
    <t xml:space="preserve">Scenario narrative: base</t>
  </si>
  <si>
    <t xml:space="preserve">Ecolab's axes are (1) whether the 5-7% organic algorithm holds as surcharges lap, (2) whether the '20% operating margin' target is delivered, and (3) whether the $4.75bn CoolIT bet on AI data-centre liquid cooling earns its cost of capital. Base: FY2026 closes at +10% reported with H2 organic 6-7% and ~19% adjusted margin as guided; CoolIT annualises in FY2027 and is margin-dilutive that year; organic growth fades from 6% to 4% over the decade; reported operating margin reaches ~20% by FY2031 (four years later than management's target); capex settles at 6% of revenue, equal to D&amp;A; working capital absorbs 15c per dollar of growth. Terminal value is bound by the 20x owner-FCF cap (Gordon at 8.0%/3.0% would be 20.6x).</t>
  </si>
  <si>
    <t xml:space="preserve">Scenario narrative: bull</t>
  </si>
  <si>
    <t xml:space="preserve">CoolIT proves to be the growth engine management describes, compounding 25-30% for five years on hyperscaler liquid-cooling demand and lifting total-company organic growth toward 8%; Life Sciences, Pest Elimination and Digital keep growing double digits; surcharge pricing is retained after energy costs normalise, so gross margin expands beyond 44.4%; operating margin hits 20% in FY2028 and ~22% by FY2032. Growth runs 10.5/9.5/8.0% then fades to 4.5%, EBITDA margin reaches 29%.</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</si>
  <si>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</si>
  <si>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</si>
  <si>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</si>
  <si>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</si>
  <si>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</si>
  <si>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</si>
  <si>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</si>
  <si>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</si>
  <si>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</si>
  <si>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</si>
  <si>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</si>
  <si>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</si>
  <si>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</si>
  <si>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</si>
  <si>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</si>
  <si>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</si>
  <si>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</si>
  <si>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</si>
  <si>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</si>
  <si>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</si>
  <si>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</si>
  <si>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</si>
  <si>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</si>
  <si>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</si>
  <si>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</si>
  <si>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</si>
  <si>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</si>
  <si>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</si>
  <si>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</si>
  <si>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</si>
  <si>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</si>
  <si>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</si>
  <si>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</si>
  <si>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</si>
  <si>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</si>
  <si>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</si>
  <si>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</si>
  <si>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</si>
  <si>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</si>
  <si>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</si>
  <si>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</si>
  <si>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</si>
  <si>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</si>
  <si>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</si>
  <si>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</si>
  <si>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</si>
  <si>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</si>
  <si>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</si>
  <si>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</si>
  <si>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</si>
  <si>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</si>
  <si>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</si>
  <si>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</si>
  <si>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</si>
  <si>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</si>
  <si>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</si>
  <si>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</si>
  <si>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</si>
  <si>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</si>
  <si>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</si>
  <si>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</si>
  <si>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</si>
  <si>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</si>
  <si>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</si>
  <si>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</si>
  <si>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</si>
  <si>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</si>
  <si>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</si>
  <si>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</si>
  <si>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</si>
  <si>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</si>
  <si>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</si>
  <si>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</si>
  <si>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</si>
  <si>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</si>
  <si>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</si>
  <si>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</si>
  <si>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</si>
  <si>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</si>
  <si>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</si>
  <si>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</si>
  <si>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</si>
  <si>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</si>
  <si>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</si>
  <si>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ECL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</si>
  <si>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</si>
  <si>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</si>
  <si>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</si>
  <si>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</si>
  <si>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</si>
  <si>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</si>
  <si>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</si>
  <si>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</si>
  <si>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</si>
  <si>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</si>
  <si>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</si>
  <si>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</si>
  <si>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</si>
  <si>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</si>
  <si>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</si>
  <si>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</si>
  <si>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</si>
  <si>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</si>
  <si>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</si>
  <si>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</si>
  <si>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</si>
  <si>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</si>
  <si>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</si>
  <si>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</si>
  <si>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</si>
  <si>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</si>
  <si>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</si>
  <si>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</si>
  <si>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</si>
  <si>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</si>
  <si>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ECL owner-FCF component DCF: base case (millions, USD)</t>
  </si>
  <si>
    <t xml:space="preserve">ECL owner-FCF component DCF: bull case (millions, USD)</t>
  </si>
  <si>
    <t xml:space="preserve">ECL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</si>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</sst>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279.49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1686.6</v>
      </c>
      <c r="S2" s="0" t="n">
        <v>484</v>
      </c>
      <c r="AA2" s="0" t="s">
        <v>17</v>
      </c>
      <c r="AB2" s="0" t="s">
        <v>14</v>
      </c>
    </row>
    <row r="3" customFormat="false" ht="15" hidden="false" customHeight="false" outlineLevel="0" collapsed="false">
      <c r="A3" s="0" t="s">
        <v>64</v>
      </c>
      <c r="B3" s="0" t="n">
        <v>5469.6</v>
      </c>
      <c r="C3" s="0" t="n">
        <v>2691.7</v>
      </c>
      <c r="F3" s="0" t="n">
        <v>669</v>
      </c>
      <c r="G3" s="0" t="n">
        <v>12.2312417727073</v>
      </c>
      <c r="H3" s="0" t="n">
        <v>960.9</v>
      </c>
      <c r="I3" s="0" t="n">
        <v>428.9</v>
      </c>
      <c r="J3" s="0" t="n">
        <v>7.84152406026035</v>
      </c>
      <c r="K3" s="0" t="n">
        <v>1.73</v>
      </c>
      <c r="L3" s="0" t="n">
        <v>797.6</v>
      </c>
      <c r="M3" s="0" t="n">
        <v>306.5</v>
      </c>
      <c r="N3" s="0" t="n">
        <v>491.1</v>
      </c>
      <c r="O3" s="0" t="n">
        <v>1942.9</v>
      </c>
      <c r="S3" s="0" t="n">
        <v>137.4</v>
      </c>
      <c r="T3" s="0" t="n">
        <v>251.8</v>
      </c>
      <c r="U3" s="0" t="n">
        <v>37.9</v>
      </c>
      <c r="V3" s="0" t="n">
        <v>0.475</v>
      </c>
      <c r="AA3" s="0" t="s">
        <v>17</v>
      </c>
      <c r="AB3" s="0" t="s">
        <v>14</v>
      </c>
    </row>
    <row r="4" customFormat="false" ht="15" hidden="false" customHeight="false" outlineLevel="0" collapsed="false">
      <c r="A4" s="0" t="s">
        <v>65</v>
      </c>
      <c r="B4" s="0" t="n">
        <v>6137.5</v>
      </c>
      <c r="C4" s="0" t="n">
        <v>3141.6</v>
      </c>
      <c r="F4" s="0" t="n">
        <v>712.8</v>
      </c>
      <c r="G4" s="0" t="n">
        <v>11.613849287169</v>
      </c>
      <c r="H4" s="0" t="n">
        <v>1047.5</v>
      </c>
      <c r="I4" s="0" t="n">
        <v>448.4</v>
      </c>
      <c r="J4" s="0" t="n">
        <v>7.30590631364562</v>
      </c>
      <c r="K4" s="0" t="n">
        <v>1.83</v>
      </c>
      <c r="L4" s="0" t="n">
        <v>753.2</v>
      </c>
      <c r="M4" s="0" t="n">
        <v>394.5</v>
      </c>
      <c r="N4" s="0" t="n">
        <v>358.7</v>
      </c>
      <c r="O4" s="0" t="n">
        <v>1579</v>
      </c>
      <c r="P4" s="0" t="n">
        <v>4756.9</v>
      </c>
      <c r="R4" s="0" t="n">
        <v>1138.2</v>
      </c>
      <c r="S4" s="0" t="n">
        <v>66.7</v>
      </c>
      <c r="T4" s="0" t="n">
        <v>249.3</v>
      </c>
      <c r="U4" s="0" t="n">
        <v>34</v>
      </c>
      <c r="V4" s="0" t="n">
        <v>0.53</v>
      </c>
      <c r="AA4" s="0" t="s">
        <v>17</v>
      </c>
      <c r="AB4" s="0" t="s">
        <v>14</v>
      </c>
    </row>
    <row r="5" customFormat="false" ht="15" hidden="false" customHeight="false" outlineLevel="0" collapsed="false">
      <c r="A5" s="0" t="s">
        <v>66</v>
      </c>
      <c r="B5" s="0" t="n">
        <v>5900.6</v>
      </c>
      <c r="C5" s="0" t="n">
        <v>2978</v>
      </c>
      <c r="F5" s="0" t="n">
        <v>681.3</v>
      </c>
      <c r="G5" s="0" t="n">
        <v>11.5462834288039</v>
      </c>
      <c r="H5" s="0" t="n">
        <v>1015.6</v>
      </c>
      <c r="I5" s="0" t="n">
        <v>418.7</v>
      </c>
      <c r="J5" s="0" t="n">
        <v>7.0958885537064</v>
      </c>
      <c r="K5" s="0" t="n">
        <v>1.76</v>
      </c>
      <c r="L5" s="0" t="n">
        <v>695</v>
      </c>
      <c r="M5" s="0" t="n">
        <v>297.3</v>
      </c>
      <c r="N5" s="0" t="n">
        <v>397.7</v>
      </c>
      <c r="O5" s="0" t="n">
        <v>2009.6</v>
      </c>
      <c r="P5" s="0" t="n">
        <v>5020.9</v>
      </c>
      <c r="R5" s="0" t="n">
        <v>975.2</v>
      </c>
      <c r="S5" s="0" t="n">
        <v>73.6</v>
      </c>
      <c r="T5" s="0" t="n">
        <v>239.9</v>
      </c>
      <c r="U5" s="0" t="n">
        <v>37.3</v>
      </c>
      <c r="V5" s="0" t="n">
        <v>0.575</v>
      </c>
      <c r="AA5" s="0" t="s">
        <v>17</v>
      </c>
      <c r="AB5" s="0" t="s">
        <v>14</v>
      </c>
    </row>
    <row r="6" customFormat="false" ht="15" hidden="false" customHeight="false" outlineLevel="0" collapsed="false">
      <c r="A6" s="0" t="s">
        <v>67</v>
      </c>
      <c r="B6" s="0" t="n">
        <v>6089.7</v>
      </c>
      <c r="C6" s="0" t="n">
        <v>3013.8</v>
      </c>
      <c r="F6" s="0" t="n">
        <v>806.8</v>
      </c>
      <c r="G6" s="0" t="n">
        <v>13.2486000952428</v>
      </c>
      <c r="H6" s="0" t="n">
        <v>1154.7</v>
      </c>
      <c r="I6" s="0" t="n">
        <v>531.1</v>
      </c>
      <c r="J6" s="0" t="n">
        <v>8.72128347866069</v>
      </c>
      <c r="K6" s="0" t="n">
        <v>2.27</v>
      </c>
      <c r="L6" s="0" t="n">
        <v>950.4</v>
      </c>
      <c r="M6" s="0" t="n">
        <v>297.7</v>
      </c>
      <c r="N6" s="0" t="n">
        <v>652.7</v>
      </c>
      <c r="O6" s="0" t="n">
        <v>2133</v>
      </c>
      <c r="P6" s="0" t="n">
        <v>4872.2</v>
      </c>
      <c r="R6" s="0" t="n">
        <v>1034.8</v>
      </c>
      <c r="S6" s="0" t="n">
        <v>242.3</v>
      </c>
      <c r="T6" s="0" t="n">
        <v>237.6</v>
      </c>
      <c r="U6" s="0" t="n">
        <v>29.2</v>
      </c>
      <c r="V6" s="0" t="n">
        <v>0.64</v>
      </c>
      <c r="AA6" s="0" t="s">
        <v>17</v>
      </c>
      <c r="AB6" s="0" t="s">
        <v>14</v>
      </c>
    </row>
    <row r="7" customFormat="false" ht="15" hidden="false" customHeight="false" outlineLevel="0" collapsed="false">
      <c r="A7" s="0" t="s">
        <v>68</v>
      </c>
      <c r="B7" s="0" t="n">
        <v>6798.5</v>
      </c>
      <c r="C7" s="0" t="n">
        <v>3475.6</v>
      </c>
      <c r="F7" s="0" t="n">
        <v>753.8</v>
      </c>
      <c r="G7" s="0" t="n">
        <v>11.0877399426344</v>
      </c>
      <c r="H7" s="0" t="n">
        <v>1149.5</v>
      </c>
      <c r="I7" s="0" t="n">
        <v>463.3</v>
      </c>
      <c r="J7" s="0" t="n">
        <v>6.81473854526734</v>
      </c>
      <c r="K7" s="0" t="n">
        <v>1.95</v>
      </c>
      <c r="M7" s="0" t="n">
        <v>366</v>
      </c>
      <c r="O7" s="0" t="n">
        <v>5741.1</v>
      </c>
      <c r="P7" s="0" t="n">
        <v>18184.7</v>
      </c>
      <c r="Q7" s="0" t="n">
        <v>12443.6</v>
      </c>
      <c r="R7" s="0" t="n">
        <v>7636.2</v>
      </c>
      <c r="S7" s="0" t="n">
        <v>1843.6</v>
      </c>
      <c r="T7" s="0" t="n">
        <v>292</v>
      </c>
      <c r="U7" s="0" t="n">
        <v>40</v>
      </c>
      <c r="V7" s="0" t="n">
        <v>0.725</v>
      </c>
      <c r="AA7" s="0" t="s">
        <v>17</v>
      </c>
      <c r="AB7" s="0" t="s">
        <v>14</v>
      </c>
    </row>
    <row r="8" customFormat="false" ht="15" hidden="false" customHeight="false" outlineLevel="0" collapsed="false">
      <c r="A8" s="0" t="s">
        <v>69</v>
      </c>
      <c r="B8" s="0" t="n">
        <v>11838.7</v>
      </c>
      <c r="C8" s="0" t="n">
        <v>6385.4</v>
      </c>
      <c r="F8" s="0" t="n">
        <v>1289.3</v>
      </c>
      <c r="G8" s="0" t="n">
        <v>10.8905538614882</v>
      </c>
      <c r="H8" s="0" t="n">
        <v>2003.8</v>
      </c>
      <c r="I8" s="0" t="n">
        <v>701.3</v>
      </c>
      <c r="J8" s="0" t="n">
        <v>5.92379230827709</v>
      </c>
      <c r="K8" s="0" t="n">
        <v>2.41</v>
      </c>
      <c r="M8" s="0" t="n">
        <v>607.5</v>
      </c>
      <c r="O8" s="0" t="n">
        <v>6160.1</v>
      </c>
      <c r="P8" s="0" t="n">
        <v>17572.3</v>
      </c>
      <c r="Q8" s="0" t="n">
        <v>11412.2</v>
      </c>
      <c r="R8" s="0" t="n">
        <v>6541.9</v>
      </c>
      <c r="S8" s="0" t="n">
        <v>1157.8</v>
      </c>
      <c r="T8" s="0" t="n">
        <v>298.9</v>
      </c>
      <c r="U8" s="0" t="n">
        <v>66</v>
      </c>
      <c r="V8" s="0" t="n">
        <v>0.83</v>
      </c>
      <c r="AA8" s="0" t="s">
        <v>17</v>
      </c>
      <c r="AB8" s="0" t="s">
        <v>14</v>
      </c>
    </row>
    <row r="9" customFormat="false" ht="15" hidden="false" customHeight="false" outlineLevel="0" collapsed="false">
      <c r="A9" s="0" t="s">
        <v>70</v>
      </c>
      <c r="B9" s="0" t="n">
        <v>13253.4</v>
      </c>
      <c r="C9" s="0" t="n">
        <v>7161.2</v>
      </c>
      <c r="F9" s="0" t="n">
        <v>1560.6</v>
      </c>
      <c r="G9" s="0" t="n">
        <v>11.7750916745892</v>
      </c>
      <c r="I9" s="0" t="n">
        <v>973.6</v>
      </c>
      <c r="J9" s="0" t="n">
        <v>7.34603950684353</v>
      </c>
      <c r="K9" s="0" t="n">
        <v>3.23</v>
      </c>
      <c r="M9" s="0" t="n">
        <v>625.1</v>
      </c>
      <c r="O9" s="0" t="n">
        <v>7409.4</v>
      </c>
      <c r="P9" s="0" t="n">
        <v>19636.5</v>
      </c>
      <c r="Q9" s="0" t="n">
        <v>12227.1</v>
      </c>
      <c r="R9" s="0" t="n">
        <v>6904.5</v>
      </c>
      <c r="S9" s="0" t="n">
        <v>339.2</v>
      </c>
      <c r="T9" s="0" t="n">
        <v>305.9</v>
      </c>
      <c r="U9" s="0" t="n">
        <v>70</v>
      </c>
      <c r="V9" s="0" t="n">
        <v>0.965</v>
      </c>
      <c r="AA9" s="0" t="s">
        <v>17</v>
      </c>
      <c r="AB9" s="0" t="s">
        <v>14</v>
      </c>
    </row>
    <row r="10" customFormat="false" ht="15" hidden="false" customHeight="false" outlineLevel="0" collapsed="false">
      <c r="A10" s="0" t="s">
        <v>71</v>
      </c>
      <c r="B10" s="0" t="n">
        <v>14280.5</v>
      </c>
      <c r="C10" s="0" t="n">
        <v>7679.1</v>
      </c>
      <c r="F10" s="0" t="n">
        <v>1955</v>
      </c>
      <c r="G10" s="0" t="n">
        <v>13.6899968488498</v>
      </c>
      <c r="I10" s="0" t="n">
        <v>1222.2</v>
      </c>
      <c r="J10" s="0" t="n">
        <v>8.55852386120934</v>
      </c>
      <c r="K10" s="0" t="n">
        <v>4.01</v>
      </c>
      <c r="M10" s="0" t="n">
        <v>748.7</v>
      </c>
      <c r="O10" s="0" t="n">
        <v>7382.1</v>
      </c>
      <c r="P10" s="0" t="n">
        <v>19427.4</v>
      </c>
      <c r="Q10" s="0" t="n">
        <v>12045.3</v>
      </c>
      <c r="R10" s="0" t="n">
        <v>6548.2</v>
      </c>
      <c r="S10" s="0" t="n">
        <v>209.6</v>
      </c>
      <c r="T10" s="0" t="n">
        <v>305.9</v>
      </c>
      <c r="U10" s="0" t="n">
        <v>71.1</v>
      </c>
      <c r="V10" s="0" t="n">
        <v>1.155</v>
      </c>
      <c r="AA10" s="0" t="s">
        <v>17</v>
      </c>
      <c r="AB10" s="0" t="s">
        <v>14</v>
      </c>
    </row>
    <row r="11" customFormat="false" ht="15" hidden="false" customHeight="false" outlineLevel="0" collapsed="false">
      <c r="A11" s="0" t="s">
        <v>72</v>
      </c>
      <c r="B11" s="0" t="n">
        <v>13545.1</v>
      </c>
      <c r="C11" s="0" t="n">
        <v>7223.5</v>
      </c>
      <c r="F11" s="0" t="n">
        <v>1561.3</v>
      </c>
      <c r="G11" s="0" t="n">
        <v>11.5266775439089</v>
      </c>
      <c r="I11" s="0" t="n">
        <v>1017.2</v>
      </c>
      <c r="J11" s="0" t="n">
        <v>7.50972676466028</v>
      </c>
      <c r="K11" s="0" t="n">
        <v>3.38</v>
      </c>
      <c r="L11" s="0" t="n">
        <v>1999.8</v>
      </c>
      <c r="M11" s="0" t="n">
        <v>771</v>
      </c>
      <c r="N11" s="0" t="n">
        <v>1228.8</v>
      </c>
      <c r="O11" s="0" t="n">
        <v>6980.4</v>
      </c>
      <c r="P11" s="0" t="n">
        <v>18641.7</v>
      </c>
      <c r="Q11" s="0" t="n">
        <v>11661.3</v>
      </c>
      <c r="R11" s="0" t="n">
        <v>6465.5</v>
      </c>
      <c r="S11" s="0" t="n">
        <v>92.8</v>
      </c>
      <c r="T11" s="0" t="n">
        <v>301.4</v>
      </c>
      <c r="U11" s="0" t="n">
        <v>78.2</v>
      </c>
      <c r="V11" s="0" t="n">
        <v>1.34</v>
      </c>
      <c r="AA11" s="0" t="s">
        <v>17</v>
      </c>
      <c r="AB11" s="0" t="s">
        <v>14</v>
      </c>
    </row>
    <row r="12" customFormat="false" ht="15" hidden="false" customHeight="false" outlineLevel="0" collapsed="false">
      <c r="A12" s="0" t="s">
        <v>73</v>
      </c>
      <c r="B12" s="0" t="n">
        <v>13151.8</v>
      </c>
      <c r="C12" s="0" t="n">
        <v>7533.9</v>
      </c>
      <c r="F12" s="0" t="n">
        <v>1870.2</v>
      </c>
      <c r="G12" s="0" t="n">
        <v>14.2201067534482</v>
      </c>
      <c r="I12" s="0" t="n">
        <v>1246.5</v>
      </c>
      <c r="J12" s="0" t="n">
        <v>9.47779011238005</v>
      </c>
      <c r="K12" s="0" t="n">
        <v>4.2</v>
      </c>
      <c r="L12" s="0" t="n">
        <v>1939.7</v>
      </c>
      <c r="M12" s="0" t="n">
        <v>756.8</v>
      </c>
      <c r="N12" s="0" t="n">
        <v>1182.9</v>
      </c>
      <c r="O12" s="0" t="n">
        <v>6941</v>
      </c>
      <c r="P12" s="0" t="n">
        <v>18330.2</v>
      </c>
      <c r="Q12" s="0" t="n">
        <v>11359.3</v>
      </c>
      <c r="R12" s="0" t="n">
        <v>6687</v>
      </c>
      <c r="S12" s="0" t="n">
        <v>327.4</v>
      </c>
      <c r="T12" s="0" t="n">
        <v>296.7</v>
      </c>
      <c r="U12" s="0" t="n">
        <v>86</v>
      </c>
      <c r="V12" s="0" t="n">
        <v>1.42</v>
      </c>
      <c r="AA12" s="0" t="s">
        <v>17</v>
      </c>
      <c r="AB12" s="0" t="s">
        <v>14</v>
      </c>
    </row>
    <row r="13" customFormat="false" ht="15" hidden="false" customHeight="false" outlineLevel="0" collapsed="false">
      <c r="A13" s="0" t="s">
        <v>74</v>
      </c>
      <c r="B13" s="0" t="n">
        <v>13835.9</v>
      </c>
      <c r="C13" s="0" t="n">
        <v>8064.2</v>
      </c>
      <c r="F13" s="0" t="n">
        <v>1950.1</v>
      </c>
      <c r="G13" s="0" t="n">
        <v>14.0944933108797</v>
      </c>
      <c r="I13" s="0" t="n">
        <v>1518.6</v>
      </c>
      <c r="J13" s="0" t="n">
        <v>10.9757948525213</v>
      </c>
      <c r="K13" s="0" t="n">
        <v>5.2</v>
      </c>
      <c r="L13" s="0" t="n">
        <v>2091.3</v>
      </c>
      <c r="M13" s="0" t="n">
        <v>868.6</v>
      </c>
      <c r="N13" s="0" t="n">
        <v>1222.7</v>
      </c>
      <c r="O13" s="0" t="n">
        <v>7653.8</v>
      </c>
      <c r="P13" s="0" t="n">
        <v>19963.5</v>
      </c>
      <c r="Q13" s="0" t="n">
        <v>12309.7</v>
      </c>
      <c r="R13" s="0" t="n">
        <v>7322.7</v>
      </c>
      <c r="S13" s="0" t="n">
        <v>211.4</v>
      </c>
      <c r="T13" s="0" t="n">
        <v>294</v>
      </c>
      <c r="U13" s="0" t="n">
        <v>90.5</v>
      </c>
      <c r="V13" s="0" t="n">
        <v>1.52</v>
      </c>
      <c r="AA13" s="0" t="s">
        <v>17</v>
      </c>
      <c r="AB13" s="0" t="s">
        <v>14</v>
      </c>
    </row>
    <row r="14" customFormat="false" ht="15" hidden="false" customHeight="false" outlineLevel="0" collapsed="false">
      <c r="A14" s="0" t="s">
        <v>75</v>
      </c>
      <c r="B14" s="0" t="n">
        <v>12222.1</v>
      </c>
      <c r="C14" s="0" t="n">
        <v>6875.3</v>
      </c>
      <c r="F14" s="0" t="n">
        <v>1728.3</v>
      </c>
      <c r="G14" s="0" t="n">
        <v>14.1407777714141</v>
      </c>
      <c r="I14" s="0" t="n">
        <v>1440.3</v>
      </c>
      <c r="J14" s="0" t="n">
        <v>11.7843905711784</v>
      </c>
      <c r="K14" s="0" t="n">
        <v>4.95</v>
      </c>
      <c r="L14" s="0" t="n">
        <v>2277.7</v>
      </c>
      <c r="M14" s="0" t="n">
        <v>778.7</v>
      </c>
      <c r="N14" s="0" t="n">
        <v>1499</v>
      </c>
      <c r="O14" s="0" t="n">
        <v>8053.6</v>
      </c>
      <c r="P14" s="0" t="n">
        <v>20074.5</v>
      </c>
      <c r="Q14" s="0" t="n">
        <v>12020.9</v>
      </c>
      <c r="R14" s="0" t="n">
        <v>7045.2</v>
      </c>
      <c r="S14" s="0" t="n">
        <v>114.7</v>
      </c>
      <c r="T14" s="0" t="n">
        <v>292.8</v>
      </c>
      <c r="U14" s="0" t="n">
        <v>88</v>
      </c>
      <c r="V14" s="0" t="n">
        <v>1.69</v>
      </c>
      <c r="AA14" s="0" t="s">
        <v>17</v>
      </c>
      <c r="AB14" s="0" t="s">
        <v>14</v>
      </c>
    </row>
    <row r="15" customFormat="false" ht="15" hidden="false" customHeight="false" outlineLevel="0" collapsed="false">
      <c r="A15" s="0" t="s">
        <v>76</v>
      </c>
      <c r="B15" s="0" t="n">
        <v>12562</v>
      </c>
      <c r="C15" s="0" t="n">
        <v>7045.8</v>
      </c>
      <c r="F15" s="0" t="n">
        <v>1845.2</v>
      </c>
      <c r="G15" s="0" t="n">
        <v>14.6887438306002</v>
      </c>
      <c r="I15" s="0" t="n">
        <v>1576.2</v>
      </c>
      <c r="J15" s="0" t="n">
        <v>12.5473650692565</v>
      </c>
      <c r="K15" s="0" t="n">
        <v>5.41</v>
      </c>
      <c r="L15" s="0" t="n">
        <v>2420.7</v>
      </c>
      <c r="M15" s="0" t="n">
        <v>731.3</v>
      </c>
      <c r="N15" s="0" t="n">
        <v>1689.4</v>
      </c>
      <c r="O15" s="0" t="n">
        <v>8725.8</v>
      </c>
      <c r="P15" s="0" t="n">
        <v>20869.1</v>
      </c>
      <c r="Q15" s="0" t="n">
        <v>12143.3</v>
      </c>
      <c r="R15" s="0" t="n">
        <v>6353.6</v>
      </c>
      <c r="S15" s="0" t="n">
        <v>118.8</v>
      </c>
      <c r="T15" s="0" t="n">
        <v>292.5</v>
      </c>
      <c r="U15" s="0" t="n">
        <v>84</v>
      </c>
      <c r="V15" s="0" t="n">
        <v>1.85</v>
      </c>
      <c r="AA15" s="0" t="s">
        <v>17</v>
      </c>
      <c r="AB15" s="0" t="s">
        <v>14</v>
      </c>
    </row>
    <row r="16" customFormat="false" ht="15" hidden="false" customHeight="false" outlineLevel="0" collapsed="false">
      <c r="A16" s="0" t="s">
        <v>77</v>
      </c>
      <c r="B16" s="0" t="n">
        <v>11790.2</v>
      </c>
      <c r="C16" s="0" t="n">
        <v>6905.8</v>
      </c>
      <c r="F16" s="0" t="n">
        <v>1395.7</v>
      </c>
      <c r="G16" s="0" t="n">
        <v>11.837797492833</v>
      </c>
      <c r="I16" s="0" t="n">
        <v>-1185.5</v>
      </c>
      <c r="J16" s="0" t="n">
        <v>-10.0549608997303</v>
      </c>
      <c r="K16" s="0" t="n">
        <v>-4.2</v>
      </c>
      <c r="L16" s="0" t="n">
        <v>1860.2</v>
      </c>
      <c r="M16" s="0" t="n">
        <v>489</v>
      </c>
      <c r="N16" s="0" t="n">
        <v>1371.2</v>
      </c>
      <c r="O16" s="0" t="n">
        <v>6201.5</v>
      </c>
      <c r="P16" s="0" t="n">
        <v>18126</v>
      </c>
      <c r="Q16" s="0" t="n">
        <v>11924.5</v>
      </c>
      <c r="R16" s="0" t="n">
        <v>6686.6</v>
      </c>
      <c r="S16" s="0" t="n">
        <v>1260.2</v>
      </c>
      <c r="T16" s="0" t="n">
        <v>290.3</v>
      </c>
      <c r="U16" s="0" t="n">
        <v>82.1</v>
      </c>
      <c r="V16" s="0" t="n">
        <v>1.89</v>
      </c>
      <c r="AA16" s="0" t="s">
        <v>17</v>
      </c>
      <c r="AB16" s="0" t="s">
        <v>14</v>
      </c>
    </row>
    <row r="17" customFormat="false" ht="15" hidden="false" customHeight="false" outlineLevel="0" collapsed="false">
      <c r="A17" s="0" t="s">
        <v>78</v>
      </c>
      <c r="B17" s="0" t="n">
        <v>12733.1</v>
      </c>
      <c r="C17" s="0" t="n">
        <v>7615.8</v>
      </c>
      <c r="F17" s="0" t="n">
        <v>1598.6</v>
      </c>
      <c r="G17" s="0" t="n">
        <v>12.5546803213672</v>
      </c>
      <c r="I17" s="0" t="n">
        <v>1144</v>
      </c>
      <c r="J17" s="0" t="n">
        <v>8.98445783037909</v>
      </c>
      <c r="K17" s="0" t="n">
        <v>3.95</v>
      </c>
      <c r="L17" s="0" t="n">
        <v>2061.9</v>
      </c>
      <c r="M17" s="0" t="n">
        <v>643</v>
      </c>
      <c r="N17" s="0" t="n">
        <v>1418.9</v>
      </c>
      <c r="O17" s="0" t="n">
        <v>7253.1</v>
      </c>
      <c r="P17" s="0" t="n">
        <v>21206.4</v>
      </c>
      <c r="Q17" s="0" t="n">
        <v>13953.3</v>
      </c>
      <c r="R17" s="0" t="n">
        <v>8758.2</v>
      </c>
      <c r="S17" s="0" t="n">
        <v>359.9</v>
      </c>
      <c r="T17" s="0" t="n">
        <v>289.1</v>
      </c>
      <c r="U17" s="0" t="n">
        <v>89.5</v>
      </c>
      <c r="V17" s="0" t="n">
        <v>1.95</v>
      </c>
      <c r="AA17" s="0" t="s">
        <v>17</v>
      </c>
      <c r="AB17" s="0" t="s">
        <v>14</v>
      </c>
    </row>
    <row r="18" customFormat="false" ht="15" hidden="false" customHeight="false" outlineLevel="0" collapsed="false">
      <c r="A18" s="0" t="s">
        <v>79</v>
      </c>
      <c r="B18" s="0" t="n">
        <v>14187.8</v>
      </c>
      <c r="C18" s="0" t="n">
        <v>8831</v>
      </c>
      <c r="F18" s="0" t="n">
        <v>1562.5</v>
      </c>
      <c r="G18" s="0" t="n">
        <v>11.0129829853818</v>
      </c>
      <c r="I18" s="0" t="n">
        <v>1108.9</v>
      </c>
      <c r="J18" s="0" t="n">
        <v>7.81586997279353</v>
      </c>
      <c r="K18" s="0" t="n">
        <v>3.83</v>
      </c>
      <c r="L18" s="0" t="n">
        <v>1788.4</v>
      </c>
      <c r="M18" s="0" t="n">
        <v>712.8</v>
      </c>
      <c r="N18" s="0" t="n">
        <v>1075.6</v>
      </c>
      <c r="O18" s="0" t="n">
        <v>7258.6</v>
      </c>
      <c r="P18" s="0" t="n">
        <v>21464.3</v>
      </c>
      <c r="Q18" s="0" t="n">
        <v>14205.7</v>
      </c>
      <c r="R18" s="0" t="n">
        <v>8580.4</v>
      </c>
      <c r="S18" s="0" t="n">
        <v>598.6</v>
      </c>
      <c r="T18" s="0" t="n">
        <v>286.6</v>
      </c>
      <c r="U18" s="0" t="n">
        <v>87.8</v>
      </c>
      <c r="V18" s="0" t="n">
        <v>2.06</v>
      </c>
      <c r="AA18" s="0" t="s">
        <v>17</v>
      </c>
      <c r="AB18" s="0" t="s">
        <v>14</v>
      </c>
    </row>
    <row r="19" customFormat="false" ht="15" hidden="false" customHeight="false" outlineLevel="0" collapsed="false">
      <c r="A19" s="0" t="s">
        <v>80</v>
      </c>
      <c r="B19" s="0" t="n">
        <v>15320.2</v>
      </c>
      <c r="C19" s="0" t="n">
        <v>9154.9</v>
      </c>
      <c r="F19" s="0" t="n">
        <v>1992.3</v>
      </c>
      <c r="G19" s="0" t="n">
        <v>13.0043994203731</v>
      </c>
      <c r="I19" s="0" t="n">
        <v>1393</v>
      </c>
      <c r="J19" s="0" t="n">
        <v>9.0925705930732</v>
      </c>
      <c r="K19" s="0" t="n">
        <v>4.82</v>
      </c>
      <c r="L19" s="0" t="n">
        <v>2411.8</v>
      </c>
      <c r="M19" s="0" t="n">
        <v>774.8</v>
      </c>
      <c r="N19" s="0" t="n">
        <v>1637</v>
      </c>
      <c r="O19" s="0" t="n">
        <v>8072.2</v>
      </c>
      <c r="P19" s="0" t="n">
        <v>21846.6</v>
      </c>
      <c r="Q19" s="0" t="n">
        <v>13774.4</v>
      </c>
      <c r="R19" s="0" t="n">
        <v>8181.8</v>
      </c>
      <c r="S19" s="0" t="n">
        <v>919.5</v>
      </c>
      <c r="T19" s="0" t="n">
        <v>286.5</v>
      </c>
      <c r="U19" s="0" t="n">
        <v>95.1</v>
      </c>
      <c r="V19" s="0" t="n">
        <v>2.16</v>
      </c>
      <c r="AA19" s="0" t="s">
        <v>17</v>
      </c>
      <c r="AB19" s="0" t="s">
        <v>14</v>
      </c>
    </row>
    <row r="20" customFormat="false" ht="15" hidden="false" customHeight="false" outlineLevel="0" collapsed="false">
      <c r="A20" s="0" t="s">
        <v>81</v>
      </c>
      <c r="B20" s="0" t="n">
        <v>15741.4</v>
      </c>
      <c r="C20" s="0" t="n">
        <v>8899.7</v>
      </c>
      <c r="F20" s="0" t="n">
        <v>2802.4</v>
      </c>
      <c r="G20" s="0" t="n">
        <v>17.802736732438</v>
      </c>
      <c r="I20" s="0" t="n">
        <v>2131.9</v>
      </c>
      <c r="J20" s="0" t="n">
        <v>13.5432680701844</v>
      </c>
      <c r="K20" s="0" t="n">
        <v>7.43</v>
      </c>
      <c r="L20" s="0" t="n">
        <v>2813.9</v>
      </c>
      <c r="M20" s="0" t="n">
        <v>994.5</v>
      </c>
      <c r="N20" s="0" t="n">
        <v>1819.4</v>
      </c>
      <c r="O20" s="0" t="n">
        <v>8789.2</v>
      </c>
      <c r="P20" s="0" t="n">
        <v>22387.8</v>
      </c>
      <c r="Q20" s="0" t="n">
        <v>13598.6</v>
      </c>
      <c r="R20" s="0" t="n">
        <v>7564.9</v>
      </c>
      <c r="S20" s="0" t="n">
        <v>1256.8</v>
      </c>
      <c r="T20" s="0" t="n">
        <v>286.6</v>
      </c>
      <c r="U20" s="0" t="n">
        <v>134.8</v>
      </c>
      <c r="V20" s="0" t="n">
        <v>2.36</v>
      </c>
      <c r="AA20" s="0" t="s">
        <v>17</v>
      </c>
      <c r="AB20" s="0" t="s">
        <v>14</v>
      </c>
    </row>
    <row r="21" customFormat="false" ht="15" hidden="false" customHeight="false" outlineLevel="0" collapsed="false">
      <c r="A21" s="0" t="s">
        <v>82</v>
      </c>
      <c r="B21" s="0" t="n">
        <v>16081.2</v>
      </c>
      <c r="C21" s="0" t="n">
        <v>8930.8</v>
      </c>
      <c r="F21" s="0" t="n">
        <v>2737.6</v>
      </c>
      <c r="G21" s="0" t="n">
        <v>17.0236052035918</v>
      </c>
      <c r="I21" s="0" t="n">
        <v>2093.3</v>
      </c>
      <c r="J21" s="0" t="n">
        <v>13.0170634032286</v>
      </c>
      <c r="K21" s="0" t="n">
        <v>7.33</v>
      </c>
      <c r="L21" s="0" t="n">
        <v>2952.6</v>
      </c>
      <c r="M21" s="0" t="n">
        <v>1048.3</v>
      </c>
      <c r="N21" s="0" t="n">
        <v>1904.3</v>
      </c>
      <c r="O21" s="0" t="n">
        <v>9804.5</v>
      </c>
      <c r="P21" s="0" t="n">
        <v>24696.3</v>
      </c>
      <c r="Q21" s="0" t="n">
        <v>14891.8</v>
      </c>
      <c r="R21" s="0" t="n">
        <v>8236.3</v>
      </c>
      <c r="S21" s="0" t="n">
        <v>646.2</v>
      </c>
      <c r="T21" s="0" t="n">
        <v>285.2</v>
      </c>
      <c r="U21" s="0" t="n">
        <v>136.6</v>
      </c>
      <c r="V21" s="0" t="n">
        <v>2.68</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279.49</v>
      </c>
    </row>
    <row r="3" customFormat="false" ht="15" hidden="false" customHeight="false" outlineLevel="0" collapsed="false">
      <c r="A3" s="0" t="s">
        <v>86</v>
      </c>
      <c r="B3" s="3" t="n">
        <v>282.2</v>
      </c>
    </row>
    <row r="4" customFormat="false" ht="15" hidden="false" customHeight="false" outlineLevel="0" collapsed="false">
      <c r="A4" s="0" t="s">
        <v>87</v>
      </c>
      <c r="B4" s="3" t="n">
        <v>8040.9</v>
      </c>
    </row>
    <row r="5" customFormat="false" ht="15" hidden="false" customHeight="false" outlineLevel="0" collapsed="false">
      <c r="A5" s="0" t="s">
        <v>88</v>
      </c>
      <c r="B5" s="3" t="n">
        <v>-4778.9</v>
      </c>
    </row>
    <row r="6" customFormat="false" ht="15" hidden="false" customHeight="false" outlineLevel="0" collapsed="false">
      <c r="A6" s="0" t="s">
        <v>89</v>
      </c>
      <c r="B6" s="3" t="n">
        <v>15</v>
      </c>
    </row>
    <row r="7" customFormat="false" ht="15" hidden="false" customHeight="false" outlineLevel="0" collapsed="false">
      <c r="A7" s="0" t="s">
        <v>90</v>
      </c>
      <c r="B7" s="3" t="n">
        <v>16081.2</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9</v>
      </c>
      <c r="D13" s="3" t="n">
        <v>5.5</v>
      </c>
      <c r="E13" s="3" t="n">
        <v>3.5</v>
      </c>
      <c r="F13" s="3" t="n">
        <v>3</v>
      </c>
      <c r="G13" s="3" t="n">
        <v>3</v>
      </c>
      <c r="H13" s="3" t="n">
        <v>3</v>
      </c>
      <c r="I13" s="3" t="n">
        <v>3</v>
      </c>
      <c r="J13" s="3" t="n">
        <v>3</v>
      </c>
      <c r="K13" s="3" t="n">
        <v>3</v>
      </c>
      <c r="L13" s="3" t="n">
        <v>3</v>
      </c>
    </row>
    <row r="14" customFormat="false" ht="15" hidden="false" customHeight="false" outlineLevel="0" collapsed="false">
      <c r="A14" s="0" t="s">
        <v>107</v>
      </c>
      <c r="C14" s="3" t="n">
        <v>24</v>
      </c>
      <c r="D14" s="3" t="n">
        <v>24.2</v>
      </c>
      <c r="E14" s="3" t="n">
        <v>24.4</v>
      </c>
      <c r="F14" s="3" t="n">
        <v>24.6</v>
      </c>
      <c r="G14" s="3" t="n">
        <v>24.8</v>
      </c>
      <c r="H14" s="3" t="n">
        <v>25</v>
      </c>
      <c r="I14" s="3" t="n">
        <v>25</v>
      </c>
      <c r="J14" s="3" t="n">
        <v>25</v>
      </c>
      <c r="K14" s="3" t="n">
        <v>25</v>
      </c>
      <c r="L14" s="3" t="n">
        <v>25</v>
      </c>
    </row>
    <row r="15" customFormat="false" ht="15" hidden="false" customHeight="false" outlineLevel="0" collapsed="false">
      <c r="A15" s="0" t="s">
        <v>108</v>
      </c>
      <c r="C15" s="3" t="n">
        <v>0.85</v>
      </c>
      <c r="D15" s="3" t="n">
        <v>0.85</v>
      </c>
      <c r="E15" s="3" t="n">
        <v>0.85</v>
      </c>
      <c r="F15" s="3" t="n">
        <v>0.85</v>
      </c>
      <c r="G15" s="3" t="n">
        <v>0.85</v>
      </c>
      <c r="H15" s="3" t="n">
        <v>0.85</v>
      </c>
      <c r="I15" s="3" t="n">
        <v>0.85</v>
      </c>
      <c r="J15" s="3" t="n">
        <v>0.85</v>
      </c>
      <c r="K15" s="3" t="n">
        <v>0.85</v>
      </c>
      <c r="L15" s="3" t="n">
        <v>0.85</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6.2</v>
      </c>
      <c r="D17" s="3" t="n">
        <v>6.7</v>
      </c>
      <c r="E17" s="3" t="n">
        <v>6.6</v>
      </c>
      <c r="F17" s="3" t="n">
        <v>6.5</v>
      </c>
      <c r="G17" s="3" t="n">
        <v>6.4</v>
      </c>
      <c r="H17" s="3" t="n">
        <v>6.3</v>
      </c>
      <c r="I17" s="3" t="n">
        <v>6.2</v>
      </c>
      <c r="J17" s="3" t="n">
        <v>6.1</v>
      </c>
      <c r="K17" s="3" t="n">
        <v>6</v>
      </c>
      <c r="L17" s="3" t="n">
        <v>6</v>
      </c>
    </row>
    <row r="18" customFormat="false" ht="15" hidden="false" customHeight="false" outlineLevel="0" collapsed="false">
      <c r="A18" s="0" t="s">
        <v>111</v>
      </c>
      <c r="C18" s="3" t="n">
        <v>7</v>
      </c>
      <c r="D18" s="3" t="n">
        <v>6.8</v>
      </c>
      <c r="E18" s="3" t="n">
        <v>6.6</v>
      </c>
      <c r="F18" s="3" t="n">
        <v>6.5</v>
      </c>
      <c r="G18" s="3" t="n">
        <v>6.5</v>
      </c>
      <c r="H18" s="3" t="n">
        <v>6.5</v>
      </c>
      <c r="I18" s="3" t="n">
        <v>6.5</v>
      </c>
      <c r="J18" s="3" t="n">
        <v>6.5</v>
      </c>
      <c r="K18" s="3" t="n">
        <v>6.5</v>
      </c>
      <c r="L18" s="3" t="n">
        <v>6.5</v>
      </c>
    </row>
    <row r="19" customFormat="false" ht="15" hidden="false" customHeight="false" outlineLevel="0" collapsed="false">
      <c r="A19" s="0" t="s">
        <v>112</v>
      </c>
      <c r="C19" s="3" t="n">
        <v>20</v>
      </c>
      <c r="D19" s="3" t="n">
        <v>20.5</v>
      </c>
      <c r="E19" s="3" t="n">
        <v>21</v>
      </c>
      <c r="F19" s="3" t="n">
        <v>21</v>
      </c>
      <c r="G19" s="3" t="n">
        <v>21</v>
      </c>
      <c r="H19" s="3" t="n">
        <v>21</v>
      </c>
      <c r="I19" s="3" t="n">
        <v>21</v>
      </c>
      <c r="J19" s="3" t="n">
        <v>21</v>
      </c>
      <c r="K19" s="3" t="n">
        <v>21</v>
      </c>
      <c r="L19" s="3" t="n">
        <v>21</v>
      </c>
    </row>
    <row r="20" customFormat="false" ht="15" hidden="false" customHeight="false" outlineLevel="0" collapsed="false">
      <c r="A20" s="0" t="s">
        <v>113</v>
      </c>
      <c r="B20" s="3" t="n">
        <v>8</v>
      </c>
    </row>
    <row r="21" customFormat="false" ht="15" hidden="false" customHeight="false" outlineLevel="0" collapsed="false">
      <c r="A21" s="0" t="s">
        <v>114</v>
      </c>
      <c r="B21" s="3" t="n">
        <v>2.5</v>
      </c>
    </row>
    <row r="22" customFormat="false" ht="15" hidden="false" customHeight="false" outlineLevel="0" collapsed="false">
      <c r="A22" s="0" t="s">
        <v>115</v>
      </c>
      <c r="B22" s="3" t="n">
        <v>18</v>
      </c>
    </row>
    <row r="23" customFormat="false" ht="15" hidden="false" customHeight="false" outlineLevel="0" collapsed="false">
      <c r="A23" s="0" t="s">
        <v>116</v>
      </c>
      <c r="B23" s="3" t="n">
        <v>-15</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10</v>
      </c>
      <c r="D27" s="3" t="n">
        <v>8</v>
      </c>
      <c r="E27" s="3" t="n">
        <v>6</v>
      </c>
      <c r="F27" s="3" t="n">
        <v>5.5</v>
      </c>
      <c r="G27" s="3" t="n">
        <v>5.5</v>
      </c>
      <c r="H27" s="3" t="n">
        <v>5</v>
      </c>
      <c r="I27" s="3" t="n">
        <v>5</v>
      </c>
      <c r="J27" s="3" t="n">
        <v>4.5</v>
      </c>
      <c r="K27" s="3" t="n">
        <v>4.5</v>
      </c>
      <c r="L27" s="3" t="n">
        <v>4</v>
      </c>
    </row>
    <row r="28" customFormat="false" ht="15" hidden="false" customHeight="false" outlineLevel="0" collapsed="false">
      <c r="A28" s="0" t="s">
        <v>107</v>
      </c>
      <c r="C28" s="3" t="n">
        <v>24.5</v>
      </c>
      <c r="D28" s="3" t="n">
        <v>25.3</v>
      </c>
      <c r="E28" s="3" t="n">
        <v>26</v>
      </c>
      <c r="F28" s="3" t="n">
        <v>26.5</v>
      </c>
      <c r="G28" s="3" t="n">
        <v>26.8</v>
      </c>
      <c r="H28" s="3" t="n">
        <v>27</v>
      </c>
      <c r="I28" s="3" t="n">
        <v>27</v>
      </c>
      <c r="J28" s="3" t="n">
        <v>27</v>
      </c>
      <c r="K28" s="3" t="n">
        <v>27</v>
      </c>
      <c r="L28" s="3" t="n">
        <v>27</v>
      </c>
    </row>
    <row r="29" customFormat="false" ht="15" hidden="false" customHeight="false" outlineLevel="0" collapsed="false">
      <c r="A29" s="0" t="s">
        <v>108</v>
      </c>
      <c r="C29" s="3" t="n">
        <v>0.85</v>
      </c>
      <c r="D29" s="3" t="n">
        <v>0.85</v>
      </c>
      <c r="E29" s="3" t="n">
        <v>0.85</v>
      </c>
      <c r="F29" s="3" t="n">
        <v>0.85</v>
      </c>
      <c r="G29" s="3" t="n">
        <v>0.85</v>
      </c>
      <c r="H29" s="3" t="n">
        <v>0.85</v>
      </c>
      <c r="I29" s="3" t="n">
        <v>0.85</v>
      </c>
      <c r="J29" s="3" t="n">
        <v>0.85</v>
      </c>
      <c r="K29" s="3" t="n">
        <v>0.85</v>
      </c>
      <c r="L29" s="3" t="n">
        <v>0.85</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6.2</v>
      </c>
      <c r="D31" s="3" t="n">
        <v>6.7</v>
      </c>
      <c r="E31" s="3" t="n">
        <v>6.6</v>
      </c>
      <c r="F31" s="3" t="n">
        <v>6.5</v>
      </c>
      <c r="G31" s="3" t="n">
        <v>6.4</v>
      </c>
      <c r="H31" s="3" t="n">
        <v>6.3</v>
      </c>
      <c r="I31" s="3" t="n">
        <v>6.2</v>
      </c>
      <c r="J31" s="3" t="n">
        <v>6.1</v>
      </c>
      <c r="K31" s="3" t="n">
        <v>6</v>
      </c>
      <c r="L31" s="3" t="n">
        <v>6</v>
      </c>
    </row>
    <row r="32" customFormat="false" ht="15" hidden="false" customHeight="false" outlineLevel="0" collapsed="false">
      <c r="A32" s="0" t="s">
        <v>111</v>
      </c>
      <c r="C32" s="3" t="n">
        <v>6.9</v>
      </c>
      <c r="D32" s="3" t="n">
        <v>6.6</v>
      </c>
      <c r="E32" s="3" t="n">
        <v>6.4</v>
      </c>
      <c r="F32" s="3" t="n">
        <v>6.2</v>
      </c>
      <c r="G32" s="3" t="n">
        <v>6.1</v>
      </c>
      <c r="H32" s="3" t="n">
        <v>6</v>
      </c>
      <c r="I32" s="3" t="n">
        <v>6</v>
      </c>
      <c r="J32" s="3" t="n">
        <v>6</v>
      </c>
      <c r="K32" s="3" t="n">
        <v>6</v>
      </c>
      <c r="L32" s="3" t="n">
        <v>6</v>
      </c>
    </row>
    <row r="33" customFormat="false" ht="15" hidden="false" customHeight="false" outlineLevel="0" collapsed="false">
      <c r="A33" s="0" t="s">
        <v>112</v>
      </c>
      <c r="C33" s="3" t="n">
        <v>20</v>
      </c>
      <c r="D33" s="3" t="n">
        <v>20.5</v>
      </c>
      <c r="E33" s="3" t="n">
        <v>21</v>
      </c>
      <c r="F33" s="3" t="n">
        <v>21</v>
      </c>
      <c r="G33" s="3" t="n">
        <v>21</v>
      </c>
      <c r="H33" s="3" t="n">
        <v>21</v>
      </c>
      <c r="I33" s="3" t="n">
        <v>21</v>
      </c>
      <c r="J33" s="3" t="n">
        <v>21</v>
      </c>
      <c r="K33" s="3" t="n">
        <v>21</v>
      </c>
      <c r="L33" s="3" t="n">
        <v>21</v>
      </c>
    </row>
    <row r="34" customFormat="false" ht="15" hidden="false" customHeight="false" outlineLevel="0" collapsed="false">
      <c r="A34" s="0" t="s">
        <v>113</v>
      </c>
      <c r="B34" s="3" t="n">
        <v>8</v>
      </c>
    </row>
    <row r="35" customFormat="false" ht="15" hidden="false" customHeight="false" outlineLevel="0" collapsed="false">
      <c r="A35" s="0" t="s">
        <v>114</v>
      </c>
      <c r="B35" s="3" t="n">
        <v>3</v>
      </c>
    </row>
    <row r="36" customFormat="false" ht="15" hidden="false" customHeight="false" outlineLevel="0" collapsed="false">
      <c r="A36" s="0" t="s">
        <v>115</v>
      </c>
      <c r="B36" s="3" t="n">
        <v>20</v>
      </c>
    </row>
    <row r="37" customFormat="false" ht="15" hidden="false" customHeight="false" outlineLevel="0" collapsed="false">
      <c r="A37" s="0" t="s">
        <v>116</v>
      </c>
      <c r="B37" s="3" t="n">
        <v>-15</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10.5</v>
      </c>
      <c r="D41" s="3" t="n">
        <v>9.5</v>
      </c>
      <c r="E41" s="3" t="n">
        <v>8</v>
      </c>
      <c r="F41" s="3" t="n">
        <v>7.5</v>
      </c>
      <c r="G41" s="3" t="n">
        <v>7</v>
      </c>
      <c r="H41" s="3" t="n">
        <v>6.5</v>
      </c>
      <c r="I41" s="3" t="n">
        <v>6</v>
      </c>
      <c r="J41" s="3" t="n">
        <v>5.5</v>
      </c>
      <c r="K41" s="3" t="n">
        <v>5</v>
      </c>
      <c r="L41" s="3" t="n">
        <v>4.5</v>
      </c>
    </row>
    <row r="42" customFormat="false" ht="15" hidden="false" customHeight="false" outlineLevel="0" collapsed="false">
      <c r="A42" s="0" t="s">
        <v>107</v>
      </c>
      <c r="C42" s="3" t="n">
        <v>24.8</v>
      </c>
      <c r="D42" s="3" t="n">
        <v>25.9</v>
      </c>
      <c r="E42" s="3" t="n">
        <v>26.9</v>
      </c>
      <c r="F42" s="3" t="n">
        <v>27.6</v>
      </c>
      <c r="G42" s="3" t="n">
        <v>28.2</v>
      </c>
      <c r="H42" s="3" t="n">
        <v>28.6</v>
      </c>
      <c r="I42" s="3" t="n">
        <v>28.9</v>
      </c>
      <c r="J42" s="3" t="n">
        <v>29</v>
      </c>
      <c r="K42" s="3" t="n">
        <v>29</v>
      </c>
      <c r="L42" s="3" t="n">
        <v>29</v>
      </c>
    </row>
    <row r="43" customFormat="false" ht="15" hidden="false" customHeight="false" outlineLevel="0" collapsed="false">
      <c r="A43" s="0" t="s">
        <v>108</v>
      </c>
      <c r="C43" s="3" t="n">
        <v>0.85</v>
      </c>
      <c r="D43" s="3" t="n">
        <v>0.85</v>
      </c>
      <c r="E43" s="3" t="n">
        <v>0.85</v>
      </c>
      <c r="F43" s="3" t="n">
        <v>0.85</v>
      </c>
      <c r="G43" s="3" t="n">
        <v>0.85</v>
      </c>
      <c r="H43" s="3" t="n">
        <v>0.85</v>
      </c>
      <c r="I43" s="3" t="n">
        <v>0.85</v>
      </c>
      <c r="J43" s="3" t="n">
        <v>0.85</v>
      </c>
      <c r="K43" s="3" t="n">
        <v>0.85</v>
      </c>
      <c r="L43" s="3" t="n">
        <v>0.85</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6.2</v>
      </c>
      <c r="D45" s="3" t="n">
        <v>6.7</v>
      </c>
      <c r="E45" s="3" t="n">
        <v>6.6</v>
      </c>
      <c r="F45" s="3" t="n">
        <v>6.5</v>
      </c>
      <c r="G45" s="3" t="n">
        <v>6.4</v>
      </c>
      <c r="H45" s="3" t="n">
        <v>6.3</v>
      </c>
      <c r="I45" s="3" t="n">
        <v>6.2</v>
      </c>
      <c r="J45" s="3" t="n">
        <v>6.1</v>
      </c>
      <c r="K45" s="3" t="n">
        <v>6</v>
      </c>
      <c r="L45" s="3" t="n">
        <v>6</v>
      </c>
    </row>
    <row r="46" customFormat="false" ht="15" hidden="false" customHeight="false" outlineLevel="0" collapsed="false">
      <c r="A46" s="0" t="s">
        <v>111</v>
      </c>
      <c r="C46" s="3" t="n">
        <v>6.8</v>
      </c>
      <c r="D46" s="3" t="n">
        <v>6.6</v>
      </c>
      <c r="E46" s="3" t="n">
        <v>6.4</v>
      </c>
      <c r="F46" s="3" t="n">
        <v>6.2</v>
      </c>
      <c r="G46" s="3" t="n">
        <v>6</v>
      </c>
      <c r="H46" s="3" t="n">
        <v>6</v>
      </c>
      <c r="I46" s="3" t="n">
        <v>6</v>
      </c>
      <c r="J46" s="3" t="n">
        <v>6</v>
      </c>
      <c r="K46" s="3" t="n">
        <v>6</v>
      </c>
      <c r="L46" s="3" t="n">
        <v>6</v>
      </c>
    </row>
    <row r="47" customFormat="false" ht="15" hidden="false" customHeight="false" outlineLevel="0" collapsed="false">
      <c r="A47" s="0" t="s">
        <v>112</v>
      </c>
      <c r="C47" s="3" t="n">
        <v>20</v>
      </c>
      <c r="D47" s="3" t="n">
        <v>20.5</v>
      </c>
      <c r="E47" s="3" t="n">
        <v>21</v>
      </c>
      <c r="F47" s="3" t="n">
        <v>21</v>
      </c>
      <c r="G47" s="3" t="n">
        <v>21</v>
      </c>
      <c r="H47" s="3" t="n">
        <v>21</v>
      </c>
      <c r="I47" s="3" t="n">
        <v>21</v>
      </c>
      <c r="J47" s="3" t="n">
        <v>21</v>
      </c>
      <c r="K47" s="3" t="n">
        <v>21</v>
      </c>
      <c r="L47" s="3" t="n">
        <v>21</v>
      </c>
    </row>
    <row r="48" customFormat="false" ht="15" hidden="false" customHeight="false" outlineLevel="0" collapsed="false">
      <c r="A48" s="0" t="s">
        <v>113</v>
      </c>
      <c r="B48" s="3" t="n">
        <v>8</v>
      </c>
    </row>
    <row r="49" customFormat="false" ht="15" hidden="false" customHeight="false" outlineLevel="0" collapsed="false">
      <c r="A49" s="0" t="s">
        <v>114</v>
      </c>
      <c r="B49" s="3" t="n">
        <v>3</v>
      </c>
    </row>
    <row r="50" customFormat="false" ht="15" hidden="false" customHeight="false" outlineLevel="0" collapsed="false">
      <c r="A50" s="0" t="s">
        <v>115</v>
      </c>
      <c r="B50" s="3" t="n">
        <v>20</v>
      </c>
    </row>
    <row r="51" customFormat="false" ht="15" hidden="false" customHeight="false" outlineLevel="0" collapsed="false">
      <c r="A51" s="0" t="s">
        <v>116</v>
      </c>
      <c r="B51" s="3" t="n">
        <v>-15</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9</v>
      </c>
      <c r="D5" s="4" t="n">
        <f aca="false">Assumptions!D13</f>
        <v>5.5</v>
      </c>
      <c r="E5" s="4" t="n">
        <f aca="false">Assumptions!E13</f>
        <v>3.5</v>
      </c>
      <c r="F5" s="4" t="n">
        <f aca="false">Assumptions!F13</f>
        <v>3</v>
      </c>
      <c r="G5" s="4" t="n">
        <f aca="false">Assumptions!G13</f>
        <v>3</v>
      </c>
      <c r="H5" s="4" t="n">
        <f aca="false">Assumptions!H13</f>
        <v>3</v>
      </c>
      <c r="I5" s="4" t="n">
        <f aca="false">Assumptions!I13</f>
        <v>3</v>
      </c>
      <c r="J5" s="4" t="n">
        <f aca="false">Assumptions!J13</f>
        <v>3</v>
      </c>
      <c r="K5" s="4" t="n">
        <f aca="false">Assumptions!K13</f>
        <v>3</v>
      </c>
      <c r="L5" s="4" t="n">
        <f aca="false">Assumptions!L13</f>
        <v>3</v>
      </c>
    </row>
    <row r="6" customFormat="false" ht="15" hidden="false" customHeight="false" outlineLevel="0" collapsed="false">
      <c r="A6" s="0" t="s">
        <v>37</v>
      </c>
      <c r="B6" s="3" t="n">
        <v>16081.2</v>
      </c>
      <c r="C6" s="0" t="n">
        <f aca="false">B6*(1+C5/100)</f>
        <v>17528.508</v>
      </c>
      <c r="D6" s="0" t="n">
        <f aca="false">C6*(1+D5/100)</f>
        <v>18492.57594</v>
      </c>
      <c r="E6" s="0" t="n">
        <f aca="false">D6*(1+E5/100)</f>
        <v>19139.8160979</v>
      </c>
      <c r="F6" s="0" t="n">
        <f aca="false">E6*(1+F5/100)</f>
        <v>19714.010580837</v>
      </c>
      <c r="G6" s="0" t="n">
        <f aca="false">F6*(1+G5/100)</f>
        <v>20305.4308982621</v>
      </c>
      <c r="H6" s="0" t="n">
        <f aca="false">G6*(1+H5/100)</f>
        <v>20914.59382521</v>
      </c>
      <c r="I6" s="0" t="n">
        <f aca="false">H6*(1+I5/100)</f>
        <v>21542.0316399663</v>
      </c>
      <c r="J6" s="0" t="n">
        <f aca="false">I6*(1+J5/100)</f>
        <v>22188.2925891653</v>
      </c>
      <c r="K6" s="0" t="n">
        <f aca="false">J6*(1+K5/100)</f>
        <v>22853.9413668402</v>
      </c>
      <c r="L6" s="0" t="n">
        <f aca="false">K6*(1+L5/100)</f>
        <v>23539.5596078454</v>
      </c>
    </row>
    <row r="7" customFormat="false" ht="15" hidden="false" customHeight="false" outlineLevel="0" collapsed="false">
      <c r="A7" s="0" t="s">
        <v>107</v>
      </c>
      <c r="C7" s="4" t="n">
        <f aca="false">Assumptions!C14</f>
        <v>24</v>
      </c>
      <c r="D7" s="4" t="n">
        <f aca="false">Assumptions!D14</f>
        <v>24.2</v>
      </c>
      <c r="E7" s="4" t="n">
        <f aca="false">Assumptions!E14</f>
        <v>24.4</v>
      </c>
      <c r="F7" s="4" t="n">
        <f aca="false">Assumptions!F14</f>
        <v>24.6</v>
      </c>
      <c r="G7" s="4" t="n">
        <f aca="false">Assumptions!G14</f>
        <v>24.8</v>
      </c>
      <c r="H7" s="4" t="n">
        <f aca="false">Assumptions!H14</f>
        <v>25</v>
      </c>
      <c r="I7" s="4" t="n">
        <f aca="false">Assumptions!I14</f>
        <v>25</v>
      </c>
      <c r="J7" s="4" t="n">
        <f aca="false">Assumptions!J14</f>
        <v>25</v>
      </c>
      <c r="K7" s="4" t="n">
        <f aca="false">Assumptions!K14</f>
        <v>25</v>
      </c>
      <c r="L7" s="4" t="n">
        <f aca="false">Assumptions!L14</f>
        <v>25</v>
      </c>
    </row>
    <row r="8" customFormat="false" ht="15" hidden="false" customHeight="false" outlineLevel="0" collapsed="false">
      <c r="A8" s="0" t="s">
        <v>43</v>
      </c>
      <c r="C8" s="0" t="n">
        <f aca="false">C6*C7/100</f>
        <v>4206.84192</v>
      </c>
      <c r="D8" s="0" t="n">
        <f aca="false">D6*D7/100</f>
        <v>4475.20337748</v>
      </c>
      <c r="E8" s="0" t="n">
        <f aca="false">E6*E7/100</f>
        <v>4670.1151278876</v>
      </c>
      <c r="F8" s="0" t="n">
        <f aca="false">F6*F7/100</f>
        <v>4849.6466028859</v>
      </c>
      <c r="G8" s="0" t="n">
        <f aca="false">G6*G7/100</f>
        <v>5035.746862769</v>
      </c>
      <c r="H8" s="0" t="n">
        <f aca="false">H6*H7/100</f>
        <v>5228.64845630249</v>
      </c>
      <c r="I8" s="0" t="n">
        <f aca="false">I6*I7/100</f>
        <v>5385.50790999157</v>
      </c>
      <c r="J8" s="0" t="n">
        <f aca="false">J6*J7/100</f>
        <v>5547.07314729132</v>
      </c>
      <c r="K8" s="0" t="n">
        <f aca="false">K6*K7/100</f>
        <v>5713.48534171006</v>
      </c>
      <c r="L8" s="0" t="n">
        <f aca="false">L6*L7/100</f>
        <v>5884.88990196136</v>
      </c>
    </row>
    <row r="9" customFormat="false" ht="15" hidden="false" customHeight="false" outlineLevel="0" collapsed="false">
      <c r="A9" s="0" t="s">
        <v>108</v>
      </c>
      <c r="C9" s="4" t="n">
        <f aca="false">Assumptions!C15</f>
        <v>0.85</v>
      </c>
      <c r="D9" s="4" t="n">
        <f aca="false">Assumptions!D15</f>
        <v>0.85</v>
      </c>
      <c r="E9" s="4" t="n">
        <f aca="false">Assumptions!E15</f>
        <v>0.85</v>
      </c>
      <c r="F9" s="4" t="n">
        <f aca="false">Assumptions!F15</f>
        <v>0.85</v>
      </c>
      <c r="G9" s="4" t="n">
        <f aca="false">Assumptions!G15</f>
        <v>0.85</v>
      </c>
      <c r="H9" s="4" t="n">
        <f aca="false">Assumptions!H15</f>
        <v>0.85</v>
      </c>
      <c r="I9" s="4" t="n">
        <f aca="false">Assumptions!I15</f>
        <v>0.85</v>
      </c>
      <c r="J9" s="4" t="n">
        <f aca="false">Assumptions!J15</f>
        <v>0.85</v>
      </c>
      <c r="K9" s="4" t="n">
        <f aca="false">Assumptions!K15</f>
        <v>0.85</v>
      </c>
      <c r="L9" s="4" t="n">
        <f aca="false">Assumptions!L15</f>
        <v>0.85</v>
      </c>
    </row>
    <row r="10" customFormat="false" ht="15" hidden="false" customHeight="false" outlineLevel="0" collapsed="false">
      <c r="A10" s="0" t="s">
        <v>123</v>
      </c>
      <c r="C10" s="0" t="n">
        <f aca="false">-C6*C9/100</f>
        <v>-148.992318</v>
      </c>
      <c r="D10" s="0" t="n">
        <f aca="false">-D6*D9/100</f>
        <v>-157.18689549</v>
      </c>
      <c r="E10" s="0" t="n">
        <f aca="false">-E6*E9/100</f>
        <v>-162.68843683215</v>
      </c>
      <c r="F10" s="0" t="n">
        <f aca="false">-F6*F9/100</f>
        <v>-167.569089937115</v>
      </c>
      <c r="G10" s="0" t="n">
        <f aca="false">-G6*G9/100</f>
        <v>-172.596162635228</v>
      </c>
      <c r="H10" s="0" t="n">
        <f aca="false">-H6*H9/100</f>
        <v>-177.774047514285</v>
      </c>
      <c r="I10" s="0" t="n">
        <f aca="false">-I6*I9/100</f>
        <v>-183.107268939713</v>
      </c>
      <c r="J10" s="0" t="n">
        <f aca="false">-J6*J9/100</f>
        <v>-188.600487007905</v>
      </c>
      <c r="K10" s="0" t="n">
        <f aca="false">-K6*K9/100</f>
        <v>-194.258501618142</v>
      </c>
      <c r="L10" s="0" t="n">
        <f aca="false">-L6*L9/100</f>
        <v>-200.086256666686</v>
      </c>
    </row>
    <row r="11" customFormat="false" ht="15" hidden="false" customHeight="false" outlineLevel="0" collapsed="false">
      <c r="A11" s="0" t="s">
        <v>124</v>
      </c>
      <c r="C11" s="0" t="n">
        <f aca="false">C8+C10+C24</f>
        <v>4057.849602</v>
      </c>
      <c r="D11" s="0" t="n">
        <f aca="false">D8+D10+D24</f>
        <v>4318.01648199</v>
      </c>
      <c r="E11" s="0" t="n">
        <f aca="false">E8+E10+E24</f>
        <v>4507.42669105545</v>
      </c>
      <c r="F11" s="0" t="n">
        <f aca="false">F8+F10+F24</f>
        <v>4682.07751294879</v>
      </c>
      <c r="G11" s="0" t="n">
        <f aca="false">G8+G10+G24</f>
        <v>4863.15070013378</v>
      </c>
      <c r="H11" s="0" t="n">
        <f aca="false">H8+H10+H24</f>
        <v>5050.87440878821</v>
      </c>
      <c r="I11" s="0" t="n">
        <f aca="false">I8+I10+I24</f>
        <v>5202.40064105186</v>
      </c>
      <c r="J11" s="0" t="n">
        <f aca="false">J8+J10+J24</f>
        <v>5358.47266028341</v>
      </c>
      <c r="K11" s="0" t="n">
        <f aca="false">K8+K10+K24</f>
        <v>5519.22684009192</v>
      </c>
      <c r="L11" s="0" t="n">
        <f aca="false">L8+L10+L24</f>
        <v>5684.80364529467</v>
      </c>
    </row>
    <row r="12" customFormat="false" ht="15" hidden="false" customHeight="false" outlineLevel="0" collapsed="false">
      <c r="A12" s="0" t="s">
        <v>125</v>
      </c>
      <c r="C12" s="4" t="n">
        <f aca="false">-C6*Assumptions!C17/100</f>
        <v>-1086.767496</v>
      </c>
      <c r="D12" s="4" t="n">
        <f aca="false">-D6*Assumptions!D17/100</f>
        <v>-1239.00258798</v>
      </c>
      <c r="E12" s="4" t="n">
        <f aca="false">-E6*Assumptions!E17/100</f>
        <v>-1263.2278624614</v>
      </c>
      <c r="F12" s="4" t="n">
        <f aca="false">-F6*Assumptions!F17/100</f>
        <v>-1281.41068775441</v>
      </c>
      <c r="G12" s="4" t="n">
        <f aca="false">-G6*Assumptions!G17/100</f>
        <v>-1299.54757748878</v>
      </c>
      <c r="H12" s="4" t="n">
        <f aca="false">-H6*Assumptions!H17/100</f>
        <v>-1317.61941098823</v>
      </c>
      <c r="I12" s="4" t="n">
        <f aca="false">-I6*Assumptions!I17/100</f>
        <v>-1335.60596167791</v>
      </c>
      <c r="J12" s="4" t="n">
        <f aca="false">-J6*Assumptions!J17/100</f>
        <v>-1353.48584793908</v>
      </c>
      <c r="K12" s="4" t="n">
        <f aca="false">-K6*Assumptions!K17/100</f>
        <v>-1371.23648201041</v>
      </c>
      <c r="L12" s="4" t="n">
        <f aca="false">-L6*Assumptions!L17/100</f>
        <v>-1412.37357647073</v>
      </c>
    </row>
    <row r="13" customFormat="false" ht="15" hidden="false" customHeight="false" outlineLevel="0" collapsed="false">
      <c r="A13" s="0" t="s">
        <v>126</v>
      </c>
      <c r="C13" s="0" t="n">
        <f aca="false">C11+C12</f>
        <v>2971.082106</v>
      </c>
      <c r="D13" s="0" t="n">
        <f aca="false">D11+D12</f>
        <v>3079.01389401</v>
      </c>
      <c r="E13" s="0" t="n">
        <f aca="false">E11+E12</f>
        <v>3244.19882859405</v>
      </c>
      <c r="F13" s="0" t="n">
        <f aca="false">F11+F12</f>
        <v>3400.66682519438</v>
      </c>
      <c r="G13" s="0" t="n">
        <f aca="false">G11+G12</f>
        <v>3563.603122645</v>
      </c>
      <c r="H13" s="0" t="n">
        <f aca="false">H11+H12</f>
        <v>3733.25499779998</v>
      </c>
      <c r="I13" s="0" t="n">
        <f aca="false">I11+I12</f>
        <v>3866.79467937395</v>
      </c>
      <c r="J13" s="0" t="n">
        <f aca="false">J11+J12</f>
        <v>4004.98681234433</v>
      </c>
      <c r="K13" s="0" t="n">
        <f aca="false">K11+K12</f>
        <v>4147.9903580815</v>
      </c>
      <c r="L13" s="0" t="n">
        <f aca="false">L11+L12</f>
        <v>4272.43006882395</v>
      </c>
    </row>
    <row r="14" customFormat="false" ht="15" hidden="false" customHeight="false" outlineLevel="0" collapsed="false">
      <c r="A14" s="0" t="s">
        <v>112</v>
      </c>
      <c r="C14" s="4" t="n">
        <f aca="false">Assumptions!C19</f>
        <v>20</v>
      </c>
      <c r="D14" s="4" t="n">
        <f aca="false">Assumptions!D19</f>
        <v>20.5</v>
      </c>
      <c r="E14" s="4" t="n">
        <f aca="false">Assumptions!E19</f>
        <v>21</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127</v>
      </c>
      <c r="C15" s="0" t="n">
        <f aca="false">C13-MAX(0,C13)*C14/100</f>
        <v>2376.8656848</v>
      </c>
      <c r="D15" s="0" t="n">
        <f aca="false">D13-MAX(0,D13)*D14/100</f>
        <v>2447.81604573795</v>
      </c>
      <c r="E15" s="0" t="n">
        <f aca="false">E13-MAX(0,E13)*E14/100</f>
        <v>2562.9170745893</v>
      </c>
      <c r="F15" s="0" t="n">
        <f aca="false">F13-MAX(0,F13)*F14/100</f>
        <v>2686.52679190356</v>
      </c>
      <c r="G15" s="0" t="n">
        <f aca="false">G13-MAX(0,G13)*G14/100</f>
        <v>2815.24646688955</v>
      </c>
      <c r="H15" s="0" t="n">
        <f aca="false">H13-MAX(0,H13)*H14/100</f>
        <v>2949.27144826199</v>
      </c>
      <c r="I15" s="0" t="n">
        <f aca="false">I13-MAX(0,I13)*I14/100</f>
        <v>3054.76779670542</v>
      </c>
      <c r="J15" s="0" t="n">
        <f aca="false">J13-MAX(0,J13)*J14/100</f>
        <v>3163.93958175202</v>
      </c>
      <c r="K15" s="0" t="n">
        <f aca="false">K13-MAX(0,K13)*K14/100</f>
        <v>3276.91238288439</v>
      </c>
      <c r="L15" s="0" t="n">
        <f aca="false">L13-MAX(0,L13)*L14/100</f>
        <v>3375.21975437092</v>
      </c>
    </row>
    <row r="16" customFormat="false" ht="15" hidden="false" customHeight="false" outlineLevel="0" collapsed="false">
      <c r="A16" s="0" t="s">
        <v>128</v>
      </c>
      <c r="C16" s="0" t="n">
        <f aca="false">-C12</f>
        <v>1086.767496</v>
      </c>
      <c r="D16" s="0" t="n">
        <f aca="false">-D12</f>
        <v>1239.00258798</v>
      </c>
      <c r="E16" s="0" t="n">
        <f aca="false">-E12</f>
        <v>1263.2278624614</v>
      </c>
      <c r="F16" s="0" t="n">
        <f aca="false">-F12</f>
        <v>1281.41068775441</v>
      </c>
      <c r="G16" s="0" t="n">
        <f aca="false">-G12</f>
        <v>1299.54757748878</v>
      </c>
      <c r="H16" s="0" t="n">
        <f aca="false">-H12</f>
        <v>1317.61941098823</v>
      </c>
      <c r="I16" s="0" t="n">
        <f aca="false">-I12</f>
        <v>1335.60596167791</v>
      </c>
      <c r="J16" s="0" t="n">
        <f aca="false">-J12</f>
        <v>1353.48584793908</v>
      </c>
      <c r="K16" s="0" t="n">
        <f aca="false">-K12</f>
        <v>1371.23648201041</v>
      </c>
      <c r="L16" s="0" t="n">
        <f aca="false">-L12</f>
        <v>1412.37357647073</v>
      </c>
    </row>
    <row r="17" customFormat="false" ht="15" hidden="false" customHeight="false" outlineLevel="0" collapsed="false">
      <c r="A17" s="0" t="s">
        <v>129</v>
      </c>
      <c r="C17" s="4" t="n">
        <f aca="false">-C6*Assumptions!C18/100</f>
        <v>-1226.99556</v>
      </c>
      <c r="D17" s="4" t="n">
        <f aca="false">-D6*Assumptions!D18/100</f>
        <v>-1257.49516392</v>
      </c>
      <c r="E17" s="4" t="n">
        <f aca="false">-E6*Assumptions!E18/100</f>
        <v>-1263.2278624614</v>
      </c>
      <c r="F17" s="4" t="n">
        <f aca="false">-F6*Assumptions!F18/100</f>
        <v>-1281.41068775441</v>
      </c>
      <c r="G17" s="4" t="n">
        <f aca="false">-G6*Assumptions!G18/100</f>
        <v>-1319.85300838704</v>
      </c>
      <c r="H17" s="4" t="n">
        <f aca="false">-H6*Assumptions!H18/100</f>
        <v>-1359.44859863865</v>
      </c>
      <c r="I17" s="4" t="n">
        <f aca="false">-I6*Assumptions!I18/100</f>
        <v>-1400.23205659781</v>
      </c>
      <c r="J17" s="4" t="n">
        <f aca="false">-J6*Assumptions!J18/100</f>
        <v>-1442.23901829574</v>
      </c>
      <c r="K17" s="4" t="n">
        <f aca="false">-K6*Assumptions!K18/100</f>
        <v>-1485.50618884461</v>
      </c>
      <c r="L17" s="4" t="n">
        <f aca="false">-L6*Assumptions!L18/100</f>
        <v>-1530.07137450995</v>
      </c>
    </row>
    <row r="18" customFormat="false" ht="15" hidden="false" customHeight="false" outlineLevel="0" collapsed="false">
      <c r="A18" s="0" t="s">
        <v>130</v>
      </c>
      <c r="C18" s="4" t="n">
        <f aca="false">(C6-B6)*Assumptions!$B$23/100</f>
        <v>-217.0962</v>
      </c>
      <c r="D18" s="4" t="n">
        <f aca="false">(D6-C6)*Assumptions!$B$23/100</f>
        <v>-144.610191</v>
      </c>
      <c r="E18" s="4" t="n">
        <f aca="false">(E6-D6)*Assumptions!$B$23/100</f>
        <v>-97.086023685</v>
      </c>
      <c r="F18" s="4" t="n">
        <f aca="false">(F6-E6)*Assumptions!$B$23/100</f>
        <v>-86.1291724405501</v>
      </c>
      <c r="G18" s="4" t="n">
        <f aca="false">(G6-F6)*Assumptions!$B$23/100</f>
        <v>-88.7130476137663</v>
      </c>
      <c r="H18" s="4" t="n">
        <f aca="false">(H6-G6)*Assumptions!$B$23/100</f>
        <v>-91.3744390421798</v>
      </c>
      <c r="I18" s="4" t="n">
        <f aca="false">(I6-H6)*Assumptions!$B$23/100</f>
        <v>-94.115672213445</v>
      </c>
      <c r="J18" s="4" t="n">
        <f aca="false">(J6-I6)*Assumptions!$B$23/100</f>
        <v>-96.9391423798485</v>
      </c>
      <c r="K18" s="4" t="n">
        <f aca="false">(K6-J6)*Assumptions!$B$23/100</f>
        <v>-99.847316651244</v>
      </c>
      <c r="L18" s="4" t="n">
        <f aca="false">(L6-K6)*Assumptions!$B$23/100</f>
        <v>-102.842736150781</v>
      </c>
    </row>
    <row r="19" customFormat="false" ht="15" hidden="false" customHeight="false" outlineLevel="0" collapsed="false">
      <c r="A19" s="0" t="s">
        <v>131</v>
      </c>
      <c r="C19" s="0" t="n">
        <f aca="false">C15+C16+C17+C18</f>
        <v>2019.5414208</v>
      </c>
      <c r="D19" s="0" t="n">
        <f aca="false">D15+D16+D17+D18</f>
        <v>2284.71327879795</v>
      </c>
      <c r="E19" s="0" t="n">
        <f aca="false">E15+E16+E17+E18</f>
        <v>2465.8310509043</v>
      </c>
      <c r="F19" s="0" t="n">
        <f aca="false">F15+F16+F17+F18</f>
        <v>2600.39761946301</v>
      </c>
      <c r="G19" s="0" t="n">
        <f aca="false">G15+G16+G17+G18</f>
        <v>2706.22798837752</v>
      </c>
      <c r="H19" s="0" t="n">
        <f aca="false">H15+H16+H17+H18</f>
        <v>2816.06782156939</v>
      </c>
      <c r="I19" s="0" t="n">
        <f aca="false">I15+I16+I17+I18</f>
        <v>2896.02602957207</v>
      </c>
      <c r="J19" s="0" t="n">
        <f aca="false">J15+J16+J17+J18</f>
        <v>2978.24726901551</v>
      </c>
      <c r="K19" s="0" t="n">
        <f aca="false">K15+K16+K17+K18</f>
        <v>3062.79535939894</v>
      </c>
      <c r="L19" s="0" t="n">
        <f aca="false">L15+L16+L17+L18</f>
        <v>3154.67922018091</v>
      </c>
    </row>
    <row r="20" customFormat="false" ht="15" hidden="false" customHeight="false" outlineLevel="0" collapsed="false">
      <c r="A20" s="0" t="s">
        <v>132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133</v>
      </c>
      <c r="C21" s="0" t="n">
        <f aca="false">C19*C20</f>
        <v>1869.94576</v>
      </c>
      <c r="D21" s="0" t="n">
        <f aca="false">D19*D20</f>
        <v>1958.77338717245</v>
      </c>
      <c r="E21" s="0" t="n">
        <f aca="false">E19*E20</f>
        <v>1957.45618911648</v>
      </c>
      <c r="F21" s="0" t="n">
        <f aca="false">F19*F20</f>
        <v>1911.36987944615</v>
      </c>
      <c r="G21" s="0" t="n">
        <f aca="false">G19*G20</f>
        <v>1841.8132962322</v>
      </c>
      <c r="H21" s="0" t="n">
        <f aca="false">H19*H20</f>
        <v>1774.6004083959</v>
      </c>
      <c r="I21" s="0" t="n">
        <f aca="false">I19*I20</f>
        <v>1689.80337268444</v>
      </c>
      <c r="J21" s="0" t="n">
        <f aca="false">J19*J20</f>
        <v>1609.05432980207</v>
      </c>
      <c r="K21" s="0" t="n">
        <f aca="false">K19*K20</f>
        <v>1532.16021507435</v>
      </c>
      <c r="L21" s="0" t="n">
        <f aca="false">L19*L20</f>
        <v>1461.22687178387</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8</v>
      </c>
    </row>
    <row r="28" customFormat="false" ht="15" hidden="false" customHeight="false" outlineLevel="0" collapsed="false">
      <c r="A28" s="0" t="s">
        <v>114</v>
      </c>
      <c r="B28" s="4" t="n">
        <f aca="false">Assumptions!$B$21</f>
        <v>2.5</v>
      </c>
    </row>
    <row r="29" customFormat="false" ht="15" hidden="false" customHeight="false" outlineLevel="0" collapsed="false">
      <c r="A29" s="0" t="s">
        <v>115</v>
      </c>
      <c r="B29" s="4" t="n">
        <f aca="false">Assumptions!$B$22</f>
        <v>18</v>
      </c>
    </row>
    <row r="30" customFormat="false" ht="15" hidden="false" customHeight="false" outlineLevel="0" collapsed="false">
      <c r="A30" s="0" t="s">
        <v>136</v>
      </c>
      <c r="B30" s="0" t="n">
        <f aca="false">SUM(C21:L21)</f>
        <v>17606.2037097079</v>
      </c>
    </row>
    <row r="31" customFormat="false" ht="15" hidden="false" customHeight="false" outlineLevel="0" collapsed="false">
      <c r="A31" s="0" t="s">
        <v>137</v>
      </c>
      <c r="B31" s="0" t="n">
        <f aca="false">L19</f>
        <v>3154.67922018091</v>
      </c>
    </row>
    <row r="32" customFormat="false" ht="15" hidden="false" customHeight="false" outlineLevel="0" collapsed="false">
      <c r="A32" s="0" t="s">
        <v>138</v>
      </c>
      <c r="B32" s="0" t="n">
        <f aca="false">IF(B27&gt;B28,B31*(1+B28/100)/((B27-B28)/100),B31*B29)</f>
        <v>58791.7491033715</v>
      </c>
    </row>
    <row r="33" customFormat="false" ht="15" hidden="false" customHeight="false" outlineLevel="0" collapsed="false">
      <c r="A33" s="0" t="s">
        <v>139</v>
      </c>
      <c r="B33" s="0" t="n">
        <f aca="false">B31*B29</f>
        <v>56784.2259632564</v>
      </c>
    </row>
    <row r="34" customFormat="false" ht="15" hidden="false" customHeight="false" outlineLevel="0" collapsed="false">
      <c r="A34" s="0" t="s">
        <v>140</v>
      </c>
      <c r="B34" s="0" t="n">
        <f aca="false">MAX(0,MIN(B32,B33))</f>
        <v>56784.2259632564</v>
      </c>
    </row>
    <row r="35" customFormat="false" ht="15" hidden="false" customHeight="false" outlineLevel="0" collapsed="false">
      <c r="A35" s="0" t="s">
        <v>141</v>
      </c>
      <c r="B35" s="0" t="n">
        <f aca="false">B34/(1+B27/100)^L4</f>
        <v>26302.0836921096</v>
      </c>
    </row>
    <row r="36" customFormat="false" ht="15" hidden="false" customHeight="false" outlineLevel="0" collapsed="false">
      <c r="A36" s="0" t="s">
        <v>142</v>
      </c>
      <c r="B36" s="0" t="n">
        <f aca="false">B30+B35</f>
        <v>43908.2874018175</v>
      </c>
    </row>
    <row r="37" customFormat="false" ht="15" hidden="false" customHeight="false" outlineLevel="0" collapsed="false">
      <c r="A37" s="0" t="s">
        <v>143</v>
      </c>
      <c r="B37" s="0" t="n">
        <f aca="false">B36+Assumptions!$B$5-Assumptions!$B$4</f>
        <v>31088.4874018175</v>
      </c>
    </row>
    <row r="38" customFormat="false" ht="15" hidden="false" customHeight="false" outlineLevel="0" collapsed="false">
      <c r="A38" s="0" t="s">
        <v>144</v>
      </c>
      <c r="B38" s="0" t="n">
        <f aca="false">B37/Assumptions!$B$3*Assumptions!$B$10</f>
        <v>110.164732111331</v>
      </c>
    </row>
    <row r="39" customFormat="false" ht="15" hidden="false" customHeight="false" outlineLevel="0" collapsed="false">
      <c r="A39" s="0" t="s">
        <v>145</v>
      </c>
      <c r="B39" s="4" t="n">
        <f aca="false">B38/Assumptions!$B$2-1</f>
        <v>-0.605836587672795</v>
      </c>
    </row>
    <row r="41" customFormat="false" ht="15" hidden="false" customHeight="false" outlineLevel="0" collapsed="false">
      <c r="A41" s="0" t="s">
        <v>146</v>
      </c>
      <c r="B41" s="0" t="n">
        <f aca="false">SUMPRODUCT(-C10:L10/(1+$B$27/100)^C4:L4)</f>
        <v>1153.12031420368</v>
      </c>
    </row>
    <row r="42" customFormat="false" ht="15" hidden="false" customHeight="false" outlineLevel="0" collapsed="false">
      <c r="A42" s="0" t="s">
        <v>147</v>
      </c>
      <c r="B42" s="0" t="n">
        <f aca="false">IF(B27&gt;B28,-L10*(1+B28/100)/((B27-B28)/100),-L10*20)/(1+B27/100)^L4</f>
        <v>1727.19304403329</v>
      </c>
    </row>
    <row r="43" customFormat="false" ht="15" hidden="false" customHeight="false" outlineLevel="0" collapsed="false">
      <c r="A43" s="0" t="s">
        <v>148</v>
      </c>
      <c r="B43" s="0" t="n">
        <f aca="false">(B37+B41+B42)/Assumptions!$B$3*Assumptions!$B$10</f>
        <v>120.371370517557</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25868.3696054834</v>
      </c>
    </row>
    <row r="47" customFormat="false" ht="15" hidden="false" customHeight="false" outlineLevel="0" collapsed="false">
      <c r="A47" s="0" t="s">
        <v>150</v>
      </c>
      <c r="B47" s="0" t="n">
        <f aca="false">(SUMPRODUCT(C19:L19/(1+B45/100)^C4:L4)+B46/(1+B45/100)^L4+Assumptions!$B$5-Assumptions!$B$4)/Assumptions!$B$3*Assumptions!$B$10</f>
        <v>22.827607229109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10</v>
      </c>
      <c r="D5" s="4" t="n">
        <f aca="false">Assumptions!D27</f>
        <v>8</v>
      </c>
      <c r="E5" s="4" t="n">
        <f aca="false">Assumptions!E27</f>
        <v>6</v>
      </c>
      <c r="F5" s="4" t="n">
        <f aca="false">Assumptions!F27</f>
        <v>5.5</v>
      </c>
      <c r="G5" s="4" t="n">
        <f aca="false">Assumptions!G27</f>
        <v>5.5</v>
      </c>
      <c r="H5" s="4" t="n">
        <f aca="false">Assumptions!H27</f>
        <v>5</v>
      </c>
      <c r="I5" s="4" t="n">
        <f aca="false">Assumptions!I27</f>
        <v>5</v>
      </c>
      <c r="J5" s="4" t="n">
        <f aca="false">Assumptions!J27</f>
        <v>4.5</v>
      </c>
      <c r="K5" s="4" t="n">
        <f aca="false">Assumptions!K27</f>
        <v>4.5</v>
      </c>
      <c r="L5" s="4" t="n">
        <f aca="false">Assumptions!L27</f>
        <v>4</v>
      </c>
    </row>
    <row r="6" customFormat="false" ht="15" hidden="false" customHeight="false" outlineLevel="0" collapsed="false">
      <c r="A6" s="0" t="s">
        <v>37</v>
      </c>
      <c r="B6" s="3" t="n">
        <v>16081.2</v>
      </c>
      <c r="C6" s="0" t="n">
        <f aca="false">B6*(1+C5/100)</f>
        <v>17689.32</v>
      </c>
      <c r="D6" s="0" t="n">
        <f aca="false">C6*(1+D5/100)</f>
        <v>19104.4656</v>
      </c>
      <c r="E6" s="0" t="n">
        <f aca="false">D6*(1+E5/100)</f>
        <v>20250.733536</v>
      </c>
      <c r="F6" s="0" t="n">
        <f aca="false">E6*(1+F5/100)</f>
        <v>21364.52388048</v>
      </c>
      <c r="G6" s="0" t="n">
        <f aca="false">F6*(1+G5/100)</f>
        <v>22539.5726939064</v>
      </c>
      <c r="H6" s="0" t="n">
        <f aca="false">G6*(1+H5/100)</f>
        <v>23666.5513286017</v>
      </c>
      <c r="I6" s="0" t="n">
        <f aca="false">H6*(1+I5/100)</f>
        <v>24849.8788950318</v>
      </c>
      <c r="J6" s="0" t="n">
        <f aca="false">I6*(1+J5/100)</f>
        <v>25968.1234453082</v>
      </c>
      <c r="K6" s="0" t="n">
        <f aca="false">J6*(1+K5/100)</f>
        <v>27136.6890003471</v>
      </c>
      <c r="L6" s="0" t="n">
        <f aca="false">K6*(1+L5/100)</f>
        <v>28222.156560361</v>
      </c>
    </row>
    <row r="7" customFormat="false" ht="15" hidden="false" customHeight="false" outlineLevel="0" collapsed="false">
      <c r="A7" s="0" t="s">
        <v>107</v>
      </c>
      <c r="C7" s="4" t="n">
        <f aca="false">Assumptions!C28</f>
        <v>24.5</v>
      </c>
      <c r="D7" s="4" t="n">
        <f aca="false">Assumptions!D28</f>
        <v>25.3</v>
      </c>
      <c r="E7" s="4" t="n">
        <f aca="false">Assumptions!E28</f>
        <v>26</v>
      </c>
      <c r="F7" s="4" t="n">
        <f aca="false">Assumptions!F28</f>
        <v>26.5</v>
      </c>
      <c r="G7" s="4" t="n">
        <f aca="false">Assumptions!G28</f>
        <v>26.8</v>
      </c>
      <c r="H7" s="4" t="n">
        <f aca="false">Assumptions!H28</f>
        <v>27</v>
      </c>
      <c r="I7" s="4" t="n">
        <f aca="false">Assumptions!I28</f>
        <v>27</v>
      </c>
      <c r="J7" s="4" t="n">
        <f aca="false">Assumptions!J28</f>
        <v>27</v>
      </c>
      <c r="K7" s="4" t="n">
        <f aca="false">Assumptions!K28</f>
        <v>27</v>
      </c>
      <c r="L7" s="4" t="n">
        <f aca="false">Assumptions!L28</f>
        <v>27</v>
      </c>
    </row>
    <row r="8" customFormat="false" ht="15" hidden="false" customHeight="false" outlineLevel="0" collapsed="false">
      <c r="A8" s="0" t="s">
        <v>43</v>
      </c>
      <c r="C8" s="0" t="n">
        <f aca="false">C6*C7/100</f>
        <v>4333.8834</v>
      </c>
      <c r="D8" s="0" t="n">
        <f aca="false">D6*D7/100</f>
        <v>4833.4297968</v>
      </c>
      <c r="E8" s="0" t="n">
        <f aca="false">E6*E7/100</f>
        <v>5265.19071936</v>
      </c>
      <c r="F8" s="0" t="n">
        <f aca="false">F6*F7/100</f>
        <v>5661.5988283272</v>
      </c>
      <c r="G8" s="0" t="n">
        <f aca="false">G6*G7/100</f>
        <v>6040.60548196692</v>
      </c>
      <c r="H8" s="0" t="n">
        <f aca="false">H6*H7/100</f>
        <v>6389.96885872247</v>
      </c>
      <c r="I8" s="0" t="n">
        <f aca="false">I6*I7/100</f>
        <v>6709.46730165859</v>
      </c>
      <c r="J8" s="0" t="n">
        <f aca="false">J6*J7/100</f>
        <v>7011.39333023323</v>
      </c>
      <c r="K8" s="0" t="n">
        <f aca="false">K6*K7/100</f>
        <v>7326.90603009372</v>
      </c>
      <c r="L8" s="0" t="n">
        <f aca="false">L6*L7/100</f>
        <v>7619.98227129747</v>
      </c>
    </row>
    <row r="9" customFormat="false" ht="15" hidden="false" customHeight="false" outlineLevel="0" collapsed="false">
      <c r="A9" s="0" t="s">
        <v>108</v>
      </c>
      <c r="C9" s="4" t="n">
        <f aca="false">Assumptions!C29</f>
        <v>0.85</v>
      </c>
      <c r="D9" s="4" t="n">
        <f aca="false">Assumptions!D29</f>
        <v>0.85</v>
      </c>
      <c r="E9" s="4" t="n">
        <f aca="false">Assumptions!E29</f>
        <v>0.85</v>
      </c>
      <c r="F9" s="4" t="n">
        <f aca="false">Assumptions!F29</f>
        <v>0.85</v>
      </c>
      <c r="G9" s="4" t="n">
        <f aca="false">Assumptions!G29</f>
        <v>0.85</v>
      </c>
      <c r="H9" s="4" t="n">
        <f aca="false">Assumptions!H29</f>
        <v>0.85</v>
      </c>
      <c r="I9" s="4" t="n">
        <f aca="false">Assumptions!I29</f>
        <v>0.85</v>
      </c>
      <c r="J9" s="4" t="n">
        <f aca="false">Assumptions!J29</f>
        <v>0.85</v>
      </c>
      <c r="K9" s="4" t="n">
        <f aca="false">Assumptions!K29</f>
        <v>0.85</v>
      </c>
      <c r="L9" s="4" t="n">
        <f aca="false">Assumptions!L29</f>
        <v>0.85</v>
      </c>
    </row>
    <row r="10" customFormat="false" ht="15" hidden="false" customHeight="false" outlineLevel="0" collapsed="false">
      <c r="A10" s="0" t="s">
        <v>123</v>
      </c>
      <c r="C10" s="0" t="n">
        <f aca="false">-C6*C9/100</f>
        <v>-150.35922</v>
      </c>
      <c r="D10" s="0" t="n">
        <f aca="false">-D6*D9/100</f>
        <v>-162.3879576</v>
      </c>
      <c r="E10" s="0" t="n">
        <f aca="false">-E6*E9/100</f>
        <v>-172.131235056</v>
      </c>
      <c r="F10" s="0" t="n">
        <f aca="false">-F6*F9/100</f>
        <v>-181.59845298408</v>
      </c>
      <c r="G10" s="0" t="n">
        <f aca="false">-G6*G9/100</f>
        <v>-191.586367898204</v>
      </c>
      <c r="H10" s="0" t="n">
        <f aca="false">-H6*H9/100</f>
        <v>-201.165686293115</v>
      </c>
      <c r="I10" s="0" t="n">
        <f aca="false">-I6*I9/100</f>
        <v>-211.22397060777</v>
      </c>
      <c r="J10" s="0" t="n">
        <f aca="false">-J6*J9/100</f>
        <v>-220.72904928512</v>
      </c>
      <c r="K10" s="0" t="n">
        <f aca="false">-K6*K9/100</f>
        <v>-230.66185650295</v>
      </c>
      <c r="L10" s="0" t="n">
        <f aca="false">-L6*L9/100</f>
        <v>-239.888330763068</v>
      </c>
    </row>
    <row r="11" customFormat="false" ht="15" hidden="false" customHeight="false" outlineLevel="0" collapsed="false">
      <c r="A11" s="0" t="s">
        <v>124</v>
      </c>
      <c r="C11" s="0" t="n">
        <f aca="false">C8+C10+C24</f>
        <v>4183.52418</v>
      </c>
      <c r="D11" s="0" t="n">
        <f aca="false">D8+D10+D24</f>
        <v>4671.0418392</v>
      </c>
      <c r="E11" s="0" t="n">
        <f aca="false">E8+E10+E24</f>
        <v>5093.059484304</v>
      </c>
      <c r="F11" s="0" t="n">
        <f aca="false">F8+F10+F24</f>
        <v>5480.00037534312</v>
      </c>
      <c r="G11" s="0" t="n">
        <f aca="false">G8+G10+G24</f>
        <v>5849.01911406871</v>
      </c>
      <c r="H11" s="0" t="n">
        <f aca="false">H8+H10+H24</f>
        <v>6188.80317242935</v>
      </c>
      <c r="I11" s="0" t="n">
        <f aca="false">I8+I10+I24</f>
        <v>6498.24333105082</v>
      </c>
      <c r="J11" s="0" t="n">
        <f aca="false">J8+J10+J24</f>
        <v>6790.66428094811</v>
      </c>
      <c r="K11" s="0" t="n">
        <f aca="false">K8+K10+K24</f>
        <v>7096.24417359077</v>
      </c>
      <c r="L11" s="0" t="n">
        <f aca="false">L8+L10+L24</f>
        <v>7380.0939405344</v>
      </c>
    </row>
    <row r="12" customFormat="false" ht="15" hidden="false" customHeight="false" outlineLevel="0" collapsed="false">
      <c r="A12" s="0" t="s">
        <v>125</v>
      </c>
      <c r="C12" s="4" t="n">
        <f aca="false">-C6*Assumptions!C31/100</f>
        <v>-1096.73784</v>
      </c>
      <c r="D12" s="4" t="n">
        <f aca="false">-D6*Assumptions!D31/100</f>
        <v>-1279.9991952</v>
      </c>
      <c r="E12" s="4" t="n">
        <f aca="false">-E6*Assumptions!E31/100</f>
        <v>-1336.548413376</v>
      </c>
      <c r="F12" s="4" t="n">
        <f aca="false">-F6*Assumptions!F31/100</f>
        <v>-1388.6940522312</v>
      </c>
      <c r="G12" s="4" t="n">
        <f aca="false">-G6*Assumptions!G31/100</f>
        <v>-1442.53265241001</v>
      </c>
      <c r="H12" s="4" t="n">
        <f aca="false">-H6*Assumptions!H31/100</f>
        <v>-1490.99273370191</v>
      </c>
      <c r="I12" s="4" t="n">
        <f aca="false">-I6*Assumptions!I31/100</f>
        <v>-1540.69249149197</v>
      </c>
      <c r="J12" s="4" t="n">
        <f aca="false">-J6*Assumptions!J31/100</f>
        <v>-1584.0555301638</v>
      </c>
      <c r="K12" s="4" t="n">
        <f aca="false">-K6*Assumptions!K31/100</f>
        <v>-1628.20134002083</v>
      </c>
      <c r="L12" s="4" t="n">
        <f aca="false">-L6*Assumptions!L31/100</f>
        <v>-1693.32939362166</v>
      </c>
    </row>
    <row r="13" customFormat="false" ht="15" hidden="false" customHeight="false" outlineLevel="0" collapsed="false">
      <c r="A13" s="0" t="s">
        <v>126</v>
      </c>
      <c r="C13" s="0" t="n">
        <f aca="false">C11+C12</f>
        <v>3086.78634</v>
      </c>
      <c r="D13" s="0" t="n">
        <f aca="false">D11+D12</f>
        <v>3391.042644</v>
      </c>
      <c r="E13" s="0" t="n">
        <f aca="false">E11+E12</f>
        <v>3756.511070928</v>
      </c>
      <c r="F13" s="0" t="n">
        <f aca="false">F11+F12</f>
        <v>4091.30632311192</v>
      </c>
      <c r="G13" s="0" t="n">
        <f aca="false">G11+G12</f>
        <v>4406.4864616587</v>
      </c>
      <c r="H13" s="0" t="n">
        <f aca="false">H11+H12</f>
        <v>4697.81043872744</v>
      </c>
      <c r="I13" s="0" t="n">
        <f aca="false">I11+I12</f>
        <v>4957.55083955885</v>
      </c>
      <c r="J13" s="0" t="n">
        <f aca="false">J11+J12</f>
        <v>5206.6087507843</v>
      </c>
      <c r="K13" s="0" t="n">
        <f aca="false">K11+K12</f>
        <v>5468.04283356994</v>
      </c>
      <c r="L13" s="0" t="n">
        <f aca="false">L11+L12</f>
        <v>5686.76454691274</v>
      </c>
    </row>
    <row r="14" customFormat="false" ht="15" hidden="false" customHeight="false" outlineLevel="0" collapsed="false">
      <c r="A14" s="0" t="s">
        <v>112</v>
      </c>
      <c r="C14" s="4" t="n">
        <f aca="false">Assumptions!C33</f>
        <v>20</v>
      </c>
      <c r="D14" s="4" t="n">
        <f aca="false">Assumptions!D33</f>
        <v>20.5</v>
      </c>
      <c r="E14" s="4" t="n">
        <f aca="false">Assumptions!E33</f>
        <v>21</v>
      </c>
      <c r="F14" s="4" t="n">
        <f aca="false">Assumptions!F33</f>
        <v>21</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127</v>
      </c>
      <c r="C15" s="0" t="n">
        <f aca="false">C13-MAX(0,C13)*C14/100</f>
        <v>2469.429072</v>
      </c>
      <c r="D15" s="0" t="n">
        <f aca="false">D13-MAX(0,D13)*D14/100</f>
        <v>2695.87890198</v>
      </c>
      <c r="E15" s="0" t="n">
        <f aca="false">E13-MAX(0,E13)*E14/100</f>
        <v>2967.64374603312</v>
      </c>
      <c r="F15" s="0" t="n">
        <f aca="false">F13-MAX(0,F13)*F14/100</f>
        <v>3232.13199525842</v>
      </c>
      <c r="G15" s="0" t="n">
        <f aca="false">G13-MAX(0,G13)*G14/100</f>
        <v>3481.12430471037</v>
      </c>
      <c r="H15" s="0" t="n">
        <f aca="false">H13-MAX(0,H13)*H14/100</f>
        <v>3711.27024659468</v>
      </c>
      <c r="I15" s="0" t="n">
        <f aca="false">I13-MAX(0,I13)*I14/100</f>
        <v>3916.46516325149</v>
      </c>
      <c r="J15" s="0" t="n">
        <f aca="false">J13-MAX(0,J13)*J14/100</f>
        <v>4113.2209131196</v>
      </c>
      <c r="K15" s="0" t="n">
        <f aca="false">K13-MAX(0,K13)*K14/100</f>
        <v>4319.75383852025</v>
      </c>
      <c r="L15" s="0" t="n">
        <f aca="false">L13-MAX(0,L13)*L14/100</f>
        <v>4492.54399206107</v>
      </c>
    </row>
    <row r="16" customFormat="false" ht="15" hidden="false" customHeight="false" outlineLevel="0" collapsed="false">
      <c r="A16" s="0" t="s">
        <v>128</v>
      </c>
      <c r="C16" s="0" t="n">
        <f aca="false">-C12</f>
        <v>1096.73784</v>
      </c>
      <c r="D16" s="0" t="n">
        <f aca="false">-D12</f>
        <v>1279.9991952</v>
      </c>
      <c r="E16" s="0" t="n">
        <f aca="false">-E12</f>
        <v>1336.548413376</v>
      </c>
      <c r="F16" s="0" t="n">
        <f aca="false">-F12</f>
        <v>1388.6940522312</v>
      </c>
      <c r="G16" s="0" t="n">
        <f aca="false">-G12</f>
        <v>1442.53265241001</v>
      </c>
      <c r="H16" s="0" t="n">
        <f aca="false">-H12</f>
        <v>1490.99273370191</v>
      </c>
      <c r="I16" s="0" t="n">
        <f aca="false">-I12</f>
        <v>1540.69249149197</v>
      </c>
      <c r="J16" s="0" t="n">
        <f aca="false">-J12</f>
        <v>1584.0555301638</v>
      </c>
      <c r="K16" s="0" t="n">
        <f aca="false">-K12</f>
        <v>1628.20134002083</v>
      </c>
      <c r="L16" s="0" t="n">
        <f aca="false">-L12</f>
        <v>1693.32939362166</v>
      </c>
    </row>
    <row r="17" customFormat="false" ht="15" hidden="false" customHeight="false" outlineLevel="0" collapsed="false">
      <c r="A17" s="0" t="s">
        <v>129</v>
      </c>
      <c r="C17" s="4" t="n">
        <f aca="false">-C6*Assumptions!C32/100</f>
        <v>-1220.56308</v>
      </c>
      <c r="D17" s="4" t="n">
        <f aca="false">-D6*Assumptions!D32/100</f>
        <v>-1260.8947296</v>
      </c>
      <c r="E17" s="4" t="n">
        <f aca="false">-E6*Assumptions!E32/100</f>
        <v>-1296.046946304</v>
      </c>
      <c r="F17" s="4" t="n">
        <f aca="false">-F6*Assumptions!F32/100</f>
        <v>-1324.60048058976</v>
      </c>
      <c r="G17" s="4" t="n">
        <f aca="false">-G6*Assumptions!G32/100</f>
        <v>-1374.91393432829</v>
      </c>
      <c r="H17" s="4" t="n">
        <f aca="false">-H6*Assumptions!H32/100</f>
        <v>-1419.9930797161</v>
      </c>
      <c r="I17" s="4" t="n">
        <f aca="false">-I6*Assumptions!I32/100</f>
        <v>-1490.99273370191</v>
      </c>
      <c r="J17" s="4" t="n">
        <f aca="false">-J6*Assumptions!J32/100</f>
        <v>-1558.08740671849</v>
      </c>
      <c r="K17" s="4" t="n">
        <f aca="false">-K6*Assumptions!K32/100</f>
        <v>-1628.20134002083</v>
      </c>
      <c r="L17" s="4" t="n">
        <f aca="false">-L6*Assumptions!L32/100</f>
        <v>-1693.32939362166</v>
      </c>
    </row>
    <row r="18" customFormat="false" ht="15" hidden="false" customHeight="false" outlineLevel="0" collapsed="false">
      <c r="A18" s="0" t="s">
        <v>130</v>
      </c>
      <c r="C18" s="4" t="n">
        <f aca="false">(C6-B6)*Assumptions!$B$37/100</f>
        <v>-241.218</v>
      </c>
      <c r="D18" s="4" t="n">
        <f aca="false">(D6-C6)*Assumptions!$B$37/100</f>
        <v>-212.27184</v>
      </c>
      <c r="E18" s="4" t="n">
        <f aca="false">(E6-D6)*Assumptions!$B$37/100</f>
        <v>-171.9401904</v>
      </c>
      <c r="F18" s="4" t="n">
        <f aca="false">(F6-E6)*Assumptions!$B$37/100</f>
        <v>-167.068551672</v>
      </c>
      <c r="G18" s="4" t="n">
        <f aca="false">(G6-F6)*Assumptions!$B$37/100</f>
        <v>-176.25732201396</v>
      </c>
      <c r="H18" s="4" t="n">
        <f aca="false">(H6-G6)*Assumptions!$B$37/100</f>
        <v>-169.046795204298</v>
      </c>
      <c r="I18" s="4" t="n">
        <f aca="false">(I6-H6)*Assumptions!$B$37/100</f>
        <v>-177.499134964513</v>
      </c>
      <c r="J18" s="4" t="n">
        <f aca="false">(J6-I6)*Assumptions!$B$37/100</f>
        <v>-167.736682541465</v>
      </c>
      <c r="K18" s="4" t="n">
        <f aca="false">(K6-J6)*Assumptions!$B$37/100</f>
        <v>-175.28483325583</v>
      </c>
      <c r="L18" s="4" t="n">
        <f aca="false">(L6-K6)*Assumptions!$B$37/100</f>
        <v>-162.820134002083</v>
      </c>
    </row>
    <row r="19" customFormat="false" ht="15" hidden="false" customHeight="false" outlineLevel="0" collapsed="false">
      <c r="A19" s="0" t="s">
        <v>131</v>
      </c>
      <c r="C19" s="0" t="n">
        <f aca="false">C15+C16+C17+C18</f>
        <v>2104.385832</v>
      </c>
      <c r="D19" s="0" t="n">
        <f aca="false">D15+D16+D17+D18</f>
        <v>2502.71152758</v>
      </c>
      <c r="E19" s="0" t="n">
        <f aca="false">E15+E16+E17+E18</f>
        <v>2836.20502270512</v>
      </c>
      <c r="F19" s="0" t="n">
        <f aca="false">F15+F16+F17+F18</f>
        <v>3129.15701522786</v>
      </c>
      <c r="G19" s="0" t="n">
        <f aca="false">G15+G16+G17+G18</f>
        <v>3372.48570077813</v>
      </c>
      <c r="H19" s="0" t="n">
        <f aca="false">H15+H16+H17+H18</f>
        <v>3613.22310537619</v>
      </c>
      <c r="I19" s="0" t="n">
        <f aca="false">I15+I16+I17+I18</f>
        <v>3788.66578607704</v>
      </c>
      <c r="J19" s="0" t="n">
        <f aca="false">J15+J16+J17+J18</f>
        <v>3971.45235402344</v>
      </c>
      <c r="K19" s="0" t="n">
        <f aca="false">K15+K16+K17+K18</f>
        <v>4144.46900526442</v>
      </c>
      <c r="L19" s="0" t="n">
        <f aca="false">L15+L16+L17+L18</f>
        <v>4329.72385805898</v>
      </c>
    </row>
    <row r="20" customFormat="false" ht="15" hidden="false" customHeight="false" outlineLevel="0" collapsed="false">
      <c r="A20" s="0" t="s">
        <v>132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133</v>
      </c>
      <c r="C21" s="0" t="n">
        <f aca="false">C19*C20</f>
        <v>1948.5054</v>
      </c>
      <c r="D21" s="0" t="n">
        <f aca="false">D19*D20</f>
        <v>2145.67174861111</v>
      </c>
      <c r="E21" s="0" t="n">
        <f aca="false">E19*E20</f>
        <v>2251.47098916667</v>
      </c>
      <c r="F21" s="0" t="n">
        <f aca="false">F19*F20</f>
        <v>2300.02382027992</v>
      </c>
      <c r="G21" s="0" t="n">
        <f aca="false">G19*G20</f>
        <v>2295.2571001862</v>
      </c>
      <c r="H21" s="0" t="n">
        <f aca="false">H19*H20</f>
        <v>2276.94345616032</v>
      </c>
      <c r="I21" s="0" t="n">
        <f aca="false">I19*I20</f>
        <v>2210.65009703421</v>
      </c>
      <c r="J21" s="0" t="n">
        <f aca="false">J19*J20</f>
        <v>2145.65213316099</v>
      </c>
      <c r="K21" s="0" t="n">
        <f aca="false">K19*K20</f>
        <v>2073.26633919187</v>
      </c>
      <c r="L21" s="0" t="n">
        <f aca="false">L19*L20</f>
        <v>2005.49989625782</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8</v>
      </c>
    </row>
    <row r="28" customFormat="false" ht="15" hidden="false" customHeight="false" outlineLevel="0" collapsed="false">
      <c r="A28" s="0" t="s">
        <v>114</v>
      </c>
      <c r="B28" s="4" t="n">
        <f aca="false">Assumptions!$B$35</f>
        <v>3</v>
      </c>
    </row>
    <row r="29" customFormat="false" ht="15" hidden="false" customHeight="false" outlineLevel="0" collapsed="false">
      <c r="A29" s="0" t="s">
        <v>115</v>
      </c>
      <c r="B29" s="4" t="n">
        <f aca="false">Assumptions!$B$36</f>
        <v>20</v>
      </c>
    </row>
    <row r="30" customFormat="false" ht="15" hidden="false" customHeight="false" outlineLevel="0" collapsed="false">
      <c r="A30" s="0" t="s">
        <v>136</v>
      </c>
      <c r="B30" s="0" t="n">
        <f aca="false">SUM(C21:L21)</f>
        <v>21652.9409800491</v>
      </c>
    </row>
    <row r="31" customFormat="false" ht="15" hidden="false" customHeight="false" outlineLevel="0" collapsed="false">
      <c r="A31" s="0" t="s">
        <v>137</v>
      </c>
      <c r="B31" s="0" t="n">
        <f aca="false">L19</f>
        <v>4329.72385805898</v>
      </c>
    </row>
    <row r="32" customFormat="false" ht="15" hidden="false" customHeight="false" outlineLevel="0" collapsed="false">
      <c r="A32" s="0" t="s">
        <v>138</v>
      </c>
      <c r="B32" s="0" t="n">
        <f aca="false">IF(B27&gt;B28,B31*(1+B28/100)/((B27-B28)/100),B31*B29)</f>
        <v>89192.311476015</v>
      </c>
    </row>
    <row r="33" customFormat="false" ht="15" hidden="false" customHeight="false" outlineLevel="0" collapsed="false">
      <c r="A33" s="0" t="s">
        <v>139</v>
      </c>
      <c r="B33" s="0" t="n">
        <f aca="false">B31*B29</f>
        <v>86594.4771611797</v>
      </c>
    </row>
    <row r="34" customFormat="false" ht="15" hidden="false" customHeight="false" outlineLevel="0" collapsed="false">
      <c r="A34" s="0" t="s">
        <v>140</v>
      </c>
      <c r="B34" s="0" t="n">
        <f aca="false">MAX(0,MIN(B32,B33))</f>
        <v>86594.4771611797</v>
      </c>
    </row>
    <row r="35" customFormat="false" ht="15" hidden="false" customHeight="false" outlineLevel="0" collapsed="false">
      <c r="A35" s="0" t="s">
        <v>141</v>
      </c>
      <c r="B35" s="0" t="n">
        <f aca="false">B34/(1+B27/100)^L4</f>
        <v>40109.9979251563</v>
      </c>
    </row>
    <row r="36" customFormat="false" ht="15" hidden="false" customHeight="false" outlineLevel="0" collapsed="false">
      <c r="A36" s="0" t="s">
        <v>142</v>
      </c>
      <c r="B36" s="0" t="n">
        <f aca="false">B30+B35</f>
        <v>61762.9389052054</v>
      </c>
    </row>
    <row r="37" customFormat="false" ht="15" hidden="false" customHeight="false" outlineLevel="0" collapsed="false">
      <c r="A37" s="0" t="s">
        <v>143</v>
      </c>
      <c r="B37" s="0" t="n">
        <f aca="false">B36+Assumptions!$B$5-Assumptions!$B$4</f>
        <v>48943.1389052054</v>
      </c>
    </row>
    <row r="38" customFormat="false" ht="15" hidden="false" customHeight="false" outlineLevel="0" collapsed="false">
      <c r="A38" s="0" t="s">
        <v>144</v>
      </c>
      <c r="B38" s="0" t="n">
        <f aca="false">B37/Assumptions!$B$3*Assumptions!$B$10</f>
        <v>173.434227162316</v>
      </c>
    </row>
    <row r="39" customFormat="false" ht="15" hidden="false" customHeight="false" outlineLevel="0" collapsed="false">
      <c r="A39" s="0" t="s">
        <v>145</v>
      </c>
      <c r="B39" s="4" t="n">
        <f aca="false">B38/Assumptions!$B$2-1</f>
        <v>-0.379461779804947</v>
      </c>
    </row>
    <row r="41" customFormat="false" ht="15" hidden="false" customHeight="false" outlineLevel="0" collapsed="false">
      <c r="A41" s="0" t="s">
        <v>146</v>
      </c>
      <c r="B41" s="0" t="n">
        <f aca="false">SUMPRODUCT(-C10:L10/(1+$B$27/100)^C4:L4)</f>
        <v>1274.72883996669</v>
      </c>
    </row>
    <row r="42" customFormat="false" ht="15" hidden="false" customHeight="false" outlineLevel="0" collapsed="false">
      <c r="A42" s="0" t="s">
        <v>147</v>
      </c>
      <c r="B42" s="0" t="n">
        <f aca="false">IF(B27&gt;B28,-L10*(1+B28/100)/((B27-B28)/100),-L10*20)/(1+B27/100)^L4</f>
        <v>2288.96308114534</v>
      </c>
    </row>
    <row r="43" customFormat="false" ht="15" hidden="false" customHeight="false" outlineLevel="0" collapsed="false">
      <c r="A43" s="0" t="s">
        <v>148</v>
      </c>
      <c r="B43" s="0" t="n">
        <f aca="false">(B37+B41+B42)/Assumptions!$B$3*Assumptions!$B$10</f>
        <v>186.062476351231</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37163.4631150063</v>
      </c>
    </row>
    <row r="47" customFormat="false" ht="15" hidden="false" customHeight="false" outlineLevel="0" collapsed="false">
      <c r="A47" s="0" t="s">
        <v>150</v>
      </c>
      <c r="B47" s="0" t="n">
        <f aca="false">(SUMPRODUCT(C19:L19/(1+B45/100)^C4:L4)+B46/(1+B45/100)^L4+Assumptions!$B$5-Assumptions!$B$4)/Assumptions!$B$3*Assumptions!$B$10</f>
        <v>42.3545599216577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10.5</v>
      </c>
      <c r="D5" s="4" t="n">
        <f aca="false">Assumptions!D41</f>
        <v>9.5</v>
      </c>
      <c r="E5" s="4" t="n">
        <f aca="false">Assumptions!E41</f>
        <v>8</v>
      </c>
      <c r="F5" s="4" t="n">
        <f aca="false">Assumptions!F41</f>
        <v>7.5</v>
      </c>
      <c r="G5" s="4" t="n">
        <f aca="false">Assumptions!G41</f>
        <v>7</v>
      </c>
      <c r="H5" s="4" t="n">
        <f aca="false">Assumptions!H41</f>
        <v>6.5</v>
      </c>
      <c r="I5" s="4" t="n">
        <f aca="false">Assumptions!I41</f>
        <v>6</v>
      </c>
      <c r="J5" s="4" t="n">
        <f aca="false">Assumptions!J41</f>
        <v>5.5</v>
      </c>
      <c r="K5" s="4" t="n">
        <f aca="false">Assumptions!K41</f>
        <v>5</v>
      </c>
      <c r="L5" s="4" t="n">
        <f aca="false">Assumptions!L41</f>
        <v>4.5</v>
      </c>
    </row>
    <row r="6" customFormat="false" ht="15" hidden="false" customHeight="false" outlineLevel="0" collapsed="false">
      <c r="A6" s="0" t="s">
        <v>37</v>
      </c>
      <c r="B6" s="3" t="n">
        <v>16081.2</v>
      </c>
      <c r="C6" s="0" t="n">
        <f aca="false">B6*(1+C5/100)</f>
        <v>17769.726</v>
      </c>
      <c r="D6" s="0" t="n">
        <f aca="false">C6*(1+D5/100)</f>
        <v>19457.84997</v>
      </c>
      <c r="E6" s="0" t="n">
        <f aca="false">D6*(1+E5/100)</f>
        <v>21014.4779676</v>
      </c>
      <c r="F6" s="0" t="n">
        <f aca="false">E6*(1+F5/100)</f>
        <v>22590.56381517</v>
      </c>
      <c r="G6" s="0" t="n">
        <f aca="false">F6*(1+G5/100)</f>
        <v>24171.9032822319</v>
      </c>
      <c r="H6" s="0" t="n">
        <f aca="false">G6*(1+H5/100)</f>
        <v>25743.076995577</v>
      </c>
      <c r="I6" s="0" t="n">
        <f aca="false">H6*(1+I5/100)</f>
        <v>27287.6616153116</v>
      </c>
      <c r="J6" s="0" t="n">
        <f aca="false">I6*(1+J5/100)</f>
        <v>28788.4830041537</v>
      </c>
      <c r="K6" s="0" t="n">
        <f aca="false">J6*(1+K5/100)</f>
        <v>30227.9071543614</v>
      </c>
      <c r="L6" s="0" t="n">
        <f aca="false">K6*(1+L5/100)</f>
        <v>31588.1629763077</v>
      </c>
    </row>
    <row r="7" customFormat="false" ht="15" hidden="false" customHeight="false" outlineLevel="0" collapsed="false">
      <c r="A7" s="0" t="s">
        <v>107</v>
      </c>
      <c r="C7" s="4" t="n">
        <f aca="false">Assumptions!C42</f>
        <v>24.8</v>
      </c>
      <c r="D7" s="4" t="n">
        <f aca="false">Assumptions!D42</f>
        <v>25.9</v>
      </c>
      <c r="E7" s="4" t="n">
        <f aca="false">Assumptions!E42</f>
        <v>26.9</v>
      </c>
      <c r="F7" s="4" t="n">
        <f aca="false">Assumptions!F42</f>
        <v>27.6</v>
      </c>
      <c r="G7" s="4" t="n">
        <f aca="false">Assumptions!G42</f>
        <v>28.2</v>
      </c>
      <c r="H7" s="4" t="n">
        <f aca="false">Assumptions!H42</f>
        <v>28.6</v>
      </c>
      <c r="I7" s="4" t="n">
        <f aca="false">Assumptions!I42</f>
        <v>28.9</v>
      </c>
      <c r="J7" s="4" t="n">
        <f aca="false">Assumptions!J42</f>
        <v>29</v>
      </c>
      <c r="K7" s="4" t="n">
        <f aca="false">Assumptions!K42</f>
        <v>29</v>
      </c>
      <c r="L7" s="4" t="n">
        <f aca="false">Assumptions!L42</f>
        <v>29</v>
      </c>
    </row>
    <row r="8" customFormat="false" ht="15" hidden="false" customHeight="false" outlineLevel="0" collapsed="false">
      <c r="A8" s="0" t="s">
        <v>43</v>
      </c>
      <c r="C8" s="0" t="n">
        <f aca="false">C6*C7/100</f>
        <v>4406.892048</v>
      </c>
      <c r="D8" s="0" t="n">
        <f aca="false">D6*D7/100</f>
        <v>5039.58314223</v>
      </c>
      <c r="E8" s="0" t="n">
        <f aca="false">E6*E7/100</f>
        <v>5652.8945732844</v>
      </c>
      <c r="F8" s="0" t="n">
        <f aca="false">F6*F7/100</f>
        <v>6234.99561298692</v>
      </c>
      <c r="G8" s="0" t="n">
        <f aca="false">G6*G7/100</f>
        <v>6816.4767255894</v>
      </c>
      <c r="H8" s="0" t="n">
        <f aca="false">H6*H7/100</f>
        <v>7362.52002073502</v>
      </c>
      <c r="I8" s="0" t="n">
        <f aca="false">I6*I7/100</f>
        <v>7886.13420682505</v>
      </c>
      <c r="J8" s="0" t="n">
        <f aca="false">J6*J7/100</f>
        <v>8348.66007120458</v>
      </c>
      <c r="K8" s="0" t="n">
        <f aca="false">K6*K7/100</f>
        <v>8766.09307476481</v>
      </c>
      <c r="L8" s="0" t="n">
        <f aca="false">L6*L7/100</f>
        <v>9160.56726312923</v>
      </c>
    </row>
    <row r="9" customFormat="false" ht="15" hidden="false" customHeight="false" outlineLevel="0" collapsed="false">
      <c r="A9" s="0" t="s">
        <v>108</v>
      </c>
      <c r="C9" s="4" t="n">
        <f aca="false">Assumptions!C43</f>
        <v>0.85</v>
      </c>
      <c r="D9" s="4" t="n">
        <f aca="false">Assumptions!D43</f>
        <v>0.85</v>
      </c>
      <c r="E9" s="4" t="n">
        <f aca="false">Assumptions!E43</f>
        <v>0.85</v>
      </c>
      <c r="F9" s="4" t="n">
        <f aca="false">Assumptions!F43</f>
        <v>0.85</v>
      </c>
      <c r="G9" s="4" t="n">
        <f aca="false">Assumptions!G43</f>
        <v>0.85</v>
      </c>
      <c r="H9" s="4" t="n">
        <f aca="false">Assumptions!H43</f>
        <v>0.85</v>
      </c>
      <c r="I9" s="4" t="n">
        <f aca="false">Assumptions!I43</f>
        <v>0.85</v>
      </c>
      <c r="J9" s="4" t="n">
        <f aca="false">Assumptions!J43</f>
        <v>0.85</v>
      </c>
      <c r="K9" s="4" t="n">
        <f aca="false">Assumptions!K43</f>
        <v>0.85</v>
      </c>
      <c r="L9" s="4" t="n">
        <f aca="false">Assumptions!L43</f>
        <v>0.85</v>
      </c>
    </row>
    <row r="10" customFormat="false" ht="15" hidden="false" customHeight="false" outlineLevel="0" collapsed="false">
      <c r="A10" s="0" t="s">
        <v>123</v>
      </c>
      <c r="C10" s="0" t="n">
        <f aca="false">-C6*C9/100</f>
        <v>-151.042671</v>
      </c>
      <c r="D10" s="0" t="n">
        <f aca="false">-D6*D9/100</f>
        <v>-165.391724745</v>
      </c>
      <c r="E10" s="0" t="n">
        <f aca="false">-E6*E9/100</f>
        <v>-178.6230627246</v>
      </c>
      <c r="F10" s="0" t="n">
        <f aca="false">-F6*F9/100</f>
        <v>-192.019792428945</v>
      </c>
      <c r="G10" s="0" t="n">
        <f aca="false">-G6*G9/100</f>
        <v>-205.461177898971</v>
      </c>
      <c r="H10" s="0" t="n">
        <f aca="false">-H6*H9/100</f>
        <v>-218.816154462404</v>
      </c>
      <c r="I10" s="0" t="n">
        <f aca="false">-I6*I9/100</f>
        <v>-231.945123730149</v>
      </c>
      <c r="J10" s="0" t="n">
        <f aca="false">-J6*J9/100</f>
        <v>-244.702105535307</v>
      </c>
      <c r="K10" s="0" t="n">
        <f aca="false">-K6*K9/100</f>
        <v>-256.937210812072</v>
      </c>
      <c r="L10" s="0" t="n">
        <f aca="false">-L6*L9/100</f>
        <v>-268.499385298615</v>
      </c>
    </row>
    <row r="11" customFormat="false" ht="15" hidden="false" customHeight="false" outlineLevel="0" collapsed="false">
      <c r="A11" s="0" t="s">
        <v>124</v>
      </c>
      <c r="C11" s="0" t="n">
        <f aca="false">C8+C10+C24</f>
        <v>4255.849377</v>
      </c>
      <c r="D11" s="0" t="n">
        <f aca="false">D8+D10+D24</f>
        <v>4874.191417485</v>
      </c>
      <c r="E11" s="0" t="n">
        <f aca="false">E8+E10+E24</f>
        <v>5474.2715105598</v>
      </c>
      <c r="F11" s="0" t="n">
        <f aca="false">F8+F10+F24</f>
        <v>6042.97582055798</v>
      </c>
      <c r="G11" s="0" t="n">
        <f aca="false">G8+G10+G24</f>
        <v>6611.01554769043</v>
      </c>
      <c r="H11" s="0" t="n">
        <f aca="false">H8+H10+H24</f>
        <v>7143.70386627261</v>
      </c>
      <c r="I11" s="0" t="n">
        <f aca="false">I8+I10+I24</f>
        <v>7654.1890830949</v>
      </c>
      <c r="J11" s="0" t="n">
        <f aca="false">J8+J10+J24</f>
        <v>8103.95796566927</v>
      </c>
      <c r="K11" s="0" t="n">
        <f aca="false">K8+K10+K24</f>
        <v>8509.15586395274</v>
      </c>
      <c r="L11" s="0" t="n">
        <f aca="false">L8+L10+L24</f>
        <v>8892.06787783061</v>
      </c>
    </row>
    <row r="12" customFormat="false" ht="15" hidden="false" customHeight="false" outlineLevel="0" collapsed="false">
      <c r="A12" s="0" t="s">
        <v>125</v>
      </c>
      <c r="C12" s="4" t="n">
        <f aca="false">-C6*Assumptions!C45/100</f>
        <v>-1101.723012</v>
      </c>
      <c r="D12" s="4" t="n">
        <f aca="false">-D6*Assumptions!D45/100</f>
        <v>-1303.67594799</v>
      </c>
      <c r="E12" s="4" t="n">
        <f aca="false">-E6*Assumptions!E45/100</f>
        <v>-1386.9555458616</v>
      </c>
      <c r="F12" s="4" t="n">
        <f aca="false">-F6*Assumptions!F45/100</f>
        <v>-1468.38664798605</v>
      </c>
      <c r="G12" s="4" t="n">
        <f aca="false">-G6*Assumptions!G45/100</f>
        <v>-1547.00181006284</v>
      </c>
      <c r="H12" s="4" t="n">
        <f aca="false">-H6*Assumptions!H45/100</f>
        <v>-1621.81385072135</v>
      </c>
      <c r="I12" s="4" t="n">
        <f aca="false">-I6*Assumptions!I45/100</f>
        <v>-1691.83502014932</v>
      </c>
      <c r="J12" s="4" t="n">
        <f aca="false">-J6*Assumptions!J45/100</f>
        <v>-1756.09746325338</v>
      </c>
      <c r="K12" s="4" t="n">
        <f aca="false">-K6*Assumptions!K45/100</f>
        <v>-1813.67442926169</v>
      </c>
      <c r="L12" s="4" t="n">
        <f aca="false">-L6*Assumptions!L45/100</f>
        <v>-1895.28977857846</v>
      </c>
    </row>
    <row r="13" customFormat="false" ht="15" hidden="false" customHeight="false" outlineLevel="0" collapsed="false">
      <c r="A13" s="0" t="s">
        <v>126</v>
      </c>
      <c r="C13" s="0" t="n">
        <f aca="false">C11+C12</f>
        <v>3154.126365</v>
      </c>
      <c r="D13" s="0" t="n">
        <f aca="false">D11+D12</f>
        <v>3570.515469495</v>
      </c>
      <c r="E13" s="0" t="n">
        <f aca="false">E11+E12</f>
        <v>4087.3159646982</v>
      </c>
      <c r="F13" s="0" t="n">
        <f aca="false">F11+F12</f>
        <v>4574.58917257193</v>
      </c>
      <c r="G13" s="0" t="n">
        <f aca="false">G11+G12</f>
        <v>5064.01373762758</v>
      </c>
      <c r="H13" s="0" t="n">
        <f aca="false">H11+H12</f>
        <v>5521.89001555126</v>
      </c>
      <c r="I13" s="0" t="n">
        <f aca="false">I11+I12</f>
        <v>5962.35406294558</v>
      </c>
      <c r="J13" s="0" t="n">
        <f aca="false">J11+J12</f>
        <v>6347.8605024159</v>
      </c>
      <c r="K13" s="0" t="n">
        <f aca="false">K11+K12</f>
        <v>6695.48143469105</v>
      </c>
      <c r="L13" s="0" t="n">
        <f aca="false">L11+L12</f>
        <v>6996.77809925215</v>
      </c>
    </row>
    <row r="14" customFormat="false" ht="15" hidden="false" customHeight="false" outlineLevel="0" collapsed="false">
      <c r="A14" s="0" t="s">
        <v>112</v>
      </c>
      <c r="C14" s="4" t="n">
        <f aca="false">Assumptions!C47</f>
        <v>20</v>
      </c>
      <c r="D14" s="4" t="n">
        <f aca="false">Assumptions!D47</f>
        <v>20.5</v>
      </c>
      <c r="E14" s="4" t="n">
        <f aca="false">Assumptions!E47</f>
        <v>21</v>
      </c>
      <c r="F14" s="4" t="n">
        <f aca="false">Assumptions!F47</f>
        <v>21</v>
      </c>
      <c r="G14" s="4" t="n">
        <f aca="false">Assumptions!G47</f>
        <v>21</v>
      </c>
      <c r="H14" s="4" t="n">
        <f aca="false">Assumptions!H47</f>
        <v>21</v>
      </c>
      <c r="I14" s="4" t="n">
        <f aca="false">Assumptions!I47</f>
        <v>21</v>
      </c>
      <c r="J14" s="4" t="n">
        <f aca="false">Assumptions!J47</f>
        <v>21</v>
      </c>
      <c r="K14" s="4" t="n">
        <f aca="false">Assumptions!K47</f>
        <v>21</v>
      </c>
      <c r="L14" s="4" t="n">
        <f aca="false">Assumptions!L47</f>
        <v>21</v>
      </c>
    </row>
    <row r="15" customFormat="false" ht="15" hidden="false" customHeight="false" outlineLevel="0" collapsed="false">
      <c r="A15" s="0" t="s">
        <v>127</v>
      </c>
      <c r="C15" s="0" t="n">
        <f aca="false">C13-MAX(0,C13)*C14/100</f>
        <v>2523.301092</v>
      </c>
      <c r="D15" s="0" t="n">
        <f aca="false">D13-MAX(0,D13)*D14/100</f>
        <v>2838.55979824852</v>
      </c>
      <c r="E15" s="0" t="n">
        <f aca="false">E13-MAX(0,E13)*E14/100</f>
        <v>3228.97961211158</v>
      </c>
      <c r="F15" s="0" t="n">
        <f aca="false">F13-MAX(0,F13)*F14/100</f>
        <v>3613.92544633182</v>
      </c>
      <c r="G15" s="0" t="n">
        <f aca="false">G13-MAX(0,G13)*G14/100</f>
        <v>4000.57085272579</v>
      </c>
      <c r="H15" s="0" t="n">
        <f aca="false">H13-MAX(0,H13)*H14/100</f>
        <v>4362.2931122855</v>
      </c>
      <c r="I15" s="0" t="n">
        <f aca="false">I13-MAX(0,I13)*I14/100</f>
        <v>4710.25970972701</v>
      </c>
      <c r="J15" s="0" t="n">
        <f aca="false">J13-MAX(0,J13)*J14/100</f>
        <v>5014.80979690856</v>
      </c>
      <c r="K15" s="0" t="n">
        <f aca="false">K13-MAX(0,K13)*K14/100</f>
        <v>5289.43033340593</v>
      </c>
      <c r="L15" s="0" t="n">
        <f aca="false">L13-MAX(0,L13)*L14/100</f>
        <v>5527.4546984092</v>
      </c>
    </row>
    <row r="16" customFormat="false" ht="15" hidden="false" customHeight="false" outlineLevel="0" collapsed="false">
      <c r="A16" s="0" t="s">
        <v>128</v>
      </c>
      <c r="C16" s="0" t="n">
        <f aca="false">-C12</f>
        <v>1101.723012</v>
      </c>
      <c r="D16" s="0" t="n">
        <f aca="false">-D12</f>
        <v>1303.67594799</v>
      </c>
      <c r="E16" s="0" t="n">
        <f aca="false">-E12</f>
        <v>1386.9555458616</v>
      </c>
      <c r="F16" s="0" t="n">
        <f aca="false">-F12</f>
        <v>1468.38664798605</v>
      </c>
      <c r="G16" s="0" t="n">
        <f aca="false">-G12</f>
        <v>1547.00181006284</v>
      </c>
      <c r="H16" s="0" t="n">
        <f aca="false">-H12</f>
        <v>1621.81385072135</v>
      </c>
      <c r="I16" s="0" t="n">
        <f aca="false">-I12</f>
        <v>1691.83502014932</v>
      </c>
      <c r="J16" s="0" t="n">
        <f aca="false">-J12</f>
        <v>1756.09746325338</v>
      </c>
      <c r="K16" s="0" t="n">
        <f aca="false">-K12</f>
        <v>1813.67442926169</v>
      </c>
      <c r="L16" s="0" t="n">
        <f aca="false">-L12</f>
        <v>1895.28977857846</v>
      </c>
    </row>
    <row r="17" customFormat="false" ht="15" hidden="false" customHeight="false" outlineLevel="0" collapsed="false">
      <c r="A17" s="0" t="s">
        <v>129</v>
      </c>
      <c r="C17" s="4" t="n">
        <f aca="false">-C6*Assumptions!C46/100</f>
        <v>-1208.341368</v>
      </c>
      <c r="D17" s="4" t="n">
        <f aca="false">-D6*Assumptions!D46/100</f>
        <v>-1284.21809802</v>
      </c>
      <c r="E17" s="4" t="n">
        <f aca="false">-E6*Assumptions!E46/100</f>
        <v>-1344.9265899264</v>
      </c>
      <c r="F17" s="4" t="n">
        <f aca="false">-F6*Assumptions!F46/100</f>
        <v>-1400.61495654054</v>
      </c>
      <c r="G17" s="4" t="n">
        <f aca="false">-G6*Assumptions!G46/100</f>
        <v>-1450.31419693391</v>
      </c>
      <c r="H17" s="4" t="n">
        <f aca="false">-H6*Assumptions!H46/100</f>
        <v>-1544.58461973462</v>
      </c>
      <c r="I17" s="4" t="n">
        <f aca="false">-I6*Assumptions!I46/100</f>
        <v>-1637.2596969187</v>
      </c>
      <c r="J17" s="4" t="n">
        <f aca="false">-J6*Assumptions!J46/100</f>
        <v>-1727.30898024922</v>
      </c>
      <c r="K17" s="4" t="n">
        <f aca="false">-K6*Assumptions!K46/100</f>
        <v>-1813.67442926169</v>
      </c>
      <c r="L17" s="4" t="n">
        <f aca="false">-L6*Assumptions!L46/100</f>
        <v>-1895.28977857846</v>
      </c>
    </row>
    <row r="18" customFormat="false" ht="15" hidden="false" customHeight="false" outlineLevel="0" collapsed="false">
      <c r="A18" s="0" t="s">
        <v>130</v>
      </c>
      <c r="C18" s="4" t="n">
        <f aca="false">(C6-B6)*Assumptions!$B$51/100</f>
        <v>-253.2789</v>
      </c>
      <c r="D18" s="4" t="n">
        <f aca="false">(D6-C6)*Assumptions!$B$51/100</f>
        <v>-253.2185955</v>
      </c>
      <c r="E18" s="4" t="n">
        <f aca="false">(E6-D6)*Assumptions!$B$51/100</f>
        <v>-233.49419964</v>
      </c>
      <c r="F18" s="4" t="n">
        <f aca="false">(F6-E6)*Assumptions!$B$51/100</f>
        <v>-236.4128771355</v>
      </c>
      <c r="G18" s="4" t="n">
        <f aca="false">(G6-F6)*Assumptions!$B$51/100</f>
        <v>-237.200920059285</v>
      </c>
      <c r="H18" s="4" t="n">
        <f aca="false">(H6-G6)*Assumptions!$B$51/100</f>
        <v>-235.676057001761</v>
      </c>
      <c r="I18" s="4" t="n">
        <f aca="false">(I6-H6)*Assumptions!$B$51/100</f>
        <v>-231.687692960193</v>
      </c>
      <c r="J18" s="4" t="n">
        <f aca="false">(J6-I6)*Assumptions!$B$51/100</f>
        <v>-225.12320832632</v>
      </c>
      <c r="K18" s="4" t="n">
        <f aca="false">(K6-J6)*Assumptions!$B$51/100</f>
        <v>-215.913622531153</v>
      </c>
      <c r="L18" s="4" t="n">
        <f aca="false">(L6-K6)*Assumptions!$B$51/100</f>
        <v>-204.038373291939</v>
      </c>
    </row>
    <row r="19" customFormat="false" ht="15" hidden="false" customHeight="false" outlineLevel="0" collapsed="false">
      <c r="A19" s="0" t="s">
        <v>131</v>
      </c>
      <c r="C19" s="0" t="n">
        <f aca="false">C15+C16+C17+C18</f>
        <v>2163.403836</v>
      </c>
      <c r="D19" s="0" t="n">
        <f aca="false">D15+D16+D17+D18</f>
        <v>2604.79905271852</v>
      </c>
      <c r="E19" s="0" t="n">
        <f aca="false">E15+E16+E17+E18</f>
        <v>3037.51436840678</v>
      </c>
      <c r="F19" s="0" t="n">
        <f aca="false">F15+F16+F17+F18</f>
        <v>3445.28426064183</v>
      </c>
      <c r="G19" s="0" t="n">
        <f aca="false">G15+G16+G17+G18</f>
        <v>3860.05754579543</v>
      </c>
      <c r="H19" s="0" t="n">
        <f aca="false">H15+H16+H17+H18</f>
        <v>4203.84628627047</v>
      </c>
      <c r="I19" s="0" t="n">
        <f aca="false">I15+I16+I17+I18</f>
        <v>4533.14733999744</v>
      </c>
      <c r="J19" s="0" t="n">
        <f aca="false">J15+J16+J17+J18</f>
        <v>4818.47507158639</v>
      </c>
      <c r="K19" s="0" t="n">
        <f aca="false">K15+K16+K17+K18</f>
        <v>5073.51671087478</v>
      </c>
      <c r="L19" s="0" t="n">
        <f aca="false">L15+L16+L17+L18</f>
        <v>5323.41632511726</v>
      </c>
    </row>
    <row r="20" customFormat="false" ht="15" hidden="false" customHeight="false" outlineLevel="0" collapsed="false">
      <c r="A20" s="0" t="s">
        <v>132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133</v>
      </c>
      <c r="C21" s="0" t="n">
        <f aca="false">C19*C20</f>
        <v>2003.1517</v>
      </c>
      <c r="D21" s="0" t="n">
        <f aca="false">D19*D20</f>
        <v>2233.1953469809</v>
      </c>
      <c r="E21" s="0" t="n">
        <f aca="false">E19*E20</f>
        <v>2411.27683820332</v>
      </c>
      <c r="F21" s="0" t="n">
        <f aca="false">F19*F20</f>
        <v>2532.3867829415</v>
      </c>
      <c r="G21" s="0" t="n">
        <f aca="false">G19*G20</f>
        <v>2627.09030525172</v>
      </c>
      <c r="H21" s="0" t="n">
        <f aca="false">H19*H20</f>
        <v>2649.13624569299</v>
      </c>
      <c r="I21" s="0" t="n">
        <f aca="false">I19*I20</f>
        <v>2645.0479331966</v>
      </c>
      <c r="J21" s="0" t="n">
        <f aca="false">J19*J20</f>
        <v>2603.27215192656</v>
      </c>
      <c r="K21" s="0" t="n">
        <f aca="false">K19*K20</f>
        <v>2538.02149433931</v>
      </c>
      <c r="L21" s="0" t="n">
        <f aca="false">L19*L20</f>
        <v>2465.77177615801</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8</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20</v>
      </c>
    </row>
    <row r="30" customFormat="false" ht="15" hidden="false" customHeight="false" outlineLevel="0" collapsed="false">
      <c r="A30" s="0" t="s">
        <v>136</v>
      </c>
      <c r="B30" s="0" t="n">
        <f aca="false">SUM(C21:L21)</f>
        <v>24708.3505746909</v>
      </c>
    </row>
    <row r="31" customFormat="false" ht="15" hidden="false" customHeight="false" outlineLevel="0" collapsed="false">
      <c r="A31" s="0" t="s">
        <v>137</v>
      </c>
      <c r="B31" s="0" t="n">
        <f aca="false">L19</f>
        <v>5323.41632511726</v>
      </c>
    </row>
    <row r="32" customFormat="false" ht="15" hidden="false" customHeight="false" outlineLevel="0" collapsed="false">
      <c r="A32" s="0" t="s">
        <v>138</v>
      </c>
      <c r="B32" s="0" t="n">
        <f aca="false">IF(B27&gt;B28,B31*(1+B28/100)/((B27-B28)/100),B31*B29)</f>
        <v>109662.376297416</v>
      </c>
    </row>
    <row r="33" customFormat="false" ht="15" hidden="false" customHeight="false" outlineLevel="0" collapsed="false">
      <c r="A33" s="0" t="s">
        <v>139</v>
      </c>
      <c r="B33" s="0" t="n">
        <f aca="false">B31*B29</f>
        <v>106468.326502345</v>
      </c>
    </row>
    <row r="34" customFormat="false" ht="15" hidden="false" customHeight="false" outlineLevel="0" collapsed="false">
      <c r="A34" s="0" t="s">
        <v>140</v>
      </c>
      <c r="B34" s="0" t="n">
        <f aca="false">MAX(0,MIN(B32,B33))</f>
        <v>106468.326502345</v>
      </c>
    </row>
    <row r="35" customFormat="false" ht="15" hidden="false" customHeight="false" outlineLevel="0" collapsed="false">
      <c r="A35" s="0" t="s">
        <v>141</v>
      </c>
      <c r="B35" s="0" t="n">
        <f aca="false">B34/(1+B27/100)^L4</f>
        <v>49315.4355231603</v>
      </c>
    </row>
    <row r="36" customFormat="false" ht="15" hidden="false" customHeight="false" outlineLevel="0" collapsed="false">
      <c r="A36" s="0" t="s">
        <v>142</v>
      </c>
      <c r="B36" s="0" t="n">
        <f aca="false">B30+B35</f>
        <v>74023.7860978512</v>
      </c>
    </row>
    <row r="37" customFormat="false" ht="15" hidden="false" customHeight="false" outlineLevel="0" collapsed="false">
      <c r="A37" s="0" t="s">
        <v>143</v>
      </c>
      <c r="B37" s="0" t="n">
        <f aca="false">B36+Assumptions!$B$5-Assumptions!$B$4</f>
        <v>61203.9860978512</v>
      </c>
    </row>
    <row r="38" customFormat="false" ht="15" hidden="false" customHeight="false" outlineLevel="0" collapsed="false">
      <c r="A38" s="0" t="s">
        <v>144</v>
      </c>
      <c r="B38" s="0" t="n">
        <f aca="false">B37/Assumptions!$B$3*Assumptions!$B$10</f>
        <v>216.881594960493</v>
      </c>
    </row>
    <row r="39" customFormat="false" ht="15" hidden="false" customHeight="false" outlineLevel="0" collapsed="false">
      <c r="A39" s="0" t="s">
        <v>145</v>
      </c>
      <c r="B39" s="4" t="n">
        <f aca="false">B38/Assumptions!$B$2-1</f>
        <v>-0.224009463807316</v>
      </c>
    </row>
    <row r="41" customFormat="false" ht="15" hidden="false" customHeight="false" outlineLevel="0" collapsed="false">
      <c r="A41" s="0" t="s">
        <v>146</v>
      </c>
      <c r="B41" s="0" t="n">
        <f aca="false">SUMPRODUCT(-C10:L10/(1+$B$27/100)^C4:L4)</f>
        <v>1362.75524352725</v>
      </c>
    </row>
    <row r="42" customFormat="false" ht="15" hidden="false" customHeight="false" outlineLevel="0" collapsed="false">
      <c r="A42" s="0" t="s">
        <v>147</v>
      </c>
      <c r="B42" s="0" t="n">
        <f aca="false">IF(B27&gt;B28,-L10*(1+B28/100)/((B27-B28)/100),-L10*20)/(1+B27/100)^L4</f>
        <v>2561.96363659622</v>
      </c>
    </row>
    <row r="43" customFormat="false" ht="15" hidden="false" customHeight="false" outlineLevel="0" collapsed="false">
      <c r="A43" s="0" t="s">
        <v>148</v>
      </c>
      <c r="B43" s="0" t="n">
        <f aca="false">(B37+B41+B42)/Assumptions!$B$3*Assumptions!$B$10</f>
        <v>230.789174266388</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45692.6567905898</v>
      </c>
    </row>
    <row r="47" customFormat="false" ht="15" hidden="false" customHeight="false" outlineLevel="0" collapsed="false">
      <c r="A47" s="0" t="s">
        <v>150</v>
      </c>
      <c r="B47" s="0" t="n">
        <f aca="false">(SUMPRODUCT(C19:L19/(1+B45/100)^C4:L4)+B46/(1+B45/100)^L4+Assumptions!$B$5-Assumptions!$B$4)/Assumptions!$B$3*Assumptions!$B$10</f>
        <v>56.933413334404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110.164732111331</v>
      </c>
      <c r="C4" s="0" t="n">
        <f aca="false">B4/Assumptions!$B$2-1</f>
        <v>-0.605836587672795</v>
      </c>
      <c r="D4" s="4" t="n">
        <f aca="false">Assumptions!$B$24</f>
        <v>0.25</v>
      </c>
      <c r="E4" s="4" t="n">
        <f aca="false">DCF_Bear!$B$43</f>
        <v>120.371370517557</v>
      </c>
      <c r="F4" s="4" t="n">
        <f aca="false">DCF_Bear!$B$47</f>
        <v>22.827607229109</v>
      </c>
    </row>
    <row r="5" customFormat="false" ht="15" hidden="false" customHeight="false" outlineLevel="0" collapsed="false">
      <c r="A5" s="0" t="s">
        <v>159</v>
      </c>
      <c r="B5" s="4" t="n">
        <f aca="false">DCF_Base!$B$38</f>
        <v>173.434227162316</v>
      </c>
      <c r="C5" s="0" t="n">
        <f aca="false">B5/Assumptions!$B$2-1</f>
        <v>-0.379461779804947</v>
      </c>
      <c r="D5" s="4" t="n">
        <f aca="false">Assumptions!$B$38</f>
        <v>0.5</v>
      </c>
      <c r="E5" s="4" t="n">
        <f aca="false">DCF_Base!$B$43</f>
        <v>186.062476351231</v>
      </c>
      <c r="F5" s="4" t="n">
        <f aca="false">DCF_Base!$B$47</f>
        <v>42.3545599216577</v>
      </c>
    </row>
    <row r="6" customFormat="false" ht="15" hidden="false" customHeight="false" outlineLevel="0" collapsed="false">
      <c r="A6" s="0" t="s">
        <v>160</v>
      </c>
      <c r="B6" s="4" t="n">
        <f aca="false">DCF_Bull!$B$38</f>
        <v>216.881594960493</v>
      </c>
      <c r="C6" s="0" t="n">
        <f aca="false">B6/Assumptions!$B$2-1</f>
        <v>-0.224009463807316</v>
      </c>
      <c r="D6" s="4" t="n">
        <f aca="false">Assumptions!$B$52</f>
        <v>0.25</v>
      </c>
      <c r="E6" s="4" t="n">
        <f aca="false">DCF_Bull!$B$43</f>
        <v>230.789174266388</v>
      </c>
      <c r="F6" s="4" t="n">
        <f aca="false">DCF_Bull!$B$47</f>
        <v>56.933413334404</v>
      </c>
    </row>
    <row r="8" customFormat="false" ht="15" hidden="false" customHeight="false" outlineLevel="0" collapsed="false">
      <c r="A8" s="0" t="s">
        <v>161</v>
      </c>
      <c r="B8" s="0" t="n">
        <f aca="false">SUMPRODUCT(B4:B6,D4:D6)</f>
        <v>168.478695349114</v>
      </c>
    </row>
    <row r="9" customFormat="false" ht="15" hidden="false" customHeight="false" outlineLevel="0" collapsed="false">
      <c r="A9" s="0" t="s">
        <v>162</v>
      </c>
      <c r="B9" s="0" t="n">
        <f aca="false">SUMPRODUCT(E4:E6,D4:D6)</f>
        <v>180.821374371602</v>
      </c>
    </row>
    <row r="10" customFormat="false" ht="15" hidden="false" customHeight="false" outlineLevel="0" collapsed="false">
      <c r="A10" s="0" t="s">
        <v>163</v>
      </c>
      <c r="B10" s="0" t="n">
        <f aca="false">1-Assumptions!$B$2/B8</f>
        <v>-0.658904109037964</v>
      </c>
    </row>
    <row r="11" customFormat="false" ht="15" hidden="false" customHeight="false" outlineLevel="0" collapsed="false">
      <c r="A11" s="0" t="s">
        <v>164</v>
      </c>
      <c r="B11" s="0" t="n">
        <f aca="false">IF(ABS(B9-B8)&gt;0.01*ABS(B8),(Assumptions!$B$2-B8)/(B9-B8)*100,"n/a")</f>
        <v>899.41012359332</v>
      </c>
    </row>
    <row r="12" customFormat="false" ht="15" hidden="false" customHeight="false" outlineLevel="0" collapsed="false">
      <c r="A12" s="0" t="s">
        <v>165</v>
      </c>
      <c r="B12" s="0" t="n">
        <f aca="false">SUMPRODUCT(F4:F6,D4:D6)</f>
        <v>41.1175351017071</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173.434227162316</v>
      </c>
      <c r="C15" s="3" t="n">
        <v>8</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138.801568518789</v>
      </c>
      <c r="C16" s="3" t="n">
        <v>9</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111.090510887802</v>
      </c>
      <c r="C17" s="3" t="n">
        <v>10</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90.3662458702129</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74.2964054910511</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42.3545599216577</v>
      </c>
      <c r="C20" s="3" t="n">
        <v>15</v>
      </c>
    </row>
    <row r="22" customFormat="false" ht="15" hidden="false" customHeight="false" outlineLevel="0" collapsed="false">
      <c r="A22" s="2" t="s">
        <v>174</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211.042559678715</v>
      </c>
      <c r="C24" s="0" t="n">
        <f aca="false">(SUMPRODUCT(DCF_Base!$C$19:$L$19/(1+$A$24/100)^DCF_Base!$C$4:$L$4)+MAX(0,MIN(IF($A$24&gt;$C$23,DCF_Base!$L$19*(1+$C$23/100)/(($A$24-$C$23)/100),DCF_Base!$L$19*DCF_Base!$B$29),DCF_Base!$L$19*DCF_Base!$B$29))/(1+$A$24/100)^DCF_Base!$L$4+Assumptions!$B$5-Assumptions!$B$4)/Assumptions!$B$3*Assumptions!$B$10</f>
        <v>211.042559678715</v>
      </c>
      <c r="D24" s="0" t="n">
        <f aca="false">(SUMPRODUCT(DCF_Base!$C$19:$L$19/(1+$A$24/100)^DCF_Base!$C$4:$L$4)+MAX(0,MIN(IF($A$24&gt;$D$23,DCF_Base!$L$19*(1+$D$23/100)/(($A$24-$D$23)/100),DCF_Base!$L$19*DCF_Base!$B$29),DCF_Base!$L$19*DCF_Base!$B$29))/(1+$A$24/100)^DCF_Base!$L$4+Assumptions!$B$5-Assumptions!$B$4)/Assumptions!$B$3*Assumptions!$B$10</f>
        <v>211.042559678715</v>
      </c>
      <c r="E24" s="0" t="n">
        <f aca="false">(SUMPRODUCT(DCF_Base!$C$19:$L$19/(1+$A$24/100)^DCF_Base!$C$4:$L$4)+MAX(0,MIN(IF($A$24&gt;$E$23,DCF_Base!$L$19*(1+$E$23/100)/(($A$24-$E$23)/100),DCF_Base!$L$19*DCF_Base!$B$29),DCF_Base!$L$19*DCF_Base!$B$29))/(1+$A$24/100)^DCF_Base!$L$4+Assumptions!$B$5-Assumptions!$B$4)/Assumptions!$B$3*Assumptions!$B$10</f>
        <v>211.042559678715</v>
      </c>
      <c r="F24" s="0" t="n">
        <f aca="false">(SUMPRODUCT(DCF_Base!$C$19:$L$19/(1+$A$24/100)^DCF_Base!$C$4:$L$4)+MAX(0,MIN(IF($A$24&gt;$F$23,DCF_Base!$L$19*(1+$F$23/100)/(($A$24-$F$23)/100),DCF_Base!$L$19*DCF_Base!$B$29),DCF_Base!$L$19*DCF_Base!$B$29))/(1+$A$24/100)^DCF_Base!$L$4+Assumptions!$B$5-Assumptions!$B$4)/Assumptions!$B$3*Assumptions!$B$10</f>
        <v>211.042559678715</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191.33185185701</v>
      </c>
      <c r="C25" s="0" t="n">
        <f aca="false">(SUMPRODUCT(DCF_Base!$C$19:$L$19/(1+$A$25/100)^DCF_Base!$C$4:$L$4)+MAX(0,MIN(IF($A$25&gt;$C$23,DCF_Base!$L$19*(1+$C$23/100)/(($A$25-$C$23)/100),DCF_Base!$L$19*DCF_Base!$B$29),DCF_Base!$L$19*DCF_Base!$B$29))/(1+$A$25/100)^DCF_Base!$L$4+Assumptions!$B$5-Assumptions!$B$4)/Assumptions!$B$3*Assumptions!$B$10</f>
        <v>191.33185185701</v>
      </c>
      <c r="D25" s="0" t="n">
        <f aca="false">(SUMPRODUCT(DCF_Base!$C$19:$L$19/(1+$A$25/100)^DCF_Base!$C$4:$L$4)+MAX(0,MIN(IF($A$25&gt;$D$23,DCF_Base!$L$19*(1+$D$23/100)/(($A$25-$D$23)/100),DCF_Base!$L$19*DCF_Base!$B$29),DCF_Base!$L$19*DCF_Base!$B$29))/(1+$A$25/100)^DCF_Base!$L$4+Assumptions!$B$5-Assumptions!$B$4)/Assumptions!$B$3*Assumptions!$B$10</f>
        <v>191.33185185701</v>
      </c>
      <c r="E25" s="0" t="n">
        <f aca="false">(SUMPRODUCT(DCF_Base!$C$19:$L$19/(1+$A$25/100)^DCF_Base!$C$4:$L$4)+MAX(0,MIN(IF($A$25&gt;$E$23,DCF_Base!$L$19*(1+$E$23/100)/(($A$25-$E$23)/100),DCF_Base!$L$19*DCF_Base!$B$29),DCF_Base!$L$19*DCF_Base!$B$29))/(1+$A$25/100)^DCF_Base!$L$4+Assumptions!$B$5-Assumptions!$B$4)/Assumptions!$B$3*Assumptions!$B$10</f>
        <v>191.33185185701</v>
      </c>
      <c r="F25" s="0" t="n">
        <f aca="false">(SUMPRODUCT(DCF_Base!$C$19:$L$19/(1+$A$25/100)^DCF_Base!$C$4:$L$4)+MAX(0,MIN(IF($A$25&gt;$F$23,DCF_Base!$L$19*(1+$F$23/100)/(($A$25-$F$23)/100),DCF_Base!$L$19*DCF_Base!$B$29),DCF_Base!$L$19*DCF_Base!$B$29))/(1+$A$25/100)^DCF_Base!$L$4+Assumptions!$B$5-Assumptions!$B$4)/Assumptions!$B$3*Assumptions!$B$10</f>
        <v>191.33185185701</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152.114242439518</v>
      </c>
      <c r="C26" s="0" t="n">
        <f aca="false">(SUMPRODUCT(DCF_Base!$C$19:$L$19/(1+$A$26/100)^DCF_Base!$C$4:$L$4)+MAX(0,MIN(IF($A$26&gt;$C$23,DCF_Base!$L$19*(1+$C$23/100)/(($A$26-$C$23)/100),DCF_Base!$L$19*DCF_Base!$B$29),DCF_Base!$L$19*DCF_Base!$B$29))/(1+$A$26/100)^DCF_Base!$L$4+Assumptions!$B$5-Assumptions!$B$4)/Assumptions!$B$3*Assumptions!$B$10</f>
        <v>163.743325015589</v>
      </c>
      <c r="D26" s="0" t="n">
        <f aca="false">(SUMPRODUCT(DCF_Base!$C$19:$L$19/(1+$A$26/100)^DCF_Base!$C$4:$L$4)+MAX(0,MIN(IF($A$26&gt;$D$23,DCF_Base!$L$19*(1+$D$23/100)/(($A$26-$D$23)/100),DCF_Base!$L$19*DCF_Base!$B$29),DCF_Base!$L$19*DCF_Base!$B$29))/(1+$A$26/100)^DCF_Base!$L$4+Assumptions!$B$5-Assumptions!$B$4)/Assumptions!$B$3*Assumptions!$B$10</f>
        <v>173.434227162316</v>
      </c>
      <c r="E26" s="0" t="n">
        <f aca="false">(SUMPRODUCT(DCF_Base!$C$19:$L$19/(1+$A$26/100)^DCF_Base!$C$4:$L$4)+MAX(0,MIN(IF($A$26&gt;$E$23,DCF_Base!$L$19*(1+$E$23/100)/(($A$26-$E$23)/100),DCF_Base!$L$19*DCF_Base!$B$29),DCF_Base!$L$19*DCF_Base!$B$29))/(1+$A$26/100)^DCF_Base!$L$4+Assumptions!$B$5-Assumptions!$B$4)/Assumptions!$B$3*Assumptions!$B$10</f>
        <v>173.434227162316</v>
      </c>
      <c r="F26" s="0" t="n">
        <f aca="false">(SUMPRODUCT(DCF_Base!$C$19:$L$19/(1+$A$26/100)^DCF_Base!$C$4:$L$4)+MAX(0,MIN(IF($A$26&gt;$F$23,DCF_Base!$L$19*(1+$F$23/100)/(($A$26-$F$23)/100),DCF_Base!$L$19*DCF_Base!$B$29),DCF_Base!$L$19*DCF_Base!$B$29))/(1+$A$26/100)^DCF_Base!$L$4+Assumptions!$B$5-Assumptions!$B$4)/Assumptions!$B$3*Assumptions!$B$10</f>
        <v>173.434227162316</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121.981978040196</v>
      </c>
      <c r="C27" s="0" t="n">
        <f aca="false">(SUMPRODUCT(DCF_Base!$C$19:$L$19/(1+$A$27/100)^DCF_Base!$C$4:$L$4)+MAX(0,MIN(IF($A$27&gt;$C$23,DCF_Base!$L$19*(1+$C$23/100)/(($A$27-$C$23)/100),DCF_Base!$L$19*DCF_Base!$B$29),DCF_Base!$L$19*DCF_Base!$B$29))/(1+$A$27/100)^DCF_Base!$L$4+Assumptions!$B$5-Assumptions!$B$4)/Assumptions!$B$3*Assumptions!$B$10</f>
        <v>129.744865953393</v>
      </c>
      <c r="D27" s="0" t="n">
        <f aca="false">(SUMPRODUCT(DCF_Base!$C$19:$L$19/(1+$A$27/100)^DCF_Base!$C$4:$L$4)+MAX(0,MIN(IF($A$27&gt;$D$23,DCF_Base!$L$19*(1+$D$23/100)/(($A$27-$D$23)/100),DCF_Base!$L$19*DCF_Base!$B$29),DCF_Base!$L$19*DCF_Base!$B$29))/(1+$A$27/100)^DCF_Base!$L$4+Assumptions!$B$5-Assumptions!$B$4)/Assumptions!$B$3*Assumptions!$B$10</f>
        <v>138.801568518789</v>
      </c>
      <c r="E27" s="0" t="n">
        <f aca="false">(SUMPRODUCT(DCF_Base!$C$19:$L$19/(1+$A$27/100)^DCF_Base!$C$4:$L$4)+MAX(0,MIN(IF($A$27&gt;$E$23,DCF_Base!$L$19*(1+$E$23/100)/(($A$27-$E$23)/100),DCF_Base!$L$19*DCF_Base!$B$29),DCF_Base!$L$19*DCF_Base!$B$29))/(1+$A$27/100)^DCF_Base!$L$4+Assumptions!$B$5-Assumptions!$B$4)/Assumptions!$B$3*Assumptions!$B$10</f>
        <v>149.504944277894</v>
      </c>
      <c r="F27" s="0" t="n">
        <f aca="false">(SUMPRODUCT(DCF_Base!$C$19:$L$19/(1+$A$27/100)^DCF_Base!$C$4:$L$4)+MAX(0,MIN(IF($A$27&gt;$F$23,DCF_Base!$L$19*(1+$F$23/100)/(($A$27-$F$23)/100),DCF_Base!$L$19*DCF_Base!$B$29),DCF_Base!$L$19*DCF_Base!$B$29))/(1+$A$27/100)^DCF_Base!$L$4+Assumptions!$B$5-Assumptions!$B$4)/Assumptions!$B$3*Assumptions!$B$10</f>
        <v>157.164240692667</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99.4711833059622</v>
      </c>
      <c r="C28" s="0" t="n">
        <f aca="false">(SUMPRODUCT(DCF_Base!$C$19:$L$19/(1+$A$28/100)^DCF_Base!$C$4:$L$4)+MAX(0,MIN(IF($A$28&gt;$C$23,DCF_Base!$L$19*(1+$C$23/100)/(($A$28-$C$23)/100),DCF_Base!$L$19*DCF_Base!$B$29),DCF_Base!$L$19*DCF_Base!$B$29))/(1+$A$28/100)^DCF_Base!$L$4+Assumptions!$B$5-Assumptions!$B$4)/Assumptions!$B$3*Assumptions!$B$10</f>
        <v>104.893536177488</v>
      </c>
      <c r="D28" s="0" t="n">
        <f aca="false">(SUMPRODUCT(DCF_Base!$C$19:$L$19/(1+$A$28/100)^DCF_Base!$C$4:$L$4)+MAX(0,MIN(IF($A$28&gt;$D$23,DCF_Base!$L$19*(1+$D$23/100)/(($A$28-$D$23)/100),DCF_Base!$L$19*DCF_Base!$B$29),DCF_Base!$L$19*DCF_Base!$B$29))/(1+$A$28/100)^DCF_Base!$L$4+Assumptions!$B$5-Assumptions!$B$4)/Assumptions!$B$3*Assumptions!$B$10</f>
        <v>111.090510887802</v>
      </c>
      <c r="E28" s="0" t="n">
        <f aca="false">(SUMPRODUCT(DCF_Base!$C$19:$L$19/(1+$A$28/100)^DCF_Base!$C$4:$L$4)+MAX(0,MIN(IF($A$28&gt;$E$23,DCF_Base!$L$19*(1+$E$23/100)/(($A$28-$E$23)/100),DCF_Base!$L$19*DCF_Base!$B$29),DCF_Base!$L$19*DCF_Base!$B$29))/(1+$A$28/100)^DCF_Base!$L$4+Assumptions!$B$5-Assumptions!$B$4)/Assumptions!$B$3*Assumptions!$B$10</f>
        <v>118.240866322781</v>
      </c>
      <c r="F28" s="0" t="n">
        <f aca="false">(SUMPRODUCT(DCF_Base!$C$19:$L$19/(1+$A$28/100)^DCF_Base!$C$4:$L$4)+MAX(0,MIN(IF($A$28&gt;$F$23,DCF_Base!$L$19*(1+$F$23/100)/(($A$28-$F$23)/100),DCF_Base!$L$19*DCF_Base!$B$29),DCF_Base!$L$19*DCF_Base!$B$29))/(1+$A$28/100)^DCF_Base!$L$4+Assumptions!$B$5-Assumptions!$B$4)/Assumptions!$B$3*Assumptions!$B$10</f>
        <v>126.582947663589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2026-09-28T07:20:49Z</dcterms:created>
  <dc:creator>openpyxl</dc:creator>
  <dc:description/>
  <dc:language>en-NZ</dc:language>
  <cp:lastModifiedBy/>
  <dcterms:modified xsi:type="dcterms:W3CDTF">2026-09-28T07:20:49Z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