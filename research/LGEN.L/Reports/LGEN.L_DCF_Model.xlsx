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<sst xmlns="http://schemas.openxmlformats.org/spreadsheetml/2006/main" count="364" uniqueCount="172">
  <si>
    <t xml:space="preserve">Ticker</t>
  </si>
  <si>
    <t xml:space="preserve">LGEN.L</t>
  </si>
  <si>
    <t xml:space="preserve">Company</t>
  </si>
  <si>
    <t xml:space="preserve">Legal &amp; General Group plc</t>
  </si>
  <si>
    <t xml:space="preserve">Valuation date</t>
  </si>
  <si>
    <t xml:space="preserve">2026-10-10</t>
  </si>
  <si>
    <t xml:space="preserve">Current price</t>
  </si>
  <si>
    <t xml:space="preserve">Price as of</t>
  </si>
  <si>
    <t xml:space="preserve">2026-10-09T15:49:17Z LSE closing auction (regular close, Friday); 52-week range 217.2-318.1p</t>
  </si>
  <si>
    <t xml:space="preserve">Balance sheet date</t>
  </si>
  <si>
    <t xml:space="preserve">2026-06-30</t>
  </si>
  <si>
    <t xml:space="preserve">Model</t>
  </si>
  <si>
    <t xml:space="preserve">Life insurer FCFE at cost of equity, net debt held at zero (engine route)</t>
  </si>
  <si>
    <t xml:space="preserve">Currency (model)</t>
  </si>
  <si>
    <t xml:space="preserve">GBP</t>
  </si>
  <si>
    <t xml:space="preserve">Currency (quote)</t>
  </si>
  <si>
    <t xml:space="preserve">GBp</t>
  </si>
  <si>
    <t xml:space="preserve">Units</t>
  </si>
  <si>
    <t xml:space="preserve">millions</t>
  </si>
  <si>
    <t xml:space="preserve">Engine</t>
  </si>
  <si>
    <t xml:space="preserve">dcf_engine v1</t>
  </si>
  <si>
    <t xml:space="preserve">Built at</t>
  </si>
  <si>
    <t xml:space="preserve">2026-10-10T00:57:42Z</t>
  </si>
  <si>
    <t xml:space="preserve">Drivers file</t>
  </si>
  <si>
    <t xml:space="preserve">LGEN.L_Drivers.json</t>
  </si>
  <si>
    <t xml:space="preserve">Convention</t>
  </si>
  <si>
    <t xml:space="preserve">Percents stored as percents; formulas divide by 100. Blue = input, green = link, black = formula.</t>
  </si>
  <si>
    <t xml:space="preserve">Methodology</t>
  </si>
  <si>
    <t xml:space="preserve">summary: Value a life insurer on the cash it can distribute to shareholders, not on IFRS net income (dominated by investment variance under IFRS 17) and not on OCF (policyholder flows). Core operating profit after the standard tax rate is L&amp;G's own measure of distributable earnings and is what the dividend is paid from; management's Solvency II surplus-generation commentary sets how much of it must be retained. Debt interest is already inside that earnings measure, so net debt is zero in the bridge. The one-off Meiji Yasuda capital that funds the remaining buyback is added once. Historical growth from the CSV is unusable across the IFRS 17 transition and the US disposal, so the forward paths are built from management's segment targets, haircut for the H1 2026 evidence of PRT competition.
key_risks_to_valuation: PRT competition: Rothesay (c.28%) overtook L&amp;G (c.18%) in H1 2026; sustained share loss slows back-book growth and LGIM flow-through -- the bear path; Rate/credit-spread sensitivity of the GBP91bn annuity portfolio: IFRS earnings and SII own funds both move with gilts and spreads (H1 2026 took GBP344M of adverse economic variance below core operating profit); Longevity assumption changes on a long-duration back book; Solvency UK / matching-adjustment regime changes and Pillar II (Bermuda deferred tax asset unwind from 2027); LGIM fee compression on the GBP1.2tn index/LDI-heavy AUM base; Asset Management target of GBP500-600M by 2028 depends on the Private Markets mix shift; Execution of the 1,000-role restructuring announced Sept 2026; Model risk: the valuation assumes 90-95% of after-tax core earnings is distributable; if new-business strain structurally exceeds the SII release from the back book, FCFE is lower than modelled</t>
  </si>
  <si>
    <t xml:space="preserve">Data sources</t>
  </si>
  <si>
    <t xml:space="preserve">price: Yahoo Finance chart API at inputs.price_as_of (LSE regular close); 52-week range 217.2-318.1p
financials: LGEN.L_Metrics.csv (core_metrics, GBP millions, FY2017-FY2025 + H1 FY2025/H1 FY2026); FY2025 Annual Report (core operating profit by segment, Note 34 share-based payments, core operating EPS note, borrowings, SII own funds analysis); H1 2026 Interim Management Report (SII capital table, OSG/NSG, share capital note, segment table, tax); H1 2026 results presentation (asset optimisation guidance)
qualitative: LGEN.L_Analysis.json (2026-10-10): PRT competition, Meiji Yasuda divestiture, GBP1.2bn buyback, Solvency II regime, Sept 2026 restructuring</t>
  </si>
  <si>
    <t xml:space="preserve">Scenario narrative: bear</t>
  </si>
  <si>
    <t xml:space="preserve">Pricing discipline costs share permanently, LGIM fee compression wins, asset optimisation normalises lower, restructuring disappoints and Pillar II lifts tax; the stock settles at 9x a slower-growing FCFE stream.</t>
  </si>
  <si>
    <t xml:space="preserve">Scenario narrative: base</t>
  </si>
  <si>
    <t xml:space="preserve">A UK retirement-and-asset-management flywheel paying out most of what it earns. Core operating profit compounds at ~6% to FY2028, roughly the midpoint of management's segment targets, then fades; after 25% tax and a 5-10% retention for new-business strain, the FCFE stream is capitalised at a 10.5% GBP cost of equity with the terminal capped at 11x. The remaining GBP600M of the Meiji-funded buyback is added once as surplus capital. The result is modestly above the price: the market is paying for a ~7.6% dividend yield growing 2% and little else.</t>
  </si>
  <si>
    <t xml:space="preserve">Scenario narrative: bull</t>
  </si>
  <si>
    <t xml:space="preserve">Everything on the 2028 scorecard is delivered: Asset Management at GBP600M, PRT volumes recover with share held at the IRR hurdle, asset optimisation stays above GBP400M, the cost programme sticks, strain stays near 1% so conversion reaches 100%, and the stock rerates to 12x FCFE.</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</si>
  <si>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</si>
  <si>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</si>
  <si>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</si>
  <si>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</si>
  <si>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</si>
  <si>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</si>
  <si>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</si>
  <si>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</si>
  <si>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</si>
  <si>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</si>
  <si>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</si>
  <si>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</si>
  <si>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</si>
  <si>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</si>
  <si>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</si>
  <si>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</si>
  <si>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</si>
  <si>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</si>
  <si>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</si>
  <si>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</si>
  <si>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</si>
  <si>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</si>
  <si>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</si>
  <si>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</si>
  <si>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</si>
  <si>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</si>
  <si>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</si>
  <si>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GrossWrittenPremium</t>
  </si>
  <si>
    <t xml:space="preserve">InsuranceServiceResult</t>
  </si>
  <si>
    <t xml:space="preserve">InvestmentIncome</t>
  </si>
  <si>
    <t xml:space="preserve">NetEarnedPremium</t>
  </si>
  <si>
    <t xml:space="preserve">NetIncomeContinuing</t>
  </si>
  <si>
    <t xml:space="preserve">NetIncomeDiscontinued</t>
  </si>
  <si>
    <t xml:space="preserve">TotalIncome</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</si>
  <si>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</si>
  <si>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</si>
  <si>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</si>
  <si>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</si>
  <si>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</si>
  <si>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</si>
  <si>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</si>
  <si>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</si>
  <si>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</si>
  <si>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</si>
  <si>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</si>
  <si>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</si>
  <si>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</si>
  <si>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</si>
  <si>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</si>
  <si>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</si>
  <si>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</si>
  <si>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</si>
  <si>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</si>
  <si>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GBP millions</t>
  </si>
  <si>
    <t xml:space="preserve">FX rate (model -&gt; quote)</t>
  </si>
  <si>
    <t xml:space="preserve">BEAR</t>
  </si>
  <si>
    <t xml:space="preserve">FY2026</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</si>
  <si>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</si>
  <si>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</si>
  <si>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</si>
  <si>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</si>
  <si>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</si>
  <si>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</si>
  <si>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</si>
  <si>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</si>
  <si>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</si>
  <si>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</si>
  <si>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</si>
  <si>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</si>
  <si>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</si>
  <si>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</si>
  <si>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</si>
  <si>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</si>
  <si>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</si>
  <si>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</si>
  <si>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</si>
  <si>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</si>
  <si>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</si>
  <si>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</si>
  <si>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</si>
  <si>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LGEN.L owner-FCF component DCF: bear case (millions, GBP)</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</si>
  <si>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</si>
  <si>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</si>
  <si>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</si>
  <si>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</si>
  <si>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</si>
  <si>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</si>
  <si>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</si>
  <si>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</si>
  <si>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</si>
  <si>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</si>
  <si>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</si>
  <si>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</si>
  <si>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</si>
  <si>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</si>
  <si>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</si>
  <si>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</si>
  <si>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</si>
  <si>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</si>
  <si>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</si>
  <si>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</si>
  <si>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</si>
  <si>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</si>
  <si>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</si>
  <si>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</si>
  <si>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</si>
  <si>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</si>
  <si>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</si>
  <si>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</si>
  <si>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</si>
  <si>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</si>
  <si>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LGEN.L owner-FCF component DCF: base case (millions, GBP)</t>
  </si>
  <si>
    <t xml:space="preserve">LGEN.L owner-FCF component DCF: bull case (millions, GBP)</t>
  </si>
  <si>
    <t xml:space="preserve">LGEN.L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</si>
  <si>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</si>
  <si>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</si>
  <si>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</si>
  <si>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</si>
  <si>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</si>
  <si>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</si>
  <si>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</si>
  <si>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</si>
  <si>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</si>
  <si>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</si>
  <si>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</si>
  <si>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</si>
  <si>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</si>
  <si>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</si>
  <si>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9%</t>
  </si>
  <si>
    <t xml:space="preserve">Value per share at 10%</t>
  </si>
  <si>
    <t xml:space="preserve">Value per share at 10.5% (WACC)</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</si>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</sst>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287</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16</v>
      </c>
    </row>
    <row r="10" customFormat="false" ht="15" hidden="false" customHeight="false" outlineLevel="0" collapsed="false">
      <c r="A10" s="0" t="s">
        <v>17</v>
      </c>
      <c r="B10" s="0" t="s">
        <v>18</v>
      </c>
    </row>
    <row r="11" customFormat="false" ht="15" hidden="false" customHeight="false" outlineLevel="0" collapsed="false">
      <c r="A11" s="0" t="s">
        <v>19</v>
      </c>
      <c r="B11" s="0" t="s">
        <v>20</v>
      </c>
    </row>
    <row r="12" customFormat="false" ht="15" hidden="false" customHeight="false" outlineLevel="0" collapsed="false">
      <c r="A12" s="0" t="s">
        <v>21</v>
      </c>
      <c r="B12" s="0" t="s">
        <v>22</v>
      </c>
    </row>
    <row r="13" customFormat="false" ht="15" hidden="false" customHeight="false" outlineLevel="0" collapsed="false">
      <c r="A13" s="0" t="s">
        <v>23</v>
      </c>
      <c r="B13" s="0" t="s">
        <v>24</v>
      </c>
    </row>
    <row r="14" customFormat="false" ht="15" hidden="false" customHeight="false" outlineLevel="0" collapsed="false">
      <c r="A14" s="0" t="s">
        <v>25</v>
      </c>
      <c r="B14" s="0" t="s">
        <v>26</v>
      </c>
    </row>
    <row r="15" customFormat="false" ht="23.85" hidden="false" customHeight="false" outlineLevel="0" collapsed="false">
      <c r="A15" s="0" t="s">
        <v>27</v>
      </c>
      <c r="B15" s="1" t="s">
        <v>28</v>
      </c>
    </row>
    <row r="16" customFormat="false" ht="35.05" hidden="false" customHeight="false" outlineLevel="0" collapsed="false">
      <c r="A16" s="0" t="s">
        <v>29</v>
      </c>
      <c r="B16" s="1" t="s">
        <v>30</v>
      </c>
    </row>
    <row r="17" customFormat="false" ht="15" hidden="false" customHeight="false" outlineLevel="0" collapsed="false">
      <c r="A17" s="0" t="s">
        <v>31</v>
      </c>
      <c r="B17" s="0" t="s">
        <v>32</v>
      </c>
    </row>
    <row r="18" customFormat="false" ht="15" hidden="false" customHeight="false" outlineLevel="0" collapsed="false">
      <c r="A18" s="0" t="s">
        <v>33</v>
      </c>
      <c r="B18" s="0" t="s">
        <v>34</v>
      </c>
    </row>
    <row r="19" customFormat="false" ht="15" hidden="false" customHeight="false" outlineLevel="0" collapsed="false">
      <c r="A19" s="0" t="s">
        <v>35</v>
      </c>
      <c r="B19" s="0"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I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37</v>
      </c>
      <c r="B1" s="2" t="s">
        <v>38</v>
      </c>
      <c r="C1" s="2" t="s">
        <v>39</v>
      </c>
      <c r="D1" s="2" t="s">
        <v>40</v>
      </c>
      <c r="E1" s="2" t="s">
        <v>41</v>
      </c>
      <c r="F1" s="2" t="s">
        <v>42</v>
      </c>
      <c r="G1" s="2" t="s">
        <v>43</v>
      </c>
      <c r="H1" s="2" t="s">
        <v>44</v>
      </c>
      <c r="I1" s="2" t="s">
        <v>45</v>
      </c>
      <c r="J1" s="2" t="s">
        <v>46</v>
      </c>
      <c r="K1" s="2" t="s">
        <v>47</v>
      </c>
      <c r="L1" s="2" t="s">
        <v>48</v>
      </c>
      <c r="M1" s="2" t="s">
        <v>49</v>
      </c>
      <c r="N1" s="2" t="s">
        <v>50</v>
      </c>
      <c r="O1" s="2" t="s">
        <v>51</v>
      </c>
      <c r="P1" s="2" t="s">
        <v>52</v>
      </c>
      <c r="Q1" s="2" t="s">
        <v>53</v>
      </c>
      <c r="R1" s="2" t="s">
        <v>54</v>
      </c>
      <c r="S1" s="2" t="s">
        <v>55</v>
      </c>
      <c r="T1" s="2" t="s">
        <v>56</v>
      </c>
      <c r="U1" s="2" t="s">
        <v>57</v>
      </c>
      <c r="V1" s="2" t="s">
        <v>58</v>
      </c>
      <c r="W1" s="2" t="s">
        <v>59</v>
      </c>
      <c r="X1" s="2" t="s">
        <v>60</v>
      </c>
      <c r="Y1" s="2" t="s">
        <v>61</v>
      </c>
      <c r="Z1" s="2" t="s">
        <v>62</v>
      </c>
      <c r="AA1" s="2" t="s">
        <v>17</v>
      </c>
      <c r="AB1" s="2" t="s">
        <v>63</v>
      </c>
      <c r="AC1" s="2" t="s">
        <v>64</v>
      </c>
      <c r="AD1" s="2" t="s">
        <v>65</v>
      </c>
      <c r="AE1" s="2" t="s">
        <v>66</v>
      </c>
      <c r="AF1" s="2" t="s">
        <v>67</v>
      </c>
      <c r="AG1" s="2" t="s">
        <v>68</v>
      </c>
      <c r="AH1" s="2" t="s">
        <v>69</v>
      </c>
      <c r="AI1" s="2" t="s">
        <v>70</v>
      </c>
    </row>
    <row r="2" customFormat="false" ht="15" hidden="false" customHeight="false" outlineLevel="0" collapsed="false">
      <c r="A2" s="0" t="s">
        <v>71</v>
      </c>
      <c r="B2" s="0" t="n">
        <v>7034</v>
      </c>
      <c r="I2" s="0" t="n">
        <v>1891</v>
      </c>
      <c r="J2" s="0" t="n">
        <v>26.9</v>
      </c>
      <c r="K2" s="0" t="n">
        <v>0.3187</v>
      </c>
      <c r="L2" s="0" t="n">
        <v>4411</v>
      </c>
      <c r="M2" s="0" t="n">
        <v>230</v>
      </c>
      <c r="O2" s="0" t="n">
        <v>7843</v>
      </c>
      <c r="P2" s="0" t="n">
        <v>505877</v>
      </c>
      <c r="Q2" s="0" t="n">
        <v>497958</v>
      </c>
      <c r="R2" s="0" t="n">
        <v>3997</v>
      </c>
      <c r="S2" s="0" t="n">
        <v>18919</v>
      </c>
      <c r="T2" s="0" t="n">
        <v>5960</v>
      </c>
      <c r="AA2" s="0" t="s">
        <v>18</v>
      </c>
      <c r="AB2" s="0" t="s">
        <v>14</v>
      </c>
      <c r="AC2" s="0" t="n">
        <v>7932</v>
      </c>
      <c r="AE2" s="0" t="n">
        <v>9953</v>
      </c>
      <c r="AF2" s="0" t="n">
        <v>6051</v>
      </c>
      <c r="AG2" s="0" t="n">
        <v>1822</v>
      </c>
      <c r="AH2" s="0" t="n">
        <v>80</v>
      </c>
      <c r="AI2" s="0" t="n">
        <v>40491</v>
      </c>
    </row>
    <row r="3" customFormat="false" ht="15" hidden="false" customHeight="false" outlineLevel="0" collapsed="false">
      <c r="A3" s="0" t="s">
        <v>72</v>
      </c>
      <c r="B3" s="0" t="n">
        <v>13111</v>
      </c>
      <c r="I3" s="0" t="n">
        <v>1827</v>
      </c>
      <c r="J3" s="0" t="n">
        <v>13.9</v>
      </c>
      <c r="K3" s="0" t="n">
        <v>0.3079</v>
      </c>
      <c r="L3" s="0" t="n">
        <v>-361</v>
      </c>
      <c r="M3" s="0" t="n">
        <v>401</v>
      </c>
      <c r="O3" s="0" t="n">
        <v>8580</v>
      </c>
      <c r="P3" s="0" t="n">
        <v>492517</v>
      </c>
      <c r="Q3" s="0" t="n">
        <v>483865</v>
      </c>
      <c r="R3" s="0" t="n">
        <v>4948</v>
      </c>
      <c r="S3" s="0" t="n">
        <v>17321</v>
      </c>
      <c r="T3" s="0" t="n">
        <v>5960</v>
      </c>
      <c r="AA3" s="0" t="s">
        <v>18</v>
      </c>
      <c r="AB3" s="0" t="s">
        <v>14</v>
      </c>
      <c r="AC3" s="0" t="n">
        <v>13253</v>
      </c>
      <c r="AE3" s="0" t="n">
        <v>10182</v>
      </c>
      <c r="AF3" s="0" t="n">
        <v>11103</v>
      </c>
      <c r="AG3" s="0" t="n">
        <v>1744</v>
      </c>
      <c r="AH3" s="0" t="n">
        <v>64</v>
      </c>
      <c r="AI3" s="0" t="n">
        <v>1264</v>
      </c>
    </row>
    <row r="4" customFormat="false" ht="15" hidden="false" customHeight="false" outlineLevel="0" collapsed="false">
      <c r="A4" s="0" t="s">
        <v>73</v>
      </c>
      <c r="B4" s="0" t="n">
        <v>13772</v>
      </c>
      <c r="I4" s="0" t="n">
        <v>1834</v>
      </c>
      <c r="J4" s="0" t="n">
        <v>13.3</v>
      </c>
      <c r="K4" s="0" t="n">
        <v>0.3092</v>
      </c>
      <c r="L4" s="0" t="n">
        <v>-3285</v>
      </c>
      <c r="M4" s="0" t="n">
        <v>89</v>
      </c>
      <c r="O4" s="0" t="n">
        <v>9367</v>
      </c>
      <c r="P4" s="0" t="n">
        <v>560607</v>
      </c>
      <c r="Q4" s="0" t="n">
        <v>551185</v>
      </c>
      <c r="R4" s="0" t="n">
        <v>5111</v>
      </c>
      <c r="S4" s="0" t="n">
        <v>13923</v>
      </c>
      <c r="T4" s="0" t="n">
        <v>5960</v>
      </c>
      <c r="AA4" s="0" t="s">
        <v>18</v>
      </c>
      <c r="AB4" s="0" t="s">
        <v>14</v>
      </c>
      <c r="AC4" s="0" t="n">
        <v>15203</v>
      </c>
      <c r="AE4" s="0" t="n">
        <v>10501</v>
      </c>
      <c r="AF4" s="0" t="n">
        <v>11685</v>
      </c>
      <c r="AG4" s="0" t="n">
        <v>1787</v>
      </c>
      <c r="AH4" s="0" t="n">
        <v>23</v>
      </c>
      <c r="AI4" s="0" t="n">
        <v>66786</v>
      </c>
    </row>
    <row r="5" customFormat="false" ht="15" hidden="false" customHeight="false" outlineLevel="0" collapsed="false">
      <c r="A5" s="0" t="s">
        <v>74</v>
      </c>
      <c r="B5" s="0" t="n">
        <v>11063</v>
      </c>
      <c r="I5" s="0" t="n">
        <v>1607</v>
      </c>
      <c r="J5" s="0" t="n">
        <v>14.5</v>
      </c>
      <c r="K5" s="0" t="n">
        <v>0.27</v>
      </c>
      <c r="L5" s="0" t="n">
        <v>4301</v>
      </c>
      <c r="M5" s="0" t="n">
        <v>164</v>
      </c>
      <c r="O5" s="0" t="n">
        <v>9502</v>
      </c>
      <c r="P5" s="0" t="n">
        <v>570565</v>
      </c>
      <c r="Q5" s="0" t="n">
        <v>560599</v>
      </c>
      <c r="R5" s="0" t="n">
        <v>5613</v>
      </c>
      <c r="S5" s="0" t="n">
        <v>18020</v>
      </c>
      <c r="T5" s="0" t="n">
        <v>5960</v>
      </c>
      <c r="AA5" s="0" t="s">
        <v>18</v>
      </c>
      <c r="AB5" s="0" t="s">
        <v>14</v>
      </c>
      <c r="AC5" s="0" t="n">
        <v>12545</v>
      </c>
      <c r="AE5" s="0" t="n">
        <v>9761</v>
      </c>
      <c r="AF5" s="0" t="n">
        <v>9370</v>
      </c>
      <c r="AG5" s="0" t="n">
        <v>1281</v>
      </c>
      <c r="AH5" s="0" t="n">
        <v>290</v>
      </c>
      <c r="AI5" s="0" t="n">
        <v>50231</v>
      </c>
    </row>
    <row r="6" customFormat="false" ht="15" hidden="false" customHeight="false" outlineLevel="0" collapsed="false">
      <c r="A6" s="0" t="s">
        <v>75</v>
      </c>
      <c r="B6" s="0" t="n">
        <v>9523</v>
      </c>
      <c r="I6" s="0" t="n">
        <v>2050</v>
      </c>
      <c r="J6" s="0" t="n">
        <v>21.5</v>
      </c>
      <c r="K6" s="0" t="n">
        <v>0.3419</v>
      </c>
      <c r="L6" s="0" t="n">
        <v>-169</v>
      </c>
      <c r="M6" s="0" t="n">
        <v>205</v>
      </c>
      <c r="O6" s="0" t="n">
        <v>10486</v>
      </c>
      <c r="P6" s="0" t="n">
        <v>582638</v>
      </c>
      <c r="Q6" s="0" t="n">
        <v>571695</v>
      </c>
      <c r="R6" s="0" t="n">
        <v>5188</v>
      </c>
      <c r="S6" s="0" t="n">
        <v>16487</v>
      </c>
      <c r="T6" s="0" t="n">
        <v>5960</v>
      </c>
      <c r="AA6" s="0" t="s">
        <v>18</v>
      </c>
      <c r="AB6" s="0" t="s">
        <v>14</v>
      </c>
      <c r="AC6" s="0" t="n">
        <v>10375</v>
      </c>
      <c r="AE6" s="0" t="n">
        <v>9865</v>
      </c>
      <c r="AF6" s="0" t="n">
        <v>6971</v>
      </c>
      <c r="AG6" s="0" t="n">
        <v>2043</v>
      </c>
      <c r="AH6" s="0" t="n">
        <v>0</v>
      </c>
      <c r="AI6" s="0" t="n">
        <v>45450</v>
      </c>
    </row>
    <row r="7" customFormat="false" ht="15" hidden="false" customHeight="false" outlineLevel="0" collapsed="false">
      <c r="A7" s="0" t="s">
        <v>76</v>
      </c>
      <c r="B7" s="0" t="n">
        <v>11071</v>
      </c>
      <c r="I7" s="0" t="n">
        <v>2291</v>
      </c>
      <c r="J7" s="0" t="n">
        <v>20.7</v>
      </c>
      <c r="K7" s="0" t="n">
        <v>0.3833</v>
      </c>
      <c r="L7" s="0" t="n">
        <v>20464</v>
      </c>
      <c r="M7" s="0" t="n">
        <v>187</v>
      </c>
      <c r="O7" s="0" t="n">
        <v>11673</v>
      </c>
      <c r="P7" s="0" t="n">
        <v>513276</v>
      </c>
      <c r="Q7" s="0" t="n">
        <v>501137</v>
      </c>
      <c r="R7" s="0" t="n">
        <v>5557</v>
      </c>
      <c r="S7" s="0" t="n">
        <v>35784</v>
      </c>
      <c r="T7" s="0" t="n">
        <v>5960</v>
      </c>
      <c r="AA7" s="0" t="s">
        <v>18</v>
      </c>
      <c r="AB7" s="0" t="s">
        <v>14</v>
      </c>
      <c r="AC7" s="0" t="n">
        <v>13691</v>
      </c>
      <c r="AE7" s="0" t="n">
        <v>9040</v>
      </c>
      <c r="AF7" s="0" t="n">
        <v>8534</v>
      </c>
      <c r="AG7" s="0" t="n">
        <v>2290</v>
      </c>
      <c r="AH7" s="0" t="n">
        <v>0</v>
      </c>
      <c r="AI7" s="0" t="n">
        <v>-89294</v>
      </c>
    </row>
    <row r="8" customFormat="false" ht="15" hidden="false" customHeight="false" outlineLevel="0" collapsed="false">
      <c r="A8" s="0" t="s">
        <v>77</v>
      </c>
      <c r="B8" s="0" t="n">
        <v>12020</v>
      </c>
      <c r="I8" s="0" t="n">
        <v>457</v>
      </c>
      <c r="J8" s="0" t="n">
        <v>3.8</v>
      </c>
      <c r="K8" s="0" t="n">
        <v>0.0735</v>
      </c>
      <c r="L8" s="0" t="n">
        <v>-14244</v>
      </c>
      <c r="M8" s="0" t="n">
        <v>237</v>
      </c>
      <c r="O8" s="0" t="n">
        <v>4331</v>
      </c>
      <c r="P8" s="0" t="n">
        <v>522095</v>
      </c>
      <c r="Q8" s="0" t="n">
        <v>517311</v>
      </c>
      <c r="R8" s="0" t="n">
        <v>6120</v>
      </c>
      <c r="S8" s="0" t="n">
        <v>20513</v>
      </c>
      <c r="T8" s="0" t="n">
        <v>5960</v>
      </c>
      <c r="AA8" s="0" t="s">
        <v>18</v>
      </c>
      <c r="AB8" s="0" t="s">
        <v>14</v>
      </c>
      <c r="AD8" s="0" t="n">
        <v>1114</v>
      </c>
      <c r="AE8" s="0" t="n">
        <v>11406</v>
      </c>
      <c r="AG8" s="0" t="n">
        <v>443</v>
      </c>
      <c r="AH8" s="0" t="n">
        <v>0</v>
      </c>
    </row>
    <row r="9" customFormat="false" ht="15" hidden="false" customHeight="false" outlineLevel="0" collapsed="false">
      <c r="A9" s="0" t="s">
        <v>78</v>
      </c>
      <c r="B9" s="0" t="n">
        <v>12642</v>
      </c>
      <c r="I9" s="0" t="n">
        <v>191</v>
      </c>
      <c r="J9" s="0" t="n">
        <v>1.5</v>
      </c>
      <c r="K9" s="0" t="n">
        <v>0.0289</v>
      </c>
      <c r="L9" s="0" t="n">
        <v>-4446</v>
      </c>
      <c r="M9" s="0" t="n">
        <v>95</v>
      </c>
      <c r="O9" s="0" t="n">
        <v>3053</v>
      </c>
      <c r="P9" s="0" t="n">
        <v>544167</v>
      </c>
      <c r="Q9" s="0" t="n">
        <v>540656</v>
      </c>
      <c r="R9" s="0" t="n">
        <v>7699</v>
      </c>
      <c r="S9" s="0" t="n">
        <v>16657</v>
      </c>
      <c r="T9" s="0" t="n">
        <v>5880</v>
      </c>
      <c r="AA9" s="0" t="s">
        <v>18</v>
      </c>
      <c r="AB9" s="0" t="s">
        <v>14</v>
      </c>
      <c r="AD9" s="0" t="n">
        <v>1324</v>
      </c>
      <c r="AE9" s="0" t="n">
        <v>13206</v>
      </c>
      <c r="AG9" s="0" t="n">
        <v>195</v>
      </c>
      <c r="AH9" s="0" t="n">
        <v>0</v>
      </c>
    </row>
    <row r="10" customFormat="false" ht="15" hidden="false" customHeight="false" outlineLevel="0" collapsed="false">
      <c r="A10" s="0" t="s">
        <v>79</v>
      </c>
      <c r="B10" s="0" t="n">
        <v>10511</v>
      </c>
      <c r="I10" s="0" t="n">
        <v>592</v>
      </c>
      <c r="J10" s="0" t="n">
        <v>5.6</v>
      </c>
      <c r="K10" s="0" t="n">
        <v>0.0999</v>
      </c>
      <c r="L10" s="0" t="n">
        <v>4548</v>
      </c>
      <c r="M10" s="0" t="n">
        <v>51</v>
      </c>
      <c r="O10" s="0" t="n">
        <v>1788</v>
      </c>
      <c r="P10" s="0" t="n">
        <v>582268</v>
      </c>
      <c r="Q10" s="0" t="n">
        <v>579956</v>
      </c>
      <c r="R10" s="0" t="n">
        <v>4898</v>
      </c>
      <c r="S10" s="0" t="n">
        <v>17098</v>
      </c>
      <c r="T10" s="0" t="n">
        <v>5680</v>
      </c>
      <c r="AA10" s="0" t="s">
        <v>18</v>
      </c>
      <c r="AB10" s="0" t="s">
        <v>14</v>
      </c>
      <c r="AD10" s="0" t="n">
        <v>1214</v>
      </c>
      <c r="AE10" s="0" t="n">
        <v>13045</v>
      </c>
      <c r="AG10" s="0" t="n">
        <v>520</v>
      </c>
      <c r="AH10" s="0" t="n">
        <v>96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80</v>
      </c>
      <c r="B1" s="2" t="s">
        <v>81</v>
      </c>
    </row>
    <row r="2" customFormat="false" ht="15" hidden="false" customHeight="false" outlineLevel="0" collapsed="false">
      <c r="A2" s="0" t="s">
        <v>82</v>
      </c>
      <c r="B2" s="3" t="n">
        <v>287</v>
      </c>
    </row>
    <row r="3" customFormat="false" ht="15" hidden="false" customHeight="false" outlineLevel="0" collapsed="false">
      <c r="A3" s="0" t="s">
        <v>83</v>
      </c>
      <c r="B3" s="3" t="n">
        <v>5500</v>
      </c>
    </row>
    <row r="4" customFormat="false" ht="15" hidden="false" customHeight="false" outlineLevel="0" collapsed="false">
      <c r="A4" s="0" t="s">
        <v>84</v>
      </c>
      <c r="B4" s="3" t="n">
        <v>0</v>
      </c>
    </row>
    <row r="5" customFormat="false" ht="15" hidden="false" customHeight="false" outlineLevel="0" collapsed="false">
      <c r="A5" s="0" t="s">
        <v>85</v>
      </c>
      <c r="B5" s="3" t="n">
        <v>600</v>
      </c>
    </row>
    <row r="6" customFormat="false" ht="15" hidden="false" customHeight="false" outlineLevel="0" collapsed="false">
      <c r="A6" s="0" t="s">
        <v>86</v>
      </c>
      <c r="B6" s="3" t="n">
        <v>15</v>
      </c>
    </row>
    <row r="7" customFormat="false" ht="15" hidden="false" customHeight="false" outlineLevel="0" collapsed="false">
      <c r="A7" s="0" t="s">
        <v>87</v>
      </c>
      <c r="B7" s="3" t="n">
        <v>10511</v>
      </c>
    </row>
    <row r="8" customFormat="false" ht="15" hidden="false" customHeight="false" outlineLevel="0" collapsed="false">
      <c r="A8" s="0" t="s">
        <v>88</v>
      </c>
      <c r="B8" s="3" t="s">
        <v>79</v>
      </c>
    </row>
    <row r="9" customFormat="false" ht="15" hidden="false" customHeight="false" outlineLevel="0" collapsed="false">
      <c r="A9" s="0" t="s">
        <v>89</v>
      </c>
      <c r="B9" s="3" t="s">
        <v>90</v>
      </c>
    </row>
    <row r="10" customFormat="false" ht="15" hidden="false" customHeight="false" outlineLevel="0" collapsed="false">
      <c r="A10" s="0" t="s">
        <v>91</v>
      </c>
      <c r="B10" s="3" t="n">
        <v>100</v>
      </c>
    </row>
    <row r="12" customFormat="false" ht="15" hidden="false" customHeight="false" outlineLevel="0" collapsed="false">
      <c r="A12" s="2" t="s">
        <v>92</v>
      </c>
      <c r="C12" s="2" t="s">
        <v>93</v>
      </c>
      <c r="D12" s="2" t="s">
        <v>94</v>
      </c>
      <c r="E12" s="2" t="s">
        <v>95</v>
      </c>
      <c r="F12" s="2" t="s">
        <v>96</v>
      </c>
      <c r="G12" s="2" t="s">
        <v>97</v>
      </c>
      <c r="H12" s="2" t="s">
        <v>98</v>
      </c>
      <c r="I12" s="2" t="s">
        <v>99</v>
      </c>
      <c r="J12" s="2" t="s">
        <v>100</v>
      </c>
      <c r="K12" s="2" t="s">
        <v>101</v>
      </c>
      <c r="L12" s="2" t="s">
        <v>102</v>
      </c>
    </row>
    <row r="13" customFormat="false" ht="15" hidden="false" customHeight="false" outlineLevel="0" collapsed="false">
      <c r="A13" s="0" t="s">
        <v>103</v>
      </c>
      <c r="C13" s="3" t="n">
        <v>6</v>
      </c>
      <c r="D13" s="3" t="n">
        <v>2.5</v>
      </c>
      <c r="E13" s="3" t="n">
        <v>3</v>
      </c>
      <c r="F13" s="3" t="n">
        <v>3</v>
      </c>
      <c r="G13" s="3" t="n">
        <v>2.5</v>
      </c>
      <c r="H13" s="3" t="n">
        <v>2.5</v>
      </c>
      <c r="I13" s="3" t="n">
        <v>2</v>
      </c>
      <c r="J13" s="3" t="n">
        <v>2</v>
      </c>
      <c r="K13" s="3" t="n">
        <v>2</v>
      </c>
      <c r="L13" s="3" t="n">
        <v>2</v>
      </c>
    </row>
    <row r="14" customFormat="false" ht="15" hidden="false" customHeight="false" outlineLevel="0" collapsed="false">
      <c r="A14" s="0" t="s">
        <v>104</v>
      </c>
      <c r="C14" s="3" t="n">
        <v>15.8</v>
      </c>
      <c r="D14" s="3" t="n">
        <v>15.2</v>
      </c>
      <c r="E14" s="3" t="n">
        <v>14.8</v>
      </c>
      <c r="F14" s="3" t="n">
        <v>14.5</v>
      </c>
      <c r="G14" s="3" t="n">
        <v>14.5</v>
      </c>
      <c r="H14" s="3" t="n">
        <v>14.5</v>
      </c>
      <c r="I14" s="3" t="n">
        <v>14.5</v>
      </c>
      <c r="J14" s="3" t="n">
        <v>14.5</v>
      </c>
      <c r="K14" s="3" t="n">
        <v>14.5</v>
      </c>
      <c r="L14" s="3" t="n">
        <v>14.5</v>
      </c>
    </row>
    <row r="15" customFormat="false" ht="15" hidden="false" customHeight="false" outlineLevel="0" collapsed="false">
      <c r="A15" s="0" t="s">
        <v>105</v>
      </c>
      <c r="C15" s="3" t="n">
        <v>0.68</v>
      </c>
      <c r="D15" s="3" t="n">
        <v>0.68</v>
      </c>
      <c r="E15" s="3" t="n">
        <v>0.68</v>
      </c>
      <c r="F15" s="3" t="n">
        <v>0.68</v>
      </c>
      <c r="G15" s="3" t="n">
        <v>0.68</v>
      </c>
      <c r="H15" s="3" t="n">
        <v>0.68</v>
      </c>
      <c r="I15" s="3" t="n">
        <v>0.68</v>
      </c>
      <c r="J15" s="3" t="n">
        <v>0.68</v>
      </c>
      <c r="K15" s="3" t="n">
        <v>0.68</v>
      </c>
      <c r="L15" s="3" t="n">
        <v>0.68</v>
      </c>
    </row>
    <row r="16" customFormat="false" ht="15" hidden="false" customHeight="false" outlineLevel="0" collapsed="false">
      <c r="A16" s="0" t="s">
        <v>106</v>
      </c>
      <c r="C16" s="3" t="n">
        <v>0</v>
      </c>
      <c r="D16" s="3" t="n">
        <v>0</v>
      </c>
      <c r="E16" s="3" t="n">
        <v>0</v>
      </c>
      <c r="F16" s="3" t="n">
        <v>0</v>
      </c>
      <c r="G16" s="3" t="n">
        <v>0</v>
      </c>
      <c r="H16" s="3" t="n">
        <v>0</v>
      </c>
      <c r="I16" s="3" t="n">
        <v>0</v>
      </c>
      <c r="J16" s="3" t="n">
        <v>0</v>
      </c>
      <c r="K16" s="3" t="n">
        <v>0</v>
      </c>
      <c r="L16" s="3" t="n">
        <v>0</v>
      </c>
    </row>
    <row r="17" customFormat="false" ht="15" hidden="false" customHeight="false" outlineLevel="0" collapsed="false">
      <c r="A17" s="0" t="s">
        <v>107</v>
      </c>
      <c r="C17" s="3" t="n">
        <v>0</v>
      </c>
      <c r="D17" s="3" t="n">
        <v>0</v>
      </c>
      <c r="E17" s="3" t="n">
        <v>0</v>
      </c>
      <c r="F17" s="3" t="n">
        <v>0</v>
      </c>
      <c r="G17" s="3" t="n">
        <v>0</v>
      </c>
      <c r="H17" s="3" t="n">
        <v>0</v>
      </c>
      <c r="I17" s="3" t="n">
        <v>0</v>
      </c>
      <c r="J17" s="3" t="n">
        <v>0</v>
      </c>
      <c r="K17" s="3" t="n">
        <v>0</v>
      </c>
      <c r="L17" s="3" t="n">
        <v>0</v>
      </c>
    </row>
    <row r="18" customFormat="false" ht="15" hidden="false" customHeight="false" outlineLevel="0" collapsed="false">
      <c r="A18" s="0" t="s">
        <v>108</v>
      </c>
      <c r="C18" s="3" t="n">
        <v>1.7</v>
      </c>
      <c r="D18" s="3" t="n">
        <v>1.63</v>
      </c>
      <c r="E18" s="3" t="n">
        <v>1.59</v>
      </c>
      <c r="F18" s="3" t="n">
        <v>1.55</v>
      </c>
      <c r="G18" s="3" t="n">
        <v>1.55</v>
      </c>
      <c r="H18" s="3" t="n">
        <v>1.55</v>
      </c>
      <c r="I18" s="3" t="n">
        <v>1.55</v>
      </c>
      <c r="J18" s="3" t="n">
        <v>1.55</v>
      </c>
      <c r="K18" s="3" t="n">
        <v>1.55</v>
      </c>
      <c r="L18" s="3" t="n">
        <v>1.55</v>
      </c>
    </row>
    <row r="19" customFormat="false" ht="15" hidden="false" customHeight="false" outlineLevel="0" collapsed="false">
      <c r="A19" s="0" t="s">
        <v>109</v>
      </c>
      <c r="C19" s="3" t="n">
        <v>25</v>
      </c>
      <c r="D19" s="3" t="n">
        <v>26</v>
      </c>
      <c r="E19" s="3" t="n">
        <v>26</v>
      </c>
      <c r="F19" s="3" t="n">
        <v>26</v>
      </c>
      <c r="G19" s="3" t="n">
        <v>26</v>
      </c>
      <c r="H19" s="3" t="n">
        <v>26</v>
      </c>
      <c r="I19" s="3" t="n">
        <v>26</v>
      </c>
      <c r="J19" s="3" t="n">
        <v>26</v>
      </c>
      <c r="K19" s="3" t="n">
        <v>26</v>
      </c>
      <c r="L19" s="3" t="n">
        <v>26</v>
      </c>
    </row>
    <row r="20" customFormat="false" ht="15" hidden="false" customHeight="false" outlineLevel="0" collapsed="false">
      <c r="A20" s="0" t="s">
        <v>110</v>
      </c>
      <c r="B20" s="3" t="n">
        <v>10.5</v>
      </c>
    </row>
    <row r="21" customFormat="false" ht="15" hidden="false" customHeight="false" outlineLevel="0" collapsed="false">
      <c r="A21" s="0" t="s">
        <v>111</v>
      </c>
      <c r="B21" s="3" t="n">
        <v>2</v>
      </c>
    </row>
    <row r="22" customFormat="false" ht="15" hidden="false" customHeight="false" outlineLevel="0" collapsed="false">
      <c r="A22" s="0" t="s">
        <v>112</v>
      </c>
      <c r="B22" s="3" t="n">
        <v>9</v>
      </c>
    </row>
    <row r="23" customFormat="false" ht="15" hidden="false" customHeight="false" outlineLevel="0" collapsed="false">
      <c r="A23" s="0" t="s">
        <v>113</v>
      </c>
      <c r="B23" s="3" t="n">
        <v>0</v>
      </c>
    </row>
    <row r="24" customFormat="false" ht="15" hidden="false" customHeight="false" outlineLevel="0" collapsed="false">
      <c r="A24" s="0" t="s">
        <v>114</v>
      </c>
      <c r="B24" s="3" t="n">
        <v>0.25</v>
      </c>
    </row>
    <row r="26" customFormat="false" ht="15" hidden="false" customHeight="false" outlineLevel="0" collapsed="false">
      <c r="A26" s="2" t="s">
        <v>115</v>
      </c>
      <c r="C26" s="2" t="s">
        <v>93</v>
      </c>
      <c r="D26" s="2" t="s">
        <v>94</v>
      </c>
      <c r="E26" s="2" t="s">
        <v>95</v>
      </c>
      <c r="F26" s="2" t="s">
        <v>96</v>
      </c>
      <c r="G26" s="2" t="s">
        <v>97</v>
      </c>
      <c r="H26" s="2" t="s">
        <v>98</v>
      </c>
      <c r="I26" s="2" t="s">
        <v>99</v>
      </c>
      <c r="J26" s="2" t="s">
        <v>100</v>
      </c>
      <c r="K26" s="2" t="s">
        <v>101</v>
      </c>
      <c r="L26" s="2" t="s">
        <v>102</v>
      </c>
    </row>
    <row r="27" customFormat="false" ht="15" hidden="false" customHeight="false" outlineLevel="0" collapsed="false">
      <c r="A27" s="0" t="s">
        <v>103</v>
      </c>
      <c r="C27" s="3" t="n">
        <v>8</v>
      </c>
      <c r="D27" s="3" t="n">
        <v>6</v>
      </c>
      <c r="E27" s="3" t="n">
        <v>6</v>
      </c>
      <c r="F27" s="3" t="n">
        <v>5</v>
      </c>
      <c r="G27" s="3" t="n">
        <v>4.5</v>
      </c>
      <c r="H27" s="3" t="n">
        <v>4</v>
      </c>
      <c r="I27" s="3" t="n">
        <v>3.5</v>
      </c>
      <c r="J27" s="3" t="n">
        <v>3</v>
      </c>
      <c r="K27" s="3" t="n">
        <v>2.5</v>
      </c>
      <c r="L27" s="3" t="n">
        <v>2.5</v>
      </c>
    </row>
    <row r="28" customFormat="false" ht="15" hidden="false" customHeight="false" outlineLevel="0" collapsed="false">
      <c r="A28" s="0" t="s">
        <v>104</v>
      </c>
      <c r="C28" s="3" t="n">
        <v>16.1</v>
      </c>
      <c r="D28" s="3" t="n">
        <v>16.2</v>
      </c>
      <c r="E28" s="3" t="n">
        <v>16.4</v>
      </c>
      <c r="F28" s="3" t="n">
        <v>16.4</v>
      </c>
      <c r="G28" s="3" t="n">
        <v>16.4</v>
      </c>
      <c r="H28" s="3" t="n">
        <v>16.4</v>
      </c>
      <c r="I28" s="3" t="n">
        <v>16.4</v>
      </c>
      <c r="J28" s="3" t="n">
        <v>16.4</v>
      </c>
      <c r="K28" s="3" t="n">
        <v>16.4</v>
      </c>
      <c r="L28" s="3" t="n">
        <v>16.4</v>
      </c>
    </row>
    <row r="29" customFormat="false" ht="15" hidden="false" customHeight="false" outlineLevel="0" collapsed="false">
      <c r="A29" s="0" t="s">
        <v>105</v>
      </c>
      <c r="C29" s="3" t="n">
        <v>0.68</v>
      </c>
      <c r="D29" s="3" t="n">
        <v>0.68</v>
      </c>
      <c r="E29" s="3" t="n">
        <v>0.68</v>
      </c>
      <c r="F29" s="3" t="n">
        <v>0.68</v>
      </c>
      <c r="G29" s="3" t="n">
        <v>0.68</v>
      </c>
      <c r="H29" s="3" t="n">
        <v>0.68</v>
      </c>
      <c r="I29" s="3" t="n">
        <v>0.68</v>
      </c>
      <c r="J29" s="3" t="n">
        <v>0.68</v>
      </c>
      <c r="K29" s="3" t="n">
        <v>0.68</v>
      </c>
      <c r="L29" s="3" t="n">
        <v>0.68</v>
      </c>
    </row>
    <row r="30" customFormat="false" ht="15" hidden="false" customHeight="false" outlineLevel="0" collapsed="false">
      <c r="A30" s="0" t="s">
        <v>106</v>
      </c>
      <c r="C30" s="3" t="n">
        <v>0</v>
      </c>
      <c r="D30" s="3" t="n">
        <v>0</v>
      </c>
      <c r="E30" s="3" t="n">
        <v>0</v>
      </c>
      <c r="F30" s="3" t="n">
        <v>0</v>
      </c>
      <c r="G30" s="3" t="n">
        <v>0</v>
      </c>
      <c r="H30" s="3" t="n">
        <v>0</v>
      </c>
      <c r="I30" s="3" t="n">
        <v>0</v>
      </c>
      <c r="J30" s="3" t="n">
        <v>0</v>
      </c>
      <c r="K30" s="3" t="n">
        <v>0</v>
      </c>
      <c r="L30" s="3" t="n">
        <v>0</v>
      </c>
    </row>
    <row r="31" customFormat="false" ht="15" hidden="false" customHeight="false" outlineLevel="0" collapsed="false">
      <c r="A31" s="0" t="s">
        <v>107</v>
      </c>
      <c r="C31" s="3" t="n">
        <v>0</v>
      </c>
      <c r="D31" s="3" t="n">
        <v>0</v>
      </c>
      <c r="E31" s="3" t="n">
        <v>0</v>
      </c>
      <c r="F31" s="3" t="n">
        <v>0</v>
      </c>
      <c r="G31" s="3" t="n">
        <v>0</v>
      </c>
      <c r="H31" s="3" t="n">
        <v>0</v>
      </c>
      <c r="I31" s="3" t="n">
        <v>0</v>
      </c>
      <c r="J31" s="3" t="n">
        <v>0</v>
      </c>
      <c r="K31" s="3" t="n">
        <v>0</v>
      </c>
      <c r="L31" s="3" t="n">
        <v>0</v>
      </c>
    </row>
    <row r="32" customFormat="false" ht="15" hidden="false" customHeight="false" outlineLevel="0" collapsed="false">
      <c r="A32" s="0" t="s">
        <v>108</v>
      </c>
      <c r="C32" s="3" t="n">
        <v>1.16</v>
      </c>
      <c r="D32" s="3" t="n">
        <v>0.93</v>
      </c>
      <c r="E32" s="3" t="n">
        <v>0.59</v>
      </c>
      <c r="F32" s="3" t="n">
        <v>0.59</v>
      </c>
      <c r="G32" s="3" t="n">
        <v>0.59</v>
      </c>
      <c r="H32" s="3" t="n">
        <v>0.59</v>
      </c>
      <c r="I32" s="3" t="n">
        <v>0.59</v>
      </c>
      <c r="J32" s="3" t="n">
        <v>0.59</v>
      </c>
      <c r="K32" s="3" t="n">
        <v>0.59</v>
      </c>
      <c r="L32" s="3" t="n">
        <v>0.59</v>
      </c>
    </row>
    <row r="33" customFormat="false" ht="15" hidden="false" customHeight="false" outlineLevel="0" collapsed="false">
      <c r="A33" s="0" t="s">
        <v>109</v>
      </c>
      <c r="C33" s="3" t="n">
        <v>25</v>
      </c>
      <c r="D33" s="3" t="n">
        <v>25</v>
      </c>
      <c r="E33" s="3" t="n">
        <v>25</v>
      </c>
      <c r="F33" s="3" t="n">
        <v>25</v>
      </c>
      <c r="G33" s="3" t="n">
        <v>25</v>
      </c>
      <c r="H33" s="3" t="n">
        <v>25</v>
      </c>
      <c r="I33" s="3" t="n">
        <v>25</v>
      </c>
      <c r="J33" s="3" t="n">
        <v>25</v>
      </c>
      <c r="K33" s="3" t="n">
        <v>25</v>
      </c>
      <c r="L33" s="3" t="n">
        <v>25</v>
      </c>
    </row>
    <row r="34" customFormat="false" ht="15" hidden="false" customHeight="false" outlineLevel="0" collapsed="false">
      <c r="A34" s="0" t="s">
        <v>110</v>
      </c>
      <c r="B34" s="3" t="n">
        <v>10.5</v>
      </c>
    </row>
    <row r="35" customFormat="false" ht="15" hidden="false" customHeight="false" outlineLevel="0" collapsed="false">
      <c r="A35" s="0" t="s">
        <v>111</v>
      </c>
      <c r="B35" s="3" t="n">
        <v>2.5</v>
      </c>
    </row>
    <row r="36" customFormat="false" ht="15" hidden="false" customHeight="false" outlineLevel="0" collapsed="false">
      <c r="A36" s="0" t="s">
        <v>112</v>
      </c>
      <c r="B36" s="3" t="n">
        <v>11</v>
      </c>
    </row>
    <row r="37" customFormat="false" ht="15" hidden="false" customHeight="false" outlineLevel="0" collapsed="false">
      <c r="A37" s="0" t="s">
        <v>113</v>
      </c>
      <c r="B37" s="3" t="n">
        <v>0</v>
      </c>
    </row>
    <row r="38" customFormat="false" ht="15" hidden="false" customHeight="false" outlineLevel="0" collapsed="false">
      <c r="A38" s="0" t="s">
        <v>114</v>
      </c>
      <c r="B38" s="3" t="n">
        <v>0.5</v>
      </c>
    </row>
    <row r="40" customFormat="false" ht="15" hidden="false" customHeight="false" outlineLevel="0" collapsed="false">
      <c r="A40" s="2" t="s">
        <v>116</v>
      </c>
      <c r="C40" s="2" t="s">
        <v>93</v>
      </c>
      <c r="D40" s="2" t="s">
        <v>94</v>
      </c>
      <c r="E40" s="2" t="s">
        <v>95</v>
      </c>
      <c r="F40" s="2" t="s">
        <v>96</v>
      </c>
      <c r="G40" s="2" t="s">
        <v>97</v>
      </c>
      <c r="H40" s="2" t="s">
        <v>98</v>
      </c>
      <c r="I40" s="2" t="s">
        <v>99</v>
      </c>
      <c r="J40" s="2" t="s">
        <v>100</v>
      </c>
      <c r="K40" s="2" t="s">
        <v>101</v>
      </c>
      <c r="L40" s="2" t="s">
        <v>102</v>
      </c>
    </row>
    <row r="41" customFormat="false" ht="15" hidden="false" customHeight="false" outlineLevel="0" collapsed="false">
      <c r="A41" s="0" t="s">
        <v>103</v>
      </c>
      <c r="C41" s="3" t="n">
        <v>10</v>
      </c>
      <c r="D41" s="3" t="n">
        <v>7</v>
      </c>
      <c r="E41" s="3" t="n">
        <v>7</v>
      </c>
      <c r="F41" s="3" t="n">
        <v>6</v>
      </c>
      <c r="G41" s="3" t="n">
        <v>5</v>
      </c>
      <c r="H41" s="3" t="n">
        <v>4.5</v>
      </c>
      <c r="I41" s="3" t="n">
        <v>4</v>
      </c>
      <c r="J41" s="3" t="n">
        <v>3.5</v>
      </c>
      <c r="K41" s="3" t="n">
        <v>3</v>
      </c>
      <c r="L41" s="3" t="n">
        <v>3</v>
      </c>
    </row>
    <row r="42" customFormat="false" ht="15" hidden="false" customHeight="false" outlineLevel="0" collapsed="false">
      <c r="A42" s="0" t="s">
        <v>104</v>
      </c>
      <c r="C42" s="3" t="n">
        <v>16.2</v>
      </c>
      <c r="D42" s="3" t="n">
        <v>16.6</v>
      </c>
      <c r="E42" s="3" t="n">
        <v>17</v>
      </c>
      <c r="F42" s="3" t="n">
        <v>17.2</v>
      </c>
      <c r="G42" s="3" t="n">
        <v>17.2</v>
      </c>
      <c r="H42" s="3" t="n">
        <v>17.2</v>
      </c>
      <c r="I42" s="3" t="n">
        <v>17.2</v>
      </c>
      <c r="J42" s="3" t="n">
        <v>17.2</v>
      </c>
      <c r="K42" s="3" t="n">
        <v>17.2</v>
      </c>
      <c r="L42" s="3" t="n">
        <v>17.2</v>
      </c>
    </row>
    <row r="43" customFormat="false" ht="15" hidden="false" customHeight="false" outlineLevel="0" collapsed="false">
      <c r="A43" s="0" t="s">
        <v>105</v>
      </c>
      <c r="C43" s="3" t="n">
        <v>0.68</v>
      </c>
      <c r="D43" s="3" t="n">
        <v>0.68</v>
      </c>
      <c r="E43" s="3" t="n">
        <v>0.68</v>
      </c>
      <c r="F43" s="3" t="n">
        <v>0.68</v>
      </c>
      <c r="G43" s="3" t="n">
        <v>0.68</v>
      </c>
      <c r="H43" s="3" t="n">
        <v>0.68</v>
      </c>
      <c r="I43" s="3" t="n">
        <v>0.68</v>
      </c>
      <c r="J43" s="3" t="n">
        <v>0.68</v>
      </c>
      <c r="K43" s="3" t="n">
        <v>0.68</v>
      </c>
      <c r="L43" s="3" t="n">
        <v>0.68</v>
      </c>
    </row>
    <row r="44" customFormat="false" ht="15" hidden="false" customHeight="false" outlineLevel="0" collapsed="false">
      <c r="A44" s="0" t="s">
        <v>106</v>
      </c>
      <c r="C44" s="3" t="n">
        <v>0</v>
      </c>
      <c r="D44" s="3" t="n">
        <v>0</v>
      </c>
      <c r="E44" s="3" t="n">
        <v>0</v>
      </c>
      <c r="F44" s="3" t="n">
        <v>0</v>
      </c>
      <c r="G44" s="3" t="n">
        <v>0</v>
      </c>
      <c r="H44" s="3" t="n">
        <v>0</v>
      </c>
      <c r="I44" s="3" t="n">
        <v>0</v>
      </c>
      <c r="J44" s="3" t="n">
        <v>0</v>
      </c>
      <c r="K44" s="3" t="n">
        <v>0</v>
      </c>
      <c r="L44" s="3" t="n">
        <v>0</v>
      </c>
    </row>
    <row r="45" customFormat="false" ht="15" hidden="false" customHeight="false" outlineLevel="0" collapsed="false">
      <c r="A45" s="0" t="s">
        <v>107</v>
      </c>
      <c r="C45" s="3" t="n">
        <v>0</v>
      </c>
      <c r="D45" s="3" t="n">
        <v>0</v>
      </c>
      <c r="E45" s="3" t="n">
        <v>0</v>
      </c>
      <c r="F45" s="3" t="n">
        <v>0</v>
      </c>
      <c r="G45" s="3" t="n">
        <v>0</v>
      </c>
      <c r="H45" s="3" t="n">
        <v>0</v>
      </c>
      <c r="I45" s="3" t="n">
        <v>0</v>
      </c>
      <c r="J45" s="3" t="n">
        <v>0</v>
      </c>
      <c r="K45" s="3" t="n">
        <v>0</v>
      </c>
      <c r="L45" s="3" t="n">
        <v>0</v>
      </c>
    </row>
    <row r="46" customFormat="false" ht="15" hidden="false" customHeight="false" outlineLevel="0" collapsed="false">
      <c r="A46" s="0" t="s">
        <v>108</v>
      </c>
      <c r="C46" s="3" t="n">
        <v>0.6</v>
      </c>
      <c r="D46" s="3" t="n">
        <v>0.3</v>
      </c>
      <c r="E46" s="3" t="n">
        <v>0</v>
      </c>
      <c r="F46" s="3" t="n">
        <v>0</v>
      </c>
      <c r="G46" s="3" t="n">
        <v>0</v>
      </c>
      <c r="H46" s="3" t="n">
        <v>0</v>
      </c>
      <c r="I46" s="3" t="n">
        <v>0</v>
      </c>
      <c r="J46" s="3" t="n">
        <v>0</v>
      </c>
      <c r="K46" s="3" t="n">
        <v>0</v>
      </c>
      <c r="L46" s="3" t="n">
        <v>0</v>
      </c>
    </row>
    <row r="47" customFormat="false" ht="15" hidden="false" customHeight="false" outlineLevel="0" collapsed="false">
      <c r="A47" s="0" t="s">
        <v>109</v>
      </c>
      <c r="C47" s="3" t="n">
        <v>25</v>
      </c>
      <c r="D47" s="3" t="n">
        <v>25</v>
      </c>
      <c r="E47" s="3" t="n">
        <v>25</v>
      </c>
      <c r="F47" s="3" t="n">
        <v>25</v>
      </c>
      <c r="G47" s="3" t="n">
        <v>25</v>
      </c>
      <c r="H47" s="3" t="n">
        <v>25</v>
      </c>
      <c r="I47" s="3" t="n">
        <v>25</v>
      </c>
      <c r="J47" s="3" t="n">
        <v>25</v>
      </c>
      <c r="K47" s="3" t="n">
        <v>25</v>
      </c>
      <c r="L47" s="3" t="n">
        <v>25</v>
      </c>
    </row>
    <row r="48" customFormat="false" ht="15" hidden="false" customHeight="false" outlineLevel="0" collapsed="false">
      <c r="A48" s="0" t="s">
        <v>110</v>
      </c>
      <c r="B48" s="3" t="n">
        <v>10.5</v>
      </c>
    </row>
    <row r="49" customFormat="false" ht="15" hidden="false" customHeight="false" outlineLevel="0" collapsed="false">
      <c r="A49" s="0" t="s">
        <v>111</v>
      </c>
      <c r="B49" s="3" t="n">
        <v>3</v>
      </c>
    </row>
    <row r="50" customFormat="false" ht="15" hidden="false" customHeight="false" outlineLevel="0" collapsed="false">
      <c r="A50" s="0" t="s">
        <v>112</v>
      </c>
      <c r="B50" s="3" t="n">
        <v>12</v>
      </c>
    </row>
    <row r="51" customFormat="false" ht="15" hidden="false" customHeight="false" outlineLevel="0" collapsed="false">
      <c r="A51" s="0" t="s">
        <v>113</v>
      </c>
      <c r="B51" s="3" t="n">
        <v>0</v>
      </c>
    </row>
    <row r="52" customFormat="false" ht="15" hidden="false" customHeight="false" outlineLevel="0" collapsed="false">
      <c r="A52" s="0" t="s">
        <v>114</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117</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Assumptions!C13</f>
        <v>6</v>
      </c>
      <c r="D5" s="4" t="n">
        <f aca="false">Assumptions!D13</f>
        <v>2.5</v>
      </c>
      <c r="E5" s="4" t="n">
        <f aca="false">Assumptions!E13</f>
        <v>3</v>
      </c>
      <c r="F5" s="4" t="n">
        <f aca="false">Assumptions!F13</f>
        <v>3</v>
      </c>
      <c r="G5" s="4" t="n">
        <f aca="false">Assumptions!G13</f>
        <v>2.5</v>
      </c>
      <c r="H5" s="4" t="n">
        <f aca="false">Assumptions!H13</f>
        <v>2.5</v>
      </c>
      <c r="I5" s="4" t="n">
        <f aca="false">Assumptions!I13</f>
        <v>2</v>
      </c>
      <c r="J5" s="4" t="n">
        <f aca="false">Assumptions!J13</f>
        <v>2</v>
      </c>
      <c r="K5" s="4" t="n">
        <f aca="false">Assumptions!K13</f>
        <v>2</v>
      </c>
      <c r="L5" s="4" t="n">
        <f aca="false">Assumptions!L13</f>
        <v>2</v>
      </c>
    </row>
    <row r="6" customFormat="false" ht="15" hidden="false" customHeight="false" outlineLevel="0" collapsed="false">
      <c r="A6" s="0" t="s">
        <v>38</v>
      </c>
      <c r="B6" s="3" t="n">
        <v>10511</v>
      </c>
      <c r="C6" s="0" t="n">
        <f aca="false">B6*(1+C5/100)</f>
        <v>11141.66</v>
      </c>
      <c r="D6" s="0" t="n">
        <f aca="false">C6*(1+D5/100)</f>
        <v>11420.2015</v>
      </c>
      <c r="E6" s="0" t="n">
        <f aca="false">D6*(1+E5/100)</f>
        <v>11762.807545</v>
      </c>
      <c r="F6" s="0" t="n">
        <f aca="false">E6*(1+F5/100)</f>
        <v>12115.69177135</v>
      </c>
      <c r="G6" s="0" t="n">
        <f aca="false">F6*(1+G5/100)</f>
        <v>12418.5840656338</v>
      </c>
      <c r="H6" s="0" t="n">
        <f aca="false">G6*(1+H5/100)</f>
        <v>12729.0486672746</v>
      </c>
      <c r="I6" s="0" t="n">
        <f aca="false">H6*(1+I5/100)</f>
        <v>12983.6296406201</v>
      </c>
      <c r="J6" s="0" t="n">
        <f aca="false">I6*(1+J5/100)</f>
        <v>13243.3022334325</v>
      </c>
      <c r="K6" s="0" t="n">
        <f aca="false">J6*(1+K5/100)</f>
        <v>13508.1682781011</v>
      </c>
      <c r="L6" s="0" t="n">
        <f aca="false">K6*(1+L5/100)</f>
        <v>13778.3316436632</v>
      </c>
    </row>
    <row r="7" customFormat="false" ht="15" hidden="false" customHeight="false" outlineLevel="0" collapsed="false">
      <c r="A7" s="0" t="s">
        <v>104</v>
      </c>
      <c r="C7" s="4" t="n">
        <f aca="false">Assumptions!C14</f>
        <v>15.8</v>
      </c>
      <c r="D7" s="4" t="n">
        <f aca="false">Assumptions!D14</f>
        <v>15.2</v>
      </c>
      <c r="E7" s="4" t="n">
        <f aca="false">Assumptions!E14</f>
        <v>14.8</v>
      </c>
      <c r="F7" s="4" t="n">
        <f aca="false">Assumptions!F14</f>
        <v>14.5</v>
      </c>
      <c r="G7" s="4" t="n">
        <f aca="false">Assumptions!G14</f>
        <v>14.5</v>
      </c>
      <c r="H7" s="4" t="n">
        <f aca="false">Assumptions!H14</f>
        <v>14.5</v>
      </c>
      <c r="I7" s="4" t="n">
        <f aca="false">Assumptions!I14</f>
        <v>14.5</v>
      </c>
      <c r="J7" s="4" t="n">
        <f aca="false">Assumptions!J14</f>
        <v>14.5</v>
      </c>
      <c r="K7" s="4" t="n">
        <f aca="false">Assumptions!K14</f>
        <v>14.5</v>
      </c>
      <c r="L7" s="4" t="n">
        <f aca="false">Assumptions!L14</f>
        <v>14.5</v>
      </c>
    </row>
    <row r="8" customFormat="false" ht="15" hidden="false" customHeight="false" outlineLevel="0" collapsed="false">
      <c r="A8" s="0" t="s">
        <v>44</v>
      </c>
      <c r="C8" s="0" t="n">
        <f aca="false">C6*C7/100</f>
        <v>1760.38228</v>
      </c>
      <c r="D8" s="0" t="n">
        <f aca="false">D6*D7/100</f>
        <v>1735.870628</v>
      </c>
      <c r="E8" s="0" t="n">
        <f aca="false">E6*E7/100</f>
        <v>1740.89551666</v>
      </c>
      <c r="F8" s="0" t="n">
        <f aca="false">F6*F7/100</f>
        <v>1756.77530684575</v>
      </c>
      <c r="G8" s="0" t="n">
        <f aca="false">G6*G7/100</f>
        <v>1800.69468951689</v>
      </c>
      <c r="H8" s="0" t="n">
        <f aca="false">H6*H7/100</f>
        <v>1845.71205675482</v>
      </c>
      <c r="I8" s="0" t="n">
        <f aca="false">I6*I7/100</f>
        <v>1882.62629788991</v>
      </c>
      <c r="J8" s="0" t="n">
        <f aca="false">J6*J7/100</f>
        <v>1920.27882384771</v>
      </c>
      <c r="K8" s="0" t="n">
        <f aca="false">K6*K7/100</f>
        <v>1958.68440032466</v>
      </c>
      <c r="L8" s="0" t="n">
        <f aca="false">L6*L7/100</f>
        <v>1997.85808833116</v>
      </c>
    </row>
    <row r="9" customFormat="false" ht="15" hidden="false" customHeight="false" outlineLevel="0" collapsed="false">
      <c r="A9" s="0" t="s">
        <v>105</v>
      </c>
      <c r="C9" s="4" t="n">
        <f aca="false">Assumptions!C15</f>
        <v>0.68</v>
      </c>
      <c r="D9" s="4" t="n">
        <f aca="false">Assumptions!D15</f>
        <v>0.68</v>
      </c>
      <c r="E9" s="4" t="n">
        <f aca="false">Assumptions!E15</f>
        <v>0.68</v>
      </c>
      <c r="F9" s="4" t="n">
        <f aca="false">Assumptions!F15</f>
        <v>0.68</v>
      </c>
      <c r="G9" s="4" t="n">
        <f aca="false">Assumptions!G15</f>
        <v>0.68</v>
      </c>
      <c r="H9" s="4" t="n">
        <f aca="false">Assumptions!H15</f>
        <v>0.68</v>
      </c>
      <c r="I9" s="4" t="n">
        <f aca="false">Assumptions!I15</f>
        <v>0.68</v>
      </c>
      <c r="J9" s="4" t="n">
        <f aca="false">Assumptions!J15</f>
        <v>0.68</v>
      </c>
      <c r="K9" s="4" t="n">
        <f aca="false">Assumptions!K15</f>
        <v>0.68</v>
      </c>
      <c r="L9" s="4" t="n">
        <f aca="false">Assumptions!L15</f>
        <v>0.68</v>
      </c>
    </row>
    <row r="10" customFormat="false" ht="15" hidden="false" customHeight="false" outlineLevel="0" collapsed="false">
      <c r="A10" s="0" t="s">
        <v>120</v>
      </c>
      <c r="C10" s="0" t="n">
        <f aca="false">-C6*C9/100</f>
        <v>-75.763288</v>
      </c>
      <c r="D10" s="0" t="n">
        <f aca="false">-D6*D9/100</f>
        <v>-77.6573702</v>
      </c>
      <c r="E10" s="0" t="n">
        <f aca="false">-E6*E9/100</f>
        <v>-79.987091306</v>
      </c>
      <c r="F10" s="0" t="n">
        <f aca="false">-F6*F9/100</f>
        <v>-82.38670404518</v>
      </c>
      <c r="G10" s="0" t="n">
        <f aca="false">-G6*G9/100</f>
        <v>-84.4463716463095</v>
      </c>
      <c r="H10" s="0" t="n">
        <f aca="false">-H6*H9/100</f>
        <v>-86.5575309374672</v>
      </c>
      <c r="I10" s="0" t="n">
        <f aca="false">-I6*I9/100</f>
        <v>-88.2886815562166</v>
      </c>
      <c r="J10" s="0" t="n">
        <f aca="false">-J6*J9/100</f>
        <v>-90.0544551873409</v>
      </c>
      <c r="K10" s="0" t="n">
        <f aca="false">-K6*K9/100</f>
        <v>-91.8555442910877</v>
      </c>
      <c r="L10" s="0" t="n">
        <f aca="false">-L6*L9/100</f>
        <v>-93.6926551769095</v>
      </c>
    </row>
    <row r="11" customFormat="false" ht="15" hidden="false" customHeight="false" outlineLevel="0" collapsed="false">
      <c r="A11" s="0" t="s">
        <v>121</v>
      </c>
      <c r="C11" s="0" t="n">
        <f aca="false">C8+C10+C24</f>
        <v>1684.618992</v>
      </c>
      <c r="D11" s="0" t="n">
        <f aca="false">D8+D10+D24</f>
        <v>1658.2132578</v>
      </c>
      <c r="E11" s="0" t="n">
        <f aca="false">E8+E10+E24</f>
        <v>1660.908425354</v>
      </c>
      <c r="F11" s="0" t="n">
        <f aca="false">F8+F10+F24</f>
        <v>1674.38860280057</v>
      </c>
      <c r="G11" s="0" t="n">
        <f aca="false">G8+G10+G24</f>
        <v>1716.24831787058</v>
      </c>
      <c r="H11" s="0" t="n">
        <f aca="false">H8+H10+H24</f>
        <v>1759.15452581735</v>
      </c>
      <c r="I11" s="0" t="n">
        <f aca="false">I8+I10+I24</f>
        <v>1794.3376163337</v>
      </c>
      <c r="J11" s="0" t="n">
        <f aca="false">J8+J10+J24</f>
        <v>1830.22436866037</v>
      </c>
      <c r="K11" s="0" t="n">
        <f aca="false">K8+K10+K24</f>
        <v>1866.82885603358</v>
      </c>
      <c r="L11" s="0" t="n">
        <f aca="false">L8+L10+L24</f>
        <v>1904.16543315425</v>
      </c>
    </row>
    <row r="12" customFormat="false" ht="15" hidden="false" customHeight="false" outlineLevel="0" collapsed="false">
      <c r="A12" s="0" t="s">
        <v>122</v>
      </c>
      <c r="C12" s="4" t="n">
        <f aca="false">-C6*Assumptions!C17/100</f>
        <v>-0</v>
      </c>
      <c r="D12" s="4" t="n">
        <f aca="false">-D6*Assumptions!D17/100</f>
        <v>-0</v>
      </c>
      <c r="E12" s="4" t="n">
        <f aca="false">-E6*Assumptions!E17/100</f>
        <v>-0</v>
      </c>
      <c r="F12" s="4" t="n">
        <f aca="false">-F6*Assumptions!F17/100</f>
        <v>-0</v>
      </c>
      <c r="G12" s="4" t="n">
        <f aca="false">-G6*Assumptions!G17/100</f>
        <v>-0</v>
      </c>
      <c r="H12" s="4" t="n">
        <f aca="false">-H6*Assumptions!H17/100</f>
        <v>-0</v>
      </c>
      <c r="I12" s="4" t="n">
        <f aca="false">-I6*Assumptions!I17/100</f>
        <v>-0</v>
      </c>
      <c r="J12" s="4" t="n">
        <f aca="false">-J6*Assumptions!J17/100</f>
        <v>-0</v>
      </c>
      <c r="K12" s="4" t="n">
        <f aca="false">-K6*Assumptions!K17/100</f>
        <v>-0</v>
      </c>
      <c r="L12" s="4" t="n">
        <f aca="false">-L6*Assumptions!L17/100</f>
        <v>-0</v>
      </c>
    </row>
    <row r="13" customFormat="false" ht="15" hidden="false" customHeight="false" outlineLevel="0" collapsed="false">
      <c r="A13" s="0" t="s">
        <v>123</v>
      </c>
      <c r="C13" s="0" t="n">
        <f aca="false">C11+C12</f>
        <v>1684.618992</v>
      </c>
      <c r="D13" s="0" t="n">
        <f aca="false">D11+D12</f>
        <v>1658.2132578</v>
      </c>
      <c r="E13" s="0" t="n">
        <f aca="false">E11+E12</f>
        <v>1660.908425354</v>
      </c>
      <c r="F13" s="0" t="n">
        <f aca="false">F11+F12</f>
        <v>1674.38860280057</v>
      </c>
      <c r="G13" s="0" t="n">
        <f aca="false">G11+G12</f>
        <v>1716.24831787058</v>
      </c>
      <c r="H13" s="0" t="n">
        <f aca="false">H11+H12</f>
        <v>1759.15452581735</v>
      </c>
      <c r="I13" s="0" t="n">
        <f aca="false">I11+I12</f>
        <v>1794.3376163337</v>
      </c>
      <c r="J13" s="0" t="n">
        <f aca="false">J11+J12</f>
        <v>1830.22436866037</v>
      </c>
      <c r="K13" s="0" t="n">
        <f aca="false">K11+K12</f>
        <v>1866.82885603358</v>
      </c>
      <c r="L13" s="0" t="n">
        <f aca="false">L11+L12</f>
        <v>1904.16543315425</v>
      </c>
    </row>
    <row r="14" customFormat="false" ht="15" hidden="false" customHeight="false" outlineLevel="0" collapsed="false">
      <c r="A14" s="0" t="s">
        <v>109</v>
      </c>
      <c r="C14" s="4" t="n">
        <f aca="false">Assumptions!C19</f>
        <v>25</v>
      </c>
      <c r="D14" s="4" t="n">
        <f aca="false">Assumptions!D19</f>
        <v>26</v>
      </c>
      <c r="E14" s="4" t="n">
        <f aca="false">Assumptions!E19</f>
        <v>26</v>
      </c>
      <c r="F14" s="4" t="n">
        <f aca="false">Assumptions!F19</f>
        <v>26</v>
      </c>
      <c r="G14" s="4" t="n">
        <f aca="false">Assumptions!G19</f>
        <v>26</v>
      </c>
      <c r="H14" s="4" t="n">
        <f aca="false">Assumptions!H19</f>
        <v>26</v>
      </c>
      <c r="I14" s="4" t="n">
        <f aca="false">Assumptions!I19</f>
        <v>26</v>
      </c>
      <c r="J14" s="4" t="n">
        <f aca="false">Assumptions!J19</f>
        <v>26</v>
      </c>
      <c r="K14" s="4" t="n">
        <f aca="false">Assumptions!K19</f>
        <v>26</v>
      </c>
      <c r="L14" s="4" t="n">
        <f aca="false">Assumptions!L19</f>
        <v>26</v>
      </c>
    </row>
    <row r="15" customFormat="false" ht="15" hidden="false" customHeight="false" outlineLevel="0" collapsed="false">
      <c r="A15" s="0" t="s">
        <v>124</v>
      </c>
      <c r="C15" s="0" t="n">
        <f aca="false">C13-MAX(0,C13)*C14/100</f>
        <v>1263.464244</v>
      </c>
      <c r="D15" s="0" t="n">
        <f aca="false">D13-MAX(0,D13)*D14/100</f>
        <v>1227.077810772</v>
      </c>
      <c r="E15" s="0" t="n">
        <f aca="false">E13-MAX(0,E13)*E14/100</f>
        <v>1229.07223476196</v>
      </c>
      <c r="F15" s="0" t="n">
        <f aca="false">F13-MAX(0,F13)*F14/100</f>
        <v>1239.04756607242</v>
      </c>
      <c r="G15" s="0" t="n">
        <f aca="false">G13-MAX(0,G13)*G14/100</f>
        <v>1270.02375522423</v>
      </c>
      <c r="H15" s="0" t="n">
        <f aca="false">H13-MAX(0,H13)*H14/100</f>
        <v>1301.77434910484</v>
      </c>
      <c r="I15" s="0" t="n">
        <f aca="false">I13-MAX(0,I13)*I14/100</f>
        <v>1327.80983608693</v>
      </c>
      <c r="J15" s="0" t="n">
        <f aca="false">J13-MAX(0,J13)*J14/100</f>
        <v>1354.36603280867</v>
      </c>
      <c r="K15" s="0" t="n">
        <f aca="false">K13-MAX(0,K13)*K14/100</f>
        <v>1381.45335346485</v>
      </c>
      <c r="L15" s="0" t="n">
        <f aca="false">L13-MAX(0,L13)*L14/100</f>
        <v>1409.08242053414</v>
      </c>
    </row>
    <row r="16" customFormat="false" ht="15" hidden="false" customHeight="false" outlineLevel="0" collapsed="false">
      <c r="A16" s="0" t="s">
        <v>125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126</v>
      </c>
      <c r="C17" s="4" t="n">
        <f aca="false">-C6*Assumptions!C18/100</f>
        <v>-189.40822</v>
      </c>
      <c r="D17" s="4" t="n">
        <f aca="false">-D6*Assumptions!D18/100</f>
        <v>-186.14928445</v>
      </c>
      <c r="E17" s="4" t="n">
        <f aca="false">-E6*Assumptions!E18/100</f>
        <v>-187.0286399655</v>
      </c>
      <c r="F17" s="4" t="n">
        <f aca="false">-F6*Assumptions!F18/100</f>
        <v>-187.793222455925</v>
      </c>
      <c r="G17" s="4" t="n">
        <f aca="false">-G6*Assumptions!G18/100</f>
        <v>-192.488053017323</v>
      </c>
      <c r="H17" s="4" t="n">
        <f aca="false">-H6*Assumptions!H18/100</f>
        <v>-197.300254342756</v>
      </c>
      <c r="I17" s="4" t="n">
        <f aca="false">-I6*Assumptions!I18/100</f>
        <v>-201.246259429611</v>
      </c>
      <c r="J17" s="4" t="n">
        <f aca="false">-J6*Assumptions!J18/100</f>
        <v>-205.271184618204</v>
      </c>
      <c r="K17" s="4" t="n">
        <f aca="false">-K6*Assumptions!K18/100</f>
        <v>-209.376608310568</v>
      </c>
      <c r="L17" s="4" t="n">
        <f aca="false">-L6*Assumptions!L18/100</f>
        <v>-213.564140476779</v>
      </c>
    </row>
    <row r="18" customFormat="false" ht="15" hidden="false" customHeight="false" outlineLevel="0" collapsed="false">
      <c r="A18" s="0" t="s">
        <v>127</v>
      </c>
      <c r="C18" s="4" t="n">
        <f aca="false">(C6-B6)*Assumptions!$B$23/100</f>
        <v>0</v>
      </c>
      <c r="D18" s="4" t="n">
        <f aca="false">(D6-C6)*Assumptions!$B$23/100</f>
        <v>0</v>
      </c>
      <c r="E18" s="4" t="n">
        <f aca="false">(E6-D6)*Assumptions!$B$23/100</f>
        <v>0</v>
      </c>
      <c r="F18" s="4" t="n">
        <f aca="false">(F6-E6)*Assumptions!$B$23/100</f>
        <v>0</v>
      </c>
      <c r="G18" s="4" t="n">
        <f aca="false">(G6-F6)*Assumptions!$B$23/100</f>
        <v>0</v>
      </c>
      <c r="H18" s="4" t="n">
        <f aca="false">(H6-G6)*Assumptions!$B$23/100</f>
        <v>0</v>
      </c>
      <c r="I18" s="4" t="n">
        <f aca="false">(I6-H6)*Assumptions!$B$23/100</f>
        <v>0</v>
      </c>
      <c r="J18" s="4" t="n">
        <f aca="false">(J6-I6)*Assumptions!$B$23/100</f>
        <v>0</v>
      </c>
      <c r="K18" s="4" t="n">
        <f aca="false">(K6-J6)*Assumptions!$B$23/100</f>
        <v>0</v>
      </c>
      <c r="L18" s="4" t="n">
        <f aca="false">(L6-K6)*Assumptions!$B$23/100</f>
        <v>0</v>
      </c>
    </row>
    <row r="19" customFormat="false" ht="15" hidden="false" customHeight="false" outlineLevel="0" collapsed="false">
      <c r="A19" s="0" t="s">
        <v>128</v>
      </c>
      <c r="C19" s="0" t="n">
        <f aca="false">C15+C16+C17+C18</f>
        <v>1074.056024</v>
      </c>
      <c r="D19" s="0" t="n">
        <f aca="false">D15+D16+D17+D18</f>
        <v>1040.928526322</v>
      </c>
      <c r="E19" s="0" t="n">
        <f aca="false">E15+E16+E17+E18</f>
        <v>1042.04359479646</v>
      </c>
      <c r="F19" s="0" t="n">
        <f aca="false">F15+F16+F17+F18</f>
        <v>1051.2543436165</v>
      </c>
      <c r="G19" s="0" t="n">
        <f aca="false">G15+G16+G17+G18</f>
        <v>1077.53570220691</v>
      </c>
      <c r="H19" s="0" t="n">
        <f aca="false">H15+H16+H17+H18</f>
        <v>1104.47409476208</v>
      </c>
      <c r="I19" s="0" t="n">
        <f aca="false">I15+I16+I17+I18</f>
        <v>1126.56357665732</v>
      </c>
      <c r="J19" s="0" t="n">
        <f aca="false">J15+J16+J17+J18</f>
        <v>1149.09484819047</v>
      </c>
      <c r="K19" s="0" t="n">
        <f aca="false">K15+K16+K17+K18</f>
        <v>1172.07674515428</v>
      </c>
      <c r="L19" s="0" t="n">
        <f aca="false">L15+L16+L17+L18</f>
        <v>1195.51828005736</v>
      </c>
    </row>
    <row r="20" customFormat="false" ht="15" hidden="false" customHeight="false" outlineLevel="0" collapsed="false">
      <c r="A20" s="0" t="s">
        <v>129</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130</v>
      </c>
      <c r="C21" s="0" t="n">
        <f aca="false">C19*C20</f>
        <v>971.996401809955</v>
      </c>
      <c r="D21" s="0" t="n">
        <f aca="false">D19*D20</f>
        <v>852.503860545034</v>
      </c>
      <c r="E21" s="0" t="n">
        <f aca="false">E19*E20</f>
        <v>772.323152796917</v>
      </c>
      <c r="F21" s="0" t="n">
        <f aca="false">F19*F20</f>
        <v>705.112950361696</v>
      </c>
      <c r="G21" s="0" t="n">
        <f aca="false">G19*G20</f>
        <v>654.064048978044</v>
      </c>
      <c r="H21" s="0" t="n">
        <f aca="false">H19*H20</f>
        <v>606.710995658367</v>
      </c>
      <c r="I21" s="0" t="n">
        <f aca="false">I19*I20</f>
        <v>560.040919069262</v>
      </c>
      <c r="J21" s="0" t="n">
        <f aca="false">J19*J20</f>
        <v>516.960848371626</v>
      </c>
      <c r="K21" s="0" t="n">
        <f aca="false">K19*K20</f>
        <v>477.194629266116</v>
      </c>
      <c r="L21" s="0" t="n">
        <f aca="false">L19*L20</f>
        <v>440.4873500918</v>
      </c>
    </row>
    <row r="23" customFormat="false" ht="15" hidden="false" customHeight="false" outlineLevel="0" collapsed="false">
      <c r="A23" s="0" t="s">
        <v>106</v>
      </c>
      <c r="C23" s="4" t="n">
        <f aca="false">Assumptions!C16</f>
        <v>0</v>
      </c>
      <c r="D23" s="4" t="n">
        <f aca="false">Assumptions!D16</f>
        <v>0</v>
      </c>
      <c r="E23" s="4" t="n">
        <f aca="false">Assumptions!E16</f>
        <v>0</v>
      </c>
      <c r="F23" s="4" t="n">
        <f aca="false">Assumptions!F16</f>
        <v>0</v>
      </c>
      <c r="G23" s="4" t="n">
        <f aca="false">Assumptions!G16</f>
        <v>0</v>
      </c>
      <c r="H23" s="4" t="n">
        <f aca="false">Assumptions!H16</f>
        <v>0</v>
      </c>
      <c r="I23" s="4" t="n">
        <f aca="false">Assumptions!I16</f>
        <v>0</v>
      </c>
      <c r="J23" s="4" t="n">
        <f aca="false">Assumptions!J16</f>
        <v>0</v>
      </c>
      <c r="K23" s="4" t="n">
        <f aca="false">Assumptions!K16</f>
        <v>0</v>
      </c>
      <c r="L23" s="4" t="n">
        <f aca="false">Assumptions!L16</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Assumptions!$B$20</f>
        <v>10.5</v>
      </c>
    </row>
    <row r="28" customFormat="false" ht="15" hidden="false" customHeight="false" outlineLevel="0" collapsed="false">
      <c r="A28" s="0" t="s">
        <v>111</v>
      </c>
      <c r="B28" s="4" t="n">
        <f aca="false">Assumptions!$B$21</f>
        <v>2</v>
      </c>
    </row>
    <row r="29" customFormat="false" ht="15" hidden="false" customHeight="false" outlineLevel="0" collapsed="false">
      <c r="A29" s="0" t="s">
        <v>112</v>
      </c>
      <c r="B29" s="4" t="n">
        <f aca="false">Assumptions!$B$22</f>
        <v>9</v>
      </c>
    </row>
    <row r="30" customFormat="false" ht="15" hidden="false" customHeight="false" outlineLevel="0" collapsed="false">
      <c r="A30" s="0" t="s">
        <v>133</v>
      </c>
      <c r="B30" s="0" t="n">
        <f aca="false">SUM(C21:L21)</f>
        <v>6557.39515694882</v>
      </c>
    </row>
    <row r="31" customFormat="false" ht="15" hidden="false" customHeight="false" outlineLevel="0" collapsed="false">
      <c r="A31" s="0" t="s">
        <v>134</v>
      </c>
      <c r="B31" s="0" t="n">
        <f aca="false">L19</f>
        <v>1195.51828005736</v>
      </c>
    </row>
    <row r="32" customFormat="false" ht="15" hidden="false" customHeight="false" outlineLevel="0" collapsed="false">
      <c r="A32" s="0" t="s">
        <v>135</v>
      </c>
      <c r="B32" s="0" t="n">
        <f aca="false">IF(B27&gt;B28,B31*(1+B28/100)/((B27-B28)/100),B31*B29)</f>
        <v>14346.2193606884</v>
      </c>
    </row>
    <row r="33" customFormat="false" ht="15" hidden="false" customHeight="false" outlineLevel="0" collapsed="false">
      <c r="A33" s="0" t="s">
        <v>136</v>
      </c>
      <c r="B33" s="0" t="n">
        <f aca="false">B31*B29</f>
        <v>10759.6645205163</v>
      </c>
    </row>
    <row r="34" customFormat="false" ht="15" hidden="false" customHeight="false" outlineLevel="0" collapsed="false">
      <c r="A34" s="0" t="s">
        <v>137</v>
      </c>
      <c r="B34" s="0" t="n">
        <f aca="false">MAX(0,MIN(B32,B33))</f>
        <v>10759.6645205163</v>
      </c>
    </row>
    <row r="35" customFormat="false" ht="15" hidden="false" customHeight="false" outlineLevel="0" collapsed="false">
      <c r="A35" s="0" t="s">
        <v>138</v>
      </c>
      <c r="B35" s="0" t="n">
        <f aca="false">B34/(1+B27/100)^L4</f>
        <v>3964.3861508262</v>
      </c>
    </row>
    <row r="36" customFormat="false" ht="15" hidden="false" customHeight="false" outlineLevel="0" collapsed="false">
      <c r="A36" s="0" t="s">
        <v>139</v>
      </c>
      <c r="B36" s="0" t="n">
        <f aca="false">B30+B35</f>
        <v>10521.781307775</v>
      </c>
    </row>
    <row r="37" customFormat="false" ht="15" hidden="false" customHeight="false" outlineLevel="0" collapsed="false">
      <c r="A37" s="0" t="s">
        <v>140</v>
      </c>
      <c r="B37" s="0" t="n">
        <f aca="false">B36+Assumptions!$B$5-Assumptions!$B$4</f>
        <v>11121.781307775</v>
      </c>
    </row>
    <row r="38" customFormat="false" ht="15" hidden="false" customHeight="false" outlineLevel="0" collapsed="false">
      <c r="A38" s="0" t="s">
        <v>141</v>
      </c>
      <c r="B38" s="0" t="n">
        <f aca="false">B37/Assumptions!$B$3*Assumptions!$B$10</f>
        <v>202.214205595909</v>
      </c>
    </row>
    <row r="39" customFormat="false" ht="15" hidden="false" customHeight="false" outlineLevel="0" collapsed="false">
      <c r="A39" s="0" t="s">
        <v>142</v>
      </c>
      <c r="B39" s="4" t="n">
        <f aca="false">B38/Assumptions!$B$2-1</f>
        <v>-0.295420886425403</v>
      </c>
    </row>
    <row r="41" customFormat="false" ht="15" hidden="false" customHeight="false" outlineLevel="0" collapsed="false">
      <c r="A41" s="0" t="s">
        <v>143</v>
      </c>
      <c r="B41" s="0" t="n">
        <f aca="false">SUMPRODUCT(-C10:L10/(1+$B$27/100)^C4:L4)</f>
        <v>501.837239539122</v>
      </c>
    </row>
    <row r="42" customFormat="false" ht="15" hidden="false" customHeight="false" outlineLevel="0" collapsed="false">
      <c r="A42" s="0" t="s">
        <v>144</v>
      </c>
      <c r="B42" s="0" t="n">
        <f aca="false">IF(B27&gt;B28,-L10*(1+B28/100)/((B27-B28)/100),-L10*20)/(1+B27/100)^L4</f>
        <v>414.25142641862</v>
      </c>
    </row>
    <row r="43" customFormat="false" ht="15" hidden="false" customHeight="false" outlineLevel="0" collapsed="false">
      <c r="A43" s="0" t="s">
        <v>145</v>
      </c>
      <c r="B43" s="0" t="n">
        <f aca="false">(B37+B41+B42)/Assumptions!$B$3*Assumptions!$B$10</f>
        <v>218.870363158777</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9380.22035121932</v>
      </c>
    </row>
    <row r="47" customFormat="false" ht="15" hidden="false" customHeight="false" outlineLevel="0" collapsed="false">
      <c r="A47" s="0" t="s">
        <v>147</v>
      </c>
      <c r="B47" s="0" t="n">
        <f aca="false">(SUMPRODUCT(C19:L19/(1+B45/100)^C4:L4)+B46/(1+B45/100)^L4+Assumptions!$B$5-Assumptions!$B$4)/Assumptions!$B$3*Assumptions!$B$10</f>
        <v>152.127065020941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Assumptions!C27</f>
        <v>8</v>
      </c>
      <c r="D5" s="4" t="n">
        <f aca="false">Assumptions!D27</f>
        <v>6</v>
      </c>
      <c r="E5" s="4" t="n">
        <f aca="false">Assumptions!E27</f>
        <v>6</v>
      </c>
      <c r="F5" s="4" t="n">
        <f aca="false">Assumptions!F27</f>
        <v>5</v>
      </c>
      <c r="G5" s="4" t="n">
        <f aca="false">Assumptions!G27</f>
        <v>4.5</v>
      </c>
      <c r="H5" s="4" t="n">
        <f aca="false">Assumptions!H27</f>
        <v>4</v>
      </c>
      <c r="I5" s="4" t="n">
        <f aca="false">Assumptions!I27</f>
        <v>3.5</v>
      </c>
      <c r="J5" s="4" t="n">
        <f aca="false">Assumptions!J27</f>
        <v>3</v>
      </c>
      <c r="K5" s="4" t="n">
        <f aca="false">Assumptions!K27</f>
        <v>2.5</v>
      </c>
      <c r="L5" s="4" t="n">
        <f aca="false">Assumptions!L27</f>
        <v>2.5</v>
      </c>
    </row>
    <row r="6" customFormat="false" ht="15" hidden="false" customHeight="false" outlineLevel="0" collapsed="false">
      <c r="A6" s="0" t="s">
        <v>38</v>
      </c>
      <c r="B6" s="3" t="n">
        <v>10511</v>
      </c>
      <c r="C6" s="0" t="n">
        <f aca="false">B6*(1+C5/100)</f>
        <v>11351.88</v>
      </c>
      <c r="D6" s="0" t="n">
        <f aca="false">C6*(1+D5/100)</f>
        <v>12032.9928</v>
      </c>
      <c r="E6" s="0" t="n">
        <f aca="false">D6*(1+E5/100)</f>
        <v>12754.972368</v>
      </c>
      <c r="F6" s="0" t="n">
        <f aca="false">E6*(1+F5/100)</f>
        <v>13392.7209864</v>
      </c>
      <c r="G6" s="0" t="n">
        <f aca="false">F6*(1+G5/100)</f>
        <v>13995.393430788</v>
      </c>
      <c r="H6" s="0" t="n">
        <f aca="false">G6*(1+H5/100)</f>
        <v>14555.2091680195</v>
      </c>
      <c r="I6" s="0" t="n">
        <f aca="false">H6*(1+I5/100)</f>
        <v>15064.6414889002</v>
      </c>
      <c r="J6" s="0" t="n">
        <f aca="false">I6*(1+J5/100)</f>
        <v>15516.5807335672</v>
      </c>
      <c r="K6" s="0" t="n">
        <f aca="false">J6*(1+K5/100)</f>
        <v>15904.4952519064</v>
      </c>
      <c r="L6" s="0" t="n">
        <f aca="false">K6*(1+L5/100)</f>
        <v>16302.107633204</v>
      </c>
    </row>
    <row r="7" customFormat="false" ht="15" hidden="false" customHeight="false" outlineLevel="0" collapsed="false">
      <c r="A7" s="0" t="s">
        <v>104</v>
      </c>
      <c r="C7" s="4" t="n">
        <f aca="false">Assumptions!C28</f>
        <v>16.1</v>
      </c>
      <c r="D7" s="4" t="n">
        <f aca="false">Assumptions!D28</f>
        <v>16.2</v>
      </c>
      <c r="E7" s="4" t="n">
        <f aca="false">Assumptions!E28</f>
        <v>16.4</v>
      </c>
      <c r="F7" s="4" t="n">
        <f aca="false">Assumptions!F28</f>
        <v>16.4</v>
      </c>
      <c r="G7" s="4" t="n">
        <f aca="false">Assumptions!G28</f>
        <v>16.4</v>
      </c>
      <c r="H7" s="4" t="n">
        <f aca="false">Assumptions!H28</f>
        <v>16.4</v>
      </c>
      <c r="I7" s="4" t="n">
        <f aca="false">Assumptions!I28</f>
        <v>16.4</v>
      </c>
      <c r="J7" s="4" t="n">
        <f aca="false">Assumptions!J28</f>
        <v>16.4</v>
      </c>
      <c r="K7" s="4" t="n">
        <f aca="false">Assumptions!K28</f>
        <v>16.4</v>
      </c>
      <c r="L7" s="4" t="n">
        <f aca="false">Assumptions!L28</f>
        <v>16.4</v>
      </c>
    </row>
    <row r="8" customFormat="false" ht="15" hidden="false" customHeight="false" outlineLevel="0" collapsed="false">
      <c r="A8" s="0" t="s">
        <v>44</v>
      </c>
      <c r="C8" s="0" t="n">
        <f aca="false">C6*C7/100</f>
        <v>1827.65268</v>
      </c>
      <c r="D8" s="0" t="n">
        <f aca="false">D6*D7/100</f>
        <v>1949.3448336</v>
      </c>
      <c r="E8" s="0" t="n">
        <f aca="false">E6*E7/100</f>
        <v>2091.815468352</v>
      </c>
      <c r="F8" s="0" t="n">
        <f aca="false">F6*F7/100</f>
        <v>2196.4062417696</v>
      </c>
      <c r="G8" s="0" t="n">
        <f aca="false">G6*G7/100</f>
        <v>2295.24452264923</v>
      </c>
      <c r="H8" s="0" t="n">
        <f aca="false">H6*H7/100</f>
        <v>2387.0543035552</v>
      </c>
      <c r="I8" s="0" t="n">
        <f aca="false">I6*I7/100</f>
        <v>2470.60120417963</v>
      </c>
      <c r="J8" s="0" t="n">
        <f aca="false">J6*J7/100</f>
        <v>2544.71924030502</v>
      </c>
      <c r="K8" s="0" t="n">
        <f aca="false">K6*K7/100</f>
        <v>2608.33722131265</v>
      </c>
      <c r="L8" s="0" t="n">
        <f aca="false">L6*L7/100</f>
        <v>2673.54565184546</v>
      </c>
    </row>
    <row r="9" customFormat="false" ht="15" hidden="false" customHeight="false" outlineLevel="0" collapsed="false">
      <c r="A9" s="0" t="s">
        <v>105</v>
      </c>
      <c r="C9" s="4" t="n">
        <f aca="false">Assumptions!C29</f>
        <v>0.68</v>
      </c>
      <c r="D9" s="4" t="n">
        <f aca="false">Assumptions!D29</f>
        <v>0.68</v>
      </c>
      <c r="E9" s="4" t="n">
        <f aca="false">Assumptions!E29</f>
        <v>0.68</v>
      </c>
      <c r="F9" s="4" t="n">
        <f aca="false">Assumptions!F29</f>
        <v>0.68</v>
      </c>
      <c r="G9" s="4" t="n">
        <f aca="false">Assumptions!G29</f>
        <v>0.68</v>
      </c>
      <c r="H9" s="4" t="n">
        <f aca="false">Assumptions!H29</f>
        <v>0.68</v>
      </c>
      <c r="I9" s="4" t="n">
        <f aca="false">Assumptions!I29</f>
        <v>0.68</v>
      </c>
      <c r="J9" s="4" t="n">
        <f aca="false">Assumptions!J29</f>
        <v>0.68</v>
      </c>
      <c r="K9" s="4" t="n">
        <f aca="false">Assumptions!K29</f>
        <v>0.68</v>
      </c>
      <c r="L9" s="4" t="n">
        <f aca="false">Assumptions!L29</f>
        <v>0.68</v>
      </c>
    </row>
    <row r="10" customFormat="false" ht="15" hidden="false" customHeight="false" outlineLevel="0" collapsed="false">
      <c r="A10" s="0" t="s">
        <v>120</v>
      </c>
      <c r="C10" s="0" t="n">
        <f aca="false">-C6*C9/100</f>
        <v>-77.192784</v>
      </c>
      <c r="D10" s="0" t="n">
        <f aca="false">-D6*D9/100</f>
        <v>-81.82435104</v>
      </c>
      <c r="E10" s="0" t="n">
        <f aca="false">-E6*E9/100</f>
        <v>-86.7338121024</v>
      </c>
      <c r="F10" s="0" t="n">
        <f aca="false">-F6*F9/100</f>
        <v>-91.07050270752</v>
      </c>
      <c r="G10" s="0" t="n">
        <f aca="false">-G6*G9/100</f>
        <v>-95.1686753293584</v>
      </c>
      <c r="H10" s="0" t="n">
        <f aca="false">-H6*H9/100</f>
        <v>-98.9754223425328</v>
      </c>
      <c r="I10" s="0" t="n">
        <f aca="false">-I6*I9/100</f>
        <v>-102.439562124521</v>
      </c>
      <c r="J10" s="0" t="n">
        <f aca="false">-J6*J9/100</f>
        <v>-105.512748988257</v>
      </c>
      <c r="K10" s="0" t="n">
        <f aca="false">-K6*K9/100</f>
        <v>-108.150567712963</v>
      </c>
      <c r="L10" s="0" t="n">
        <f aca="false">-L6*L9/100</f>
        <v>-110.854331905788</v>
      </c>
    </row>
    <row r="11" customFormat="false" ht="15" hidden="false" customHeight="false" outlineLevel="0" collapsed="false">
      <c r="A11" s="0" t="s">
        <v>121</v>
      </c>
      <c r="C11" s="0" t="n">
        <f aca="false">C8+C10+C24</f>
        <v>1750.459896</v>
      </c>
      <c r="D11" s="0" t="n">
        <f aca="false">D8+D10+D24</f>
        <v>1867.52048256</v>
      </c>
      <c r="E11" s="0" t="n">
        <f aca="false">E8+E10+E24</f>
        <v>2005.0816562496</v>
      </c>
      <c r="F11" s="0" t="n">
        <f aca="false">F8+F10+F24</f>
        <v>2105.33573906208</v>
      </c>
      <c r="G11" s="0" t="n">
        <f aca="false">G8+G10+G24</f>
        <v>2200.07584731987</v>
      </c>
      <c r="H11" s="0" t="n">
        <f aca="false">H8+H10+H24</f>
        <v>2288.07888121267</v>
      </c>
      <c r="I11" s="0" t="n">
        <f aca="false">I8+I10+I24</f>
        <v>2368.16164205511</v>
      </c>
      <c r="J11" s="0" t="n">
        <f aca="false">J8+J10+J24</f>
        <v>2439.20649131677</v>
      </c>
      <c r="K11" s="0" t="n">
        <f aca="false">K8+K10+K24</f>
        <v>2500.18665359968</v>
      </c>
      <c r="L11" s="0" t="n">
        <f aca="false">L8+L10+L24</f>
        <v>2562.69131993968</v>
      </c>
    </row>
    <row r="12" customFormat="false" ht="15" hidden="false" customHeight="false" outlineLevel="0" collapsed="false">
      <c r="A12" s="0" t="s">
        <v>122</v>
      </c>
      <c r="C12" s="4" t="n">
        <f aca="false">-C6*Assumptions!C31/100</f>
        <v>-0</v>
      </c>
      <c r="D12" s="4" t="n">
        <f aca="false">-D6*Assumptions!D31/100</f>
        <v>-0</v>
      </c>
      <c r="E12" s="4" t="n">
        <f aca="false">-E6*Assumptions!E31/100</f>
        <v>-0</v>
      </c>
      <c r="F12" s="4" t="n">
        <f aca="false">-F6*Assumptions!F31/100</f>
        <v>-0</v>
      </c>
      <c r="G12" s="4" t="n">
        <f aca="false">-G6*Assumptions!G31/100</f>
        <v>-0</v>
      </c>
      <c r="H12" s="4" t="n">
        <f aca="false">-H6*Assumptions!H31/100</f>
        <v>-0</v>
      </c>
      <c r="I12" s="4" t="n">
        <f aca="false">-I6*Assumptions!I31/100</f>
        <v>-0</v>
      </c>
      <c r="J12" s="4" t="n">
        <f aca="false">-J6*Assumptions!J31/100</f>
        <v>-0</v>
      </c>
      <c r="K12" s="4" t="n">
        <f aca="false">-K6*Assumptions!K31/100</f>
        <v>-0</v>
      </c>
      <c r="L12" s="4" t="n">
        <f aca="false">-L6*Assumptions!L31/100</f>
        <v>-0</v>
      </c>
    </row>
    <row r="13" customFormat="false" ht="15" hidden="false" customHeight="false" outlineLevel="0" collapsed="false">
      <c r="A13" s="0" t="s">
        <v>123</v>
      </c>
      <c r="C13" s="0" t="n">
        <f aca="false">C11+C12</f>
        <v>1750.459896</v>
      </c>
      <c r="D13" s="0" t="n">
        <f aca="false">D11+D12</f>
        <v>1867.52048256</v>
      </c>
      <c r="E13" s="0" t="n">
        <f aca="false">E11+E12</f>
        <v>2005.0816562496</v>
      </c>
      <c r="F13" s="0" t="n">
        <f aca="false">F11+F12</f>
        <v>2105.33573906208</v>
      </c>
      <c r="G13" s="0" t="n">
        <f aca="false">G11+G12</f>
        <v>2200.07584731987</v>
      </c>
      <c r="H13" s="0" t="n">
        <f aca="false">H11+H12</f>
        <v>2288.07888121267</v>
      </c>
      <c r="I13" s="0" t="n">
        <f aca="false">I11+I12</f>
        <v>2368.16164205511</v>
      </c>
      <c r="J13" s="0" t="n">
        <f aca="false">J11+J12</f>
        <v>2439.20649131677</v>
      </c>
      <c r="K13" s="0" t="n">
        <f aca="false">K11+K12</f>
        <v>2500.18665359968</v>
      </c>
      <c r="L13" s="0" t="n">
        <f aca="false">L11+L12</f>
        <v>2562.69131993968</v>
      </c>
    </row>
    <row r="14" customFormat="false" ht="15" hidden="false" customHeight="false" outlineLevel="0" collapsed="false">
      <c r="A14" s="0" t="s">
        <v>109</v>
      </c>
      <c r="C14" s="4" t="n">
        <f aca="false">Assumptions!C33</f>
        <v>25</v>
      </c>
      <c r="D14" s="4" t="n">
        <f aca="false">Assumptions!D33</f>
        <v>25</v>
      </c>
      <c r="E14" s="4" t="n">
        <f aca="false">Assumptions!E33</f>
        <v>25</v>
      </c>
      <c r="F14" s="4" t="n">
        <f aca="false">Assumptions!F33</f>
        <v>25</v>
      </c>
      <c r="G14" s="4" t="n">
        <f aca="false">Assumptions!G33</f>
        <v>25</v>
      </c>
      <c r="H14" s="4" t="n">
        <f aca="false">Assumptions!H33</f>
        <v>25</v>
      </c>
      <c r="I14" s="4" t="n">
        <f aca="false">Assumptions!I33</f>
        <v>25</v>
      </c>
      <c r="J14" s="4" t="n">
        <f aca="false">Assumptions!J33</f>
        <v>25</v>
      </c>
      <c r="K14" s="4" t="n">
        <f aca="false">Assumptions!K33</f>
        <v>25</v>
      </c>
      <c r="L14" s="4" t="n">
        <f aca="false">Assumptions!L33</f>
        <v>25</v>
      </c>
    </row>
    <row r="15" customFormat="false" ht="15" hidden="false" customHeight="false" outlineLevel="0" collapsed="false">
      <c r="A15" s="0" t="s">
        <v>124</v>
      </c>
      <c r="C15" s="0" t="n">
        <f aca="false">C13-MAX(0,C13)*C14/100</f>
        <v>1312.844922</v>
      </c>
      <c r="D15" s="0" t="n">
        <f aca="false">D13-MAX(0,D13)*D14/100</f>
        <v>1400.64036192</v>
      </c>
      <c r="E15" s="0" t="n">
        <f aca="false">E13-MAX(0,E13)*E14/100</f>
        <v>1503.8112421872</v>
      </c>
      <c r="F15" s="0" t="n">
        <f aca="false">F13-MAX(0,F13)*F14/100</f>
        <v>1579.00180429656</v>
      </c>
      <c r="G15" s="0" t="n">
        <f aca="false">G13-MAX(0,G13)*G14/100</f>
        <v>1650.05688548991</v>
      </c>
      <c r="H15" s="0" t="n">
        <f aca="false">H13-MAX(0,H13)*H14/100</f>
        <v>1716.0591609095</v>
      </c>
      <c r="I15" s="0" t="n">
        <f aca="false">I13-MAX(0,I13)*I14/100</f>
        <v>1776.12123154133</v>
      </c>
      <c r="J15" s="0" t="n">
        <f aca="false">J13-MAX(0,J13)*J14/100</f>
        <v>1829.40486848757</v>
      </c>
      <c r="K15" s="0" t="n">
        <f aca="false">K13-MAX(0,K13)*K14/100</f>
        <v>1875.13999019976</v>
      </c>
      <c r="L15" s="0" t="n">
        <f aca="false">L13-MAX(0,L13)*L14/100</f>
        <v>1922.01848995476</v>
      </c>
    </row>
    <row r="16" customFormat="false" ht="15" hidden="false" customHeight="false" outlineLevel="0" collapsed="false">
      <c r="A16" s="0" t="s">
        <v>125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126</v>
      </c>
      <c r="C17" s="4" t="n">
        <f aca="false">-C6*Assumptions!C32/100</f>
        <v>-131.681808</v>
      </c>
      <c r="D17" s="4" t="n">
        <f aca="false">-D6*Assumptions!D32/100</f>
        <v>-111.90683304</v>
      </c>
      <c r="E17" s="4" t="n">
        <f aca="false">-E6*Assumptions!E32/100</f>
        <v>-75.2543369712</v>
      </c>
      <c r="F17" s="4" t="n">
        <f aca="false">-F6*Assumptions!F32/100</f>
        <v>-79.01705381976</v>
      </c>
      <c r="G17" s="4" t="n">
        <f aca="false">-G6*Assumptions!G32/100</f>
        <v>-82.5728212416492</v>
      </c>
      <c r="H17" s="4" t="n">
        <f aca="false">-H6*Assumptions!H32/100</f>
        <v>-85.8757340913152</v>
      </c>
      <c r="I17" s="4" t="n">
        <f aca="false">-I6*Assumptions!I32/100</f>
        <v>-88.8813847845112</v>
      </c>
      <c r="J17" s="4" t="n">
        <f aca="false">-J6*Assumptions!J32/100</f>
        <v>-91.5478263280465</v>
      </c>
      <c r="K17" s="4" t="n">
        <f aca="false">-K6*Assumptions!K32/100</f>
        <v>-93.8365219862477</v>
      </c>
      <c r="L17" s="4" t="n">
        <f aca="false">-L6*Assumptions!L32/100</f>
        <v>-96.1824350359039</v>
      </c>
    </row>
    <row r="18" customFormat="false" ht="15" hidden="false" customHeight="false" outlineLevel="0" collapsed="false">
      <c r="A18" s="0" t="s">
        <v>127</v>
      </c>
      <c r="C18" s="4" t="n">
        <f aca="false">(C6-B6)*Assumptions!$B$37/100</f>
        <v>0</v>
      </c>
      <c r="D18" s="4" t="n">
        <f aca="false">(D6-C6)*Assumptions!$B$37/100</f>
        <v>0</v>
      </c>
      <c r="E18" s="4" t="n">
        <f aca="false">(E6-D6)*Assumptions!$B$37/100</f>
        <v>0</v>
      </c>
      <c r="F18" s="4" t="n">
        <f aca="false">(F6-E6)*Assumptions!$B$37/100</f>
        <v>0</v>
      </c>
      <c r="G18" s="4" t="n">
        <f aca="false">(G6-F6)*Assumptions!$B$37/100</f>
        <v>0</v>
      </c>
      <c r="H18" s="4" t="n">
        <f aca="false">(H6-G6)*Assumptions!$B$37/100</f>
        <v>0</v>
      </c>
      <c r="I18" s="4" t="n">
        <f aca="false">(I6-H6)*Assumptions!$B$37/100</f>
        <v>0</v>
      </c>
      <c r="J18" s="4" t="n">
        <f aca="false">(J6-I6)*Assumptions!$B$37/100</f>
        <v>0</v>
      </c>
      <c r="K18" s="4" t="n">
        <f aca="false">(K6-J6)*Assumptions!$B$37/100</f>
        <v>0</v>
      </c>
      <c r="L18" s="4" t="n">
        <f aca="false">(L6-K6)*Assumptions!$B$37/100</f>
        <v>0</v>
      </c>
    </row>
    <row r="19" customFormat="false" ht="15" hidden="false" customHeight="false" outlineLevel="0" collapsed="false">
      <c r="A19" s="0" t="s">
        <v>128</v>
      </c>
      <c r="C19" s="0" t="n">
        <f aca="false">C15+C16+C17+C18</f>
        <v>1181.163114</v>
      </c>
      <c r="D19" s="0" t="n">
        <f aca="false">D15+D16+D17+D18</f>
        <v>1288.73352888</v>
      </c>
      <c r="E19" s="0" t="n">
        <f aca="false">E15+E16+E17+E18</f>
        <v>1428.556905216</v>
      </c>
      <c r="F19" s="0" t="n">
        <f aca="false">F15+F16+F17+F18</f>
        <v>1499.9847504768</v>
      </c>
      <c r="G19" s="0" t="n">
        <f aca="false">G15+G16+G17+G18</f>
        <v>1567.48406424826</v>
      </c>
      <c r="H19" s="0" t="n">
        <f aca="false">H15+H16+H17+H18</f>
        <v>1630.18342681819</v>
      </c>
      <c r="I19" s="0" t="n">
        <f aca="false">I15+I16+I17+I18</f>
        <v>1687.23984675682</v>
      </c>
      <c r="J19" s="0" t="n">
        <f aca="false">J15+J16+J17+J18</f>
        <v>1737.85704215953</v>
      </c>
      <c r="K19" s="0" t="n">
        <f aca="false">K15+K16+K17+K18</f>
        <v>1781.30346821352</v>
      </c>
      <c r="L19" s="0" t="n">
        <f aca="false">L15+L16+L17+L18</f>
        <v>1825.83605491885</v>
      </c>
    </row>
    <row r="20" customFormat="false" ht="15" hidden="false" customHeight="false" outlineLevel="0" collapsed="false">
      <c r="A20" s="0" t="s">
        <v>129</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130</v>
      </c>
      <c r="C21" s="0" t="n">
        <f aca="false">C19*C20</f>
        <v>1068.92589502262</v>
      </c>
      <c r="D21" s="0" t="n">
        <f aca="false">D19*D20</f>
        <v>1055.45220522102</v>
      </c>
      <c r="E21" s="0" t="n">
        <f aca="false">E19*E20</f>
        <v>1058.79214506542</v>
      </c>
      <c r="F21" s="0" t="n">
        <f aca="false">F19*F20</f>
        <v>1006.09208354633</v>
      </c>
      <c r="G21" s="0" t="n">
        <f aca="false">G19*G20</f>
        <v>951.462649145623</v>
      </c>
      <c r="H21" s="0" t="n">
        <f aca="false">H19*H20</f>
        <v>895.49425801941</v>
      </c>
      <c r="I21" s="0" t="n">
        <f aca="false">I19*I20</f>
        <v>838.766114977456</v>
      </c>
      <c r="J21" s="0" t="n">
        <f aca="false">J19*J20</f>
        <v>781.836288169032</v>
      </c>
      <c r="K21" s="0" t="n">
        <f aca="false">K19*K20</f>
        <v>725.232755993898</v>
      </c>
      <c r="L21" s="0" t="n">
        <f aca="false">L19*L20</f>
        <v>672.727217098412</v>
      </c>
    </row>
    <row r="23" customFormat="false" ht="15" hidden="false" customHeight="false" outlineLevel="0" collapsed="false">
      <c r="A23" s="0" t="s">
        <v>106</v>
      </c>
      <c r="C23" s="4" t="n">
        <f aca="false">Assumptions!C30</f>
        <v>0</v>
      </c>
      <c r="D23" s="4" t="n">
        <f aca="false">Assumptions!D30</f>
        <v>0</v>
      </c>
      <c r="E23" s="4" t="n">
        <f aca="false">Assumptions!E30</f>
        <v>0</v>
      </c>
      <c r="F23" s="4" t="n">
        <f aca="false">Assumptions!F30</f>
        <v>0</v>
      </c>
      <c r="G23" s="4" t="n">
        <f aca="false">Assumptions!G30</f>
        <v>0</v>
      </c>
      <c r="H23" s="4" t="n">
        <f aca="false">Assumptions!H30</f>
        <v>0</v>
      </c>
      <c r="I23" s="4" t="n">
        <f aca="false">Assumptions!I30</f>
        <v>0</v>
      </c>
      <c r="J23" s="4" t="n">
        <f aca="false">Assumptions!J30</f>
        <v>0</v>
      </c>
      <c r="K23" s="4" t="n">
        <f aca="false">Assumptions!K30</f>
        <v>0</v>
      </c>
      <c r="L23" s="4" t="n">
        <f aca="false">Assumptions!L30</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Assumptions!$B$34</f>
        <v>10.5</v>
      </c>
    </row>
    <row r="28" customFormat="false" ht="15" hidden="false" customHeight="false" outlineLevel="0" collapsed="false">
      <c r="A28" s="0" t="s">
        <v>111</v>
      </c>
      <c r="B28" s="4" t="n">
        <f aca="false">Assumptions!$B$35</f>
        <v>2.5</v>
      </c>
    </row>
    <row r="29" customFormat="false" ht="15" hidden="false" customHeight="false" outlineLevel="0" collapsed="false">
      <c r="A29" s="0" t="s">
        <v>112</v>
      </c>
      <c r="B29" s="4" t="n">
        <f aca="false">Assumptions!$B$36</f>
        <v>11</v>
      </c>
    </row>
    <row r="30" customFormat="false" ht="15" hidden="false" customHeight="false" outlineLevel="0" collapsed="false">
      <c r="A30" s="0" t="s">
        <v>133</v>
      </c>
      <c r="B30" s="0" t="n">
        <f aca="false">SUM(C21:L21)</f>
        <v>9054.78161225923</v>
      </c>
    </row>
    <row r="31" customFormat="false" ht="15" hidden="false" customHeight="false" outlineLevel="0" collapsed="false">
      <c r="A31" s="0" t="s">
        <v>134</v>
      </c>
      <c r="B31" s="0" t="n">
        <f aca="false">L19</f>
        <v>1825.83605491885</v>
      </c>
    </row>
    <row r="32" customFormat="false" ht="15" hidden="false" customHeight="false" outlineLevel="0" collapsed="false">
      <c r="A32" s="0" t="s">
        <v>135</v>
      </c>
      <c r="B32" s="0" t="n">
        <f aca="false">IF(B27&gt;B28,B31*(1+B28/100)/((B27-B28)/100),B31*B29)</f>
        <v>23393.5244536478</v>
      </c>
    </row>
    <row r="33" customFormat="false" ht="15" hidden="false" customHeight="false" outlineLevel="0" collapsed="false">
      <c r="A33" s="0" t="s">
        <v>136</v>
      </c>
      <c r="B33" s="0" t="n">
        <f aca="false">B31*B29</f>
        <v>20084.1966041074</v>
      </c>
    </row>
    <row r="34" customFormat="false" ht="15" hidden="false" customHeight="false" outlineLevel="0" collapsed="false">
      <c r="A34" s="0" t="s">
        <v>137</v>
      </c>
      <c r="B34" s="0" t="n">
        <f aca="false">MAX(0,MIN(B32,B33))</f>
        <v>20084.1966041074</v>
      </c>
    </row>
    <row r="35" customFormat="false" ht="15" hidden="false" customHeight="false" outlineLevel="0" collapsed="false">
      <c r="A35" s="0" t="s">
        <v>138</v>
      </c>
      <c r="B35" s="0" t="n">
        <f aca="false">B34/(1+B27/100)^L4</f>
        <v>7399.99938808253</v>
      </c>
    </row>
    <row r="36" customFormat="false" ht="15" hidden="false" customHeight="false" outlineLevel="0" collapsed="false">
      <c r="A36" s="0" t="s">
        <v>139</v>
      </c>
      <c r="B36" s="0" t="n">
        <f aca="false">B30+B35</f>
        <v>16454.7810003418</v>
      </c>
    </row>
    <row r="37" customFormat="false" ht="15" hidden="false" customHeight="false" outlineLevel="0" collapsed="false">
      <c r="A37" s="0" t="s">
        <v>140</v>
      </c>
      <c r="B37" s="0" t="n">
        <f aca="false">B36+Assumptions!$B$5-Assumptions!$B$4</f>
        <v>17054.7810003418</v>
      </c>
    </row>
    <row r="38" customFormat="false" ht="15" hidden="false" customHeight="false" outlineLevel="0" collapsed="false">
      <c r="A38" s="0" t="s">
        <v>141</v>
      </c>
      <c r="B38" s="0" t="n">
        <f aca="false">B37/Assumptions!$B$3*Assumptions!$B$10</f>
        <v>310.086927278941</v>
      </c>
    </row>
    <row r="39" customFormat="false" ht="15" hidden="false" customHeight="false" outlineLevel="0" collapsed="false">
      <c r="A39" s="0" t="s">
        <v>142</v>
      </c>
      <c r="B39" s="4" t="n">
        <f aca="false">B38/Assumptions!$B$2-1</f>
        <v>0.0804422553273212</v>
      </c>
    </row>
    <row r="41" customFormat="false" ht="15" hidden="false" customHeight="false" outlineLevel="0" collapsed="false">
      <c r="A41" s="0" t="s">
        <v>143</v>
      </c>
      <c r="B41" s="0" t="n">
        <f aca="false">SUMPRODUCT(-C10:L10/(1+$B$27/100)^C4:L4)</f>
        <v>557.645060447458</v>
      </c>
    </row>
    <row r="42" customFormat="false" ht="15" hidden="false" customHeight="false" outlineLevel="0" collapsed="false">
      <c r="A42" s="0" t="s">
        <v>144</v>
      </c>
      <c r="B42" s="0" t="n">
        <f aca="false">IF(B27&gt;B28,-L10*(1+B28/100)/((B27-B28)/100),-L10*20)/(1+B27/100)^L4</f>
        <v>523.315703479457</v>
      </c>
    </row>
    <row r="43" customFormat="false" ht="15" hidden="false" customHeight="false" outlineLevel="0" collapsed="false">
      <c r="A43" s="0" t="s">
        <v>145</v>
      </c>
      <c r="B43" s="0" t="n">
        <f aca="false">(B37+B41+B42)/Assumptions!$B$3*Assumptions!$B$10</f>
        <v>329.74075935034</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14971.8556503346</v>
      </c>
    </row>
    <row r="47" customFormat="false" ht="15" hidden="false" customHeight="false" outlineLevel="0" collapsed="false">
      <c r="A47" s="0" t="s">
        <v>147</v>
      </c>
      <c r="B47" s="0" t="n">
        <f aca="false">(SUMPRODUCT(C19:L19/(1+B45/100)^C4:L4)+B46/(1+B45/100)^L4+Assumptions!$B$5-Assumptions!$B$4)/Assumptions!$B$3*Assumptions!$B$10</f>
        <v>213.517655696383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149</v>
      </c>
    </row>
    <row r="3" customFormat="false" ht="15" hidden="false" customHeight="false" outlineLevel="0" collapsed="false">
      <c r="A3" s="0" t="s">
        <v>118</v>
      </c>
      <c r="B3" s="0" t="s">
        <v>79</v>
      </c>
      <c r="C3" s="2" t="s">
        <v>93</v>
      </c>
      <c r="D3" s="2" t="s">
        <v>94</v>
      </c>
      <c r="E3" s="2" t="s">
        <v>95</v>
      </c>
      <c r="F3" s="2" t="s">
        <v>96</v>
      </c>
      <c r="G3" s="2" t="s">
        <v>97</v>
      </c>
      <c r="H3" s="2" t="s">
        <v>98</v>
      </c>
      <c r="I3" s="2" t="s">
        <v>99</v>
      </c>
      <c r="J3" s="2" t="s">
        <v>100</v>
      </c>
      <c r="K3" s="2" t="s">
        <v>101</v>
      </c>
      <c r="L3" s="2" t="s">
        <v>102</v>
      </c>
    </row>
    <row r="4" customFormat="false" ht="15" hidden="false" customHeight="false" outlineLevel="0" collapsed="false">
      <c r="A4" s="0" t="s">
        <v>119</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103</v>
      </c>
      <c r="C5" s="4" t="n">
        <f aca="false">Assumptions!C41</f>
        <v>10</v>
      </c>
      <c r="D5" s="4" t="n">
        <f aca="false">Assumptions!D41</f>
        <v>7</v>
      </c>
      <c r="E5" s="4" t="n">
        <f aca="false">Assumptions!E41</f>
        <v>7</v>
      </c>
      <c r="F5" s="4" t="n">
        <f aca="false">Assumptions!F41</f>
        <v>6</v>
      </c>
      <c r="G5" s="4" t="n">
        <f aca="false">Assumptions!G41</f>
        <v>5</v>
      </c>
      <c r="H5" s="4" t="n">
        <f aca="false">Assumptions!H41</f>
        <v>4.5</v>
      </c>
      <c r="I5" s="4" t="n">
        <f aca="false">Assumptions!I41</f>
        <v>4</v>
      </c>
      <c r="J5" s="4" t="n">
        <f aca="false">Assumptions!J41</f>
        <v>3.5</v>
      </c>
      <c r="K5" s="4" t="n">
        <f aca="false">Assumptions!K41</f>
        <v>3</v>
      </c>
      <c r="L5" s="4" t="n">
        <f aca="false">Assumptions!L41</f>
        <v>3</v>
      </c>
    </row>
    <row r="6" customFormat="false" ht="15" hidden="false" customHeight="false" outlineLevel="0" collapsed="false">
      <c r="A6" s="0" t="s">
        <v>38</v>
      </c>
      <c r="B6" s="3" t="n">
        <v>10511</v>
      </c>
      <c r="C6" s="0" t="n">
        <f aca="false">B6*(1+C5/100)</f>
        <v>11562.1</v>
      </c>
      <c r="D6" s="0" t="n">
        <f aca="false">C6*(1+D5/100)</f>
        <v>12371.447</v>
      </c>
      <c r="E6" s="0" t="n">
        <f aca="false">D6*(1+E5/100)</f>
        <v>13237.44829</v>
      </c>
      <c r="F6" s="0" t="n">
        <f aca="false">E6*(1+F5/100)</f>
        <v>14031.6951874</v>
      </c>
      <c r="G6" s="0" t="n">
        <f aca="false">F6*(1+G5/100)</f>
        <v>14733.27994677</v>
      </c>
      <c r="H6" s="0" t="n">
        <f aca="false">G6*(1+H5/100)</f>
        <v>15396.2775443747</v>
      </c>
      <c r="I6" s="0" t="n">
        <f aca="false">H6*(1+I5/100)</f>
        <v>16012.1286461496</v>
      </c>
      <c r="J6" s="0" t="n">
        <f aca="false">I6*(1+J5/100)</f>
        <v>16572.5531487649</v>
      </c>
      <c r="K6" s="0" t="n">
        <f aca="false">J6*(1+K5/100)</f>
        <v>17069.7297432278</v>
      </c>
      <c r="L6" s="0" t="n">
        <f aca="false">K6*(1+L5/100)</f>
        <v>17581.8216355247</v>
      </c>
    </row>
    <row r="7" customFormat="false" ht="15" hidden="false" customHeight="false" outlineLevel="0" collapsed="false">
      <c r="A7" s="0" t="s">
        <v>104</v>
      </c>
      <c r="C7" s="4" t="n">
        <f aca="false">Assumptions!C42</f>
        <v>16.2</v>
      </c>
      <c r="D7" s="4" t="n">
        <f aca="false">Assumptions!D42</f>
        <v>16.6</v>
      </c>
      <c r="E7" s="4" t="n">
        <f aca="false">Assumptions!E42</f>
        <v>17</v>
      </c>
      <c r="F7" s="4" t="n">
        <f aca="false">Assumptions!F42</f>
        <v>17.2</v>
      </c>
      <c r="G7" s="4" t="n">
        <f aca="false">Assumptions!G42</f>
        <v>17.2</v>
      </c>
      <c r="H7" s="4" t="n">
        <f aca="false">Assumptions!H42</f>
        <v>17.2</v>
      </c>
      <c r="I7" s="4" t="n">
        <f aca="false">Assumptions!I42</f>
        <v>17.2</v>
      </c>
      <c r="J7" s="4" t="n">
        <f aca="false">Assumptions!J42</f>
        <v>17.2</v>
      </c>
      <c r="K7" s="4" t="n">
        <f aca="false">Assumptions!K42</f>
        <v>17.2</v>
      </c>
      <c r="L7" s="4" t="n">
        <f aca="false">Assumptions!L42</f>
        <v>17.2</v>
      </c>
    </row>
    <row r="8" customFormat="false" ht="15" hidden="false" customHeight="false" outlineLevel="0" collapsed="false">
      <c r="A8" s="0" t="s">
        <v>44</v>
      </c>
      <c r="C8" s="0" t="n">
        <f aca="false">C6*C7/100</f>
        <v>1873.0602</v>
      </c>
      <c r="D8" s="0" t="n">
        <f aca="false">D6*D7/100</f>
        <v>2053.660202</v>
      </c>
      <c r="E8" s="0" t="n">
        <f aca="false">E6*E7/100</f>
        <v>2250.3662093</v>
      </c>
      <c r="F8" s="0" t="n">
        <f aca="false">F6*F7/100</f>
        <v>2413.4515722328</v>
      </c>
      <c r="G8" s="0" t="n">
        <f aca="false">G6*G7/100</f>
        <v>2534.12415084444</v>
      </c>
      <c r="H8" s="0" t="n">
        <f aca="false">H6*H7/100</f>
        <v>2648.15973763244</v>
      </c>
      <c r="I8" s="0" t="n">
        <f aca="false">I6*I7/100</f>
        <v>2754.08612713774</v>
      </c>
      <c r="J8" s="0" t="n">
        <f aca="false">J6*J7/100</f>
        <v>2850.47914158756</v>
      </c>
      <c r="K8" s="0" t="n">
        <f aca="false">K6*K7/100</f>
        <v>2935.99351583519</v>
      </c>
      <c r="L8" s="0" t="n">
        <f aca="false">L6*L7/100</f>
        <v>3024.07332131024</v>
      </c>
    </row>
    <row r="9" customFormat="false" ht="15" hidden="false" customHeight="false" outlineLevel="0" collapsed="false">
      <c r="A9" s="0" t="s">
        <v>105</v>
      </c>
      <c r="C9" s="4" t="n">
        <f aca="false">Assumptions!C43</f>
        <v>0.68</v>
      </c>
      <c r="D9" s="4" t="n">
        <f aca="false">Assumptions!D43</f>
        <v>0.68</v>
      </c>
      <c r="E9" s="4" t="n">
        <f aca="false">Assumptions!E43</f>
        <v>0.68</v>
      </c>
      <c r="F9" s="4" t="n">
        <f aca="false">Assumptions!F43</f>
        <v>0.68</v>
      </c>
      <c r="G9" s="4" t="n">
        <f aca="false">Assumptions!G43</f>
        <v>0.68</v>
      </c>
      <c r="H9" s="4" t="n">
        <f aca="false">Assumptions!H43</f>
        <v>0.68</v>
      </c>
      <c r="I9" s="4" t="n">
        <f aca="false">Assumptions!I43</f>
        <v>0.68</v>
      </c>
      <c r="J9" s="4" t="n">
        <f aca="false">Assumptions!J43</f>
        <v>0.68</v>
      </c>
      <c r="K9" s="4" t="n">
        <f aca="false">Assumptions!K43</f>
        <v>0.68</v>
      </c>
      <c r="L9" s="4" t="n">
        <f aca="false">Assumptions!L43</f>
        <v>0.68</v>
      </c>
    </row>
    <row r="10" customFormat="false" ht="15" hidden="false" customHeight="false" outlineLevel="0" collapsed="false">
      <c r="A10" s="0" t="s">
        <v>120</v>
      </c>
      <c r="C10" s="0" t="n">
        <f aca="false">-C6*C9/100</f>
        <v>-78.62228</v>
      </c>
      <c r="D10" s="0" t="n">
        <f aca="false">-D6*D9/100</f>
        <v>-84.1258396</v>
      </c>
      <c r="E10" s="0" t="n">
        <f aca="false">-E6*E9/100</f>
        <v>-90.014648372</v>
      </c>
      <c r="F10" s="0" t="n">
        <f aca="false">-F6*F9/100</f>
        <v>-95.41552727432</v>
      </c>
      <c r="G10" s="0" t="n">
        <f aca="false">-G6*G9/100</f>
        <v>-100.186303638036</v>
      </c>
      <c r="H10" s="0" t="n">
        <f aca="false">-H6*H9/100</f>
        <v>-104.694687301748</v>
      </c>
      <c r="I10" s="0" t="n">
        <f aca="false">-I6*I9/100</f>
        <v>-108.882474793818</v>
      </c>
      <c r="J10" s="0" t="n">
        <f aca="false">-J6*J9/100</f>
        <v>-112.693361411601</v>
      </c>
      <c r="K10" s="0" t="n">
        <f aca="false">-K6*K9/100</f>
        <v>-116.074162253949</v>
      </c>
      <c r="L10" s="0" t="n">
        <f aca="false">-L6*L9/100</f>
        <v>-119.556387121568</v>
      </c>
    </row>
    <row r="11" customFormat="false" ht="15" hidden="false" customHeight="false" outlineLevel="0" collapsed="false">
      <c r="A11" s="0" t="s">
        <v>121</v>
      </c>
      <c r="C11" s="0" t="n">
        <f aca="false">C8+C10+C24</f>
        <v>1794.43792</v>
      </c>
      <c r="D11" s="0" t="n">
        <f aca="false">D8+D10+D24</f>
        <v>1969.5343624</v>
      </c>
      <c r="E11" s="0" t="n">
        <f aca="false">E8+E10+E24</f>
        <v>2160.351560928</v>
      </c>
      <c r="F11" s="0" t="n">
        <f aca="false">F8+F10+F24</f>
        <v>2318.03604495848</v>
      </c>
      <c r="G11" s="0" t="n">
        <f aca="false">G8+G10+G24</f>
        <v>2433.9378472064</v>
      </c>
      <c r="H11" s="0" t="n">
        <f aca="false">H8+H10+H24</f>
        <v>2543.46505033069</v>
      </c>
      <c r="I11" s="0" t="n">
        <f aca="false">I8+I10+I24</f>
        <v>2645.20365234392</v>
      </c>
      <c r="J11" s="0" t="n">
        <f aca="false">J8+J10+J24</f>
        <v>2737.78578017596</v>
      </c>
      <c r="K11" s="0" t="n">
        <f aca="false">K8+K10+K24</f>
        <v>2819.91935358124</v>
      </c>
      <c r="L11" s="0" t="n">
        <f aca="false">L8+L10+L24</f>
        <v>2904.51693418867</v>
      </c>
    </row>
    <row r="12" customFormat="false" ht="15" hidden="false" customHeight="false" outlineLevel="0" collapsed="false">
      <c r="A12" s="0" t="s">
        <v>122</v>
      </c>
      <c r="C12" s="4" t="n">
        <f aca="false">-C6*Assumptions!C45/100</f>
        <v>-0</v>
      </c>
      <c r="D12" s="4" t="n">
        <f aca="false">-D6*Assumptions!D45/100</f>
        <v>-0</v>
      </c>
      <c r="E12" s="4" t="n">
        <f aca="false">-E6*Assumptions!E45/100</f>
        <v>-0</v>
      </c>
      <c r="F12" s="4" t="n">
        <f aca="false">-F6*Assumptions!F45/100</f>
        <v>-0</v>
      </c>
      <c r="G12" s="4" t="n">
        <f aca="false">-G6*Assumptions!G45/100</f>
        <v>-0</v>
      </c>
      <c r="H12" s="4" t="n">
        <f aca="false">-H6*Assumptions!H45/100</f>
        <v>-0</v>
      </c>
      <c r="I12" s="4" t="n">
        <f aca="false">-I6*Assumptions!I45/100</f>
        <v>-0</v>
      </c>
      <c r="J12" s="4" t="n">
        <f aca="false">-J6*Assumptions!J45/100</f>
        <v>-0</v>
      </c>
      <c r="K12" s="4" t="n">
        <f aca="false">-K6*Assumptions!K45/100</f>
        <v>-0</v>
      </c>
      <c r="L12" s="4" t="n">
        <f aca="false">-L6*Assumptions!L45/100</f>
        <v>-0</v>
      </c>
    </row>
    <row r="13" customFormat="false" ht="15" hidden="false" customHeight="false" outlineLevel="0" collapsed="false">
      <c r="A13" s="0" t="s">
        <v>123</v>
      </c>
      <c r="C13" s="0" t="n">
        <f aca="false">C11+C12</f>
        <v>1794.43792</v>
      </c>
      <c r="D13" s="0" t="n">
        <f aca="false">D11+D12</f>
        <v>1969.5343624</v>
      </c>
      <c r="E13" s="0" t="n">
        <f aca="false">E11+E12</f>
        <v>2160.351560928</v>
      </c>
      <c r="F13" s="0" t="n">
        <f aca="false">F11+F12</f>
        <v>2318.03604495848</v>
      </c>
      <c r="G13" s="0" t="n">
        <f aca="false">G11+G12</f>
        <v>2433.9378472064</v>
      </c>
      <c r="H13" s="0" t="n">
        <f aca="false">H11+H12</f>
        <v>2543.46505033069</v>
      </c>
      <c r="I13" s="0" t="n">
        <f aca="false">I11+I12</f>
        <v>2645.20365234392</v>
      </c>
      <c r="J13" s="0" t="n">
        <f aca="false">J11+J12</f>
        <v>2737.78578017596</v>
      </c>
      <c r="K13" s="0" t="n">
        <f aca="false">K11+K12</f>
        <v>2819.91935358124</v>
      </c>
      <c r="L13" s="0" t="n">
        <f aca="false">L11+L12</f>
        <v>2904.51693418867</v>
      </c>
    </row>
    <row r="14" customFormat="false" ht="15" hidden="false" customHeight="false" outlineLevel="0" collapsed="false">
      <c r="A14" s="0" t="s">
        <v>109</v>
      </c>
      <c r="C14" s="4" t="n">
        <f aca="false">Assumptions!C47</f>
        <v>25</v>
      </c>
      <c r="D14" s="4" t="n">
        <f aca="false">Assumptions!D47</f>
        <v>25</v>
      </c>
      <c r="E14" s="4" t="n">
        <f aca="false">Assumptions!E47</f>
        <v>25</v>
      </c>
      <c r="F14" s="4" t="n">
        <f aca="false">Assumptions!F47</f>
        <v>25</v>
      </c>
      <c r="G14" s="4" t="n">
        <f aca="false">Assumptions!G47</f>
        <v>25</v>
      </c>
      <c r="H14" s="4" t="n">
        <f aca="false">Assumptions!H47</f>
        <v>25</v>
      </c>
      <c r="I14" s="4" t="n">
        <f aca="false">Assumptions!I47</f>
        <v>25</v>
      </c>
      <c r="J14" s="4" t="n">
        <f aca="false">Assumptions!J47</f>
        <v>25</v>
      </c>
      <c r="K14" s="4" t="n">
        <f aca="false">Assumptions!K47</f>
        <v>25</v>
      </c>
      <c r="L14" s="4" t="n">
        <f aca="false">Assumptions!L47</f>
        <v>25</v>
      </c>
    </row>
    <row r="15" customFormat="false" ht="15" hidden="false" customHeight="false" outlineLevel="0" collapsed="false">
      <c r="A15" s="0" t="s">
        <v>124</v>
      </c>
      <c r="C15" s="0" t="n">
        <f aca="false">C13-MAX(0,C13)*C14/100</f>
        <v>1345.82844</v>
      </c>
      <c r="D15" s="0" t="n">
        <f aca="false">D13-MAX(0,D13)*D14/100</f>
        <v>1477.1507718</v>
      </c>
      <c r="E15" s="0" t="n">
        <f aca="false">E13-MAX(0,E13)*E14/100</f>
        <v>1620.263670696</v>
      </c>
      <c r="F15" s="0" t="n">
        <f aca="false">F13-MAX(0,F13)*F14/100</f>
        <v>1738.52703371886</v>
      </c>
      <c r="G15" s="0" t="n">
        <f aca="false">G13-MAX(0,G13)*G14/100</f>
        <v>1825.4533854048</v>
      </c>
      <c r="H15" s="0" t="n">
        <f aca="false">H13-MAX(0,H13)*H14/100</f>
        <v>1907.59878774802</v>
      </c>
      <c r="I15" s="0" t="n">
        <f aca="false">I13-MAX(0,I13)*I14/100</f>
        <v>1983.90273925794</v>
      </c>
      <c r="J15" s="0" t="n">
        <f aca="false">J13-MAX(0,J13)*J14/100</f>
        <v>2053.33933513197</v>
      </c>
      <c r="K15" s="0" t="n">
        <f aca="false">K13-MAX(0,K13)*K14/100</f>
        <v>2114.93951518593</v>
      </c>
      <c r="L15" s="0" t="n">
        <f aca="false">L13-MAX(0,L13)*L14/100</f>
        <v>2178.3877006415</v>
      </c>
    </row>
    <row r="16" customFormat="false" ht="15" hidden="false" customHeight="false" outlineLevel="0" collapsed="false">
      <c r="A16" s="0" t="s">
        <v>125</v>
      </c>
      <c r="C16" s="0" t="n">
        <f aca="false">-C12</f>
        <v>0</v>
      </c>
      <c r="D16" s="0" t="n">
        <f aca="false">-D12</f>
        <v>0</v>
      </c>
      <c r="E16" s="0" t="n">
        <f aca="false">-E12</f>
        <v>0</v>
      </c>
      <c r="F16" s="0" t="n">
        <f aca="false">-F12</f>
        <v>0</v>
      </c>
      <c r="G16" s="0" t="n">
        <f aca="false">-G12</f>
        <v>0</v>
      </c>
      <c r="H16" s="0" t="n">
        <f aca="false">-H12</f>
        <v>0</v>
      </c>
      <c r="I16" s="0" t="n">
        <f aca="false">-I12</f>
        <v>0</v>
      </c>
      <c r="J16" s="0" t="n">
        <f aca="false">-J12</f>
        <v>0</v>
      </c>
      <c r="K16" s="0" t="n">
        <f aca="false">-K12</f>
        <v>0</v>
      </c>
      <c r="L16" s="0" t="n">
        <f aca="false">-L12</f>
        <v>0</v>
      </c>
    </row>
    <row r="17" customFormat="false" ht="15" hidden="false" customHeight="false" outlineLevel="0" collapsed="false">
      <c r="A17" s="0" t="s">
        <v>126</v>
      </c>
      <c r="C17" s="4" t="n">
        <f aca="false">-C6*Assumptions!C46/100</f>
        <v>-69.3726</v>
      </c>
      <c r="D17" s="4" t="n">
        <f aca="false">-D6*Assumptions!D46/100</f>
        <v>-37.114341</v>
      </c>
      <c r="E17" s="4" t="n">
        <f aca="false">-E6*Assumptions!E46/100</f>
        <v>-0</v>
      </c>
      <c r="F17" s="4" t="n">
        <f aca="false">-F6*Assumptions!F46/100</f>
        <v>-0</v>
      </c>
      <c r="G17" s="4" t="n">
        <f aca="false">-G6*Assumptions!G46/100</f>
        <v>-0</v>
      </c>
      <c r="H17" s="4" t="n">
        <f aca="false">-H6*Assumptions!H46/100</f>
        <v>-0</v>
      </c>
      <c r="I17" s="4" t="n">
        <f aca="false">-I6*Assumptions!I46/100</f>
        <v>-0</v>
      </c>
      <c r="J17" s="4" t="n">
        <f aca="false">-J6*Assumptions!J46/100</f>
        <v>-0</v>
      </c>
      <c r="K17" s="4" t="n">
        <f aca="false">-K6*Assumptions!K46/100</f>
        <v>-0</v>
      </c>
      <c r="L17" s="4" t="n">
        <f aca="false">-L6*Assumptions!L46/100</f>
        <v>-0</v>
      </c>
    </row>
    <row r="18" customFormat="false" ht="15" hidden="false" customHeight="false" outlineLevel="0" collapsed="false">
      <c r="A18" s="0" t="s">
        <v>127</v>
      </c>
      <c r="C18" s="4" t="n">
        <f aca="false">(C6-B6)*Assumptions!$B$51/100</f>
        <v>0</v>
      </c>
      <c r="D18" s="4" t="n">
        <f aca="false">(D6-C6)*Assumptions!$B$51/100</f>
        <v>0</v>
      </c>
      <c r="E18" s="4" t="n">
        <f aca="false">(E6-D6)*Assumptions!$B$51/100</f>
        <v>0</v>
      </c>
      <c r="F18" s="4" t="n">
        <f aca="false">(F6-E6)*Assumptions!$B$51/100</f>
        <v>0</v>
      </c>
      <c r="G18" s="4" t="n">
        <f aca="false">(G6-F6)*Assumptions!$B$51/100</f>
        <v>0</v>
      </c>
      <c r="H18" s="4" t="n">
        <f aca="false">(H6-G6)*Assumptions!$B$51/100</f>
        <v>0</v>
      </c>
      <c r="I18" s="4" t="n">
        <f aca="false">(I6-H6)*Assumptions!$B$51/100</f>
        <v>0</v>
      </c>
      <c r="J18" s="4" t="n">
        <f aca="false">(J6-I6)*Assumptions!$B$51/100</f>
        <v>0</v>
      </c>
      <c r="K18" s="4" t="n">
        <f aca="false">(K6-J6)*Assumptions!$B$51/100</f>
        <v>0</v>
      </c>
      <c r="L18" s="4" t="n">
        <f aca="false">(L6-K6)*Assumptions!$B$51/100</f>
        <v>0</v>
      </c>
    </row>
    <row r="19" customFormat="false" ht="15" hidden="false" customHeight="false" outlineLevel="0" collapsed="false">
      <c r="A19" s="0" t="s">
        <v>128</v>
      </c>
      <c r="C19" s="0" t="n">
        <f aca="false">C15+C16+C17+C18</f>
        <v>1276.45584</v>
      </c>
      <c r="D19" s="0" t="n">
        <f aca="false">D15+D16+D17+D18</f>
        <v>1440.0364308</v>
      </c>
      <c r="E19" s="0" t="n">
        <f aca="false">E15+E16+E17+E18</f>
        <v>1620.263670696</v>
      </c>
      <c r="F19" s="0" t="n">
        <f aca="false">F15+F16+F17+F18</f>
        <v>1738.52703371886</v>
      </c>
      <c r="G19" s="0" t="n">
        <f aca="false">G15+G16+G17+G18</f>
        <v>1825.4533854048</v>
      </c>
      <c r="H19" s="0" t="n">
        <f aca="false">H15+H16+H17+H18</f>
        <v>1907.59878774802</v>
      </c>
      <c r="I19" s="0" t="n">
        <f aca="false">I15+I16+I17+I18</f>
        <v>1983.90273925794</v>
      </c>
      <c r="J19" s="0" t="n">
        <f aca="false">J15+J16+J17+J18</f>
        <v>2053.33933513197</v>
      </c>
      <c r="K19" s="0" t="n">
        <f aca="false">K15+K16+K17+K18</f>
        <v>2114.93951518593</v>
      </c>
      <c r="L19" s="0" t="n">
        <f aca="false">L15+L16+L17+L18</f>
        <v>2178.3877006415</v>
      </c>
    </row>
    <row r="20" customFormat="false" ht="15" hidden="false" customHeight="false" outlineLevel="0" collapsed="false">
      <c r="A20" s="0" t="s">
        <v>129</v>
      </c>
      <c r="C20" s="0" t="n">
        <f aca="false">1/(1+$B$27/100)^C4</f>
        <v>0.904977375565611</v>
      </c>
      <c r="D20" s="0" t="n">
        <f aca="false">1/(1+$B$27/100)^D4</f>
        <v>0.818984050285621</v>
      </c>
      <c r="E20" s="0" t="n">
        <f aca="false">1/(1+$B$27/100)^E4</f>
        <v>0.741162036457575</v>
      </c>
      <c r="F20" s="0" t="n">
        <f aca="false">1/(1+$B$27/100)^F4</f>
        <v>0.67073487462224</v>
      </c>
      <c r="G20" s="0" t="n">
        <f aca="false">1/(1+$B$27/100)^G4</f>
        <v>0.606999886535964</v>
      </c>
      <c r="H20" s="0" t="n">
        <f aca="false">1/(1+$B$27/100)^H4</f>
        <v>0.54932116428594</v>
      </c>
      <c r="I20" s="0" t="n">
        <f aca="false">1/(1+$B$27/100)^I4</f>
        <v>0.497123225598136</v>
      </c>
      <c r="J20" s="0" t="n">
        <f aca="false">1/(1+$B$27/100)^J4</f>
        <v>0.449885272034512</v>
      </c>
      <c r="K20" s="0" t="n">
        <f aca="false">1/(1+$B$27/100)^K4</f>
        <v>0.407135992791414</v>
      </c>
      <c r="L20" s="0" t="n">
        <f aca="false">1/(1+$B$27/100)^L4</f>
        <v>0.368448862254673</v>
      </c>
    </row>
    <row r="21" customFormat="false" ht="15" hidden="false" customHeight="false" outlineLevel="0" collapsed="false">
      <c r="A21" s="0" t="s">
        <v>130</v>
      </c>
      <c r="C21" s="0" t="n">
        <f aca="false">C19*C20</f>
        <v>1155.1636561086</v>
      </c>
      <c r="D21" s="0" t="n">
        <f aca="false">D19*D20</f>
        <v>1179.36686865543</v>
      </c>
      <c r="E21" s="0" t="n">
        <f aca="false">E19*E20</f>
        <v>1200.87792177127</v>
      </c>
      <c r="F21" s="0" t="n">
        <f aca="false">F19*F20</f>
        <v>1166.09071198879</v>
      </c>
      <c r="G21" s="0" t="n">
        <f aca="false">G19*G20</f>
        <v>1108.04999781741</v>
      </c>
      <c r="H21" s="0" t="n">
        <f aca="false">H19*H20</f>
        <v>1047.88438707619</v>
      </c>
      <c r="I21" s="0" t="n">
        <f aca="false">I19*I20</f>
        <v>986.244129012885</v>
      </c>
      <c r="J21" s="0" t="n">
        <f aca="false">J19*J20</f>
        <v>923.76712536501</v>
      </c>
      <c r="K21" s="0" t="n">
        <f aca="false">K19*K20</f>
        <v>861.067999209014</v>
      </c>
      <c r="L21" s="0" t="n">
        <f aca="false">L19*L20</f>
        <v>802.624469850936</v>
      </c>
    </row>
    <row r="23" customFormat="false" ht="15" hidden="false" customHeight="false" outlineLevel="0" collapsed="false">
      <c r="A23" s="0" t="s">
        <v>106</v>
      </c>
      <c r="C23" s="4" t="n">
        <f aca="false">Assumptions!C44</f>
        <v>0</v>
      </c>
      <c r="D23" s="4" t="n">
        <f aca="false">Assumptions!D44</f>
        <v>0</v>
      </c>
      <c r="E23" s="4" t="n">
        <f aca="false">Assumptions!E44</f>
        <v>0</v>
      </c>
      <c r="F23" s="4" t="n">
        <f aca="false">Assumptions!F44</f>
        <v>0</v>
      </c>
      <c r="G23" s="4" t="n">
        <f aca="false">Assumptions!G44</f>
        <v>0</v>
      </c>
      <c r="H23" s="4" t="n">
        <f aca="false">Assumptions!H44</f>
        <v>0</v>
      </c>
      <c r="I23" s="4" t="n">
        <f aca="false">Assumptions!I44</f>
        <v>0</v>
      </c>
      <c r="J23" s="4" t="n">
        <f aca="false">Assumptions!J44</f>
        <v>0</v>
      </c>
      <c r="K23" s="4" t="n">
        <f aca="false">Assumptions!K44</f>
        <v>0</v>
      </c>
      <c r="L23" s="4" t="n">
        <f aca="false">Assumptions!L44</f>
        <v>0</v>
      </c>
    </row>
    <row r="24" customFormat="false" ht="15" hidden="false" customHeight="false" outlineLevel="0" collapsed="false">
      <c r="A24" s="0" t="s">
        <v>131</v>
      </c>
      <c r="C24" s="0" t="n">
        <f aca="false">-C6*C23/100</f>
        <v>-0</v>
      </c>
      <c r="D24" s="0" t="n">
        <f aca="false">-D6*D23/100</f>
        <v>-0</v>
      </c>
      <c r="E24" s="0" t="n">
        <f aca="false">-E6*E23/100</f>
        <v>-0</v>
      </c>
      <c r="F24" s="0" t="n">
        <f aca="false">-F6*F23/100</f>
        <v>-0</v>
      </c>
      <c r="G24" s="0" t="n">
        <f aca="false">-G6*G23/100</f>
        <v>-0</v>
      </c>
      <c r="H24" s="0" t="n">
        <f aca="false">-H6*H23/100</f>
        <v>-0</v>
      </c>
      <c r="I24" s="0" t="n">
        <f aca="false">-I6*I23/100</f>
        <v>-0</v>
      </c>
      <c r="J24" s="0" t="n">
        <f aca="false">-J6*J23/100</f>
        <v>-0</v>
      </c>
      <c r="K24" s="0" t="n">
        <f aca="false">-K6*K23/100</f>
        <v>-0</v>
      </c>
      <c r="L24" s="0" t="n">
        <f aca="false">-L6*L23/100</f>
        <v>-0</v>
      </c>
    </row>
    <row r="26" customFormat="false" ht="15" hidden="false" customHeight="false" outlineLevel="0" collapsed="false">
      <c r="A26" s="2" t="s">
        <v>132</v>
      </c>
    </row>
    <row r="27" customFormat="false" ht="15" hidden="false" customHeight="false" outlineLevel="0" collapsed="false">
      <c r="A27" s="0" t="s">
        <v>110</v>
      </c>
      <c r="B27" s="4" t="n">
        <f aca="false">Assumptions!$B$48</f>
        <v>10.5</v>
      </c>
    </row>
    <row r="28" customFormat="false" ht="15" hidden="false" customHeight="false" outlineLevel="0" collapsed="false">
      <c r="A28" s="0" t="s">
        <v>111</v>
      </c>
      <c r="B28" s="4" t="n">
        <f aca="false">Assumptions!$B$49</f>
        <v>3</v>
      </c>
    </row>
    <row r="29" customFormat="false" ht="15" hidden="false" customHeight="false" outlineLevel="0" collapsed="false">
      <c r="A29" s="0" t="s">
        <v>112</v>
      </c>
      <c r="B29" s="4" t="n">
        <f aca="false">Assumptions!$B$50</f>
        <v>12</v>
      </c>
    </row>
    <row r="30" customFormat="false" ht="15" hidden="false" customHeight="false" outlineLevel="0" collapsed="false">
      <c r="A30" s="0" t="s">
        <v>133</v>
      </c>
      <c r="B30" s="0" t="n">
        <f aca="false">SUM(C21:L21)</f>
        <v>10431.1372668555</v>
      </c>
    </row>
    <row r="31" customFormat="false" ht="15" hidden="false" customHeight="false" outlineLevel="0" collapsed="false">
      <c r="A31" s="0" t="s">
        <v>134</v>
      </c>
      <c r="B31" s="0" t="n">
        <f aca="false">L19</f>
        <v>2178.3877006415</v>
      </c>
    </row>
    <row r="32" customFormat="false" ht="15" hidden="false" customHeight="false" outlineLevel="0" collapsed="false">
      <c r="A32" s="0" t="s">
        <v>135</v>
      </c>
      <c r="B32" s="0" t="n">
        <f aca="false">IF(B27&gt;B28,B31*(1+B28/100)/((B27-B28)/100),B31*B29)</f>
        <v>29916.5244221433</v>
      </c>
    </row>
    <row r="33" customFormat="false" ht="15" hidden="false" customHeight="false" outlineLevel="0" collapsed="false">
      <c r="A33" s="0" t="s">
        <v>136</v>
      </c>
      <c r="B33" s="0" t="n">
        <f aca="false">B31*B29</f>
        <v>26140.6524076981</v>
      </c>
    </row>
    <row r="34" customFormat="false" ht="15" hidden="false" customHeight="false" outlineLevel="0" collapsed="false">
      <c r="A34" s="0" t="s">
        <v>137</v>
      </c>
      <c r="B34" s="0" t="n">
        <f aca="false">MAX(0,MIN(B32,B33))</f>
        <v>26140.6524076981</v>
      </c>
    </row>
    <row r="35" customFormat="false" ht="15" hidden="false" customHeight="false" outlineLevel="0" collapsed="false">
      <c r="A35" s="0" t="s">
        <v>138</v>
      </c>
      <c r="B35" s="0" t="n">
        <f aca="false">B34/(1+B27/100)^L4</f>
        <v>9631.49363821123</v>
      </c>
    </row>
    <row r="36" customFormat="false" ht="15" hidden="false" customHeight="false" outlineLevel="0" collapsed="false">
      <c r="A36" s="0" t="s">
        <v>139</v>
      </c>
      <c r="B36" s="0" t="n">
        <f aca="false">B30+B35</f>
        <v>20062.6309050668</v>
      </c>
    </row>
    <row r="37" customFormat="false" ht="15" hidden="false" customHeight="false" outlineLevel="0" collapsed="false">
      <c r="A37" s="0" t="s">
        <v>140</v>
      </c>
      <c r="B37" s="0" t="n">
        <f aca="false">B36+Assumptions!$B$5-Assumptions!$B$4</f>
        <v>20662.6309050668</v>
      </c>
    </row>
    <row r="38" customFormat="false" ht="15" hidden="false" customHeight="false" outlineLevel="0" collapsed="false">
      <c r="A38" s="0" t="s">
        <v>141</v>
      </c>
      <c r="B38" s="0" t="n">
        <f aca="false">B37/Assumptions!$B$3*Assumptions!$B$10</f>
        <v>375.684198273941</v>
      </c>
    </row>
    <row r="39" customFormat="false" ht="15" hidden="false" customHeight="false" outlineLevel="0" collapsed="false">
      <c r="A39" s="0" t="s">
        <v>142</v>
      </c>
      <c r="B39" s="4" t="n">
        <f aca="false">B38/Assumptions!$B$2-1</f>
        <v>0.309004175170527</v>
      </c>
    </row>
    <row r="41" customFormat="false" ht="15" hidden="false" customHeight="false" outlineLevel="0" collapsed="false">
      <c r="A41" s="0" t="s">
        <v>143</v>
      </c>
      <c r="B41" s="0" t="n">
        <f aca="false">SUMPRODUCT(-C10:L10/(1+$B$27/100)^C4:L4)</f>
        <v>585.222624482991</v>
      </c>
    </row>
    <row r="42" customFormat="false" ht="15" hidden="false" customHeight="false" outlineLevel="0" collapsed="false">
      <c r="A42" s="0" t="s">
        <v>144</v>
      </c>
      <c r="B42" s="0" t="n">
        <f aca="false">IF(B27&gt;B28,-L10*(1+B28/100)/((B27-B28)/100),-L10*20)/(1+B27/100)^L4</f>
        <v>604.959030060366</v>
      </c>
    </row>
    <row r="43" customFormat="false" ht="15" hidden="false" customHeight="false" outlineLevel="0" collapsed="false">
      <c r="A43" s="0" t="s">
        <v>145</v>
      </c>
      <c r="B43" s="0" t="n">
        <f aca="false">(B37+B41+B42)/Assumptions!$B$3*Assumptions!$B$10</f>
        <v>397.323864720184</v>
      </c>
    </row>
    <row r="45" customFormat="false" ht="15" hidden="false" customHeight="false" outlineLevel="0" collapsed="false">
      <c r="A45" s="0" t="s">
        <v>86</v>
      </c>
      <c r="B45" s="4" t="n">
        <f aca="false">Assumptions!$B$6</f>
        <v>15</v>
      </c>
    </row>
    <row r="46" customFormat="false" ht="15" hidden="false" customHeight="false" outlineLevel="0" collapsed="false">
      <c r="A46" s="0" t="s">
        <v>146</v>
      </c>
      <c r="B46" s="0" t="n">
        <f aca="false">MAX(0,MIN(IF(B45&gt;B28,B31*(1+B28/100)/((B45-B28)/100),B31*B29),B31*B29))</f>
        <v>18697.8277638396</v>
      </c>
    </row>
    <row r="47" customFormat="false" ht="15" hidden="false" customHeight="false" outlineLevel="0" collapsed="false">
      <c r="A47" s="0" t="s">
        <v>147</v>
      </c>
      <c r="B47" s="0" t="n">
        <f aca="false">(SUMPRODUCT(C19:L19/(1+B45/100)^C4:L4)+B46/(1+B45/100)^L4+Assumptions!$B$5-Assumptions!$B$4)/Assumptions!$B$3*Assumptions!$B$10</f>
        <v>250.345754642894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150</v>
      </c>
    </row>
    <row r="3" customFormat="false" ht="15" hidden="false" customHeight="false" outlineLevel="0" collapsed="false">
      <c r="A3" s="2" t="s">
        <v>151</v>
      </c>
      <c r="B3" s="2" t="s">
        <v>152</v>
      </c>
      <c r="C3" s="2" t="s">
        <v>142</v>
      </c>
      <c r="D3" s="2" t="s">
        <v>153</v>
      </c>
      <c r="E3" s="2" t="s">
        <v>145</v>
      </c>
      <c r="F3" s="2" t="s">
        <v>154</v>
      </c>
    </row>
    <row r="4" customFormat="false" ht="15" hidden="false" customHeight="false" outlineLevel="0" collapsed="false">
      <c r="A4" s="0" t="s">
        <v>155</v>
      </c>
      <c r="B4" s="4" t="n">
        <f aca="false">DCF_Bear!$B$38</f>
        <v>202.214205595909</v>
      </c>
      <c r="C4" s="0" t="n">
        <f aca="false">B4/Assumptions!$B$2-1</f>
        <v>-0.295420886425403</v>
      </c>
      <c r="D4" s="4" t="n">
        <f aca="false">Assumptions!$B$24</f>
        <v>0.25</v>
      </c>
      <c r="E4" s="4" t="n">
        <f aca="false">DCF_Bear!$B$43</f>
        <v>218.870363158777</v>
      </c>
      <c r="F4" s="4" t="n">
        <f aca="false">DCF_Bear!$B$47</f>
        <v>152.127065020941</v>
      </c>
    </row>
    <row r="5" customFormat="false" ht="15" hidden="false" customHeight="false" outlineLevel="0" collapsed="false">
      <c r="A5" s="0" t="s">
        <v>156</v>
      </c>
      <c r="B5" s="4" t="n">
        <f aca="false">DCF_Base!$B$38</f>
        <v>310.086927278941</v>
      </c>
      <c r="C5" s="0" t="n">
        <f aca="false">B5/Assumptions!$B$2-1</f>
        <v>0.0804422553273212</v>
      </c>
      <c r="D5" s="4" t="n">
        <f aca="false">Assumptions!$B$38</f>
        <v>0.5</v>
      </c>
      <c r="E5" s="4" t="n">
        <f aca="false">DCF_Base!$B$43</f>
        <v>329.74075935034</v>
      </c>
      <c r="F5" s="4" t="n">
        <f aca="false">DCF_Base!$B$47</f>
        <v>213.517655696383</v>
      </c>
    </row>
    <row r="6" customFormat="false" ht="15" hidden="false" customHeight="false" outlineLevel="0" collapsed="false">
      <c r="A6" s="0" t="s">
        <v>157</v>
      </c>
      <c r="B6" s="4" t="n">
        <f aca="false">DCF_Bull!$B$38</f>
        <v>375.684198273941</v>
      </c>
      <c r="C6" s="0" t="n">
        <f aca="false">B6/Assumptions!$B$2-1</f>
        <v>0.309004175170527</v>
      </c>
      <c r="D6" s="4" t="n">
        <f aca="false">Assumptions!$B$52</f>
        <v>0.25</v>
      </c>
      <c r="E6" s="4" t="n">
        <f aca="false">DCF_Bull!$B$43</f>
        <v>397.323864720184</v>
      </c>
      <c r="F6" s="4" t="n">
        <f aca="false">DCF_Bull!$B$47</f>
        <v>250.345754642894</v>
      </c>
    </row>
    <row r="8" customFormat="false" ht="15" hidden="false" customHeight="false" outlineLevel="0" collapsed="false">
      <c r="A8" s="0" t="s">
        <v>158</v>
      </c>
      <c r="B8" s="0" t="n">
        <f aca="false">SUMPRODUCT(B4:B6,D4:D6)</f>
        <v>299.518064606933</v>
      </c>
    </row>
    <row r="9" customFormat="false" ht="15" hidden="false" customHeight="false" outlineLevel="0" collapsed="false">
      <c r="A9" s="0" t="s">
        <v>159</v>
      </c>
      <c r="B9" s="0" t="n">
        <f aca="false">SUMPRODUCT(E4:E6,D4:D6)</f>
        <v>318.91893664491</v>
      </c>
    </row>
    <row r="10" customFormat="false" ht="15" hidden="false" customHeight="false" outlineLevel="0" collapsed="false">
      <c r="A10" s="0" t="s">
        <v>160</v>
      </c>
      <c r="B10" s="0" t="n">
        <f aca="false">1-Assumptions!$B$2/B8</f>
        <v>0.0417940220846482</v>
      </c>
    </row>
    <row r="11" customFormat="false" ht="15" hidden="false" customHeight="false" outlineLevel="0" collapsed="false">
      <c r="A11" s="0" t="s">
        <v>161</v>
      </c>
      <c r="B11" s="0" t="n">
        <f aca="false">IF(ABS(B9-B8)&gt;0.01*ABS(B8),(Assumptions!$B$2-B8)/(B9-B8)*100,"n/a")</f>
        <v>-64.5232058766704</v>
      </c>
    </row>
    <row r="12" customFormat="false" ht="15" hidden="false" customHeight="false" outlineLevel="0" collapsed="false">
      <c r="A12" s="0" t="s">
        <v>162</v>
      </c>
      <c r="B12" s="0" t="n">
        <f aca="false">SUMPRODUCT(F4:F6,D4:D6)</f>
        <v>207.37703276415</v>
      </c>
    </row>
    <row r="14" customFormat="false" ht="15" hidden="false" customHeight="false" outlineLevel="0" collapsed="false">
      <c r="A14" s="2" t="s">
        <v>163</v>
      </c>
      <c r="C14" s="0" t="s">
        <v>164</v>
      </c>
    </row>
    <row r="15" customFormat="false" ht="15" hidden="false" customHeight="false" outlineLevel="0" collapsed="false">
      <c r="A15" s="0" t="s">
        <v>165</v>
      </c>
      <c r="B15" s="0" t="n">
        <f aca="false">(SUMPRODUCT(DCF_Base!$C$19:$L$19/(1+$C$15/100)^DCF_Base!$C$4:$L$4)+MAX(0,MIN(IF($C$15&gt;DCF_Base!$B$28,DCF_Base!$L$19*(1+DCF_Base!$B$28/100)/(($C$15-DCF_Base!$B$28)/100),DCF_Base!$L$19*DCF_Base!$B$29),DCF_Base!$L$19*DCF_Base!$B$29))/(1+$C$15/100)^DCF_Base!$L$4+Assumptions!$B$5-Assumptions!$B$4)/Assumptions!$B$3*Assumptions!$B$10</f>
        <v>341.730915860459</v>
      </c>
      <c r="C15" s="3" t="n">
        <v>9</v>
      </c>
    </row>
    <row r="16" customFormat="false" ht="15" hidden="false" customHeight="false" outlineLevel="0" collapsed="false">
      <c r="A16" s="0" t="s">
        <v>166</v>
      </c>
      <c r="B16" s="0" t="n">
        <f aca="false">(SUMPRODUCT(DCF_Base!$C$19:$L$19/(1+$C$16/100)^DCF_Base!$C$4:$L$4)+MAX(0,MIN(IF($C$16&gt;DCF_Base!$B$28,DCF_Base!$L$19*(1+DCF_Base!$B$28/100)/(($C$16-DCF_Base!$B$28)/100),DCF_Base!$L$19*DCF_Base!$B$29),DCF_Base!$L$19*DCF_Base!$B$29))/(1+$C$16/100)^DCF_Base!$L$4+Assumptions!$B$5-Assumptions!$B$4)/Assumptions!$B$3*Assumptions!$B$10</f>
        <v>320.170841857669</v>
      </c>
      <c r="C16" s="3" t="n">
        <v>10</v>
      </c>
    </row>
    <row r="17" customFormat="false" ht="15" hidden="false" customHeight="false" outlineLevel="0" collapsed="false">
      <c r="A17" s="0" t="s">
        <v>167</v>
      </c>
      <c r="B17" s="0" t="n">
        <f aca="false">(SUMPRODUCT(DCF_Base!$C$19:$L$19/(1+$C$17/100)^DCF_Base!$C$4:$L$4)+MAX(0,MIN(IF($C$17&gt;DCF_Base!$B$28,DCF_Base!$L$19*(1+DCF_Base!$B$28/100)/(($C$17-DCF_Base!$B$28)/100),DCF_Base!$L$19*DCF_Base!$B$29),DCF_Base!$L$19*DCF_Base!$B$29))/(1+$C$17/100)^DCF_Base!$L$4+Assumptions!$B$5-Assumptions!$B$4)/Assumptions!$B$3*Assumptions!$B$10</f>
        <v>310.086927278941</v>
      </c>
      <c r="C17" s="3" t="n">
        <v>10.5</v>
      </c>
    </row>
    <row r="18" customFormat="false" ht="15" hidden="false" customHeight="false" outlineLevel="0" collapsed="false">
      <c r="A18" s="0" t="s">
        <v>168</v>
      </c>
      <c r="B18" s="0" t="n">
        <f aca="false">(SUMPRODUCT(DCF_Base!$C$19:$L$19/(1+$C$18/100)^DCF_Base!$C$4:$L$4)+MAX(0,MIN(IF($C$18&gt;DCF_Base!$B$28,DCF_Base!$L$19*(1+DCF_Base!$B$28/100)/(($C$18-DCF_Base!$B$28)/100),DCF_Base!$L$19*DCF_Base!$B$29),DCF_Base!$L$19*DCF_Base!$B$29))/(1+$C$18/100)^DCF_Base!$L$4+Assumptions!$B$5-Assumptions!$B$4)/Assumptions!$B$3*Assumptions!$B$10</f>
        <v>300.436428409304</v>
      </c>
      <c r="C18" s="3" t="n">
        <v>11</v>
      </c>
    </row>
    <row r="19" customFormat="false" ht="15" hidden="false" customHeight="false" outlineLevel="0" collapsed="false">
      <c r="A19" s="0" t="s">
        <v>169</v>
      </c>
      <c r="B19" s="0" t="n">
        <f aca="false">(SUMPRODUCT(DCF_Base!$C$19:$L$19/(1+$C$19/100)^DCF_Base!$C$4:$L$4)+MAX(0,MIN(IF($C$19&gt;DCF_Base!$B$28,DCF_Base!$L$19*(1+DCF_Base!$B$28/100)/(($C$19-DCF_Base!$B$28)/100),DCF_Base!$L$19*DCF_Base!$B$29),DCF_Base!$L$19*DCF_Base!$B$29))/(1+$C$19/100)^DCF_Base!$L$4+Assumptions!$B$5-Assumptions!$B$4)/Assumptions!$B$3*Assumptions!$B$10</f>
        <v>280.100934544454</v>
      </c>
      <c r="C19" s="3" t="n">
        <v>12</v>
      </c>
    </row>
    <row r="20" customFormat="false" ht="15" hidden="false" customHeight="false" outlineLevel="0" collapsed="false">
      <c r="A20" s="0" t="s">
        <v>170</v>
      </c>
      <c r="B20" s="0" t="n">
        <f aca="false">(SUMPRODUCT(DCF_Base!$C$19:$L$19/(1+$C$20/100)^DCF_Base!$C$4:$L$4)+MAX(0,MIN(IF($C$20&gt;DCF_Base!$B$28,DCF_Base!$L$19*(1+DCF_Base!$B$28/100)/(($C$20-DCF_Base!$B$28)/100),DCF_Base!$L$19*DCF_Base!$B$29),DCF_Base!$L$19*DCF_Base!$B$29))/(1+$C$20/100)^DCF_Base!$L$4+Assumptions!$B$5-Assumptions!$B$4)/Assumptions!$B$3*Assumptions!$B$10</f>
        <v>213.517655696383</v>
      </c>
      <c r="C20" s="3" t="n">
        <v>15</v>
      </c>
    </row>
    <row r="22" customFormat="false" ht="15" hidden="false" customHeight="false" outlineLevel="0" collapsed="false">
      <c r="A22" s="2" t="s">
        <v>171</v>
      </c>
    </row>
    <row r="23" customFormat="false" ht="15" hidden="false" customHeight="false" outlineLevel="0" collapsed="false">
      <c r="B23" s="3" t="n">
        <v>1.5</v>
      </c>
      <c r="C23" s="3" t="n">
        <v>2</v>
      </c>
      <c r="D23" s="3" t="n">
        <v>2.5</v>
      </c>
      <c r="E23" s="3" t="n">
        <v>3</v>
      </c>
      <c r="F23" s="3" t="n">
        <v>3.5</v>
      </c>
    </row>
    <row r="24" customFormat="false" ht="15" hidden="false" customHeight="false" outlineLevel="0" collapsed="false">
      <c r="A24" s="3" t="n">
        <v>8.5</v>
      </c>
      <c r="B24" s="0" t="n">
        <f aca="false">(SUMPRODUCT(DCF_Base!$C$19:$L$19/(1+$A$24/100)^DCF_Base!$C$4:$L$4)+MAX(0,MIN(IF($A$24&gt;$B$23,DCF_Base!$L$19*(1+$B$23/100)/(($A$24-$B$23)/100),DCF_Base!$L$19*DCF_Base!$B$29),DCF_Base!$L$19*DCF_Base!$B$29))/(1+$A$24/100)^DCF_Base!$L$4+Assumptions!$B$5-Assumptions!$B$4)/Assumptions!$B$3*Assumptions!$B$10</f>
        <v>353.256470282949</v>
      </c>
      <c r="C24" s="0" t="n">
        <f aca="false">(SUMPRODUCT(DCF_Base!$C$19:$L$19/(1+$A$24/100)^DCF_Base!$C$4:$L$4)+MAX(0,MIN(IF($A$24&gt;$C$23,DCF_Base!$L$19*(1+$C$23/100)/(($A$24-$C$23)/100),DCF_Base!$L$19*DCF_Base!$B$29),DCF_Base!$L$19*DCF_Base!$B$29))/(1+$A$24/100)^DCF_Base!$L$4+Assumptions!$B$5-Assumptions!$B$4)/Assumptions!$B$3*Assumptions!$B$10</f>
        <v>353.256470282949</v>
      </c>
      <c r="D24" s="0" t="n">
        <f aca="false">(SUMPRODUCT(DCF_Base!$C$19:$L$19/(1+$A$24/100)^DCF_Base!$C$4:$L$4)+MAX(0,MIN(IF($A$24&gt;$D$23,DCF_Base!$L$19*(1+$D$23/100)/(($A$24-$D$23)/100),DCF_Base!$L$19*DCF_Base!$B$29),DCF_Base!$L$19*DCF_Base!$B$29))/(1+$A$24/100)^DCF_Base!$L$4+Assumptions!$B$5-Assumptions!$B$4)/Assumptions!$B$3*Assumptions!$B$10</f>
        <v>353.256470282949</v>
      </c>
      <c r="E24" s="0" t="n">
        <f aca="false">(SUMPRODUCT(DCF_Base!$C$19:$L$19/(1+$A$24/100)^DCF_Base!$C$4:$L$4)+MAX(0,MIN(IF($A$24&gt;$E$23,DCF_Base!$L$19*(1+$E$23/100)/(($A$24-$E$23)/100),DCF_Base!$L$19*DCF_Base!$B$29),DCF_Base!$L$19*DCF_Base!$B$29))/(1+$A$24/100)^DCF_Base!$L$4+Assumptions!$B$5-Assumptions!$B$4)/Assumptions!$B$3*Assumptions!$B$10</f>
        <v>353.256470282949</v>
      </c>
      <c r="F24" s="0" t="n">
        <f aca="false">(SUMPRODUCT(DCF_Base!$C$19:$L$19/(1+$A$24/100)^DCF_Base!$C$4:$L$4)+MAX(0,MIN(IF($A$24&gt;$F$23,DCF_Base!$L$19*(1+$F$23/100)/(($A$24-$F$23)/100),DCF_Base!$L$19*DCF_Base!$B$29),DCF_Base!$L$19*DCF_Base!$B$29))/(1+$A$24/100)^DCF_Base!$L$4+Assumptions!$B$5-Assumptions!$B$4)/Assumptions!$B$3*Assumptions!$B$10</f>
        <v>353.256470282949</v>
      </c>
    </row>
    <row r="25" customFormat="false" ht="15" hidden="false" customHeight="false" outlineLevel="0" collapsed="false">
      <c r="A25" s="3" t="n">
        <v>9.5</v>
      </c>
      <c r="B25" s="0" t="n">
        <f aca="false">(SUMPRODUCT(DCF_Base!$C$19:$L$19/(1+$A$25/100)^DCF_Base!$C$4:$L$4)+MAX(0,MIN(IF($A$25&gt;$B$23,DCF_Base!$L$19*(1+$B$23/100)/(($A$25-$B$23)/100),DCF_Base!$L$19*DCF_Base!$B$29),DCF_Base!$L$19*DCF_Base!$B$29))/(1+$A$25/100)^DCF_Base!$L$4+Assumptions!$B$5-Assumptions!$B$4)/Assumptions!$B$3*Assumptions!$B$10</f>
        <v>330.710840448145</v>
      </c>
      <c r="C25" s="0" t="n">
        <f aca="false">(SUMPRODUCT(DCF_Base!$C$19:$L$19/(1+$A$25/100)^DCF_Base!$C$4:$L$4)+MAX(0,MIN(IF($A$25&gt;$C$23,DCF_Base!$L$19*(1+$C$23/100)/(($A$25-$C$23)/100),DCF_Base!$L$19*DCF_Base!$B$29),DCF_Base!$L$19*DCF_Base!$B$29))/(1+$A$25/100)^DCF_Base!$L$4+Assumptions!$B$5-Assumptions!$B$4)/Assumptions!$B$3*Assumptions!$B$10</f>
        <v>330.710840448145</v>
      </c>
      <c r="D25" s="0" t="n">
        <f aca="false">(SUMPRODUCT(DCF_Base!$C$19:$L$19/(1+$A$25/100)^DCF_Base!$C$4:$L$4)+MAX(0,MIN(IF($A$25&gt;$D$23,DCF_Base!$L$19*(1+$D$23/100)/(($A$25-$D$23)/100),DCF_Base!$L$19*DCF_Base!$B$29),DCF_Base!$L$19*DCF_Base!$B$29))/(1+$A$25/100)^DCF_Base!$L$4+Assumptions!$B$5-Assumptions!$B$4)/Assumptions!$B$3*Assumptions!$B$10</f>
        <v>330.710840448145</v>
      </c>
      <c r="E25" s="0" t="n">
        <f aca="false">(SUMPRODUCT(DCF_Base!$C$19:$L$19/(1+$A$25/100)^DCF_Base!$C$4:$L$4)+MAX(0,MIN(IF($A$25&gt;$E$23,DCF_Base!$L$19*(1+$E$23/100)/(($A$25-$E$23)/100),DCF_Base!$L$19*DCF_Base!$B$29),DCF_Base!$L$19*DCF_Base!$B$29))/(1+$A$25/100)^DCF_Base!$L$4+Assumptions!$B$5-Assumptions!$B$4)/Assumptions!$B$3*Assumptions!$B$10</f>
        <v>330.710840448145</v>
      </c>
      <c r="F25" s="0" t="n">
        <f aca="false">(SUMPRODUCT(DCF_Base!$C$19:$L$19/(1+$A$25/100)^DCF_Base!$C$4:$L$4)+MAX(0,MIN(IF($A$25&gt;$F$23,DCF_Base!$L$19*(1+$F$23/100)/(($A$25-$F$23)/100),DCF_Base!$L$19*DCF_Base!$B$29),DCF_Base!$L$19*DCF_Base!$B$29))/(1+$A$25/100)^DCF_Base!$L$4+Assumptions!$B$5-Assumptions!$B$4)/Assumptions!$B$3*Assumptions!$B$10</f>
        <v>330.710840448145</v>
      </c>
    </row>
    <row r="26" customFormat="false" ht="15" hidden="false" customHeight="false" outlineLevel="0" collapsed="false">
      <c r="A26" s="3" t="n">
        <v>10.5</v>
      </c>
      <c r="B26" s="0" t="n">
        <f aca="false">(SUMPRODUCT(DCF_Base!$C$19:$L$19/(1+$A$26/100)^DCF_Base!$C$4:$L$4)+MAX(0,MIN(IF($A$26&gt;$B$23,DCF_Base!$L$19*(1+$B$23/100)/(($A$26-$B$23)/100),DCF_Base!$L$19*DCF_Base!$B$29),DCF_Base!$L$19*DCF_Base!$B$29))/(1+$A$26/100)^DCF_Base!$L$4+Assumptions!$B$5-Assumptions!$B$4)/Assumptions!$B$3*Assumptions!$B$10</f>
        <v>310.086927278941</v>
      </c>
      <c r="C26" s="0" t="n">
        <f aca="false">(SUMPRODUCT(DCF_Base!$C$19:$L$19/(1+$A$26/100)^DCF_Base!$C$4:$L$4)+MAX(0,MIN(IF($A$26&gt;$C$23,DCF_Base!$L$19*(1+$C$23/100)/(($A$26-$C$23)/100),DCF_Base!$L$19*DCF_Base!$B$29),DCF_Base!$L$19*DCF_Base!$B$29))/(1+$A$26/100)^DCF_Base!$L$4+Assumptions!$B$5-Assumptions!$B$4)/Assumptions!$B$3*Assumptions!$B$10</f>
        <v>310.086927278941</v>
      </c>
      <c r="D26" s="0" t="n">
        <f aca="false">(SUMPRODUCT(DCF_Base!$C$19:$L$19/(1+$A$26/100)^DCF_Base!$C$4:$L$4)+MAX(0,MIN(IF($A$26&gt;$D$23,DCF_Base!$L$19*(1+$D$23/100)/(($A$26-$D$23)/100),DCF_Base!$L$19*DCF_Base!$B$29),DCF_Base!$L$19*DCF_Base!$B$29))/(1+$A$26/100)^DCF_Base!$L$4+Assumptions!$B$5-Assumptions!$B$4)/Assumptions!$B$3*Assumptions!$B$10</f>
        <v>310.086927278941</v>
      </c>
      <c r="E26" s="0" t="n">
        <f aca="false">(SUMPRODUCT(DCF_Base!$C$19:$L$19/(1+$A$26/100)^DCF_Base!$C$4:$L$4)+MAX(0,MIN(IF($A$26&gt;$E$23,DCF_Base!$L$19*(1+$E$23/100)/(($A$26-$E$23)/100),DCF_Base!$L$19*DCF_Base!$B$29),DCF_Base!$L$19*DCF_Base!$B$29))/(1+$A$26/100)^DCF_Base!$L$4+Assumptions!$B$5-Assumptions!$B$4)/Assumptions!$B$3*Assumptions!$B$10</f>
        <v>310.086927278941</v>
      </c>
      <c r="F26" s="0" t="n">
        <f aca="false">(SUMPRODUCT(DCF_Base!$C$19:$L$19/(1+$A$26/100)^DCF_Base!$C$4:$L$4)+MAX(0,MIN(IF($A$26&gt;$F$23,DCF_Base!$L$19*(1+$F$23/100)/(($A$26-$F$23)/100),DCF_Base!$L$19*DCF_Base!$B$29),DCF_Base!$L$19*DCF_Base!$B$29))/(1+$A$26/100)^DCF_Base!$L$4+Assumptions!$B$5-Assumptions!$B$4)/Assumptions!$B$3*Assumptions!$B$10</f>
        <v>310.086927278941</v>
      </c>
    </row>
    <row r="27" customFormat="false" ht="15" hidden="false" customHeight="false" outlineLevel="0" collapsed="false">
      <c r="A27" s="3" t="n">
        <v>11.5</v>
      </c>
      <c r="B27" s="0" t="n">
        <f aca="false">(SUMPRODUCT(DCF_Base!$C$19:$L$19/(1+$A$27/100)^DCF_Base!$C$4:$L$4)+MAX(0,MIN(IF($A$27&gt;$B$23,DCF_Base!$L$19*(1+$B$23/100)/(($A$27-$B$23)/100),DCF_Base!$L$19*DCF_Base!$B$29),DCF_Base!$L$19*DCF_Base!$B$29))/(1+$A$27/100)^DCF_Base!$L$4+Assumptions!$B$5-Assumptions!$B$4)/Assumptions!$B$3*Assumptions!$B$10</f>
        <v>281.696921567134</v>
      </c>
      <c r="C27" s="0" t="n">
        <f aca="false">(SUMPRODUCT(DCF_Base!$C$19:$L$19/(1+$A$27/100)^DCF_Base!$C$4:$L$4)+MAX(0,MIN(IF($A$27&gt;$C$23,DCF_Base!$L$19*(1+$C$23/100)/(($A$27-$C$23)/100),DCF_Base!$L$19*DCF_Base!$B$29),DCF_Base!$L$19*DCF_Base!$B$29))/(1+$A$27/100)^DCF_Base!$L$4+Assumptions!$B$5-Assumptions!$B$4)/Assumptions!$B$3*Assumptions!$B$10</f>
        <v>288.256435848801</v>
      </c>
      <c r="D27" s="0" t="n">
        <f aca="false">(SUMPRODUCT(DCF_Base!$C$19:$L$19/(1+$A$27/100)^DCF_Base!$C$4:$L$4)+MAX(0,MIN(IF($A$27&gt;$D$23,DCF_Base!$L$19*(1+$D$23/100)/(($A$27-$D$23)/100),DCF_Base!$L$19*DCF_Base!$B$29),DCF_Base!$L$19*DCF_Base!$B$29))/(1+$A$27/100)^DCF_Base!$L$4+Assumptions!$B$5-Assumptions!$B$4)/Assumptions!$B$3*Assumptions!$B$10</f>
        <v>291.197922073764</v>
      </c>
      <c r="E27" s="0" t="n">
        <f aca="false">(SUMPRODUCT(DCF_Base!$C$19:$L$19/(1+$A$27/100)^DCF_Base!$C$4:$L$4)+MAX(0,MIN(IF($A$27&gt;$E$23,DCF_Base!$L$19*(1+$E$23/100)/(($A$27-$E$23)/100),DCF_Base!$L$19*DCF_Base!$B$29),DCF_Base!$L$19*DCF_Base!$B$29))/(1+$A$27/100)^DCF_Base!$L$4+Assumptions!$B$5-Assumptions!$B$4)/Assumptions!$B$3*Assumptions!$B$10</f>
        <v>291.197922073764</v>
      </c>
      <c r="F27" s="0" t="n">
        <f aca="false">(SUMPRODUCT(DCF_Base!$C$19:$L$19/(1+$A$27/100)^DCF_Base!$C$4:$L$4)+MAX(0,MIN(IF($A$27&gt;$F$23,DCF_Base!$L$19*(1+$F$23/100)/(($A$27-$F$23)/100),DCF_Base!$L$19*DCF_Base!$B$29),DCF_Base!$L$19*DCF_Base!$B$29))/(1+$A$27/100)^DCF_Base!$L$4+Assumptions!$B$5-Assumptions!$B$4)/Assumptions!$B$3*Assumptions!$B$10</f>
        <v>291.197922073764</v>
      </c>
    </row>
    <row r="28" customFormat="false" ht="15" hidden="false" customHeight="false" outlineLevel="0" collapsed="false">
      <c r="A28" s="3" t="n">
        <v>12.5</v>
      </c>
      <c r="B28" s="0" t="n">
        <f aca="false">(SUMPRODUCT(DCF_Base!$C$19:$L$19/(1+$A$28/100)^DCF_Base!$C$4:$L$4)+MAX(0,MIN(IF($A$28&gt;$B$23,DCF_Base!$L$19*(1+$B$23/100)/(($A$28-$B$23)/100),DCF_Base!$L$19*DCF_Base!$B$29),DCF_Base!$L$19*DCF_Base!$B$29))/(1+$A$28/100)^DCF_Base!$L$4+Assumptions!$B$5-Assumptions!$B$4)/Assumptions!$B$3*Assumptions!$B$10</f>
        <v>255.754575795615</v>
      </c>
      <c r="C28" s="0" t="n">
        <f aca="false">(SUMPRODUCT(DCF_Base!$C$19:$L$19/(1+$A$28/100)^DCF_Base!$C$4:$L$4)+MAX(0,MIN(IF($A$28&gt;$C$23,DCF_Base!$L$19*(1+$C$23/100)/(($A$28-$C$23)/100),DCF_Base!$L$19*DCF_Base!$B$29),DCF_Base!$L$19*DCF_Base!$B$29))/(1+$A$28/100)^DCF_Base!$L$4+Assumptions!$B$5-Assumptions!$B$4)/Assumptions!$B$3*Assumptions!$B$10</f>
        <v>260.733258021409</v>
      </c>
      <c r="D28" s="0" t="n">
        <f aca="false">(SUMPRODUCT(DCF_Base!$C$19:$L$19/(1+$A$28/100)^DCF_Base!$C$4:$L$4)+MAX(0,MIN(IF($A$28&gt;$D$23,DCF_Base!$L$19*(1+$D$23/100)/(($A$28-$D$23)/100),DCF_Base!$L$19*DCF_Base!$B$29),DCF_Base!$L$19*DCF_Base!$B$29))/(1+$A$28/100)^DCF_Base!$L$4+Assumptions!$B$5-Assumptions!$B$4)/Assumptions!$B$3*Assumptions!$B$10</f>
        <v>266.209808469782</v>
      </c>
      <c r="E28" s="0" t="n">
        <f aca="false">(SUMPRODUCT(DCF_Base!$C$19:$L$19/(1+$A$28/100)^DCF_Base!$C$4:$L$4)+MAX(0,MIN(IF($A$28&gt;$E$23,DCF_Base!$L$19*(1+$E$23/100)/(($A$28-$E$23)/100),DCF_Base!$L$19*DCF_Base!$B$29),DCF_Base!$L$19*DCF_Base!$B$29))/(1+$A$28/100)^DCF_Base!$L$4+Assumptions!$B$5-Assumptions!$B$4)/Assumptions!$B$3*Assumptions!$B$10</f>
        <v>272.262837912721</v>
      </c>
      <c r="F28" s="0" t="n">
        <f aca="false">(SUMPRODUCT(DCF_Base!$C$19:$L$19/(1+$A$28/100)^DCF_Base!$C$4:$L$4)+MAX(0,MIN(IF($A$28&gt;$F$23,DCF_Base!$L$19*(1+$F$23/100)/(($A$28-$F$23)/100),DCF_Base!$L$19*DCF_Base!$B$29),DCF_Base!$L$19*DCF_Base!$B$29))/(1+$A$28/100)^DCF_Base!$L$4+Assumptions!$B$5-Assumptions!$B$4)/Assumptions!$B$3*Assumptions!$B$10</f>
        <v>273.876979097504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2026-10-10T00:57:42Z</dcterms:created>
  <dc:creator>openpyxl</dc:creator>
  <dc:description/>
  <dc:language>en-NZ</dc:language>
  <cp:lastModifiedBy/>
  <dcterms:modified xsi:type="dcterms:W3CDTF">2026-10-10T00:57:42Z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