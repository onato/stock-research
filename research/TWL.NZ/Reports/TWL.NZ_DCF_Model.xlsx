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/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4" fontId="2" fillId="2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164" fontId="4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TWL.NZ -- TradeWindow Holdings Limited -- owner-FCF DCF model</t>
        </is>
      </c>
      <c r="B1" s="2" t="inlineStr"/>
    </row>
    <row r="2">
      <c r="A2" s="1" t="inlineStr">
        <is>
          <t>Version</t>
        </is>
      </c>
      <c r="B2" s="2" t="inlineStr">
        <is>
          <t>v1 (fresh build 2026-09-19). Supersedes nothing: first valuation of this ticker.</t>
        </is>
      </c>
    </row>
    <row r="3">
      <c r="A3" s="1" t="inlineStr">
        <is>
          <t>Built by</t>
        </is>
      </c>
      <c r="B3" s="2" t="inlineStr">
        <is>
          <t>dcf-analyst agent (Claude Fable 5.1) on 2026-09-19 at the research orchestrator's request.</t>
        </is>
      </c>
    </row>
    <row r="4">
      <c r="A4" s="1" t="inlineStr">
        <is>
          <t>Price</t>
        </is>
      </c>
      <c r="B4" s="2" t="inlineStr">
        <is>
          <t>NZ$0.117 -- 2026-09-18T03:47:52Z (NZX last trade 15:47:51 NZST, regular session; Yahoo regularMarketTime). Figures go stale; refresh price, cash and share count before use.</t>
        </is>
      </c>
    </row>
    <row r="5">
      <c r="A5" s="1" t="inlineStr">
        <is>
          <t>Balance sheet</t>
        </is>
      </c>
      <c r="B5" s="2" t="inlineStr">
        <is>
          <t>2026-03-31 audited: cash 4.190, debt 0.454 (MBIE R&amp;D loan + insurance premium funding), lease liabilities 0.007 excluded. FY26 Annual Report (audited, auditor's report dated 29-May-2026, re-lodged 17-Jul-2026), notes 10, 16, 17, 18</t>
        </is>
      </c>
    </row>
    <row r="6">
      <c r="A6" s="1" t="inlineStr">
        <is>
          <t>Share count</t>
        </is>
      </c>
      <c r="B6" s="2" t="inlineStr">
        <is>
          <t>fully diluted: 163,605,272 ordinary shares on issue per NZX (2026-09-18; ties to 163,361,489 at 31-Mar-2026 in FY26 AR note 18 + 243,783 options exercised per Capital Change Notice 19-Aug-2026) + 533,216 remaining options = 164,138,488. Held FLAT because SBC is expensed in the flows; the negative early-year FCFs are discounted as if funded at fair value -- see notes on the funding gap for what a raise at the current price does to this figure.</t>
        </is>
      </c>
    </row>
    <row r="7">
      <c r="A7" s="1" t="inlineStr">
        <is>
          <t>Guidance</t>
        </is>
      </c>
      <c r="B7" s="2" t="inlineStr">
        <is>
          <t>FY27 (Mar-2027): trading revenue +13-18%, EBITDA 'approaching breakeven', FreightAI capitalised spend ~NZ$1.5m (FY26 results 29-May-2026; Q1 FY27 update 23-Jul-2026: revenue +18%, ARR NZ$10.4m +17%, retention 90%).</t>
        </is>
      </c>
    </row>
    <row r="8">
      <c r="A8" s="1" t="inlineStr">
        <is>
          <t>Model</t>
        </is>
      </c>
      <c r="B8" s="2" t="inlineStr">
        <is>
          <t>Owner-FCF DCF (dcf-methods routing: operating SaaS). Staged path-to-profitability, 10-year explicit horizon FY2027E-FY2036E, component margins, end-of-year discounting, TV = MAX(0, MIN(Gordon, 15x FCF10)), net cash added, fully diluted flat share count.</t>
        </is>
      </c>
    </row>
    <row r="9">
      <c r="A9" s="1" t="inlineStr">
        <is>
          <t>Owner FCF</t>
        </is>
      </c>
      <c r="B9" s="2" t="inlineStr">
        <is>
          <t>reported FCF less SBC expense, less interest income (net cash is in the bridge), less lease cash (treatment B: leases as operating cost, lease liabilities excluded from net debt). Capitalised development is capex.</t>
        </is>
      </c>
    </row>
    <row r="10">
      <c r="A10" s="1" t="inlineStr">
        <is>
          <t>EBITDA driver</t>
        </is>
      </c>
      <c r="B10" s="2" t="inlineStr">
        <is>
          <t>PRE-SBC. Company EBITDA (-1.242m FY26) is after SBC; the driver starts at -12.6% pre-SBC and SBC is charged on row 10.</t>
        </is>
      </c>
    </row>
    <row r="11">
      <c r="A11" s="1" t="inlineStr">
        <is>
          <t>Tax</t>
        </is>
      </c>
      <c r="B11" s="2" t="inlineStr">
        <is>
          <t>Zero through year 6 (NZ$39.1m unrecognised losses), ramped 10/20/28% years 7-10 for shareholder-continuity risk; tax = MAX(0, EBIT) x rate. Bear: zero throughout.</t>
        </is>
      </c>
    </row>
    <row r="12">
      <c r="A12" s="1" t="inlineStr">
        <is>
          <t>WACC</t>
        </is>
      </c>
      <c r="B12" s="2" t="inlineStr">
        <is>
          <t>NZD-built cost of equity = WACC (no material debt): NZ 10y govt ~4.5% + 5.5% ERP x beta 1.5 (loss-making micro-cap SaaS) = 12.75%, plus ~1.25pp illiquidity/size premium (NZ$19m market cap, sub-NZ$50k daily turnover) = 14.0%. Cross-check: the company's own FY26 impairment test uses a 17.8% PRE-tax discount rate (FY25: 17.0%), i.e. ~13-14% post-tax. Same 14% in all three scenarios; survival, execution and dilution risk are charged in the scenario flows and in the 30% bear weight, not stacked into the rate (owner-fcf.md s7f).</t>
        </is>
      </c>
    </row>
    <row r="13">
      <c r="A13" s="1" t="inlineStr">
        <is>
          <t>Scenario drivers</t>
        </is>
      </c>
      <c r="B13" s="2" t="inlineStr">
        <is>
          <t>Agent judgment set 2026-09-19 from the FY26 Annual Report, FY26 results deck and Q1 FY27 update. Base sits BELOW management guidance (growth at the 13% floor, EBITDA -5% pre-SBC in FY27) because breakeven guidance slipped FY26 -&gt; FY27 -&gt; 'approaching'. Bear 30% / base 50% / bull 20%.</t>
        </is>
      </c>
    </row>
    <row r="14">
      <c r="A14" s="1" t="inlineStr">
        <is>
          <t>Going concern</t>
        </is>
      </c>
      <c r="B14" s="2" t="inlineStr">
        <is>
          <t>FY26 audit opinion STILL carries a material-uncertainty-related-to-going-concern paragraph. Base case exhausts net cash around FY28-FY29 without a raise (see Valuation!runway memo).</t>
        </is>
      </c>
    </row>
    <row r="15">
      <c r="A15" s="1" t="inlineStr">
        <is>
          <t>Refresh after next print</t>
        </is>
      </c>
      <c r="B15" s="2" t="inlineStr">
        <is>
          <t>H1 FY27 result (Nov-2026): cash at 30-Sep-2026, FY27 EBITDA trajectory, FreightAI cost envelope, any ASX primary-listing raise (share count!).</t>
        </is>
      </c>
    </row>
    <row r="16">
      <c r="A16" s="1" t="inlineStr">
        <is>
          <t>Driver rows</t>
        </is>
      </c>
      <c r="B16" s="2" t="inlineStr">
        <is>
          <t>DCF tabs: rows 5 (growth), 7 (pre-SBC EBITDA margin), 9 (SBC %), 14 (cash tax rate), 25 (capex % incl. capitalised development). Row 22 lease cost, rows 12/17/18 link to Assumptions.</t>
        </is>
      </c>
    </row>
    <row r="17">
      <c r="A17" s="1" t="inlineStr">
        <is>
          <t>Cell colours</t>
        </is>
      </c>
      <c r="B17" s="2" t="inlineStr">
        <is>
          <t>BLUE = hardcoded input; YELLOW fill = key lever; BLACK = formula; GREEN = cross-sheet link; GREEN fill = headline output.</t>
        </is>
      </c>
    </row>
    <row r="18">
      <c r="A18" s="1" t="inlineStr">
        <is>
          <t>Units</t>
        </is>
      </c>
      <c r="B18" s="2" t="inlineStr">
        <is>
          <t>NZD millions unless stated; per-share figures in NZD.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8" max="8"/>
  </cols>
  <sheetData>
    <row r="1">
      <c r="A1" s="1" t="inlineStr">
        <is>
          <t>Metric (NZD m)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  <c r="G1" s="1" t="inlineStr">
        <is>
          <t>FY2026</t>
        </is>
      </c>
      <c r="H1" s="1" t="inlineStr">
        <is>
          <t>Source</t>
        </is>
      </c>
    </row>
    <row r="2">
      <c r="A2" t="inlineStr">
        <is>
          <t>Revenue</t>
        </is>
      </c>
      <c r="B2" s="3" t="n">
        <v>1.642</v>
      </c>
      <c r="C2" s="3" t="n">
        <v>3.878</v>
      </c>
      <c r="D2" s="3" t="n">
        <v>4.92</v>
      </c>
      <c r="E2" s="3" t="n">
        <v>6.179</v>
      </c>
      <c r="F2" s="3" t="n">
        <v>8.031000000000001</v>
      </c>
      <c r="G2" s="3" t="n">
        <v>9.609</v>
      </c>
      <c r="H2" t="inlineStr">
        <is>
          <t>Metrics.csv FY21-FY25; FY26 Annual Report p.46</t>
        </is>
      </c>
    </row>
    <row r="3">
      <c r="A3" t="inlineStr">
        <is>
          <t>EBITDA (company, post-SBC)</t>
        </is>
      </c>
      <c r="B3" s="3" t="n">
        <v>-5.864</v>
      </c>
      <c r="C3" s="3" t="n">
        <v>-9.547000000000001</v>
      </c>
      <c r="D3" s="3" t="n">
        <v>-11.69</v>
      </c>
      <c r="E3" s="3" t="n">
        <v>-6.626</v>
      </c>
      <c r="F3" s="3" t="n">
        <v>-1.526</v>
      </c>
      <c r="G3" s="3" t="n">
        <v>-1.242</v>
      </c>
      <c r="H3" t="inlineStr">
        <is>
          <t>op. loss + D&amp;A</t>
        </is>
      </c>
    </row>
    <row r="4">
      <c r="A4" t="inlineStr">
        <is>
          <t>Net loss</t>
        </is>
      </c>
      <c r="B4" s="3" t="n">
        <v>-6.598</v>
      </c>
      <c r="C4" s="3" t="n">
        <v>-10.824</v>
      </c>
      <c r="D4" s="3" t="n">
        <v>-9.792999999999999</v>
      </c>
      <c r="E4" s="3" t="n">
        <v>-8.013999999999999</v>
      </c>
      <c r="F4" s="3" t="n">
        <v>-3.518</v>
      </c>
      <c r="G4" s="3" t="n">
        <v>-2.592</v>
      </c>
      <c r="H4" t="inlineStr"/>
    </row>
    <row r="5">
      <c r="A5" t="inlineStr">
        <is>
          <t>Operating cash flow</t>
        </is>
      </c>
      <c r="B5" s="3" t="n">
        <v>-4.576</v>
      </c>
      <c r="C5" s="3" t="n">
        <v>-8.496</v>
      </c>
      <c r="D5" s="3" t="n">
        <v>-10.833</v>
      </c>
      <c r="E5" s="3" t="n">
        <v>-5.754</v>
      </c>
      <c r="F5" s="3" t="n">
        <v>-1.525</v>
      </c>
      <c r="G5" s="3" t="n">
        <v>-1.308</v>
      </c>
      <c r="H5" t="inlineStr"/>
    </row>
    <row r="6">
      <c r="A6" t="inlineStr">
        <is>
          <t>Capex incl. capitalised dev</t>
        </is>
      </c>
      <c r="B6" s="3" t="n">
        <v>0.118</v>
      </c>
      <c r="C6" s="3" t="n">
        <v>0.34</v>
      </c>
      <c r="D6" s="3" t="n">
        <v>0.148</v>
      </c>
      <c r="E6" s="3" t="n">
        <v>0.012</v>
      </c>
      <c r="F6" s="3" t="n">
        <v>0.059</v>
      </c>
      <c r="G6" s="3" t="n">
        <v>0.703</v>
      </c>
      <c r="H6" t="inlineStr">
        <is>
          <t>FY26: PPE 0.042 + intangibles 0.661</t>
        </is>
      </c>
    </row>
    <row r="7">
      <c r="A7" t="inlineStr">
        <is>
          <t>ARR (NZ$m)</t>
        </is>
      </c>
      <c r="D7" s="3" t="n">
        <v>5.2</v>
      </c>
      <c r="E7" s="3" t="n">
        <v>6.3</v>
      </c>
      <c r="F7" s="3" t="n">
        <v>8.699999999999999</v>
      </c>
      <c r="G7" s="3" t="n">
        <v>10.1</v>
      </c>
      <c r="H7" t="inlineStr">
        <is>
          <t>kpis; Q1 FY27 10.4</t>
        </is>
      </c>
    </row>
    <row r="8">
      <c r="A8" t="inlineStr">
        <is>
          <t>Cash</t>
        </is>
      </c>
      <c r="B8" s="3" t="n">
        <v>1.413</v>
      </c>
      <c r="C8" s="3" t="n">
        <v>5.933</v>
      </c>
      <c r="D8" s="3" t="n">
        <v>6.148</v>
      </c>
      <c r="E8" s="3" t="n">
        <v>0.188</v>
      </c>
      <c r="F8" s="3" t="n">
        <v>0.392</v>
      </c>
      <c r="G8" s="3" t="n">
        <v>4.19</v>
      </c>
      <c r="H8" t="inlineStr"/>
    </row>
    <row r="9">
      <c r="A9" t="inlineStr">
        <is>
          <t>Interest-bearing debt</t>
        </is>
      </c>
      <c r="B9" s="3" t="n">
        <v>1.71</v>
      </c>
      <c r="C9" s="3" t="n">
        <v>3.633</v>
      </c>
      <c r="D9" s="3" t="n">
        <v>2.668</v>
      </c>
      <c r="E9" s="3" t="n">
        <v>1.52</v>
      </c>
      <c r="F9" s="3" t="n">
        <v>1.433</v>
      </c>
      <c r="G9" s="3" t="n">
        <v>0.454</v>
      </c>
      <c r="H9" t="inlineStr">
        <is>
          <t>FY26 note 17</t>
        </is>
      </c>
    </row>
    <row r="10">
      <c r="A10" t="inlineStr">
        <is>
          <t>Shares on issue (m, closing)</t>
        </is>
      </c>
      <c r="B10" s="3" t="n">
        <v>5.78</v>
      </c>
      <c r="C10" s="3" t="n">
        <v>86.373</v>
      </c>
      <c r="D10" s="3" t="n">
        <v>117.196</v>
      </c>
      <c r="E10" s="3" t="n">
        <v>130.791</v>
      </c>
      <c r="F10" s="3" t="n">
        <v>130.791</v>
      </c>
      <c r="G10" s="3" t="n">
        <v>163.361</v>
      </c>
      <c r="H10" t="inlineStr">
        <is>
          <t>FY26 note 18; CSV FY25 127.7m is the weighted average. Live 163.605 + 0.533 options</t>
        </is>
      </c>
    </row>
    <row r="13">
      <c r="A13" s="1" t="inlineStr">
        <is>
          <t>FY27 guidance</t>
        </is>
      </c>
      <c r="B13" t="inlineStr">
        <is>
          <t>Trading revenue +13-18%; EBITDA approaching breakeven; FreightAI capitalised ~NZ$1.5m; avg monthly cash outflow FY26 NZ$184k ex-raises.</t>
        </is>
      </c>
    </row>
    <row r="14">
      <c r="A14" s="1" t="inlineStr">
        <is>
          <t>Buybacks</t>
        </is>
      </c>
      <c r="B14" t="inlineStr">
        <is>
          <t>None ever. 32.5m shares issued in FY26 (NZ$7.67m gross).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60" customWidth="1" min="3" max="3"/>
  </cols>
  <sheetData>
    <row r="1">
      <c r="A1" s="1" t="inlineStr">
        <is>
          <t>Global inputs</t>
        </is>
      </c>
    </row>
    <row r="3">
      <c r="A3" t="inlineStr">
        <is>
          <t>WACC (cost of equity, NZD)</t>
        </is>
      </c>
      <c r="B3" s="4" t="n">
        <v>0.14</v>
      </c>
      <c r="C3" t="inlineStr">
        <is>
          <t>14%: NZ rf 4.5% + 5.5% ERP x 1.5 beta + 1.25pp illiquidity; company impairment rate 17.8% pre-tax</t>
        </is>
      </c>
    </row>
    <row r="4">
      <c r="A4" t="inlineStr">
        <is>
          <t>D&amp;A % of revenue (ex-ROU)</t>
        </is>
      </c>
      <c r="B4" s="3" t="n">
        <v>0.07000000000000001</v>
      </c>
      <c r="C4" t="inlineStr">
        <is>
          <t>FY26 13% incl. acquired-intangible amortisation, run-off to ~7%; tax-only effect</t>
        </is>
      </c>
    </row>
    <row r="5">
      <c r="A5" t="inlineStr">
        <is>
          <t>Lease cost % of revenue</t>
        </is>
      </c>
      <c r="B5" s="3" t="n">
        <v>0.005</v>
      </c>
      <c r="C5" t="inlineStr">
        <is>
          <t>FY26 principal 0.044 + interest 0.003 = 0.5%</t>
        </is>
      </c>
    </row>
    <row r="6">
      <c r="A6" t="inlineStr">
        <is>
          <t>WC capture on revenue change</t>
        </is>
      </c>
      <c r="B6" s="3" t="n">
        <v>-0.05</v>
      </c>
      <c r="C6" t="inlineStr">
        <is>
          <t>Negative: receivables outgrow contract liabilities (FY26 -0.084 on +1.58)</t>
        </is>
      </c>
    </row>
    <row r="7">
      <c r="A7" t="inlineStr">
        <is>
          <t>Net cash (NZD m)</t>
        </is>
      </c>
      <c r="B7" s="3" t="n">
        <v>3.736</v>
      </c>
      <c r="C7" t="inlineStr">
        <is>
          <t>31-Mar-2026: cash 4.190 - debt 0.454; ~0.7m lower by Sept-2026 at NZ$184k/month burn</t>
        </is>
      </c>
    </row>
    <row r="8">
      <c r="A8" t="inlineStr">
        <is>
          <t>Diluted shares (m)</t>
        </is>
      </c>
      <c r="B8" s="3" t="n">
        <v>164.138</v>
      </c>
      <c r="C8" t="inlineStr">
        <is>
          <t>163.605 on issue (NZX 18-Sep-2026) + 0.533 options</t>
        </is>
      </c>
    </row>
    <row r="9">
      <c r="A9" t="inlineStr">
        <is>
          <t>Share price (NZD)</t>
        </is>
      </c>
      <c r="B9" s="3" t="n">
        <v>0.117</v>
      </c>
      <c r="C9" t="inlineStr">
        <is>
          <t>2026-09-18T03:47:52Z (NZX last trade 15:47:51 NZST, regular session; Yahoo regularMarketTime)</t>
        </is>
      </c>
    </row>
    <row r="10">
      <c r="A10" t="inlineStr">
        <is>
          <t>Terminal value cap (x FCF10)</t>
        </is>
      </c>
      <c r="B10" s="4" t="n">
        <v>15</v>
      </c>
      <c r="C10" t="inlineStr">
        <is>
          <t>15x for an illiquid micro-cap SaaS</t>
        </is>
      </c>
    </row>
    <row r="11">
      <c r="A11" t="inlineStr">
        <is>
          <t>Hurdle rate (entry price)</t>
        </is>
      </c>
      <c r="B11" s="3" t="n">
        <v>0.15</v>
      </c>
      <c r="C11" t="inlineStr">
        <is>
          <t>TV rebuilt at the hurdle</t>
        </is>
      </c>
    </row>
    <row r="12">
      <c r="A12" t="inlineStr">
        <is>
          <t>Net debt (NZD m)</t>
        </is>
      </c>
      <c r="B12" s="5">
        <f>-B7</f>
        <v/>
      </c>
      <c r="C12" t="inlineStr">
        <is>
          <t>formula</t>
        </is>
      </c>
    </row>
    <row r="14">
      <c r="A14" s="1" t="inlineStr">
        <is>
          <t>Scenario</t>
        </is>
      </c>
      <c r="B14" s="1" t="inlineStr">
        <is>
          <t>Tab</t>
        </is>
      </c>
      <c r="C14" s="1" t="inlineStr">
        <is>
          <t>Terminal growth</t>
        </is>
      </c>
      <c r="D14" s="1" t="inlineStr">
        <is>
          <t>Probability</t>
        </is>
      </c>
    </row>
    <row r="15">
      <c r="A15" t="inlineStr">
        <is>
          <t>bear</t>
        </is>
      </c>
      <c r="B15" t="inlineStr">
        <is>
          <t>DCF_Bear</t>
        </is>
      </c>
      <c r="C15" s="4" t="n">
        <v>0.02</v>
      </c>
      <c r="D15" s="3" t="n">
        <v>0.3</v>
      </c>
    </row>
    <row r="16">
      <c r="A16" t="inlineStr">
        <is>
          <t>base</t>
        </is>
      </c>
      <c r="B16" t="inlineStr">
        <is>
          <t>DCF_Base</t>
        </is>
      </c>
      <c r="C16" s="4" t="n">
        <v>0.03</v>
      </c>
      <c r="D16" s="3" t="n">
        <v>0.5</v>
      </c>
    </row>
    <row r="17">
      <c r="A17" t="inlineStr">
        <is>
          <t>bull</t>
        </is>
      </c>
      <c r="B17" t="inlineStr">
        <is>
          <t>DCF_Bull</t>
        </is>
      </c>
      <c r="C17" s="4" t="n">
        <v>0.035</v>
      </c>
      <c r="D17" s="3" t="n">
        <v>0.2</v>
      </c>
    </row>
    <row r="18">
      <c r="A18" t="inlineStr">
        <is>
          <t>Weights sum (must be 1.0)</t>
        </is>
      </c>
      <c r="D18">
        <f>SUM(D15:D17)</f>
        <v/>
      </c>
    </row>
    <row r="20">
      <c r="A20" s="1" t="inlineStr">
        <is>
          <t>Scenario narratives</t>
        </is>
      </c>
    </row>
    <row r="21" ht="110" customHeight="1">
      <c r="A21" t="inlineStr">
        <is>
          <t>base</t>
        </is>
      </c>
      <c r="B21" s="2" t="inlineStr">
        <is>
          <t>Revenue grows 13% in FY27 (floor of guidance; Q1 printed +18%) decelerating to 4% by FY36, driven by ARPC expansion (shipper ARPC +20-22%/yr on re-pricing and module cross-sell) against a flat-to-declining customer count. Pre-SBC EBITDA margin moves from -12.6% to -5% in FY27 -- i.e. management's 'approaching breakeven' slips again by roughly a year -- reaching breakeven in FY28 and 22% by FY36 as the 60-63% gross margin scales over a cost base held near NZ$11m. FreightAI is delivered (capex 15% of revenue in FY27, 11% FY28) but contributes only modestly. Cumulative burn exhausts net cash around FY29, so one more raise or a spend cut is implied.</t>
        </is>
      </c>
    </row>
    <row r="22" ht="110" customHeight="1">
      <c r="A22" t="inlineStr">
        <is>
          <t>bull</t>
        </is>
      </c>
      <c r="B22" s="2" t="inlineStr">
        <is>
          <t>FreightAI ships on schedule (Sept-2027), lands mid-market freight forwarders currently on WiseTech/legacy systems, and the primary ASX listing brings Australian institutional capital at a premium to today's price. Revenue growth holds 17-18% for three years (ARR already compounding 17%), pre-SBC EBITDA reaches breakeven in FY28 and 28% by FY35 -- still below the 30%+ mature margins of scaled trade-software peers. Terminal growth 3.5%.</t>
        </is>
      </c>
    </row>
    <row r="23" ht="110" customHeight="1">
      <c r="A23" t="inlineStr">
        <is>
          <t>bear</t>
        </is>
      </c>
      <c r="B23" s="2" t="inlineStr">
        <is>
          <t>Retention slips back toward the 87% seen in FY25 as re-pricing pushes small customers out, FreightAI overruns the Board's cost envelope (the going-concern note's stated trigger), Australian growth stalls against WiseTech, and the company cannot raise on acceptable terms in a thin small-cap market (as in 2023 when it reached 27% of target). Revenue growth fades to 2-3%, EBITDA never clears 3% pre-SBC, owner FCF stays negative every year, the terminal value floors at zero and the equity is worth net cash less the burn -- negative: the business does not survive this path without a rescue raise.</t>
        </is>
      </c>
    </row>
    <row r="25">
      <c r="A25" t="inlineStr">
        <is>
          <t>Weights rationale</t>
        </is>
      </c>
      <c r="B25" s="6" t="inlineStr">
        <is>
          <t>Bear raised to 30% (house default 15%) because the FY26 audit opinion still carries a going-concern material uncertainty, the base case itself implies another raise, EBITDA-breakeven guidance has slipped twice, and the CEO changed in mid-2026. Bull cut to 20% (default 35%) because it needs three independent things to go right: FreightAI delivered on time and cost, adoption against a far better-capitalised incumbent, and an ASX raise at a premium. Base 50%.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case -- owner-FCF DCF (NZD m)</t>
        </is>
      </c>
    </row>
    <row r="3">
      <c r="A3" t="inlineStr">
        <is>
          <t>Fiscal 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1" t="inlineStr">
        <is>
          <t>Revenue growth YoY</t>
        </is>
      </c>
      <c r="B5" s="7" t="n"/>
      <c r="C5" s="8" t="n">
        <v>0.07000000000000001</v>
      </c>
      <c r="D5" s="8" t="n">
        <v>0.05</v>
      </c>
      <c r="E5" s="8" t="n">
        <v>0.04</v>
      </c>
      <c r="F5" s="8" t="n">
        <v>0.03</v>
      </c>
      <c r="G5" s="8" t="n">
        <v>0.03</v>
      </c>
      <c r="H5" s="8" t="n">
        <v>0.03</v>
      </c>
      <c r="I5" s="8" t="n">
        <v>0.02</v>
      </c>
      <c r="J5" s="8" t="n">
        <v>0.02</v>
      </c>
      <c r="K5" s="8" t="n">
        <v>0.02</v>
      </c>
      <c r="L5" s="8" t="n">
        <v>0.02</v>
      </c>
    </row>
    <row r="6">
      <c r="A6" t="inlineStr">
        <is>
          <t>Revenue</t>
        </is>
      </c>
      <c r="B6" s="3" t="n">
        <v>9.609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1" t="inlineStr">
        <is>
          <t>Adj EBITDA margin (pre-SBC)</t>
        </is>
      </c>
      <c r="B7" s="7">
        <f>B8/B6</f>
        <v/>
      </c>
      <c r="C7" s="8" t="n">
        <v>-0.1</v>
      </c>
      <c r="D7" s="8" t="n">
        <v>-0.08</v>
      </c>
      <c r="E7" s="8" t="n">
        <v>-0.06</v>
      </c>
      <c r="F7" s="8" t="n">
        <v>-0.04</v>
      </c>
      <c r="G7" s="8" t="n">
        <v>-0.02</v>
      </c>
      <c r="H7" s="8" t="n">
        <v>0</v>
      </c>
      <c r="I7" s="8" t="n">
        <v>0.01</v>
      </c>
      <c r="J7" s="8" t="n">
        <v>0.02</v>
      </c>
      <c r="K7" s="8" t="n">
        <v>0.03</v>
      </c>
      <c r="L7" s="8" t="n">
        <v>0.03</v>
      </c>
    </row>
    <row r="8">
      <c r="A8" t="inlineStr">
        <is>
          <t>Adjusted EBITDA</t>
        </is>
      </c>
      <c r="B8" s="3" t="n">
        <v>-1.208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1" t="inlineStr">
        <is>
          <t>SBC % of revenue</t>
        </is>
      </c>
      <c r="B9" s="7">
        <f>-B10/B6</f>
        <v/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</row>
    <row r="10">
      <c r="A10" t="inlineStr">
        <is>
          <t>SBC (negative)</t>
        </is>
      </c>
      <c r="B10" s="3" t="n">
        <v>-0.0347</v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 (after SBC and lease)</t>
        </is>
      </c>
      <c r="C11">
        <f>C8+C10+C22</f>
        <v/>
      </c>
      <c r="D11">
        <f>D8+D10+D22</f>
        <v/>
      </c>
      <c r="E11">
        <f>E8+E10+E22</f>
        <v/>
      </c>
      <c r="F11">
        <f>F8+F10+F22</f>
        <v/>
      </c>
      <c r="G11">
        <f>G8+G10+G22</f>
        <v/>
      </c>
      <c r="H11">
        <f>H8+H10+H22</f>
        <v/>
      </c>
      <c r="I11">
        <f>I8+I10+I22</f>
        <v/>
      </c>
      <c r="J11">
        <f>J8+J10+J22</f>
        <v/>
      </c>
      <c r="K11">
        <f>K8+K10+K22</f>
        <v/>
      </c>
      <c r="L11">
        <f>L8+L10+L22</f>
        <v/>
      </c>
    </row>
    <row r="12">
      <c r="A12" t="inlineStr">
        <is>
          <t>D&amp;A</t>
        </is>
      </c>
      <c r="B12" s="3" t="n">
        <v>-1.263</v>
      </c>
      <c r="C12" s="10">
        <f>-C6*Assumptions!$B$4</f>
        <v/>
      </c>
      <c r="D12" s="10">
        <f>-D6*Assumptions!$B$4</f>
        <v/>
      </c>
      <c r="E12" s="10">
        <f>-E6*Assumptions!$B$4</f>
        <v/>
      </c>
      <c r="F12" s="10">
        <f>-F6*Assumptions!$B$4</f>
        <v/>
      </c>
      <c r="G12" s="10">
        <f>-G6*Assumptions!$B$4</f>
        <v/>
      </c>
      <c r="H12" s="10">
        <f>-H6*Assumptions!$B$4</f>
        <v/>
      </c>
      <c r="I12" s="10">
        <f>-I6*Assumptions!$B$4</f>
        <v/>
      </c>
      <c r="J12" s="10">
        <f>-J6*Assumptions!$B$4</f>
        <v/>
      </c>
      <c r="K12" s="10">
        <f>-K6*Assumptions!$B$4</f>
        <v/>
      </c>
      <c r="L12" s="10">
        <f>-L6*Assumptions!$B$4</f>
        <v/>
      </c>
    </row>
    <row r="13">
      <c r="A13" t="inlineStr">
        <is>
          <t>EBIT, SBC expensed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s="1" t="inlineStr">
        <is>
          <t>Cash tax rate</t>
        </is>
      </c>
      <c r="B14" s="7" t="n"/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</row>
    <row r="15">
      <c r="A15" t="inlineStr">
        <is>
          <t>NOPAT (tax on MAX(0,EBIT))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 incl. capitalised dev</t>
        </is>
      </c>
      <c r="B17" s="3" t="n">
        <v>-0.703</v>
      </c>
      <c r="C17">
        <f>-C6*C25</f>
        <v/>
      </c>
      <c r="D17">
        <f>-D6*D25</f>
        <v/>
      </c>
      <c r="E17">
        <f>-E6*E25</f>
        <v/>
      </c>
      <c r="F17">
        <f>-F6*F25</f>
        <v/>
      </c>
      <c r="G17">
        <f>-G6*G25</f>
        <v/>
      </c>
      <c r="H17">
        <f>-H6*H25</f>
        <v/>
      </c>
      <c r="I17">
        <f>-I6*I25</f>
        <v/>
      </c>
      <c r="J17">
        <f>-J6*J25</f>
        <v/>
      </c>
      <c r="K17">
        <f>-K6*K25</f>
        <v/>
      </c>
      <c r="L17">
        <f>-L6*L25</f>
        <v/>
      </c>
    </row>
    <row r="18">
      <c r="A18" t="inlineStr">
        <is>
          <t>add working capital</t>
        </is>
      </c>
      <c r="C18" s="10">
        <f>Assumptions!$B$6*(C6-B6)</f>
        <v/>
      </c>
      <c r="D18" s="10">
        <f>Assumptions!$B$6*(D6-C6)</f>
        <v/>
      </c>
      <c r="E18" s="10">
        <f>Assumptions!$B$6*(E6-D6)</f>
        <v/>
      </c>
      <c r="F18" s="10">
        <f>Assumptions!$B$6*(F6-E6)</f>
        <v/>
      </c>
      <c r="G18" s="10">
        <f>Assumptions!$B$6*(G6-F6)</f>
        <v/>
      </c>
      <c r="H18" s="10">
        <f>Assumptions!$B$6*(H6-G6)</f>
        <v/>
      </c>
      <c r="I18" s="10">
        <f>Assumptions!$B$6*(I6-H6)</f>
        <v/>
      </c>
      <c r="J18" s="10">
        <f>Assumptions!$B$6*(J6-I6)</f>
        <v/>
      </c>
      <c r="K18" s="10">
        <f>Assumptions!$B$6*(K6-J6)</f>
        <v/>
      </c>
      <c r="L18" s="10">
        <f>Assumptions!$B$6*(L6-K6)</f>
        <v/>
      </c>
    </row>
    <row r="19">
      <c r="A19" t="inlineStr">
        <is>
          <t>Unlevered owner FCF</t>
        </is>
      </c>
      <c r="B19" s="3" t="n">
        <v>-2.111</v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B20" t="n">
        <v>1</v>
      </c>
      <c r="C20" s="10">
        <f>1/(1+Assumptions!$B$3)^C4</f>
        <v/>
      </c>
      <c r="D20" s="10">
        <f>1/(1+Assumptions!$B$3)^D4</f>
        <v/>
      </c>
      <c r="E20" s="10">
        <f>1/(1+Assumptions!$B$3)^E4</f>
        <v/>
      </c>
      <c r="F20" s="10">
        <f>1/(1+Assumptions!$B$3)^F4</f>
        <v/>
      </c>
      <c r="G20" s="10">
        <f>1/(1+Assumptions!$B$3)^G4</f>
        <v/>
      </c>
      <c r="H20" s="10">
        <f>1/(1+Assumptions!$B$3)^H4</f>
        <v/>
      </c>
      <c r="I20" s="10">
        <f>1/(1+Assumptions!$B$3)^I4</f>
        <v/>
      </c>
      <c r="J20" s="10">
        <f>1/(1+Assumptions!$B$3)^J4</f>
        <v/>
      </c>
      <c r="K20" s="10">
        <f>1/(1+Assumptions!$B$3)^K4</f>
        <v/>
      </c>
      <c r="L20" s="10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Lease cost (negative)</t>
        </is>
      </c>
      <c r="B22" s="3" t="n">
        <v>-0.0466</v>
      </c>
      <c r="C22" s="10">
        <f>-C6*Assumptions!$B$5</f>
        <v/>
      </c>
      <c r="D22" s="10">
        <f>-D6*Assumptions!$B$5</f>
        <v/>
      </c>
      <c r="E22" s="10">
        <f>-E6*Assumptions!$B$5</f>
        <v/>
      </c>
      <c r="F22" s="10">
        <f>-F6*Assumptions!$B$5</f>
        <v/>
      </c>
      <c r="G22" s="10">
        <f>-G6*Assumptions!$B$5</f>
        <v/>
      </c>
      <c r="H22" s="10">
        <f>-H6*Assumptions!$B$5</f>
        <v/>
      </c>
      <c r="I22" s="10">
        <f>-I6*Assumptions!$B$5</f>
        <v/>
      </c>
      <c r="J22" s="10">
        <f>-J6*Assumptions!$B$5</f>
        <v/>
      </c>
      <c r="K22" s="10">
        <f>-K6*Assumptions!$B$5</f>
        <v/>
      </c>
      <c r="L22" s="10">
        <f>-L6*Assumptions!$B$5</f>
        <v/>
      </c>
    </row>
    <row r="23">
      <c r="A23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owner-FCF margin</t>
        </is>
      </c>
      <c r="B24" s="7">
        <f>B19/B6</f>
        <v/>
      </c>
      <c r="C24" s="7">
        <f>C19/C6</f>
        <v/>
      </c>
      <c r="D24" s="7">
        <f>D19/D6</f>
        <v/>
      </c>
      <c r="E24" s="7">
        <f>E19/E6</f>
        <v/>
      </c>
      <c r="F24" s="7">
        <f>F19/F6</f>
        <v/>
      </c>
      <c r="G24" s="7">
        <f>G19/G6</f>
        <v/>
      </c>
      <c r="H24" s="7">
        <f>H19/H6</f>
        <v/>
      </c>
      <c r="I24" s="7">
        <f>I19/I6</f>
        <v/>
      </c>
      <c r="J24" s="7">
        <f>J19/J6</f>
        <v/>
      </c>
      <c r="K24" s="7">
        <f>K19/K6</f>
        <v/>
      </c>
      <c r="L24" s="7">
        <f>L19/L6</f>
        <v/>
      </c>
    </row>
    <row r="25">
      <c r="A25" s="1" t="inlineStr">
        <is>
          <t>Capex % of revenue</t>
        </is>
      </c>
      <c r="B25" s="7">
        <f>-B17/B6</f>
        <v/>
      </c>
      <c r="C25" s="8" t="n">
        <v>0.15</v>
      </c>
      <c r="D25" s="8" t="n">
        <v>0.11</v>
      </c>
      <c r="E25" s="8" t="n">
        <v>0.08</v>
      </c>
      <c r="F25" s="8" t="n">
        <v>0.06</v>
      </c>
      <c r="G25" s="8" t="n">
        <v>0.05</v>
      </c>
      <c r="H25" s="8" t="n">
        <v>0.05</v>
      </c>
      <c r="I25" s="8" t="n">
        <v>0.05</v>
      </c>
      <c r="J25" s="8" t="n">
        <v>0.05</v>
      </c>
      <c r="K25" s="8" t="n">
        <v>0.05</v>
      </c>
      <c r="L25" s="8" t="n">
        <v>0.05</v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10">
        <f>Assumptions!$C$15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terminal value</t>
        </is>
      </c>
      <c r="B29">
        <f>B28/(Assumptions!$B$3-B27)</f>
        <v/>
      </c>
    </row>
    <row r="30">
      <c r="A30" t="inlineStr">
        <is>
          <t>Cap terminal value</t>
        </is>
      </c>
      <c r="B30" s="10">
        <f>Assumptions!$B$10*L19</f>
        <v/>
      </c>
    </row>
    <row r="31">
      <c r="A31" t="inlineStr">
        <is>
          <t>Terminal value used = MAX(0, MIN(Gordon, cap))</t>
        </is>
      </c>
      <c r="B31">
        <f>MAX(0,MIN(B29,B30))</f>
        <v/>
      </c>
    </row>
    <row r="32">
      <c r="A32" t="inlineStr">
        <is>
          <t>Implied exit multiple (TV / FCF10)</t>
        </is>
      </c>
      <c r="B32">
        <f>IF(L19&gt;0,B31/L19,"n/a")</f>
        <v/>
      </c>
    </row>
    <row r="33">
      <c r="A33" t="inlineStr">
        <is>
          <t>PV of terminal value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 s="10">
        <f>Assumptions!$B$7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10">
        <f>Assumptions!$B$8</f>
        <v/>
      </c>
    </row>
    <row r="38">
      <c r="A38" t="inlineStr">
        <is>
          <t>Value per share (NZD)</t>
        </is>
      </c>
      <c r="B38" s="11">
        <f>B36/B37</f>
        <v/>
      </c>
    </row>
    <row r="39">
      <c r="A39" t="inlineStr">
        <is>
          <t>Upside vs price</t>
        </is>
      </c>
      <c r="B39" s="7">
        <f>B38/Assumptions!$B$9-1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1">
      <c r="A41" t="inlineStr">
        <is>
          <t>Street memo: PV of explicit SBC</t>
        </is>
      </c>
      <c r="B41">
        <f>SUMPRODUCT(-C10:L10/(1+Assumptions!$B$3)^C4:L4)</f>
        <v/>
      </c>
    </row>
    <row r="42">
      <c r="A42" t="inlineStr">
        <is>
          <t>Street memo: PV of terminal SBC</t>
        </is>
      </c>
      <c r="B42">
        <f>(-L10*(1+B27)/(Assumptions!$B$3-B27))*L20</f>
        <v/>
      </c>
    </row>
    <row r="43">
      <c r="A43" t="inlineStr">
        <is>
          <t>Street value per share</t>
        </is>
      </c>
      <c r="B43">
        <f>(B36+B41+B42)/B37</f>
        <v/>
      </c>
    </row>
    <row r="45">
      <c r="A45" t="inlineStr">
        <is>
          <t>Terminal value as % of EV</t>
        </is>
      </c>
      <c r="B45" s="7">
        <f>IF(B34&gt;0,B33/B34,"n/a")</f>
        <v/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t="inlineStr">
        <is>
          <t>Zero-floor flag (1 = terminal FCF &lt;= 0)</t>
        </is>
      </c>
      <c r="B46">
        <f>IF(L19&lt;=0,1,0)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case -- owner-FCF DCF (NZD m)</t>
        </is>
      </c>
    </row>
    <row r="3">
      <c r="A3" t="inlineStr">
        <is>
          <t>Fiscal 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1" t="inlineStr">
        <is>
          <t>Revenue growth YoY</t>
        </is>
      </c>
      <c r="B5" s="7" t="n"/>
      <c r="C5" s="8" t="n">
        <v>0.13</v>
      </c>
      <c r="D5" s="8" t="n">
        <v>0.12</v>
      </c>
      <c r="E5" s="8" t="n">
        <v>0.11</v>
      </c>
      <c r="F5" s="8" t="n">
        <v>0.1</v>
      </c>
      <c r="G5" s="8" t="n">
        <v>0.09</v>
      </c>
      <c r="H5" s="8" t="n">
        <v>0.08</v>
      </c>
      <c r="I5" s="8" t="n">
        <v>0.07000000000000001</v>
      </c>
      <c r="J5" s="8" t="n">
        <v>0.06</v>
      </c>
      <c r="K5" s="8" t="n">
        <v>0.05</v>
      </c>
      <c r="L5" s="8" t="n">
        <v>0.04</v>
      </c>
    </row>
    <row r="6">
      <c r="A6" t="inlineStr">
        <is>
          <t>Revenue</t>
        </is>
      </c>
      <c r="B6" s="3" t="n">
        <v>9.609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1" t="inlineStr">
        <is>
          <t>Adj EBITDA margin (pre-SBC)</t>
        </is>
      </c>
      <c r="B7" s="7">
        <f>B8/B6</f>
        <v/>
      </c>
      <c r="C7" s="8" t="n">
        <v>-0.05</v>
      </c>
      <c r="D7" s="8" t="n">
        <v>0</v>
      </c>
      <c r="E7" s="8" t="n">
        <v>0.05</v>
      </c>
      <c r="F7" s="8" t="n">
        <v>0.09</v>
      </c>
      <c r="G7" s="8" t="n">
        <v>0.13</v>
      </c>
      <c r="H7" s="8" t="n">
        <v>0.16</v>
      </c>
      <c r="I7" s="8" t="n">
        <v>0.18</v>
      </c>
      <c r="J7" s="8" t="n">
        <v>0.2</v>
      </c>
      <c r="K7" s="8" t="n">
        <v>0.21</v>
      </c>
      <c r="L7" s="8" t="n">
        <v>0.22</v>
      </c>
    </row>
    <row r="8">
      <c r="A8" t="inlineStr">
        <is>
          <t>Adjusted EBITDA</t>
        </is>
      </c>
      <c r="B8" s="3" t="n">
        <v>-1.208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1" t="inlineStr">
        <is>
          <t>SBC % of revenue</t>
        </is>
      </c>
      <c r="B9" s="7">
        <f>-B10/B6</f>
        <v/>
      </c>
      <c r="C9" s="9" t="n">
        <v>0.01</v>
      </c>
      <c r="D9" s="9" t="n">
        <v>0.01</v>
      </c>
      <c r="E9" s="9" t="n">
        <v>0.01</v>
      </c>
      <c r="F9" s="9" t="n">
        <v>0.009000000000000001</v>
      </c>
      <c r="G9" s="9" t="n">
        <v>0.009000000000000001</v>
      </c>
      <c r="H9" s="9" t="n">
        <v>0.009000000000000001</v>
      </c>
      <c r="I9" s="9" t="n">
        <v>0.008</v>
      </c>
      <c r="J9" s="9" t="n">
        <v>0.008</v>
      </c>
      <c r="K9" s="9" t="n">
        <v>0.008</v>
      </c>
      <c r="L9" s="9" t="n">
        <v>0.008</v>
      </c>
    </row>
    <row r="10">
      <c r="A10" t="inlineStr">
        <is>
          <t>SBC (negative)</t>
        </is>
      </c>
      <c r="B10" s="3" t="n">
        <v>-0.0347</v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 (after SBC and lease)</t>
        </is>
      </c>
      <c r="C11">
        <f>C8+C10+C22</f>
        <v/>
      </c>
      <c r="D11">
        <f>D8+D10+D22</f>
        <v/>
      </c>
      <c r="E11">
        <f>E8+E10+E22</f>
        <v/>
      </c>
      <c r="F11">
        <f>F8+F10+F22</f>
        <v/>
      </c>
      <c r="G11">
        <f>G8+G10+G22</f>
        <v/>
      </c>
      <c r="H11">
        <f>H8+H10+H22</f>
        <v/>
      </c>
      <c r="I11">
        <f>I8+I10+I22</f>
        <v/>
      </c>
      <c r="J11">
        <f>J8+J10+J22</f>
        <v/>
      </c>
      <c r="K11">
        <f>K8+K10+K22</f>
        <v/>
      </c>
      <c r="L11">
        <f>L8+L10+L22</f>
        <v/>
      </c>
    </row>
    <row r="12">
      <c r="A12" t="inlineStr">
        <is>
          <t>D&amp;A</t>
        </is>
      </c>
      <c r="B12" s="3" t="n">
        <v>-1.263</v>
      </c>
      <c r="C12" s="10">
        <f>-C6*Assumptions!$B$4</f>
        <v/>
      </c>
      <c r="D12" s="10">
        <f>-D6*Assumptions!$B$4</f>
        <v/>
      </c>
      <c r="E12" s="10">
        <f>-E6*Assumptions!$B$4</f>
        <v/>
      </c>
      <c r="F12" s="10">
        <f>-F6*Assumptions!$B$4</f>
        <v/>
      </c>
      <c r="G12" s="10">
        <f>-G6*Assumptions!$B$4</f>
        <v/>
      </c>
      <c r="H12" s="10">
        <f>-H6*Assumptions!$B$4</f>
        <v/>
      </c>
      <c r="I12" s="10">
        <f>-I6*Assumptions!$B$4</f>
        <v/>
      </c>
      <c r="J12" s="10">
        <f>-J6*Assumptions!$B$4</f>
        <v/>
      </c>
      <c r="K12" s="10">
        <f>-K6*Assumptions!$B$4</f>
        <v/>
      </c>
      <c r="L12" s="10">
        <f>-L6*Assumptions!$B$4</f>
        <v/>
      </c>
    </row>
    <row r="13">
      <c r="A13" t="inlineStr">
        <is>
          <t>EBIT, SBC expensed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s="1" t="inlineStr">
        <is>
          <t>Cash tax rate</t>
        </is>
      </c>
      <c r="B14" s="7" t="n"/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0.1</v>
      </c>
      <c r="J14" s="9" t="n">
        <v>0.2</v>
      </c>
      <c r="K14" s="9" t="n">
        <v>0.28</v>
      </c>
      <c r="L14" s="9" t="n">
        <v>0.28</v>
      </c>
    </row>
    <row r="15">
      <c r="A15" t="inlineStr">
        <is>
          <t>NOPAT (tax on MAX(0,EBIT))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 incl. capitalised dev</t>
        </is>
      </c>
      <c r="B17" s="3" t="n">
        <v>-0.703</v>
      </c>
      <c r="C17">
        <f>-C6*C25</f>
        <v/>
      </c>
      <c r="D17">
        <f>-D6*D25</f>
        <v/>
      </c>
      <c r="E17">
        <f>-E6*E25</f>
        <v/>
      </c>
      <c r="F17">
        <f>-F6*F25</f>
        <v/>
      </c>
      <c r="G17">
        <f>-G6*G25</f>
        <v/>
      </c>
      <c r="H17">
        <f>-H6*H25</f>
        <v/>
      </c>
      <c r="I17">
        <f>-I6*I25</f>
        <v/>
      </c>
      <c r="J17">
        <f>-J6*J25</f>
        <v/>
      </c>
      <c r="K17">
        <f>-K6*K25</f>
        <v/>
      </c>
      <c r="L17">
        <f>-L6*L25</f>
        <v/>
      </c>
    </row>
    <row r="18">
      <c r="A18" t="inlineStr">
        <is>
          <t>add working capital</t>
        </is>
      </c>
      <c r="C18" s="10">
        <f>Assumptions!$B$6*(C6-B6)</f>
        <v/>
      </c>
      <c r="D18" s="10">
        <f>Assumptions!$B$6*(D6-C6)</f>
        <v/>
      </c>
      <c r="E18" s="10">
        <f>Assumptions!$B$6*(E6-D6)</f>
        <v/>
      </c>
      <c r="F18" s="10">
        <f>Assumptions!$B$6*(F6-E6)</f>
        <v/>
      </c>
      <c r="G18" s="10">
        <f>Assumptions!$B$6*(G6-F6)</f>
        <v/>
      </c>
      <c r="H18" s="10">
        <f>Assumptions!$B$6*(H6-G6)</f>
        <v/>
      </c>
      <c r="I18" s="10">
        <f>Assumptions!$B$6*(I6-H6)</f>
        <v/>
      </c>
      <c r="J18" s="10">
        <f>Assumptions!$B$6*(J6-I6)</f>
        <v/>
      </c>
      <c r="K18" s="10">
        <f>Assumptions!$B$6*(K6-J6)</f>
        <v/>
      </c>
      <c r="L18" s="10">
        <f>Assumptions!$B$6*(L6-K6)</f>
        <v/>
      </c>
    </row>
    <row r="19">
      <c r="A19" t="inlineStr">
        <is>
          <t>Unlevered owner FCF</t>
        </is>
      </c>
      <c r="B19" s="3" t="n">
        <v>-2.111</v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B20" t="n">
        <v>1</v>
      </c>
      <c r="C20" s="10">
        <f>1/(1+Assumptions!$B$3)^C4</f>
        <v/>
      </c>
      <c r="D20" s="10">
        <f>1/(1+Assumptions!$B$3)^D4</f>
        <v/>
      </c>
      <c r="E20" s="10">
        <f>1/(1+Assumptions!$B$3)^E4</f>
        <v/>
      </c>
      <c r="F20" s="10">
        <f>1/(1+Assumptions!$B$3)^F4</f>
        <v/>
      </c>
      <c r="G20" s="10">
        <f>1/(1+Assumptions!$B$3)^G4</f>
        <v/>
      </c>
      <c r="H20" s="10">
        <f>1/(1+Assumptions!$B$3)^H4</f>
        <v/>
      </c>
      <c r="I20" s="10">
        <f>1/(1+Assumptions!$B$3)^I4</f>
        <v/>
      </c>
      <c r="J20" s="10">
        <f>1/(1+Assumptions!$B$3)^J4</f>
        <v/>
      </c>
      <c r="K20" s="10">
        <f>1/(1+Assumptions!$B$3)^K4</f>
        <v/>
      </c>
      <c r="L20" s="10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Lease cost (negative)</t>
        </is>
      </c>
      <c r="B22" s="3" t="n">
        <v>-0.0466</v>
      </c>
      <c r="C22" s="10">
        <f>-C6*Assumptions!$B$5</f>
        <v/>
      </c>
      <c r="D22" s="10">
        <f>-D6*Assumptions!$B$5</f>
        <v/>
      </c>
      <c r="E22" s="10">
        <f>-E6*Assumptions!$B$5</f>
        <v/>
      </c>
      <c r="F22" s="10">
        <f>-F6*Assumptions!$B$5</f>
        <v/>
      </c>
      <c r="G22" s="10">
        <f>-G6*Assumptions!$B$5</f>
        <v/>
      </c>
      <c r="H22" s="10">
        <f>-H6*Assumptions!$B$5</f>
        <v/>
      </c>
      <c r="I22" s="10">
        <f>-I6*Assumptions!$B$5</f>
        <v/>
      </c>
      <c r="J22" s="10">
        <f>-J6*Assumptions!$B$5</f>
        <v/>
      </c>
      <c r="K22" s="10">
        <f>-K6*Assumptions!$B$5</f>
        <v/>
      </c>
      <c r="L22" s="10">
        <f>-L6*Assumptions!$B$5</f>
        <v/>
      </c>
    </row>
    <row r="23">
      <c r="A23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owner-FCF margin</t>
        </is>
      </c>
      <c r="B24" s="7">
        <f>B19/B6</f>
        <v/>
      </c>
      <c r="C24" s="7">
        <f>C19/C6</f>
        <v/>
      </c>
      <c r="D24" s="7">
        <f>D19/D6</f>
        <v/>
      </c>
      <c r="E24" s="7">
        <f>E19/E6</f>
        <v/>
      </c>
      <c r="F24" s="7">
        <f>F19/F6</f>
        <v/>
      </c>
      <c r="G24" s="7">
        <f>G19/G6</f>
        <v/>
      </c>
      <c r="H24" s="7">
        <f>H19/H6</f>
        <v/>
      </c>
      <c r="I24" s="7">
        <f>I19/I6</f>
        <v/>
      </c>
      <c r="J24" s="7">
        <f>J19/J6</f>
        <v/>
      </c>
      <c r="K24" s="7">
        <f>K19/K6</f>
        <v/>
      </c>
      <c r="L24" s="7">
        <f>L19/L6</f>
        <v/>
      </c>
    </row>
    <row r="25">
      <c r="A25" s="1" t="inlineStr">
        <is>
          <t>Capex % of revenue</t>
        </is>
      </c>
      <c r="B25" s="7">
        <f>-B17/B6</f>
        <v/>
      </c>
      <c r="C25" s="8" t="n">
        <v>0.15</v>
      </c>
      <c r="D25" s="8" t="n">
        <v>0.11</v>
      </c>
      <c r="E25" s="8" t="n">
        <v>0.08</v>
      </c>
      <c r="F25" s="8" t="n">
        <v>0.07000000000000001</v>
      </c>
      <c r="G25" s="8" t="n">
        <v>0.06</v>
      </c>
      <c r="H25" s="8" t="n">
        <v>0.06</v>
      </c>
      <c r="I25" s="8" t="n">
        <v>0.055</v>
      </c>
      <c r="J25" s="8" t="n">
        <v>0.055</v>
      </c>
      <c r="K25" s="8" t="n">
        <v>0.055</v>
      </c>
      <c r="L25" s="8" t="n">
        <v>0.055</v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10">
        <f>Assumptions!$C$16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terminal value</t>
        </is>
      </c>
      <c r="B29">
        <f>B28/(Assumptions!$B$3-B27)</f>
        <v/>
      </c>
    </row>
    <row r="30">
      <c r="A30" t="inlineStr">
        <is>
          <t>Cap terminal value</t>
        </is>
      </c>
      <c r="B30" s="10">
        <f>Assumptions!$B$10*L19</f>
        <v/>
      </c>
    </row>
    <row r="31">
      <c r="A31" t="inlineStr">
        <is>
          <t>Terminal value used = MAX(0, MIN(Gordon, cap))</t>
        </is>
      </c>
      <c r="B31">
        <f>MAX(0,MIN(B29,B30))</f>
        <v/>
      </c>
    </row>
    <row r="32">
      <c r="A32" t="inlineStr">
        <is>
          <t>Implied exit multiple (TV / FCF10)</t>
        </is>
      </c>
      <c r="B32">
        <f>IF(L19&gt;0,B31/L19,"n/a")</f>
        <v/>
      </c>
    </row>
    <row r="33">
      <c r="A33" t="inlineStr">
        <is>
          <t>PV of terminal value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 s="10">
        <f>Assumptions!$B$7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10">
        <f>Assumptions!$B$8</f>
        <v/>
      </c>
    </row>
    <row r="38">
      <c r="A38" t="inlineStr">
        <is>
          <t>Value per share (NZD)</t>
        </is>
      </c>
      <c r="B38" s="11">
        <f>B36/B37</f>
        <v/>
      </c>
    </row>
    <row r="39">
      <c r="A39" t="inlineStr">
        <is>
          <t>Upside vs price</t>
        </is>
      </c>
      <c r="B39" s="7">
        <f>B38/Assumptions!$B$9-1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1">
      <c r="A41" t="inlineStr">
        <is>
          <t>Street memo: PV of explicit SBC</t>
        </is>
      </c>
      <c r="B41">
        <f>SUMPRODUCT(-C10:L10/(1+Assumptions!$B$3)^C4:L4)</f>
        <v/>
      </c>
    </row>
    <row r="42">
      <c r="A42" t="inlineStr">
        <is>
          <t>Street memo: PV of terminal SBC</t>
        </is>
      </c>
      <c r="B42">
        <f>(-L10*(1+B27)/(Assumptions!$B$3-B27))*L20</f>
        <v/>
      </c>
    </row>
    <row r="43">
      <c r="A43" t="inlineStr">
        <is>
          <t>Street value per share</t>
        </is>
      </c>
      <c r="B43">
        <f>(B36+B41+B42)/B37</f>
        <v/>
      </c>
    </row>
    <row r="45">
      <c r="A45" t="inlineStr">
        <is>
          <t>Terminal value as % of EV</t>
        </is>
      </c>
      <c r="B45" s="7">
        <f>IF(B34&gt;0,B33/B34,"n/a")</f>
        <v/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t="inlineStr">
        <is>
          <t>Zero-floor flag (1 = terminal FCF &lt;= 0)</t>
        </is>
      </c>
      <c r="B46">
        <f>IF(L19&lt;=0,1,0)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case -- owner-FCF DCF (NZD m)</t>
        </is>
      </c>
    </row>
    <row r="3">
      <c r="A3" t="inlineStr">
        <is>
          <t>Fiscal 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1" t="inlineStr">
        <is>
          <t>Revenue growth YoY</t>
        </is>
      </c>
      <c r="B5" s="7" t="n"/>
      <c r="C5" s="8" t="n">
        <v>0.18</v>
      </c>
      <c r="D5" s="8" t="n">
        <v>0.18</v>
      </c>
      <c r="E5" s="8" t="n">
        <v>0.17</v>
      </c>
      <c r="F5" s="8" t="n">
        <v>0.15</v>
      </c>
      <c r="G5" s="8" t="n">
        <v>0.13</v>
      </c>
      <c r="H5" s="8" t="n">
        <v>0.11</v>
      </c>
      <c r="I5" s="8" t="n">
        <v>0.09</v>
      </c>
      <c r="J5" s="8" t="n">
        <v>0.08</v>
      </c>
      <c r="K5" s="8" t="n">
        <v>0.06</v>
      </c>
      <c r="L5" s="8" t="n">
        <v>0.05</v>
      </c>
    </row>
    <row r="6">
      <c r="A6" t="inlineStr">
        <is>
          <t>Revenue</t>
        </is>
      </c>
      <c r="B6" s="3" t="n">
        <v>9.609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1" t="inlineStr">
        <is>
          <t>Adj EBITDA margin (pre-SBC)</t>
        </is>
      </c>
      <c r="B7" s="7">
        <f>B8/B6</f>
        <v/>
      </c>
      <c r="C7" s="8" t="n">
        <v>-0.02</v>
      </c>
      <c r="D7" s="8" t="n">
        <v>0.06</v>
      </c>
      <c r="E7" s="8" t="n">
        <v>0.12</v>
      </c>
      <c r="F7" s="8" t="n">
        <v>0.17</v>
      </c>
      <c r="G7" s="8" t="n">
        <v>0.21</v>
      </c>
      <c r="H7" s="8" t="n">
        <v>0.24</v>
      </c>
      <c r="I7" s="8" t="n">
        <v>0.26</v>
      </c>
      <c r="J7" s="8" t="n">
        <v>0.27</v>
      </c>
      <c r="K7" s="8" t="n">
        <v>0.28</v>
      </c>
      <c r="L7" s="8" t="n">
        <v>0.28</v>
      </c>
    </row>
    <row r="8">
      <c r="A8" t="inlineStr">
        <is>
          <t>Adjusted EBITDA</t>
        </is>
      </c>
      <c r="B8" s="3" t="n">
        <v>-1.208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1" t="inlineStr">
        <is>
          <t>SBC % of revenue</t>
        </is>
      </c>
      <c r="B9" s="7">
        <f>-B10/B6</f>
        <v/>
      </c>
      <c r="C9" s="9" t="n">
        <v>0.01</v>
      </c>
      <c r="D9" s="9" t="n">
        <v>0.01</v>
      </c>
      <c r="E9" s="9" t="n">
        <v>0.01</v>
      </c>
      <c r="F9" s="9" t="n">
        <v>0.009000000000000001</v>
      </c>
      <c r="G9" s="9" t="n">
        <v>0.009000000000000001</v>
      </c>
      <c r="H9" s="9" t="n">
        <v>0.009000000000000001</v>
      </c>
      <c r="I9" s="9" t="n">
        <v>0.008</v>
      </c>
      <c r="J9" s="9" t="n">
        <v>0.008</v>
      </c>
      <c r="K9" s="9" t="n">
        <v>0.008</v>
      </c>
      <c r="L9" s="9" t="n">
        <v>0.008</v>
      </c>
    </row>
    <row r="10">
      <c r="A10" t="inlineStr">
        <is>
          <t>SBC (negative)</t>
        </is>
      </c>
      <c r="B10" s="3" t="n">
        <v>-0.0347</v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 (after SBC and lease)</t>
        </is>
      </c>
      <c r="C11">
        <f>C8+C10+C22</f>
        <v/>
      </c>
      <c r="D11">
        <f>D8+D10+D22</f>
        <v/>
      </c>
      <c r="E11">
        <f>E8+E10+E22</f>
        <v/>
      </c>
      <c r="F11">
        <f>F8+F10+F22</f>
        <v/>
      </c>
      <c r="G11">
        <f>G8+G10+G22</f>
        <v/>
      </c>
      <c r="H11">
        <f>H8+H10+H22</f>
        <v/>
      </c>
      <c r="I11">
        <f>I8+I10+I22</f>
        <v/>
      </c>
      <c r="J11">
        <f>J8+J10+J22</f>
        <v/>
      </c>
      <c r="K11">
        <f>K8+K10+K22</f>
        <v/>
      </c>
      <c r="L11">
        <f>L8+L10+L22</f>
        <v/>
      </c>
    </row>
    <row r="12">
      <c r="A12" t="inlineStr">
        <is>
          <t>D&amp;A</t>
        </is>
      </c>
      <c r="B12" s="3" t="n">
        <v>-1.263</v>
      </c>
      <c r="C12" s="10">
        <f>-C6*Assumptions!$B$4</f>
        <v/>
      </c>
      <c r="D12" s="10">
        <f>-D6*Assumptions!$B$4</f>
        <v/>
      </c>
      <c r="E12" s="10">
        <f>-E6*Assumptions!$B$4</f>
        <v/>
      </c>
      <c r="F12" s="10">
        <f>-F6*Assumptions!$B$4</f>
        <v/>
      </c>
      <c r="G12" s="10">
        <f>-G6*Assumptions!$B$4</f>
        <v/>
      </c>
      <c r="H12" s="10">
        <f>-H6*Assumptions!$B$4</f>
        <v/>
      </c>
      <c r="I12" s="10">
        <f>-I6*Assumptions!$B$4</f>
        <v/>
      </c>
      <c r="J12" s="10">
        <f>-J6*Assumptions!$B$4</f>
        <v/>
      </c>
      <c r="K12" s="10">
        <f>-K6*Assumptions!$B$4</f>
        <v/>
      </c>
      <c r="L12" s="10">
        <f>-L6*Assumptions!$B$4</f>
        <v/>
      </c>
    </row>
    <row r="13">
      <c r="A13" t="inlineStr">
        <is>
          <t>EBIT, SBC expensed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s="1" t="inlineStr">
        <is>
          <t>Cash tax rate</t>
        </is>
      </c>
      <c r="B14" s="7" t="n"/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0.1</v>
      </c>
      <c r="J14" s="9" t="n">
        <v>0.2</v>
      </c>
      <c r="K14" s="9" t="n">
        <v>0.28</v>
      </c>
      <c r="L14" s="9" t="n">
        <v>0.28</v>
      </c>
    </row>
    <row r="15">
      <c r="A15" t="inlineStr">
        <is>
          <t>NOPAT (tax on MAX(0,EBIT))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 incl. capitalised dev</t>
        </is>
      </c>
      <c r="B17" s="3" t="n">
        <v>-0.703</v>
      </c>
      <c r="C17">
        <f>-C6*C25</f>
        <v/>
      </c>
      <c r="D17">
        <f>-D6*D25</f>
        <v/>
      </c>
      <c r="E17">
        <f>-E6*E25</f>
        <v/>
      </c>
      <c r="F17">
        <f>-F6*F25</f>
        <v/>
      </c>
      <c r="G17">
        <f>-G6*G25</f>
        <v/>
      </c>
      <c r="H17">
        <f>-H6*H25</f>
        <v/>
      </c>
      <c r="I17">
        <f>-I6*I25</f>
        <v/>
      </c>
      <c r="J17">
        <f>-J6*J25</f>
        <v/>
      </c>
      <c r="K17">
        <f>-K6*K25</f>
        <v/>
      </c>
      <c r="L17">
        <f>-L6*L25</f>
        <v/>
      </c>
    </row>
    <row r="18">
      <c r="A18" t="inlineStr">
        <is>
          <t>add working capital</t>
        </is>
      </c>
      <c r="C18" s="10">
        <f>Assumptions!$B$6*(C6-B6)</f>
        <v/>
      </c>
      <c r="D18" s="10">
        <f>Assumptions!$B$6*(D6-C6)</f>
        <v/>
      </c>
      <c r="E18" s="10">
        <f>Assumptions!$B$6*(E6-D6)</f>
        <v/>
      </c>
      <c r="F18" s="10">
        <f>Assumptions!$B$6*(F6-E6)</f>
        <v/>
      </c>
      <c r="G18" s="10">
        <f>Assumptions!$B$6*(G6-F6)</f>
        <v/>
      </c>
      <c r="H18" s="10">
        <f>Assumptions!$B$6*(H6-G6)</f>
        <v/>
      </c>
      <c r="I18" s="10">
        <f>Assumptions!$B$6*(I6-H6)</f>
        <v/>
      </c>
      <c r="J18" s="10">
        <f>Assumptions!$B$6*(J6-I6)</f>
        <v/>
      </c>
      <c r="K18" s="10">
        <f>Assumptions!$B$6*(K6-J6)</f>
        <v/>
      </c>
      <c r="L18" s="10">
        <f>Assumptions!$B$6*(L6-K6)</f>
        <v/>
      </c>
    </row>
    <row r="19">
      <c r="A19" t="inlineStr">
        <is>
          <t>Unlevered owner FCF</t>
        </is>
      </c>
      <c r="B19" s="3" t="n">
        <v>-2.111</v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B20" t="n">
        <v>1</v>
      </c>
      <c r="C20" s="10">
        <f>1/(1+Assumptions!$B$3)^C4</f>
        <v/>
      </c>
      <c r="D20" s="10">
        <f>1/(1+Assumptions!$B$3)^D4</f>
        <v/>
      </c>
      <c r="E20" s="10">
        <f>1/(1+Assumptions!$B$3)^E4</f>
        <v/>
      </c>
      <c r="F20" s="10">
        <f>1/(1+Assumptions!$B$3)^F4</f>
        <v/>
      </c>
      <c r="G20" s="10">
        <f>1/(1+Assumptions!$B$3)^G4</f>
        <v/>
      </c>
      <c r="H20" s="10">
        <f>1/(1+Assumptions!$B$3)^H4</f>
        <v/>
      </c>
      <c r="I20" s="10">
        <f>1/(1+Assumptions!$B$3)^I4</f>
        <v/>
      </c>
      <c r="J20" s="10">
        <f>1/(1+Assumptions!$B$3)^J4</f>
        <v/>
      </c>
      <c r="K20" s="10">
        <f>1/(1+Assumptions!$B$3)^K4</f>
        <v/>
      </c>
      <c r="L20" s="10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Lease cost (negative)</t>
        </is>
      </c>
      <c r="B22" s="3" t="n">
        <v>-0.0466</v>
      </c>
      <c r="C22" s="10">
        <f>-C6*Assumptions!$B$5</f>
        <v/>
      </c>
      <c r="D22" s="10">
        <f>-D6*Assumptions!$B$5</f>
        <v/>
      </c>
      <c r="E22" s="10">
        <f>-E6*Assumptions!$B$5</f>
        <v/>
      </c>
      <c r="F22" s="10">
        <f>-F6*Assumptions!$B$5</f>
        <v/>
      </c>
      <c r="G22" s="10">
        <f>-G6*Assumptions!$B$5</f>
        <v/>
      </c>
      <c r="H22" s="10">
        <f>-H6*Assumptions!$B$5</f>
        <v/>
      </c>
      <c r="I22" s="10">
        <f>-I6*Assumptions!$B$5</f>
        <v/>
      </c>
      <c r="J22" s="10">
        <f>-J6*Assumptions!$B$5</f>
        <v/>
      </c>
      <c r="K22" s="10">
        <f>-K6*Assumptions!$B$5</f>
        <v/>
      </c>
      <c r="L22" s="10">
        <f>-L6*Assumptions!$B$5</f>
        <v/>
      </c>
    </row>
    <row r="23">
      <c r="A23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owner-FCF margin</t>
        </is>
      </c>
      <c r="B24" s="7">
        <f>B19/B6</f>
        <v/>
      </c>
      <c r="C24" s="7">
        <f>C19/C6</f>
        <v/>
      </c>
      <c r="D24" s="7">
        <f>D19/D6</f>
        <v/>
      </c>
      <c r="E24" s="7">
        <f>E19/E6</f>
        <v/>
      </c>
      <c r="F24" s="7">
        <f>F19/F6</f>
        <v/>
      </c>
      <c r="G24" s="7">
        <f>G19/G6</f>
        <v/>
      </c>
      <c r="H24" s="7">
        <f>H19/H6</f>
        <v/>
      </c>
      <c r="I24" s="7">
        <f>I19/I6</f>
        <v/>
      </c>
      <c r="J24" s="7">
        <f>J19/J6</f>
        <v/>
      </c>
      <c r="K24" s="7">
        <f>K19/K6</f>
        <v/>
      </c>
      <c r="L24" s="7">
        <f>L19/L6</f>
        <v/>
      </c>
    </row>
    <row r="25">
      <c r="A25" s="1" t="inlineStr">
        <is>
          <t>Capex % of revenue</t>
        </is>
      </c>
      <c r="B25" s="7">
        <f>-B17/B6</f>
        <v/>
      </c>
      <c r="C25" s="8" t="n">
        <v>0.15</v>
      </c>
      <c r="D25" s="8" t="n">
        <v>0.11</v>
      </c>
      <c r="E25" s="8" t="n">
        <v>0.08</v>
      </c>
      <c r="F25" s="8" t="n">
        <v>0.07000000000000001</v>
      </c>
      <c r="G25" s="8" t="n">
        <v>0.06</v>
      </c>
      <c r="H25" s="8" t="n">
        <v>0.06</v>
      </c>
      <c r="I25" s="8" t="n">
        <v>0.055</v>
      </c>
      <c r="J25" s="8" t="n">
        <v>0.055</v>
      </c>
      <c r="K25" s="8" t="n">
        <v>0.055</v>
      </c>
      <c r="L25" s="8" t="n">
        <v>0.055</v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10">
        <f>Assumptions!$C$17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terminal value</t>
        </is>
      </c>
      <c r="B29">
        <f>B28/(Assumptions!$B$3-B27)</f>
        <v/>
      </c>
    </row>
    <row r="30">
      <c r="A30" t="inlineStr">
        <is>
          <t>Cap terminal value</t>
        </is>
      </c>
      <c r="B30" s="10">
        <f>Assumptions!$B$10*L19</f>
        <v/>
      </c>
    </row>
    <row r="31">
      <c r="A31" t="inlineStr">
        <is>
          <t>Terminal value used = MAX(0, MIN(Gordon, cap))</t>
        </is>
      </c>
      <c r="B31">
        <f>MAX(0,MIN(B29,B30))</f>
        <v/>
      </c>
    </row>
    <row r="32">
      <c r="A32" t="inlineStr">
        <is>
          <t>Implied exit multiple (TV / FCF10)</t>
        </is>
      </c>
      <c r="B32">
        <f>IF(L19&gt;0,B31/L19,"n/a")</f>
        <v/>
      </c>
    </row>
    <row r="33">
      <c r="A33" t="inlineStr">
        <is>
          <t>PV of terminal value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 s="10">
        <f>Assumptions!$B$7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10">
        <f>Assumptions!$B$8</f>
        <v/>
      </c>
    </row>
    <row r="38">
      <c r="A38" t="inlineStr">
        <is>
          <t>Value per share (NZD)</t>
        </is>
      </c>
      <c r="B38" s="11">
        <f>B36/B37</f>
        <v/>
      </c>
    </row>
    <row r="39">
      <c r="A39" t="inlineStr">
        <is>
          <t>Upside vs price</t>
        </is>
      </c>
      <c r="B39" s="7">
        <f>B38/Assumptions!$B$9-1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1">
      <c r="A41" t="inlineStr">
        <is>
          <t>Street memo: PV of explicit SBC</t>
        </is>
      </c>
      <c r="B41">
        <f>SUMPRODUCT(-C10:L10/(1+Assumptions!$B$3)^C4:L4)</f>
        <v/>
      </c>
    </row>
    <row r="42">
      <c r="A42" t="inlineStr">
        <is>
          <t>Street memo: PV of terminal SBC</t>
        </is>
      </c>
      <c r="B42">
        <f>(-L10*(1+B27)/(Assumptions!$B$3-B27))*L20</f>
        <v/>
      </c>
    </row>
    <row r="43">
      <c r="A43" t="inlineStr">
        <is>
          <t>Street value per share</t>
        </is>
      </c>
      <c r="B43">
        <f>(B36+B41+B42)/B37</f>
        <v/>
      </c>
    </row>
    <row r="45">
      <c r="A45" t="inlineStr">
        <is>
          <t>Terminal value as % of EV</t>
        </is>
      </c>
      <c r="B45" s="7">
        <f>IF(B34&gt;0,B33/B34,"n/a")</f>
        <v/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t="inlineStr">
        <is>
          <t>Zero-floor flag (1 = terminal FCF &lt;= 0)</t>
        </is>
      </c>
      <c r="B46">
        <f>IF(L19&lt;=0,1,0)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Reported FCF reconciled to owner FCF (NZD m)</t>
        </is>
      </c>
    </row>
    <row r="3">
      <c r="A3" t="inlineStr">
        <is>
          <t>Year</t>
        </is>
      </c>
      <c r="B3" s="1" t="inlineStr">
        <is>
          <t>FY2021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  <c r="G3" s="1" t="inlineStr">
        <is>
          <t>FY2026</t>
        </is>
      </c>
    </row>
    <row r="4">
      <c r="A4" t="inlineStr">
        <is>
          <t>Revenue</t>
        </is>
      </c>
      <c r="B4" s="3" t="n">
        <v>1.642</v>
      </c>
      <c r="C4" s="3" t="n">
        <v>3.878</v>
      </c>
      <c r="D4" s="3" t="n">
        <v>4.92</v>
      </c>
      <c r="E4" s="3" t="n">
        <v>6.179</v>
      </c>
      <c r="F4" s="3" t="n">
        <v>8.031000000000001</v>
      </c>
      <c r="G4" s="3" t="n">
        <v>9.609</v>
      </c>
    </row>
    <row r="5">
      <c r="A5" t="inlineStr">
        <is>
          <t>Free cash flow (company definition: OCF - PPE - intangibles)</t>
        </is>
      </c>
      <c r="B5" s="3" t="n">
        <v>-4.694</v>
      </c>
      <c r="C5" s="3" t="n">
        <v>-8.836</v>
      </c>
      <c r="D5" s="3" t="n">
        <v>-10.981</v>
      </c>
      <c r="E5" s="3" t="n">
        <v>-5.766</v>
      </c>
      <c r="F5" s="3" t="n">
        <v>-1.583</v>
      </c>
      <c r="G5" s="3" t="n">
        <v>-2.01</v>
      </c>
    </row>
    <row r="6">
      <c r="A6" t="inlineStr">
        <is>
          <t>less: SBC expense</t>
        </is>
      </c>
      <c r="B6" s="3" t="n">
        <v>-0.285</v>
      </c>
      <c r="C6" s="3" t="n">
        <v>-0.089</v>
      </c>
      <c r="D6" s="3" t="n">
        <v>-0.189</v>
      </c>
      <c r="E6" s="3" t="n">
        <v>-0.205</v>
      </c>
      <c r="F6" s="3" t="n">
        <v>-0.141</v>
      </c>
      <c r="G6" s="3" t="n">
        <v>-0.035</v>
      </c>
    </row>
    <row r="7">
      <c r="A7" t="inlineStr">
        <is>
          <t>less: interest income</t>
        </is>
      </c>
      <c r="B7" s="3" t="n">
        <v>-0.001</v>
      </c>
      <c r="C7" s="3" t="n">
        <v>-0.012</v>
      </c>
      <c r="D7" s="3" t="n">
        <v>-0.114</v>
      </c>
      <c r="E7" s="3" t="n">
        <v>-0.08</v>
      </c>
      <c r="F7" s="3" t="n">
        <v>-0.021</v>
      </c>
      <c r="G7" s="3" t="n">
        <v>-0.02</v>
      </c>
    </row>
    <row r="8">
      <c r="A8" t="inlineStr">
        <is>
          <t>less: lease cash (principal + interest)</t>
        </is>
      </c>
      <c r="B8" s="3" t="n">
        <v>-0.008</v>
      </c>
      <c r="C8" s="3" t="n">
        <v>-0.053</v>
      </c>
      <c r="D8" s="3" t="n">
        <v>-0.059</v>
      </c>
      <c r="E8" s="3" t="n">
        <v>-0.299</v>
      </c>
      <c r="F8" s="3" t="n">
        <v>-0.104</v>
      </c>
      <c r="G8" s="3" t="n">
        <v>-0.047</v>
      </c>
    </row>
    <row r="9">
      <c r="A9" t="inlineStr">
        <is>
          <t>Owner FCF (sum of the four lines above)</t>
        </is>
      </c>
      <c r="B9" s="1">
        <f>SUM(B5:B8)</f>
        <v/>
      </c>
      <c r="C9" s="1">
        <f>SUM(C5:C8)</f>
        <v/>
      </c>
      <c r="D9" s="1">
        <f>SUM(D5:D8)</f>
        <v/>
      </c>
      <c r="E9" s="1">
        <f>SUM(E5:E8)</f>
        <v/>
      </c>
      <c r="F9" s="1">
        <f>SUM(F5:F8)</f>
        <v/>
      </c>
      <c r="G9" s="1">
        <f>SUM(G5:G8)</f>
        <v/>
      </c>
    </row>
    <row r="10">
      <c r="A10" t="inlineStr">
        <is>
          <t>Reported FCF margin</t>
        </is>
      </c>
      <c r="B10" s="7">
        <f>B5/B4</f>
        <v/>
      </c>
      <c r="C10" s="7">
        <f>C5/C4</f>
        <v/>
      </c>
      <c r="D10" s="7">
        <f>D5/D4</f>
        <v/>
      </c>
      <c r="E10" s="7">
        <f>E5/E4</f>
        <v/>
      </c>
      <c r="F10" s="7">
        <f>F5/F4</f>
        <v/>
      </c>
      <c r="G10" s="7">
        <f>G5/G4</f>
        <v/>
      </c>
    </row>
    <row r="11">
      <c r="A11" t="inlineStr">
        <is>
          <t>Owner FCF margin</t>
        </is>
      </c>
      <c r="B11" s="7">
        <f>B9/B4</f>
        <v/>
      </c>
      <c r="C11" s="7">
        <f>C9/C4</f>
        <v/>
      </c>
      <c r="D11" s="7">
        <f>D9/D4</f>
        <v/>
      </c>
      <c r="E11" s="7">
        <f>E9/E4</f>
        <v/>
      </c>
      <c r="F11" s="7">
        <f>F9/F4</f>
        <v/>
      </c>
      <c r="G11" s="7">
        <f>G9/G4</f>
        <v/>
      </c>
    </row>
    <row r="12">
      <c r="A12" t="inlineStr">
        <is>
          <t>Memo: cash tax</t>
        </is>
      </c>
      <c r="B12" t="inlineStr">
        <is>
          <t>nil (losses)</t>
        </is>
      </c>
      <c r="C12" t="inlineStr">
        <is>
          <t>nil (losses)</t>
        </is>
      </c>
      <c r="D12" t="inlineStr">
        <is>
          <t>nil (losses)</t>
        </is>
      </c>
      <c r="E12" t="inlineStr">
        <is>
          <t>nil (losses)</t>
        </is>
      </c>
      <c r="F12" t="inlineStr">
        <is>
          <t>nil (losses)</t>
        </is>
      </c>
      <c r="G12" t="inlineStr">
        <is>
          <t>nil (losses)</t>
        </is>
      </c>
    </row>
    <row r="13">
      <c r="A13" t="inlineStr">
        <is>
          <t>Memo: SBC basis</t>
        </is>
      </c>
      <c r="B13" t="inlineStr">
        <is>
          <t>reserve (CSV)</t>
        </is>
      </c>
      <c r="C13" t="inlineStr">
        <is>
          <t>reserve (CSV)</t>
        </is>
      </c>
      <c r="D13" t="inlineStr">
        <is>
          <t>reserve (CSV)</t>
        </is>
      </c>
      <c r="E13" t="inlineStr">
        <is>
          <t>reserve movement</t>
        </is>
      </c>
      <c r="F13" t="inlineStr">
        <is>
          <t>expense, note 26</t>
        </is>
      </c>
      <c r="G13" t="inlineStr">
        <is>
          <t>expense, note 26</t>
        </is>
      </c>
    </row>
    <row r="15">
      <c r="A15" t="inlineStr">
        <is>
          <t>Note: FY26 R&amp;D-loss cash-out clawback contingency NZ$1.036m (note 9) not in any line. Deferred-revenue movement is negative in FY26 (-0.011) -- no working-capital tailwind inside OCF.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Valuation summary (NZD per share)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value/share</t>
        </is>
      </c>
      <c r="F3" s="1" t="inlineStr">
        <is>
          <t>Entry price @ hurdle</t>
        </is>
      </c>
      <c r="G3" s="1" t="inlineStr">
        <is>
          <t>TV zero-floor?</t>
        </is>
      </c>
    </row>
    <row r="4">
      <c r="A4" t="inlineStr">
        <is>
          <t>bear</t>
        </is>
      </c>
      <c r="B4" s="10">
        <f>DCF_Bear!$B$38</f>
        <v/>
      </c>
      <c r="C4" s="7">
        <f>B4/Assumptions!$B$9-1</f>
        <v/>
      </c>
      <c r="D4" s="10">
        <f>Assumptions!$D$15</f>
        <v/>
      </c>
      <c r="E4" s="10">
        <f>DCF_Bear!$B$43</f>
        <v/>
      </c>
      <c r="F4">
        <f>(SUMPRODUCT(DCF_Bear!$C$19:$L$19/(1+Assumptions!$B$11)^DCF_Bear!$C$4:$L$4)+MAX(0,MIN(DCF_Bear!$L$19*(1+Assumptions!$C$15)/(Assumptions!$B$11-Assumptions!$C$15),Assumptions!$B$10*DCF_Bear!$L$19))/(1+Assumptions!$B$11)^10+Assumptions!$B$7)/Assumptions!$B$8</f>
        <v/>
      </c>
      <c r="G4" s="10">
        <f>DCF_Bear!$B$46</f>
        <v/>
      </c>
    </row>
    <row r="5">
      <c r="A5" t="inlineStr">
        <is>
          <t>base</t>
        </is>
      </c>
      <c r="B5" s="10">
        <f>DCF_Base!$B$38</f>
        <v/>
      </c>
      <c r="C5" s="7">
        <f>B5/Assumptions!$B$9-1</f>
        <v/>
      </c>
      <c r="D5" s="10">
        <f>Assumptions!$D$16</f>
        <v/>
      </c>
      <c r="E5" s="10">
        <f>DCF_Base!$B$43</f>
        <v/>
      </c>
      <c r="F5">
        <f>(SUMPRODUCT(DCF_Base!$C$19:$L$19/(1+Assumptions!$B$11)^DCF_Base!$C$4:$L$4)+MAX(0,MIN(DCF_Base!$L$19*(1+Assumptions!$C$16)/(Assumptions!$B$11-Assumptions!$C$16),Assumptions!$B$10*DCF_Base!$L$19))/(1+Assumptions!$B$11)^10+Assumptions!$B$7)/Assumptions!$B$8</f>
        <v/>
      </c>
      <c r="G5" s="10">
        <f>DCF_Base!$B$46</f>
        <v/>
      </c>
    </row>
    <row r="6">
      <c r="A6" t="inlineStr">
        <is>
          <t>bull</t>
        </is>
      </c>
      <c r="B6" s="10">
        <f>DCF_Bull!$B$38</f>
        <v/>
      </c>
      <c r="C6" s="7">
        <f>B6/Assumptions!$B$9-1</f>
        <v/>
      </c>
      <c r="D6" s="10">
        <f>Assumptions!$D$17</f>
        <v/>
      </c>
      <c r="E6" s="10">
        <f>DCF_Bull!$B$43</f>
        <v/>
      </c>
      <c r="F6">
        <f>(SUMPRODUCT(DCF_Bull!$C$19:$L$19/(1+Assumptions!$B$11)^DCF_Bull!$C$4:$L$4)+MAX(0,MIN(DCF_Bull!$L$19*(1+Assumptions!$C$17)/(Assumptions!$B$11-Assumptions!$C$17),Assumptions!$B$10*DCF_Bull!$L$19))/(1+Assumptions!$B$11)^10+Assumptions!$B$7)/Assumptions!$B$8</f>
        <v/>
      </c>
      <c r="G6" s="10">
        <f>DCF_Bull!$B$46</f>
        <v/>
      </c>
    </row>
    <row r="8">
      <c r="A8" t="inlineStr">
        <is>
          <t>Probability-weighted value</t>
        </is>
      </c>
      <c r="B8" s="11">
        <f>SUMPRODUCT(B4:B6,D4:D6)</f>
        <v/>
      </c>
    </row>
    <row r="9">
      <c r="A9" t="inlineStr">
        <is>
          <t>Current price</t>
        </is>
      </c>
      <c r="B9" s="10">
        <f>Assumptions!$B$9</f>
        <v/>
      </c>
    </row>
    <row r="10">
      <c r="A10" t="inlineStr">
        <is>
          <t>Margin of safety (1 - price/weighted)</t>
        </is>
      </c>
      <c r="B10" s="7">
        <f>1-B9/B8</f>
        <v/>
      </c>
    </row>
    <row r="11">
      <c r="A11" t="inlineStr">
        <is>
          <t>Street weighted value</t>
        </is>
      </c>
      <c r="B11">
        <f>SUMPRODUCT(E4:E6,D4:D6)</f>
        <v/>
      </c>
    </row>
    <row r="12">
      <c r="A12" t="inlineStr">
        <is>
          <t>Band position (price-house)/(street-house)</t>
        </is>
      </c>
      <c r="B12">
        <f>IF(ABS(B11-B8)&lt;0.001,"n/a (band collapsed)",(B9-B8)/(B11-B8))</f>
        <v/>
      </c>
    </row>
    <row r="13">
      <c r="A13" t="inlineStr">
        <is>
          <t>Weighted entry price @ hurdle (buy-below)</t>
        </is>
      </c>
      <c r="B13" s="11">
        <f>SUMPRODUCT(F4:F6,D4:D6)</f>
        <v/>
      </c>
    </row>
    <row r="14">
      <c r="A14" t="inlineStr">
        <is>
          <t>Weights check</t>
        </is>
      </c>
      <c r="B14">
        <f>Assumptions!$D$18</f>
        <v/>
      </c>
    </row>
    <row r="16">
      <c r="A16" s="1" t="inlineStr">
        <is>
          <t>Required-return table (base case; TV rebuilt at each rate)</t>
        </is>
      </c>
    </row>
    <row r="17">
      <c r="A17" t="inlineStr">
        <is>
          <t>Required return</t>
        </is>
      </c>
      <c r="B17" t="inlineStr">
        <is>
          <t>Value/share</t>
        </is>
      </c>
    </row>
    <row r="18">
      <c r="A18" s="9" t="n">
        <v>0.09</v>
      </c>
      <c r="B18">
        <f>(SUMPRODUCT(DCF_Base!$C$19:$L$19/(1+$A$18)^DCF_Base!$C$4:$L$4)+MAX(0,MIN(DCF_Base!$L$19*(1+Assumptions!$C$16)/($A$18-Assumptions!$C$16),Assumptions!$B$10*DCF_Base!$L$19))/(1+$A$18)^10+Assumptions!$B$7)/Assumptions!$B$8</f>
        <v/>
      </c>
    </row>
    <row r="19">
      <c r="A19" s="9" t="n">
        <v>0.1</v>
      </c>
      <c r="B19">
        <f>(SUMPRODUCT(DCF_Base!$C$19:$L$19/(1+$A$19)^DCF_Base!$C$4:$L$4)+MAX(0,MIN(DCF_Base!$L$19*(1+Assumptions!$C$16)/($A$19-Assumptions!$C$16),Assumptions!$B$10*DCF_Base!$L$19))/(1+$A$19)^10+Assumptions!$B$7)/Assumptions!$B$8</f>
        <v/>
      </c>
    </row>
    <row r="20">
      <c r="A20" s="9" t="n">
        <v>0.11</v>
      </c>
      <c r="B20">
        <f>(SUMPRODUCT(DCF_Base!$C$19:$L$19/(1+$A$20)^DCF_Base!$C$4:$L$4)+MAX(0,MIN(DCF_Base!$L$19*(1+Assumptions!$C$16)/($A$20-Assumptions!$C$16),Assumptions!$B$10*DCF_Base!$L$19))/(1+$A$20)^10+Assumptions!$B$7)/Assumptions!$B$8</f>
        <v/>
      </c>
    </row>
    <row r="21">
      <c r="A21" s="9" t="n">
        <v>0.12</v>
      </c>
      <c r="B21">
        <f>(SUMPRODUCT(DCF_Base!$C$19:$L$19/(1+$A$21)^DCF_Base!$C$4:$L$4)+MAX(0,MIN(DCF_Base!$L$19*(1+Assumptions!$C$16)/($A$21-Assumptions!$C$16),Assumptions!$B$10*DCF_Base!$L$19))/(1+$A$21)^10+Assumptions!$B$7)/Assumptions!$B$8</f>
        <v/>
      </c>
    </row>
    <row r="22">
      <c r="A22" s="12">
        <f>Assumptions!$B$3</f>
        <v/>
      </c>
      <c r="B22">
        <f>(SUMPRODUCT(DCF_Base!$C$19:$L$19/(1+$A$22)^DCF_Base!$C$4:$L$4)+MAX(0,MIN(DCF_Base!$L$19*(1+Assumptions!$C$16)/($A$22-Assumptions!$C$16),Assumptions!$B$10*DCF_Base!$L$19))/(1+$A$22)^10+Assumptions!$B$7)/Assumptions!$B$8</f>
        <v/>
      </c>
    </row>
    <row r="23">
      <c r="A23" s="9" t="n">
        <v>0.15</v>
      </c>
      <c r="B23">
        <f>(SUMPRODUCT(DCF_Base!$C$19:$L$19/(1+$A$23)^DCF_Base!$C$4:$L$4)+MAX(0,MIN(DCF_Base!$L$19*(1+Assumptions!$C$16)/($A$23-Assumptions!$C$16),Assumptions!$B$10*DCF_Base!$L$19))/(1+$A$23)^10+Assumptions!$B$7)/Assumptions!$B$8</f>
        <v/>
      </c>
    </row>
    <row r="26">
      <c r="A26" s="1" t="inlineStr">
        <is>
          <t>Sensitivity: base value/share, WACC (rows) x terminal growth (columns)</t>
        </is>
      </c>
    </row>
    <row r="27">
      <c r="B27" s="9" t="n">
        <v>0.02</v>
      </c>
      <c r="C27" s="9" t="n">
        <v>0.025</v>
      </c>
      <c r="D27" s="9" t="n">
        <v>0.03</v>
      </c>
      <c r="E27" s="9" t="n">
        <v>0.035</v>
      </c>
      <c r="F27" s="9" t="n">
        <v>0.04</v>
      </c>
    </row>
    <row r="28">
      <c r="A28" s="9" t="n">
        <v>0.12</v>
      </c>
      <c r="B28">
        <f>IF($A28&gt;B$27,(SUMPRODUCT(DCF_Base!$C$19:$L$19/(1+$A28)^DCF_Base!$C$4:$L$4)+MAX(0,MIN(DCF_Base!$L$19*(1+B$27)/($A28-B$27),Assumptions!$B$10*DCF_Base!$L$19))/(1+$A28)^10+Assumptions!$B$7)/Assumptions!$B$8,"n/a")</f>
        <v/>
      </c>
      <c r="C28">
        <f>IF($A28&gt;C$27,(SUMPRODUCT(DCF_Base!$C$19:$L$19/(1+$A28)^DCF_Base!$C$4:$L$4)+MAX(0,MIN(DCF_Base!$L$19*(1+C$27)/($A28-C$27),Assumptions!$B$10*DCF_Base!$L$19))/(1+$A28)^10+Assumptions!$B$7)/Assumptions!$B$8,"n/a")</f>
        <v/>
      </c>
      <c r="D28">
        <f>IF($A28&gt;D$27,(SUMPRODUCT(DCF_Base!$C$19:$L$19/(1+$A28)^DCF_Base!$C$4:$L$4)+MAX(0,MIN(DCF_Base!$L$19*(1+D$27)/($A28-D$27),Assumptions!$B$10*DCF_Base!$L$19))/(1+$A28)^10+Assumptions!$B$7)/Assumptions!$B$8,"n/a")</f>
        <v/>
      </c>
      <c r="E28">
        <f>IF($A28&gt;E$27,(SUMPRODUCT(DCF_Base!$C$19:$L$19/(1+$A28)^DCF_Base!$C$4:$L$4)+MAX(0,MIN(DCF_Base!$L$19*(1+E$27)/($A28-E$27),Assumptions!$B$10*DCF_Base!$L$19))/(1+$A28)^10+Assumptions!$B$7)/Assumptions!$B$8,"n/a")</f>
        <v/>
      </c>
      <c r="F28">
        <f>IF($A28&gt;F$27,(SUMPRODUCT(DCF_Base!$C$19:$L$19/(1+$A28)^DCF_Base!$C$4:$L$4)+MAX(0,MIN(DCF_Base!$L$19*(1+F$27)/($A28-F$27),Assumptions!$B$10*DCF_Base!$L$19))/(1+$A28)^10+Assumptions!$B$7)/Assumptions!$B$8,"n/a")</f>
        <v/>
      </c>
    </row>
    <row r="29">
      <c r="A29" s="9" t="n">
        <v>0.13</v>
      </c>
      <c r="B29">
        <f>IF($A29&gt;B$27,(SUMPRODUCT(DCF_Base!$C$19:$L$19/(1+$A29)^DCF_Base!$C$4:$L$4)+MAX(0,MIN(DCF_Base!$L$19*(1+B$27)/($A29-B$27),Assumptions!$B$10*DCF_Base!$L$19))/(1+$A29)^10+Assumptions!$B$7)/Assumptions!$B$8,"n/a")</f>
        <v/>
      </c>
      <c r="C29">
        <f>IF($A29&gt;C$27,(SUMPRODUCT(DCF_Base!$C$19:$L$19/(1+$A29)^DCF_Base!$C$4:$L$4)+MAX(0,MIN(DCF_Base!$L$19*(1+C$27)/($A29-C$27),Assumptions!$B$10*DCF_Base!$L$19))/(1+$A29)^10+Assumptions!$B$7)/Assumptions!$B$8,"n/a")</f>
        <v/>
      </c>
      <c r="D29">
        <f>IF($A29&gt;D$27,(SUMPRODUCT(DCF_Base!$C$19:$L$19/(1+$A29)^DCF_Base!$C$4:$L$4)+MAX(0,MIN(DCF_Base!$L$19*(1+D$27)/($A29-D$27),Assumptions!$B$10*DCF_Base!$L$19))/(1+$A29)^10+Assumptions!$B$7)/Assumptions!$B$8,"n/a")</f>
        <v/>
      </c>
      <c r="E29">
        <f>IF($A29&gt;E$27,(SUMPRODUCT(DCF_Base!$C$19:$L$19/(1+$A29)^DCF_Base!$C$4:$L$4)+MAX(0,MIN(DCF_Base!$L$19*(1+E$27)/($A29-E$27),Assumptions!$B$10*DCF_Base!$L$19))/(1+$A29)^10+Assumptions!$B$7)/Assumptions!$B$8,"n/a")</f>
        <v/>
      </c>
      <c r="F29">
        <f>IF($A29&gt;F$27,(SUMPRODUCT(DCF_Base!$C$19:$L$19/(1+$A29)^DCF_Base!$C$4:$L$4)+MAX(0,MIN(DCF_Base!$L$19*(1+F$27)/($A29-F$27),Assumptions!$B$10*DCF_Base!$L$19))/(1+$A29)^10+Assumptions!$B$7)/Assumptions!$B$8,"n/a")</f>
        <v/>
      </c>
    </row>
    <row r="30">
      <c r="A30" s="9" t="n">
        <v>0.14</v>
      </c>
      <c r="B30">
        <f>IF($A30&gt;B$27,(SUMPRODUCT(DCF_Base!$C$19:$L$19/(1+$A30)^DCF_Base!$C$4:$L$4)+MAX(0,MIN(DCF_Base!$L$19*(1+B$27)/($A30-B$27),Assumptions!$B$10*DCF_Base!$L$19))/(1+$A30)^10+Assumptions!$B$7)/Assumptions!$B$8,"n/a")</f>
        <v/>
      </c>
      <c r="C30">
        <f>IF($A30&gt;C$27,(SUMPRODUCT(DCF_Base!$C$19:$L$19/(1+$A30)^DCF_Base!$C$4:$L$4)+MAX(0,MIN(DCF_Base!$L$19*(1+C$27)/($A30-C$27),Assumptions!$B$10*DCF_Base!$L$19))/(1+$A30)^10+Assumptions!$B$7)/Assumptions!$B$8,"n/a")</f>
        <v/>
      </c>
      <c r="D30" s="13">
        <f>IF($A30&gt;D$27,(SUMPRODUCT(DCF_Base!$C$19:$L$19/(1+$A30)^DCF_Base!$C$4:$L$4)+MAX(0,MIN(DCF_Base!$L$19*(1+D$27)/($A30-D$27),Assumptions!$B$10*DCF_Base!$L$19))/(1+$A30)^10+Assumptions!$B$7)/Assumptions!$B$8,"n/a")</f>
        <v/>
      </c>
      <c r="E30">
        <f>IF($A30&gt;E$27,(SUMPRODUCT(DCF_Base!$C$19:$L$19/(1+$A30)^DCF_Base!$C$4:$L$4)+MAX(0,MIN(DCF_Base!$L$19*(1+E$27)/($A30-E$27),Assumptions!$B$10*DCF_Base!$L$19))/(1+$A30)^10+Assumptions!$B$7)/Assumptions!$B$8,"n/a")</f>
        <v/>
      </c>
      <c r="F30">
        <f>IF($A30&gt;F$27,(SUMPRODUCT(DCF_Base!$C$19:$L$19/(1+$A30)^DCF_Base!$C$4:$L$4)+MAX(0,MIN(DCF_Base!$L$19*(1+F$27)/($A30-F$27),Assumptions!$B$10*DCF_Base!$L$19))/(1+$A30)^10+Assumptions!$B$7)/Assumptions!$B$8,"n/a")</f>
        <v/>
      </c>
    </row>
    <row r="31">
      <c r="A31" s="9" t="n">
        <v>0.15</v>
      </c>
      <c r="B31">
        <f>IF($A31&gt;B$27,(SUMPRODUCT(DCF_Base!$C$19:$L$19/(1+$A31)^DCF_Base!$C$4:$L$4)+MAX(0,MIN(DCF_Base!$L$19*(1+B$27)/($A31-B$27),Assumptions!$B$10*DCF_Base!$L$19))/(1+$A31)^10+Assumptions!$B$7)/Assumptions!$B$8,"n/a")</f>
        <v/>
      </c>
      <c r="C31">
        <f>IF($A31&gt;C$27,(SUMPRODUCT(DCF_Base!$C$19:$L$19/(1+$A31)^DCF_Base!$C$4:$L$4)+MAX(0,MIN(DCF_Base!$L$19*(1+C$27)/($A31-C$27),Assumptions!$B$10*DCF_Base!$L$19))/(1+$A31)^10+Assumptions!$B$7)/Assumptions!$B$8,"n/a")</f>
        <v/>
      </c>
      <c r="D31">
        <f>IF($A31&gt;D$27,(SUMPRODUCT(DCF_Base!$C$19:$L$19/(1+$A31)^DCF_Base!$C$4:$L$4)+MAX(0,MIN(DCF_Base!$L$19*(1+D$27)/($A31-D$27),Assumptions!$B$10*DCF_Base!$L$19))/(1+$A31)^10+Assumptions!$B$7)/Assumptions!$B$8,"n/a")</f>
        <v/>
      </c>
      <c r="E31">
        <f>IF($A31&gt;E$27,(SUMPRODUCT(DCF_Base!$C$19:$L$19/(1+$A31)^DCF_Base!$C$4:$L$4)+MAX(0,MIN(DCF_Base!$L$19*(1+E$27)/($A31-E$27),Assumptions!$B$10*DCF_Base!$L$19))/(1+$A31)^10+Assumptions!$B$7)/Assumptions!$B$8,"n/a")</f>
        <v/>
      </c>
      <c r="F31">
        <f>IF($A31&gt;F$27,(SUMPRODUCT(DCF_Base!$C$19:$L$19/(1+$A31)^DCF_Base!$C$4:$L$4)+MAX(0,MIN(DCF_Base!$L$19*(1+F$27)/($A31-F$27),Assumptions!$B$10*DCF_Base!$L$19))/(1+$A31)^10+Assumptions!$B$7)/Assumptions!$B$8,"n/a")</f>
        <v/>
      </c>
    </row>
    <row r="32">
      <c r="A32" s="9" t="n">
        <v>0.16</v>
      </c>
      <c r="B32">
        <f>IF($A32&gt;B$27,(SUMPRODUCT(DCF_Base!$C$19:$L$19/(1+$A32)^DCF_Base!$C$4:$L$4)+MAX(0,MIN(DCF_Base!$L$19*(1+B$27)/($A32-B$27),Assumptions!$B$10*DCF_Base!$L$19))/(1+$A32)^10+Assumptions!$B$7)/Assumptions!$B$8,"n/a")</f>
        <v/>
      </c>
      <c r="C32">
        <f>IF($A32&gt;C$27,(SUMPRODUCT(DCF_Base!$C$19:$L$19/(1+$A32)^DCF_Base!$C$4:$L$4)+MAX(0,MIN(DCF_Base!$L$19*(1+C$27)/($A32-C$27),Assumptions!$B$10*DCF_Base!$L$19))/(1+$A32)^10+Assumptions!$B$7)/Assumptions!$B$8,"n/a")</f>
        <v/>
      </c>
      <c r="D32">
        <f>IF($A32&gt;D$27,(SUMPRODUCT(DCF_Base!$C$19:$L$19/(1+$A32)^DCF_Base!$C$4:$L$4)+MAX(0,MIN(DCF_Base!$L$19*(1+D$27)/($A32-D$27),Assumptions!$B$10*DCF_Base!$L$19))/(1+$A32)^10+Assumptions!$B$7)/Assumptions!$B$8,"n/a")</f>
        <v/>
      </c>
      <c r="E32">
        <f>IF($A32&gt;E$27,(SUMPRODUCT(DCF_Base!$C$19:$L$19/(1+$A32)^DCF_Base!$C$4:$L$4)+MAX(0,MIN(DCF_Base!$L$19*(1+E$27)/($A32-E$27),Assumptions!$B$10*DCF_Base!$L$19))/(1+$A32)^10+Assumptions!$B$7)/Assumptions!$B$8,"n/a")</f>
        <v/>
      </c>
      <c r="F32">
        <f>IF($A32&gt;F$27,(SUMPRODUCT(DCF_Base!$C$19:$L$19/(1+$A32)^DCF_Base!$C$4:$L$4)+MAX(0,MIN(DCF_Base!$L$19*(1+F$27)/($A32-F$27),Assumptions!$B$10*DCF_Base!$L$19))/(1+$A32)^10+Assumptions!$B$7)/Assumptions!$B$8,"n/a")</f>
        <v/>
      </c>
    </row>
    <row r="35">
      <c r="A35" s="1" t="inlineStr">
        <is>
          <t>Cash runway memo (base case, no new equity): net cash after each year's owner FCF</t>
        </is>
      </c>
    </row>
    <row r="36">
      <c r="A36" t="inlineStr">
        <is>
          <t>Year</t>
        </is>
      </c>
      <c r="B36">
        <f>DCF_Base!C3</f>
        <v/>
      </c>
      <c r="C36">
        <f>DCF_Base!D3</f>
        <v/>
      </c>
      <c r="D36">
        <f>DCF_Base!E3</f>
        <v/>
      </c>
      <c r="E36">
        <f>DCF_Base!F3</f>
        <v/>
      </c>
      <c r="F36">
        <f>DCF_Base!G3</f>
        <v/>
      </c>
      <c r="G36">
        <f>DCF_Base!H3</f>
        <v/>
      </c>
      <c r="H36">
        <f>DCF_Base!I3</f>
        <v/>
      </c>
      <c r="I36">
        <f>DCF_Base!J3</f>
        <v/>
      </c>
      <c r="J36">
        <f>DCF_Base!K3</f>
        <v/>
      </c>
      <c r="K36">
        <f>DCF_Base!L3</f>
        <v/>
      </c>
    </row>
    <row r="37">
      <c r="A37" t="inlineStr">
        <is>
          <t>Net cash end of year</t>
        </is>
      </c>
      <c r="B37">
        <f>Assumptions!$B$7+DCF_Base!C19</f>
        <v/>
      </c>
      <c r="C37">
        <f>B37+DCF_Base!D19</f>
        <v/>
      </c>
      <c r="D37">
        <f>C37+DCF_Base!E19</f>
        <v/>
      </c>
      <c r="E37">
        <f>D37+DCF_Base!F19</f>
        <v/>
      </c>
      <c r="F37">
        <f>E37+DCF_Base!G19</f>
        <v/>
      </c>
      <c r="G37">
        <f>F37+DCF_Base!H19</f>
        <v/>
      </c>
      <c r="H37">
        <f>G37+DCF_Base!I19</f>
        <v/>
      </c>
      <c r="I37">
        <f>H37+DCF_Base!J19</f>
        <v/>
      </c>
      <c r="J37">
        <f>I37+DCF_Base!K19</f>
        <v/>
      </c>
      <c r="K37">
        <f>J37+DCF_Base!L19</f>
        <v/>
      </c>
    </row>
    <row r="38">
      <c r="A38" t="inlineStr">
        <is>
          <t>Trough</t>
        </is>
      </c>
      <c r="B38">
        <f>MIN(B37:K37)</f>
        <v/>
      </c>
    </row>
    <row r="39">
      <c r="A39" t="inlineStr">
        <is>
          <t>Raise needed at current price to fund trough + NZ$1m buffer (NZD m)</t>
        </is>
      </c>
      <c r="B39">
        <f>MAX(0,-B38)+1</f>
        <v/>
      </c>
    </row>
    <row r="40">
      <c r="A40" t="inlineStr">
        <is>
          <t>New shares at current price (m)</t>
        </is>
      </c>
      <c r="B40">
        <f>B39/Assumptions!$B$9</f>
        <v/>
      </c>
    </row>
    <row r="41">
      <c r="A41" t="inlineStr">
        <is>
          <t>Base value/share AFTER such a raise</t>
        </is>
      </c>
      <c r="B41">
        <f>(DCF_Base!$B$36+B39)/(Assumptions!$B$8+B40)</f>
        <v/>
      </c>
    </row>
    <row r="43">
      <c r="A43" s="1" t="inlineStr">
        <is>
          <t>EV/ARR memo</t>
        </is>
      </c>
    </row>
    <row r="44">
      <c r="A44" t="inlineStr">
        <is>
          <t>Market cap (basic shares)</t>
        </is>
      </c>
      <c r="B44">
        <f>Assumptions!$B$9*163.605</f>
        <v/>
      </c>
    </row>
    <row r="45">
      <c r="A45" t="inlineStr">
        <is>
          <t>EV at market</t>
        </is>
      </c>
      <c r="B45">
        <f>B44-Assumptions!$B$7</f>
        <v/>
      </c>
    </row>
    <row r="46">
      <c r="A46" t="inlineStr">
        <is>
          <t>ARR (NZ$m, Jun-2026)</t>
        </is>
      </c>
      <c r="B46" s="3" t="n">
        <v>10.4</v>
      </c>
    </row>
    <row r="47">
      <c r="A47" t="inlineStr">
        <is>
          <t>EV/ARR at market</t>
        </is>
      </c>
      <c r="B47">
        <f>B45/B46</f>
        <v/>
      </c>
    </row>
    <row r="48">
      <c r="A48" t="inlineStr">
        <is>
          <t>EV/ARR implied by base DCF</t>
        </is>
      </c>
      <c r="B48">
        <f>DCF_Base!$B$34/B46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2026-09-19T01:42:16Z</dcterms:created>
  <dcterms:modified xmlns:dcterms="http://purl.org/dc/terms/" xmlns:xsi="http://www.w3.org/2001/XMLSchema-instance" xsi:type="dcterms:W3CDTF">2026-09-19T01:42:16Z</dcterms:modified>
</cp:coreProperties>
</file>