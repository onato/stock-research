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<sst xmlns="http://schemas.openxmlformats.org/spreadsheetml/2006/main" count="362" uniqueCount="167">
  <si>
    <t xml:space="preserve">Ticker</t>
  </si>
  <si>
    <t xml:space="preserve">0027.HK</t>
  </si>
  <si>
    <t xml:space="preserve">Company</t>
  </si>
  <si>
    <t xml:space="preserve">Galaxy Entertainment Group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</si>
  <si>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</si>
  <si>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</si>
  <si>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</si>
  <si>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</si>
  <si>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2026-09-25T08:08:12Z regular close (HKEX)</t>
  </si>
  <si>
    <t xml:space="preserve">Balance sheet date</t>
  </si>
  <si>
    <t xml:space="preserve">2026-06-30 (H1 FY2026 interim, for net debt/cash/shares); FY2025 (2025-12-31) for the income-statement and cash-flow base year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</si>
  <si>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</si>
  <si>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</si>
  <si>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</si>
  <si>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</si>
  <si>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</si>
  <si>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</si>
  <si>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</si>
  <si>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</si>
  <si>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</si>
  <si>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</si>
  <si>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2026-09-25T18:13:41Z</t>
  </si>
  <si>
    <t xml:space="preserve">Drivers file</t>
  </si>
  <si>
    <t xml:space="preserve">0027.HK_Drivers.json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</si>
  <si>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</si>
  <si>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</si>
  <si>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</si>
  <si>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GEG is valued via a 10-year owner-FCF component DCF (routed as a non-US, cyclical operating company under the dcf-methods skill). A 10-year horizon is used because the EBITDA margin is still normalizing (StarWorld renovation completing Q1 2027) and the cash tax rate is still ramping off a temporary, expiring exemption -- a 5-year horizon would capitalize an immature margin and an unsustainably low tax rate in perpetuity. FY2025 is used as the base year on the view that it represents a genuine post-COVID new-normal (record Macau visitation, normalized EBITDA growth of 5% once the ~HK$1.48bn gaming-luck benefit is stripped out) rather than either a trough needing markdown or a luck-inflated peak needing a separate haircut -- the luck effect is instead reflected in a moderate (not extrapolated-from-reported-growth) Year-1 growth assumption. The single largest driver of the valuation beyond revenue growth is the cash tax ramp: GEG's FY2025 effective cash tax rate of just 1.9% reflects a temporary Macau gaming-profit exemption expiring after the 2027 assessment year, and carrying that rate forward would materially overstate intrinsic value -- the base case ramps to 15% (the OECD Pillar Two global minimum, now in force for Hong Kong-headquartered groups) by year 4. The ~HK$36bn net cash position (using the full 'cash and liquid investments' figure, not just balance-sheet cash, to match the stripped interest/dividend income) is a major share of enterprise value and reflects a decade of strong post-COVID cash generation with minimal debt.
key_risks_to_valuation: Phase 4 demand-absorption risk: ~HK$20bn of remaining capex adds significant new luxury room/casino/entertainment capacity by ~2027, and whether Mainland Chinese and international demand growth absorbs it at attractive returns (versus cannibalizing existing GEG properties or sector-wide oversupply as Sands and other concessionaires expand under the same 2022 concession mandates) is genuinely uncertain and is the main base-vs-bull-vs-bear swing factor.; Tax-rate normalization timing and magnitude: the model assumes the Macau gaming-profit exemption is not extended past 2027 and ramps to the 15% Pillar Two floor by year 4 -- if extended (as GCSA has already applied for regarding the related Shareholder Dividend Tax Agreement), intrinsic value would be understated; if Pillar Two top-up exposure proves larger than management currently assesses, it could be understated the other way.; Relative market-share trajectory versus Sands China: a continued widening of the GGR share gap (already ~6pp in Q1 2026) would pressure GEG's growth below even the bear case if it reflects a structural rather than cyclical disadvantage.; Mainland Chinese macro and travel-policy conditions: GEG has zero revenue diversification outside Macau/Mainland-China-sourced visitation, unlike Sands, Wynn or MGM's US and other-Asia exposure -- this is the dominant macro risk axis for the entire investment case.; Gaming-luck (hold-rate) variance makes any single year's reported EBITDA growth an unreliable read of underlying momentum -- normalized figures (which the model's Year-1 growth assumption is calibrated to, not reported growth) are the more reliable anchor but are themselves management-disclosed rather than independently audited.</t>
  </si>
  <si>
    <t xml:space="preserve">Data sources</t>
  </si>
  <si>
    <t xml:space="preserve">price: Yahoo Finance chart API at inputs.price_as_of; 52-week range HK$28.68-44.22
financials: research/0027.HK/Reports/0027.HK_Metrics.csv (core_metrics-derived); FY2025 Annual Report and H1 FY2026 Interim Report (research/0027.HK/Extracted/) for tax-rate reconciliation, cash-and-liquid-investments composition (notes 14/15), lease liabilities (note 16), NCI, and Phase 4/StarWorld guidance
qualitative: research/0027.HK/Reports/0027.HK_Analysis.json</t>
  </si>
  <si>
    <t xml:space="preserve">Scenario narrative: bear</t>
  </si>
  <si>
    <t xml:space="preserve">Sands China's share lead keeps widening, Mainland Chinese demand or travel-policy conditions weaken (a recurring historical risk for Macau VIP/premium gaming), Phase 4's new capacity is not fully absorbed and compresses rather than expands margins, and the gaming tax exemption is not extended while Pillar Two top-up exposure proves larger than currently assessed.</t>
  </si>
  <si>
    <t xml:space="preserve">Scenario narrative: base</t>
  </si>
  <si>
    <t xml:space="preserve">Continued, policy-supported Macau recovery at industry-consensus mid-single-digit GGR growth; GEG holds its ~20% share as Capella, Horizon Plus and the StarWorld renovation completion support premium-mass momentum; Phase 4 capex peaks over FY2026-2027 then steps down; the temporary gaming-tax exemption lapses after 2027 and the cash tax rate ramps to the 15% Pillar Two floor.</t>
  </si>
  <si>
    <t xml:space="preserve">Scenario narrative: bull</t>
  </si>
  <si>
    <t xml:space="preserve">Phase 4 accelerates and successfully absorbs new premium-mass demand, GEG closes the share gap to Sands China, margins expand toward the mid-30s% as the premium mix deepens, and favorable Macau tax treatment persists somewhat longer than the base case assumes.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</si>
  <si>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</si>
  <si>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</si>
  <si>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</si>
  <si>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</si>
  <si>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</si>
  <si>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</si>
  <si>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</si>
  <si>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</si>
  <si>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</si>
  <si>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</si>
  <si>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</si>
  <si>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</si>
  <si>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</si>
  <si>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</si>
  <si>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</si>
  <si>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</si>
  <si>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</si>
  <si>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</si>
  <si>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</si>
  <si>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</si>
  <si>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</si>
  <si>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</si>
  <si>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</si>
  <si>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</si>
  <si>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</si>
  <si>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</si>
  <si>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</si>
  <si>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</si>
  <si>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NetProfitAttributable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</si>
  <si>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</si>
  <si>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</si>
  <si>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</si>
  <si>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</si>
  <si>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</si>
  <si>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</si>
  <si>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</si>
  <si>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</si>
  <si>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</si>
  <si>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</si>
  <si>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</si>
  <si>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</si>
  <si>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</si>
  <si>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</si>
  <si>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</si>
  <si>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</si>
  <si>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</si>
  <si>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</si>
  <si>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</si>
  <si>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</si>
  <si>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</si>
  <si>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</si>
  <si>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</si>
  <si>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</si>
  <si>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</si>
  <si>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</si>
  <si>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</si>
  <si>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</si>
  <si>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</si>
  <si>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</si>
  <si>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</si>
  <si>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</si>
  <si>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</si>
  <si>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</si>
  <si>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</si>
  <si>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</si>
  <si>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</si>
  <si>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</si>
  <si>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</si>
  <si>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</si>
  <si>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</si>
  <si>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</si>
  <si>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</si>
  <si>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</si>
  <si>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</si>
  <si>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</si>
  <si>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</si>
  <si>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0027.HK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</si>
  <si>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</si>
  <si>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</si>
  <si>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</si>
  <si>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</si>
  <si>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</si>
  <si>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</si>
  <si>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</si>
  <si>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</si>
  <si>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</si>
  <si>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</si>
  <si>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</si>
  <si>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</si>
  <si>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</si>
  <si>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</si>
  <si>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</si>
  <si>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</si>
  <si>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</si>
  <si>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</si>
  <si>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</si>
  <si>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</si>
  <si>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</si>
  <si>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</si>
  <si>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</si>
  <si>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</si>
  <si>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</si>
  <si>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</si>
  <si>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</si>
  <si>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</si>
  <si>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</si>
  <si>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</si>
  <si>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0027.HK owner-FCF component DCF: base case (millions, HKD)</t>
  </si>
  <si>
    <t xml:space="preserve">0027.HK owner-FCF component DCF: bull case (millions, HKD)</t>
  </si>
  <si>
    <t xml:space="preserve">0027.HK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</si>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</sst>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41553.441</v>
      </c>
      <c r="I2" s="0" t="n">
        <v>6283.397</v>
      </c>
      <c r="J2" s="0" t="n">
        <v>15.1</v>
      </c>
      <c r="K2" s="0" t="n">
        <v>1.473</v>
      </c>
      <c r="O2" s="0" t="n">
        <v>46345.35</v>
      </c>
      <c r="R2" s="0" t="n">
        <v>525.978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48639.742</v>
      </c>
      <c r="H3" s="0" t="n">
        <v>14147</v>
      </c>
      <c r="I3" s="0" t="n">
        <v>10504.361</v>
      </c>
      <c r="J3" s="0" t="n">
        <v>21.6</v>
      </c>
      <c r="K3" s="0" t="n">
        <v>2.451</v>
      </c>
      <c r="L3" s="0" t="n">
        <v>18519.7</v>
      </c>
      <c r="M3" s="0" t="n">
        <v>-2008.27</v>
      </c>
      <c r="N3" s="0" t="n">
        <v>16511.43</v>
      </c>
      <c r="O3" s="0" t="n">
        <v>55481.697</v>
      </c>
      <c r="P3" s="0" t="n">
        <v>83814.682</v>
      </c>
      <c r="Q3" s="0" t="n">
        <v>27799.1</v>
      </c>
      <c r="R3" s="0" t="n">
        <v>9944</v>
      </c>
      <c r="S3" s="0" t="n">
        <v>15702.43</v>
      </c>
      <c r="T3" s="0" t="n">
        <v>4311.140201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55210.901</v>
      </c>
      <c r="H4" s="0" t="n">
        <v>16857</v>
      </c>
      <c r="I4" s="0" t="n">
        <v>13570.284</v>
      </c>
      <c r="J4" s="0" t="n">
        <v>24.6</v>
      </c>
      <c r="K4" s="0" t="n">
        <v>3.128</v>
      </c>
      <c r="L4" s="0" t="n">
        <v>13783.7</v>
      </c>
      <c r="M4" s="0" t="n">
        <v>-3008.74</v>
      </c>
      <c r="N4" s="0" t="n">
        <v>10774.96</v>
      </c>
      <c r="O4" s="0" t="n">
        <v>62280.259</v>
      </c>
      <c r="P4" s="0" t="n">
        <v>87383.831</v>
      </c>
      <c r="Q4" s="0" t="n">
        <v>24552.631</v>
      </c>
      <c r="R4" s="0" t="n">
        <v>9054.95</v>
      </c>
      <c r="S4" s="0" t="n">
        <v>13778.102</v>
      </c>
      <c r="T4" s="0" t="n">
        <v>4338.572549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51901.991</v>
      </c>
      <c r="H5" s="0" t="n">
        <v>16479</v>
      </c>
      <c r="I5" s="0" t="n">
        <v>13127.855</v>
      </c>
      <c r="J5" s="0" t="n">
        <v>25.3</v>
      </c>
      <c r="K5" s="0" t="n">
        <v>3.011</v>
      </c>
      <c r="L5" s="0" t="n">
        <v>19442.3</v>
      </c>
      <c r="M5" s="0" t="n">
        <v>-4118.39</v>
      </c>
      <c r="N5" s="0" t="n">
        <v>15323.91</v>
      </c>
      <c r="O5" s="0" t="n">
        <v>73587.393</v>
      </c>
      <c r="P5" s="0" t="n">
        <v>95696.172</v>
      </c>
      <c r="Q5" s="0" t="n">
        <v>21541.293</v>
      </c>
      <c r="R5" s="0" t="n">
        <v>553.114</v>
      </c>
      <c r="S5" s="0" t="n">
        <v>14646.088</v>
      </c>
      <c r="T5" s="0" t="n">
        <v>4346.690621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12876.099</v>
      </c>
      <c r="H6" s="0" t="n">
        <v>-1020</v>
      </c>
      <c r="I6" s="0" t="n">
        <v>-3913.243</v>
      </c>
      <c r="J6" s="0" t="n">
        <v>-30.4</v>
      </c>
      <c r="K6" s="0" t="n">
        <v>-0.916</v>
      </c>
      <c r="L6" s="0" t="n">
        <v>-7631.34</v>
      </c>
      <c r="M6" s="0" t="n">
        <v>-5772.3</v>
      </c>
      <c r="N6" s="0" t="n">
        <v>-13403.64</v>
      </c>
      <c r="O6" s="0" t="n">
        <v>67423.781</v>
      </c>
      <c r="P6" s="0" t="n">
        <v>92726.779</v>
      </c>
      <c r="Q6" s="0" t="n">
        <v>24689.597</v>
      </c>
      <c r="R6" s="0" t="n">
        <v>9233.014</v>
      </c>
      <c r="S6" s="0" t="n">
        <v>15840.366</v>
      </c>
      <c r="T6" s="0" t="n">
        <v>4337.820915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19695.53</v>
      </c>
      <c r="H7" s="0" t="n">
        <v>3537</v>
      </c>
      <c r="I7" s="0" t="n">
        <v>1432.358</v>
      </c>
      <c r="J7" s="0" t="n">
        <v>7.3</v>
      </c>
      <c r="K7" s="0" t="n">
        <v>0.305</v>
      </c>
      <c r="L7" s="0" t="n">
        <v>-3487.21</v>
      </c>
      <c r="M7" s="0" t="n">
        <v>-6907.67</v>
      </c>
      <c r="N7" s="0" t="n">
        <v>-10394.88</v>
      </c>
      <c r="O7" s="0" t="n">
        <v>68424.679</v>
      </c>
      <c r="P7" s="0" t="n">
        <v>85243.425</v>
      </c>
      <c r="Q7" s="0" t="n">
        <v>16167.685</v>
      </c>
      <c r="R7" s="0" t="n">
        <v>6386.231</v>
      </c>
      <c r="S7" s="0" t="n">
        <v>18374.824</v>
      </c>
      <c r="T7" s="0" t="n">
        <v>4361.381893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11473.793</v>
      </c>
      <c r="H8" s="0" t="n">
        <v>-553</v>
      </c>
      <c r="I8" s="0" t="n">
        <v>-3448.177</v>
      </c>
      <c r="J8" s="0" t="n">
        <v>-30.1</v>
      </c>
      <c r="K8" s="0" t="n">
        <v>-0.787</v>
      </c>
      <c r="L8" s="0" t="n">
        <v>-3091.89</v>
      </c>
      <c r="M8" s="0" t="n">
        <v>-5062.7</v>
      </c>
      <c r="N8" s="0" t="n">
        <v>-8154.59</v>
      </c>
      <c r="O8" s="0" t="n">
        <v>63913.936</v>
      </c>
      <c r="P8" s="0" t="n">
        <v>80961.332</v>
      </c>
      <c r="Q8" s="0" t="n">
        <v>16495.967</v>
      </c>
      <c r="R8" s="0" t="n">
        <v>7505.246</v>
      </c>
      <c r="S8" s="0" t="n">
        <v>14022.744</v>
      </c>
      <c r="T8" s="0" t="n">
        <v>4362.354183</v>
      </c>
      <c r="U8" s="0" t="n">
        <v>181.19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35684.253</v>
      </c>
      <c r="H9" s="0" t="n">
        <v>9955</v>
      </c>
      <c r="I9" s="0" t="n">
        <v>6873.976</v>
      </c>
      <c r="J9" s="0" t="n">
        <v>19.3</v>
      </c>
      <c r="K9" s="0" t="n">
        <v>1.562</v>
      </c>
      <c r="L9" s="0" t="n">
        <v>11593.8</v>
      </c>
      <c r="M9" s="0" t="n">
        <v>-5959.37</v>
      </c>
      <c r="N9" s="0" t="n">
        <v>5634.43</v>
      </c>
      <c r="O9" s="0" t="n">
        <v>70759.172</v>
      </c>
      <c r="P9" s="0" t="n">
        <v>87215.455</v>
      </c>
      <c r="Q9" s="0" t="n">
        <v>15998.364</v>
      </c>
      <c r="R9" s="0" t="n">
        <v>1452.958</v>
      </c>
      <c r="S9" s="0" t="n">
        <v>14511.77</v>
      </c>
      <c r="T9" s="0" t="n">
        <v>4371.736335</v>
      </c>
      <c r="U9" s="0" t="n">
        <v>251.279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43432.373</v>
      </c>
      <c r="H10" s="0" t="n">
        <v>12188</v>
      </c>
      <c r="I10" s="0" t="n">
        <v>8814.404</v>
      </c>
      <c r="J10" s="0" t="n">
        <v>20.3</v>
      </c>
      <c r="K10" s="0" t="n">
        <v>2.003</v>
      </c>
      <c r="L10" s="0" t="n">
        <v>11550.263</v>
      </c>
      <c r="M10" s="0" t="n">
        <v>-4828.078</v>
      </c>
      <c r="N10" s="0" t="n">
        <v>6722.185</v>
      </c>
      <c r="O10" s="0" t="n">
        <v>75945.644</v>
      </c>
      <c r="P10" s="0" t="n">
        <v>94577.891</v>
      </c>
      <c r="Q10" s="0" t="n">
        <v>18186.407</v>
      </c>
      <c r="R10" s="0" t="n">
        <v>4178.906</v>
      </c>
      <c r="S10" s="0" t="n">
        <v>20393.568</v>
      </c>
      <c r="T10" s="0" t="n">
        <v>4375.280608</v>
      </c>
      <c r="U10" s="0" t="n">
        <v>261.373</v>
      </c>
      <c r="AA10" s="0" t="s">
        <v>17</v>
      </c>
      <c r="AB10" s="0" t="s">
        <v>14</v>
      </c>
      <c r="AC10" s="0" t="n">
        <v>12188</v>
      </c>
      <c r="AD10" s="0" t="n">
        <v>8759.247</v>
      </c>
    </row>
    <row r="11" customFormat="false" ht="15" hidden="false" customHeight="false" outlineLevel="0" collapsed="false">
      <c r="A11" s="0" t="s">
        <v>74</v>
      </c>
      <c r="B11" s="0" t="n">
        <v>49242.325</v>
      </c>
      <c r="H11" s="0" t="n">
        <v>14502</v>
      </c>
      <c r="I11" s="0" t="n">
        <v>10719.989</v>
      </c>
      <c r="J11" s="0" t="n">
        <v>21.8</v>
      </c>
      <c r="K11" s="0" t="n">
        <v>2.44</v>
      </c>
      <c r="L11" s="0" t="n">
        <v>14253.563</v>
      </c>
      <c r="M11" s="0" t="n">
        <v>-3430.885</v>
      </c>
      <c r="N11" s="0" t="n">
        <v>10822.678</v>
      </c>
      <c r="O11" s="0" t="n">
        <v>83143.496</v>
      </c>
      <c r="P11" s="0" t="n">
        <v>99844.492</v>
      </c>
      <c r="Q11" s="0" t="n">
        <v>16213.008</v>
      </c>
      <c r="R11" s="0" t="n">
        <v>1294.122</v>
      </c>
      <c r="S11" s="0" t="n">
        <v>14321.52</v>
      </c>
      <c r="T11" s="0" t="n">
        <v>4381.333435</v>
      </c>
      <c r="U11" s="0" t="n">
        <v>229.454</v>
      </c>
      <c r="AA11" s="0" t="s">
        <v>17</v>
      </c>
      <c r="AB11" s="0" t="s">
        <v>14</v>
      </c>
      <c r="AC11" s="0" t="n">
        <v>14502</v>
      </c>
      <c r="AD11" s="0" t="n">
        <v>10673.765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31.7</v>
      </c>
    </row>
    <row r="3" customFormat="false" ht="15" hidden="false" customHeight="false" outlineLevel="0" collapsed="false">
      <c r="A3" s="0" t="s">
        <v>78</v>
      </c>
      <c r="B3" s="3" t="n">
        <v>4393.816</v>
      </c>
    </row>
    <row r="4" customFormat="false" ht="15" hidden="false" customHeight="false" outlineLevel="0" collapsed="false">
      <c r="A4" s="0" t="s">
        <v>79</v>
      </c>
      <c r="B4" s="3" t="n">
        <v>-35898.772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49242.325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3</v>
      </c>
      <c r="D13" s="3" t="n">
        <v>2</v>
      </c>
      <c r="E13" s="3" t="n">
        <v>2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27.5</v>
      </c>
      <c r="D14" s="3" t="n">
        <v>27</v>
      </c>
      <c r="E14" s="3" t="n">
        <v>26.5</v>
      </c>
      <c r="F14" s="3" t="n">
        <v>26.5</v>
      </c>
      <c r="G14" s="3" t="n">
        <v>26.5</v>
      </c>
      <c r="H14" s="3" t="n">
        <v>26.5</v>
      </c>
      <c r="I14" s="3" t="n">
        <v>26.5</v>
      </c>
      <c r="J14" s="3" t="n">
        <v>26.5</v>
      </c>
      <c r="K14" s="3" t="n">
        <v>26.5</v>
      </c>
      <c r="L14" s="3" t="n">
        <v>26.5</v>
      </c>
    </row>
    <row r="15" customFormat="false" ht="15" hidden="false" customHeight="false" outlineLevel="0" collapsed="false">
      <c r="A15" s="0" t="s">
        <v>100</v>
      </c>
      <c r="C15" s="3" t="n">
        <v>0.48</v>
      </c>
      <c r="D15" s="3" t="n">
        <v>0.48</v>
      </c>
      <c r="E15" s="3" t="n">
        <v>0.48</v>
      </c>
      <c r="F15" s="3" t="n">
        <v>0.48</v>
      </c>
      <c r="G15" s="3" t="n">
        <v>0.48</v>
      </c>
      <c r="H15" s="3" t="n">
        <v>0.48</v>
      </c>
      <c r="I15" s="3" t="n">
        <v>0.48</v>
      </c>
      <c r="J15" s="3" t="n">
        <v>0.48</v>
      </c>
      <c r="K15" s="3" t="n">
        <v>0.48</v>
      </c>
      <c r="L15" s="3" t="n">
        <v>0.48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8.5</v>
      </c>
      <c r="D17" s="3" t="n">
        <v>9.5</v>
      </c>
      <c r="E17" s="3" t="n">
        <v>10</v>
      </c>
      <c r="F17" s="3" t="n">
        <v>9.8</v>
      </c>
      <c r="G17" s="3" t="n">
        <v>9.5</v>
      </c>
      <c r="H17" s="3" t="n">
        <v>9.2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103</v>
      </c>
      <c r="C18" s="3" t="n">
        <v>13</v>
      </c>
      <c r="D18" s="3" t="n">
        <v>14</v>
      </c>
      <c r="E18" s="3" t="n">
        <v>11</v>
      </c>
      <c r="F18" s="3" t="n">
        <v>9.5</v>
      </c>
      <c r="G18" s="3" t="n">
        <v>9</v>
      </c>
      <c r="H18" s="3" t="n">
        <v>8.5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104</v>
      </c>
      <c r="C19" s="3" t="n">
        <v>4</v>
      </c>
      <c r="D19" s="3" t="n">
        <v>8</v>
      </c>
      <c r="E19" s="3" t="n">
        <v>13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2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8</v>
      </c>
      <c r="D27" s="3" t="n">
        <v>7</v>
      </c>
      <c r="E27" s="3" t="n">
        <v>7.5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29</v>
      </c>
      <c r="D28" s="3" t="n">
        <v>29.3</v>
      </c>
      <c r="E28" s="3" t="n">
        <v>29.8</v>
      </c>
      <c r="F28" s="3" t="n">
        <v>30.2</v>
      </c>
      <c r="G28" s="3" t="n">
        <v>30.5</v>
      </c>
      <c r="H28" s="3" t="n">
        <v>30.7</v>
      </c>
      <c r="I28" s="3" t="n">
        <v>30.8</v>
      </c>
      <c r="J28" s="3" t="n">
        <v>30.9</v>
      </c>
      <c r="K28" s="3" t="n">
        <v>31</v>
      </c>
      <c r="L28" s="3" t="n">
        <v>31</v>
      </c>
    </row>
    <row r="29" customFormat="false" ht="15" hidden="false" customHeight="false" outlineLevel="0" collapsed="false">
      <c r="A29" s="0" t="s">
        <v>100</v>
      </c>
      <c r="C29" s="3" t="n">
        <v>0.47</v>
      </c>
      <c r="D29" s="3" t="n">
        <v>0.47</v>
      </c>
      <c r="E29" s="3" t="n">
        <v>0.47</v>
      </c>
      <c r="F29" s="3" t="n">
        <v>0.46</v>
      </c>
      <c r="G29" s="3" t="n">
        <v>0.46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7.9</v>
      </c>
      <c r="D31" s="3" t="n">
        <v>8.3</v>
      </c>
      <c r="E31" s="3" t="n">
        <v>8.6</v>
      </c>
      <c r="F31" s="3" t="n">
        <v>8.6</v>
      </c>
      <c r="G31" s="3" t="n">
        <v>8.4</v>
      </c>
      <c r="H31" s="3" t="n">
        <v>8.2</v>
      </c>
      <c r="I31" s="3" t="n">
        <v>8</v>
      </c>
      <c r="J31" s="3" t="n">
        <v>7.9</v>
      </c>
      <c r="K31" s="3" t="n">
        <v>7.8</v>
      </c>
      <c r="L31" s="3" t="n">
        <v>7.8</v>
      </c>
    </row>
    <row r="32" customFormat="false" ht="15" hidden="false" customHeight="false" outlineLevel="0" collapsed="false">
      <c r="A32" s="0" t="s">
        <v>103</v>
      </c>
      <c r="C32" s="3" t="n">
        <v>12</v>
      </c>
      <c r="D32" s="3" t="n">
        <v>13</v>
      </c>
      <c r="E32" s="3" t="n">
        <v>10</v>
      </c>
      <c r="F32" s="3" t="n">
        <v>8.5</v>
      </c>
      <c r="G32" s="3" t="n">
        <v>8</v>
      </c>
      <c r="H32" s="3" t="n">
        <v>8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104</v>
      </c>
      <c r="C33" s="3" t="n">
        <v>3</v>
      </c>
      <c r="D33" s="3" t="n">
        <v>6</v>
      </c>
      <c r="E33" s="3" t="n">
        <v>10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3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12</v>
      </c>
      <c r="D41" s="3" t="n">
        <v>11</v>
      </c>
      <c r="E41" s="3" t="n">
        <v>10</v>
      </c>
      <c r="F41" s="3" t="n">
        <v>9</v>
      </c>
      <c r="G41" s="3" t="n">
        <v>7.5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29.5</v>
      </c>
      <c r="D42" s="3" t="n">
        <v>30.2</v>
      </c>
      <c r="E42" s="3" t="n">
        <v>31</v>
      </c>
      <c r="F42" s="3" t="n">
        <v>31.8</v>
      </c>
      <c r="G42" s="3" t="n">
        <v>32.3</v>
      </c>
      <c r="H42" s="3" t="n">
        <v>32.7</v>
      </c>
      <c r="I42" s="3" t="n">
        <v>33</v>
      </c>
      <c r="J42" s="3" t="n">
        <v>33.2</v>
      </c>
      <c r="K42" s="3" t="n">
        <v>33.3</v>
      </c>
      <c r="L42" s="3" t="n">
        <v>33.3</v>
      </c>
    </row>
    <row r="43" customFormat="false" ht="15" hidden="false" customHeight="false" outlineLevel="0" collapsed="false">
      <c r="A43" s="0" t="s">
        <v>100</v>
      </c>
      <c r="C43" s="3" t="n">
        <v>0.47</v>
      </c>
      <c r="D43" s="3" t="n">
        <v>0.46</v>
      </c>
      <c r="E43" s="3" t="n">
        <v>0.46</v>
      </c>
      <c r="F43" s="3" t="n">
        <v>0.45</v>
      </c>
      <c r="G43" s="3" t="n">
        <v>0.45</v>
      </c>
      <c r="H43" s="3" t="n">
        <v>0.44</v>
      </c>
      <c r="I43" s="3" t="n">
        <v>0.44</v>
      </c>
      <c r="J43" s="3" t="n">
        <v>0.44</v>
      </c>
      <c r="K43" s="3" t="n">
        <v>0.44</v>
      </c>
      <c r="L43" s="3" t="n">
        <v>0.44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7.8</v>
      </c>
      <c r="D45" s="3" t="n">
        <v>8.1</v>
      </c>
      <c r="E45" s="3" t="n">
        <v>8.3</v>
      </c>
      <c r="F45" s="3" t="n">
        <v>8.2</v>
      </c>
      <c r="G45" s="3" t="n">
        <v>8</v>
      </c>
      <c r="H45" s="3" t="n">
        <v>7.8</v>
      </c>
      <c r="I45" s="3" t="n">
        <v>7.6</v>
      </c>
      <c r="J45" s="3" t="n">
        <v>7.5</v>
      </c>
      <c r="K45" s="3" t="n">
        <v>7.4</v>
      </c>
      <c r="L45" s="3" t="n">
        <v>7.4</v>
      </c>
    </row>
    <row r="46" customFormat="false" ht="15" hidden="false" customHeight="false" outlineLevel="0" collapsed="false">
      <c r="A46" s="0" t="s">
        <v>103</v>
      </c>
      <c r="C46" s="3" t="n">
        <v>12.5</v>
      </c>
      <c r="D46" s="3" t="n">
        <v>13.5</v>
      </c>
      <c r="E46" s="3" t="n">
        <v>10.5</v>
      </c>
      <c r="F46" s="3" t="n">
        <v>8.5</v>
      </c>
      <c r="G46" s="3" t="n">
        <v>7.5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104</v>
      </c>
      <c r="C47" s="3" t="n">
        <v>2.5</v>
      </c>
      <c r="D47" s="3" t="n">
        <v>5</v>
      </c>
      <c r="E47" s="3" t="n">
        <v>8</v>
      </c>
      <c r="F47" s="3" t="n">
        <v>12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4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49242.325</v>
      </c>
      <c r="C6" s="0" t="n">
        <f aca="false">B6*(1+C5/100)</f>
        <v>50719.59475</v>
      </c>
      <c r="D6" s="0" t="n">
        <f aca="false">C6*(1+D5/100)</f>
        <v>51733.986645</v>
      </c>
      <c r="E6" s="0" t="n">
        <f aca="false">D6*(1+E5/100)</f>
        <v>52768.6663779</v>
      </c>
      <c r="F6" s="0" t="n">
        <f aca="false">E6*(1+F5/100)</f>
        <v>53560.1963735685</v>
      </c>
      <c r="G6" s="0" t="n">
        <f aca="false">F6*(1+G5/100)</f>
        <v>54363.599319172</v>
      </c>
      <c r="H6" s="0" t="n">
        <f aca="false">G6*(1+H5/100)</f>
        <v>55179.0533089596</v>
      </c>
      <c r="I6" s="0" t="n">
        <f aca="false">H6*(1+I5/100)</f>
        <v>56006.739108594</v>
      </c>
      <c r="J6" s="0" t="n">
        <f aca="false">I6*(1+J5/100)</f>
        <v>56846.8401952229</v>
      </c>
      <c r="K6" s="0" t="n">
        <f aca="false">J6*(1+K5/100)</f>
        <v>57699.5427981512</v>
      </c>
      <c r="L6" s="0" t="n">
        <f aca="false">K6*(1+L5/100)</f>
        <v>58565.0359401235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27.5</v>
      </c>
      <c r="D7" s="4" t="n">
        <f aca="false">Assumptions!D14</f>
        <v>27</v>
      </c>
      <c r="E7" s="4" t="n">
        <f aca="false">Assumptions!E14</f>
        <v>26.5</v>
      </c>
      <c r="F7" s="4" t="n">
        <f aca="false">Assumptions!F14</f>
        <v>26.5</v>
      </c>
      <c r="G7" s="4" t="n">
        <f aca="false">Assumptions!G14</f>
        <v>26.5</v>
      </c>
      <c r="H7" s="4" t="n">
        <f aca="false">Assumptions!H14</f>
        <v>26.5</v>
      </c>
      <c r="I7" s="4" t="n">
        <f aca="false">Assumptions!I14</f>
        <v>26.5</v>
      </c>
      <c r="J7" s="4" t="n">
        <f aca="false">Assumptions!J14</f>
        <v>26.5</v>
      </c>
      <c r="K7" s="4" t="n">
        <f aca="false">Assumptions!K14</f>
        <v>26.5</v>
      </c>
      <c r="L7" s="4" t="n">
        <f aca="false">Assumptions!L14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13947.88855625</v>
      </c>
      <c r="D8" s="0" t="n">
        <f aca="false">D6*D7/100</f>
        <v>13968.17639415</v>
      </c>
      <c r="E8" s="0" t="n">
        <f aca="false">E6*E7/100</f>
        <v>13983.6965901435</v>
      </c>
      <c r="F8" s="0" t="n">
        <f aca="false">F6*F7/100</f>
        <v>14193.4520389957</v>
      </c>
      <c r="G8" s="0" t="n">
        <f aca="false">G6*G7/100</f>
        <v>14406.3538195806</v>
      </c>
      <c r="H8" s="0" t="n">
        <f aca="false">H6*H7/100</f>
        <v>14622.4491268743</v>
      </c>
      <c r="I8" s="0" t="n">
        <f aca="false">I6*I7/100</f>
        <v>14841.7858637774</v>
      </c>
      <c r="J8" s="0" t="n">
        <f aca="false">J6*J7/100</f>
        <v>15064.4126517341</v>
      </c>
      <c r="K8" s="0" t="n">
        <f aca="false">K6*K7/100</f>
        <v>15290.3788415101</v>
      </c>
      <c r="L8" s="0" t="n">
        <f aca="false">L6*L7/100</f>
        <v>15519.7345241327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0.48</v>
      </c>
      <c r="D9" s="4" t="n">
        <f aca="false">Assumptions!D15</f>
        <v>0.48</v>
      </c>
      <c r="E9" s="4" t="n">
        <f aca="false">Assumptions!E15</f>
        <v>0.48</v>
      </c>
      <c r="F9" s="4" t="n">
        <f aca="false">Assumptions!F15</f>
        <v>0.48</v>
      </c>
      <c r="G9" s="4" t="n">
        <f aca="false">Assumptions!G15</f>
        <v>0.48</v>
      </c>
      <c r="H9" s="4" t="n">
        <f aca="false">Assumptions!H15</f>
        <v>0.48</v>
      </c>
      <c r="I9" s="4" t="n">
        <f aca="false">Assumptions!I15</f>
        <v>0.48</v>
      </c>
      <c r="J9" s="4" t="n">
        <f aca="false">Assumptions!J15</f>
        <v>0.48</v>
      </c>
      <c r="K9" s="4" t="n">
        <f aca="false">Assumptions!K15</f>
        <v>0.48</v>
      </c>
      <c r="L9" s="4" t="n">
        <f aca="false">Assumptions!L15</f>
        <v>0.48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-243.4540548</v>
      </c>
      <c r="D10" s="0" t="n">
        <f aca="false">-D6*D9/100</f>
        <v>-248.323135896</v>
      </c>
      <c r="E10" s="0" t="n">
        <f aca="false">-E6*E9/100</f>
        <v>-253.28959861392</v>
      </c>
      <c r="F10" s="0" t="n">
        <f aca="false">-F6*F9/100</f>
        <v>-257.088942593129</v>
      </c>
      <c r="G10" s="0" t="n">
        <f aca="false">-G6*G9/100</f>
        <v>-260.945276732026</v>
      </c>
      <c r="H10" s="0" t="n">
        <f aca="false">-H6*H9/100</f>
        <v>-264.859455883006</v>
      </c>
      <c r="I10" s="0" t="n">
        <f aca="false">-I6*I9/100</f>
        <v>-268.832347721251</v>
      </c>
      <c r="J10" s="0" t="n">
        <f aca="false">-J6*J9/100</f>
        <v>-272.86483293707</v>
      </c>
      <c r="K10" s="0" t="n">
        <f aca="false">-K6*K9/100</f>
        <v>-276.957805431126</v>
      </c>
      <c r="L10" s="0" t="n">
        <f aca="false">-L6*L9/100</f>
        <v>-281.112172512593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13704.43450145</v>
      </c>
      <c r="D11" s="0" t="n">
        <f aca="false">D8+D10+D24</f>
        <v>13719.853258254</v>
      </c>
      <c r="E11" s="0" t="n">
        <f aca="false">E8+E10+E24</f>
        <v>13730.4069915296</v>
      </c>
      <c r="F11" s="0" t="n">
        <f aca="false">F8+F10+F24</f>
        <v>13936.3630964025</v>
      </c>
      <c r="G11" s="0" t="n">
        <f aca="false">G8+G10+G24</f>
        <v>14145.4085428486</v>
      </c>
      <c r="H11" s="0" t="n">
        <f aca="false">H8+H10+H24</f>
        <v>14357.5896709913</v>
      </c>
      <c r="I11" s="0" t="n">
        <f aca="false">I8+I10+I24</f>
        <v>14572.9535160562</v>
      </c>
      <c r="J11" s="0" t="n">
        <f aca="false">J8+J10+J24</f>
        <v>14791.547818797</v>
      </c>
      <c r="K11" s="0" t="n">
        <f aca="false">K8+K10+K24</f>
        <v>15013.421036079</v>
      </c>
      <c r="L11" s="0" t="n">
        <f aca="false">L8+L10+L24</f>
        <v>15238.6223516201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-4311.16555375</v>
      </c>
      <c r="D12" s="4" t="n">
        <f aca="false">-D6*Assumptions!D17/100</f>
        <v>-4914.728731275</v>
      </c>
      <c r="E12" s="4" t="n">
        <f aca="false">-E6*Assumptions!E17/100</f>
        <v>-5276.86663779</v>
      </c>
      <c r="F12" s="4" t="n">
        <f aca="false">-F6*Assumptions!F17/100</f>
        <v>-5248.89924460971</v>
      </c>
      <c r="G12" s="4" t="n">
        <f aca="false">-G6*Assumptions!G17/100</f>
        <v>-5164.54193532134</v>
      </c>
      <c r="H12" s="4" t="n">
        <f aca="false">-H6*Assumptions!H17/100</f>
        <v>-5076.47290442428</v>
      </c>
      <c r="I12" s="4" t="n">
        <f aca="false">-I6*Assumptions!I17/100</f>
        <v>-5040.60651977346</v>
      </c>
      <c r="J12" s="4" t="n">
        <f aca="false">-J6*Assumptions!J17/100</f>
        <v>-5116.21561757006</v>
      </c>
      <c r="K12" s="4" t="n">
        <f aca="false">-K6*Assumptions!K17/100</f>
        <v>-5192.95885183361</v>
      </c>
      <c r="L12" s="4" t="n">
        <f aca="false">-L6*Assumptions!L17/100</f>
        <v>-5270.85323461111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9393.2689477</v>
      </c>
      <c r="D13" s="0" t="n">
        <f aca="false">D11+D12</f>
        <v>8805.124526979</v>
      </c>
      <c r="E13" s="0" t="n">
        <f aca="false">E11+E12</f>
        <v>8453.54035373958</v>
      </c>
      <c r="F13" s="0" t="n">
        <f aca="false">F11+F12</f>
        <v>8687.46385179281</v>
      </c>
      <c r="G13" s="0" t="n">
        <f aca="false">G11+G12</f>
        <v>8980.86660752722</v>
      </c>
      <c r="H13" s="0" t="n">
        <f aca="false">H11+H12</f>
        <v>9281.116766567</v>
      </c>
      <c r="I13" s="0" t="n">
        <f aca="false">I11+I12</f>
        <v>9532.3469962827</v>
      </c>
      <c r="J13" s="0" t="n">
        <f aca="false">J11+J12</f>
        <v>9675.33220122694</v>
      </c>
      <c r="K13" s="0" t="n">
        <f aca="false">K11+K12</f>
        <v>9820.46218424534</v>
      </c>
      <c r="L13" s="0" t="n">
        <f aca="false">L11+L12</f>
        <v>9967.76911700902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4</v>
      </c>
      <c r="D14" s="4" t="n">
        <f aca="false">Assumptions!D19</f>
        <v>8</v>
      </c>
      <c r="E14" s="4" t="n">
        <f aca="false">Assumptions!E19</f>
        <v>13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9017.538189792</v>
      </c>
      <c r="D15" s="0" t="n">
        <f aca="false">D13-MAX(0,D13)*D14/100</f>
        <v>8100.71456482068</v>
      </c>
      <c r="E15" s="0" t="n">
        <f aca="false">E13-MAX(0,E13)*E14/100</f>
        <v>7354.58010775343</v>
      </c>
      <c r="F15" s="0" t="n">
        <f aca="false">F13-MAX(0,F13)*F14/100</f>
        <v>7210.59499698803</v>
      </c>
      <c r="G15" s="0" t="n">
        <f aca="false">G13-MAX(0,G13)*G14/100</f>
        <v>7454.11928424759</v>
      </c>
      <c r="H15" s="0" t="n">
        <f aca="false">H13-MAX(0,H13)*H14/100</f>
        <v>7703.32691625061</v>
      </c>
      <c r="I15" s="0" t="n">
        <f aca="false">I13-MAX(0,I13)*I14/100</f>
        <v>7911.84800691464</v>
      </c>
      <c r="J15" s="0" t="n">
        <f aca="false">J13-MAX(0,J13)*J14/100</f>
        <v>8030.52572701836</v>
      </c>
      <c r="K15" s="0" t="n">
        <f aca="false">K13-MAX(0,K13)*K14/100</f>
        <v>8150.98361292363</v>
      </c>
      <c r="L15" s="0" t="n">
        <f aca="false">L13-MAX(0,L13)*L14/100</f>
        <v>8273.24836711749</v>
      </c>
    </row>
    <row r="16" customFormat="false" ht="15" hidden="false" customHeight="false" outlineLevel="0" collapsed="false">
      <c r="A16" s="0" t="s">
        <v>120</v>
      </c>
      <c r="C16" s="0" t="n">
        <f aca="false">-C12</f>
        <v>4311.16555375</v>
      </c>
      <c r="D16" s="0" t="n">
        <f aca="false">-D12</f>
        <v>4914.728731275</v>
      </c>
      <c r="E16" s="0" t="n">
        <f aca="false">-E12</f>
        <v>5276.86663779</v>
      </c>
      <c r="F16" s="0" t="n">
        <f aca="false">-F12</f>
        <v>5248.89924460971</v>
      </c>
      <c r="G16" s="0" t="n">
        <f aca="false">-G12</f>
        <v>5164.54193532134</v>
      </c>
      <c r="H16" s="0" t="n">
        <f aca="false">-H12</f>
        <v>5076.47290442428</v>
      </c>
      <c r="I16" s="0" t="n">
        <f aca="false">-I12</f>
        <v>5040.60651977346</v>
      </c>
      <c r="J16" s="0" t="n">
        <f aca="false">-J12</f>
        <v>5116.21561757006</v>
      </c>
      <c r="K16" s="0" t="n">
        <f aca="false">-K12</f>
        <v>5192.95885183361</v>
      </c>
      <c r="L16" s="0" t="n">
        <f aca="false">-L12</f>
        <v>5270.85323461111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-6593.5473175</v>
      </c>
      <c r="D17" s="4" t="n">
        <f aca="false">-D6*Assumptions!D18/100</f>
        <v>-7242.7581303</v>
      </c>
      <c r="E17" s="4" t="n">
        <f aca="false">-E6*Assumptions!E18/100</f>
        <v>-5804.553301569</v>
      </c>
      <c r="F17" s="4" t="n">
        <f aca="false">-F6*Assumptions!F18/100</f>
        <v>-5088.21865548901</v>
      </c>
      <c r="G17" s="4" t="n">
        <f aca="false">-G6*Assumptions!G18/100</f>
        <v>-4892.72393872548</v>
      </c>
      <c r="H17" s="4" t="n">
        <f aca="false">-H6*Assumptions!H18/100</f>
        <v>-4690.21953126157</v>
      </c>
      <c r="I17" s="4" t="n">
        <f aca="false">-I6*Assumptions!I18/100</f>
        <v>-4760.57282423049</v>
      </c>
      <c r="J17" s="4" t="n">
        <f aca="false">-J6*Assumptions!J18/100</f>
        <v>-4831.98141659395</v>
      </c>
      <c r="K17" s="4" t="n">
        <f aca="false">-K6*Assumptions!K18/100</f>
        <v>-4904.46113784285</v>
      </c>
      <c r="L17" s="4" t="n">
        <f aca="false">-L6*Assumptions!L18/100</f>
        <v>-4978.0280549105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29.545395</v>
      </c>
      <c r="D18" s="4" t="n">
        <f aca="false">(D6-C6)*Assumptions!$B$23/100</f>
        <v>20.2878379</v>
      </c>
      <c r="E18" s="4" t="n">
        <f aca="false">(E6-D6)*Assumptions!$B$23/100</f>
        <v>20.6935946580001</v>
      </c>
      <c r="F18" s="4" t="n">
        <f aca="false">(F6-E6)*Assumptions!$B$23/100</f>
        <v>15.83059991337</v>
      </c>
      <c r="G18" s="4" t="n">
        <f aca="false">(G6-F6)*Assumptions!$B$23/100</f>
        <v>16.0680589120704</v>
      </c>
      <c r="H18" s="4" t="n">
        <f aca="false">(H6-G6)*Assumptions!$B$23/100</f>
        <v>16.3090797957515</v>
      </c>
      <c r="I18" s="4" t="n">
        <f aca="false">(I6-H6)*Assumptions!$B$23/100</f>
        <v>16.5537159926878</v>
      </c>
      <c r="J18" s="4" t="n">
        <f aca="false">(J6-I6)*Assumptions!$B$23/100</f>
        <v>16.8020217325781</v>
      </c>
      <c r="K18" s="4" t="n">
        <f aca="false">(K6-J6)*Assumptions!$B$23/100</f>
        <v>17.0540520585667</v>
      </c>
      <c r="L18" s="4" t="n">
        <f aca="false">(L6-K6)*Assumptions!$B$23/100</f>
        <v>17.3098628394453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6764.701821042</v>
      </c>
      <c r="D19" s="0" t="n">
        <f aca="false">D15+D16+D17+D18</f>
        <v>5792.97300369568</v>
      </c>
      <c r="E19" s="0" t="n">
        <f aca="false">E15+E16+E17+E18</f>
        <v>6847.58703863244</v>
      </c>
      <c r="F19" s="0" t="n">
        <f aca="false">F15+F16+F17+F18</f>
        <v>7387.10618602211</v>
      </c>
      <c r="G19" s="0" t="n">
        <f aca="false">G15+G16+G17+G18</f>
        <v>7742.00533975552</v>
      </c>
      <c r="H19" s="0" t="n">
        <f aca="false">H15+H16+H17+H18</f>
        <v>8105.88936920908</v>
      </c>
      <c r="I19" s="0" t="n">
        <f aca="false">I15+I16+I17+I18</f>
        <v>8208.4354184503</v>
      </c>
      <c r="J19" s="0" t="n">
        <f aca="false">J15+J16+J17+J18</f>
        <v>8331.56194972705</v>
      </c>
      <c r="K19" s="0" t="n">
        <f aca="false">K15+K16+K17+K18</f>
        <v>8456.53537897295</v>
      </c>
      <c r="L19" s="0" t="n">
        <f aca="false">L15+L16+L17+L18</f>
        <v>8583.38340965755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6177.80988223014</v>
      </c>
      <c r="D21" s="0" t="n">
        <f aca="false">D19*D20</f>
        <v>4831.40301803189</v>
      </c>
      <c r="E21" s="0" t="n">
        <f aca="false">E19*E20</f>
        <v>5215.4910405286</v>
      </c>
      <c r="F21" s="0" t="n">
        <f aca="false">F19*F20</f>
        <v>5138.28116623094</v>
      </c>
      <c r="G21" s="0" t="n">
        <f aca="false">G19*G20</f>
        <v>4917.9359765726</v>
      </c>
      <c r="H21" s="0" t="n">
        <f aca="false">H19*H20</f>
        <v>4702.36089409657</v>
      </c>
      <c r="I21" s="0" t="n">
        <f aca="false">I19*I20</f>
        <v>4348.7210579255</v>
      </c>
      <c r="J21" s="0" t="n">
        <f aca="false">J19*J20</f>
        <v>4031.00627743779</v>
      </c>
      <c r="K21" s="0" t="n">
        <f aca="false">K19*K20</f>
        <v>3736.50353570718</v>
      </c>
      <c r="L21" s="0" t="n">
        <f aca="false">L19*L20</f>
        <v>3463.51697602081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46563.029824782</v>
      </c>
    </row>
    <row r="31" customFormat="false" ht="15" hidden="false" customHeight="false" outlineLevel="0" collapsed="false">
      <c r="A31" s="0" t="s">
        <v>129</v>
      </c>
      <c r="B31" s="0" t="n">
        <f aca="false">L19</f>
        <v>8583.38340965755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108901.67701003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85833.8340965755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85833.8340965755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34635.1697602081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81198.1995849901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117096.97158499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26.6504040189644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-0.15929324861311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1630.83746656733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1439.17801148859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27.3491168185117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64534.3271170549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20.1482947077712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7.5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49242.325</v>
      </c>
      <c r="C6" s="0" t="n">
        <f aca="false">B6*(1+C5/100)</f>
        <v>53181.711</v>
      </c>
      <c r="D6" s="0" t="n">
        <f aca="false">C6*(1+D5/100)</f>
        <v>56904.43077</v>
      </c>
      <c r="E6" s="0" t="n">
        <f aca="false">D6*(1+E5/100)</f>
        <v>61172.26307775</v>
      </c>
      <c r="F6" s="0" t="n">
        <f aca="false">E6*(1+F5/100)</f>
        <v>64842.598862415</v>
      </c>
      <c r="G6" s="0" t="n">
        <f aca="false">F6*(1+G5/100)</f>
        <v>68084.7288055358</v>
      </c>
      <c r="H6" s="0" t="n">
        <f aca="false">G6*(1+H5/100)</f>
        <v>70808.1179577572</v>
      </c>
      <c r="I6" s="0" t="n">
        <f aca="false">H6*(1+I5/100)</f>
        <v>73286.4020862787</v>
      </c>
      <c r="J6" s="0" t="n">
        <f aca="false">I6*(1+J5/100)</f>
        <v>75484.9941488671</v>
      </c>
      <c r="K6" s="0" t="n">
        <f aca="false">J6*(1+K5/100)</f>
        <v>77749.5439733331</v>
      </c>
      <c r="L6" s="0" t="n">
        <f aca="false">K6*(1+L5/100)</f>
        <v>79693.2825726664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29</v>
      </c>
      <c r="D7" s="4" t="n">
        <f aca="false">Assumptions!D28</f>
        <v>29.3</v>
      </c>
      <c r="E7" s="4" t="n">
        <f aca="false">Assumptions!E28</f>
        <v>29.8</v>
      </c>
      <c r="F7" s="4" t="n">
        <f aca="false">Assumptions!F28</f>
        <v>30.2</v>
      </c>
      <c r="G7" s="4" t="n">
        <f aca="false">Assumptions!G28</f>
        <v>30.5</v>
      </c>
      <c r="H7" s="4" t="n">
        <f aca="false">Assumptions!H28</f>
        <v>30.7</v>
      </c>
      <c r="I7" s="4" t="n">
        <f aca="false">Assumptions!I28</f>
        <v>30.8</v>
      </c>
      <c r="J7" s="4" t="n">
        <f aca="false">Assumptions!J28</f>
        <v>30.9</v>
      </c>
      <c r="K7" s="4" t="n">
        <f aca="false">Assumptions!K28</f>
        <v>31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15422.69619</v>
      </c>
      <c r="D8" s="0" t="n">
        <f aca="false">D6*D7/100</f>
        <v>16672.99821561</v>
      </c>
      <c r="E8" s="0" t="n">
        <f aca="false">E6*E7/100</f>
        <v>18229.3343971695</v>
      </c>
      <c r="F8" s="0" t="n">
        <f aca="false">F6*F7/100</f>
        <v>19582.4648564493</v>
      </c>
      <c r="G8" s="0" t="n">
        <f aca="false">G6*G7/100</f>
        <v>20765.8422856884</v>
      </c>
      <c r="H8" s="0" t="n">
        <f aca="false">H6*H7/100</f>
        <v>21738.0922130315</v>
      </c>
      <c r="I8" s="0" t="n">
        <f aca="false">I6*I7/100</f>
        <v>22572.2118425738</v>
      </c>
      <c r="J8" s="0" t="n">
        <f aca="false">J6*J7/100</f>
        <v>23324.8631919999</v>
      </c>
      <c r="K8" s="0" t="n">
        <f aca="false">K6*K7/100</f>
        <v>24102.3586317333</v>
      </c>
      <c r="L8" s="0" t="n">
        <f aca="false">L6*L7/100</f>
        <v>24704.9175975266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0.47</v>
      </c>
      <c r="D9" s="4" t="n">
        <f aca="false">Assumptions!D29</f>
        <v>0.47</v>
      </c>
      <c r="E9" s="4" t="n">
        <f aca="false">Assumptions!E29</f>
        <v>0.47</v>
      </c>
      <c r="F9" s="4" t="n">
        <f aca="false">Assumptions!F29</f>
        <v>0.46</v>
      </c>
      <c r="G9" s="4" t="n">
        <f aca="false">Assumptions!G29</f>
        <v>0.46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-249.9540417</v>
      </c>
      <c r="D10" s="0" t="n">
        <f aca="false">-D6*D9/100</f>
        <v>-267.450824619</v>
      </c>
      <c r="E10" s="0" t="n">
        <f aca="false">-E6*E9/100</f>
        <v>-287.509636465425</v>
      </c>
      <c r="F10" s="0" t="n">
        <f aca="false">-F6*F9/100</f>
        <v>-298.275954767109</v>
      </c>
      <c r="G10" s="0" t="n">
        <f aca="false">-G6*G9/100</f>
        <v>-313.189752505465</v>
      </c>
      <c r="H10" s="0" t="n">
        <f aca="false">-H6*H9/100</f>
        <v>-318.636530809907</v>
      </c>
      <c r="I10" s="0" t="n">
        <f aca="false">-I6*I9/100</f>
        <v>-329.788809388254</v>
      </c>
      <c r="J10" s="0" t="n">
        <f aca="false">-J6*J9/100</f>
        <v>-339.682473669902</v>
      </c>
      <c r="K10" s="0" t="n">
        <f aca="false">-K6*K9/100</f>
        <v>-349.872947879999</v>
      </c>
      <c r="L10" s="0" t="n">
        <f aca="false">-L6*L9/100</f>
        <v>-358.619771576999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15172.7421483</v>
      </c>
      <c r="D11" s="0" t="n">
        <f aca="false">D8+D10+D24</f>
        <v>16405.547390991</v>
      </c>
      <c r="E11" s="0" t="n">
        <f aca="false">E8+E10+E24</f>
        <v>17941.8247607041</v>
      </c>
      <c r="F11" s="0" t="n">
        <f aca="false">F8+F10+F24</f>
        <v>19284.1889016822</v>
      </c>
      <c r="G11" s="0" t="n">
        <f aca="false">G8+G10+G24</f>
        <v>20452.6525331829</v>
      </c>
      <c r="H11" s="0" t="n">
        <f aca="false">H8+H10+H24</f>
        <v>21419.4556822216</v>
      </c>
      <c r="I11" s="0" t="n">
        <f aca="false">I8+I10+I24</f>
        <v>22242.4230331856</v>
      </c>
      <c r="J11" s="0" t="n">
        <f aca="false">J8+J10+J24</f>
        <v>22985.18071833</v>
      </c>
      <c r="K11" s="0" t="n">
        <f aca="false">K8+K10+K24</f>
        <v>23752.4856838533</v>
      </c>
      <c r="L11" s="0" t="n">
        <f aca="false">L8+L10+L24</f>
        <v>24346.2978259496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-4201.355169</v>
      </c>
      <c r="D12" s="4" t="n">
        <f aca="false">-D6*Assumptions!D31/100</f>
        <v>-4723.06775391</v>
      </c>
      <c r="E12" s="4" t="n">
        <f aca="false">-E6*Assumptions!E31/100</f>
        <v>-5260.8146246865</v>
      </c>
      <c r="F12" s="4" t="n">
        <f aca="false">-F6*Assumptions!F31/100</f>
        <v>-5576.46350216769</v>
      </c>
      <c r="G12" s="4" t="n">
        <f aca="false">-G6*Assumptions!G31/100</f>
        <v>-5719.117219665</v>
      </c>
      <c r="H12" s="4" t="n">
        <f aca="false">-H6*Assumptions!H31/100</f>
        <v>-5806.26567253609</v>
      </c>
      <c r="I12" s="4" t="n">
        <f aca="false">-I6*Assumptions!I31/100</f>
        <v>-5862.9121669023</v>
      </c>
      <c r="J12" s="4" t="n">
        <f aca="false">-J6*Assumptions!J31/100</f>
        <v>-5963.3145377605</v>
      </c>
      <c r="K12" s="4" t="n">
        <f aca="false">-K6*Assumptions!K31/100</f>
        <v>-6064.46442991998</v>
      </c>
      <c r="L12" s="4" t="n">
        <f aca="false">-L6*Assumptions!L31/100</f>
        <v>-6216.07604066798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10971.3869793</v>
      </c>
      <c r="D13" s="0" t="n">
        <f aca="false">D11+D12</f>
        <v>11682.479637081</v>
      </c>
      <c r="E13" s="0" t="n">
        <f aca="false">E11+E12</f>
        <v>12681.0101360176</v>
      </c>
      <c r="F13" s="0" t="n">
        <f aca="false">F11+F12</f>
        <v>13707.7253995145</v>
      </c>
      <c r="G13" s="0" t="n">
        <f aca="false">G11+G12</f>
        <v>14733.5353135179</v>
      </c>
      <c r="H13" s="0" t="n">
        <f aca="false">H11+H12</f>
        <v>15613.1900096855</v>
      </c>
      <c r="I13" s="0" t="n">
        <f aca="false">I11+I12</f>
        <v>16379.5108662833</v>
      </c>
      <c r="J13" s="0" t="n">
        <f aca="false">J11+J12</f>
        <v>17021.8661805695</v>
      </c>
      <c r="K13" s="0" t="n">
        <f aca="false">K11+K12</f>
        <v>17688.0212539333</v>
      </c>
      <c r="L13" s="0" t="n">
        <f aca="false">L11+L12</f>
        <v>18130.2217852816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</v>
      </c>
      <c r="D14" s="4" t="n">
        <f aca="false">Assumptions!D33</f>
        <v>6</v>
      </c>
      <c r="E14" s="4" t="n">
        <f aca="false">Assumptions!E33</f>
        <v>10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10642.245369921</v>
      </c>
      <c r="D15" s="0" t="n">
        <f aca="false">D13-MAX(0,D13)*D14/100</f>
        <v>10981.5308588561</v>
      </c>
      <c r="E15" s="0" t="n">
        <f aca="false">E13-MAX(0,E13)*E14/100</f>
        <v>11412.9091224158</v>
      </c>
      <c r="F15" s="0" t="n">
        <f aca="false">F13-MAX(0,F13)*F14/100</f>
        <v>11651.5665895874</v>
      </c>
      <c r="G15" s="0" t="n">
        <f aca="false">G13-MAX(0,G13)*G14/100</f>
        <v>12523.5050164902</v>
      </c>
      <c r="H15" s="0" t="n">
        <f aca="false">H13-MAX(0,H13)*H14/100</f>
        <v>13271.2115082326</v>
      </c>
      <c r="I15" s="0" t="n">
        <f aca="false">I13-MAX(0,I13)*I14/100</f>
        <v>13922.5842363408</v>
      </c>
      <c r="J15" s="0" t="n">
        <f aca="false">J13-MAX(0,J13)*J14/100</f>
        <v>14468.5862534841</v>
      </c>
      <c r="K15" s="0" t="n">
        <f aca="false">K13-MAX(0,K13)*K14/100</f>
        <v>15034.8180658433</v>
      </c>
      <c r="L15" s="0" t="n">
        <f aca="false">L13-MAX(0,L13)*L14/100</f>
        <v>15410.6885174894</v>
      </c>
    </row>
    <row r="16" customFormat="false" ht="15" hidden="false" customHeight="false" outlineLevel="0" collapsed="false">
      <c r="A16" s="0" t="s">
        <v>120</v>
      </c>
      <c r="C16" s="0" t="n">
        <f aca="false">-C12</f>
        <v>4201.355169</v>
      </c>
      <c r="D16" s="0" t="n">
        <f aca="false">-D12</f>
        <v>4723.06775391</v>
      </c>
      <c r="E16" s="0" t="n">
        <f aca="false">-E12</f>
        <v>5260.8146246865</v>
      </c>
      <c r="F16" s="0" t="n">
        <f aca="false">-F12</f>
        <v>5576.46350216769</v>
      </c>
      <c r="G16" s="0" t="n">
        <f aca="false">-G12</f>
        <v>5719.117219665</v>
      </c>
      <c r="H16" s="0" t="n">
        <f aca="false">-H12</f>
        <v>5806.26567253609</v>
      </c>
      <c r="I16" s="0" t="n">
        <f aca="false">-I12</f>
        <v>5862.9121669023</v>
      </c>
      <c r="J16" s="0" t="n">
        <f aca="false">-J12</f>
        <v>5963.3145377605</v>
      </c>
      <c r="K16" s="0" t="n">
        <f aca="false">-K12</f>
        <v>6064.46442991998</v>
      </c>
      <c r="L16" s="0" t="n">
        <f aca="false">-L12</f>
        <v>6216.07604066798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-6381.80532</v>
      </c>
      <c r="D17" s="4" t="n">
        <f aca="false">-D6*Assumptions!D32/100</f>
        <v>-7397.5760001</v>
      </c>
      <c r="E17" s="4" t="n">
        <f aca="false">-E6*Assumptions!E32/100</f>
        <v>-6117.226307775</v>
      </c>
      <c r="F17" s="4" t="n">
        <f aca="false">-F6*Assumptions!F32/100</f>
        <v>-5511.62090330528</v>
      </c>
      <c r="G17" s="4" t="n">
        <f aca="false">-G6*Assumptions!G32/100</f>
        <v>-5446.77830444286</v>
      </c>
      <c r="H17" s="4" t="n">
        <f aca="false">-H6*Assumptions!H32/100</f>
        <v>-5664.64943662058</v>
      </c>
      <c r="I17" s="4" t="n">
        <f aca="false">-I6*Assumptions!I32/100</f>
        <v>-5496.4801564709</v>
      </c>
      <c r="J17" s="4" t="n">
        <f aca="false">-J6*Assumptions!J32/100</f>
        <v>-5661.37456116503</v>
      </c>
      <c r="K17" s="4" t="n">
        <f aca="false">-K6*Assumptions!K32/100</f>
        <v>-5831.21579799998</v>
      </c>
      <c r="L17" s="4" t="n">
        <f aca="false">-L6*Assumptions!L32/100</f>
        <v>-5976.99619294998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118.18158</v>
      </c>
      <c r="D18" s="4" t="n">
        <f aca="false">(D6-C6)*Assumptions!$B$37/100</f>
        <v>111.6815931</v>
      </c>
      <c r="E18" s="4" t="n">
        <f aca="false">(E6-D6)*Assumptions!$B$37/100</f>
        <v>128.0349692325</v>
      </c>
      <c r="F18" s="4" t="n">
        <f aca="false">(F6-E6)*Assumptions!$B$37/100</f>
        <v>110.11007353995</v>
      </c>
      <c r="G18" s="4" t="n">
        <f aca="false">(G6-F6)*Assumptions!$B$37/100</f>
        <v>97.2638982936228</v>
      </c>
      <c r="H18" s="4" t="n">
        <f aca="false">(H6-G6)*Assumptions!$B$37/100</f>
        <v>81.7016745666432</v>
      </c>
      <c r="I18" s="4" t="n">
        <f aca="false">(I6-H6)*Assumptions!$B$37/100</f>
        <v>74.3485238556449</v>
      </c>
      <c r="J18" s="4" t="n">
        <f aca="false">(J6-I6)*Assumptions!$B$37/100</f>
        <v>65.9577618776508</v>
      </c>
      <c r="K18" s="4" t="n">
        <f aca="false">(K6-J6)*Assumptions!$B$37/100</f>
        <v>67.9364947339804</v>
      </c>
      <c r="L18" s="4" t="n">
        <f aca="false">(L6-K6)*Assumptions!$B$37/100</f>
        <v>58.3121579799995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8579.976798921</v>
      </c>
      <c r="D19" s="0" t="n">
        <f aca="false">D15+D16+D17+D18</f>
        <v>8418.70420576614</v>
      </c>
      <c r="E19" s="0" t="n">
        <f aca="false">E15+E16+E17+E18</f>
        <v>10684.5324085598</v>
      </c>
      <c r="F19" s="0" t="n">
        <f aca="false">F15+F16+F17+F18</f>
        <v>11826.5192619897</v>
      </c>
      <c r="G19" s="0" t="n">
        <f aca="false">G15+G16+G17+G18</f>
        <v>12893.107830006</v>
      </c>
      <c r="H19" s="0" t="n">
        <f aca="false">H15+H16+H17+H18</f>
        <v>13494.5294187148</v>
      </c>
      <c r="I19" s="0" t="n">
        <f aca="false">I15+I16+I17+I18</f>
        <v>14363.3647706278</v>
      </c>
      <c r="J19" s="0" t="n">
        <f aca="false">J15+J16+J17+J18</f>
        <v>14836.4839919572</v>
      </c>
      <c r="K19" s="0" t="n">
        <f aca="false">K15+K16+K17+K18</f>
        <v>15336.0031924973</v>
      </c>
      <c r="L19" s="0" t="n">
        <f aca="false">L15+L16+L17+L18</f>
        <v>15708.0805231874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7835.59525015617</v>
      </c>
      <c r="D21" s="0" t="n">
        <f aca="false">D19*D20</f>
        <v>7021.291637594</v>
      </c>
      <c r="E21" s="0" t="n">
        <f aca="false">E19*E20</f>
        <v>8137.9152590093</v>
      </c>
      <c r="F21" s="0" t="n">
        <f aca="false">F19*F20</f>
        <v>8226.22278002914</v>
      </c>
      <c r="G21" s="0" t="n">
        <f aca="false">G19*G20</f>
        <v>8190.05878508201</v>
      </c>
      <c r="H21" s="0" t="n">
        <f aca="false">H19*H20</f>
        <v>7828.40038057315</v>
      </c>
      <c r="I21" s="0" t="n">
        <f aca="false">I19*I20</f>
        <v>7609.52162702</v>
      </c>
      <c r="J21" s="0" t="n">
        <f aca="false">J19*J20</f>
        <v>7178.2410630271</v>
      </c>
      <c r="K21" s="0" t="n">
        <f aca="false">K19*K20</f>
        <v>6776.18286737919</v>
      </c>
      <c r="L21" s="0" t="n">
        <f aca="false">L19*L20</f>
        <v>6338.43333755166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75141.8629874217</v>
      </c>
    </row>
    <row r="31" customFormat="false" ht="15" hidden="false" customHeight="false" outlineLevel="0" collapsed="false">
      <c r="A31" s="0" t="s">
        <v>129</v>
      </c>
      <c r="B31" s="0" t="n">
        <f aca="false">L19</f>
        <v>15708.0805231874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230011.179089529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219913.127324623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219913.127324623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88738.0667257232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163879.929713145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199778.701713145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45.4681538128007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0.434326618700339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1899.93750069832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2118.94099447846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46.3828208118687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128806.260290136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28.6966190987778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12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7.5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49242.325</v>
      </c>
      <c r="C6" s="0" t="n">
        <f aca="false">B6*(1+C5/100)</f>
        <v>55151.404</v>
      </c>
      <c r="D6" s="0" t="n">
        <f aca="false">C6*(1+D5/100)</f>
        <v>61218.05844</v>
      </c>
      <c r="E6" s="0" t="n">
        <f aca="false">D6*(1+E5/100)</f>
        <v>67339.864284</v>
      </c>
      <c r="F6" s="0" t="n">
        <f aca="false">E6*(1+F5/100)</f>
        <v>73400.45206956</v>
      </c>
      <c r="G6" s="0" t="n">
        <f aca="false">F6*(1+G5/100)</f>
        <v>78905.485974777</v>
      </c>
      <c r="H6" s="0" t="n">
        <f aca="false">G6*(1+H5/100)</f>
        <v>83639.8151332637</v>
      </c>
      <c r="I6" s="0" t="n">
        <f aca="false">H6*(1+I5/100)</f>
        <v>87821.8058899268</v>
      </c>
      <c r="J6" s="0" t="n">
        <f aca="false">I6*(1+J5/100)</f>
        <v>91334.6781255239</v>
      </c>
      <c r="K6" s="0" t="n">
        <f aca="false">J6*(1+K5/100)</f>
        <v>94531.3918599173</v>
      </c>
      <c r="L6" s="0" t="n">
        <f aca="false">K6*(1+L5/100)</f>
        <v>97367.3336157148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29.5</v>
      </c>
      <c r="D7" s="4" t="n">
        <f aca="false">Assumptions!D42</f>
        <v>30.2</v>
      </c>
      <c r="E7" s="4" t="n">
        <f aca="false">Assumptions!E42</f>
        <v>31</v>
      </c>
      <c r="F7" s="4" t="n">
        <f aca="false">Assumptions!F42</f>
        <v>31.8</v>
      </c>
      <c r="G7" s="4" t="n">
        <f aca="false">Assumptions!G42</f>
        <v>32.3</v>
      </c>
      <c r="H7" s="4" t="n">
        <f aca="false">Assumptions!H42</f>
        <v>32.7</v>
      </c>
      <c r="I7" s="4" t="n">
        <f aca="false">Assumptions!I42</f>
        <v>33</v>
      </c>
      <c r="J7" s="4" t="n">
        <f aca="false">Assumptions!J42</f>
        <v>33.2</v>
      </c>
      <c r="K7" s="4" t="n">
        <f aca="false">Assumptions!K42</f>
        <v>33.3</v>
      </c>
      <c r="L7" s="4" t="n">
        <f aca="false">Assumptions!L42</f>
        <v>33.3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16269.66418</v>
      </c>
      <c r="D8" s="0" t="n">
        <f aca="false">D6*D7/100</f>
        <v>18487.85364888</v>
      </c>
      <c r="E8" s="0" t="n">
        <f aca="false">E6*E7/100</f>
        <v>20875.35792804</v>
      </c>
      <c r="F8" s="0" t="n">
        <f aca="false">F6*F7/100</f>
        <v>23341.3437581201</v>
      </c>
      <c r="G8" s="0" t="n">
        <f aca="false">G6*G7/100</f>
        <v>25486.471969853</v>
      </c>
      <c r="H8" s="0" t="n">
        <f aca="false">H6*H7/100</f>
        <v>27350.2195485772</v>
      </c>
      <c r="I8" s="0" t="n">
        <f aca="false">I6*I7/100</f>
        <v>28981.1959436759</v>
      </c>
      <c r="J8" s="0" t="n">
        <f aca="false">J6*J7/100</f>
        <v>30323.1131376739</v>
      </c>
      <c r="K8" s="0" t="n">
        <f aca="false">K6*K7/100</f>
        <v>31478.9534893524</v>
      </c>
      <c r="L8" s="0" t="n">
        <f aca="false">L6*L7/100</f>
        <v>32423.322094033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0.47</v>
      </c>
      <c r="D9" s="4" t="n">
        <f aca="false">Assumptions!D43</f>
        <v>0.46</v>
      </c>
      <c r="E9" s="4" t="n">
        <f aca="false">Assumptions!E43</f>
        <v>0.46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0.44</v>
      </c>
      <c r="I9" s="4" t="n">
        <f aca="false">Assumptions!I43</f>
        <v>0.44</v>
      </c>
      <c r="J9" s="4" t="n">
        <f aca="false">Assumptions!J43</f>
        <v>0.44</v>
      </c>
      <c r="K9" s="4" t="n">
        <f aca="false">Assumptions!K43</f>
        <v>0.44</v>
      </c>
      <c r="L9" s="4" t="n">
        <f aca="false">Assumptions!L43</f>
        <v>0.44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-259.2115988</v>
      </c>
      <c r="D10" s="0" t="n">
        <f aca="false">-D6*D9/100</f>
        <v>-281.603068824</v>
      </c>
      <c r="E10" s="0" t="n">
        <f aca="false">-E6*E9/100</f>
        <v>-309.7633757064</v>
      </c>
      <c r="F10" s="0" t="n">
        <f aca="false">-F6*F9/100</f>
        <v>-330.30203431302</v>
      </c>
      <c r="G10" s="0" t="n">
        <f aca="false">-G6*G9/100</f>
        <v>-355.074686886497</v>
      </c>
      <c r="H10" s="0" t="n">
        <f aca="false">-H6*H9/100</f>
        <v>-368.01518658636</v>
      </c>
      <c r="I10" s="0" t="n">
        <f aca="false">-I6*I9/100</f>
        <v>-386.415945915678</v>
      </c>
      <c r="J10" s="0" t="n">
        <f aca="false">-J6*J9/100</f>
        <v>-401.872583752305</v>
      </c>
      <c r="K10" s="0" t="n">
        <f aca="false">-K6*K9/100</f>
        <v>-415.938124183636</v>
      </c>
      <c r="L10" s="0" t="n">
        <f aca="false">-L6*L9/100</f>
        <v>-428.416267909145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16010.4525812</v>
      </c>
      <c r="D11" s="0" t="n">
        <f aca="false">D8+D10+D24</f>
        <v>18206.250580056</v>
      </c>
      <c r="E11" s="0" t="n">
        <f aca="false">E8+E10+E24</f>
        <v>20565.5945523336</v>
      </c>
      <c r="F11" s="0" t="n">
        <f aca="false">F8+F10+F24</f>
        <v>23011.0417238071</v>
      </c>
      <c r="G11" s="0" t="n">
        <f aca="false">G8+G10+G24</f>
        <v>25131.3972829665</v>
      </c>
      <c r="H11" s="0" t="n">
        <f aca="false">H8+H10+H24</f>
        <v>26982.2043619909</v>
      </c>
      <c r="I11" s="0" t="n">
        <f aca="false">I8+I10+I24</f>
        <v>28594.7799977602</v>
      </c>
      <c r="J11" s="0" t="n">
        <f aca="false">J8+J10+J24</f>
        <v>29921.2405539216</v>
      </c>
      <c r="K11" s="0" t="n">
        <f aca="false">K8+K10+K24</f>
        <v>31063.0153651688</v>
      </c>
      <c r="L11" s="0" t="n">
        <f aca="false">L8+L10+L24</f>
        <v>31994.9058261239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-4301.809512</v>
      </c>
      <c r="D12" s="4" t="n">
        <f aca="false">-D6*Assumptions!D45/100</f>
        <v>-4958.66273364</v>
      </c>
      <c r="E12" s="4" t="n">
        <f aca="false">-E6*Assumptions!E45/100</f>
        <v>-5589.208735572</v>
      </c>
      <c r="F12" s="4" t="n">
        <f aca="false">-F6*Assumptions!F45/100</f>
        <v>-6018.83706970392</v>
      </c>
      <c r="G12" s="4" t="n">
        <f aca="false">-G6*Assumptions!G45/100</f>
        <v>-6312.43887798216</v>
      </c>
      <c r="H12" s="4" t="n">
        <f aca="false">-H6*Assumptions!H45/100</f>
        <v>-6523.90558039457</v>
      </c>
      <c r="I12" s="4" t="n">
        <f aca="false">-I6*Assumptions!I45/100</f>
        <v>-6674.45724763444</v>
      </c>
      <c r="J12" s="4" t="n">
        <f aca="false">-J6*Assumptions!J45/100</f>
        <v>-6850.10085941429</v>
      </c>
      <c r="K12" s="4" t="n">
        <f aca="false">-K6*Assumptions!K45/100</f>
        <v>-6995.32299763388</v>
      </c>
      <c r="L12" s="4" t="n">
        <f aca="false">-L6*Assumptions!L45/100</f>
        <v>-7205.18268756289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11708.6430692</v>
      </c>
      <c r="D13" s="0" t="n">
        <f aca="false">D11+D12</f>
        <v>13247.587846416</v>
      </c>
      <c r="E13" s="0" t="n">
        <f aca="false">E11+E12</f>
        <v>14976.3858167616</v>
      </c>
      <c r="F13" s="0" t="n">
        <f aca="false">F11+F12</f>
        <v>16992.2046541032</v>
      </c>
      <c r="G13" s="0" t="n">
        <f aca="false">G11+G12</f>
        <v>18818.9584049843</v>
      </c>
      <c r="H13" s="0" t="n">
        <f aca="false">H11+H12</f>
        <v>20458.2987815963</v>
      </c>
      <c r="I13" s="0" t="n">
        <f aca="false">I11+I12</f>
        <v>21920.3227501257</v>
      </c>
      <c r="J13" s="0" t="n">
        <f aca="false">J11+J12</f>
        <v>23071.1396945073</v>
      </c>
      <c r="K13" s="0" t="n">
        <f aca="false">K11+K12</f>
        <v>24067.6923675349</v>
      </c>
      <c r="L13" s="0" t="n">
        <f aca="false">L11+L12</f>
        <v>24789.723138561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2.5</v>
      </c>
      <c r="D14" s="4" t="n">
        <f aca="false">Assumptions!D47</f>
        <v>5</v>
      </c>
      <c r="E14" s="4" t="n">
        <f aca="false">Assumptions!E47</f>
        <v>8</v>
      </c>
      <c r="F14" s="4" t="n">
        <f aca="false">Assumptions!F47</f>
        <v>12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11415.92699247</v>
      </c>
      <c r="D15" s="0" t="n">
        <f aca="false">D13-MAX(0,D13)*D14/100</f>
        <v>12585.2084540952</v>
      </c>
      <c r="E15" s="0" t="n">
        <f aca="false">E13-MAX(0,E13)*E14/100</f>
        <v>13778.2749514207</v>
      </c>
      <c r="F15" s="0" t="n">
        <f aca="false">F13-MAX(0,F13)*F14/100</f>
        <v>14953.1400956108</v>
      </c>
      <c r="G15" s="0" t="n">
        <f aca="false">G13-MAX(0,G13)*G14/100</f>
        <v>15996.1146442367</v>
      </c>
      <c r="H15" s="0" t="n">
        <f aca="false">H13-MAX(0,H13)*H14/100</f>
        <v>17389.5539643568</v>
      </c>
      <c r="I15" s="0" t="n">
        <f aca="false">I13-MAX(0,I13)*I14/100</f>
        <v>18632.2743376069</v>
      </c>
      <c r="J15" s="0" t="n">
        <f aca="false">J13-MAX(0,J13)*J14/100</f>
        <v>19610.4687403312</v>
      </c>
      <c r="K15" s="0" t="n">
        <f aca="false">K13-MAX(0,K13)*K14/100</f>
        <v>20457.5385124047</v>
      </c>
      <c r="L15" s="0" t="n">
        <f aca="false">L13-MAX(0,L13)*L14/100</f>
        <v>21071.2646677768</v>
      </c>
    </row>
    <row r="16" customFormat="false" ht="15" hidden="false" customHeight="false" outlineLevel="0" collapsed="false">
      <c r="A16" s="0" t="s">
        <v>120</v>
      </c>
      <c r="C16" s="0" t="n">
        <f aca="false">-C12</f>
        <v>4301.809512</v>
      </c>
      <c r="D16" s="0" t="n">
        <f aca="false">-D12</f>
        <v>4958.66273364</v>
      </c>
      <c r="E16" s="0" t="n">
        <f aca="false">-E12</f>
        <v>5589.208735572</v>
      </c>
      <c r="F16" s="0" t="n">
        <f aca="false">-F12</f>
        <v>6018.83706970392</v>
      </c>
      <c r="G16" s="0" t="n">
        <f aca="false">-G12</f>
        <v>6312.43887798216</v>
      </c>
      <c r="H16" s="0" t="n">
        <f aca="false">-H12</f>
        <v>6523.90558039457</v>
      </c>
      <c r="I16" s="0" t="n">
        <f aca="false">-I12</f>
        <v>6674.45724763444</v>
      </c>
      <c r="J16" s="0" t="n">
        <f aca="false">-J12</f>
        <v>6850.10085941429</v>
      </c>
      <c r="K16" s="0" t="n">
        <f aca="false">-K12</f>
        <v>6995.32299763388</v>
      </c>
      <c r="L16" s="0" t="n">
        <f aca="false">-L12</f>
        <v>7205.18268756289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-6893.9255</v>
      </c>
      <c r="D17" s="4" t="n">
        <f aca="false">-D6*Assumptions!D46/100</f>
        <v>-8264.4378894</v>
      </c>
      <c r="E17" s="4" t="n">
        <f aca="false">-E6*Assumptions!E46/100</f>
        <v>-7070.68574982</v>
      </c>
      <c r="F17" s="4" t="n">
        <f aca="false">-F6*Assumptions!F46/100</f>
        <v>-6239.0384259126</v>
      </c>
      <c r="G17" s="4" t="n">
        <f aca="false">-G6*Assumptions!G46/100</f>
        <v>-5917.91144810828</v>
      </c>
      <c r="H17" s="4" t="n">
        <f aca="false">-H6*Assumptions!H46/100</f>
        <v>-5854.78705932846</v>
      </c>
      <c r="I17" s="4" t="n">
        <f aca="false">-I6*Assumptions!I46/100</f>
        <v>-6147.52641229488</v>
      </c>
      <c r="J17" s="4" t="n">
        <f aca="false">-J6*Assumptions!J46/100</f>
        <v>-6393.42746878667</v>
      </c>
      <c r="K17" s="4" t="n">
        <f aca="false">-K6*Assumptions!K46/100</f>
        <v>-6617.19743019421</v>
      </c>
      <c r="L17" s="4" t="n">
        <f aca="false">-L6*Assumptions!L46/100</f>
        <v>-6815.71335310003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236.36316</v>
      </c>
      <c r="D18" s="4" t="n">
        <f aca="false">(D6-C6)*Assumptions!$B$51/100</f>
        <v>242.6661776</v>
      </c>
      <c r="E18" s="4" t="n">
        <f aca="false">(E6-D6)*Assumptions!$B$51/100</f>
        <v>244.87223376</v>
      </c>
      <c r="F18" s="4" t="n">
        <f aca="false">(F6-E6)*Assumptions!$B$51/100</f>
        <v>242.4235114224</v>
      </c>
      <c r="G18" s="4" t="n">
        <f aca="false">(G6-F6)*Assumptions!$B$51/100</f>
        <v>220.20135620868</v>
      </c>
      <c r="H18" s="4" t="n">
        <f aca="false">(H6-G6)*Assumptions!$B$51/100</f>
        <v>189.373166339465</v>
      </c>
      <c r="I18" s="4" t="n">
        <f aca="false">(I6-H6)*Assumptions!$B$51/100</f>
        <v>167.279630266528</v>
      </c>
      <c r="J18" s="4" t="n">
        <f aca="false">(J6-I6)*Assumptions!$B$51/100</f>
        <v>140.514889423883</v>
      </c>
      <c r="K18" s="4" t="n">
        <f aca="false">(K6-J6)*Assumptions!$B$51/100</f>
        <v>127.868549375733</v>
      </c>
      <c r="L18" s="4" t="n">
        <f aca="false">(L6-K6)*Assumptions!$B$51/100</f>
        <v>113.437670231901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9060.17416447</v>
      </c>
      <c r="D19" s="0" t="n">
        <f aca="false">D15+D16+D17+D18</f>
        <v>9522.0994759352</v>
      </c>
      <c r="E19" s="0" t="n">
        <f aca="false">E15+E16+E17+E18</f>
        <v>12541.6701709327</v>
      </c>
      <c r="F19" s="0" t="n">
        <f aca="false">F15+F16+F17+F18</f>
        <v>14975.3622508245</v>
      </c>
      <c r="G19" s="0" t="n">
        <f aca="false">G15+G16+G17+G18</f>
        <v>16610.8434303192</v>
      </c>
      <c r="H19" s="0" t="n">
        <f aca="false">H15+H16+H17+H18</f>
        <v>18248.0456517624</v>
      </c>
      <c r="I19" s="0" t="n">
        <f aca="false">I15+I16+I17+I18</f>
        <v>19326.484803213</v>
      </c>
      <c r="J19" s="0" t="n">
        <f aca="false">J15+J16+J17+J18</f>
        <v>20207.6570203828</v>
      </c>
      <c r="K19" s="0" t="n">
        <f aca="false">K15+K16+K17+K18</f>
        <v>20963.5326292201</v>
      </c>
      <c r="L19" s="0" t="n">
        <f aca="false">L15+L16+L17+L18</f>
        <v>21574.1716724716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8312.08638942202</v>
      </c>
      <c r="D21" s="0" t="n">
        <f aca="false">D19*D20</f>
        <v>8014.56062278866</v>
      </c>
      <c r="E21" s="0" t="n">
        <f aca="false">E19*E20</f>
        <v>9684.47051836884</v>
      </c>
      <c r="F21" s="0" t="n">
        <f aca="false">F19*F20</f>
        <v>10608.9241633181</v>
      </c>
      <c r="G21" s="0" t="n">
        <f aca="false">G19*G20</f>
        <v>10795.9084982521</v>
      </c>
      <c r="H21" s="0" t="n">
        <f aca="false">H19*H20</f>
        <v>10880.7134015463</v>
      </c>
      <c r="I21" s="0" t="n">
        <f aca="false">I19*I20</f>
        <v>10572.2490198015</v>
      </c>
      <c r="J21" s="0" t="n">
        <f aca="false">J19*J20</f>
        <v>10141.5416497228</v>
      </c>
      <c r="K21" s="0" t="n">
        <f aca="false">K19*K20</f>
        <v>9652.19277928933</v>
      </c>
      <c r="L21" s="0" t="n">
        <f aca="false">L19*L20</f>
        <v>9113.16326427484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97775.8103067844</v>
      </c>
    </row>
    <row r="31" customFormat="false" ht="15" hidden="false" customHeight="false" outlineLevel="0" collapsed="false">
      <c r="A31" s="0" t="s">
        <v>129</v>
      </c>
      <c r="B31" s="0" t="n">
        <f aca="false">L19</f>
        <v>21574.1716724716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370356.613710762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345186.746759546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345186.746759546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145810.612228397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243586.422535182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279485.194535182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63.6087616175056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1.0065855399844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2183.77272220489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3106.61152095306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64.8128139135412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185178.306855381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35.2472969392048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26.6504040189644</v>
      </c>
      <c r="C4" s="0" t="n">
        <f aca="false">B4/Assumptions!$B$2-1</f>
        <v>-0.15929324861311</v>
      </c>
      <c r="D4" s="4" t="n">
        <f aca="false">Assumptions!$B$24</f>
        <v>0.25</v>
      </c>
      <c r="E4" s="4" t="n">
        <f aca="false">DCF_Bear!$B$43</f>
        <v>27.3491168185117</v>
      </c>
      <c r="F4" s="4" t="n">
        <f aca="false">DCF_Bear!$B$47</f>
        <v>20.1482947077712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45.4681538128007</v>
      </c>
      <c r="C5" s="0" t="n">
        <f aca="false">B5/Assumptions!$B$2-1</f>
        <v>0.434326618700339</v>
      </c>
      <c r="D5" s="4" t="n">
        <f aca="false">Assumptions!$B$38</f>
        <v>0.5</v>
      </c>
      <c r="E5" s="4" t="n">
        <f aca="false">DCF_Base!$B$43</f>
        <v>46.3828208118687</v>
      </c>
      <c r="F5" s="4" t="n">
        <f aca="false">DCF_Base!$B$47</f>
        <v>28.6966190987778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63.6087616175056</v>
      </c>
      <c r="C6" s="0" t="n">
        <f aca="false">B6/Assumptions!$B$2-1</f>
        <v>1.0065855399844</v>
      </c>
      <c r="D6" s="4" t="n">
        <f aca="false">Assumptions!$B$52</f>
        <v>0.25</v>
      </c>
      <c r="E6" s="4" t="n">
        <f aca="false">DCF_Bull!$B$43</f>
        <v>64.8128139135412</v>
      </c>
      <c r="F6" s="4" t="n">
        <f aca="false">DCF_Bull!$B$47</f>
        <v>35.2472969392048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45.2988683155179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46.2318930889476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0.300203268231744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-1457.50345572601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28.1972074611329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46.8394719645496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45.4681538128007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43.6986487164347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39.265424780414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35.7753851745139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28.6966190987778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51.3548180058553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51.3548180058553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51.3548180058553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51.3548180058553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51.3548180058553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48.2753332536434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48.2753332536434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48.2753332536434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48.2753332536434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48.2753332536434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43.5747668900128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44.8911216077606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45.4681538128007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45.4681538128007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45.4681538128007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39.3204218437013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40.2717477420479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41.3419893776878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42.5549298980797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42.9061886913153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35.93089481604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36.6372999476775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37.4221945383858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38.2994296691774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39.286319191318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2026-09-25T18:13:41Z</dcterms:created>
  <dc:creator>openpyxl</dc:creator>
  <dc:description/>
  <dc:language>en-NZ</dc:language>
  <cp:lastModifiedBy/>
  <dcterms:modified xsi:type="dcterms:W3CDTF">2026-09-25T18:13:41Z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