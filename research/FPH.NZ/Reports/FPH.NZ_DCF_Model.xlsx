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Sanity Check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<sst xmlns="http://schemas.openxmlformats.org/spreadsheetml/2006/main" count="200" uniqueCount="176">
  <si>
    <t>FPH.NZ DCF Valuation Model (Fisher &amp; Paykel Healthcare)</t>
  </si>
  <si>
    <t>Gray cells are INPUTS - adjust to see valuation change. All figures NZ$ millions unless noted.</t>
  </si>
  <si>
    <t>KEY INPUTS</t>
  </si>
  <si>
    <t>Current Stock Price (NZD)</t>
  </si>
  <si>
    <t>Shares Outstanding (M)</t>
  </si>
  <si>
    <t>Cash &amp; Equivalents (M)</t>
  </si>
  <si>
    <t>Total Debt (M)</t>
  </si>
  <si>
    <t>Net Debt (M) [negative = net cash]</t>
  </si>
  <si>
    <t>Reported FCF FY2026 (M)</t>
  </si>
  <si>
    <t>Less: SBC incl. equity-award taxes (M)</t>
  </si>
  <si>
    <t>Less: Interest Income (M)</t>
  </si>
  <si>
    <t>Base Year Owner FCF (M)</t>
  </si>
  <si>
    <t>Annual Share Growth (uncovered dilution)</t>
  </si>
  <si>
    <t>WACC (Base)</t>
  </si>
  <si>
    <t>Terminal Growth Rate (Base)</t>
  </si>
  <si>
    <t>Terminal Cap Multiple (Base)</t>
  </si>
  <si>
    <t>BASE CASE COMPONENT ASSUMPTIONS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</si>
  <si>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</si>
  <si>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</si>
  <si>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</si>
  <si>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</si>
  <si>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</si>
  <si>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</si>
  <si>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</si>
  <si>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</si>
  <si>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</si>
  <si>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</si>
  <si>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Revenue Growth %</t>
  </si>
  <si>
    <t>EBITDA Margin %</t>
  </si>
  <si>
    <t>SBC % of Revenue</t>
  </si>
  <si>
    <t>D&amp;A % of Revenue</t>
  </si>
  <si>
    <t>Capex % of Revenue</t>
  </si>
  <si>
    <t>Cash Tax Rate %</t>
  </si>
  <si>
    <t>WC Capture % of Rev Increase</t>
  </si>
  <si>
    <t>PROJECTIONS (Base Case)</t>
  </si>
  <si>
    <t>Revenue</t>
  </si>
  <si>
    <t>Adj. EBITDA</t>
  </si>
  <si>
    <t>Less: SBC</t>
  </si>
  <si>
    <t>Less: D&amp;A</t>
  </si>
  <si>
    <t>EBIT (owner, after SBC)</t>
  </si>
  <si>
    <t>NOPAT</t>
  </si>
  <si>
    <t>Less: Capex</t>
  </si>
  <si>
    <t>Less: Working Capital (on rev change)</t>
  </si>
  <si>
    <t>Owner FCF</t>
  </si>
  <si>
    <t>Owner FCF Margin %</t>
  </si>
  <si>
    <t>Discount Factor</t>
  </si>
  <si>
    <t>PV of Owner FCF</t>
  </si>
  <si>
    <t>VALUATION</t>
  </si>
  <si>
    <t>Sum of PV of FCF (Yr1-Yr10)</t>
  </si>
  <si>
    <t>Terminal FCF (Year 10 * (1+g))</t>
  </si>
  <si>
    <t>Gordon Terminal Value</t>
  </si>
  <si>
    <t>Cap Terminal Value (20x Yr10 FCF)</t>
  </si>
  <si>
    <t>Terminal Value (lower of Gordon/Cap)</t>
  </si>
  <si>
    <t>PV of Terminal Value</t>
  </si>
  <si>
    <t>Enterprise Value</t>
  </si>
  <si>
    <t>Less: Net Debt (negative = net cash added)</t>
  </si>
  <si>
    <t>Equity Value</t>
  </si>
  <si>
    <t>INTRINSIC VALUE/SHARE</t>
  </si>
  <si>
    <t>ENTRY PRICE (15% IRR Target, 10yr horizon)</t>
  </si>
  <si>
    <t>PV of Yrs 1-10 FCF @15%</t>
  </si>
  <si>
    <t>PV of Terminal Value @15%</t>
  </si>
  <si>
    <t>Less: Net Debt</t>
  </si>
  <si>
    <t>Entry Price (15% IRR)</t>
  </si>
  <si>
    <t>Upside to Intrinsic Value</t>
  </si>
  <si>
    <t>Upside to Entry Price (discount needed)</t>
  </si>
  <si>
    <t>NOTE: FPH has historically traded 30-60x P/E — a premium the market</t>
  </si>
  <si>
    <t>has sustained for a decade+. A conventional DCF at a market WACC will</t>
  </si>
  <si>
    <t>likely show intrinsic value below market price. See Sanity Check sheet.</t>
  </si>
  <si>
    <t>Sensitivity Analysis (Base Case)</t>
  </si>
  <si>
    <t>Intrinsic Value by WACC &amp; Terminal Growth</t>
  </si>
  <si>
    <t>WACC \ Term G</t>
  </si>
  <si>
    <t>Note: array-style SUMPRODUCT formula recomputes full 10yr DCF at each</t>
  </si>
  <si>
    <t>WACC/terminal-growth combination using the Base Case FCF path fixed.</t>
  </si>
  <si>
    <t>FCF Quality: Reported vs Owner FCF</t>
  </si>
  <si>
    <t>Reconciliation across available historical years (NZ$ millions)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</si>
  <si>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</si>
  <si>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</si>
  <si>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</si>
  <si>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</si>
  <si>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</si>
  <si>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</si>
  <si>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</si>
  <si>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</si>
  <si>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</si>
  <si>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Reported FCF (company definition)</t>
  </si>
  <si>
    <t>Less: SBC incl. equity-award taxes</t>
  </si>
  <si>
    <t>Less: Interest Income</t>
  </si>
  <si>
    <t>Reported FCF Margin %</t>
  </si>
  <si>
    <t>Revenue (memo)</t>
  </si>
  <si>
    <t>Memo: Cash tax rate (effective, %)</t>
  </si>
  <si>
    <t>FY2024 flagged: 43.7% is abnormal (recall provision</t>
  </si>
  <si>
    <t>+ $98.1m land revaluation charge + NZ depreciation tax law change</t>
  </si>
  <si>
    <t>distorted both numerator (NPAT) and effective rate; underlying</t>
  </si>
  <si>
    <t>NPAT for FY2024 was $264.4m per company disclosure).</t>
  </si>
  <si>
    <t>Note: FPH is NOT a deferred-revenue/subscription business, so unlike</t>
  </si>
  <si>
    <t>SaaS names, historical OCF is not inflated by deferred-revenue timing.</t>
  </si>
  <si>
    <t>FY2026 capex ($195.2m) is LOW relative to the FY2023-26 average (~$210m)</t>
  </si>
  <si>
    <t>and the ongoing capex supercycle (5th East Tamaki bldg, Karaka, Mexico,</t>
  </si>
  <si>
    <t>China) — do not extrapolate FY2026 reported FCF margin flat forward.</t>
  </si>
  <si>
    <t>SBC as % of Revenue (FY2026)</t>
  </si>
  <si>
    <t>FPH funds equity comp via employee share schemes / DRP, NOT net-settled</t>
  </si>
  <si>
    <t>RSUs, so equity_award_taxes = 0 in the KPI table (no separate cash tax</t>
  </si>
  <si>
    <t>withholding outflow on vesting to add). Buybacks = 0 (FPH has never run</t>
  </si>
  <si>
    <t>a repurchase program) so 100% of SBC is uncovered/dilutive (small: ~0.06%/yr).</t>
  </si>
  <si>
    <t>Historical Growth Rates</t>
  </si>
  <si>
    <t>Standard 3yr/5yr CAGR windows are COVID-distorted for FPH — see notes.</t>
  </si>
  <si>
    <t>Metric</t>
  </si>
  <si>
    <t>Value</t>
  </si>
  <si>
    <t>Revenue 3yr CAGR (distorted, low base)</t>
  </si>
  <si>
    <t>Revenue 5yr CAGR (COVID-distorted)</t>
  </si>
  <si>
    <t>Revenue FY19-FY26 through-cycle CAGR</t>
  </si>
  <si>
    <t>EPS FY19-FY26 through-cycle CAGR</t>
  </si>
  <si>
    <t>Equity FY19-FY26 through-cycle CAGR</t>
  </si>
  <si>
    <t>Selected Growth Rate (DCF Year-1 anchor basis):</t>
  </si>
  <si>
    <t>Source:</t>
  </si>
  <si>
    <t>revenue_through_cycle_cagr_fy19_fy26</t>
  </si>
  <si>
    <t>FY2027 explicit guidance (anchors Year 1):</t>
  </si>
  <si>
    <t>Revenue NZ$2.45-2.57bn (mid NZ$2.51bn); NPAT NZ$500-550m (mid NZ$525m)</t>
  </si>
  <si>
    <t>Standard trailing 3yr/5yr CAGR windows are unusable for FPH: any window starting or ending in FY2021/FY2022 is COVID-hardware-pull-forward distorted (5yr revenue CAGR of only 3.2% reflects the post-COVID consumables/utilisation normalization, not a growth slowdown), and the 3yr window (13.4%) is inflated by the low FY2023 base. Per ticker guidance, the FY2019-&gt;FY2026 through-cycle CAGR (spanning one full pre-COVID to post-COVID cycle) is used instead: revenue 11.6%, EPS 11.8%, shareholders' equity 12.8%, NPAT 12.2% — all clustered within a few points of each other (no &gt;30% divergence flag needed). FY2024 NPAT/EPS (7.6% margin, 22.8cps) is a genuine reported low from a product recall + $98.1m land revaluation charge + an NZ building-depreciation tax law change; FPH's own underlying NPAT for FY2024 was $264.4m (15.2% margin) — the through-cycle CAGR calc uses reported FY2026 vs reported FY2019 endpoints so this one-off does not touch the anchor years, but readers should not mistake FY2024 for a genuine cyclical trough when eyeballing the raw series.</t>
  </si>
  <si>
    <t>Valuation Sanity Check: Historical Multiples</t>
  </si>
  <si>
    <t>March fiscal-year-end closes, 10yr Yahoo Finance history</t>
  </si>
  <si>
    <t>FY</t>
  </si>
  <si>
    <t>Price</t>
  </si>
  <si>
    <t>P/E</t>
  </si>
  <si>
    <t>P/B</t>
  </si>
  <si>
    <t>EV/EBITDA</t>
  </si>
  <si>
    <t>P/S</t>
  </si>
  <si>
    <t>Excluded?</t>
  </si>
  <si>
    <t>COVID hardware pull-forward</t>
  </si>
  <si>
    <t>COVID normalization</t>
  </si>
  <si>
    <t>recall + land revaluation + tax law change depressed reported NPAT; underlying P/E ~56.7x</t>
  </si>
  <si>
    <t>Historical Avg (ex-outliers)</t>
  </si>
  <si>
    <t>Current Price Multiples</t>
  </si>
  <si>
    <t>Implied Multiples at Base IV</t>
  </si>
  <si>
    <t>RESULT:</t>
  </si>
  <si>
    <t>PASS</t>
  </si>
  <si>
    <t>Current market price (P/E 53.4x, P/B 11.8x, EV/EBITDA 30.9x, P/S 10.8x) trades essentially IN LINE with FPH's own historical average premium multiples (ex-COVID/FY24: P/E 50.6x, P/B 11.2x, EV/EBITDA 30.6x, P/S 9.8x) — the market is not currently pricing FPH at an unusual extreme versus its own history. The base-case DCF's implied multiples (P/E 26.9x, P/B 6.0x, EV/EBITDA 15.4x, P/S 5.5x) sit well BELOW both the historical average and the current price. Per the ticker-specific guidance for this valuation, this is the expected and correct sanity-check outcome for FPH: the check exists to catch implied multiples that are IMPLAUSIBLY HIGH versus history (i.e., a DCF that has over-shot on optimism), and it PASSES cleanly here because the implied multiples are conservative, not inflated. No assumptions were adjusted to close this gap.</t>
  </si>
  <si>
    <t>Model Provenance &amp; Methodology</t>
  </si>
  <si>
    <t>Ticker</t>
  </si>
  <si>
    <t>FPH.NZ (Fisher &amp; Paykel Healthcare Corporation Limited, NZX/ASX: FPH)</t>
  </si>
  <si>
    <t>Built by</t>
  </si>
  <si>
    <t>Claude agent (DCF valuation skill), per project research pipeline</t>
  </si>
  <si>
    <t>Valuation date</t>
  </si>
  <si>
    <t>2026-08-11</t>
  </si>
  <si>
    <t>Share price date/source</t>
  </si>
  <si>
    <t>NZ$42.58 — live quote via Yahoo Finance FPH.NZ chart API, fetched 2026-08-11 (regularMarketTime confirmed same-day, actively traded)</t>
  </si>
  <si>
    <t>Data vintage</t>
  </si>
  <si>
    <t>FY2026 (year ended 31 March 2026) annual result, 25-May-2026; FY2027 guidance revenue NZ$2.45-2.57bn / NPAT NZ$500-550m issued alongside FY2026 result</t>
  </si>
  <si>
    <t>Fiscal year</t>
  </si>
  <si>
    <t>Ends 31 March. FY2026 = year ended 31-Mar-2026 (most recent actual). Projections FY2027 (Year 1) through FY2036 (Year 10).</t>
  </si>
  <si>
    <t>Horizon</t>
  </si>
  <si>
    <t>10-year explicit component build, per project policy — Year-5 owner-FCF margin (19.3%) is still materially below the Year-10 mature margin (21.0%), driven by the ongoing capex supercycle, so a 10yr horizon is required rather than 5yr.</t>
  </si>
  <si>
    <t>Methodology</t>
  </si>
  <si>
    <t>Component-built owner FCF: Revenue -&gt; Adj. EBITDA (margin path) -&gt; less SBC (% of revenue) -&gt; less D&amp;A (% of revenue, ramped up for new buildings then tapered) -&gt; EBIT -&gt; NOPAT (after ramped cash tax rate) -&gt; +D&amp;A -&gt; less Capex (% of revenue, elevated during build years then taper to ~6.5% maintenance) -&gt; less Working Capital (17% capture rate on YoY revenue INCREASE, not on revenue level) -&gt; Owner FCF.</t>
  </si>
  <si>
    <t>SBC treatment</t>
  </si>
  <si>
    <t>FY2026 SBC $13.9m (0.60% of revenue) per Metrics.csv StockBasedComp. equity_award_taxes and buybacks both = 0 in DuckDB kpis (FPH funds equity comp via employee share schemes/DRP, not net-settled RSUs, and has never run a share repurchase program) — so 100% of SBC is uncovered dilution. This is a SMALL annual dilution effect (~0.056%/yr) unlike SBC-heavy tech names, because FPH SBC is &lt;1% of revenue.</t>
  </si>
  <si>
    <t>Interest income treatment</t>
  </si>
  <si>
    <t>Stripped from owner FCF (NZ$8.2m FY2026) despite net cash/FCF ratio (0.86x) sitting just under the project 1x materiality threshold — done for consistency since net cash is added back to enterprise value at the end of the DCF, and the amount is immaterial (&lt;2% of FCF) either way.</t>
  </si>
  <si>
    <t>Working capital</t>
  </si>
  <si>
    <t>Modelled as 17% (base case) of the YEAR-OVER-YEAR REVENUE INCREASE, not a flat % of revenue level — FPH carries heavy manufacturing inventory (NZ/Mexico/China) so a genuine WC drag scales with growth, consistent with project policy.</t>
  </si>
  <si>
    <t>Capex supercycle</t>
  </si>
  <si>
    <t>FY2026 actual capex $195.2m is LOW relative to the FY2023-26 average (~$210m) and does NOT reflect the ongoing build programme (5th East Tamaki building opening 2027, Karaka campus final land payment due Dec-2026, continued Mexico/China expansion). Capex % of revenue is modelled at 9.5-9.8% in Years 1-2 (peak build), tapering to ~6.5% maintenance by Year 8-10.</t>
  </si>
  <si>
    <t>Cash tax rate</t>
  </si>
  <si>
    <t>Effective tax rate history: 22.5%-29.0% (ex-FY2024 43.7% one-off from recall + $98.1m land revaluation + NZ depreciation tax law change). Ramped from FY2026 actual 25.8% toward NZ statutory 28% by Year 10, consistent with FPH historically running slightly below statutory.</t>
  </si>
  <si>
    <t>WACC</t>
  </si>
  <si>
    <t>Base 9.0%, Bull 8.0%, Bear 10.5%. See wacc_rationale field in the JSON for full justification — large-cap, net-cash, low-leverage quality compounder; NO small-cap illiquidity premium stacked. FX translation risk (~99% non-NZD revenue vs NZD/MXN cost base) and US tariff exposure (90bps FY2026 drag, ~50bps guided FY2027) are the primary risk premiums included.</t>
  </si>
  <si>
    <t>Terminal value</t>
  </si>
  <si>
    <t>Lower of Gordon growth and a 20x (base/bull) or 15x (bear) FCF cap multiple. Base case is Gordon-bound (implied exit multiple 18.8x); Bull case is CAP-bound (Gordon would imply 26x, capped at 20x).</t>
  </si>
  <si>
    <t>Valuation result</t>
  </si>
  <si>
    <t>Base case IV NZ$21.47, -49.6% vs current price NZ$42.58. This is a materially BELOW-MARKET result and is EXPECTED/CORRECT for FPH — see the Sanity Check and valuation_philosophy JSON fields. FPH has traded at 30-60x P/E for essentially its entire listed history; the current price multiple is in line with (not above) FPH's own historical average, so the DCF gap reflects the market's persistent willingness to pay a scarcity/quality premium below a bottom-up discount rate, not an overvaluation signal on its own.</t>
  </si>
  <si>
    <t>What to refresh after next earnings</t>
  </si>
  <si>
    <t>H1 FY2027 result (due ~Nov-2026): update FY2027 revenue/NPAT trajectory vs guidance, refresh SBC/capex actuals, check whether the 5th East Tamaki building capex is tracking the assumed Year 1-2 peak, and refresh the Yahoo Finance historical price series for the Sanity Check sheet.</t>
  </si>
  <si>
    <t>Cell colour conventions</t>
  </si>
  <si>
    <t>Gray cells = editable inputs. White cells = formulas (do not hardcode over these). Green cells = key output results (Intrinsic Value, Entry Price). All dollar figures NZ$ millions except per-share values.</t>
  </si>
  <si>
    <t>Staleness warning</t>
  </si>
  <si>
    <t>This model reflects data as of the valuation date above. Figures WILL go stale — re-check price, guidance, and capex actuals before relying on this model for a live investment decision.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</si>
</sst>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cols>
    <col min="1" max="1" width="28.7109375" customWidth="1"/>
    <col min="2" max="12" width="13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42.58</v>
      </c>
    </row>
    <row r="6" spans="1:2">
      <c r="A6" t="s">
        <v>4</v>
      </c>
      <c r="B6" s="4">
        <v>587.3</v>
      </c>
    </row>
    <row r="7" spans="1:2">
      <c r="A7" t="s">
        <v>5</v>
      </c>
      <c r="B7" s="4">
        <v>461.1</v>
      </c>
    </row>
    <row r="8" spans="1:2">
      <c r="A8" t="s">
        <v>6</v>
      </c>
      <c r="B8" s="4">
        <v>59.8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468</v>
      </c>
    </row>
    <row r="11" spans="1:2">
      <c r="A11" t="s">
        <v>9</v>
      </c>
      <c r="B11" s="4">
        <v>13.9</v>
      </c>
    </row>
    <row r="12" spans="1:2">
      <c r="A12" t="s">
        <v>10</v>
      </c>
      <c r="B12" s="4">
        <v>8.199999999999999</v>
      </c>
    </row>
    <row r="13" spans="1:2">
      <c r="A13" t="s">
        <v>11</v>
      </c>
      <c r="B13" s="5">
        <f>B10-B11-B12</f>
        <v>0</v>
      </c>
    </row>
    <row r="14" spans="1:2">
      <c r="A14" t="s">
        <v>12</v>
      </c>
      <c r="B14" s="6">
        <v>0.000556</v>
      </c>
    </row>
    <row r="16" spans="1:2">
      <c r="A16" t="s">
        <v>13</v>
      </c>
      <c r="B16" s="6">
        <v>0.09</v>
      </c>
    </row>
    <row r="17" spans="1:11">
      <c r="A17" t="s">
        <v>14</v>
      </c>
      <c r="B17" s="6">
        <v>0.035</v>
      </c>
    </row>
    <row r="18" spans="1:11">
      <c r="A18" t="s">
        <v>15</v>
      </c>
      <c r="B18" s="4">
        <v>20</v>
      </c>
    </row>
    <row r="20" spans="1:11">
      <c r="A20" s="3" t="s">
        <v>16</v>
      </c>
    </row>
    <row r="22" spans="1:11">
      <c r="A22" s="7"/>
      <c r="B22" s="7" t="s">
        <v>17</v>
      </c>
      <c r="C22" s="7" t="s">
        <v>18</v>
      </c>
      <c r="D22" s="7" t="s">
        <v>19</v>
      </c>
      <c r="E22" s="7" t="s">
        <v>20</v>
      </c>
      <c r="F22" s="7" t="s">
        <v>21</v>
      </c>
      <c r="G22" s="7" t="s">
        <v>22</v>
      </c>
      <c r="H22" s="7" t="s">
        <v>23</v>
      </c>
      <c r="I22" s="7" t="s">
        <v>24</v>
      </c>
      <c r="J22" s="7" t="s">
        <v>25</v>
      </c>
      <c r="K22" s="7" t="s">
        <v>26</v>
      </c>
    </row>
    <row r="23" spans="1:11">
      <c r="A23" t="s">
        <v>27</v>
      </c>
      <c r="B23" s="6">
        <v>0.08699999999999999</v>
      </c>
      <c r="C23" s="6">
        <v>0.105</v>
      </c>
      <c r="D23" s="6">
        <v>0.105</v>
      </c>
      <c r="E23" s="6">
        <v>0.095</v>
      </c>
      <c r="F23" s="6">
        <v>0.08500000000000001</v>
      </c>
      <c r="G23" s="6">
        <v>0.075</v>
      </c>
      <c r="H23" s="6">
        <v>0.065</v>
      </c>
      <c r="I23" s="6">
        <v>0.055</v>
      </c>
      <c r="J23" s="6">
        <v>0.045</v>
      </c>
      <c r="K23" s="6">
        <v>0.04</v>
      </c>
    </row>
    <row r="24" spans="1:11">
      <c r="A24" t="s">
        <v>28</v>
      </c>
      <c r="B24" s="6">
        <v>0.344</v>
      </c>
      <c r="C24" s="6">
        <v>0.348</v>
      </c>
      <c r="D24" s="6">
        <v>0.352</v>
      </c>
      <c r="E24" s="6">
        <v>0.356</v>
      </c>
      <c r="F24" s="6">
        <v>0.359</v>
      </c>
      <c r="G24" s="6">
        <v>0.361</v>
      </c>
      <c r="H24" s="6">
        <v>0.363</v>
      </c>
      <c r="I24" s="6">
        <v>0.364</v>
      </c>
      <c r="J24" s="6">
        <v>0.365</v>
      </c>
      <c r="K24" s="6">
        <v>0.365</v>
      </c>
    </row>
    <row r="25" spans="1:11">
      <c r="A25" t="s">
        <v>29</v>
      </c>
      <c r="B25" s="6">
        <v>0.006</v>
      </c>
      <c r="C25" s="6">
        <v>0.006</v>
      </c>
      <c r="D25" s="6">
        <v>0.006</v>
      </c>
      <c r="E25" s="6">
        <v>0.006</v>
      </c>
      <c r="F25" s="6">
        <v>0.006</v>
      </c>
      <c r="G25" s="6">
        <v>0.006</v>
      </c>
      <c r="H25" s="6">
        <v>0.006</v>
      </c>
      <c r="I25" s="6">
        <v>0.006</v>
      </c>
      <c r="J25" s="6">
        <v>0.006</v>
      </c>
      <c r="K25" s="6">
        <v>0.006</v>
      </c>
    </row>
    <row r="26" spans="1:11">
      <c r="A26" t="s">
        <v>30</v>
      </c>
      <c r="B26" s="6">
        <v>0.07200000000000001</v>
      </c>
      <c r="C26" s="6">
        <v>0.078</v>
      </c>
      <c r="D26" s="6">
        <v>0.083</v>
      </c>
      <c r="E26" s="6">
        <v>0.08500000000000001</v>
      </c>
      <c r="F26" s="6">
        <v>0.083</v>
      </c>
      <c r="G26" s="6">
        <v>0.08</v>
      </c>
      <c r="H26" s="6">
        <v>0.077</v>
      </c>
      <c r="I26" s="6">
        <v>0.075</v>
      </c>
      <c r="J26" s="6">
        <v>0.073</v>
      </c>
      <c r="K26" s="6">
        <v>0.07200000000000001</v>
      </c>
    </row>
    <row r="27" spans="1:11">
      <c r="A27" t="s">
        <v>31</v>
      </c>
      <c r="B27" s="6">
        <v>0.095</v>
      </c>
      <c r="C27" s="6">
        <v>0.098</v>
      </c>
      <c r="D27" s="6">
        <v>0.09</v>
      </c>
      <c r="E27" s="6">
        <v>0.08</v>
      </c>
      <c r="F27" s="6">
        <v>0.075</v>
      </c>
      <c r="G27" s="6">
        <v>0.07000000000000001</v>
      </c>
      <c r="H27" s="6">
        <v>0.068</v>
      </c>
      <c r="I27" s="6">
        <v>0.066</v>
      </c>
      <c r="J27" s="6">
        <v>0.065</v>
      </c>
      <c r="K27" s="6">
        <v>0.065</v>
      </c>
    </row>
    <row r="28" spans="1:11">
      <c r="A28" t="s">
        <v>32</v>
      </c>
      <c r="B28" s="6">
        <v>0.258</v>
      </c>
      <c r="C28" s="6">
        <v>0.258</v>
      </c>
      <c r="D28" s="6">
        <v>0.26</v>
      </c>
      <c r="E28" s="6">
        <v>0.26</v>
      </c>
      <c r="F28" s="6">
        <v>0.265</v>
      </c>
      <c r="G28" s="6">
        <v>0.265</v>
      </c>
      <c r="H28" s="6">
        <v>0.27</v>
      </c>
      <c r="I28" s="6">
        <v>0.27</v>
      </c>
      <c r="J28" s="6">
        <v>0.27</v>
      </c>
      <c r="K28" s="6">
        <v>0.27</v>
      </c>
    </row>
    <row r="29" spans="1:11">
      <c r="A29" t="s">
        <v>33</v>
      </c>
      <c r="B29" s="6">
        <v>0.17</v>
      </c>
    </row>
    <row r="31" spans="1:11">
      <c r="A31" s="3" t="s">
        <v>34</v>
      </c>
    </row>
    <row r="32" spans="1:11">
      <c r="A32" s="7"/>
      <c r="B32" s="7" t="s">
        <v>17</v>
      </c>
      <c r="C32" s="7" t="s">
        <v>18</v>
      </c>
      <c r="D32" s="7" t="s">
        <v>19</v>
      </c>
      <c r="E32" s="7" t="s">
        <v>20</v>
      </c>
      <c r="F32" s="7" t="s">
        <v>21</v>
      </c>
      <c r="G32" s="7" t="s">
        <v>22</v>
      </c>
      <c r="H32" s="7" t="s">
        <v>23</v>
      </c>
      <c r="I32" s="7" t="s">
        <v>24</v>
      </c>
      <c r="J32" s="7" t="s">
        <v>25</v>
      </c>
      <c r="K32" s="7" t="s">
        <v>26</v>
      </c>
    </row>
    <row r="33" spans="1:11">
      <c r="A33" t="s">
        <v>35</v>
      </c>
      <c r="B33" s="5">
        <f>2308.4*(1+B23)</f>
        <v>0</v>
      </c>
      <c r="C33" s="5">
        <f>B33*(1+C23)</f>
        <v>0</v>
      </c>
      <c r="D33" s="5">
        <f>C33*(1+D23)</f>
        <v>0</v>
      </c>
      <c r="E33" s="5">
        <f>D33*(1+E23)</f>
        <v>0</v>
      </c>
      <c r="F33" s="5">
        <f>E33*(1+F23)</f>
        <v>0</v>
      </c>
      <c r="G33" s="5">
        <f>F33*(1+G23)</f>
        <v>0</v>
      </c>
      <c r="H33" s="5">
        <f>G33*(1+H23)</f>
        <v>0</v>
      </c>
      <c r="I33" s="5">
        <f>H33*(1+I23)</f>
        <v>0</v>
      </c>
      <c r="J33" s="5">
        <f>I33*(1+J23)</f>
        <v>0</v>
      </c>
      <c r="K33" s="5">
        <f>J33*(1+K23)</f>
        <v>0</v>
      </c>
    </row>
    <row r="34" spans="1:11">
      <c r="A34" t="s">
        <v>36</v>
      </c>
      <c r="B34" s="5">
        <f>B33*B24</f>
        <v>0</v>
      </c>
      <c r="C34" s="5">
        <f>C33*C24</f>
        <v>0</v>
      </c>
      <c r="D34" s="5">
        <f>D33*D24</f>
        <v>0</v>
      </c>
      <c r="E34" s="5">
        <f>E33*E24</f>
        <v>0</v>
      </c>
      <c r="F34" s="5">
        <f>F33*F24</f>
        <v>0</v>
      </c>
      <c r="G34" s="5">
        <f>G33*G24</f>
        <v>0</v>
      </c>
      <c r="H34" s="5">
        <f>H33*H24</f>
        <v>0</v>
      </c>
      <c r="I34" s="5">
        <f>I33*I24</f>
        <v>0</v>
      </c>
      <c r="J34" s="5">
        <f>J33*J24</f>
        <v>0</v>
      </c>
      <c r="K34" s="5">
        <f>K33*K24</f>
        <v>0</v>
      </c>
    </row>
    <row r="35" spans="1:11">
      <c r="A35" t="s">
        <v>37</v>
      </c>
      <c r="B35" s="5">
        <f>B33*B25</f>
        <v>0</v>
      </c>
      <c r="C35" s="5">
        <f>C33*C25</f>
        <v>0</v>
      </c>
      <c r="D35" s="5">
        <f>D33*D25</f>
        <v>0</v>
      </c>
      <c r="E35" s="5">
        <f>E33*E25</f>
        <v>0</v>
      </c>
      <c r="F35" s="5">
        <f>F33*F25</f>
        <v>0</v>
      </c>
      <c r="G35" s="5">
        <f>G33*G25</f>
        <v>0</v>
      </c>
      <c r="H35" s="5">
        <f>H33*H25</f>
        <v>0</v>
      </c>
      <c r="I35" s="5">
        <f>I33*I25</f>
        <v>0</v>
      </c>
      <c r="J35" s="5">
        <f>J33*J25</f>
        <v>0</v>
      </c>
      <c r="K35" s="5">
        <f>K33*K25</f>
        <v>0</v>
      </c>
    </row>
    <row r="36" spans="1:11">
      <c r="A36" t="s">
        <v>38</v>
      </c>
      <c r="B36" s="5">
        <f>B33*B26</f>
        <v>0</v>
      </c>
      <c r="C36" s="5">
        <f>C33*C26</f>
        <v>0</v>
      </c>
      <c r="D36" s="5">
        <f>D33*D26</f>
        <v>0</v>
      </c>
      <c r="E36" s="5">
        <f>E33*E26</f>
        <v>0</v>
      </c>
      <c r="F36" s="5">
        <f>F33*F26</f>
        <v>0</v>
      </c>
      <c r="G36" s="5">
        <f>G33*G26</f>
        <v>0</v>
      </c>
      <c r="H36" s="5">
        <f>H33*H26</f>
        <v>0</v>
      </c>
      <c r="I36" s="5">
        <f>I33*I26</f>
        <v>0</v>
      </c>
      <c r="J36" s="5">
        <f>J33*J26</f>
        <v>0</v>
      </c>
      <c r="K36" s="5">
        <f>K33*K26</f>
        <v>0</v>
      </c>
    </row>
    <row r="37" spans="1:11">
      <c r="A37" t="s">
        <v>39</v>
      </c>
      <c r="B37" s="5">
        <f>B34-B35-B36</f>
        <v>0</v>
      </c>
      <c r="C37" s="5">
        <f>C34-C35-C36</f>
        <v>0</v>
      </c>
      <c r="D37" s="5">
        <f>D34-D35-D36</f>
        <v>0</v>
      </c>
      <c r="E37" s="5">
        <f>E34-E35-E36</f>
        <v>0</v>
      </c>
      <c r="F37" s="5">
        <f>F34-F35-F36</f>
        <v>0</v>
      </c>
      <c r="G37" s="5">
        <f>G34-G35-G36</f>
        <v>0</v>
      </c>
      <c r="H37" s="5">
        <f>H34-H35-H36</f>
        <v>0</v>
      </c>
      <c r="I37" s="5">
        <f>I34-I35-I36</f>
        <v>0</v>
      </c>
      <c r="J37" s="5">
        <f>J34-J35-J36</f>
        <v>0</v>
      </c>
      <c r="K37" s="5">
        <f>K34-K35-K36</f>
        <v>0</v>
      </c>
    </row>
    <row r="38" spans="1:11">
      <c r="A38" t="s">
        <v>40</v>
      </c>
      <c r="B38" s="5">
        <f>B37*(1-B28)</f>
        <v>0</v>
      </c>
      <c r="C38" s="5">
        <f>C37*(1-C28)</f>
        <v>0</v>
      </c>
      <c r="D38" s="5">
        <f>D37*(1-D28)</f>
        <v>0</v>
      </c>
      <c r="E38" s="5">
        <f>E37*(1-E28)</f>
        <v>0</v>
      </c>
      <c r="F38" s="5">
        <f>F37*(1-F28)</f>
        <v>0</v>
      </c>
      <c r="G38" s="5">
        <f>G37*(1-G28)</f>
        <v>0</v>
      </c>
      <c r="H38" s="5">
        <f>H37*(1-H28)</f>
        <v>0</v>
      </c>
      <c r="I38" s="5">
        <f>I37*(1-I28)</f>
        <v>0</v>
      </c>
      <c r="J38" s="5">
        <f>J37*(1-J28)</f>
        <v>0</v>
      </c>
      <c r="K38" s="5">
        <f>K37*(1-K28)</f>
        <v>0</v>
      </c>
    </row>
    <row r="39" spans="1:11">
      <c r="A39" t="s">
        <v>41</v>
      </c>
      <c r="B39" s="5">
        <f>B33*B27</f>
        <v>0</v>
      </c>
      <c r="C39" s="5">
        <f>C33*C27</f>
        <v>0</v>
      </c>
      <c r="D39" s="5">
        <f>D33*D27</f>
        <v>0</v>
      </c>
      <c r="E39" s="5">
        <f>E33*E27</f>
        <v>0</v>
      </c>
      <c r="F39" s="5">
        <f>F33*F27</f>
        <v>0</v>
      </c>
      <c r="G39" s="5">
        <f>G33*G27</f>
        <v>0</v>
      </c>
      <c r="H39" s="5">
        <f>H33*H27</f>
        <v>0</v>
      </c>
      <c r="I39" s="5">
        <f>I33*I27</f>
        <v>0</v>
      </c>
      <c r="J39" s="5">
        <f>J33*J27</f>
        <v>0</v>
      </c>
      <c r="K39" s="5">
        <f>K33*K27</f>
        <v>0</v>
      </c>
    </row>
    <row r="40" spans="1:11">
      <c r="A40" t="s">
        <v>42</v>
      </c>
      <c r="B40" s="5">
        <f>$B$29*(B33-2308.4)</f>
        <v>0</v>
      </c>
      <c r="C40" s="5">
        <f>$B$29*(C33-B33)</f>
        <v>0</v>
      </c>
      <c r="D40" s="5">
        <f>$B$29*(D33-C33)</f>
        <v>0</v>
      </c>
      <c r="E40" s="5">
        <f>$B$29*(E33-D33)</f>
        <v>0</v>
      </c>
      <c r="F40" s="5">
        <f>$B$29*(F33-E33)</f>
        <v>0</v>
      </c>
      <c r="G40" s="5">
        <f>$B$29*(G33-F33)</f>
        <v>0</v>
      </c>
      <c r="H40" s="5">
        <f>$B$29*(H33-G33)</f>
        <v>0</v>
      </c>
      <c r="I40" s="5">
        <f>$B$29*(I33-H33)</f>
        <v>0</v>
      </c>
      <c r="J40" s="5">
        <f>$B$29*(J33-I33)</f>
        <v>0</v>
      </c>
      <c r="K40" s="5">
        <f>$B$29*(K33-J33)</f>
        <v>0</v>
      </c>
    </row>
    <row r="41" spans="1:11">
      <c r="A41" t="s">
        <v>43</v>
      </c>
      <c r="B41" s="5">
        <f>B38+B36-B39-B40</f>
        <v>0</v>
      </c>
      <c r="C41" s="5">
        <f>C38+C36-C39-C40</f>
        <v>0</v>
      </c>
      <c r="D41" s="5">
        <f>D38+D36-D39-D40</f>
        <v>0</v>
      </c>
      <c r="E41" s="5">
        <f>E38+E36-E39-E40</f>
        <v>0</v>
      </c>
      <c r="F41" s="5">
        <f>F38+F36-F39-F40</f>
        <v>0</v>
      </c>
      <c r="G41" s="5">
        <f>G38+G36-G39-G40</f>
        <v>0</v>
      </c>
      <c r="H41" s="5">
        <f>H38+H36-H39-H40</f>
        <v>0</v>
      </c>
      <c r="I41" s="5">
        <f>I38+I36-I39-I40</f>
        <v>0</v>
      </c>
      <c r="J41" s="5">
        <f>J38+J36-J39-J40</f>
        <v>0</v>
      </c>
      <c r="K41" s="5">
        <f>K38+K36-K39-K40</f>
        <v>0</v>
      </c>
    </row>
    <row r="42" spans="1:11">
      <c r="A42" t="s">
        <v>44</v>
      </c>
      <c r="B42" s="8">
        <f>B41/B33</f>
        <v>0</v>
      </c>
      <c r="C42" s="8">
        <f>C41/C33</f>
        <v>0</v>
      </c>
      <c r="D42" s="8">
        <f>D41/D33</f>
        <v>0</v>
      </c>
      <c r="E42" s="8">
        <f>E41/E33</f>
        <v>0</v>
      </c>
      <c r="F42" s="8">
        <f>F41/F33</f>
        <v>0</v>
      </c>
      <c r="G42" s="8">
        <f>G41/G33</f>
        <v>0</v>
      </c>
      <c r="H42" s="8">
        <f>H41/H33</f>
        <v>0</v>
      </c>
      <c r="I42" s="8">
        <f>I41/I33</f>
        <v>0</v>
      </c>
      <c r="J42" s="8">
        <f>J41/J33</f>
        <v>0</v>
      </c>
      <c r="K42" s="8">
        <f>K41/K33</f>
        <v>0</v>
      </c>
    </row>
    <row r="43" spans="1:11">
      <c r="A43" t="s">
        <v>4</v>
      </c>
      <c r="B43" s="5">
        <f>$B$6*(1+$B$14)</f>
        <v>0</v>
      </c>
      <c r="C43" s="5">
        <f>B43*(1+$B$14)</f>
        <v>0</v>
      </c>
      <c r="D43" s="5">
        <f>C43*(1+$B$14)</f>
        <v>0</v>
      </c>
      <c r="E43" s="5">
        <f>D43*(1+$B$14)</f>
        <v>0</v>
      </c>
      <c r="F43" s="5">
        <f>E43*(1+$B$14)</f>
        <v>0</v>
      </c>
      <c r="G43" s="5">
        <f>F43*(1+$B$14)</f>
        <v>0</v>
      </c>
      <c r="H43" s="5">
        <f>G43*(1+$B$14)</f>
        <v>0</v>
      </c>
      <c r="I43" s="5">
        <f>H43*(1+$B$14)</f>
        <v>0</v>
      </c>
      <c r="J43" s="5">
        <f>I43*(1+$B$14)</f>
        <v>0</v>
      </c>
      <c r="K43" s="5">
        <f>J43*(1+$B$14)</f>
        <v>0</v>
      </c>
    </row>
    <row r="44" spans="1:11">
      <c r="A44" t="s">
        <v>45</v>
      </c>
      <c r="B44" s="5">
        <f>1/(1+$B$16)^1</f>
        <v>0</v>
      </c>
      <c r="C44" s="5">
        <f>1/(1+$B$16)^2</f>
        <v>0</v>
      </c>
      <c r="D44" s="5">
        <f>1/(1+$B$16)^3</f>
        <v>0</v>
      </c>
      <c r="E44" s="5">
        <f>1/(1+$B$16)^4</f>
        <v>0</v>
      </c>
      <c r="F44" s="5">
        <f>1/(1+$B$16)^5</f>
        <v>0</v>
      </c>
      <c r="G44" s="5">
        <f>1/(1+$B$16)^6</f>
        <v>0</v>
      </c>
      <c r="H44" s="5">
        <f>1/(1+$B$16)^7</f>
        <v>0</v>
      </c>
      <c r="I44" s="5">
        <f>1/(1+$B$16)^8</f>
        <v>0</v>
      </c>
      <c r="J44" s="5">
        <f>1/(1+$B$16)^9</f>
        <v>0</v>
      </c>
      <c r="K44" s="5">
        <f>1/(1+$B$16)^10</f>
        <v>0</v>
      </c>
    </row>
    <row r="45" spans="1:11">
      <c r="A45" t="s">
        <v>46</v>
      </c>
      <c r="B45" s="5">
        <f>B41*B44</f>
        <v>0</v>
      </c>
      <c r="C45" s="5">
        <f>C41*C44</f>
        <v>0</v>
      </c>
      <c r="D45" s="5">
        <f>D41*D44</f>
        <v>0</v>
      </c>
      <c r="E45" s="5">
        <f>E41*E44</f>
        <v>0</v>
      </c>
      <c r="F45" s="5">
        <f>F41*F44</f>
        <v>0</v>
      </c>
      <c r="G45" s="5">
        <f>G41*G44</f>
        <v>0</v>
      </c>
      <c r="H45" s="5">
        <f>H41*H44</f>
        <v>0</v>
      </c>
      <c r="I45" s="5">
        <f>I41*I44</f>
        <v>0</v>
      </c>
      <c r="J45" s="5">
        <f>J41*J44</f>
        <v>0</v>
      </c>
      <c r="K45" s="5">
        <f>K41*K44</f>
        <v>0</v>
      </c>
    </row>
    <row r="47" spans="1:11">
      <c r="A47" s="3" t="s">
        <v>47</v>
      </c>
    </row>
    <row r="48" spans="1:11">
      <c r="A48" t="s">
        <v>48</v>
      </c>
      <c r="B48" s="5">
        <f>SUM(B45:K45)</f>
        <v>0</v>
      </c>
    </row>
    <row r="49" spans="1:2">
      <c r="A49" t="s">
        <v>49</v>
      </c>
      <c r="B49" s="5">
        <f>K41*(1+$B$17)</f>
        <v>0</v>
      </c>
    </row>
    <row r="50" spans="1:2">
      <c r="A50" t="s">
        <v>50</v>
      </c>
      <c r="B50" s="5">
        <f>B49/($B$16-$B$17)</f>
        <v>0</v>
      </c>
    </row>
    <row r="51" spans="1:2">
      <c r="A51" t="s">
        <v>51</v>
      </c>
      <c r="B51" s="5">
        <f>$B$18*K41</f>
        <v>0</v>
      </c>
    </row>
    <row r="52" spans="1:2">
      <c r="A52" t="s">
        <v>52</v>
      </c>
      <c r="B52" s="5">
        <f>MIN(B50,B51)</f>
        <v>0</v>
      </c>
    </row>
    <row r="53" spans="1:2">
      <c r="A53" t="s">
        <v>53</v>
      </c>
      <c r="B53" s="5">
        <f>B52*K44</f>
        <v>0</v>
      </c>
    </row>
    <row r="54" spans="1:2">
      <c r="A54" t="s">
        <v>54</v>
      </c>
      <c r="B54" s="5">
        <f>B48+B53</f>
        <v>0</v>
      </c>
    </row>
    <row r="55" spans="1:2">
      <c r="A55" t="s">
        <v>55</v>
      </c>
      <c r="B55" s="5">
        <f>B9</f>
        <v>0</v>
      </c>
    </row>
    <row r="56" spans="1:2">
      <c r="A56" t="s">
        <v>56</v>
      </c>
      <c r="B56" s="5">
        <f>B54-B55</f>
        <v>0</v>
      </c>
    </row>
    <row r="57" spans="1:2">
      <c r="A57" s="9" t="s">
        <v>57</v>
      </c>
      <c r="B57" s="10">
        <f>B56/K43</f>
        <v>0</v>
      </c>
    </row>
    <row r="59" spans="1:2">
      <c r="A59" s="3" t="s">
        <v>58</v>
      </c>
    </row>
    <row r="60" spans="1:2">
      <c r="A60" t="s">
        <v>59</v>
      </c>
      <c r="B60" s="5">
        <f>NPV(0.15,B41:K41)</f>
        <v>0</v>
      </c>
    </row>
    <row r="61" spans="1:2">
      <c r="A61" t="s">
        <v>60</v>
      </c>
      <c r="B61" s="5">
        <f>B52/(1.15^10)</f>
        <v>0</v>
      </c>
    </row>
    <row r="62" spans="1:2">
      <c r="A62" t="s">
        <v>61</v>
      </c>
      <c r="B62" s="5">
        <f>B9</f>
        <v>0</v>
      </c>
    </row>
    <row r="63" spans="1:2">
      <c r="A63" t="s">
        <v>62</v>
      </c>
      <c r="B63" s="10">
        <f>(B60+B61-B62)/K43</f>
        <v>0</v>
      </c>
    </row>
    <row r="65" spans="1:2">
      <c r="A65" t="s">
        <v>63</v>
      </c>
      <c r="B65" s="8">
        <f>(B57-B5)/B5</f>
        <v>0</v>
      </c>
    </row>
    <row r="66" spans="1:2">
      <c r="A66" t="s">
        <v>64</v>
      </c>
      <c r="B66" s="8">
        <f>(B5-B63)/B5</f>
        <v>0</v>
      </c>
    </row>
    <row r="68" spans="1:2">
      <c r="A68" s="2" t="s">
        <v>65</v>
      </c>
    </row>
    <row r="69" spans="1:2">
      <c r="A69" s="2" t="s">
        <v>66</v>
      </c>
    </row>
    <row r="70" spans="1:2">
      <c r="A70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68</v>
      </c>
    </row>
    <row r="2" spans="1:6">
      <c r="A2" t="s">
        <v>69</v>
      </c>
    </row>
    <row r="4" spans="1:6">
      <c r="A4" s="7" t="s">
        <v>70</v>
      </c>
      <c r="B4" s="11">
        <v>0.025</v>
      </c>
      <c r="C4" s="11">
        <v>0.03</v>
      </c>
      <c r="D4" s="11">
        <v>0.035</v>
      </c>
      <c r="E4" s="11">
        <v>0.04</v>
      </c>
      <c r="F4" s="11">
        <v>0.045</v>
      </c>
    </row>
    <row r="5" spans="1:6">
      <c r="A5" s="11">
        <v>0.07000000000000001</v>
      </c>
      <c r="B5" s="12">
        <f>(SUMPRODUCT('DCF Model'!$B$41:$K$41,1/(1+0.07)^(COLUMN('DCF Model'!$B$41:$K$41)-COLUMN('DCF Model'!$B$41)+1))+MIN('DCF Model'!$K$41*(1+0.025)/(0.07-0.025),'DCF Model'!$B$18*'DCF Model'!$K$41)/(1+0.07)^10-'DCF Model'!$B$9)/'DCF Model'!$K$43</f>
        <v>0</v>
      </c>
      <c r="C5" s="12">
        <f>(SUMPRODUCT('DCF Model'!$B$41:$K$41,1/(1+0.07)^(COLUMN('DCF Model'!$B$41:$K$41)-COLUMN('DCF Model'!$B$41)+1))+MIN('DCF Model'!$K$41*(1+0.03)/(0.07-0.03),'DCF Model'!$B$18*'DCF Model'!$K$41)/(1+0.07)^10-'DCF Model'!$B$9)/'DCF Model'!$K$43</f>
        <v>0</v>
      </c>
      <c r="D5" s="12">
        <f>(SUMPRODUCT('DCF Model'!$B$41:$K$41,1/(1+0.07)^(COLUMN('DCF Model'!$B$41:$K$41)-COLUMN('DCF Model'!$B$41)+1))+MIN('DCF Model'!$K$41*(1+0.035)/(0.07-0.035),'DCF Model'!$B$18*'DCF Model'!$K$41)/(1+0.07)^10-'DCF Model'!$B$9)/'DCF Model'!$K$43</f>
        <v>0</v>
      </c>
      <c r="E5" s="12">
        <f>(SUMPRODUCT('DCF Model'!$B$41:$K$41,1/(1+0.07)^(COLUMN('DCF Model'!$B$41:$K$41)-COLUMN('DCF Model'!$B$41)+1))+MIN('DCF Model'!$K$41*(1+0.04)/(0.07-0.04),'DCF Model'!$B$18*'DCF Model'!$K$41)/(1+0.07)^10-'DCF Model'!$B$9)/'DCF Model'!$K$43</f>
        <v>0</v>
      </c>
      <c r="F5" s="12">
        <f>(SUMPRODUCT('DCF Model'!$B$41:$K$41,1/(1+0.07)^(COLUMN('DCF Model'!$B$41:$K$41)-COLUMN('DCF Model'!$B$41)+1))+MIN('DCF Model'!$K$41*(1+0.045)/(0.07-0.045),'DCF Model'!$B$18*'DCF Model'!$K$41)/(1+0.07)^10-'DCF Model'!$B$9)/'DCF Model'!$K$43</f>
        <v>0</v>
      </c>
    </row>
    <row r="6" spans="1:6">
      <c r="A6" s="11">
        <v>0.08</v>
      </c>
      <c r="B6" s="12">
        <f>(SUMPRODUCT('DCF Model'!$B$41:$K$41,1/(1+0.08)^(COLUMN('DCF Model'!$B$41:$K$41)-COLUMN('DCF Model'!$B$41)+1))+MIN('DCF Model'!$K$41*(1+0.025)/(0.08-0.025),'DCF Model'!$B$18*'DCF Model'!$K$41)/(1+0.08)^10-'DCF Model'!$B$9)/'DCF Model'!$K$43</f>
        <v>0</v>
      </c>
      <c r="C6" s="12">
        <f>(SUMPRODUCT('DCF Model'!$B$41:$K$41,1/(1+0.08)^(COLUMN('DCF Model'!$B$41:$K$41)-COLUMN('DCF Model'!$B$41)+1))+MIN('DCF Model'!$K$41*(1+0.03)/(0.08-0.03),'DCF Model'!$B$18*'DCF Model'!$K$41)/(1+0.08)^10-'DCF Model'!$B$9)/'DCF Model'!$K$43</f>
        <v>0</v>
      </c>
      <c r="D6" s="12">
        <f>(SUMPRODUCT('DCF Model'!$B$41:$K$41,1/(1+0.08)^(COLUMN('DCF Model'!$B$41:$K$41)-COLUMN('DCF Model'!$B$41)+1))+MIN('DCF Model'!$K$41*(1+0.035)/(0.08-0.035),'DCF Model'!$B$18*'DCF Model'!$K$41)/(1+0.08)^10-'DCF Model'!$B$9)/'DCF Model'!$K$43</f>
        <v>0</v>
      </c>
      <c r="E6" s="12">
        <f>(SUMPRODUCT('DCF Model'!$B$41:$K$41,1/(1+0.08)^(COLUMN('DCF Model'!$B$41:$K$41)-COLUMN('DCF Model'!$B$41)+1))+MIN('DCF Model'!$K$41*(1+0.04)/(0.08-0.04),'DCF Model'!$B$18*'DCF Model'!$K$41)/(1+0.08)^10-'DCF Model'!$B$9)/'DCF Model'!$K$43</f>
        <v>0</v>
      </c>
      <c r="F6" s="12">
        <f>(SUMPRODUCT('DCF Model'!$B$41:$K$41,1/(1+0.08)^(COLUMN('DCF Model'!$B$41:$K$41)-COLUMN('DCF Model'!$B$41)+1))+MIN('DCF Model'!$K$41*(1+0.045)/(0.08-0.045),'DCF Model'!$B$18*'DCF Model'!$K$41)/(1+0.08)^10-'DCF Model'!$B$9)/'DCF Model'!$K$43</f>
        <v>0</v>
      </c>
    </row>
    <row r="7" spans="1:6">
      <c r="A7" s="11">
        <v>0.09</v>
      </c>
      <c r="B7" s="12">
        <f>(SUMPRODUCT('DCF Model'!$B$41:$K$41,1/(1+0.09)^(COLUMN('DCF Model'!$B$41:$K$41)-COLUMN('DCF Model'!$B$41)+1))+MIN('DCF Model'!$K$41*(1+0.025)/(0.09-0.025),'DCF Model'!$B$18*'DCF Model'!$K$41)/(1+0.09)^10-'DCF Model'!$B$9)/'DCF Model'!$K$43</f>
        <v>0</v>
      </c>
      <c r="C7" s="12">
        <f>(SUMPRODUCT('DCF Model'!$B$41:$K$41,1/(1+0.09)^(COLUMN('DCF Model'!$B$41:$K$41)-COLUMN('DCF Model'!$B$41)+1))+MIN('DCF Model'!$K$41*(1+0.03)/(0.09-0.03),'DCF Model'!$B$18*'DCF Model'!$K$41)/(1+0.09)^10-'DCF Model'!$B$9)/'DCF Model'!$K$43</f>
        <v>0</v>
      </c>
      <c r="D7" s="12">
        <f>(SUMPRODUCT('DCF Model'!$B$41:$K$41,1/(1+0.09)^(COLUMN('DCF Model'!$B$41:$K$41)-COLUMN('DCF Model'!$B$41)+1))+MIN('DCF Model'!$K$41*(1+0.035)/(0.09-0.035),'DCF Model'!$B$18*'DCF Model'!$K$41)/(1+0.09)^10-'DCF Model'!$B$9)/'DCF Model'!$K$43</f>
        <v>0</v>
      </c>
      <c r="E7" s="12">
        <f>(SUMPRODUCT('DCF Model'!$B$41:$K$41,1/(1+0.09)^(COLUMN('DCF Model'!$B$41:$K$41)-COLUMN('DCF Model'!$B$41)+1))+MIN('DCF Model'!$K$41*(1+0.04)/(0.09-0.04),'DCF Model'!$B$18*'DCF Model'!$K$41)/(1+0.09)^10-'DCF Model'!$B$9)/'DCF Model'!$K$43</f>
        <v>0</v>
      </c>
      <c r="F7" s="12">
        <f>(SUMPRODUCT('DCF Model'!$B$41:$K$41,1/(1+0.09)^(COLUMN('DCF Model'!$B$41:$K$41)-COLUMN('DCF Model'!$B$41)+1))+MIN('DCF Model'!$K$41*(1+0.045)/(0.09-0.045),'DCF Model'!$B$18*'DCF Model'!$K$41)/(1+0.09)^10-'DCF Model'!$B$9)/'DCF Model'!$K$43</f>
        <v>0</v>
      </c>
    </row>
    <row r="8" spans="1:6">
      <c r="A8" s="11">
        <v>0.1</v>
      </c>
      <c r="B8" s="12">
        <f>(SUMPRODUCT('DCF Model'!$B$41:$K$41,1/(1+0.1)^(COLUMN('DCF Model'!$B$41:$K$41)-COLUMN('DCF Model'!$B$41)+1))+MIN('DCF Model'!$K$41*(1+0.025)/(0.1-0.025),'DCF Model'!$B$18*'DCF Model'!$K$41)/(1+0.1)^10-'DCF Model'!$B$9)/'DCF Model'!$K$43</f>
        <v>0</v>
      </c>
      <c r="C8" s="12">
        <f>(SUMPRODUCT('DCF Model'!$B$41:$K$41,1/(1+0.1)^(COLUMN('DCF Model'!$B$41:$K$41)-COLUMN('DCF Model'!$B$41)+1))+MIN('DCF Model'!$K$41*(1+0.03)/(0.1-0.03),'DCF Model'!$B$18*'DCF Model'!$K$41)/(1+0.1)^10-'DCF Model'!$B$9)/'DCF Model'!$K$43</f>
        <v>0</v>
      </c>
      <c r="D8" s="12">
        <f>(SUMPRODUCT('DCF Model'!$B$41:$K$41,1/(1+0.1)^(COLUMN('DCF Model'!$B$41:$K$41)-COLUMN('DCF Model'!$B$41)+1))+MIN('DCF Model'!$K$41*(1+0.035)/(0.1-0.035),'DCF Model'!$B$18*'DCF Model'!$K$41)/(1+0.1)^10-'DCF Model'!$B$9)/'DCF Model'!$K$43</f>
        <v>0</v>
      </c>
      <c r="E8" s="12">
        <f>(SUMPRODUCT('DCF Model'!$B$41:$K$41,1/(1+0.1)^(COLUMN('DCF Model'!$B$41:$K$41)-COLUMN('DCF Model'!$B$41)+1))+MIN('DCF Model'!$K$41*(1+0.04)/(0.1-0.04),'DCF Model'!$B$18*'DCF Model'!$K$41)/(1+0.1)^10-'DCF Model'!$B$9)/'DCF Model'!$K$43</f>
        <v>0</v>
      </c>
      <c r="F8" s="12">
        <f>(SUMPRODUCT('DCF Model'!$B$41:$K$41,1/(1+0.1)^(COLUMN('DCF Model'!$B$41:$K$41)-COLUMN('DCF Model'!$B$41)+1))+MIN('DCF Model'!$K$41*(1+0.045)/(0.1-0.045),'DCF Model'!$B$18*'DCF Model'!$K$41)/(1+0.1)^10-'DCF Model'!$B$9)/'DCF Model'!$K$43</f>
        <v>0</v>
      </c>
    </row>
    <row r="9" spans="1:6">
      <c r="A9" s="11">
        <v>0.11</v>
      </c>
      <c r="B9" s="12">
        <f>(SUMPRODUCT('DCF Model'!$B$41:$K$41,1/(1+0.11)^(COLUMN('DCF Model'!$B$41:$K$41)-COLUMN('DCF Model'!$B$41)+1))+MIN('DCF Model'!$K$41*(1+0.025)/(0.11-0.025),'DCF Model'!$B$18*'DCF Model'!$K$41)/(1+0.11)^10-'DCF Model'!$B$9)/'DCF Model'!$K$43</f>
        <v>0</v>
      </c>
      <c r="C9" s="12">
        <f>(SUMPRODUCT('DCF Model'!$B$41:$K$41,1/(1+0.11)^(COLUMN('DCF Model'!$B$41:$K$41)-COLUMN('DCF Model'!$B$41)+1))+MIN('DCF Model'!$K$41*(1+0.03)/(0.11-0.03),'DCF Model'!$B$18*'DCF Model'!$K$41)/(1+0.11)^10-'DCF Model'!$B$9)/'DCF Model'!$K$43</f>
        <v>0</v>
      </c>
      <c r="D9" s="12">
        <f>(SUMPRODUCT('DCF Model'!$B$41:$K$41,1/(1+0.11)^(COLUMN('DCF Model'!$B$41:$K$41)-COLUMN('DCF Model'!$B$41)+1))+MIN('DCF Model'!$K$41*(1+0.035)/(0.11-0.035),'DCF Model'!$B$18*'DCF Model'!$K$41)/(1+0.11)^10-'DCF Model'!$B$9)/'DCF Model'!$K$43</f>
        <v>0</v>
      </c>
      <c r="E9" s="12">
        <f>(SUMPRODUCT('DCF Model'!$B$41:$K$41,1/(1+0.11)^(COLUMN('DCF Model'!$B$41:$K$41)-COLUMN('DCF Model'!$B$41)+1))+MIN('DCF Model'!$K$41*(1+0.04)/(0.11-0.04),'DCF Model'!$B$18*'DCF Model'!$K$41)/(1+0.11)^10-'DCF Model'!$B$9)/'DCF Model'!$K$43</f>
        <v>0</v>
      </c>
      <c r="F9" s="12">
        <f>(SUMPRODUCT('DCF Model'!$B$41:$K$41,1/(1+0.11)^(COLUMN('DCF Model'!$B$41:$K$41)-COLUMN('DCF Model'!$B$41)+1))+MIN('DCF Model'!$K$41*(1+0.045)/(0.11-0.045),'DCF Model'!$B$18*'DCF Model'!$K$41)/(1+0.11)^10-'DCF Model'!$B$9)/'DCF Model'!$K$43</f>
        <v>0</v>
      </c>
    </row>
    <row r="11" spans="1:6">
      <c r="A11" s="2" t="s">
        <v>71</v>
      </c>
    </row>
    <row r="12" spans="1:6">
      <c r="A12" s="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cols>
    <col min="1" max="1" width="32.7109375" customWidth="1"/>
    <col min="2" max="11" width="11.7109375" customWidth="1"/>
  </cols>
  <sheetData>
    <row r="1" spans="1:10">
      <c r="A1" s="1" t="s">
        <v>73</v>
      </c>
    </row>
    <row r="2" spans="1:10">
      <c r="A2" s="2" t="s">
        <v>74</v>
      </c>
    </row>
    <row r="4" spans="1:10">
      <c r="A4" s="7"/>
      <c r="B4" s="7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</row>
    <row r="5" spans="1:10">
      <c r="A5" t="s">
        <v>84</v>
      </c>
      <c r="B5" s="5">
        <v>149.1</v>
      </c>
      <c r="C5" s="5">
        <v>120</v>
      </c>
      <c r="D5" s="5">
        <v>150.7</v>
      </c>
      <c r="E5" s="5">
        <v>440.6</v>
      </c>
      <c r="F5" s="5">
        <v>154.5</v>
      </c>
      <c r="G5" s="5">
        <v>26.9</v>
      </c>
      <c r="H5" s="5">
        <v>90.59999999999999</v>
      </c>
      <c r="I5" s="5">
        <v>445.6</v>
      </c>
      <c r="J5" s="5">
        <v>468</v>
      </c>
    </row>
    <row r="6" spans="1:10">
      <c r="A6" t="s">
        <v>85</v>
      </c>
      <c r="B6" s="5">
        <v>4.9</v>
      </c>
      <c r="C6" s="5">
        <v>5.5</v>
      </c>
      <c r="D6" s="5">
        <v>6.1</v>
      </c>
      <c r="E6" s="5">
        <v>7.7</v>
      </c>
      <c r="F6" s="5">
        <v>8.1</v>
      </c>
      <c r="G6" s="5">
        <v>9</v>
      </c>
      <c r="H6" s="5">
        <v>10.8</v>
      </c>
      <c r="I6" s="5">
        <v>11.2</v>
      </c>
      <c r="J6" s="5">
        <v>13.9</v>
      </c>
    </row>
    <row r="7" spans="1:10">
      <c r="A7" t="s">
        <v>86</v>
      </c>
      <c r="B7" s="5">
        <v>1.6</v>
      </c>
      <c r="C7" s="5">
        <v>3.3</v>
      </c>
      <c r="D7" s="5">
        <v>2.2</v>
      </c>
      <c r="E7" s="5">
        <v>1.5</v>
      </c>
      <c r="F7" s="5">
        <v>2.6</v>
      </c>
      <c r="G7" s="5">
        <v>2.6</v>
      </c>
      <c r="H7" s="5">
        <v>3.3</v>
      </c>
      <c r="I7" s="5">
        <v>4.3</v>
      </c>
      <c r="J7" s="5">
        <v>8.199999999999999</v>
      </c>
    </row>
    <row r="8" spans="1:10">
      <c r="A8" s="9" t="s">
        <v>43</v>
      </c>
      <c r="B8" s="5">
        <f>B5-B6-B7</f>
        <v>0</v>
      </c>
      <c r="C8" s="5">
        <f>C5-C6-C7</f>
        <v>0</v>
      </c>
      <c r="D8" s="5">
        <f>D5-D6-D7</f>
        <v>0</v>
      </c>
      <c r="E8" s="5">
        <f>E5-E6-E7</f>
        <v>0</v>
      </c>
      <c r="F8" s="5">
        <f>F5-F6-F7</f>
        <v>0</v>
      </c>
      <c r="G8" s="5">
        <f>G5-G6-G7</f>
        <v>0</v>
      </c>
      <c r="H8" s="5">
        <f>H5-H6-H7</f>
        <v>0</v>
      </c>
      <c r="I8" s="5">
        <f>I5-I6-I7</f>
        <v>0</v>
      </c>
      <c r="J8" s="5">
        <f>J5-J6-J7</f>
        <v>0</v>
      </c>
    </row>
    <row r="9" spans="1:10">
      <c r="A9" t="s">
        <v>87</v>
      </c>
      <c r="B9" s="8">
        <f>B5/B10</f>
        <v>0</v>
      </c>
      <c r="C9" s="8">
        <f>C5/C10</f>
        <v>0</v>
      </c>
      <c r="D9" s="8">
        <f>D5/D10</f>
        <v>0</v>
      </c>
      <c r="E9" s="8">
        <f>E5/E10</f>
        <v>0</v>
      </c>
      <c r="F9" s="8">
        <f>F5/F10</f>
        <v>0</v>
      </c>
      <c r="G9" s="8">
        <f>G5/G10</f>
        <v>0</v>
      </c>
      <c r="H9" s="8">
        <f>H5/H10</f>
        <v>0</v>
      </c>
      <c r="I9" s="8">
        <f>I5/I10</f>
        <v>0</v>
      </c>
      <c r="J9" s="8">
        <f>J5/J10</f>
        <v>0</v>
      </c>
    </row>
    <row r="10" spans="1:10">
      <c r="A10" t="s">
        <v>88</v>
      </c>
      <c r="B10" s="5">
        <v>980.8</v>
      </c>
      <c r="C10" s="5">
        <v>1070.4</v>
      </c>
      <c r="D10" s="5">
        <v>1263.7</v>
      </c>
      <c r="E10" s="5">
        <v>1971.2</v>
      </c>
      <c r="F10" s="5">
        <v>1681.7</v>
      </c>
      <c r="G10" s="5">
        <v>1581.1</v>
      </c>
      <c r="H10" s="5">
        <v>1742.8</v>
      </c>
      <c r="I10" s="5">
        <v>2021</v>
      </c>
      <c r="J10" s="5">
        <v>2308.4</v>
      </c>
    </row>
    <row r="11" spans="1:10">
      <c r="A11" t="s">
        <v>44</v>
      </c>
      <c r="B11" s="8">
        <f>B8/B10</f>
        <v>0</v>
      </c>
      <c r="C11" s="8">
        <f>C8/C10</f>
        <v>0</v>
      </c>
      <c r="D11" s="8">
        <f>D8/D10</f>
        <v>0</v>
      </c>
      <c r="E11" s="8">
        <f>E8/E10</f>
        <v>0</v>
      </c>
      <c r="F11" s="8">
        <f>F8/F10</f>
        <v>0</v>
      </c>
      <c r="G11" s="8">
        <f>G8/G10</f>
        <v>0</v>
      </c>
      <c r="H11" s="8">
        <f>H8/H10</f>
        <v>0</v>
      </c>
      <c r="I11" s="8">
        <f>I8/I10</f>
        <v>0</v>
      </c>
      <c r="J11" s="8">
        <f>J8/J10</f>
        <v>0</v>
      </c>
    </row>
    <row r="13" spans="1:10">
      <c r="A13" s="9" t="s">
        <v>89</v>
      </c>
      <c r="B13" s="8">
        <v>0.29</v>
      </c>
      <c r="C13" s="8">
        <v>0.282</v>
      </c>
      <c r="D13" s="8">
        <v>0.225</v>
      </c>
      <c r="E13" s="8">
        <v>0.27</v>
      </c>
      <c r="F13" s="8">
        <v>0.252</v>
      </c>
      <c r="G13" s="8">
        <v>0.237</v>
      </c>
      <c r="H13" s="8">
        <v>0.4370000000000001</v>
      </c>
      <c r="I13" s="8">
        <v>0.251</v>
      </c>
      <c r="J13" s="8">
        <v>0.258</v>
      </c>
    </row>
    <row r="14" spans="1:10">
      <c r="A14" s="2" t="s">
        <v>90</v>
      </c>
    </row>
    <row r="15" spans="1:10">
      <c r="A15" s="2" t="s">
        <v>91</v>
      </c>
    </row>
    <row r="16" spans="1:10">
      <c r="A16" s="2" t="s">
        <v>92</v>
      </c>
    </row>
    <row r="17" spans="1:2">
      <c r="A17" s="2" t="s">
        <v>93</v>
      </c>
    </row>
    <row r="19" spans="1:2">
      <c r="A19" s="2" t="s">
        <v>94</v>
      </c>
    </row>
    <row r="20" spans="1:2">
      <c r="A20" s="2" t="s">
        <v>95</v>
      </c>
    </row>
    <row r="21" spans="1:2">
      <c r="A21" s="2" t="s">
        <v>96</v>
      </c>
    </row>
    <row r="22" spans="1:2">
      <c r="A22" s="2" t="s">
        <v>97</v>
      </c>
    </row>
    <row r="23" spans="1:2">
      <c r="A23" s="2" t="s">
        <v>98</v>
      </c>
    </row>
    <row r="25" spans="1:2">
      <c r="A25" s="9" t="s">
        <v>99</v>
      </c>
      <c r="B25" s="8">
        <v>0.006021486744065154</v>
      </c>
    </row>
    <row r="26" spans="1:2">
      <c r="A26" s="2" t="s">
        <v>100</v>
      </c>
    </row>
    <row r="27" spans="1:2">
      <c r="A27" s="2" t="s">
        <v>101</v>
      </c>
    </row>
    <row r="28" spans="1:2">
      <c r="A28" s="2" t="s">
        <v>102</v>
      </c>
    </row>
    <row r="29" spans="1:2">
      <c r="A29" s="2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2">
      <c r="A1" s="1" t="s">
        <v>104</v>
      </c>
    </row>
    <row r="2" spans="1:2">
      <c r="A2" s="2" t="s">
        <v>105</v>
      </c>
    </row>
    <row r="4" spans="1:2">
      <c r="A4" s="7" t="s">
        <v>106</v>
      </c>
      <c r="B4" s="7" t="s">
        <v>107</v>
      </c>
    </row>
    <row r="5" spans="1:2">
      <c r="A5" t="s">
        <v>108</v>
      </c>
      <c r="B5" s="8">
        <v>0.134</v>
      </c>
    </row>
    <row r="6" spans="1:2">
      <c r="A6" t="s">
        <v>109</v>
      </c>
      <c r="B6" s="8">
        <v>0.032</v>
      </c>
    </row>
    <row r="7" spans="1:2">
      <c r="A7" t="s">
        <v>110</v>
      </c>
      <c r="B7" s="8">
        <v>0.116</v>
      </c>
    </row>
    <row r="8" spans="1:2">
      <c r="A8" t="s">
        <v>111</v>
      </c>
      <c r="B8" s="8">
        <v>0.118</v>
      </c>
    </row>
    <row r="9" spans="1:2">
      <c r="A9" t="s">
        <v>112</v>
      </c>
      <c r="B9" s="8">
        <v>0.128</v>
      </c>
    </row>
    <row r="11" spans="1:2">
      <c r="A11" s="9" t="s">
        <v>113</v>
      </c>
      <c r="B11" s="8">
        <v>0.116</v>
      </c>
    </row>
    <row r="12" spans="1:2">
      <c r="A12" t="s">
        <v>114</v>
      </c>
      <c r="B12" t="s">
        <v>115</v>
      </c>
    </row>
    <row r="14" spans="1:2">
      <c r="A14" s="9" t="s">
        <v>116</v>
      </c>
    </row>
    <row r="15" spans="1:2">
      <c r="A15" t="s">
        <v>117</v>
      </c>
    </row>
    <row r="17" spans="1:1" ht="220" customHeight="1">
      <c r="A17" s="13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7" width="12.7109375" customWidth="1"/>
  </cols>
  <sheetData>
    <row r="1" spans="1:7">
      <c r="A1" s="1" t="s">
        <v>119</v>
      </c>
    </row>
    <row r="2" spans="1:7">
      <c r="A2" s="2" t="s">
        <v>120</v>
      </c>
    </row>
    <row r="5" spans="1:7">
      <c r="A5" s="7" t="s">
        <v>121</v>
      </c>
      <c r="B5" s="7" t="s">
        <v>122</v>
      </c>
      <c r="C5" s="7" t="s">
        <v>123</v>
      </c>
      <c r="D5" s="7" t="s">
        <v>124</v>
      </c>
      <c r="E5" s="7" t="s">
        <v>125</v>
      </c>
      <c r="F5" s="7" t="s">
        <v>126</v>
      </c>
      <c r="G5" s="7" t="s">
        <v>127</v>
      </c>
    </row>
    <row r="6" spans="1:7">
      <c r="A6" t="s">
        <v>75</v>
      </c>
      <c r="B6" s="12">
        <v>13.2</v>
      </c>
      <c r="C6" s="5">
        <v>39.5</v>
      </c>
      <c r="D6" s="5">
        <v>9.9</v>
      </c>
      <c r="E6" s="5">
        <v>24.1</v>
      </c>
      <c r="F6" s="5">
        <v>7.69</v>
      </c>
    </row>
    <row r="7" spans="1:7">
      <c r="A7" t="s">
        <v>76</v>
      </c>
      <c r="B7" s="12">
        <v>15.7</v>
      </c>
      <c r="C7" s="5">
        <v>43</v>
      </c>
      <c r="D7" s="5">
        <v>9.859999999999999</v>
      </c>
      <c r="E7" s="5">
        <v>27.1</v>
      </c>
      <c r="F7" s="5">
        <v>8.41</v>
      </c>
    </row>
    <row r="8" spans="1:7">
      <c r="A8" t="s">
        <v>77</v>
      </c>
      <c r="B8" s="12">
        <v>30.38</v>
      </c>
      <c r="C8" s="5">
        <v>60.8</v>
      </c>
      <c r="D8" s="5">
        <v>17.93</v>
      </c>
      <c r="E8" s="5">
        <v>39.7</v>
      </c>
      <c r="F8" s="5">
        <v>13.81</v>
      </c>
    </row>
    <row r="9" spans="1:7">
      <c r="A9" t="s">
        <v>78</v>
      </c>
      <c r="B9" s="12">
        <v>32.1</v>
      </c>
      <c r="C9" s="5">
        <v>35.2</v>
      </c>
      <c r="D9" s="5">
        <v>12.17</v>
      </c>
      <c r="E9" s="5">
        <v>23.2</v>
      </c>
      <c r="F9" s="5">
        <v>9.390000000000001</v>
      </c>
      <c r="G9" t="s">
        <v>128</v>
      </c>
    </row>
    <row r="10" spans="1:7">
      <c r="A10" t="s">
        <v>79</v>
      </c>
      <c r="B10" s="12">
        <v>24.35</v>
      </c>
      <c r="C10" s="5">
        <v>37.3</v>
      </c>
      <c r="D10" s="5">
        <v>8.369999999999999</v>
      </c>
      <c r="E10" s="5">
        <v>23.3</v>
      </c>
      <c r="F10" s="5">
        <v>8.359999999999999</v>
      </c>
      <c r="G10" t="s">
        <v>129</v>
      </c>
    </row>
    <row r="11" spans="1:7">
      <c r="A11" t="s">
        <v>80</v>
      </c>
      <c r="B11" s="12">
        <v>26.65</v>
      </c>
      <c r="C11" s="5">
        <v>61.5</v>
      </c>
      <c r="D11" s="5">
        <v>8.81</v>
      </c>
      <c r="E11" s="5">
        <v>35.7</v>
      </c>
      <c r="F11" s="5">
        <v>9.77</v>
      </c>
    </row>
    <row r="12" spans="1:7">
      <c r="A12" t="s">
        <v>81</v>
      </c>
      <c r="B12" s="12">
        <v>25.65</v>
      </c>
      <c r="C12" s="5">
        <v>112.5</v>
      </c>
      <c r="D12" s="5">
        <v>8.51</v>
      </c>
      <c r="E12" s="5">
        <v>32.1</v>
      </c>
      <c r="F12" s="5">
        <v>8.59</v>
      </c>
      <c r="G12" t="s">
        <v>130</v>
      </c>
    </row>
    <row r="13" spans="1:7">
      <c r="A13" t="s">
        <v>82</v>
      </c>
      <c r="B13" s="12">
        <v>33.54</v>
      </c>
      <c r="C13" s="5">
        <v>52.1</v>
      </c>
      <c r="D13" s="5">
        <v>10.4</v>
      </c>
      <c r="E13" s="5">
        <v>30</v>
      </c>
      <c r="F13" s="5">
        <v>9.73</v>
      </c>
    </row>
    <row r="14" spans="1:7">
      <c r="A14" t="s">
        <v>83</v>
      </c>
      <c r="B14" s="12">
        <v>37.39</v>
      </c>
      <c r="C14" s="5">
        <v>46.9</v>
      </c>
      <c r="D14" s="5">
        <v>10.38</v>
      </c>
      <c r="E14" s="5">
        <v>27.1</v>
      </c>
      <c r="F14" s="5">
        <v>9.51</v>
      </c>
    </row>
    <row r="16" spans="1:7">
      <c r="A16" s="9" t="s">
        <v>131</v>
      </c>
      <c r="C16" s="5">
        <v>50.6</v>
      </c>
      <c r="D16" s="5">
        <v>11.2</v>
      </c>
      <c r="E16" s="5">
        <v>30.6</v>
      </c>
      <c r="F16" s="5">
        <v>9.800000000000001</v>
      </c>
    </row>
    <row r="17" spans="1:7">
      <c r="A17" s="9" t="s">
        <v>132</v>
      </c>
      <c r="C17" s="5">
        <v>53.4</v>
      </c>
      <c r="D17" s="5">
        <v>11.82</v>
      </c>
      <c r="E17" s="5">
        <v>30.9</v>
      </c>
      <c r="F17" s="5">
        <v>10.83</v>
      </c>
    </row>
    <row r="18" spans="1:7">
      <c r="A18" s="9" t="s">
        <v>133</v>
      </c>
      <c r="C18" s="5">
        <v>26.9</v>
      </c>
      <c r="D18" s="5">
        <v>5.96</v>
      </c>
      <c r="E18" s="5">
        <v>15.3</v>
      </c>
      <c r="F18" s="5">
        <v>5.46</v>
      </c>
    </row>
    <row r="20" spans="1:7">
      <c r="A20" s="9" t="s">
        <v>134</v>
      </c>
      <c r="B20" s="14" t="s">
        <v>135</v>
      </c>
    </row>
    <row r="22" spans="1:7" ht="150" customHeight="1">
      <c r="A22" s="13" t="s">
        <v>136</v>
      </c>
      <c r="B22" s="13"/>
      <c r="C22" s="13"/>
      <c r="D22" s="13"/>
      <c r="E22" s="13"/>
      <c r="F22" s="13"/>
      <c r="G22" s="13"/>
    </row>
  </sheetData>
  <mergeCells count="1">
    <mergeCell ref="A22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137</v>
      </c>
    </row>
    <row r="4" spans="1:2">
      <c r="A4" s="9" t="s">
        <v>138</v>
      </c>
      <c r="B4" s="13" t="s">
        <v>139</v>
      </c>
    </row>
    <row r="5" spans="1:2">
      <c r="A5" s="9" t="s">
        <v>140</v>
      </c>
      <c r="B5" s="13" t="s">
        <v>141</v>
      </c>
    </row>
    <row r="6" spans="1:2">
      <c r="A6" s="9" t="s">
        <v>142</v>
      </c>
      <c r="B6" s="13" t="s">
        <v>143</v>
      </c>
    </row>
    <row r="7" spans="1:2" ht="30" customHeight="1">
      <c r="A7" s="9" t="s">
        <v>144</v>
      </c>
      <c r="B7" s="13" t="s">
        <v>145</v>
      </c>
    </row>
    <row r="8" spans="1:2" ht="30" customHeight="1">
      <c r="A8" s="9" t="s">
        <v>146</v>
      </c>
      <c r="B8" s="13" t="s">
        <v>147</v>
      </c>
    </row>
    <row r="9" spans="1:2" ht="30" customHeight="1">
      <c r="A9" s="9" t="s">
        <v>148</v>
      </c>
      <c r="B9" s="13" t="s">
        <v>149</v>
      </c>
    </row>
    <row r="10" spans="1:2" ht="45" customHeight="1">
      <c r="A10" s="9" t="s">
        <v>150</v>
      </c>
      <c r="B10" s="13" t="s">
        <v>151</v>
      </c>
    </row>
    <row r="11" spans="1:2" ht="75" customHeight="1">
      <c r="A11" s="9" t="s">
        <v>152</v>
      </c>
      <c r="B11" s="13" t="s">
        <v>153</v>
      </c>
    </row>
    <row r="12" spans="1:2" ht="75" customHeight="1">
      <c r="A12" s="9" t="s">
        <v>154</v>
      </c>
      <c r="B12" s="13" t="s">
        <v>155</v>
      </c>
    </row>
    <row r="13" spans="1:2" ht="60" customHeight="1">
      <c r="A13" s="9" t="s">
        <v>156</v>
      </c>
      <c r="B13" s="13" t="s">
        <v>157</v>
      </c>
    </row>
    <row r="14" spans="1:2" ht="45" customHeight="1">
      <c r="A14" s="9" t="s">
        <v>158</v>
      </c>
      <c r="B14" s="13" t="s">
        <v>159</v>
      </c>
    </row>
    <row r="15" spans="1:2" ht="75" customHeight="1">
      <c r="A15" s="9" t="s">
        <v>160</v>
      </c>
      <c r="B15" s="13" t="s">
        <v>161</v>
      </c>
    </row>
    <row r="16" spans="1:2" ht="60" customHeight="1">
      <c r="A16" s="9" t="s">
        <v>162</v>
      </c>
      <c r="B16" s="13" t="s">
        <v>163</v>
      </c>
    </row>
    <row r="17" spans="1:2" ht="75" customHeight="1">
      <c r="A17" s="9" t="s">
        <v>164</v>
      </c>
      <c r="B17" s="13" t="s">
        <v>165</v>
      </c>
    </row>
    <row r="18" spans="1:2" ht="45" customHeight="1">
      <c r="A18" s="9" t="s">
        <v>166</v>
      </c>
      <c r="B18" s="13" t="s">
        <v>167</v>
      </c>
    </row>
    <row r="19" spans="1:2" ht="90" customHeight="1">
      <c r="A19" s="9" t="s">
        <v>168</v>
      </c>
      <c r="B19" s="13" t="s">
        <v>169</v>
      </c>
    </row>
    <row r="20" spans="1:2" ht="60" customHeight="1">
      <c r="A20" s="9" t="s">
        <v>170</v>
      </c>
      <c r="B20" s="13" t="s">
        <v>171</v>
      </c>
    </row>
    <row r="21" spans="1:2" ht="45" customHeight="1">
      <c r="A21" s="9" t="s">
        <v>172</v>
      </c>
      <c r="B21" s="13" t="s">
        <v>173</v>
      </c>
    </row>
    <row r="22" spans="1:2" ht="45" customHeight="1">
      <c r="A22" s="9" t="s">
        <v>174</v>
      </c>
      <c r="B22" s="1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Sensitivity</vt:lpstr>
      <vt:lpstr>FCF Quality</vt:lpstr>
      <vt:lpstr>Historical</vt:lpstr>
      <vt:lpstr>Sanity Check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2026-08-11T06:35:17Z</dcterms:created>
  <dcterms:modified xsi:type="dcterms:W3CDTF">2026-08-11T06:35:17Z</dcterms:modified>
</cp:coreProperties>
</file>