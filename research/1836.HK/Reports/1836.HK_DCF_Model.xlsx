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<sst xmlns="http://schemas.openxmlformats.org/spreadsheetml/2006/main" count="353" uniqueCount="163">
  <si>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</si>
  <si>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1836.HK</t>
  </si>
  <si>
    <t xml:space="preserve">Company</t>
  </si>
  <si>
    <t xml:space="preserve">Stella International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</si>
  <si>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</si>
  <si>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</si>
  <si>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</si>
  <si>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</si>
  <si>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</si>
  <si>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</si>
  <si>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</si>
  <si>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</si>
  <si>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</si>
  <si>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</si>
  <si>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</si>
  <si>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</si>
  <si>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</si>
  <si>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</si>
  <si>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</si>
  <si>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</si>
  <si>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</si>
  <si>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</si>
  <si>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2026-10-16T20:45:31Z</t>
  </si>
  <si>
    <t xml:space="preserve">Drivers file</t>
  </si>
  <si>
    <t xml:space="preserve">1836.HK_Drivers.json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</si>
  <si>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</si>
  <si>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</si>
  <si>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</si>
  <si>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cash-rich footwear contract manufacturer with flat revenue over 2018-25 is worth its normalised owner FCF capitalised at a modest multiple plus its net cash. The value question is whether the 2026-28 capacity build earns its cost of capital: the base case assumes margins return to the FY2023-25 average, not the FY2024 peak, and the terminal multiple is capped at 12x for a cyclical, customer-concentrated OEM.
key_risks_to_valuation: Customer concentration: mix or volume shifts at the largest Sports customer already drove the FY2025-H1 2026 PRC-factory deleverage; Ramp execution at three new factories simultaneously, after the Indonesia/Philippines overruns; US tariff policy and continued 'tariff support' concessions to customers; Net cash is being distributed (70% payout + US$60m/yr special returns through 2026) faster than FCF replenishes it; the excess-return programme ends in 2026; Seasonal working-capital swing makes the June balance sheet understate through-year net cash by ~US$100m; the bridge normalises it</t>
  </si>
  <si>
    <t xml:space="preserve">Data sources</t>
  </si>
  <si>
    <t xml:space="preserve">price: Yahoo Finance chart API at inputs.price_as_of; 52-week range HK$11.12-16.80. FX from Yahoo HKD=X.
financials: 1836.HK_Metrics.csv / core_metrics (FY2018-FY2025, H1 FY2024-26, USD millions); FY2025 Annual Report cash flow statement; H1 FY2026 Interim Report balance sheet, cash flow, share capital and share-option notes.
qualitative: 1836.HK_Analysis.json (2026-10-17): Three-Year Plan 2026-2028, FY2026 guidance, bull/bear cases.</t>
  </si>
  <si>
    <t xml:space="preserve">Scenario narrative: bear</t>
  </si>
  <si>
    <t xml:space="preserve">The ramp repeats the Indonesia/Philippines pattern and coincides with demand weakness: the dominant Sports customer (Nike) shifts mix or volume away, US tariffs force further 'tariff support' concessions, and Luxury/Fashion keeps declining. Revenue slips in 2027 and margin settles at ~12% (below the FY2025 13.1%), with the new capacity under-utilised and the 70% payout plus special dividends draining the remaining net cash.</t>
  </si>
  <si>
    <t xml:space="preserve">Scenario narrative: base</t>
  </si>
  <si>
    <t xml:space="preserve">2026 is the trough investment year management says it is: revenue +1.5% on flat shipments, EBITDA margin ~12% as Indonesia/Vietnam/Bangladesh II ramp, the Philippines winds down and handbags lose money. The new capacity fills over 2027-28 with Sports customers diversifying away from China, revenue growing 6-7% and margin recovering to the FY2023-25 average of ~14%, a ~5% PAT CAGR -- short of the high-single-digit plan target because the last two ramps (Indonesia, Philippines) both ran over cost. Thereafter a mature, low-growth OEM.</t>
  </si>
  <si>
    <t xml:space="preserve">Scenario narrative: bull</t>
  </si>
  <si>
    <t xml:space="preserve">Supply-chain diversification and vendor consolidation favour multi-country premium ODMs: the three new factories ramp cleanly, new Sports and Fashion customers fill them, Luxury/Fashion demand recovers, and the handbag business becomes a second leg. Revenue compounds ~9-10% in 2027-28 and margins regain the FY2024 peak (~15.5%), delivering the plan's high-single-digit-plus PAT CAGR.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</si>
  <si>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</si>
  <si>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</si>
  <si>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</si>
  <si>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</si>
  <si>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</si>
  <si>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</si>
  <si>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</si>
  <si>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</si>
  <si>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</si>
  <si>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</si>
  <si>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</si>
  <si>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</si>
  <si>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</si>
  <si>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</si>
  <si>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</si>
  <si>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</si>
  <si>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</si>
  <si>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</si>
  <si>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</si>
  <si>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</si>
  <si>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</si>
  <si>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</si>
  <si>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</si>
  <si>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</si>
  <si>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</si>
  <si>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</si>
  <si>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</si>
  <si>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</si>
  <si>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</si>
  <si>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</si>
  <si>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</si>
  <si>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</si>
  <si>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</si>
  <si>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</si>
  <si>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</si>
  <si>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</si>
  <si>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</si>
  <si>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</si>
  <si>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</si>
  <si>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</si>
  <si>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</si>
  <si>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</si>
  <si>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</si>
  <si>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</si>
  <si>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</si>
  <si>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</si>
  <si>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</si>
  <si>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</si>
  <si>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</si>
  <si>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</si>
  <si>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</si>
  <si>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</si>
  <si>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</si>
  <si>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</si>
  <si>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</si>
  <si>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</si>
  <si>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</si>
  <si>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</si>
  <si>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</si>
  <si>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</si>
  <si>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</si>
  <si>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</si>
  <si>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</si>
  <si>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</si>
  <si>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</si>
  <si>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</si>
  <si>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</si>
  <si>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</si>
  <si>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</si>
  <si>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</si>
  <si>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</si>
  <si>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</si>
  <si>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1836.HK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</si>
  <si>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</si>
  <si>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</si>
  <si>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</si>
  <si>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</si>
  <si>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</si>
  <si>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</si>
  <si>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</si>
  <si>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</si>
  <si>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</si>
  <si>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</si>
  <si>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</si>
  <si>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</si>
  <si>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</si>
  <si>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</si>
  <si>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</si>
  <si>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</si>
  <si>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</si>
  <si>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</si>
  <si>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</si>
  <si>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</si>
  <si>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</si>
  <si>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</si>
  <si>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</si>
  <si>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</si>
  <si>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</si>
  <si>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</si>
  <si>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</si>
  <si>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</si>
  <si>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</si>
  <si>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</si>
  <si>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1836.HK owner-FCF component DCF: base case (millions, USD)</t>
  </si>
  <si>
    <t xml:space="preserve">1836.HK owner-FCF component DCF: bull case (millions, USD)</t>
  </si>
  <si>
    <t xml:space="preserve">1836.HK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</si>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</sst>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13.11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1588.583</v>
      </c>
      <c r="C2" s="0" t="n">
        <v>1311.461</v>
      </c>
      <c r="D2" s="0" t="n">
        <v>277.122</v>
      </c>
      <c r="E2" s="0" t="n">
        <v>17.4</v>
      </c>
      <c r="F2" s="0" t="n">
        <v>68.104</v>
      </c>
      <c r="G2" s="0" t="n">
        <v>4.3</v>
      </c>
      <c r="H2" s="0" t="n">
        <v>110.069</v>
      </c>
      <c r="I2" s="0" t="n">
        <v>65.455</v>
      </c>
      <c r="J2" s="0" t="n">
        <v>4.1</v>
      </c>
      <c r="K2" s="0" t="n">
        <v>0.0826</v>
      </c>
      <c r="L2" s="0" t="n">
        <v>94.567</v>
      </c>
      <c r="M2" s="0" t="n">
        <v>51.894</v>
      </c>
      <c r="N2" s="0" t="n">
        <v>42.673</v>
      </c>
      <c r="O2" s="0" t="n">
        <v>953.351</v>
      </c>
      <c r="P2" s="0" t="n">
        <v>1166.48</v>
      </c>
      <c r="Q2" s="0" t="n">
        <v>219.689</v>
      </c>
      <c r="R2" s="0" t="n">
        <v>65.399</v>
      </c>
      <c r="S2" s="0" t="n">
        <v>61.328</v>
      </c>
      <c r="T2" s="0" t="n">
        <v>792.601</v>
      </c>
      <c r="U2" s="0" t="n">
        <v>1.234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1544.83</v>
      </c>
      <c r="C3" s="0" t="n">
        <v>1251.221</v>
      </c>
      <c r="D3" s="0" t="n">
        <v>293.609</v>
      </c>
      <c r="E3" s="0" t="n">
        <v>19</v>
      </c>
      <c r="F3" s="0" t="n">
        <v>101.091</v>
      </c>
      <c r="G3" s="0" t="n">
        <v>6.5</v>
      </c>
      <c r="H3" s="0" t="n">
        <v>146.06</v>
      </c>
      <c r="I3" s="0" t="n">
        <v>95.925</v>
      </c>
      <c r="J3" s="0" t="n">
        <v>6.2</v>
      </c>
      <c r="K3" s="0" t="n">
        <v>0.1208</v>
      </c>
      <c r="L3" s="0" t="n">
        <v>223.483</v>
      </c>
      <c r="M3" s="0" t="n">
        <v>65.066</v>
      </c>
      <c r="N3" s="0" t="n">
        <v>158.417</v>
      </c>
      <c r="O3" s="0" t="n">
        <v>959.669</v>
      </c>
      <c r="P3" s="0" t="n">
        <v>1133.369</v>
      </c>
      <c r="Q3" s="0" t="n">
        <v>174.203</v>
      </c>
      <c r="R3" s="0" t="n">
        <v>2.995</v>
      </c>
      <c r="S3" s="0" t="n">
        <v>68.061</v>
      </c>
      <c r="T3" s="0" t="n">
        <v>793.854</v>
      </c>
      <c r="U3" s="0" t="n">
        <v>0.855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1135.88</v>
      </c>
      <c r="C4" s="0" t="n">
        <v>934.218</v>
      </c>
      <c r="D4" s="0" t="n">
        <v>201.662</v>
      </c>
      <c r="E4" s="0" t="n">
        <v>17.8</v>
      </c>
      <c r="F4" s="0" t="n">
        <v>2.037</v>
      </c>
      <c r="G4" s="0" t="n">
        <v>0.2</v>
      </c>
      <c r="H4" s="0" t="n">
        <v>51.976</v>
      </c>
      <c r="I4" s="0" t="n">
        <v>1.685</v>
      </c>
      <c r="J4" s="0" t="n">
        <v>0.1</v>
      </c>
      <c r="K4" s="0" t="n">
        <v>0.0021</v>
      </c>
      <c r="L4" s="0" t="n">
        <v>170.458</v>
      </c>
      <c r="M4" s="0" t="n">
        <v>49.489</v>
      </c>
      <c r="N4" s="0" t="n">
        <v>120.969</v>
      </c>
      <c r="O4" s="0" t="n">
        <v>924.587</v>
      </c>
      <c r="P4" s="0" t="n">
        <v>1149.555</v>
      </c>
      <c r="Q4" s="0" t="n">
        <v>225.716</v>
      </c>
      <c r="R4" s="0" t="n">
        <v>2.893</v>
      </c>
      <c r="S4" s="0" t="n">
        <v>108.667</v>
      </c>
      <c r="T4" s="0" t="n">
        <v>793.002</v>
      </c>
      <c r="U4" s="0" t="n">
        <v>-0.123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1540.608</v>
      </c>
      <c r="C5" s="0" t="n">
        <v>1223.761</v>
      </c>
      <c r="D5" s="0" t="n">
        <v>316.847</v>
      </c>
      <c r="E5" s="0" t="n">
        <v>20.6</v>
      </c>
      <c r="F5" s="0" t="n">
        <v>102.951</v>
      </c>
      <c r="G5" s="0" t="n">
        <v>6.7</v>
      </c>
      <c r="H5" s="0" t="n">
        <v>159.941</v>
      </c>
      <c r="I5" s="0" t="n">
        <v>89.694</v>
      </c>
      <c r="J5" s="0" t="n">
        <v>5.8</v>
      </c>
      <c r="K5" s="0" t="n">
        <v>0.113</v>
      </c>
      <c r="L5" s="0" t="n">
        <v>120.256</v>
      </c>
      <c r="M5" s="0" t="n">
        <v>52.394</v>
      </c>
      <c r="N5" s="0" t="n">
        <v>67.862</v>
      </c>
      <c r="O5" s="0" t="n">
        <v>998.595</v>
      </c>
      <c r="P5" s="0" t="n">
        <v>1298.208</v>
      </c>
      <c r="Q5" s="0" t="n">
        <v>281.487</v>
      </c>
      <c r="R5" s="0" t="n">
        <v>7.714</v>
      </c>
      <c r="S5" s="0" t="n">
        <v>135.17</v>
      </c>
      <c r="T5" s="0" t="n">
        <v>793.552</v>
      </c>
      <c r="U5" s="0" t="n">
        <v>4.398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1630.771</v>
      </c>
      <c r="C6" s="0" t="n">
        <v>1278.644</v>
      </c>
      <c r="D6" s="0" t="n">
        <v>352.127</v>
      </c>
      <c r="E6" s="0" t="n">
        <v>21.6</v>
      </c>
      <c r="F6" s="0" t="n">
        <v>132.474</v>
      </c>
      <c r="G6" s="0" t="n">
        <v>8.1</v>
      </c>
      <c r="H6" s="0" t="n">
        <v>188.868</v>
      </c>
      <c r="I6" s="0" t="n">
        <v>118.033</v>
      </c>
      <c r="J6" s="0" t="n">
        <v>7.2</v>
      </c>
      <c r="K6" s="0" t="n">
        <v>0.149</v>
      </c>
      <c r="L6" s="0" t="n">
        <v>240.076</v>
      </c>
      <c r="M6" s="0" t="n">
        <v>45.267</v>
      </c>
      <c r="N6" s="0" t="n">
        <v>194.809</v>
      </c>
      <c r="O6" s="0" t="n">
        <v>998.861</v>
      </c>
      <c r="P6" s="0" t="n">
        <v>1258.083</v>
      </c>
      <c r="Q6" s="0" t="n">
        <v>242.134</v>
      </c>
      <c r="R6" s="0" t="n">
        <v>7.227</v>
      </c>
      <c r="S6" s="0" t="n">
        <v>213.303</v>
      </c>
      <c r="T6" s="0" t="n">
        <v>792.201</v>
      </c>
      <c r="U6" s="0" t="n">
        <v>5.821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1492.651</v>
      </c>
      <c r="C7" s="0" t="n">
        <v>1125.923</v>
      </c>
      <c r="D7" s="0" t="n">
        <v>366.728</v>
      </c>
      <c r="E7" s="0" t="n">
        <v>24.6</v>
      </c>
      <c r="F7" s="0" t="n">
        <v>152.045</v>
      </c>
      <c r="G7" s="0" t="n">
        <v>10.2</v>
      </c>
      <c r="H7" s="0" t="n">
        <v>208.261</v>
      </c>
      <c r="I7" s="0" t="n">
        <v>141.072</v>
      </c>
      <c r="J7" s="0" t="n">
        <v>9.5</v>
      </c>
      <c r="K7" s="0" t="n">
        <v>0.1778</v>
      </c>
      <c r="L7" s="0" t="n">
        <v>229.153</v>
      </c>
      <c r="M7" s="0" t="n">
        <v>55.699</v>
      </c>
      <c r="N7" s="0" t="n">
        <v>173.454</v>
      </c>
      <c r="O7" s="0" t="n">
        <v>1051.205</v>
      </c>
      <c r="P7" s="0" t="n">
        <v>1359.701</v>
      </c>
      <c r="Q7" s="0" t="n">
        <v>292.237</v>
      </c>
      <c r="R7" s="0" t="n">
        <v>7.11</v>
      </c>
      <c r="S7" s="0" t="n">
        <v>294.471</v>
      </c>
      <c r="T7" s="0" t="n">
        <v>793.413</v>
      </c>
      <c r="U7" s="0" t="n">
        <v>3.474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1545.114</v>
      </c>
      <c r="C8" s="0" t="n">
        <v>1161.157</v>
      </c>
      <c r="D8" s="0" t="n">
        <v>383.957</v>
      </c>
      <c r="E8" s="0" t="n">
        <v>24.8</v>
      </c>
      <c r="F8" s="0" t="n">
        <v>183.428</v>
      </c>
      <c r="G8" s="0" t="n">
        <v>11.9</v>
      </c>
      <c r="H8" s="0" t="n">
        <v>238.721</v>
      </c>
      <c r="I8" s="0" t="n">
        <v>171.049</v>
      </c>
      <c r="J8" s="0" t="n">
        <v>11.1</v>
      </c>
      <c r="K8" s="0" t="n">
        <v>0.2069</v>
      </c>
      <c r="L8" s="0" t="n">
        <v>264.067</v>
      </c>
      <c r="M8" s="0" t="n">
        <v>66.559</v>
      </c>
      <c r="N8" s="0" t="n">
        <v>197.508</v>
      </c>
      <c r="O8" s="0" t="n">
        <v>1102.216</v>
      </c>
      <c r="P8" s="0" t="n">
        <v>1423.366</v>
      </c>
      <c r="Q8" s="0" t="n">
        <v>305.827</v>
      </c>
      <c r="R8" s="0" t="n">
        <v>5.871</v>
      </c>
      <c r="S8" s="0" t="n">
        <v>423.547</v>
      </c>
      <c r="T8" s="0" t="n">
        <v>826.779</v>
      </c>
      <c r="U8" s="0" t="n">
        <v>1.477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1570.237</v>
      </c>
      <c r="C9" s="0" t="n">
        <v>1227.907</v>
      </c>
      <c r="D9" s="0" t="n">
        <v>342.33</v>
      </c>
      <c r="E9" s="0" t="n">
        <v>21.8</v>
      </c>
      <c r="F9" s="0" t="n">
        <v>149.254</v>
      </c>
      <c r="G9" s="0" t="n">
        <v>9.5</v>
      </c>
      <c r="H9" s="0" t="n">
        <v>206.001</v>
      </c>
      <c r="I9" s="0" t="n">
        <v>137.987</v>
      </c>
      <c r="J9" s="0" t="n">
        <v>8.8</v>
      </c>
      <c r="K9" s="0" t="n">
        <v>0.1631</v>
      </c>
      <c r="L9" s="0" t="n">
        <v>194.736</v>
      </c>
      <c r="M9" s="0" t="n">
        <v>87.343</v>
      </c>
      <c r="N9" s="0" t="n">
        <v>107.393</v>
      </c>
      <c r="O9" s="0" t="n">
        <v>1096.451</v>
      </c>
      <c r="P9" s="0" t="n">
        <v>1440.052</v>
      </c>
      <c r="Q9" s="0" t="n">
        <v>329.609</v>
      </c>
      <c r="R9" s="0" t="n">
        <v>5.834</v>
      </c>
      <c r="S9" s="0" t="n">
        <v>373.273</v>
      </c>
      <c r="T9" s="0" t="n">
        <v>846.112</v>
      </c>
      <c r="U9" s="0" t="n">
        <v>0.278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13.11</v>
      </c>
    </row>
    <row r="3" customFormat="false" ht="15" hidden="false" customHeight="false" outlineLevel="0" collapsed="false">
      <c r="A3" s="0" t="s">
        <v>75</v>
      </c>
      <c r="B3" s="3" t="n">
        <v>862.86</v>
      </c>
    </row>
    <row r="4" customFormat="false" ht="15" hidden="false" customHeight="false" outlineLevel="0" collapsed="false">
      <c r="A4" s="0" t="s">
        <v>76</v>
      </c>
      <c r="B4" s="3" t="n">
        <v>-183.27</v>
      </c>
    </row>
    <row r="5" customFormat="false" ht="15" hidden="false" customHeight="false" outlineLevel="0" collapsed="false">
      <c r="A5" s="0" t="s">
        <v>77</v>
      </c>
      <c r="B5" s="3" t="n">
        <v>76.4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1570.237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7.8476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-2</v>
      </c>
      <c r="E13" s="3" t="n">
        <v>2</v>
      </c>
      <c r="F13" s="3" t="n">
        <v>2.5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11.5</v>
      </c>
      <c r="D14" s="3" t="n">
        <v>11</v>
      </c>
      <c r="E14" s="3" t="n">
        <v>11.5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97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3.8</v>
      </c>
      <c r="D17" s="3" t="n">
        <v>4</v>
      </c>
      <c r="E17" s="3" t="n">
        <v>4.1</v>
      </c>
      <c r="F17" s="3" t="n">
        <v>4.1</v>
      </c>
      <c r="G17" s="3" t="n">
        <v>4</v>
      </c>
      <c r="H17" s="3" t="n">
        <v>4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100</v>
      </c>
      <c r="C18" s="3" t="n">
        <v>7.3</v>
      </c>
      <c r="D18" s="3" t="n">
        <v>4.5</v>
      </c>
      <c r="E18" s="3" t="n">
        <v>3.8</v>
      </c>
      <c r="F18" s="3" t="n">
        <v>3.8</v>
      </c>
      <c r="G18" s="3" t="n">
        <v>3.8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101</v>
      </c>
      <c r="C19" s="3" t="n">
        <v>10</v>
      </c>
      <c r="D19" s="3" t="n">
        <v>12</v>
      </c>
      <c r="E19" s="3" t="n">
        <v>14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102</v>
      </c>
      <c r="B20" s="3" t="n">
        <v>10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1.5</v>
      </c>
      <c r="D27" s="3" t="n">
        <v>6</v>
      </c>
      <c r="E27" s="3" t="n">
        <v>7</v>
      </c>
      <c r="F27" s="3" t="n">
        <v>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12</v>
      </c>
      <c r="D28" s="3" t="n">
        <v>13</v>
      </c>
      <c r="E28" s="3" t="n">
        <v>14</v>
      </c>
      <c r="F28" s="3" t="n">
        <v>14.2</v>
      </c>
      <c r="G28" s="3" t="n">
        <v>14.3</v>
      </c>
      <c r="H28" s="3" t="n">
        <v>14.3</v>
      </c>
      <c r="I28" s="3" t="n">
        <v>14.3</v>
      </c>
      <c r="J28" s="3" t="n">
        <v>14.3</v>
      </c>
      <c r="K28" s="3" t="n">
        <v>14.3</v>
      </c>
      <c r="L28" s="3" t="n">
        <v>14.3</v>
      </c>
    </row>
    <row r="29" customFormat="false" ht="15" hidden="false" customHeight="false" outlineLevel="0" collapsed="false">
      <c r="A29" s="0" t="s">
        <v>97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3.8</v>
      </c>
      <c r="D31" s="3" t="n">
        <v>3.9</v>
      </c>
      <c r="E31" s="3" t="n">
        <v>4</v>
      </c>
      <c r="F31" s="3" t="n">
        <v>4</v>
      </c>
      <c r="G31" s="3" t="n">
        <v>3.9</v>
      </c>
      <c r="H31" s="3" t="n">
        <v>3.9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100</v>
      </c>
      <c r="C32" s="3" t="n">
        <v>7.3</v>
      </c>
      <c r="D32" s="3" t="n">
        <v>5</v>
      </c>
      <c r="E32" s="3" t="n">
        <v>4.3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101</v>
      </c>
      <c r="C33" s="3" t="n">
        <v>10</v>
      </c>
      <c r="D33" s="3" t="n">
        <v>12</v>
      </c>
      <c r="E33" s="3" t="n">
        <v>14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102</v>
      </c>
      <c r="B34" s="3" t="n">
        <v>10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2.5</v>
      </c>
      <c r="D41" s="3" t="n">
        <v>9</v>
      </c>
      <c r="E41" s="3" t="n">
        <v>10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12.5</v>
      </c>
      <c r="D42" s="3" t="n">
        <v>14</v>
      </c>
      <c r="E42" s="3" t="n">
        <v>15</v>
      </c>
      <c r="F42" s="3" t="n">
        <v>15.4</v>
      </c>
      <c r="G42" s="3" t="n">
        <v>15.5</v>
      </c>
      <c r="H42" s="3" t="n">
        <v>15.5</v>
      </c>
      <c r="I42" s="3" t="n">
        <v>15.5</v>
      </c>
      <c r="J42" s="3" t="n">
        <v>15.5</v>
      </c>
      <c r="K42" s="3" t="n">
        <v>15.5</v>
      </c>
      <c r="L42" s="3" t="n">
        <v>15.5</v>
      </c>
    </row>
    <row r="43" customFormat="false" ht="15" hidden="false" customHeight="false" outlineLevel="0" collapsed="false">
      <c r="A43" s="0" t="s">
        <v>97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3.8</v>
      </c>
      <c r="D45" s="3" t="n">
        <v>3.9</v>
      </c>
      <c r="E45" s="3" t="n">
        <v>4</v>
      </c>
      <c r="F45" s="3" t="n">
        <v>4</v>
      </c>
      <c r="G45" s="3" t="n">
        <v>3.9</v>
      </c>
      <c r="H45" s="3" t="n">
        <v>3.9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100</v>
      </c>
      <c r="C46" s="3" t="n">
        <v>7.3</v>
      </c>
      <c r="D46" s="3" t="n">
        <v>5.5</v>
      </c>
      <c r="E46" s="3" t="n">
        <v>4.8</v>
      </c>
      <c r="F46" s="3" t="n">
        <v>4.3</v>
      </c>
      <c r="G46" s="3" t="n">
        <v>4.2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101</v>
      </c>
      <c r="C47" s="3" t="n">
        <v>10</v>
      </c>
      <c r="D47" s="3" t="n">
        <v>12</v>
      </c>
      <c r="E47" s="3" t="n">
        <v>14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102</v>
      </c>
      <c r="B48" s="3" t="n">
        <v>10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-2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1570.237</v>
      </c>
      <c r="C6" s="0" t="n">
        <f aca="false">B6*(1+C5/100)</f>
        <v>1570.237</v>
      </c>
      <c r="D6" s="0" t="n">
        <f aca="false">C6*(1+D5/100)</f>
        <v>1538.83226</v>
      </c>
      <c r="E6" s="0" t="n">
        <f aca="false">D6*(1+E5/100)</f>
        <v>1569.6089052</v>
      </c>
      <c r="F6" s="0" t="n">
        <f aca="false">E6*(1+F5/100)</f>
        <v>1608.84912783</v>
      </c>
      <c r="G6" s="0" t="n">
        <f aca="false">F6*(1+G5/100)</f>
        <v>1641.0261103866</v>
      </c>
      <c r="H6" s="0" t="n">
        <f aca="false">G6*(1+H5/100)</f>
        <v>1673.84663259433</v>
      </c>
      <c r="I6" s="0" t="n">
        <f aca="false">H6*(1+I5/100)</f>
        <v>1707.32356524622</v>
      </c>
      <c r="J6" s="0" t="n">
        <f aca="false">I6*(1+J5/100)</f>
        <v>1732.93341872491</v>
      </c>
      <c r="K6" s="0" t="n">
        <f aca="false">J6*(1+K5/100)</f>
        <v>1758.92742000579</v>
      </c>
      <c r="L6" s="0" t="n">
        <f aca="false">K6*(1+L5/100)</f>
        <v>1785.31133130587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11.5</v>
      </c>
      <c r="D7" s="4" t="n">
        <f aca="false">Assumptions!D14</f>
        <v>11</v>
      </c>
      <c r="E7" s="4" t="n">
        <f aca="false">Assumptions!E14</f>
        <v>11.5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180.577255</v>
      </c>
      <c r="D8" s="0" t="n">
        <f aca="false">D6*D7/100</f>
        <v>169.2715486</v>
      </c>
      <c r="E8" s="0" t="n">
        <f aca="false">E6*E7/100</f>
        <v>180.505024098</v>
      </c>
      <c r="F8" s="0" t="n">
        <f aca="false">F6*F7/100</f>
        <v>193.0618953396</v>
      </c>
      <c r="G8" s="0" t="n">
        <f aca="false">G6*G7/100</f>
        <v>196.923133246392</v>
      </c>
      <c r="H8" s="0" t="n">
        <f aca="false">H6*H7/100</f>
        <v>200.86159591132</v>
      </c>
      <c r="I8" s="0" t="n">
        <f aca="false">I6*I7/100</f>
        <v>204.878827829546</v>
      </c>
      <c r="J8" s="0" t="n">
        <f aca="false">J6*J7/100</f>
        <v>207.952010246989</v>
      </c>
      <c r="K8" s="0" t="n">
        <f aca="false">K6*K7/100</f>
        <v>211.071290400694</v>
      </c>
      <c r="L8" s="0" t="n">
        <f aca="false">L6*L7/100</f>
        <v>214.237359756705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-3.9255925</v>
      </c>
      <c r="D10" s="0" t="n">
        <f aca="false">-D6*D9/100</f>
        <v>-3.84708065</v>
      </c>
      <c r="E10" s="0" t="n">
        <f aca="false">-E6*E9/100</f>
        <v>-3.924022263</v>
      </c>
      <c r="F10" s="0" t="n">
        <f aca="false">-F6*F9/100</f>
        <v>-4.022122819575</v>
      </c>
      <c r="G10" s="0" t="n">
        <f aca="false">-G6*G9/100</f>
        <v>-4.1025652759665</v>
      </c>
      <c r="H10" s="0" t="n">
        <f aca="false">-H6*H9/100</f>
        <v>-4.18461658148583</v>
      </c>
      <c r="I10" s="0" t="n">
        <f aca="false">-I6*I9/100</f>
        <v>-4.26830891311555</v>
      </c>
      <c r="J10" s="0" t="n">
        <f aca="false">-J6*J9/100</f>
        <v>-4.33233354681228</v>
      </c>
      <c r="K10" s="0" t="n">
        <f aca="false">-K6*K9/100</f>
        <v>-4.39731855001446</v>
      </c>
      <c r="L10" s="0" t="n">
        <f aca="false">-L6*L9/100</f>
        <v>-4.46327832826468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176.6516625</v>
      </c>
      <c r="D11" s="0" t="n">
        <f aca="false">D8+D10+D24</f>
        <v>165.42446795</v>
      </c>
      <c r="E11" s="0" t="n">
        <f aca="false">E8+E10+E24</f>
        <v>176.581001835</v>
      </c>
      <c r="F11" s="0" t="n">
        <f aca="false">F8+F10+F24</f>
        <v>189.039772520025</v>
      </c>
      <c r="G11" s="0" t="n">
        <f aca="false">G8+G10+G24</f>
        <v>192.820567970426</v>
      </c>
      <c r="H11" s="0" t="n">
        <f aca="false">H8+H10+H24</f>
        <v>196.676979329834</v>
      </c>
      <c r="I11" s="0" t="n">
        <f aca="false">I8+I10+I24</f>
        <v>200.610518916431</v>
      </c>
      <c r="J11" s="0" t="n">
        <f aca="false">J8+J10+J24</f>
        <v>203.619676700177</v>
      </c>
      <c r="K11" s="0" t="n">
        <f aca="false">K8+K10+K24</f>
        <v>206.67397185068</v>
      </c>
      <c r="L11" s="0" t="n">
        <f aca="false">L8+L10+L24</f>
        <v>209.77408142844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-59.669006</v>
      </c>
      <c r="D12" s="4" t="n">
        <f aca="false">-D6*Assumptions!D17/100</f>
        <v>-61.5532904</v>
      </c>
      <c r="E12" s="4" t="n">
        <f aca="false">-E6*Assumptions!E17/100</f>
        <v>-64.3539651132</v>
      </c>
      <c r="F12" s="4" t="n">
        <f aca="false">-F6*Assumptions!F17/100</f>
        <v>-65.96281424103</v>
      </c>
      <c r="G12" s="4" t="n">
        <f aca="false">-G6*Assumptions!G17/100</f>
        <v>-65.641044415464</v>
      </c>
      <c r="H12" s="4" t="n">
        <f aca="false">-H6*Assumptions!H17/100</f>
        <v>-66.9538653037733</v>
      </c>
      <c r="I12" s="4" t="n">
        <f aca="false">-I6*Assumptions!I17/100</f>
        <v>-66.5856190446025</v>
      </c>
      <c r="J12" s="4" t="n">
        <f aca="false">-J6*Assumptions!J17/100</f>
        <v>-67.5844033302716</v>
      </c>
      <c r="K12" s="4" t="n">
        <f aca="false">-K6*Assumptions!K17/100</f>
        <v>-68.5981693802256</v>
      </c>
      <c r="L12" s="4" t="n">
        <f aca="false">-L6*Assumptions!L17/100</f>
        <v>-69.627141920929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116.9826565</v>
      </c>
      <c r="D13" s="0" t="n">
        <f aca="false">D11+D12</f>
        <v>103.87117755</v>
      </c>
      <c r="E13" s="0" t="n">
        <f aca="false">E11+E12</f>
        <v>112.2270367218</v>
      </c>
      <c r="F13" s="0" t="n">
        <f aca="false">F11+F12</f>
        <v>123.076958278995</v>
      </c>
      <c r="G13" s="0" t="n">
        <f aca="false">G11+G12</f>
        <v>127.179523554962</v>
      </c>
      <c r="H13" s="0" t="n">
        <f aca="false">H11+H12</f>
        <v>129.723114026061</v>
      </c>
      <c r="I13" s="0" t="n">
        <f aca="false">I11+I12</f>
        <v>134.024899871828</v>
      </c>
      <c r="J13" s="0" t="n">
        <f aca="false">J11+J12</f>
        <v>136.035273369906</v>
      </c>
      <c r="K13" s="0" t="n">
        <f aca="false">K11+K12</f>
        <v>138.075802470454</v>
      </c>
      <c r="L13" s="0" t="n">
        <f aca="false">L11+L12</f>
        <v>140.146939507511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10</v>
      </c>
      <c r="D14" s="4" t="n">
        <f aca="false">Assumptions!D19</f>
        <v>12</v>
      </c>
      <c r="E14" s="4" t="n">
        <f aca="false">Assumptions!E19</f>
        <v>14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105.28439085</v>
      </c>
      <c r="D15" s="0" t="n">
        <f aca="false">D13-MAX(0,D13)*D14/100</f>
        <v>91.406636244</v>
      </c>
      <c r="E15" s="0" t="n">
        <f aca="false">E13-MAX(0,E13)*E14/100</f>
        <v>96.515251580748</v>
      </c>
      <c r="F15" s="0" t="n">
        <f aca="false">F13-MAX(0,F13)*F14/100</f>
        <v>104.615414537146</v>
      </c>
      <c r="G15" s="0" t="n">
        <f aca="false">G13-MAX(0,G13)*G14/100</f>
        <v>108.102595021717</v>
      </c>
      <c r="H15" s="0" t="n">
        <f aca="false">H13-MAX(0,H13)*H14/100</f>
        <v>110.264646922152</v>
      </c>
      <c r="I15" s="0" t="n">
        <f aca="false">I13-MAX(0,I13)*I14/100</f>
        <v>113.921164891054</v>
      </c>
      <c r="J15" s="0" t="n">
        <f aca="false">J13-MAX(0,J13)*J14/100</f>
        <v>115.62998236442</v>
      </c>
      <c r="K15" s="0" t="n">
        <f aca="false">K13-MAX(0,K13)*K14/100</f>
        <v>117.364432099886</v>
      </c>
      <c r="L15" s="0" t="n">
        <f aca="false">L13-MAX(0,L13)*L14/100</f>
        <v>119.124898581384</v>
      </c>
    </row>
    <row r="16" customFormat="false" ht="15" hidden="false" customHeight="false" outlineLevel="0" collapsed="false">
      <c r="A16" s="0" t="s">
        <v>117</v>
      </c>
      <c r="C16" s="0" t="n">
        <f aca="false">-C12</f>
        <v>59.669006</v>
      </c>
      <c r="D16" s="0" t="n">
        <f aca="false">-D12</f>
        <v>61.5532904</v>
      </c>
      <c r="E16" s="0" t="n">
        <f aca="false">-E12</f>
        <v>64.3539651132</v>
      </c>
      <c r="F16" s="0" t="n">
        <f aca="false">-F12</f>
        <v>65.96281424103</v>
      </c>
      <c r="G16" s="0" t="n">
        <f aca="false">-G12</f>
        <v>65.641044415464</v>
      </c>
      <c r="H16" s="0" t="n">
        <f aca="false">-H12</f>
        <v>66.9538653037733</v>
      </c>
      <c r="I16" s="0" t="n">
        <f aca="false">-I12</f>
        <v>66.5856190446025</v>
      </c>
      <c r="J16" s="0" t="n">
        <f aca="false">-J12</f>
        <v>67.5844033302716</v>
      </c>
      <c r="K16" s="0" t="n">
        <f aca="false">-K12</f>
        <v>68.5981693802256</v>
      </c>
      <c r="L16" s="0" t="n">
        <f aca="false">-L12</f>
        <v>69.627141920929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-114.627301</v>
      </c>
      <c r="D17" s="4" t="n">
        <f aca="false">-D6*Assumptions!D18/100</f>
        <v>-69.2474517</v>
      </c>
      <c r="E17" s="4" t="n">
        <f aca="false">-E6*Assumptions!E18/100</f>
        <v>-59.6451383976</v>
      </c>
      <c r="F17" s="4" t="n">
        <f aca="false">-F6*Assumptions!F18/100</f>
        <v>-61.13626685754</v>
      </c>
      <c r="G17" s="4" t="n">
        <f aca="false">-G6*Assumptions!G18/100</f>
        <v>-62.3589921946908</v>
      </c>
      <c r="H17" s="4" t="n">
        <f aca="false">-H6*Assumptions!H18/100</f>
        <v>-63.6061720385846</v>
      </c>
      <c r="I17" s="4" t="n">
        <f aca="false">-I6*Assumptions!I18/100</f>
        <v>-64.8782954793563</v>
      </c>
      <c r="J17" s="4" t="n">
        <f aca="false">-J6*Assumptions!J18/100</f>
        <v>-65.8514699115466</v>
      </c>
      <c r="K17" s="4" t="n">
        <f aca="false">-K6*Assumptions!K18/100</f>
        <v>-66.8392419602198</v>
      </c>
      <c r="L17" s="4" t="n">
        <f aca="false">-L6*Assumptions!L18/100</f>
        <v>-67.8418305896231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-0</v>
      </c>
      <c r="D18" s="4" t="n">
        <f aca="false">(D6-C6)*Assumptions!$B$23/100</f>
        <v>4.71071099999999</v>
      </c>
      <c r="E18" s="4" t="n">
        <f aca="false">(E6-D6)*Assumptions!$B$23/100</f>
        <v>-4.61649678000001</v>
      </c>
      <c r="F18" s="4" t="n">
        <f aca="false">(F6-E6)*Assumptions!$B$23/100</f>
        <v>-5.88603339449998</v>
      </c>
      <c r="G18" s="4" t="n">
        <f aca="false">(G6-F6)*Assumptions!$B$23/100</f>
        <v>-4.82654738349</v>
      </c>
      <c r="H18" s="4" t="n">
        <f aca="false">(H6-G6)*Assumptions!$B$23/100</f>
        <v>-4.9230783311598</v>
      </c>
      <c r="I18" s="4" t="n">
        <f aca="false">(I6-H6)*Assumptions!$B$23/100</f>
        <v>-5.02153989778301</v>
      </c>
      <c r="J18" s="4" t="n">
        <f aca="false">(J6-I6)*Assumptions!$B$23/100</f>
        <v>-3.84147802180397</v>
      </c>
      <c r="K18" s="4" t="n">
        <f aca="false">(K6-J6)*Assumptions!$B$23/100</f>
        <v>-3.89910019213104</v>
      </c>
      <c r="L18" s="4" t="n">
        <f aca="false">(L6-K6)*Assumptions!$B$23/100</f>
        <v>-3.95758669501298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50.32609585</v>
      </c>
      <c r="D19" s="0" t="n">
        <f aca="false">D15+D16+D17+D18</f>
        <v>88.423185944</v>
      </c>
      <c r="E19" s="0" t="n">
        <f aca="false">E15+E16+E17+E18</f>
        <v>96.607581516348</v>
      </c>
      <c r="F19" s="0" t="n">
        <f aca="false">F15+F16+F17+F18</f>
        <v>103.555928526136</v>
      </c>
      <c r="G19" s="0" t="n">
        <f aca="false">G15+G16+G17+G18</f>
        <v>106.558099859</v>
      </c>
      <c r="H19" s="0" t="n">
        <f aca="false">H15+H16+H17+H18</f>
        <v>108.689261856181</v>
      </c>
      <c r="I19" s="0" t="n">
        <f aca="false">I15+I16+I17+I18</f>
        <v>110.606948558517</v>
      </c>
      <c r="J19" s="0" t="n">
        <f aca="false">J15+J16+J17+J18</f>
        <v>113.521437761341</v>
      </c>
      <c r="K19" s="0" t="n">
        <f aca="false">K15+K16+K17+K18</f>
        <v>115.224259327761</v>
      </c>
      <c r="L19" s="0" t="n">
        <f aca="false">L15+L16+L17+L18</f>
        <v>116.952623217677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45.7509962272727</v>
      </c>
      <c r="D21" s="0" t="n">
        <f aca="false">D19*D20</f>
        <v>73.0770131768595</v>
      </c>
      <c r="E21" s="0" t="n">
        <f aca="false">E19*E20</f>
        <v>72.5827058725379</v>
      </c>
      <c r="F21" s="0" t="n">
        <f aca="false">F19*F20</f>
        <v>70.7300925661743</v>
      </c>
      <c r="G21" s="0" t="n">
        <f aca="false">G19*G20</f>
        <v>66.1641963471201</v>
      </c>
      <c r="H21" s="0" t="n">
        <f aca="false">H19*H20</f>
        <v>61.3522547946023</v>
      </c>
      <c r="I21" s="0" t="n">
        <f aca="false">I19*I20</f>
        <v>56.7588535855292</v>
      </c>
      <c r="J21" s="0" t="n">
        <f aca="false">J19*J20</f>
        <v>52.9585885276853</v>
      </c>
      <c r="K21" s="0" t="n">
        <f aca="false">K19*K20</f>
        <v>48.8663339596369</v>
      </c>
      <c r="L21" s="0" t="n">
        <f aca="false">L19*L20</f>
        <v>45.0902990627559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593.331334120174</v>
      </c>
    </row>
    <row r="31" customFormat="false" ht="15" hidden="false" customHeight="false" outlineLevel="0" collapsed="false">
      <c r="A31" s="0" t="s">
        <v>126</v>
      </c>
      <c r="B31" s="0" t="n">
        <f aca="false">L19</f>
        <v>116.952623217677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1396.5519125405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1403.43147861213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1396.5519125405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538.431218219967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1131.76255234014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1391.43255234014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12.654898938118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-0.0347140398079333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25.1500054627871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20.5482213346292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13.0705183950582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879.310463451425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8.64645753781105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1.5</v>
      </c>
      <c r="D5" s="4" t="n">
        <f aca="false">Assumptions!D27</f>
        <v>6</v>
      </c>
      <c r="E5" s="4" t="n">
        <f aca="false">Assumptions!E27</f>
        <v>7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1570.237</v>
      </c>
      <c r="C6" s="0" t="n">
        <f aca="false">B6*(1+C5/100)</f>
        <v>1593.790555</v>
      </c>
      <c r="D6" s="0" t="n">
        <f aca="false">C6*(1+D5/100)</f>
        <v>1689.4179883</v>
      </c>
      <c r="E6" s="0" t="n">
        <f aca="false">D6*(1+E5/100)</f>
        <v>1807.677247481</v>
      </c>
      <c r="F6" s="0" t="n">
        <f aca="false">E6*(1+F5/100)</f>
        <v>1898.06110985505</v>
      </c>
      <c r="G6" s="0" t="n">
        <f aca="false">F6*(1+G5/100)</f>
        <v>1973.98355424925</v>
      </c>
      <c r="H6" s="0" t="n">
        <f aca="false">G6*(1+H5/100)</f>
        <v>2043.07297864798</v>
      </c>
      <c r="I6" s="0" t="n">
        <f aca="false">H6*(1+I5/100)</f>
        <v>2104.36516800742</v>
      </c>
      <c r="J6" s="0" t="n">
        <f aca="false">I6*(1+J5/100)</f>
        <v>2156.9742972076</v>
      </c>
      <c r="K6" s="0" t="n">
        <f aca="false">J6*(1+K5/100)</f>
        <v>2210.89865463779</v>
      </c>
      <c r="L6" s="0" t="n">
        <f aca="false">K6*(1+L5/100)</f>
        <v>2255.11662773055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12</v>
      </c>
      <c r="D7" s="4" t="n">
        <f aca="false">Assumptions!D28</f>
        <v>13</v>
      </c>
      <c r="E7" s="4" t="n">
        <f aca="false">Assumptions!E28</f>
        <v>14</v>
      </c>
      <c r="F7" s="4" t="n">
        <f aca="false">Assumptions!F28</f>
        <v>14.2</v>
      </c>
      <c r="G7" s="4" t="n">
        <f aca="false">Assumptions!G28</f>
        <v>14.3</v>
      </c>
      <c r="H7" s="4" t="n">
        <f aca="false">Assumptions!H28</f>
        <v>14.3</v>
      </c>
      <c r="I7" s="4" t="n">
        <f aca="false">Assumptions!I28</f>
        <v>14.3</v>
      </c>
      <c r="J7" s="4" t="n">
        <f aca="false">Assumptions!J28</f>
        <v>14.3</v>
      </c>
      <c r="K7" s="4" t="n">
        <f aca="false">Assumptions!K28</f>
        <v>14.3</v>
      </c>
      <c r="L7" s="4" t="n">
        <f aca="false">Assumptions!L28</f>
        <v>14.3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191.2548666</v>
      </c>
      <c r="D8" s="0" t="n">
        <f aca="false">D6*D7/100</f>
        <v>219.624338479</v>
      </c>
      <c r="E8" s="0" t="n">
        <f aca="false">E6*E7/100</f>
        <v>253.07481464734</v>
      </c>
      <c r="F8" s="0" t="n">
        <f aca="false">F6*F7/100</f>
        <v>269.524677599417</v>
      </c>
      <c r="G8" s="0" t="n">
        <f aca="false">G6*G7/100</f>
        <v>282.279648257643</v>
      </c>
      <c r="H8" s="0" t="n">
        <f aca="false">H6*H7/100</f>
        <v>292.159435946661</v>
      </c>
      <c r="I8" s="0" t="n">
        <f aca="false">I6*I7/100</f>
        <v>300.92421902506</v>
      </c>
      <c r="J8" s="0" t="n">
        <f aca="false">J6*J7/100</f>
        <v>308.447324500687</v>
      </c>
      <c r="K8" s="0" t="n">
        <f aca="false">K6*K7/100</f>
        <v>316.158507613204</v>
      </c>
      <c r="L8" s="0" t="n">
        <f aca="false">L6*L7/100</f>
        <v>322.481677765468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-3.9844763875</v>
      </c>
      <c r="D10" s="0" t="n">
        <f aca="false">-D6*D9/100</f>
        <v>-4.22354497075</v>
      </c>
      <c r="E10" s="0" t="n">
        <f aca="false">-E6*E9/100</f>
        <v>-4.5191931187025</v>
      </c>
      <c r="F10" s="0" t="n">
        <f aca="false">-F6*F9/100</f>
        <v>-4.74515277463763</v>
      </c>
      <c r="G10" s="0" t="n">
        <f aca="false">-G6*G9/100</f>
        <v>-4.93495888562313</v>
      </c>
      <c r="H10" s="0" t="n">
        <f aca="false">-H6*H9/100</f>
        <v>-5.10768244661994</v>
      </c>
      <c r="I10" s="0" t="n">
        <f aca="false">-I6*I9/100</f>
        <v>-5.26091292001854</v>
      </c>
      <c r="J10" s="0" t="n">
        <f aca="false">-J6*J9/100</f>
        <v>-5.392435743019</v>
      </c>
      <c r="K10" s="0" t="n">
        <f aca="false">-K6*K9/100</f>
        <v>-5.52724663659448</v>
      </c>
      <c r="L10" s="0" t="n">
        <f aca="false">-L6*L9/100</f>
        <v>-5.63779156932637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187.2703902125</v>
      </c>
      <c r="D11" s="0" t="n">
        <f aca="false">D8+D10+D24</f>
        <v>215.40079350825</v>
      </c>
      <c r="E11" s="0" t="n">
        <f aca="false">E8+E10+E24</f>
        <v>248.555621528638</v>
      </c>
      <c r="F11" s="0" t="n">
        <f aca="false">F8+F10+F24</f>
        <v>264.77952482478</v>
      </c>
      <c r="G11" s="0" t="n">
        <f aca="false">G8+G10+G24</f>
        <v>277.34468937202</v>
      </c>
      <c r="H11" s="0" t="n">
        <f aca="false">H8+H10+H24</f>
        <v>287.051753500041</v>
      </c>
      <c r="I11" s="0" t="n">
        <f aca="false">I8+I10+I24</f>
        <v>295.663306105042</v>
      </c>
      <c r="J11" s="0" t="n">
        <f aca="false">J8+J10+J24</f>
        <v>303.054888757668</v>
      </c>
      <c r="K11" s="0" t="n">
        <f aca="false">K8+K10+K24</f>
        <v>310.63126097661</v>
      </c>
      <c r="L11" s="0" t="n">
        <f aca="false">L8+L10+L24</f>
        <v>316.843886196142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-60.56404109</v>
      </c>
      <c r="D12" s="4" t="n">
        <f aca="false">-D6*Assumptions!D31/100</f>
        <v>-65.8873015437</v>
      </c>
      <c r="E12" s="4" t="n">
        <f aca="false">-E6*Assumptions!E31/100</f>
        <v>-72.30708989924</v>
      </c>
      <c r="F12" s="4" t="n">
        <f aca="false">-F6*Assumptions!F31/100</f>
        <v>-75.922444394202</v>
      </c>
      <c r="G12" s="4" t="n">
        <f aca="false">-G6*Assumptions!G31/100</f>
        <v>-76.9853586157208</v>
      </c>
      <c r="H12" s="4" t="n">
        <f aca="false">-H6*Assumptions!H31/100</f>
        <v>-79.6798461672711</v>
      </c>
      <c r="I12" s="4" t="n">
        <f aca="false">-I6*Assumptions!I31/100</f>
        <v>-79.9658763842818</v>
      </c>
      <c r="J12" s="4" t="n">
        <f aca="false">-J6*Assumptions!J31/100</f>
        <v>-81.9650232938888</v>
      </c>
      <c r="K12" s="4" t="n">
        <f aca="false">-K6*Assumptions!K31/100</f>
        <v>-84.014148876236</v>
      </c>
      <c r="L12" s="4" t="n">
        <f aca="false">-L6*Assumptions!L31/100</f>
        <v>-85.6944318537608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126.7063491225</v>
      </c>
      <c r="D13" s="0" t="n">
        <f aca="false">D11+D12</f>
        <v>149.51349196455</v>
      </c>
      <c r="E13" s="0" t="n">
        <f aca="false">E11+E12</f>
        <v>176.248531629398</v>
      </c>
      <c r="F13" s="0" t="n">
        <f aca="false">F11+F12</f>
        <v>188.857080430578</v>
      </c>
      <c r="G13" s="0" t="n">
        <f aca="false">G11+G12</f>
        <v>200.359330756299</v>
      </c>
      <c r="H13" s="0" t="n">
        <f aca="false">H11+H12</f>
        <v>207.37190733277</v>
      </c>
      <c r="I13" s="0" t="n">
        <f aca="false">I11+I12</f>
        <v>215.69742972076</v>
      </c>
      <c r="J13" s="0" t="n">
        <f aca="false">J11+J12</f>
        <v>221.089865463779</v>
      </c>
      <c r="K13" s="0" t="n">
        <f aca="false">K11+K12</f>
        <v>226.617112100374</v>
      </c>
      <c r="L13" s="0" t="n">
        <f aca="false">L11+L12</f>
        <v>231.149454342381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10</v>
      </c>
      <c r="D14" s="4" t="n">
        <f aca="false">Assumptions!D33</f>
        <v>12</v>
      </c>
      <c r="E14" s="4" t="n">
        <f aca="false">Assumptions!E33</f>
        <v>14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114.03571421025</v>
      </c>
      <c r="D15" s="0" t="n">
        <f aca="false">D13-MAX(0,D13)*D14/100</f>
        <v>131.571872928804</v>
      </c>
      <c r="E15" s="0" t="n">
        <f aca="false">E13-MAX(0,E13)*E14/100</f>
        <v>151.573737201282</v>
      </c>
      <c r="F15" s="0" t="n">
        <f aca="false">F13-MAX(0,F13)*F14/100</f>
        <v>160.528518365991</v>
      </c>
      <c r="G15" s="0" t="n">
        <f aca="false">G13-MAX(0,G13)*G14/100</f>
        <v>170.305431142854</v>
      </c>
      <c r="H15" s="0" t="n">
        <f aca="false">H13-MAX(0,H13)*H14/100</f>
        <v>176.266121232854</v>
      </c>
      <c r="I15" s="0" t="n">
        <f aca="false">I13-MAX(0,I13)*I14/100</f>
        <v>183.342815262646</v>
      </c>
      <c r="J15" s="0" t="n">
        <f aca="false">J13-MAX(0,J13)*J14/100</f>
        <v>187.926385644212</v>
      </c>
      <c r="K15" s="0" t="n">
        <f aca="false">K13-MAX(0,K13)*K14/100</f>
        <v>192.624545285317</v>
      </c>
      <c r="L15" s="0" t="n">
        <f aca="false">L13-MAX(0,L13)*L14/100</f>
        <v>196.477036191024</v>
      </c>
    </row>
    <row r="16" customFormat="false" ht="15" hidden="false" customHeight="false" outlineLevel="0" collapsed="false">
      <c r="A16" s="0" t="s">
        <v>117</v>
      </c>
      <c r="C16" s="0" t="n">
        <f aca="false">-C12</f>
        <v>60.56404109</v>
      </c>
      <c r="D16" s="0" t="n">
        <f aca="false">-D12</f>
        <v>65.8873015437</v>
      </c>
      <c r="E16" s="0" t="n">
        <f aca="false">-E12</f>
        <v>72.30708989924</v>
      </c>
      <c r="F16" s="0" t="n">
        <f aca="false">-F12</f>
        <v>75.922444394202</v>
      </c>
      <c r="G16" s="0" t="n">
        <f aca="false">-G12</f>
        <v>76.9853586157208</v>
      </c>
      <c r="H16" s="0" t="n">
        <f aca="false">-H12</f>
        <v>79.6798461672711</v>
      </c>
      <c r="I16" s="0" t="n">
        <f aca="false">-I12</f>
        <v>79.9658763842818</v>
      </c>
      <c r="J16" s="0" t="n">
        <f aca="false">-J12</f>
        <v>81.9650232938888</v>
      </c>
      <c r="K16" s="0" t="n">
        <f aca="false">-K12</f>
        <v>84.014148876236</v>
      </c>
      <c r="L16" s="0" t="n">
        <f aca="false">-L12</f>
        <v>85.6944318537608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-116.346710515</v>
      </c>
      <c r="D17" s="4" t="n">
        <f aca="false">-D6*Assumptions!D32/100</f>
        <v>-84.470899415</v>
      </c>
      <c r="E17" s="4" t="n">
        <f aca="false">-E6*Assumptions!E32/100</f>
        <v>-77.730121641683</v>
      </c>
      <c r="F17" s="4" t="n">
        <f aca="false">-F6*Assumptions!F32/100</f>
        <v>-75.922444394202</v>
      </c>
      <c r="G17" s="4" t="n">
        <f aca="false">-G6*Assumptions!G32/100</f>
        <v>-78.9593421699701</v>
      </c>
      <c r="H17" s="4" t="n">
        <f aca="false">-H6*Assumptions!H32/100</f>
        <v>-81.722919145919</v>
      </c>
      <c r="I17" s="4" t="n">
        <f aca="false">-I6*Assumptions!I32/100</f>
        <v>-84.1746067202966</v>
      </c>
      <c r="J17" s="4" t="n">
        <f aca="false">-J6*Assumptions!J32/100</f>
        <v>-86.278971888304</v>
      </c>
      <c r="K17" s="4" t="n">
        <f aca="false">-K6*Assumptions!K32/100</f>
        <v>-88.4359461855116</v>
      </c>
      <c r="L17" s="4" t="n">
        <f aca="false">-L6*Assumptions!L32/100</f>
        <v>-90.2046651092219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-3.53303324999999</v>
      </c>
      <c r="D18" s="4" t="n">
        <f aca="false">(D6-C6)*Assumptions!$B$37/100</f>
        <v>-14.344114995</v>
      </c>
      <c r="E18" s="4" t="n">
        <f aca="false">(E6-D6)*Assumptions!$B$37/100</f>
        <v>-17.73888887715</v>
      </c>
      <c r="F18" s="4" t="n">
        <f aca="false">(F6-E6)*Assumptions!$B$37/100</f>
        <v>-13.5575793561075</v>
      </c>
      <c r="G18" s="4" t="n">
        <f aca="false">(G6-F6)*Assumptions!$B$37/100</f>
        <v>-11.3883666591303</v>
      </c>
      <c r="H18" s="4" t="n">
        <f aca="false">(H6-G6)*Assumptions!$B$37/100</f>
        <v>-10.3634136598085</v>
      </c>
      <c r="I18" s="4" t="n">
        <f aca="false">(I6-H6)*Assumptions!$B$37/100</f>
        <v>-9.19382840391591</v>
      </c>
      <c r="J18" s="4" t="n">
        <f aca="false">(J6-I6)*Assumptions!$B$37/100</f>
        <v>-7.89136938002778</v>
      </c>
      <c r="K18" s="4" t="n">
        <f aca="false">(K6-J6)*Assumptions!$B$37/100</f>
        <v>-8.08865361452849</v>
      </c>
      <c r="L18" s="4" t="n">
        <f aca="false">(L6-K6)*Assumptions!$B$37/100</f>
        <v>-6.6326959639134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54.72001153525</v>
      </c>
      <c r="D19" s="0" t="n">
        <f aca="false">D15+D16+D17+D18</f>
        <v>98.644160062504</v>
      </c>
      <c r="E19" s="0" t="n">
        <f aca="false">E15+E16+E17+E18</f>
        <v>128.411816581689</v>
      </c>
      <c r="F19" s="0" t="n">
        <f aca="false">F15+F16+F17+F18</f>
        <v>146.970939009883</v>
      </c>
      <c r="G19" s="0" t="n">
        <f aca="false">G15+G16+G17+G18</f>
        <v>156.943080929475</v>
      </c>
      <c r="H19" s="0" t="n">
        <f aca="false">H15+H16+H17+H18</f>
        <v>163.859634594398</v>
      </c>
      <c r="I19" s="0" t="n">
        <f aca="false">I15+I16+I17+I18</f>
        <v>169.940256522715</v>
      </c>
      <c r="J19" s="0" t="n">
        <f aca="false">J15+J16+J17+J18</f>
        <v>175.721067669769</v>
      </c>
      <c r="K19" s="0" t="n">
        <f aca="false">K15+K16+K17+K18</f>
        <v>180.114094361513</v>
      </c>
      <c r="L19" s="0" t="n">
        <f aca="false">L15+L16+L17+L18</f>
        <v>185.334106971649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49.7454650320455</v>
      </c>
      <c r="D21" s="0" t="n">
        <f aca="false">D19*D20</f>
        <v>81.5240992252099</v>
      </c>
      <c r="E21" s="0" t="n">
        <f aca="false">E19*E20</f>
        <v>96.4776984084814</v>
      </c>
      <c r="F21" s="0" t="n">
        <f aca="false">F19*F20</f>
        <v>100.383128891389</v>
      </c>
      <c r="G21" s="0" t="n">
        <f aca="false">G19*G20</f>
        <v>97.4493054557094</v>
      </c>
      <c r="H21" s="0" t="n">
        <f aca="false">H19*H20</f>
        <v>92.4944919166755</v>
      </c>
      <c r="I21" s="0" t="n">
        <f aca="false">I19*I20</f>
        <v>87.2062222488402</v>
      </c>
      <c r="J21" s="0" t="n">
        <f aca="false">J19*J20</f>
        <v>81.9751749262813</v>
      </c>
      <c r="K21" s="0" t="n">
        <f aca="false">K19*K20</f>
        <v>76.3859584540348</v>
      </c>
      <c r="L21" s="0" t="n">
        <f aca="false">L19*L20</f>
        <v>71.4543212453344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835.095865804002</v>
      </c>
    </row>
    <row r="31" customFormat="false" ht="15" hidden="false" customHeight="false" outlineLevel="0" collapsed="false">
      <c r="A31" s="0" t="s">
        <v>126</v>
      </c>
      <c r="B31" s="0" t="n">
        <f aca="false">L19</f>
        <v>185.334106971649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2363.00986388853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2224.00928365979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2224.00928365979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857.451854944012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1692.54772074801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1952.21772074801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17.7551674493453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0.354322459904297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29.42949503784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27.7135620111411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18.2748761558534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1454.1599162391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11.6138141997521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2.5</v>
      </c>
      <c r="D5" s="4" t="n">
        <f aca="false">Assumptions!D41</f>
        <v>9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1570.237</v>
      </c>
      <c r="C6" s="0" t="n">
        <f aca="false">B6*(1+C5/100)</f>
        <v>1609.492925</v>
      </c>
      <c r="D6" s="0" t="n">
        <f aca="false">C6*(1+D5/100)</f>
        <v>1754.34728825</v>
      </c>
      <c r="E6" s="0" t="n">
        <f aca="false">D6*(1+E5/100)</f>
        <v>1929.782017075</v>
      </c>
      <c r="F6" s="0" t="n">
        <f aca="false">E6*(1+F5/100)</f>
        <v>2084.164578441</v>
      </c>
      <c r="G6" s="0" t="n">
        <f aca="false">F6*(1+G5/100)</f>
        <v>2209.21445314746</v>
      </c>
      <c r="H6" s="0" t="n">
        <f aca="false">G6*(1+H5/100)</f>
        <v>2319.67517580483</v>
      </c>
      <c r="I6" s="0" t="n">
        <f aca="false">H6*(1+I5/100)</f>
        <v>2412.46218283703</v>
      </c>
      <c r="J6" s="0" t="n">
        <f aca="false">I6*(1+J5/100)</f>
        <v>2484.83604832214</v>
      </c>
      <c r="K6" s="0" t="n">
        <f aca="false">J6*(1+K5/100)</f>
        <v>2559.3811297718</v>
      </c>
      <c r="L6" s="0" t="n">
        <f aca="false">K6*(1+L5/100)</f>
        <v>2623.3656580161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12.5</v>
      </c>
      <c r="D7" s="4" t="n">
        <f aca="false">Assumptions!D42</f>
        <v>14</v>
      </c>
      <c r="E7" s="4" t="n">
        <f aca="false">Assumptions!E42</f>
        <v>15</v>
      </c>
      <c r="F7" s="4" t="n">
        <f aca="false">Assumptions!F42</f>
        <v>15.4</v>
      </c>
      <c r="G7" s="4" t="n">
        <f aca="false">Assumptions!G42</f>
        <v>15.5</v>
      </c>
      <c r="H7" s="4" t="n">
        <f aca="false">Assumptions!H42</f>
        <v>15.5</v>
      </c>
      <c r="I7" s="4" t="n">
        <f aca="false">Assumptions!I42</f>
        <v>15.5</v>
      </c>
      <c r="J7" s="4" t="n">
        <f aca="false">Assumptions!J42</f>
        <v>15.5</v>
      </c>
      <c r="K7" s="4" t="n">
        <f aca="false">Assumptions!K42</f>
        <v>15.5</v>
      </c>
      <c r="L7" s="4" t="n">
        <f aca="false">Assumptions!L42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201.186615625</v>
      </c>
      <c r="D8" s="0" t="n">
        <f aca="false">D6*D7/100</f>
        <v>245.608620355</v>
      </c>
      <c r="E8" s="0" t="n">
        <f aca="false">E6*E7/100</f>
        <v>289.46730256125</v>
      </c>
      <c r="F8" s="0" t="n">
        <f aca="false">F6*F7/100</f>
        <v>320.961345079914</v>
      </c>
      <c r="G8" s="0" t="n">
        <f aca="false">G6*G7/100</f>
        <v>342.428240237856</v>
      </c>
      <c r="H8" s="0" t="n">
        <f aca="false">H6*H7/100</f>
        <v>359.549652249749</v>
      </c>
      <c r="I8" s="0" t="n">
        <f aca="false">I6*I7/100</f>
        <v>373.931638339739</v>
      </c>
      <c r="J8" s="0" t="n">
        <f aca="false">J6*J7/100</f>
        <v>385.149587489931</v>
      </c>
      <c r="K8" s="0" t="n">
        <f aca="false">K6*K7/100</f>
        <v>396.704075114629</v>
      </c>
      <c r="L8" s="0" t="n">
        <f aca="false">L6*L7/100</f>
        <v>406.621676992495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-4.0237323125</v>
      </c>
      <c r="D10" s="0" t="n">
        <f aca="false">-D6*D9/100</f>
        <v>-4.385868220625</v>
      </c>
      <c r="E10" s="0" t="n">
        <f aca="false">-E6*E9/100</f>
        <v>-4.8244550426875</v>
      </c>
      <c r="F10" s="0" t="n">
        <f aca="false">-F6*F9/100</f>
        <v>-5.2104114461025</v>
      </c>
      <c r="G10" s="0" t="n">
        <f aca="false">-G6*G9/100</f>
        <v>-5.52303613286865</v>
      </c>
      <c r="H10" s="0" t="n">
        <f aca="false">-H6*H9/100</f>
        <v>-5.79918793951209</v>
      </c>
      <c r="I10" s="0" t="n">
        <f aca="false">-I6*I9/100</f>
        <v>-6.03115545709257</v>
      </c>
      <c r="J10" s="0" t="n">
        <f aca="false">-J6*J9/100</f>
        <v>-6.21209012080535</v>
      </c>
      <c r="K10" s="0" t="n">
        <f aca="false">-K6*K9/100</f>
        <v>-6.39845282442951</v>
      </c>
      <c r="L10" s="0" t="n">
        <f aca="false">-L6*L9/100</f>
        <v>-6.55841414504024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197.1628833125</v>
      </c>
      <c r="D11" s="0" t="n">
        <f aca="false">D8+D10+D24</f>
        <v>241.222752134375</v>
      </c>
      <c r="E11" s="0" t="n">
        <f aca="false">E8+E10+E24</f>
        <v>284.642847518563</v>
      </c>
      <c r="F11" s="0" t="n">
        <f aca="false">F8+F10+F24</f>
        <v>315.750933633812</v>
      </c>
      <c r="G11" s="0" t="n">
        <f aca="false">G8+G10+G24</f>
        <v>336.905204104988</v>
      </c>
      <c r="H11" s="0" t="n">
        <f aca="false">H8+H10+H24</f>
        <v>353.750464310237</v>
      </c>
      <c r="I11" s="0" t="n">
        <f aca="false">I8+I10+I24</f>
        <v>367.900482882647</v>
      </c>
      <c r="J11" s="0" t="n">
        <f aca="false">J8+J10+J24</f>
        <v>378.937497369126</v>
      </c>
      <c r="K11" s="0" t="n">
        <f aca="false">K8+K10+K24</f>
        <v>390.3056222902</v>
      </c>
      <c r="L11" s="0" t="n">
        <f aca="false">L8+L10+L24</f>
        <v>400.063262847455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-61.16073115</v>
      </c>
      <c r="D12" s="4" t="n">
        <f aca="false">-D6*Assumptions!D45/100</f>
        <v>-68.41954424175</v>
      </c>
      <c r="E12" s="4" t="n">
        <f aca="false">-E6*Assumptions!E45/100</f>
        <v>-77.191280683</v>
      </c>
      <c r="F12" s="4" t="n">
        <f aca="false">-F6*Assumptions!F45/100</f>
        <v>-83.36658313764</v>
      </c>
      <c r="G12" s="4" t="n">
        <f aca="false">-G6*Assumptions!G45/100</f>
        <v>-86.159363672751</v>
      </c>
      <c r="H12" s="4" t="n">
        <f aca="false">-H6*Assumptions!H45/100</f>
        <v>-90.4673318563885</v>
      </c>
      <c r="I12" s="4" t="n">
        <f aca="false">-I6*Assumptions!I45/100</f>
        <v>-91.673562947807</v>
      </c>
      <c r="J12" s="4" t="n">
        <f aca="false">-J6*Assumptions!J45/100</f>
        <v>-94.4237698362413</v>
      </c>
      <c r="K12" s="4" t="n">
        <f aca="false">-K6*Assumptions!K45/100</f>
        <v>-97.2564829313285</v>
      </c>
      <c r="L12" s="4" t="n">
        <f aca="false">-L6*Assumptions!L45/100</f>
        <v>-99.6878950046117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136.0021521625</v>
      </c>
      <c r="D13" s="0" t="n">
        <f aca="false">D11+D12</f>
        <v>172.803207892625</v>
      </c>
      <c r="E13" s="0" t="n">
        <f aca="false">E11+E12</f>
        <v>207.451566835563</v>
      </c>
      <c r="F13" s="0" t="n">
        <f aca="false">F11+F12</f>
        <v>232.384350496172</v>
      </c>
      <c r="G13" s="0" t="n">
        <f aca="false">G11+G12</f>
        <v>250.745840432237</v>
      </c>
      <c r="H13" s="0" t="n">
        <f aca="false">H11+H12</f>
        <v>263.283132453849</v>
      </c>
      <c r="I13" s="0" t="n">
        <f aca="false">I11+I12</f>
        <v>276.22691993484</v>
      </c>
      <c r="J13" s="0" t="n">
        <f aca="false">J11+J12</f>
        <v>284.513727532885</v>
      </c>
      <c r="K13" s="0" t="n">
        <f aca="false">K11+K12</f>
        <v>293.049139358871</v>
      </c>
      <c r="L13" s="0" t="n">
        <f aca="false">L11+L12</f>
        <v>300.375367842843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10</v>
      </c>
      <c r="D14" s="4" t="n">
        <f aca="false">Assumptions!D47</f>
        <v>12</v>
      </c>
      <c r="E14" s="4" t="n">
        <f aca="false">Assumptions!E47</f>
        <v>14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122.40193694625</v>
      </c>
      <c r="D15" s="0" t="n">
        <f aca="false">D13-MAX(0,D13)*D14/100</f>
        <v>152.06682294551</v>
      </c>
      <c r="E15" s="0" t="n">
        <f aca="false">E13-MAX(0,E13)*E14/100</f>
        <v>178.408347478584</v>
      </c>
      <c r="F15" s="0" t="n">
        <f aca="false">F13-MAX(0,F13)*F14/100</f>
        <v>197.526697921746</v>
      </c>
      <c r="G15" s="0" t="n">
        <f aca="false">G13-MAX(0,G13)*G14/100</f>
        <v>213.133964367401</v>
      </c>
      <c r="H15" s="0" t="n">
        <f aca="false">H13-MAX(0,H13)*H14/100</f>
        <v>223.790662585771</v>
      </c>
      <c r="I15" s="0" t="n">
        <f aca="false">I13-MAX(0,I13)*I14/100</f>
        <v>234.792881944614</v>
      </c>
      <c r="J15" s="0" t="n">
        <f aca="false">J13-MAX(0,J13)*J14/100</f>
        <v>241.836668402952</v>
      </c>
      <c r="K15" s="0" t="n">
        <f aca="false">K13-MAX(0,K13)*K14/100</f>
        <v>249.091768455041</v>
      </c>
      <c r="L15" s="0" t="n">
        <f aca="false">L13-MAX(0,L13)*L14/100</f>
        <v>255.319062666417</v>
      </c>
    </row>
    <row r="16" customFormat="false" ht="15" hidden="false" customHeight="false" outlineLevel="0" collapsed="false">
      <c r="A16" s="0" t="s">
        <v>117</v>
      </c>
      <c r="C16" s="0" t="n">
        <f aca="false">-C12</f>
        <v>61.16073115</v>
      </c>
      <c r="D16" s="0" t="n">
        <f aca="false">-D12</f>
        <v>68.41954424175</v>
      </c>
      <c r="E16" s="0" t="n">
        <f aca="false">-E12</f>
        <v>77.191280683</v>
      </c>
      <c r="F16" s="0" t="n">
        <f aca="false">-F12</f>
        <v>83.36658313764</v>
      </c>
      <c r="G16" s="0" t="n">
        <f aca="false">-G12</f>
        <v>86.159363672751</v>
      </c>
      <c r="H16" s="0" t="n">
        <f aca="false">-H12</f>
        <v>90.4673318563885</v>
      </c>
      <c r="I16" s="0" t="n">
        <f aca="false">-I12</f>
        <v>91.673562947807</v>
      </c>
      <c r="J16" s="0" t="n">
        <f aca="false">-J12</f>
        <v>94.4237698362413</v>
      </c>
      <c r="K16" s="0" t="n">
        <f aca="false">-K12</f>
        <v>97.2564829313285</v>
      </c>
      <c r="L16" s="0" t="n">
        <f aca="false">-L12</f>
        <v>99.6878950046117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-117.492983525</v>
      </c>
      <c r="D17" s="4" t="n">
        <f aca="false">-D6*Assumptions!D46/100</f>
        <v>-96.48910085375</v>
      </c>
      <c r="E17" s="4" t="n">
        <f aca="false">-E6*Assumptions!E46/100</f>
        <v>-92.6295368196</v>
      </c>
      <c r="F17" s="4" t="n">
        <f aca="false">-F6*Assumptions!F46/100</f>
        <v>-89.619076872963</v>
      </c>
      <c r="G17" s="4" t="n">
        <f aca="false">-G6*Assumptions!G46/100</f>
        <v>-92.7870070321934</v>
      </c>
      <c r="H17" s="4" t="n">
        <f aca="false">-H6*Assumptions!H46/100</f>
        <v>-92.7870070321934</v>
      </c>
      <c r="I17" s="4" t="n">
        <f aca="false">-I6*Assumptions!I46/100</f>
        <v>-96.4984873134811</v>
      </c>
      <c r="J17" s="4" t="n">
        <f aca="false">-J6*Assumptions!J46/100</f>
        <v>-99.3934419328855</v>
      </c>
      <c r="K17" s="4" t="n">
        <f aca="false">-K6*Assumptions!K46/100</f>
        <v>-102.375245190872</v>
      </c>
      <c r="L17" s="4" t="n">
        <f aca="false">-L6*Assumptions!L46/100</f>
        <v>-104.934626320644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-5.88838874999999</v>
      </c>
      <c r="D18" s="4" t="n">
        <f aca="false">(D6-C6)*Assumptions!$B$51/100</f>
        <v>-21.7281544875</v>
      </c>
      <c r="E18" s="4" t="n">
        <f aca="false">(E6-D6)*Assumptions!$B$51/100</f>
        <v>-26.31520932375</v>
      </c>
      <c r="F18" s="4" t="n">
        <f aca="false">(F6-E6)*Assumptions!$B$51/100</f>
        <v>-23.1573842049001</v>
      </c>
      <c r="G18" s="4" t="n">
        <f aca="false">(G6-F6)*Assumptions!$B$51/100</f>
        <v>-18.757481205969</v>
      </c>
      <c r="H18" s="4" t="n">
        <f aca="false">(H6-G6)*Assumptions!$B$51/100</f>
        <v>-16.569108398606</v>
      </c>
      <c r="I18" s="4" t="n">
        <f aca="false">(I6-H6)*Assumptions!$B$51/100</f>
        <v>-13.918051054829</v>
      </c>
      <c r="J18" s="4" t="n">
        <f aca="false">(J6-I6)*Assumptions!$B$51/100</f>
        <v>-10.8560798227666</v>
      </c>
      <c r="K18" s="4" t="n">
        <f aca="false">(K6-J6)*Assumptions!$B$51/100</f>
        <v>-11.1817622174497</v>
      </c>
      <c r="L18" s="4" t="n">
        <f aca="false">(L6-K6)*Assumptions!$B$51/100</f>
        <v>-9.59767923664422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60.18129582125</v>
      </c>
      <c r="D19" s="0" t="n">
        <f aca="false">D15+D16+D17+D18</f>
        <v>102.26911184601</v>
      </c>
      <c r="E19" s="0" t="n">
        <f aca="false">E15+E16+E17+E18</f>
        <v>136.654882018234</v>
      </c>
      <c r="F19" s="0" t="n">
        <f aca="false">F15+F16+F17+F18</f>
        <v>168.116819981523</v>
      </c>
      <c r="G19" s="0" t="n">
        <f aca="false">G15+G16+G17+G18</f>
        <v>187.74883980199</v>
      </c>
      <c r="H19" s="0" t="n">
        <f aca="false">H15+H16+H17+H18</f>
        <v>204.901879011361</v>
      </c>
      <c r="I19" s="0" t="n">
        <f aca="false">I15+I16+I17+I18</f>
        <v>216.049906524111</v>
      </c>
      <c r="J19" s="0" t="n">
        <f aca="false">J15+J16+J17+J18</f>
        <v>226.010916483541</v>
      </c>
      <c r="K19" s="0" t="n">
        <f aca="false">K15+K16+K17+K18</f>
        <v>232.791243978047</v>
      </c>
      <c r="L19" s="0" t="n">
        <f aca="false">L15+L16+L17+L18</f>
        <v>240.47465211374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54.7102689284091</v>
      </c>
      <c r="D21" s="0" t="n">
        <f aca="false">D19*D20</f>
        <v>84.5199271454628</v>
      </c>
      <c r="E21" s="0" t="n">
        <f aca="false">E19*E20</f>
        <v>102.670835475758</v>
      </c>
      <c r="F21" s="0" t="n">
        <f aca="false">F19*F20</f>
        <v>114.826050120567</v>
      </c>
      <c r="G21" s="0" t="n">
        <f aca="false">G19*G20</f>
        <v>116.577258012673</v>
      </c>
      <c r="H21" s="0" t="n">
        <f aca="false">H19*H20</f>
        <v>115.661768920946</v>
      </c>
      <c r="I21" s="0" t="n">
        <f aca="false">I19*I20</f>
        <v>110.867763475833</v>
      </c>
      <c r="J21" s="0" t="n">
        <f aca="false">J19*J20</f>
        <v>105.435760547538</v>
      </c>
      <c r="K21" s="0" t="n">
        <f aca="false">K19*K20</f>
        <v>98.7262121490579</v>
      </c>
      <c r="L21" s="0" t="n">
        <f aca="false">L19*L20</f>
        <v>92.7133884003537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996.709233176598</v>
      </c>
    </row>
    <row r="31" customFormat="false" ht="15" hidden="false" customHeight="false" outlineLevel="0" collapsed="false">
      <c r="A31" s="0" t="s">
        <v>126</v>
      </c>
      <c r="B31" s="0" t="n">
        <f aca="false">L19</f>
        <v>240.47465211374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3286.48691222112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2885.69582536488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2885.69582536488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1112.56066080424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2109.26989398084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2368.93989398084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21.5452016688733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0.643417366046785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32.4039933015886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34.5568850265731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22.1542021889671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1971.89214733267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13.8731018479779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12.654898938118</v>
      </c>
      <c r="C4" s="0" t="n">
        <f aca="false">B4/Assumptions!$B$2-1</f>
        <v>-0.0347140398079333</v>
      </c>
      <c r="D4" s="4" t="n">
        <f aca="false">Assumptions!$B$24</f>
        <v>0.25</v>
      </c>
      <c r="E4" s="4" t="n">
        <f aca="false">DCF_Bear!$B$43</f>
        <v>13.0705183950582</v>
      </c>
      <c r="F4" s="4" t="n">
        <f aca="false">DCF_Bear!$B$47</f>
        <v>8.64645753781105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17.7551674493453</v>
      </c>
      <c r="C5" s="0" t="n">
        <f aca="false">B5/Assumptions!$B$2-1</f>
        <v>0.354322459904297</v>
      </c>
      <c r="D5" s="4" t="n">
        <f aca="false">Assumptions!$B$38</f>
        <v>0.5</v>
      </c>
      <c r="E5" s="4" t="n">
        <f aca="false">DCF_Base!$B$43</f>
        <v>18.2748761558534</v>
      </c>
      <c r="F5" s="4" t="n">
        <f aca="false">DCF_Base!$B$47</f>
        <v>11.6138141997521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21.5452016688733</v>
      </c>
      <c r="C6" s="0" t="n">
        <f aca="false">B6/Assumptions!$B$2-1</f>
        <v>0.643417366046785</v>
      </c>
      <c r="D6" s="4" t="n">
        <f aca="false">Assumptions!$B$52</f>
        <v>0.25</v>
      </c>
      <c r="E6" s="4" t="n">
        <f aca="false">DCF_Bull!$B$43</f>
        <v>22.1542021889671</v>
      </c>
      <c r="F6" s="4" t="n">
        <f aca="false">DCF_Bull!$B$47</f>
        <v>13.8731018479779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17.4276088764205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17.943618223933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0.247745339423024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-836.730748625758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11.4367969463233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18.8963605162197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17.7551674493453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16.3163272178349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14.7806827320976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11.6138141997521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20.1463660046241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20.1463660046241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20.1463660046241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20.1463660046241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20.1463660046241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18.8963605162197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18.8963605162197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18.8963605162197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18.8963605162197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18.8963605162197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17.2497147146627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17.7169399315962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17.7551674493453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17.7551674493453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17.7551674493453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15.584173026235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15.9309829064665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16.3163272178349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16.7120862403214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16.7120862403214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14.2281004159845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14.4912348522288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14.7806827320976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15.1005988098473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15.456061118458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2026-10-16T20:45:31Z</dcterms:created>
  <dc:creator>openpyxl</dc:creator>
  <dc:description/>
  <dc:language>en-NZ</dc:language>
  <cp:lastModifiedBy/>
  <dcterms:modified xsi:type="dcterms:W3CDTF">2026-10-16T20:45:31Z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