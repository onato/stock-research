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<sst xmlns="http://schemas.openxmlformats.org/spreadsheetml/2006/main" count="355" uniqueCount="165">
  <si>
    <t xml:space="preserve">Ticker</t>
  </si>
  <si>
    <t xml:space="preserve">1515.HK</t>
  </si>
  <si>
    <t xml:space="preserve">Company</t>
  </si>
  <si>
    <t xml:space="preserve">China Resources Medical Holdings Company Limited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</si>
  <si>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</si>
  <si>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</si>
  <si>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</si>
  <si>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</si>
  <si>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HKEX regular close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</si>
  <si>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</si>
  <si>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</si>
  <si>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</si>
  <si>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</si>
  <si>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</si>
  <si>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</si>
  <si>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</si>
  <si>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</si>
  <si>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</si>
  <si>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</si>
  <si>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</si>
  <si>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</si>
  <si>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</si>
  <si>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2026-10-16T13:11:55Z</t>
  </si>
  <si>
    <t xml:space="preserve">Drivers file</t>
  </si>
  <si>
    <t xml:space="preserve">1515.HK_Drivers.json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</si>
  <si>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</si>
  <si>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</si>
  <si>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</si>
  <si>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China Resources Medical is a state-backed operator of former SOE hospitals whose economics are set by China's medical-insurance tariff. The valuation is a component owner-FCF DCF in RMB, converted to the HKD quote at 1.1726, with the FY2025 one-off Yan Hua receipt (RMB206m) and working-capital timing stripped out of the run-rate so that the margin paths start from the underlying ~12.8-15.7% EBITDA range rather than the reported 15.1%. Leases are charged as an operating cost and excluded from net debt; the 17% minority interest is deducted once at book. Risk is charged once, in the flows and a 30% bear weight, at a single 9% CNY WACC. The stock trades at roughly 0.4x attributable book and ~2.7x EV/EBITDA, so a going-concern DCF will sit well above the price in all but the bear case; the terminal value is capped at 12x FCF to avoid assuming a re-rating no HK buyer has paid for this name since 2021.
key_risks_to_valuation: DRG/DIP per-case reimbursement continues to fall faster than the cost-ratio programme can offset, pushing the EBITDA margin below the bear path's 12% floor; Terminal value is a large share of enterprise value for a 2.5%-growth business; a 1pp move in WACC moves the base value by roughly 15%; Non-controlling interests are deducted at book (RMB1.39bn, ~RMB1.10/share); capitalising their actual profit share would be ~RMB0.5bn less, so this is a conservative bias; The HK quote has traded below the DCF for years: at ~0.4x book the market is pricing SOE governance, connected-transaction and capital-allocation risk that the discount rate does not separately charge; FX: the CNY-&gt;HKD rate (1.1726) is not refreshed by refresh_price.py; a 5% move in the rate moves every HKD per-share figure 5%; Working-capital swings on medical-insurance receivables make any single year's reported FCF a poor anchor; the model uses component margins, not FY2025 FCF</t>
  </si>
  <si>
    <t xml:space="preserve">Data sources</t>
  </si>
  <si>
    <t xml:space="preserve">price: Yahoo Finance chart API at inputs.price_as_of (HKEX regular close); 52-week range 2.285-3.49 HKD. FX from Yahoo CNYHKD=X, dated in inputs.fx_note.
financials: 1515.HK_Metrics.csv (FY2018-FY2025 annual, H1 FY2023-H1 FY2026 interim, RMB millions) from the annual and interim reports; H1 FY2026 interim condensed balance sheet for cash, borrowings, lease liabilities, NCI and share count; FY2025 Annual Report for ROU depreciation, lease cash, the Yan Hua enforcement payment (other income note) and the income-tax discussion.
qualitative: 1515.HK_Analysis.json (2026-10-17): business model, DRG/DIP regulatory risk, IOT contract terminations, H1 FY2026 margin commentary, management turnover, bull/bear cases.</t>
  </si>
  <si>
    <t xml:space="preserve">Scenario narrative: bear</t>
  </si>
  <si>
    <t xml:space="preserve">The NHSA's August-2025 DRG/DIP interim measures and tighter medical-insurance fund oversight keep per-case reimbursement falling at the FY2025 pace for two more years; volumes also decline in the legacy mining-town hospitals in Liaoning and Anhui. The H1 FY2026 margin improvement proves a one-off reset and the underlying margin settles back at the FY2025 level of ~12%. The loss of the high-margin IOT/OT management contracts is not replaced, the leadership turnover (Chairman, CEO, CFO within 18 months) stalls the transformation, and revenue shrinks 3% a year through FY2027 before flattening.</t>
  </si>
  <si>
    <t xml:space="preserve">Scenario narrative: base</t>
  </si>
  <si>
    <t xml:space="preserve">The DRG/DIP reform keeps cutting revenue per visit but at a decelerating rate, and the FY2025-26 cost-ratio programme (drug and consumable spend, refined medical-insurance management) holds the underlying EBITDA margin around 14.5%, roughly midway between underlying FY2025 (12.8%) and H1 FY2026 (~15.7%). Revenue dips 1.5% in FY2026 as the Mentougou IOT contracts fall away, then grows 2-3% on aging-driven volume with no acquisitions. Owner FCF settles at RMB550-700m, the business stays net cash, and the dividend keeps rising on a flat-to-slightly-growing earnings base.</t>
  </si>
  <si>
    <t xml:space="preserve">Scenario narrative: bull</t>
  </si>
  <si>
    <t xml:space="preserve">The margin stabilisation seen in H1 FY2026 (hospital gross margin 18.5% vs 15.7%, segment profit +42%) compounds: EBITDA margin reaches 17% by FY2030 as specialty upgrades and the 'medical care to healthcare' derivative-health services (health management centres, corporate wellness, home care) add less insurance-dependent revenue. China Resources Group's balance sheet and the national SOE-hospital divestiture pipeline restart bolt-on consolidation, lifting growth to 3-5% from FY2027. The RMB350m Yan Hua judgment is collected (not modelled, incremental).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</si>
  <si>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</si>
  <si>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</si>
  <si>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</si>
  <si>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</si>
  <si>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</si>
  <si>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</si>
  <si>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</si>
  <si>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</si>
  <si>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</si>
  <si>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</si>
  <si>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</si>
  <si>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</si>
  <si>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</si>
  <si>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</si>
  <si>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</si>
  <si>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</si>
  <si>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</si>
  <si>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</si>
  <si>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</si>
  <si>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</si>
  <si>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</si>
  <si>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</si>
  <si>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</si>
  <si>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</si>
  <si>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</si>
  <si>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</si>
  <si>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</si>
  <si>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NetIncomeTotal</t>
  </si>
  <si>
    <t xml:space="preserve">TotalEquityInclNCI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</si>
  <si>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</si>
  <si>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</si>
  <si>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</si>
  <si>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</si>
  <si>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</si>
  <si>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</si>
  <si>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</si>
  <si>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</si>
  <si>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</si>
  <si>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</si>
  <si>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</si>
  <si>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</si>
  <si>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</si>
  <si>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</si>
  <si>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</si>
  <si>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</si>
  <si>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</si>
  <si>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</si>
  <si>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</si>
  <si>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</si>
  <si>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</si>
  <si>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</si>
  <si>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</si>
  <si>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</si>
  <si>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</si>
  <si>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</si>
  <si>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</si>
  <si>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</si>
  <si>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</si>
  <si>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</si>
  <si>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</si>
  <si>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</si>
  <si>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</si>
  <si>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</si>
  <si>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</si>
  <si>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</si>
  <si>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</si>
  <si>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</si>
  <si>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</si>
  <si>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</si>
  <si>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</si>
  <si>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</si>
  <si>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</si>
  <si>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</si>
  <si>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</si>
  <si>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1515.HK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</si>
  <si>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</si>
  <si>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</si>
  <si>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</si>
  <si>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</si>
  <si>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</si>
  <si>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</si>
  <si>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</si>
  <si>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</si>
  <si>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</si>
  <si>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</si>
  <si>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</si>
  <si>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</si>
  <si>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</si>
  <si>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</si>
  <si>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</si>
  <si>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</si>
  <si>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</si>
  <si>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</si>
  <si>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</si>
  <si>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</si>
  <si>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</si>
  <si>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</si>
  <si>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</si>
  <si>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</si>
  <si>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</si>
  <si>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</si>
  <si>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</si>
  <si>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</si>
  <si>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</si>
  <si>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</si>
  <si>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1515.HK owner-FCF component DCF: base case (millions, CNY)</t>
  </si>
  <si>
    <t xml:space="preserve">1515.HK owner-FCF component DCF: bull case (millions, CNY)</t>
  </si>
  <si>
    <t xml:space="preserve">1515.HK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</si>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</sst>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2.345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</row>
    <row r="2" customFormat="false" ht="15" hidden="false" customHeight="false" outlineLevel="0" collapsed="false">
      <c r="A2" s="0" t="s">
        <v>66</v>
      </c>
      <c r="B2" s="0" t="n">
        <v>2059.478</v>
      </c>
      <c r="C2" s="0" t="n">
        <v>1302.8</v>
      </c>
      <c r="D2" s="0" t="n">
        <v>756.678</v>
      </c>
      <c r="E2" s="0" t="n">
        <v>36.7</v>
      </c>
      <c r="F2" s="0" t="n">
        <v>596.644</v>
      </c>
      <c r="G2" s="0" t="n">
        <v>29</v>
      </c>
      <c r="H2" s="0" t="n">
        <v>669.632</v>
      </c>
      <c r="I2" s="0" t="n">
        <v>430.898</v>
      </c>
      <c r="J2" s="0" t="n">
        <v>20.9</v>
      </c>
      <c r="K2" s="0" t="n">
        <v>0.34</v>
      </c>
      <c r="L2" s="0" t="n">
        <v>334.146</v>
      </c>
      <c r="M2" s="0" t="n">
        <v>57.607</v>
      </c>
      <c r="N2" s="0" t="n">
        <v>276.539</v>
      </c>
      <c r="O2" s="0" t="n">
        <v>5589.498</v>
      </c>
      <c r="P2" s="0" t="n">
        <v>7319.483</v>
      </c>
      <c r="Q2" s="0" t="n">
        <v>1609.664</v>
      </c>
      <c r="R2" s="0" t="n">
        <v>490.672</v>
      </c>
      <c r="S2" s="0" t="n">
        <v>1524.176</v>
      </c>
      <c r="T2" s="0" t="n">
        <v>1267.733</v>
      </c>
      <c r="U2" s="0" t="n">
        <v>-5.314</v>
      </c>
      <c r="AA2" s="0" t="s">
        <v>18</v>
      </c>
      <c r="AB2" s="0" t="s">
        <v>14</v>
      </c>
      <c r="AC2" s="0" t="n">
        <v>439.556</v>
      </c>
      <c r="AD2" s="0" t="n">
        <v>5709.819</v>
      </c>
    </row>
    <row r="3" customFormat="false" ht="15" hidden="false" customHeight="false" outlineLevel="0" collapsed="false">
      <c r="A3" s="0" t="s">
        <v>67</v>
      </c>
      <c r="B3" s="0" t="n">
        <v>2115.32</v>
      </c>
      <c r="C3" s="0" t="n">
        <v>1353.029</v>
      </c>
      <c r="D3" s="0" t="n">
        <v>762.291</v>
      </c>
      <c r="E3" s="0" t="n">
        <v>36</v>
      </c>
      <c r="F3" s="0" t="n">
        <v>558.241</v>
      </c>
      <c r="G3" s="0" t="n">
        <v>26.4</v>
      </c>
      <c r="H3" s="0" t="n">
        <v>621.885</v>
      </c>
      <c r="I3" s="0" t="n">
        <v>390.865</v>
      </c>
      <c r="J3" s="0" t="n">
        <v>18.5</v>
      </c>
      <c r="K3" s="0" t="n">
        <v>0.31</v>
      </c>
      <c r="L3" s="0" t="n">
        <v>366.052</v>
      </c>
      <c r="M3" s="0" t="n">
        <v>36.365</v>
      </c>
      <c r="N3" s="0" t="n">
        <v>329.687</v>
      </c>
      <c r="O3" s="0" t="n">
        <v>5903.7</v>
      </c>
      <c r="P3" s="0" t="n">
        <v>7873.981</v>
      </c>
      <c r="Q3" s="0" t="n">
        <v>1733.806</v>
      </c>
      <c r="R3" s="0" t="n">
        <v>578.337</v>
      </c>
      <c r="S3" s="0" t="n">
        <v>2006.22</v>
      </c>
      <c r="T3" s="0" t="n">
        <v>1254.786</v>
      </c>
      <c r="U3" s="0" t="n">
        <v>13.083</v>
      </c>
      <c r="AA3" s="0" t="s">
        <v>18</v>
      </c>
      <c r="AB3" s="0" t="s">
        <v>14</v>
      </c>
      <c r="AC3" s="0" t="n">
        <v>400.634</v>
      </c>
      <c r="AD3" s="0" t="n">
        <v>6140.175</v>
      </c>
    </row>
    <row r="4" customFormat="false" ht="15" hidden="false" customHeight="false" outlineLevel="0" collapsed="false">
      <c r="A4" s="0" t="s">
        <v>68</v>
      </c>
      <c r="B4" s="0" t="n">
        <v>2750.65</v>
      </c>
      <c r="C4" s="0" t="n">
        <v>2114.143</v>
      </c>
      <c r="D4" s="0" t="n">
        <v>636.507</v>
      </c>
      <c r="E4" s="0" t="n">
        <v>23.1</v>
      </c>
      <c r="F4" s="0" t="n">
        <v>435.576</v>
      </c>
      <c r="G4" s="0" t="n">
        <v>15.8</v>
      </c>
      <c r="H4" s="0" t="n">
        <v>548.958</v>
      </c>
      <c r="I4" s="0" t="n">
        <v>310.131</v>
      </c>
      <c r="J4" s="0" t="n">
        <v>11.3</v>
      </c>
      <c r="K4" s="0" t="n">
        <v>0.25</v>
      </c>
      <c r="L4" s="0" t="n">
        <v>643.688</v>
      </c>
      <c r="M4" s="0" t="n">
        <v>209.547</v>
      </c>
      <c r="N4" s="0" t="n">
        <v>434.141</v>
      </c>
      <c r="O4" s="0" t="n">
        <v>6105.456</v>
      </c>
      <c r="P4" s="0" t="n">
        <v>8963.193</v>
      </c>
      <c r="Q4" s="0" t="n">
        <v>2622.739</v>
      </c>
      <c r="R4" s="0" t="n">
        <v>684.301</v>
      </c>
      <c r="S4" s="0" t="n">
        <v>2701.37</v>
      </c>
      <c r="T4" s="0" t="n">
        <v>1261.07</v>
      </c>
      <c r="U4" s="0" t="n">
        <v>8.721</v>
      </c>
      <c r="AA4" s="0" t="s">
        <v>18</v>
      </c>
      <c r="AB4" s="0" t="s">
        <v>14</v>
      </c>
      <c r="AC4" s="0" t="n">
        <v>320.321</v>
      </c>
      <c r="AD4" s="0" t="n">
        <v>6340.454</v>
      </c>
    </row>
    <row r="5" customFormat="false" ht="15" hidden="false" customHeight="false" outlineLevel="0" collapsed="false">
      <c r="A5" s="0" t="s">
        <v>69</v>
      </c>
      <c r="B5" s="0" t="n">
        <v>4447.477</v>
      </c>
      <c r="C5" s="0" t="n">
        <v>3513.922</v>
      </c>
      <c r="D5" s="0" t="n">
        <v>933.555</v>
      </c>
      <c r="E5" s="0" t="n">
        <v>21</v>
      </c>
      <c r="F5" s="0" t="n">
        <v>288.309</v>
      </c>
      <c r="G5" s="0" t="n">
        <v>6.5</v>
      </c>
      <c r="H5" s="0" t="n">
        <v>471.188</v>
      </c>
      <c r="I5" s="0" t="n">
        <v>417.915</v>
      </c>
      <c r="J5" s="0" t="n">
        <v>9.4</v>
      </c>
      <c r="K5" s="0" t="n">
        <v>0.33</v>
      </c>
      <c r="L5" s="0" t="n">
        <v>710.43</v>
      </c>
      <c r="M5" s="0" t="n">
        <v>198.434</v>
      </c>
      <c r="N5" s="0" t="n">
        <v>511.996</v>
      </c>
      <c r="O5" s="0" t="n">
        <v>6450.776</v>
      </c>
      <c r="P5" s="0" t="n">
        <v>10467.602</v>
      </c>
      <c r="Q5" s="0" t="n">
        <v>3621.157</v>
      </c>
      <c r="R5" s="0" t="n">
        <v>1665.899</v>
      </c>
      <c r="S5" s="0" t="n">
        <v>2324.051</v>
      </c>
      <c r="T5" s="0" t="n">
        <v>1263.729</v>
      </c>
      <c r="U5" s="0" t="n">
        <v>10.11</v>
      </c>
      <c r="AA5" s="0" t="s">
        <v>18</v>
      </c>
      <c r="AB5" s="0" t="s">
        <v>14</v>
      </c>
      <c r="AC5" s="0" t="n">
        <v>425.864</v>
      </c>
      <c r="AD5" s="0" t="n">
        <v>6846.445</v>
      </c>
    </row>
    <row r="6" customFormat="false" ht="15" hidden="false" customHeight="false" outlineLevel="0" collapsed="false">
      <c r="A6" s="0" t="s">
        <v>70</v>
      </c>
      <c r="B6" s="0" t="n">
        <v>7901.287</v>
      </c>
      <c r="C6" s="0" t="n">
        <v>6595.452</v>
      </c>
      <c r="D6" s="0" t="n">
        <v>1305.835</v>
      </c>
      <c r="E6" s="0" t="n">
        <v>16.5</v>
      </c>
      <c r="F6" s="0" t="n">
        <v>494.089</v>
      </c>
      <c r="G6" s="0" t="n">
        <v>6.3</v>
      </c>
      <c r="H6" s="0" t="n">
        <v>980.495</v>
      </c>
      <c r="I6" s="0" t="n">
        <v>265.855</v>
      </c>
      <c r="J6" s="0" t="n">
        <v>3.4</v>
      </c>
      <c r="K6" s="0" t="n">
        <v>0.21</v>
      </c>
      <c r="L6" s="0" t="n">
        <v>863.588</v>
      </c>
      <c r="M6" s="0" t="n">
        <v>466.277</v>
      </c>
      <c r="N6" s="0" t="n">
        <v>397.311</v>
      </c>
      <c r="O6" s="0" t="n">
        <v>9506.211</v>
      </c>
      <c r="P6" s="0" t="n">
        <v>17817.574</v>
      </c>
      <c r="Q6" s="0" t="n">
        <v>7163.674</v>
      </c>
      <c r="R6" s="0" t="n">
        <v>2327.899</v>
      </c>
      <c r="S6" s="0" t="n">
        <v>3100.011</v>
      </c>
      <c r="T6" s="0" t="n">
        <v>1262.019</v>
      </c>
      <c r="U6" s="0" t="n">
        <v>2.164</v>
      </c>
      <c r="AA6" s="0" t="s">
        <v>18</v>
      </c>
      <c r="AB6" s="0" t="s">
        <v>14</v>
      </c>
      <c r="AC6" s="0" t="n">
        <v>328.281</v>
      </c>
      <c r="AD6" s="0" t="n">
        <v>10653.9</v>
      </c>
    </row>
    <row r="7" customFormat="false" ht="15" hidden="false" customHeight="false" outlineLevel="0" collapsed="false">
      <c r="A7" s="0" t="s">
        <v>71</v>
      </c>
      <c r="B7" s="0" t="n">
        <v>10107.5</v>
      </c>
      <c r="C7" s="0" t="n">
        <v>8201.663</v>
      </c>
      <c r="D7" s="0" t="n">
        <v>1905.837</v>
      </c>
      <c r="E7" s="0" t="n">
        <v>18.9</v>
      </c>
      <c r="F7" s="0" t="n">
        <v>624.756</v>
      </c>
      <c r="G7" s="0" t="n">
        <v>6.2</v>
      </c>
      <c r="H7" s="0" t="n">
        <v>1235.619</v>
      </c>
      <c r="I7" s="0" t="n">
        <v>257.68</v>
      </c>
      <c r="J7" s="0" t="n">
        <v>2.5</v>
      </c>
      <c r="K7" s="0" t="n">
        <v>0.2</v>
      </c>
      <c r="L7" s="0" t="n">
        <v>1195.123</v>
      </c>
      <c r="M7" s="0" t="n">
        <v>486.681</v>
      </c>
      <c r="N7" s="0" t="n">
        <v>708.442</v>
      </c>
      <c r="O7" s="0" t="n">
        <v>5812.061</v>
      </c>
      <c r="P7" s="0" t="n">
        <v>13654.192</v>
      </c>
      <c r="Q7" s="0" t="n">
        <v>6641.126</v>
      </c>
      <c r="R7" s="0" t="n">
        <v>2162.72</v>
      </c>
      <c r="S7" s="0" t="n">
        <v>1236.097</v>
      </c>
      <c r="T7" s="0" t="n">
        <v>1264.292</v>
      </c>
      <c r="U7" s="0" t="n">
        <v>0</v>
      </c>
      <c r="AA7" s="0" t="s">
        <v>18</v>
      </c>
      <c r="AB7" s="0" t="s">
        <v>14</v>
      </c>
      <c r="AC7" s="0" t="n">
        <v>327.89</v>
      </c>
      <c r="AD7" s="0" t="n">
        <v>7013.066</v>
      </c>
    </row>
    <row r="8" customFormat="false" ht="15" hidden="false" customHeight="false" outlineLevel="0" collapsed="false">
      <c r="A8" s="0" t="s">
        <v>72</v>
      </c>
      <c r="B8" s="0" t="n">
        <v>9854.79</v>
      </c>
      <c r="C8" s="0" t="n">
        <v>8044.964</v>
      </c>
      <c r="D8" s="0" t="n">
        <v>1809.826</v>
      </c>
      <c r="E8" s="0" t="n">
        <v>18.4</v>
      </c>
      <c r="F8" s="0" t="n">
        <v>913.945</v>
      </c>
      <c r="G8" s="0" t="n">
        <v>9.3</v>
      </c>
      <c r="H8" s="0" t="n">
        <v>1532.841</v>
      </c>
      <c r="I8" s="0" t="n">
        <v>565.875</v>
      </c>
      <c r="J8" s="0" t="n">
        <v>5.7</v>
      </c>
      <c r="K8" s="0" t="n">
        <v>0.45</v>
      </c>
      <c r="L8" s="0" t="n">
        <v>1270.26</v>
      </c>
      <c r="M8" s="0" t="n">
        <v>563.689</v>
      </c>
      <c r="N8" s="0" t="n">
        <v>706.571</v>
      </c>
      <c r="O8" s="0" t="n">
        <v>6213.536</v>
      </c>
      <c r="P8" s="0" t="n">
        <v>13318.15</v>
      </c>
      <c r="Q8" s="0" t="n">
        <v>5820.082</v>
      </c>
      <c r="R8" s="0" t="n">
        <v>1436.417</v>
      </c>
      <c r="S8" s="0" t="n">
        <v>977.333</v>
      </c>
      <c r="T8" s="0" t="n">
        <v>1264.292</v>
      </c>
      <c r="U8" s="0" t="n">
        <v>0</v>
      </c>
      <c r="AA8" s="0" t="s">
        <v>18</v>
      </c>
      <c r="AB8" s="0" t="s">
        <v>14</v>
      </c>
      <c r="AC8" s="0" t="n">
        <v>671.747</v>
      </c>
      <c r="AD8" s="0" t="n">
        <v>7498.068</v>
      </c>
    </row>
    <row r="9" customFormat="false" ht="15" hidden="false" customHeight="false" outlineLevel="0" collapsed="false">
      <c r="A9" s="0" t="s">
        <v>73</v>
      </c>
      <c r="B9" s="0" t="n">
        <v>9175.645</v>
      </c>
      <c r="C9" s="0" t="n">
        <v>7734.872</v>
      </c>
      <c r="D9" s="0" t="n">
        <v>1440.773</v>
      </c>
      <c r="E9" s="0" t="n">
        <v>15.7</v>
      </c>
      <c r="F9" s="0" t="n">
        <v>797.223</v>
      </c>
      <c r="G9" s="0" t="n">
        <v>8.7</v>
      </c>
      <c r="H9" s="0" t="n">
        <v>1382.15</v>
      </c>
      <c r="I9" s="0" t="n">
        <v>495.944</v>
      </c>
      <c r="J9" s="0" t="n">
        <v>5.4</v>
      </c>
      <c r="K9" s="0" t="n">
        <v>0.39</v>
      </c>
      <c r="L9" s="0" t="n">
        <v>1358.539</v>
      </c>
      <c r="M9" s="0" t="n">
        <v>514.131</v>
      </c>
      <c r="N9" s="0" t="n">
        <v>844.408</v>
      </c>
      <c r="O9" s="0" t="n">
        <v>6552.62</v>
      </c>
      <c r="P9" s="0" t="n">
        <v>12914.476</v>
      </c>
      <c r="Q9" s="0" t="n">
        <v>5026.841</v>
      </c>
      <c r="R9" s="0" t="n">
        <v>660.773</v>
      </c>
      <c r="S9" s="0" t="n">
        <v>939.62</v>
      </c>
      <c r="T9" s="0" t="n">
        <v>1264.292</v>
      </c>
      <c r="U9" s="0" t="n">
        <v>0</v>
      </c>
      <c r="AA9" s="0" t="s">
        <v>18</v>
      </c>
      <c r="AB9" s="0" t="s">
        <v>14</v>
      </c>
      <c r="AC9" s="0" t="n">
        <v>556.098</v>
      </c>
      <c r="AD9" s="0" t="n">
        <v>7887.635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2.345</v>
      </c>
    </row>
    <row r="3" customFormat="false" ht="15" hidden="false" customHeight="false" outlineLevel="0" collapsed="false">
      <c r="A3" s="0" t="s">
        <v>77</v>
      </c>
      <c r="B3" s="3" t="n">
        <v>1264.292</v>
      </c>
    </row>
    <row r="4" customFormat="false" ht="15" hidden="false" customHeight="false" outlineLevel="0" collapsed="false">
      <c r="A4" s="0" t="s">
        <v>78</v>
      </c>
      <c r="B4" s="3" t="n">
        <v>-258.029</v>
      </c>
    </row>
    <row r="5" customFormat="false" ht="15" hidden="false" customHeight="false" outlineLevel="0" collapsed="false">
      <c r="A5" s="0" t="s">
        <v>79</v>
      </c>
      <c r="B5" s="3" t="n">
        <v>-1386.747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9175.645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1.1726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-3</v>
      </c>
      <c r="D13" s="3" t="n">
        <v>-3</v>
      </c>
      <c r="E13" s="3" t="n">
        <v>-1.5</v>
      </c>
      <c r="F13" s="3" t="n">
        <v>0</v>
      </c>
      <c r="G13" s="3" t="n">
        <v>0.5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98</v>
      </c>
      <c r="C14" s="3" t="n">
        <v>13.5</v>
      </c>
      <c r="D14" s="3" t="n">
        <v>13</v>
      </c>
      <c r="E14" s="3" t="n">
        <v>12.5</v>
      </c>
      <c r="F14" s="3" t="n">
        <v>12</v>
      </c>
      <c r="G14" s="3" t="n">
        <v>12</v>
      </c>
      <c r="H14" s="3" t="n">
        <v>12</v>
      </c>
      <c r="I14" s="3" t="n">
        <v>12</v>
      </c>
      <c r="J14" s="3" t="n">
        <v>12</v>
      </c>
      <c r="K14" s="3" t="n">
        <v>12</v>
      </c>
      <c r="L14" s="3" t="n">
        <v>12</v>
      </c>
    </row>
    <row r="15" customFormat="false" ht="15" hidden="false" customHeight="false" outlineLevel="0" collapsed="false">
      <c r="A15" s="0" t="s">
        <v>99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100</v>
      </c>
      <c r="C16" s="3" t="n">
        <v>0.8</v>
      </c>
      <c r="D16" s="3" t="n">
        <v>0.8</v>
      </c>
      <c r="E16" s="3" t="n">
        <v>0.8</v>
      </c>
      <c r="F16" s="3" t="n">
        <v>0.8</v>
      </c>
      <c r="G16" s="3" t="n">
        <v>0.8</v>
      </c>
      <c r="H16" s="3" t="n">
        <v>0.8</v>
      </c>
      <c r="I16" s="3" t="n">
        <v>0.8</v>
      </c>
      <c r="J16" s="3" t="n">
        <v>0.8</v>
      </c>
      <c r="K16" s="3" t="n">
        <v>0.8</v>
      </c>
      <c r="L16" s="3" t="n">
        <v>0.8</v>
      </c>
    </row>
    <row r="17" customFormat="false" ht="15" hidden="false" customHeight="false" outlineLevel="0" collapsed="false">
      <c r="A17" s="0" t="s">
        <v>101</v>
      </c>
      <c r="C17" s="3" t="n">
        <v>5.7</v>
      </c>
      <c r="D17" s="3" t="n">
        <v>5.7</v>
      </c>
      <c r="E17" s="3" t="n">
        <v>5.7</v>
      </c>
      <c r="F17" s="3" t="n">
        <v>5.7</v>
      </c>
      <c r="G17" s="3" t="n">
        <v>5.7</v>
      </c>
      <c r="H17" s="3" t="n">
        <v>5.7</v>
      </c>
      <c r="I17" s="3" t="n">
        <v>5.7</v>
      </c>
      <c r="J17" s="3" t="n">
        <v>5.7</v>
      </c>
      <c r="K17" s="3" t="n">
        <v>5.7</v>
      </c>
      <c r="L17" s="3" t="n">
        <v>5.7</v>
      </c>
    </row>
    <row r="18" customFormat="false" ht="15" hidden="false" customHeight="false" outlineLevel="0" collapsed="false">
      <c r="A18" s="0" t="s">
        <v>102</v>
      </c>
      <c r="C18" s="3" t="n">
        <v>5.7</v>
      </c>
      <c r="D18" s="3" t="n">
        <v>5.7</v>
      </c>
      <c r="E18" s="3" t="n">
        <v>5.7</v>
      </c>
      <c r="F18" s="3" t="n">
        <v>5.5</v>
      </c>
      <c r="G18" s="3" t="n">
        <v>5.5</v>
      </c>
      <c r="H18" s="3" t="n">
        <v>5.5</v>
      </c>
      <c r="I18" s="3" t="n">
        <v>5.5</v>
      </c>
      <c r="J18" s="3" t="n">
        <v>5.5</v>
      </c>
      <c r="K18" s="3" t="n">
        <v>5.5</v>
      </c>
      <c r="L18" s="3" t="n">
        <v>5.5</v>
      </c>
    </row>
    <row r="19" customFormat="false" ht="15" hidden="false" customHeight="false" outlineLevel="0" collapsed="false">
      <c r="A19" s="0" t="s">
        <v>103</v>
      </c>
      <c r="C19" s="3" t="n">
        <v>25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104</v>
      </c>
      <c r="B20" s="3" t="n">
        <v>9</v>
      </c>
    </row>
    <row r="21" customFormat="false" ht="15" hidden="false" customHeight="false" outlineLevel="0" collapsed="false">
      <c r="A21" s="0" t="s">
        <v>105</v>
      </c>
      <c r="B21" s="3" t="n">
        <v>2</v>
      </c>
    </row>
    <row r="22" customFormat="false" ht="15" hidden="false" customHeight="false" outlineLevel="0" collapsed="false">
      <c r="A22" s="0" t="s">
        <v>106</v>
      </c>
      <c r="B22" s="3" t="n">
        <v>12</v>
      </c>
    </row>
    <row r="23" customFormat="false" ht="15" hidden="false" customHeight="false" outlineLevel="0" collapsed="false">
      <c r="A23" s="0" t="s">
        <v>107</v>
      </c>
      <c r="B23" s="3" t="n">
        <v>-10</v>
      </c>
    </row>
    <row r="24" customFormat="false" ht="15" hidden="false" customHeight="false" outlineLevel="0" collapsed="false">
      <c r="A24" s="0" t="s">
        <v>108</v>
      </c>
      <c r="B24" s="3" t="n">
        <v>0.3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-1.5</v>
      </c>
      <c r="D27" s="3" t="n">
        <v>0.5</v>
      </c>
      <c r="E27" s="3" t="n">
        <v>2</v>
      </c>
      <c r="F27" s="3" t="n">
        <v>2.5</v>
      </c>
      <c r="G27" s="3" t="n">
        <v>3</v>
      </c>
      <c r="H27" s="3" t="n">
        <v>3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98</v>
      </c>
      <c r="C28" s="3" t="n">
        <v>14.5</v>
      </c>
      <c r="D28" s="3" t="n">
        <v>14.5</v>
      </c>
      <c r="E28" s="3" t="n">
        <v>14.5</v>
      </c>
      <c r="F28" s="3" t="n">
        <v>14.5</v>
      </c>
      <c r="G28" s="3" t="n">
        <v>14.5</v>
      </c>
      <c r="H28" s="3" t="n">
        <v>14.5</v>
      </c>
      <c r="I28" s="3" t="n">
        <v>14.5</v>
      </c>
      <c r="J28" s="3" t="n">
        <v>14.5</v>
      </c>
      <c r="K28" s="3" t="n">
        <v>14.5</v>
      </c>
      <c r="L28" s="3" t="n">
        <v>14.5</v>
      </c>
    </row>
    <row r="29" customFormat="false" ht="15" hidden="false" customHeight="false" outlineLevel="0" collapsed="false">
      <c r="A29" s="0" t="s">
        <v>99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100</v>
      </c>
      <c r="C30" s="3" t="n">
        <v>0.8</v>
      </c>
      <c r="D30" s="3" t="n">
        <v>0.8</v>
      </c>
      <c r="E30" s="3" t="n">
        <v>0.8</v>
      </c>
      <c r="F30" s="3" t="n">
        <v>0.8</v>
      </c>
      <c r="G30" s="3" t="n">
        <v>0.8</v>
      </c>
      <c r="H30" s="3" t="n">
        <v>0.8</v>
      </c>
      <c r="I30" s="3" t="n">
        <v>0.8</v>
      </c>
      <c r="J30" s="3" t="n">
        <v>0.8</v>
      </c>
      <c r="K30" s="3" t="n">
        <v>0.8</v>
      </c>
      <c r="L30" s="3" t="n">
        <v>0.8</v>
      </c>
    </row>
    <row r="31" customFormat="false" ht="15" hidden="false" customHeight="false" outlineLevel="0" collapsed="false">
      <c r="A31" s="0" t="s">
        <v>101</v>
      </c>
      <c r="C31" s="3" t="n">
        <v>5.7</v>
      </c>
      <c r="D31" s="3" t="n">
        <v>5.7</v>
      </c>
      <c r="E31" s="3" t="n">
        <v>5.7</v>
      </c>
      <c r="F31" s="3" t="n">
        <v>5.7</v>
      </c>
      <c r="G31" s="3" t="n">
        <v>5.7</v>
      </c>
      <c r="H31" s="3" t="n">
        <v>5.7</v>
      </c>
      <c r="I31" s="3" t="n">
        <v>5.7</v>
      </c>
      <c r="J31" s="3" t="n">
        <v>5.7</v>
      </c>
      <c r="K31" s="3" t="n">
        <v>5.7</v>
      </c>
      <c r="L31" s="3" t="n">
        <v>5.7</v>
      </c>
    </row>
    <row r="32" customFormat="false" ht="15" hidden="false" customHeight="false" outlineLevel="0" collapsed="false">
      <c r="A32" s="0" t="s">
        <v>102</v>
      </c>
      <c r="C32" s="3" t="n">
        <v>5.7</v>
      </c>
      <c r="D32" s="3" t="n">
        <v>5.6</v>
      </c>
      <c r="E32" s="3" t="n">
        <v>5.5</v>
      </c>
      <c r="F32" s="3" t="n">
        <v>5.5</v>
      </c>
      <c r="G32" s="3" t="n">
        <v>5.5</v>
      </c>
      <c r="H32" s="3" t="n">
        <v>5.5</v>
      </c>
      <c r="I32" s="3" t="n">
        <v>5.5</v>
      </c>
      <c r="J32" s="3" t="n">
        <v>5.5</v>
      </c>
      <c r="K32" s="3" t="n">
        <v>5.5</v>
      </c>
      <c r="L32" s="3" t="n">
        <v>5.5</v>
      </c>
    </row>
    <row r="33" customFormat="false" ht="15" hidden="false" customHeight="false" outlineLevel="0" collapsed="false">
      <c r="A33" s="0" t="s">
        <v>103</v>
      </c>
      <c r="C33" s="3" t="n">
        <v>25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104</v>
      </c>
      <c r="B34" s="3" t="n">
        <v>9</v>
      </c>
    </row>
    <row r="35" customFormat="false" ht="15" hidden="false" customHeight="false" outlineLevel="0" collapsed="false">
      <c r="A35" s="0" t="s">
        <v>105</v>
      </c>
      <c r="B35" s="3" t="n">
        <v>2.5</v>
      </c>
    </row>
    <row r="36" customFormat="false" ht="15" hidden="false" customHeight="false" outlineLevel="0" collapsed="false">
      <c r="A36" s="0" t="s">
        <v>106</v>
      </c>
      <c r="B36" s="3" t="n">
        <v>12</v>
      </c>
    </row>
    <row r="37" customFormat="false" ht="15" hidden="false" customHeight="false" outlineLevel="0" collapsed="false">
      <c r="A37" s="0" t="s">
        <v>107</v>
      </c>
      <c r="B37" s="3" t="n">
        <v>-10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0</v>
      </c>
      <c r="D41" s="3" t="n">
        <v>3</v>
      </c>
      <c r="E41" s="3" t="n">
        <v>5</v>
      </c>
      <c r="F41" s="3" t="n">
        <v>5</v>
      </c>
      <c r="G41" s="3" t="n">
        <v>4.5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98</v>
      </c>
      <c r="C42" s="3" t="n">
        <v>15</v>
      </c>
      <c r="D42" s="3" t="n">
        <v>15.5</v>
      </c>
      <c r="E42" s="3" t="n">
        <v>16</v>
      </c>
      <c r="F42" s="3" t="n">
        <v>16.5</v>
      </c>
      <c r="G42" s="3" t="n">
        <v>17</v>
      </c>
      <c r="H42" s="3" t="n">
        <v>17</v>
      </c>
      <c r="I42" s="3" t="n">
        <v>17</v>
      </c>
      <c r="J42" s="3" t="n">
        <v>17</v>
      </c>
      <c r="K42" s="3" t="n">
        <v>17</v>
      </c>
      <c r="L42" s="3" t="n">
        <v>17</v>
      </c>
    </row>
    <row r="43" customFormat="false" ht="15" hidden="false" customHeight="false" outlineLevel="0" collapsed="false">
      <c r="A43" s="0" t="s">
        <v>99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100</v>
      </c>
      <c r="C44" s="3" t="n">
        <v>0.8</v>
      </c>
      <c r="D44" s="3" t="n">
        <v>0.8</v>
      </c>
      <c r="E44" s="3" t="n">
        <v>0.8</v>
      </c>
      <c r="F44" s="3" t="n">
        <v>0.8</v>
      </c>
      <c r="G44" s="3" t="n">
        <v>0.8</v>
      </c>
      <c r="H44" s="3" t="n">
        <v>0.8</v>
      </c>
      <c r="I44" s="3" t="n">
        <v>0.8</v>
      </c>
      <c r="J44" s="3" t="n">
        <v>0.8</v>
      </c>
      <c r="K44" s="3" t="n">
        <v>0.8</v>
      </c>
      <c r="L44" s="3" t="n">
        <v>0.8</v>
      </c>
    </row>
    <row r="45" customFormat="false" ht="15" hidden="false" customHeight="false" outlineLevel="0" collapsed="false">
      <c r="A45" s="0" t="s">
        <v>101</v>
      </c>
      <c r="C45" s="3" t="n">
        <v>5.7</v>
      </c>
      <c r="D45" s="3" t="n">
        <v>5.7</v>
      </c>
      <c r="E45" s="3" t="n">
        <v>5.7</v>
      </c>
      <c r="F45" s="3" t="n">
        <v>5.7</v>
      </c>
      <c r="G45" s="3" t="n">
        <v>5.7</v>
      </c>
      <c r="H45" s="3" t="n">
        <v>5.7</v>
      </c>
      <c r="I45" s="3" t="n">
        <v>5.7</v>
      </c>
      <c r="J45" s="3" t="n">
        <v>5.7</v>
      </c>
      <c r="K45" s="3" t="n">
        <v>5.7</v>
      </c>
      <c r="L45" s="3" t="n">
        <v>5.7</v>
      </c>
    </row>
    <row r="46" customFormat="false" ht="15" hidden="false" customHeight="false" outlineLevel="0" collapsed="false">
      <c r="A46" s="0" t="s">
        <v>102</v>
      </c>
      <c r="C46" s="3" t="n">
        <v>5.7</v>
      </c>
      <c r="D46" s="3" t="n">
        <v>5.7</v>
      </c>
      <c r="E46" s="3" t="n">
        <v>5.7</v>
      </c>
      <c r="F46" s="3" t="n">
        <v>5.7</v>
      </c>
      <c r="G46" s="3" t="n">
        <v>5.5</v>
      </c>
      <c r="H46" s="3" t="n">
        <v>5.5</v>
      </c>
      <c r="I46" s="3" t="n">
        <v>5.5</v>
      </c>
      <c r="J46" s="3" t="n">
        <v>5.5</v>
      </c>
      <c r="K46" s="3" t="n">
        <v>5.5</v>
      </c>
      <c r="L46" s="3" t="n">
        <v>5.5</v>
      </c>
    </row>
    <row r="47" customFormat="false" ht="15" hidden="false" customHeight="false" outlineLevel="0" collapsed="false">
      <c r="A47" s="0" t="s">
        <v>103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104</v>
      </c>
      <c r="B48" s="3" t="n">
        <v>9</v>
      </c>
    </row>
    <row r="49" customFormat="false" ht="15" hidden="false" customHeight="false" outlineLevel="0" collapsed="false">
      <c r="A49" s="0" t="s">
        <v>105</v>
      </c>
      <c r="B49" s="3" t="n">
        <v>3</v>
      </c>
    </row>
    <row r="50" customFormat="false" ht="15" hidden="false" customHeight="false" outlineLevel="0" collapsed="false">
      <c r="A50" s="0" t="s">
        <v>106</v>
      </c>
      <c r="B50" s="3" t="n">
        <v>12</v>
      </c>
    </row>
    <row r="51" customFormat="false" ht="15" hidden="false" customHeight="false" outlineLevel="0" collapsed="false">
      <c r="A51" s="0" t="s">
        <v>107</v>
      </c>
      <c r="B51" s="3" t="n">
        <v>-10</v>
      </c>
    </row>
    <row r="52" customFormat="false" ht="15" hidden="false" customHeight="false" outlineLevel="0" collapsed="false">
      <c r="A52" s="0" t="s">
        <v>108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-3</v>
      </c>
      <c r="D5" s="4" t="n">
        <f aca="false">Assumptions!D13</f>
        <v>-3</v>
      </c>
      <c r="E5" s="4" t="n">
        <f aca="false">Assumptions!E13</f>
        <v>-1.5</v>
      </c>
      <c r="F5" s="4" t="n">
        <f aca="false">Assumptions!F13</f>
        <v>0</v>
      </c>
      <c r="G5" s="4" t="n">
        <f aca="false">Assumptions!G13</f>
        <v>0.5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38</v>
      </c>
      <c r="B6" s="3" t="n">
        <v>9175.645</v>
      </c>
      <c r="C6" s="0" t="n">
        <f aca="false">B6*(1+C5/100)</f>
        <v>8900.37565</v>
      </c>
      <c r="D6" s="0" t="n">
        <f aca="false">C6*(1+D5/100)</f>
        <v>8633.3643805</v>
      </c>
      <c r="E6" s="0" t="n">
        <f aca="false">D6*(1+E5/100)</f>
        <v>8503.8639147925</v>
      </c>
      <c r="F6" s="0" t="n">
        <f aca="false">E6*(1+F5/100)</f>
        <v>8503.8639147925</v>
      </c>
      <c r="G6" s="0" t="n">
        <f aca="false">F6*(1+G5/100)</f>
        <v>8546.38323436646</v>
      </c>
      <c r="H6" s="0" t="n">
        <f aca="false">G6*(1+H5/100)</f>
        <v>8631.84706671013</v>
      </c>
      <c r="I6" s="0" t="n">
        <f aca="false">H6*(1+I5/100)</f>
        <v>8718.16553737723</v>
      </c>
      <c r="J6" s="0" t="n">
        <f aca="false">I6*(1+J5/100)</f>
        <v>8805.347192751</v>
      </c>
      <c r="K6" s="0" t="n">
        <f aca="false">J6*(1+K5/100)</f>
        <v>8893.40066467851</v>
      </c>
      <c r="L6" s="0" t="n">
        <f aca="false">K6*(1+L5/100)</f>
        <v>8982.33467132529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13.5</v>
      </c>
      <c r="D7" s="4" t="n">
        <f aca="false">Assumptions!D14</f>
        <v>13</v>
      </c>
      <c r="E7" s="4" t="n">
        <f aca="false">Assumptions!E14</f>
        <v>12.5</v>
      </c>
      <c r="F7" s="4" t="n">
        <f aca="false">Assumptions!F14</f>
        <v>12</v>
      </c>
      <c r="G7" s="4" t="n">
        <f aca="false">Assumptions!G14</f>
        <v>12</v>
      </c>
      <c r="H7" s="4" t="n">
        <f aca="false">Assumptions!H14</f>
        <v>12</v>
      </c>
      <c r="I7" s="4" t="n">
        <f aca="false">Assumptions!I14</f>
        <v>12</v>
      </c>
      <c r="J7" s="4" t="n">
        <f aca="false">Assumptions!J14</f>
        <v>12</v>
      </c>
      <c r="K7" s="4" t="n">
        <f aca="false">Assumptions!K14</f>
        <v>12</v>
      </c>
      <c r="L7" s="4" t="n">
        <f aca="false">Assumptions!L14</f>
        <v>12</v>
      </c>
    </row>
    <row r="8" customFormat="false" ht="15" hidden="false" customHeight="false" outlineLevel="0" collapsed="false">
      <c r="A8" s="0" t="s">
        <v>44</v>
      </c>
      <c r="C8" s="0" t="n">
        <f aca="false">C6*C7/100</f>
        <v>1201.55071275</v>
      </c>
      <c r="D8" s="0" t="n">
        <f aca="false">D6*D7/100</f>
        <v>1122.337369465</v>
      </c>
      <c r="E8" s="0" t="n">
        <f aca="false">E6*E7/100</f>
        <v>1062.98298934906</v>
      </c>
      <c r="F8" s="0" t="n">
        <f aca="false">F6*F7/100</f>
        <v>1020.4636697751</v>
      </c>
      <c r="G8" s="0" t="n">
        <f aca="false">G6*G7/100</f>
        <v>1025.56598812398</v>
      </c>
      <c r="H8" s="0" t="n">
        <f aca="false">H6*H7/100</f>
        <v>1035.82164800522</v>
      </c>
      <c r="I8" s="0" t="n">
        <f aca="false">I6*I7/100</f>
        <v>1046.17986448527</v>
      </c>
      <c r="J8" s="0" t="n">
        <f aca="false">J6*J7/100</f>
        <v>1056.64166313012</v>
      </c>
      <c r="K8" s="0" t="n">
        <f aca="false">K6*K7/100</f>
        <v>1067.20807976142</v>
      </c>
      <c r="L8" s="0" t="n">
        <f aca="false">L6*L7/100</f>
        <v>1077.88016055904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1130.34770755</v>
      </c>
      <c r="D11" s="0" t="n">
        <f aca="false">D8+D10+D24</f>
        <v>1053.270454421</v>
      </c>
      <c r="E11" s="0" t="n">
        <f aca="false">E8+E10+E24</f>
        <v>994.952078030722</v>
      </c>
      <c r="F11" s="0" t="n">
        <f aca="false">F8+F10+F24</f>
        <v>952.43275845676</v>
      </c>
      <c r="G11" s="0" t="n">
        <f aca="false">G8+G10+G24</f>
        <v>957.194922249043</v>
      </c>
      <c r="H11" s="0" t="n">
        <f aca="false">H8+H10+H24</f>
        <v>966.766871471534</v>
      </c>
      <c r="I11" s="0" t="n">
        <f aca="false">I8+I10+I24</f>
        <v>976.434540186249</v>
      </c>
      <c r="J11" s="0" t="n">
        <f aca="false">J8+J10+J24</f>
        <v>986.198885588112</v>
      </c>
      <c r="K11" s="0" t="n">
        <f aca="false">K8+K10+K24</f>
        <v>996.060874443993</v>
      </c>
      <c r="L11" s="0" t="n">
        <f aca="false">L8+L10+L24</f>
        <v>1006.02148318843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-507.32141205</v>
      </c>
      <c r="D12" s="4" t="n">
        <f aca="false">-D6*Assumptions!D17/100</f>
        <v>-492.1017696885</v>
      </c>
      <c r="E12" s="4" t="n">
        <f aca="false">-E6*Assumptions!E17/100</f>
        <v>-484.720243143172</v>
      </c>
      <c r="F12" s="4" t="n">
        <f aca="false">-F6*Assumptions!F17/100</f>
        <v>-484.720243143172</v>
      </c>
      <c r="G12" s="4" t="n">
        <f aca="false">-G6*Assumptions!G17/100</f>
        <v>-487.143844358888</v>
      </c>
      <c r="H12" s="4" t="n">
        <f aca="false">-H6*Assumptions!H17/100</f>
        <v>-492.015282802477</v>
      </c>
      <c r="I12" s="4" t="n">
        <f aca="false">-I6*Assumptions!I17/100</f>
        <v>-496.935435630502</v>
      </c>
      <c r="J12" s="4" t="n">
        <f aca="false">-J6*Assumptions!J17/100</f>
        <v>-501.904789986807</v>
      </c>
      <c r="K12" s="4" t="n">
        <f aca="false">-K6*Assumptions!K17/100</f>
        <v>-506.923837886675</v>
      </c>
      <c r="L12" s="4" t="n">
        <f aca="false">-L6*Assumptions!L17/100</f>
        <v>-511.993076265542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623.0262955</v>
      </c>
      <c r="D13" s="0" t="n">
        <f aca="false">D11+D12</f>
        <v>561.1686847325</v>
      </c>
      <c r="E13" s="0" t="n">
        <f aca="false">E11+E12</f>
        <v>510.23183488755</v>
      </c>
      <c r="F13" s="0" t="n">
        <f aca="false">F11+F12</f>
        <v>467.712515313587</v>
      </c>
      <c r="G13" s="0" t="n">
        <f aca="false">G11+G12</f>
        <v>470.051077890155</v>
      </c>
      <c r="H13" s="0" t="n">
        <f aca="false">H11+H12</f>
        <v>474.751588669057</v>
      </c>
      <c r="I13" s="0" t="n">
        <f aca="false">I11+I12</f>
        <v>479.499104555747</v>
      </c>
      <c r="J13" s="0" t="n">
        <f aca="false">J11+J12</f>
        <v>484.294095601305</v>
      </c>
      <c r="K13" s="0" t="n">
        <f aca="false">K11+K12</f>
        <v>489.137036557318</v>
      </c>
      <c r="L13" s="0" t="n">
        <f aca="false">L11+L12</f>
        <v>494.028406922891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25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467.269721625</v>
      </c>
      <c r="D15" s="0" t="n">
        <f aca="false">D13-MAX(0,D13)*D14/100</f>
        <v>420.876513549375</v>
      </c>
      <c r="E15" s="0" t="n">
        <f aca="false">E13-MAX(0,E13)*E14/100</f>
        <v>382.673876165662</v>
      </c>
      <c r="F15" s="0" t="n">
        <f aca="false">F13-MAX(0,F13)*F14/100</f>
        <v>350.784386485191</v>
      </c>
      <c r="G15" s="0" t="n">
        <f aca="false">G13-MAX(0,G13)*G14/100</f>
        <v>352.538308417616</v>
      </c>
      <c r="H15" s="0" t="n">
        <f aca="false">H13-MAX(0,H13)*H14/100</f>
        <v>356.063691501793</v>
      </c>
      <c r="I15" s="0" t="n">
        <f aca="false">I13-MAX(0,I13)*I14/100</f>
        <v>359.624328416811</v>
      </c>
      <c r="J15" s="0" t="n">
        <f aca="false">J13-MAX(0,J13)*J14/100</f>
        <v>363.220571700979</v>
      </c>
      <c r="K15" s="0" t="n">
        <f aca="false">K13-MAX(0,K13)*K14/100</f>
        <v>366.852777417989</v>
      </c>
      <c r="L15" s="0" t="n">
        <f aca="false">L13-MAX(0,L13)*L14/100</f>
        <v>370.521305192168</v>
      </c>
    </row>
    <row r="16" customFormat="false" ht="15" hidden="false" customHeight="false" outlineLevel="0" collapsed="false">
      <c r="A16" s="0" t="s">
        <v>119</v>
      </c>
      <c r="C16" s="0" t="n">
        <f aca="false">-C12</f>
        <v>507.32141205</v>
      </c>
      <c r="D16" s="0" t="n">
        <f aca="false">-D12</f>
        <v>492.1017696885</v>
      </c>
      <c r="E16" s="0" t="n">
        <f aca="false">-E12</f>
        <v>484.720243143172</v>
      </c>
      <c r="F16" s="0" t="n">
        <f aca="false">-F12</f>
        <v>484.720243143172</v>
      </c>
      <c r="G16" s="0" t="n">
        <f aca="false">-G12</f>
        <v>487.143844358888</v>
      </c>
      <c r="H16" s="0" t="n">
        <f aca="false">-H12</f>
        <v>492.015282802477</v>
      </c>
      <c r="I16" s="0" t="n">
        <f aca="false">-I12</f>
        <v>496.935435630502</v>
      </c>
      <c r="J16" s="0" t="n">
        <f aca="false">-J12</f>
        <v>501.904789986807</v>
      </c>
      <c r="K16" s="0" t="n">
        <f aca="false">-K12</f>
        <v>506.923837886675</v>
      </c>
      <c r="L16" s="0" t="n">
        <f aca="false">-L12</f>
        <v>511.993076265542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-507.32141205</v>
      </c>
      <c r="D17" s="4" t="n">
        <f aca="false">-D6*Assumptions!D18/100</f>
        <v>-492.1017696885</v>
      </c>
      <c r="E17" s="4" t="n">
        <f aca="false">-E6*Assumptions!E18/100</f>
        <v>-484.720243143172</v>
      </c>
      <c r="F17" s="4" t="n">
        <f aca="false">-F6*Assumptions!F18/100</f>
        <v>-467.712515313587</v>
      </c>
      <c r="G17" s="4" t="n">
        <f aca="false">-G6*Assumptions!G18/100</f>
        <v>-470.051077890155</v>
      </c>
      <c r="H17" s="4" t="n">
        <f aca="false">-H6*Assumptions!H18/100</f>
        <v>-474.751588669057</v>
      </c>
      <c r="I17" s="4" t="n">
        <f aca="false">-I6*Assumptions!I18/100</f>
        <v>-479.499104555747</v>
      </c>
      <c r="J17" s="4" t="n">
        <f aca="false">-J6*Assumptions!J18/100</f>
        <v>-484.294095601305</v>
      </c>
      <c r="K17" s="4" t="n">
        <f aca="false">-K6*Assumptions!K18/100</f>
        <v>-489.137036557318</v>
      </c>
      <c r="L17" s="4" t="n">
        <f aca="false">-L6*Assumptions!L18/100</f>
        <v>-494.028406922891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27.526935</v>
      </c>
      <c r="D18" s="4" t="n">
        <f aca="false">(D6-C6)*Assumptions!$B$23/100</f>
        <v>26.7011269500001</v>
      </c>
      <c r="E18" s="4" t="n">
        <f aca="false">(E6-D6)*Assumptions!$B$23/100</f>
        <v>12.9500465707501</v>
      </c>
      <c r="F18" s="4" t="n">
        <f aca="false">(F6-E6)*Assumptions!$B$23/100</f>
        <v>-0</v>
      </c>
      <c r="G18" s="4" t="n">
        <f aca="false">(G6-F6)*Assumptions!$B$23/100</f>
        <v>-4.25193195739612</v>
      </c>
      <c r="H18" s="4" t="n">
        <f aca="false">(H6-G6)*Assumptions!$B$23/100</f>
        <v>-8.54638323436648</v>
      </c>
      <c r="I18" s="4" t="n">
        <f aca="false">(I6-H6)*Assumptions!$B$23/100</f>
        <v>-8.63184706671018</v>
      </c>
      <c r="J18" s="4" t="n">
        <f aca="false">(J6-I6)*Assumptions!$B$23/100</f>
        <v>-8.71816553737717</v>
      </c>
      <c r="K18" s="4" t="n">
        <f aca="false">(K6-J6)*Assumptions!$B$23/100</f>
        <v>-8.80534719275092</v>
      </c>
      <c r="L18" s="4" t="n">
        <f aca="false">(L6-K6)*Assumptions!$B$23/100</f>
        <v>-8.89340066467848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494.796656625</v>
      </c>
      <c r="D19" s="0" t="n">
        <f aca="false">D15+D16+D17+D18</f>
        <v>447.577640499375</v>
      </c>
      <c r="E19" s="0" t="n">
        <f aca="false">E15+E16+E17+E18</f>
        <v>395.623922736413</v>
      </c>
      <c r="F19" s="0" t="n">
        <f aca="false">F15+F16+F17+F18</f>
        <v>367.792114314775</v>
      </c>
      <c r="G19" s="0" t="n">
        <f aca="false">G15+G16+G17+G18</f>
        <v>365.379142928953</v>
      </c>
      <c r="H19" s="0" t="n">
        <f aca="false">H15+H16+H17+H18</f>
        <v>364.781002400846</v>
      </c>
      <c r="I19" s="0" t="n">
        <f aca="false">I15+I16+I17+I18</f>
        <v>368.428812424855</v>
      </c>
      <c r="J19" s="0" t="n">
        <f aca="false">J15+J16+J17+J18</f>
        <v>372.113100549104</v>
      </c>
      <c r="K19" s="0" t="n">
        <f aca="false">K15+K16+K17+K18</f>
        <v>375.834231554595</v>
      </c>
      <c r="L19" s="0" t="n">
        <f aca="false">L15+L16+L17+L18</f>
        <v>379.59257387014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453.941886811927</v>
      </c>
      <c r="D21" s="0" t="n">
        <f aca="false">D19*D20</f>
        <v>376.717145441777</v>
      </c>
      <c r="E21" s="0" t="n">
        <f aca="false">E19*E20</f>
        <v>305.494257454013</v>
      </c>
      <c r="F21" s="0" t="n">
        <f aca="false">F19*F20</f>
        <v>260.55320621156</v>
      </c>
      <c r="G21" s="0" t="n">
        <f aca="false">G19*G20</f>
        <v>237.471372888316</v>
      </c>
      <c r="H21" s="0" t="n">
        <f aca="false">H19*H20</f>
        <v>217.506993197873</v>
      </c>
      <c r="I21" s="0" t="n">
        <f aca="false">I19*I20</f>
        <v>201.543177183351</v>
      </c>
      <c r="J21" s="0" t="n">
        <f aca="false">J19*J20</f>
        <v>186.751017390077</v>
      </c>
      <c r="K21" s="0" t="n">
        <f aca="false">K19*K20</f>
        <v>173.044520700897</v>
      </c>
      <c r="L21" s="0" t="n">
        <f aca="false">L19*L20</f>
        <v>160.344005420097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0.8</v>
      </c>
      <c r="D23" s="4" t="n">
        <f aca="false">Assumptions!D16</f>
        <v>0.8</v>
      </c>
      <c r="E23" s="4" t="n">
        <f aca="false">Assumptions!E16</f>
        <v>0.8</v>
      </c>
      <c r="F23" s="4" t="n">
        <f aca="false">Assumptions!F16</f>
        <v>0.8</v>
      </c>
      <c r="G23" s="4" t="n">
        <f aca="false">Assumptions!G16</f>
        <v>0.8</v>
      </c>
      <c r="H23" s="4" t="n">
        <f aca="false">Assumptions!H16</f>
        <v>0.8</v>
      </c>
      <c r="I23" s="4" t="n">
        <f aca="false">Assumptions!I16</f>
        <v>0.8</v>
      </c>
      <c r="J23" s="4" t="n">
        <f aca="false">Assumptions!J16</f>
        <v>0.8</v>
      </c>
      <c r="K23" s="4" t="n">
        <f aca="false">Assumptions!K16</f>
        <v>0.8</v>
      </c>
      <c r="L23" s="4" t="n">
        <f aca="false">Assumptions!L16</f>
        <v>0.8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-71.2030052</v>
      </c>
      <c r="D24" s="0" t="n">
        <f aca="false">-D6*D23/100</f>
        <v>-69.066915044</v>
      </c>
      <c r="E24" s="0" t="n">
        <f aca="false">-E6*E23/100</f>
        <v>-68.03091131834</v>
      </c>
      <c r="F24" s="0" t="n">
        <f aca="false">-F6*F23/100</f>
        <v>-68.03091131834</v>
      </c>
      <c r="G24" s="0" t="n">
        <f aca="false">-G6*G23/100</f>
        <v>-68.3710658749317</v>
      </c>
      <c r="H24" s="0" t="n">
        <f aca="false">-H6*H23/100</f>
        <v>-69.054776533681</v>
      </c>
      <c r="I24" s="0" t="n">
        <f aca="false">-I6*I23/100</f>
        <v>-69.7453242990178</v>
      </c>
      <c r="J24" s="0" t="n">
        <f aca="false">-J6*J23/100</f>
        <v>-70.442777542008</v>
      </c>
      <c r="K24" s="0" t="n">
        <f aca="false">-K6*K23/100</f>
        <v>-71.1472053174281</v>
      </c>
      <c r="L24" s="0" t="n">
        <f aca="false">-L6*L23/100</f>
        <v>-71.8586773706024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2573.36758269989</v>
      </c>
    </row>
    <row r="31" customFormat="false" ht="15" hidden="false" customHeight="false" outlineLevel="0" collapsed="false">
      <c r="A31" s="0" t="s">
        <v>128</v>
      </c>
      <c r="B31" s="0" t="n">
        <f aca="false">L19</f>
        <v>379.59257387014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5531.20607639347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4555.11088644169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4555.11088644169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1924.12806504117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4497.49564774106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3368.77764774106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3.12445911999852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0.332391948826659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3.12445911999852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2978.34173344264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1.52733657905657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-1.5</v>
      </c>
      <c r="D5" s="4" t="n">
        <f aca="false">Assumptions!D27</f>
        <v>0.5</v>
      </c>
      <c r="E5" s="4" t="n">
        <f aca="false">Assumptions!E27</f>
        <v>2</v>
      </c>
      <c r="F5" s="4" t="n">
        <f aca="false">Assumptions!F27</f>
        <v>2.5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9175.645</v>
      </c>
      <c r="C6" s="0" t="n">
        <f aca="false">B6*(1+C5/100)</f>
        <v>9038.010325</v>
      </c>
      <c r="D6" s="0" t="n">
        <f aca="false">C6*(1+D5/100)</f>
        <v>9083.200376625</v>
      </c>
      <c r="E6" s="0" t="n">
        <f aca="false">D6*(1+E5/100)</f>
        <v>9264.8643841575</v>
      </c>
      <c r="F6" s="0" t="n">
        <f aca="false">E6*(1+F5/100)</f>
        <v>9496.48599376144</v>
      </c>
      <c r="G6" s="0" t="n">
        <f aca="false">F6*(1+G5/100)</f>
        <v>9781.38057357428</v>
      </c>
      <c r="H6" s="0" t="n">
        <f aca="false">G6*(1+H5/100)</f>
        <v>10074.8219907815</v>
      </c>
      <c r="I6" s="0" t="n">
        <f aca="false">H6*(1+I5/100)</f>
        <v>10326.692540551</v>
      </c>
      <c r="J6" s="0" t="n">
        <f aca="false">I6*(1+J5/100)</f>
        <v>10584.8598540648</v>
      </c>
      <c r="K6" s="0" t="n">
        <f aca="false">J6*(1+K5/100)</f>
        <v>10849.4813504164</v>
      </c>
      <c r="L6" s="0" t="n">
        <f aca="false">K6*(1+L5/100)</f>
        <v>11120.7183841769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14.5</v>
      </c>
      <c r="D7" s="4" t="n">
        <f aca="false">Assumptions!D28</f>
        <v>14.5</v>
      </c>
      <c r="E7" s="4" t="n">
        <f aca="false">Assumptions!E28</f>
        <v>14.5</v>
      </c>
      <c r="F7" s="4" t="n">
        <f aca="false">Assumptions!F28</f>
        <v>14.5</v>
      </c>
      <c r="G7" s="4" t="n">
        <f aca="false">Assumptions!G28</f>
        <v>14.5</v>
      </c>
      <c r="H7" s="4" t="n">
        <f aca="false">Assumptions!H28</f>
        <v>14.5</v>
      </c>
      <c r="I7" s="4" t="n">
        <f aca="false">Assumptions!I28</f>
        <v>14.5</v>
      </c>
      <c r="J7" s="4" t="n">
        <f aca="false">Assumptions!J28</f>
        <v>14.5</v>
      </c>
      <c r="K7" s="4" t="n">
        <f aca="false">Assumptions!K28</f>
        <v>14.5</v>
      </c>
      <c r="L7" s="4" t="n">
        <f aca="false">Assumptions!L28</f>
        <v>14.5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1310.511497125</v>
      </c>
      <c r="D8" s="0" t="n">
        <f aca="false">D6*D7/100</f>
        <v>1317.06405461063</v>
      </c>
      <c r="E8" s="0" t="n">
        <f aca="false">E6*E7/100</f>
        <v>1343.40533570284</v>
      </c>
      <c r="F8" s="0" t="n">
        <f aca="false">F6*F7/100</f>
        <v>1376.99046909541</v>
      </c>
      <c r="G8" s="0" t="n">
        <f aca="false">G6*G7/100</f>
        <v>1418.30018316827</v>
      </c>
      <c r="H8" s="0" t="n">
        <f aca="false">H6*H7/100</f>
        <v>1460.84918866332</v>
      </c>
      <c r="I8" s="0" t="n">
        <f aca="false">I6*I7/100</f>
        <v>1497.3704183799</v>
      </c>
      <c r="J8" s="0" t="n">
        <f aca="false">J6*J7/100</f>
        <v>1534.8046788394</v>
      </c>
      <c r="K8" s="0" t="n">
        <f aca="false">K6*K7/100</f>
        <v>1573.17479581038</v>
      </c>
      <c r="L8" s="0" t="n">
        <f aca="false">L6*L7/100</f>
        <v>1612.50416570564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1238.207414525</v>
      </c>
      <c r="D11" s="0" t="n">
        <f aca="false">D8+D10+D24</f>
        <v>1244.39845159763</v>
      </c>
      <c r="E11" s="0" t="n">
        <f aca="false">E8+E10+E24</f>
        <v>1269.28642062958</v>
      </c>
      <c r="F11" s="0" t="n">
        <f aca="false">F8+F10+F24</f>
        <v>1301.01858114532</v>
      </c>
      <c r="G11" s="0" t="n">
        <f aca="false">G8+G10+G24</f>
        <v>1340.04913857968</v>
      </c>
      <c r="H11" s="0" t="n">
        <f aca="false">H8+H10+H24</f>
        <v>1380.25061273707</v>
      </c>
      <c r="I11" s="0" t="n">
        <f aca="false">I8+I10+I24</f>
        <v>1414.75687805549</v>
      </c>
      <c r="J11" s="0" t="n">
        <f aca="false">J8+J10+J24</f>
        <v>1450.12580000688</v>
      </c>
      <c r="K11" s="0" t="n">
        <f aca="false">K8+K10+K24</f>
        <v>1486.37894500705</v>
      </c>
      <c r="L11" s="0" t="n">
        <f aca="false">L8+L10+L24</f>
        <v>1523.53841863223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-515.166588525</v>
      </c>
      <c r="D12" s="4" t="n">
        <f aca="false">-D6*Assumptions!D31/100</f>
        <v>-517.742421467625</v>
      </c>
      <c r="E12" s="4" t="n">
        <f aca="false">-E6*Assumptions!E31/100</f>
        <v>-528.097269896977</v>
      </c>
      <c r="F12" s="4" t="n">
        <f aca="false">-F6*Assumptions!F31/100</f>
        <v>-541.299701644402</v>
      </c>
      <c r="G12" s="4" t="n">
        <f aca="false">-G6*Assumptions!G31/100</f>
        <v>-557.538692693734</v>
      </c>
      <c r="H12" s="4" t="n">
        <f aca="false">-H6*Assumptions!H31/100</f>
        <v>-574.264853474546</v>
      </c>
      <c r="I12" s="4" t="n">
        <f aca="false">-I6*Assumptions!I31/100</f>
        <v>-588.62147481141</v>
      </c>
      <c r="J12" s="4" t="n">
        <f aca="false">-J6*Assumptions!J31/100</f>
        <v>-603.337011681695</v>
      </c>
      <c r="K12" s="4" t="n">
        <f aca="false">-K6*Assumptions!K31/100</f>
        <v>-618.420436973737</v>
      </c>
      <c r="L12" s="4" t="n">
        <f aca="false">-L6*Assumptions!L31/100</f>
        <v>-633.88094789808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723.040826</v>
      </c>
      <c r="D13" s="0" t="n">
        <f aca="false">D11+D12</f>
        <v>726.65603013</v>
      </c>
      <c r="E13" s="0" t="n">
        <f aca="false">E11+E12</f>
        <v>741.1891507326</v>
      </c>
      <c r="F13" s="0" t="n">
        <f aca="false">F11+F12</f>
        <v>759.718879500915</v>
      </c>
      <c r="G13" s="0" t="n">
        <f aca="false">G11+G12</f>
        <v>782.510445885942</v>
      </c>
      <c r="H13" s="0" t="n">
        <f aca="false">H11+H12</f>
        <v>805.985759262521</v>
      </c>
      <c r="I13" s="0" t="n">
        <f aca="false">I11+I12</f>
        <v>826.135403244083</v>
      </c>
      <c r="J13" s="0" t="n">
        <f aca="false">J11+J12</f>
        <v>846.788788325185</v>
      </c>
      <c r="K13" s="0" t="n">
        <f aca="false">K11+K12</f>
        <v>867.958508033315</v>
      </c>
      <c r="L13" s="0" t="n">
        <f aca="false">L11+L12</f>
        <v>889.657470734148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25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542.2806195</v>
      </c>
      <c r="D15" s="0" t="n">
        <f aca="false">D13-MAX(0,D13)*D14/100</f>
        <v>544.9920225975</v>
      </c>
      <c r="E15" s="0" t="n">
        <f aca="false">E13-MAX(0,E13)*E14/100</f>
        <v>555.89186304945</v>
      </c>
      <c r="F15" s="0" t="n">
        <f aca="false">F13-MAX(0,F13)*F14/100</f>
        <v>569.789159625686</v>
      </c>
      <c r="G15" s="0" t="n">
        <f aca="false">G13-MAX(0,G13)*G14/100</f>
        <v>586.882834414457</v>
      </c>
      <c r="H15" s="0" t="n">
        <f aca="false">H13-MAX(0,H13)*H14/100</f>
        <v>604.489319446891</v>
      </c>
      <c r="I15" s="0" t="n">
        <f aca="false">I13-MAX(0,I13)*I14/100</f>
        <v>619.601552433063</v>
      </c>
      <c r="J15" s="0" t="n">
        <f aca="false">J13-MAX(0,J13)*J14/100</f>
        <v>635.091591243889</v>
      </c>
      <c r="K15" s="0" t="n">
        <f aca="false">K13-MAX(0,K13)*K14/100</f>
        <v>650.968881024986</v>
      </c>
      <c r="L15" s="0" t="n">
        <f aca="false">L13-MAX(0,L13)*L14/100</f>
        <v>667.243103050611</v>
      </c>
    </row>
    <row r="16" customFormat="false" ht="15" hidden="false" customHeight="false" outlineLevel="0" collapsed="false">
      <c r="A16" s="0" t="s">
        <v>119</v>
      </c>
      <c r="C16" s="0" t="n">
        <f aca="false">-C12</f>
        <v>515.166588525</v>
      </c>
      <c r="D16" s="0" t="n">
        <f aca="false">-D12</f>
        <v>517.742421467625</v>
      </c>
      <c r="E16" s="0" t="n">
        <f aca="false">-E12</f>
        <v>528.097269896977</v>
      </c>
      <c r="F16" s="0" t="n">
        <f aca="false">-F12</f>
        <v>541.299701644402</v>
      </c>
      <c r="G16" s="0" t="n">
        <f aca="false">-G12</f>
        <v>557.538692693734</v>
      </c>
      <c r="H16" s="0" t="n">
        <f aca="false">-H12</f>
        <v>574.264853474546</v>
      </c>
      <c r="I16" s="0" t="n">
        <f aca="false">-I12</f>
        <v>588.62147481141</v>
      </c>
      <c r="J16" s="0" t="n">
        <f aca="false">-J12</f>
        <v>603.337011681695</v>
      </c>
      <c r="K16" s="0" t="n">
        <f aca="false">-K12</f>
        <v>618.420436973737</v>
      </c>
      <c r="L16" s="0" t="n">
        <f aca="false">-L12</f>
        <v>633.88094789808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-515.166588525</v>
      </c>
      <c r="D17" s="4" t="n">
        <f aca="false">-D6*Assumptions!D32/100</f>
        <v>-508.659221091</v>
      </c>
      <c r="E17" s="4" t="n">
        <f aca="false">-E6*Assumptions!E32/100</f>
        <v>-509.567541128662</v>
      </c>
      <c r="F17" s="4" t="n">
        <f aca="false">-F6*Assumptions!F32/100</f>
        <v>-522.306729656879</v>
      </c>
      <c r="G17" s="4" t="n">
        <f aca="false">-G6*Assumptions!G32/100</f>
        <v>-537.975931546585</v>
      </c>
      <c r="H17" s="4" t="n">
        <f aca="false">-H6*Assumptions!H32/100</f>
        <v>-554.115209492983</v>
      </c>
      <c r="I17" s="4" t="n">
        <f aca="false">-I6*Assumptions!I32/100</f>
        <v>-567.968089730308</v>
      </c>
      <c r="J17" s="4" t="n">
        <f aca="false">-J6*Assumptions!J32/100</f>
        <v>-582.167291973565</v>
      </c>
      <c r="K17" s="4" t="n">
        <f aca="false">-K6*Assumptions!K32/100</f>
        <v>-596.721474272904</v>
      </c>
      <c r="L17" s="4" t="n">
        <f aca="false">-L6*Assumptions!L32/100</f>
        <v>-611.639511129727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13.7634674999999</v>
      </c>
      <c r="D18" s="4" t="n">
        <f aca="false">(D6-C6)*Assumptions!$B$37/100</f>
        <v>-4.51900516249989</v>
      </c>
      <c r="E18" s="4" t="n">
        <f aca="false">(E6-D6)*Assumptions!$B$37/100</f>
        <v>-18.1664007532499</v>
      </c>
      <c r="F18" s="4" t="n">
        <f aca="false">(F6-E6)*Assumptions!$B$37/100</f>
        <v>-23.1621609603937</v>
      </c>
      <c r="G18" s="4" t="n">
        <f aca="false">(G6-F6)*Assumptions!$B$37/100</f>
        <v>-28.4894579812843</v>
      </c>
      <c r="H18" s="4" t="n">
        <f aca="false">(H6-G6)*Assumptions!$B$37/100</f>
        <v>-29.3441417207228</v>
      </c>
      <c r="I18" s="4" t="n">
        <f aca="false">(I6-H6)*Assumptions!$B$37/100</f>
        <v>-25.1870549769537</v>
      </c>
      <c r="J18" s="4" t="n">
        <f aca="false">(J6-I6)*Assumptions!$B$37/100</f>
        <v>-25.8167313513775</v>
      </c>
      <c r="K18" s="4" t="n">
        <f aca="false">(K6-J6)*Assumptions!$B$37/100</f>
        <v>-26.462149635162</v>
      </c>
      <c r="L18" s="4" t="n">
        <f aca="false">(L6-K6)*Assumptions!$B$37/100</f>
        <v>-27.123703376041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556.044087</v>
      </c>
      <c r="D19" s="0" t="n">
        <f aca="false">D15+D16+D17+D18</f>
        <v>549.556217811625</v>
      </c>
      <c r="E19" s="0" t="n">
        <f aca="false">E15+E16+E17+E18</f>
        <v>556.255191064515</v>
      </c>
      <c r="F19" s="0" t="n">
        <f aca="false">F15+F16+F17+F18</f>
        <v>565.619970652815</v>
      </c>
      <c r="G19" s="0" t="n">
        <f aca="false">G15+G16+G17+G18</f>
        <v>577.956137580321</v>
      </c>
      <c r="H19" s="0" t="n">
        <f aca="false">H15+H16+H17+H18</f>
        <v>595.294821707731</v>
      </c>
      <c r="I19" s="0" t="n">
        <f aca="false">I15+I16+I17+I18</f>
        <v>615.067882537211</v>
      </c>
      <c r="J19" s="0" t="n">
        <f aca="false">J15+J16+J17+J18</f>
        <v>630.444579600641</v>
      </c>
      <c r="K19" s="0" t="n">
        <f aca="false">K15+K16+K17+K18</f>
        <v>646.205694090657</v>
      </c>
      <c r="L19" s="0" t="n">
        <f aca="false">L15+L16+L17+L18</f>
        <v>662.360836442924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510.132189908257</v>
      </c>
      <c r="D21" s="0" t="n">
        <f aca="false">D19*D20</f>
        <v>462.550473707285</v>
      </c>
      <c r="E21" s="0" t="n">
        <f aca="false">E19*E20</f>
        <v>429.531069238229</v>
      </c>
      <c r="F21" s="0" t="n">
        <f aca="false">F19*F20</f>
        <v>400.699447092411</v>
      </c>
      <c r="G21" s="0" t="n">
        <f aca="false">G19*G20</f>
        <v>375.631833717215</v>
      </c>
      <c r="H21" s="0" t="n">
        <f aca="false">H19*H20</f>
        <v>354.954852044708</v>
      </c>
      <c r="I21" s="0" t="n">
        <f aca="false">I19*I20</f>
        <v>336.463194651121</v>
      </c>
      <c r="J21" s="0" t="n">
        <f aca="false">J19*J20</f>
        <v>316.398875704036</v>
      </c>
      <c r="K21" s="0" t="n">
        <f aca="false">K19*K20</f>
        <v>297.531052840951</v>
      </c>
      <c r="L21" s="0" t="n">
        <f aca="false">L19*L20</f>
        <v>279.788375377959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0.8</v>
      </c>
      <c r="D23" s="4" t="n">
        <f aca="false">Assumptions!D30</f>
        <v>0.8</v>
      </c>
      <c r="E23" s="4" t="n">
        <f aca="false">Assumptions!E30</f>
        <v>0.8</v>
      </c>
      <c r="F23" s="4" t="n">
        <f aca="false">Assumptions!F30</f>
        <v>0.8</v>
      </c>
      <c r="G23" s="4" t="n">
        <f aca="false">Assumptions!G30</f>
        <v>0.8</v>
      </c>
      <c r="H23" s="4" t="n">
        <f aca="false">Assumptions!H30</f>
        <v>0.8</v>
      </c>
      <c r="I23" s="4" t="n">
        <f aca="false">Assumptions!I30</f>
        <v>0.8</v>
      </c>
      <c r="J23" s="4" t="n">
        <f aca="false">Assumptions!J30</f>
        <v>0.8</v>
      </c>
      <c r="K23" s="4" t="n">
        <f aca="false">Assumptions!K30</f>
        <v>0.8</v>
      </c>
      <c r="L23" s="4" t="n">
        <f aca="false">Assumptions!L30</f>
        <v>0.8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-72.3040826</v>
      </c>
      <c r="D24" s="0" t="n">
        <f aca="false">-D6*D23/100</f>
        <v>-72.665603013</v>
      </c>
      <c r="E24" s="0" t="n">
        <f aca="false">-E6*E23/100</f>
        <v>-74.11891507326</v>
      </c>
      <c r="F24" s="0" t="n">
        <f aca="false">-F6*F23/100</f>
        <v>-75.9718879500915</v>
      </c>
      <c r="G24" s="0" t="n">
        <f aca="false">-G6*G23/100</f>
        <v>-78.2510445885942</v>
      </c>
      <c r="H24" s="0" t="n">
        <f aca="false">-H6*H23/100</f>
        <v>-80.5985759262521</v>
      </c>
      <c r="I24" s="0" t="n">
        <f aca="false">-I6*I23/100</f>
        <v>-82.6135403244084</v>
      </c>
      <c r="J24" s="0" t="n">
        <f aca="false">-J6*J23/100</f>
        <v>-84.6788788325186</v>
      </c>
      <c r="K24" s="0" t="n">
        <f aca="false">-K6*K23/100</f>
        <v>-86.7958508033315</v>
      </c>
      <c r="L24" s="0" t="n">
        <f aca="false">-L6*L23/100</f>
        <v>-88.9657470734148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3763.68136428217</v>
      </c>
    </row>
    <row r="31" customFormat="false" ht="15" hidden="false" customHeight="false" outlineLevel="0" collapsed="false">
      <c r="A31" s="0" t="s">
        <v>128</v>
      </c>
      <c r="B31" s="0" t="n">
        <f aca="false">L19</f>
        <v>662.360836442924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10444.9208823692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7948.33003731509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7948.33003731509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3357.46050453551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7121.14186881768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5992.42386881768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5.55782701193681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1.37007548483446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5.55782701193681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5431.35885883197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2.9043705957286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0</v>
      </c>
      <c r="D5" s="4" t="n">
        <f aca="false">Assumptions!D41</f>
        <v>3</v>
      </c>
      <c r="E5" s="4" t="n">
        <f aca="false">Assumptions!E41</f>
        <v>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9175.645</v>
      </c>
      <c r="C6" s="0" t="n">
        <f aca="false">B6*(1+C5/100)</f>
        <v>9175.645</v>
      </c>
      <c r="D6" s="0" t="n">
        <f aca="false">C6*(1+D5/100)</f>
        <v>9450.91435</v>
      </c>
      <c r="E6" s="0" t="n">
        <f aca="false">D6*(1+E5/100)</f>
        <v>9923.4600675</v>
      </c>
      <c r="F6" s="0" t="n">
        <f aca="false">E6*(1+F5/100)</f>
        <v>10419.633070875</v>
      </c>
      <c r="G6" s="0" t="n">
        <f aca="false">F6*(1+G5/100)</f>
        <v>10888.5165590644</v>
      </c>
      <c r="H6" s="0" t="n">
        <f aca="false">G6*(1+H5/100)</f>
        <v>11324.057221427</v>
      </c>
      <c r="I6" s="0" t="n">
        <f aca="false">H6*(1+I5/100)</f>
        <v>11720.3992241769</v>
      </c>
      <c r="J6" s="0" t="n">
        <f aca="false">I6*(1+J5/100)</f>
        <v>12072.0112009022</v>
      </c>
      <c r="K6" s="0" t="n">
        <f aca="false">J6*(1+K5/100)</f>
        <v>12434.1715369293</v>
      </c>
      <c r="L6" s="0" t="n">
        <f aca="false">K6*(1+L5/100)</f>
        <v>12807.1966830371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15</v>
      </c>
      <c r="D7" s="4" t="n">
        <f aca="false">Assumptions!D42</f>
        <v>15.5</v>
      </c>
      <c r="E7" s="4" t="n">
        <f aca="false">Assumptions!E42</f>
        <v>16</v>
      </c>
      <c r="F7" s="4" t="n">
        <f aca="false">Assumptions!F42</f>
        <v>16.5</v>
      </c>
      <c r="G7" s="4" t="n">
        <f aca="false">Assumptions!G42</f>
        <v>17</v>
      </c>
      <c r="H7" s="4" t="n">
        <f aca="false">Assumptions!H42</f>
        <v>17</v>
      </c>
      <c r="I7" s="4" t="n">
        <f aca="false">Assumptions!I42</f>
        <v>17</v>
      </c>
      <c r="J7" s="4" t="n">
        <f aca="false">Assumptions!J42</f>
        <v>17</v>
      </c>
      <c r="K7" s="4" t="n">
        <f aca="false">Assumptions!K42</f>
        <v>17</v>
      </c>
      <c r="L7" s="4" t="n">
        <f aca="false">Assumptions!L42</f>
        <v>17</v>
      </c>
    </row>
    <row r="8" customFormat="false" ht="15" hidden="false" customHeight="false" outlineLevel="0" collapsed="false">
      <c r="A8" s="0" t="s">
        <v>44</v>
      </c>
      <c r="C8" s="0" t="n">
        <f aca="false">C6*C7/100</f>
        <v>1376.34675</v>
      </c>
      <c r="D8" s="0" t="n">
        <f aca="false">D6*D7/100</f>
        <v>1464.89172425</v>
      </c>
      <c r="E8" s="0" t="n">
        <f aca="false">E6*E7/100</f>
        <v>1587.7536108</v>
      </c>
      <c r="F8" s="0" t="n">
        <f aca="false">F6*F7/100</f>
        <v>1719.23945669438</v>
      </c>
      <c r="G8" s="0" t="n">
        <f aca="false">G6*G7/100</f>
        <v>1851.04781504094</v>
      </c>
      <c r="H8" s="0" t="n">
        <f aca="false">H6*H7/100</f>
        <v>1925.08972764258</v>
      </c>
      <c r="I8" s="0" t="n">
        <f aca="false">I6*I7/100</f>
        <v>1992.46786811007</v>
      </c>
      <c r="J8" s="0" t="n">
        <f aca="false">J6*J7/100</f>
        <v>2052.24190415337</v>
      </c>
      <c r="K8" s="0" t="n">
        <f aca="false">K6*K7/100</f>
        <v>2113.80916127798</v>
      </c>
      <c r="L8" s="0" t="n">
        <f aca="false">L6*L7/100</f>
        <v>2177.22343611632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1302.94159</v>
      </c>
      <c r="D11" s="0" t="n">
        <f aca="false">D8+D10+D24</f>
        <v>1389.28440945</v>
      </c>
      <c r="E11" s="0" t="n">
        <f aca="false">E8+E10+E24</f>
        <v>1508.36593026</v>
      </c>
      <c r="F11" s="0" t="n">
        <f aca="false">F8+F10+F24</f>
        <v>1635.88239212738</v>
      </c>
      <c r="G11" s="0" t="n">
        <f aca="false">G8+G10+G24</f>
        <v>1763.93968256843</v>
      </c>
      <c r="H11" s="0" t="n">
        <f aca="false">H8+H10+H24</f>
        <v>1834.49726987117</v>
      </c>
      <c r="I11" s="0" t="n">
        <f aca="false">I8+I10+I24</f>
        <v>1898.70467431666</v>
      </c>
      <c r="J11" s="0" t="n">
        <f aca="false">J8+J10+J24</f>
        <v>1955.66581454616</v>
      </c>
      <c r="K11" s="0" t="n">
        <f aca="false">K8+K10+K24</f>
        <v>2014.33578898254</v>
      </c>
      <c r="L11" s="0" t="n">
        <f aca="false">L8+L10+L24</f>
        <v>2074.76586265202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-523.011765</v>
      </c>
      <c r="D12" s="4" t="n">
        <f aca="false">-D6*Assumptions!D45/100</f>
        <v>-538.70211795</v>
      </c>
      <c r="E12" s="4" t="n">
        <f aca="false">-E6*Assumptions!E45/100</f>
        <v>-565.6372238475</v>
      </c>
      <c r="F12" s="4" t="n">
        <f aca="false">-F6*Assumptions!F45/100</f>
        <v>-593.919085039875</v>
      </c>
      <c r="G12" s="4" t="n">
        <f aca="false">-G6*Assumptions!G45/100</f>
        <v>-620.64544386667</v>
      </c>
      <c r="H12" s="4" t="n">
        <f aca="false">-H6*Assumptions!H45/100</f>
        <v>-645.471261621336</v>
      </c>
      <c r="I12" s="4" t="n">
        <f aca="false">-I6*Assumptions!I45/100</f>
        <v>-668.062755778083</v>
      </c>
      <c r="J12" s="4" t="n">
        <f aca="false">-J6*Assumptions!J45/100</f>
        <v>-688.104638451426</v>
      </c>
      <c r="K12" s="4" t="n">
        <f aca="false">-K6*Assumptions!K45/100</f>
        <v>-708.747777604968</v>
      </c>
      <c r="L12" s="4" t="n">
        <f aca="false">-L6*Assumptions!L45/100</f>
        <v>-730.010210933118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779.929825</v>
      </c>
      <c r="D13" s="0" t="n">
        <f aca="false">D11+D12</f>
        <v>850.5822915</v>
      </c>
      <c r="E13" s="0" t="n">
        <f aca="false">E11+E12</f>
        <v>942.7287064125</v>
      </c>
      <c r="F13" s="0" t="n">
        <f aca="false">F11+F12</f>
        <v>1041.9633070875</v>
      </c>
      <c r="G13" s="0" t="n">
        <f aca="false">G11+G12</f>
        <v>1143.29423870176</v>
      </c>
      <c r="H13" s="0" t="n">
        <f aca="false">H11+H12</f>
        <v>1189.02600824983</v>
      </c>
      <c r="I13" s="0" t="n">
        <f aca="false">I11+I12</f>
        <v>1230.64191853857</v>
      </c>
      <c r="J13" s="0" t="n">
        <f aca="false">J11+J12</f>
        <v>1267.56117609473</v>
      </c>
      <c r="K13" s="0" t="n">
        <f aca="false">K11+K12</f>
        <v>1305.58801137757</v>
      </c>
      <c r="L13" s="0" t="n">
        <f aca="false">L11+L12</f>
        <v>1344.7556517189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584.94736875</v>
      </c>
      <c r="D15" s="0" t="n">
        <f aca="false">D13-MAX(0,D13)*D14/100</f>
        <v>637.936718625</v>
      </c>
      <c r="E15" s="0" t="n">
        <f aca="false">E13-MAX(0,E13)*E14/100</f>
        <v>707.046529809375</v>
      </c>
      <c r="F15" s="0" t="n">
        <f aca="false">F13-MAX(0,F13)*F14/100</f>
        <v>781.472480315625</v>
      </c>
      <c r="G15" s="0" t="n">
        <f aca="false">G13-MAX(0,G13)*G14/100</f>
        <v>857.47067902632</v>
      </c>
      <c r="H15" s="0" t="n">
        <f aca="false">H13-MAX(0,H13)*H14/100</f>
        <v>891.769506187372</v>
      </c>
      <c r="I15" s="0" t="n">
        <f aca="false">I13-MAX(0,I13)*I14/100</f>
        <v>922.98143890393</v>
      </c>
      <c r="J15" s="0" t="n">
        <f aca="false">J13-MAX(0,J13)*J14/100</f>
        <v>950.670882071049</v>
      </c>
      <c r="K15" s="0" t="n">
        <f aca="false">K13-MAX(0,K13)*K14/100</f>
        <v>979.19100853318</v>
      </c>
      <c r="L15" s="0" t="n">
        <f aca="false">L13-MAX(0,L13)*L14/100</f>
        <v>1008.56673878918</v>
      </c>
    </row>
    <row r="16" customFormat="false" ht="15" hidden="false" customHeight="false" outlineLevel="0" collapsed="false">
      <c r="A16" s="0" t="s">
        <v>119</v>
      </c>
      <c r="C16" s="0" t="n">
        <f aca="false">-C12</f>
        <v>523.011765</v>
      </c>
      <c r="D16" s="0" t="n">
        <f aca="false">-D12</f>
        <v>538.70211795</v>
      </c>
      <c r="E16" s="0" t="n">
        <f aca="false">-E12</f>
        <v>565.6372238475</v>
      </c>
      <c r="F16" s="0" t="n">
        <f aca="false">-F12</f>
        <v>593.919085039875</v>
      </c>
      <c r="G16" s="0" t="n">
        <f aca="false">-G12</f>
        <v>620.64544386667</v>
      </c>
      <c r="H16" s="0" t="n">
        <f aca="false">-H12</f>
        <v>645.471261621336</v>
      </c>
      <c r="I16" s="0" t="n">
        <f aca="false">-I12</f>
        <v>668.062755778083</v>
      </c>
      <c r="J16" s="0" t="n">
        <f aca="false">-J12</f>
        <v>688.104638451426</v>
      </c>
      <c r="K16" s="0" t="n">
        <f aca="false">-K12</f>
        <v>708.747777604968</v>
      </c>
      <c r="L16" s="0" t="n">
        <f aca="false">-L12</f>
        <v>730.010210933118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-523.011765</v>
      </c>
      <c r="D17" s="4" t="n">
        <f aca="false">-D6*Assumptions!D46/100</f>
        <v>-538.70211795</v>
      </c>
      <c r="E17" s="4" t="n">
        <f aca="false">-E6*Assumptions!E46/100</f>
        <v>-565.6372238475</v>
      </c>
      <c r="F17" s="4" t="n">
        <f aca="false">-F6*Assumptions!F46/100</f>
        <v>-593.919085039875</v>
      </c>
      <c r="G17" s="4" t="n">
        <f aca="false">-G6*Assumptions!G46/100</f>
        <v>-598.868410748541</v>
      </c>
      <c r="H17" s="4" t="n">
        <f aca="false">-H6*Assumptions!H46/100</f>
        <v>-622.823147178482</v>
      </c>
      <c r="I17" s="4" t="n">
        <f aca="false">-I6*Assumptions!I46/100</f>
        <v>-644.621957329729</v>
      </c>
      <c r="J17" s="4" t="n">
        <f aca="false">-J6*Assumptions!J46/100</f>
        <v>-663.960616049621</v>
      </c>
      <c r="K17" s="4" t="n">
        <f aca="false">-K6*Assumptions!K46/100</f>
        <v>-683.87943453111</v>
      </c>
      <c r="L17" s="4" t="n">
        <f aca="false">-L6*Assumptions!L46/100</f>
        <v>-704.395817567043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-0</v>
      </c>
      <c r="D18" s="4" t="n">
        <f aca="false">(D6-C6)*Assumptions!$B$51/100</f>
        <v>-27.526935</v>
      </c>
      <c r="E18" s="4" t="n">
        <f aca="false">(E6-D6)*Assumptions!$B$51/100</f>
        <v>-47.2545717500001</v>
      </c>
      <c r="F18" s="4" t="n">
        <f aca="false">(F6-E6)*Assumptions!$B$51/100</f>
        <v>-49.6173003375001</v>
      </c>
      <c r="G18" s="4" t="n">
        <f aca="false">(G6-F6)*Assumptions!$B$51/100</f>
        <v>-46.8883488189374</v>
      </c>
      <c r="H18" s="4" t="n">
        <f aca="false">(H6-G6)*Assumptions!$B$51/100</f>
        <v>-43.5540662362575</v>
      </c>
      <c r="I18" s="4" t="n">
        <f aca="false">(I6-H6)*Assumptions!$B$51/100</f>
        <v>-39.6342002749943</v>
      </c>
      <c r="J18" s="4" t="n">
        <f aca="false">(J6-I6)*Assumptions!$B$51/100</f>
        <v>-35.1611976725308</v>
      </c>
      <c r="K18" s="4" t="n">
        <f aca="false">(K6-J6)*Assumptions!$B$51/100</f>
        <v>-36.2160336027066</v>
      </c>
      <c r="L18" s="4" t="n">
        <f aca="false">(L6-K6)*Assumptions!$B$51/100</f>
        <v>-37.3025146107879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584.94736875</v>
      </c>
      <c r="D19" s="0" t="n">
        <f aca="false">D15+D16+D17+D18</f>
        <v>610.409783625</v>
      </c>
      <c r="E19" s="0" t="n">
        <f aca="false">E15+E16+E17+E18</f>
        <v>659.791958059375</v>
      </c>
      <c r="F19" s="0" t="n">
        <f aca="false">F15+F16+F17+F18</f>
        <v>731.855179978125</v>
      </c>
      <c r="G19" s="0" t="n">
        <f aca="false">G15+G16+G17+G18</f>
        <v>832.359363325511</v>
      </c>
      <c r="H19" s="0" t="n">
        <f aca="false">H15+H16+H17+H18</f>
        <v>870.863554393969</v>
      </c>
      <c r="I19" s="0" t="n">
        <f aca="false">I15+I16+I17+I18</f>
        <v>906.78803707729</v>
      </c>
      <c r="J19" s="0" t="n">
        <f aca="false">J15+J16+J17+J18</f>
        <v>939.653706800322</v>
      </c>
      <c r="K19" s="0" t="n">
        <f aca="false">K15+K16+K17+K18</f>
        <v>967.843318004332</v>
      </c>
      <c r="L19" s="0" t="n">
        <f aca="false">L15+L16+L17+L18</f>
        <v>996.878617544462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536.648962155963</v>
      </c>
      <c r="D21" s="0" t="n">
        <f aca="false">D19*D20</f>
        <v>513.769702571332</v>
      </c>
      <c r="E21" s="0" t="n">
        <f aca="false">E19*E20</f>
        <v>509.480450290592</v>
      </c>
      <c r="F21" s="0" t="n">
        <f aca="false">F19*F20</f>
        <v>518.464660345161</v>
      </c>
      <c r="G21" s="0" t="n">
        <f aca="false">G19*G20</f>
        <v>540.976474904557</v>
      </c>
      <c r="H21" s="0" t="n">
        <f aca="false">H19*H20</f>
        <v>519.267483655024</v>
      </c>
      <c r="I21" s="0" t="n">
        <f aca="false">I19*I20</f>
        <v>496.044109095529</v>
      </c>
      <c r="J21" s="0" t="n">
        <f aca="false">J19*J20</f>
        <v>471.580510012604</v>
      </c>
      <c r="K21" s="0" t="n">
        <f aca="false">K19*K20</f>
        <v>445.621949828424</v>
      </c>
      <c r="L21" s="0" t="n">
        <f aca="false">L19*L20</f>
        <v>421.092301214015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0.8</v>
      </c>
      <c r="D23" s="4" t="n">
        <f aca="false">Assumptions!D44</f>
        <v>0.8</v>
      </c>
      <c r="E23" s="4" t="n">
        <f aca="false">Assumptions!E44</f>
        <v>0.8</v>
      </c>
      <c r="F23" s="4" t="n">
        <f aca="false">Assumptions!F44</f>
        <v>0.8</v>
      </c>
      <c r="G23" s="4" t="n">
        <f aca="false">Assumptions!G44</f>
        <v>0.8</v>
      </c>
      <c r="H23" s="4" t="n">
        <f aca="false">Assumptions!H44</f>
        <v>0.8</v>
      </c>
      <c r="I23" s="4" t="n">
        <f aca="false">Assumptions!I44</f>
        <v>0.8</v>
      </c>
      <c r="J23" s="4" t="n">
        <f aca="false">Assumptions!J44</f>
        <v>0.8</v>
      </c>
      <c r="K23" s="4" t="n">
        <f aca="false">Assumptions!K44</f>
        <v>0.8</v>
      </c>
      <c r="L23" s="4" t="n">
        <f aca="false">Assumptions!L44</f>
        <v>0.8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-73.40516</v>
      </c>
      <c r="D24" s="0" t="n">
        <f aca="false">-D6*D23/100</f>
        <v>-75.6073148</v>
      </c>
      <c r="E24" s="0" t="n">
        <f aca="false">-E6*E23/100</f>
        <v>-79.38768054</v>
      </c>
      <c r="F24" s="0" t="n">
        <f aca="false">-F6*F23/100</f>
        <v>-83.357064567</v>
      </c>
      <c r="G24" s="0" t="n">
        <f aca="false">-G6*G23/100</f>
        <v>-87.108132472515</v>
      </c>
      <c r="H24" s="0" t="n">
        <f aca="false">-H6*H23/100</f>
        <v>-90.5924577714156</v>
      </c>
      <c r="I24" s="0" t="n">
        <f aca="false">-I6*I23/100</f>
        <v>-93.7631937934152</v>
      </c>
      <c r="J24" s="0" t="n">
        <f aca="false">-J6*J23/100</f>
        <v>-96.5760896072176</v>
      </c>
      <c r="K24" s="0" t="n">
        <f aca="false">-K6*K23/100</f>
        <v>-99.4733722954342</v>
      </c>
      <c r="L24" s="0" t="n">
        <f aca="false">-L6*L23/100</f>
        <v>-102.457573464297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4972.9466040732</v>
      </c>
    </row>
    <row r="31" customFormat="false" ht="15" hidden="false" customHeight="false" outlineLevel="0" collapsed="false">
      <c r="A31" s="0" t="s">
        <v>128</v>
      </c>
      <c r="B31" s="0" t="n">
        <f aca="false">L19</f>
        <v>996.878617544462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17113.0829345133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11962.5434105335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11962.5434105335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5053.10761456818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10026.0542186414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8897.33621864138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8.25206237956017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2.51900314693397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8.25206237956017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8556.54146725663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4.42288303221347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3.12445911999852</v>
      </c>
      <c r="C4" s="0" t="n">
        <f aca="false">B4/Assumptions!$B$2-1</f>
        <v>0.332391948826659</v>
      </c>
      <c r="D4" s="4" t="n">
        <f aca="false">Assumptions!$B$24</f>
        <v>0.3</v>
      </c>
      <c r="E4" s="4" t="n">
        <f aca="false">DCF_Bear!$B$43</f>
        <v>3.12445911999852</v>
      </c>
      <c r="F4" s="4" t="n">
        <f aca="false">DCF_Bear!$B$47</f>
        <v>1.52733657905657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5.55782701193681</v>
      </c>
      <c r="C5" s="0" t="n">
        <f aca="false">B5/Assumptions!$B$2-1</f>
        <v>1.37007548483446</v>
      </c>
      <c r="D5" s="4" t="n">
        <f aca="false">Assumptions!$B$38</f>
        <v>0.5</v>
      </c>
      <c r="E5" s="4" t="n">
        <f aca="false">DCF_Base!$B$43</f>
        <v>5.55782701193681</v>
      </c>
      <c r="F5" s="4" t="n">
        <f aca="false">DCF_Base!$B$47</f>
        <v>2.9043705957286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8.25206237956017</v>
      </c>
      <c r="C6" s="0" t="n">
        <f aca="false">B6/Assumptions!$B$2-1</f>
        <v>2.51900314693397</v>
      </c>
      <c r="D6" s="4" t="n">
        <f aca="false">Assumptions!$B$52</f>
        <v>0.2</v>
      </c>
      <c r="E6" s="4" t="n">
        <f aca="false">DCF_Bull!$B$43</f>
        <v>8.25206237956017</v>
      </c>
      <c r="F6" s="4" t="n">
        <f aca="false">DCF_Bull!$B$47</f>
        <v>4.42288303221347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5.36666371787999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5.36666371787999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0.563043238169141</v>
      </c>
    </row>
    <row r="11" customFormat="false" ht="15" hidden="false" customHeight="false" outlineLevel="0" collapsed="false">
      <c r="A11" s="0" t="s">
        <v>155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2.79496287802396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5.55782701193681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5.13235356509857</v>
      </c>
      <c r="C16" s="3" t="n">
        <v>10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4.74294487418924</v>
      </c>
      <c r="C17" s="3" t="n">
        <v>11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4.14666981648734</v>
      </c>
      <c r="C18" s="3" t="n">
        <v>12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2.9043705957286</v>
      </c>
      <c r="C19" s="3" t="n">
        <v>15</v>
      </c>
    </row>
    <row r="21" customFormat="false" ht="15" hidden="false" customHeight="false" outlineLevel="0" collapsed="false">
      <c r="A21" s="2" t="s">
        <v>164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6.5331067987558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6.5331067987558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6.5331067987558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6.5331067987558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6.5331067987558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6.0232805845713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6.0232805845713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6.0232805845713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6.0232805845713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6.0232805845713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5.55782701193681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5.55782701193681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5.55782701193681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5.55782701193681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5.55782701193681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5.11842131143861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5.13235356509857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5.13235356509857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5.13235356509857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5.13235356509857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4.45826696616154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4.59870806745521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4.74294487418924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4.74294487418924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4.74294487418924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2026-10-16T13:11:55Z</dcterms:created>
  <dc:creator>openpyxl</dc:creator>
  <dc:description/>
  <dc:language>en-NZ</dc:language>
  <cp:lastModifiedBy/>
  <dcterms:modified xsi:type="dcterms:W3CDTF">2026-10-16T13:11:55Z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