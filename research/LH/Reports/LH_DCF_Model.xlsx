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<sst xmlns="http://schemas.openxmlformats.org/spreadsheetml/2006/main" count="390" uniqueCount="176">
  <si>
    <t xml:space="preserve">Ticker</t>
  </si>
  <si>
    <t xml:space="preserve">LH</t>
  </si>
  <si>
    <t xml:space="preserve">Company</t>
  </si>
  <si>
    <t xml:space="preserve">Labcorp Holdings Inc.</t>
  </si>
  <si>
    <t xml:space="preserve">Valuation date</t>
  </si>
  <si>
    <t xml:space="preserve">2026-10-02</t>
  </si>
  <si>
    <t xml:space="preserve">Current price</t>
  </si>
  <si>
    <t xml:space="preserve">Price as of</t>
  </si>
  <si>
    <t xml:space="preserve">2026-10-01T20:00:02Z regular close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</si>
  <si>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</si>
  <si>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</si>
  <si>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</si>
  <si>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</si>
  <si>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</si>
  <si>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</si>
  <si>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</si>
  <si>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</si>
  <si>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</si>
  <si>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</si>
  <si>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</si>
  <si>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</si>
  <si>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2026-10-02T00:18:58Z</t>
  </si>
  <si>
    <t xml:space="preserve">Drivers file</t>
  </si>
  <si>
    <t xml:space="preserve">LH_Drivers.json</t>
  </si>
  <si>
    <t xml:space="preserve">Convention</t>
  </si>
  <si>
    <t xml:space="preserve">Percents stored as percents; formulas divide by 100. Blue = input, green = link, black = formula.</t>
  </si>
  <si>
    <t xml:space="preserve">Methodology</t>
  </si>
  <si>
    <t xml:space="preserve">summary: Labcorp is valued as a mature, defensive cash compounder on fully SBC-expensed unlevered owner FCF, with the growth that outreach acquisitions buy charged against the flows as an explicit acquisition line rather than taken for free. The forward margin is built from components anchored to TTM Jun-2026 GAAP EBITDA plus SBC and half of the special items, and expands only within management's guided 75-150bps band. Historical CAGRs are reported but deliberately not used as the growth anchor because every multi-year window is distorted by COVID testing and the Fortrea spin. Risk is charged once, through 25/50/25 scenario weights, at a single 8% USD WACC; the 18x terminal cap sits just under Gordon at 8%/2.5% and well under today's ~24x EV/owner-FCF, so no multiple expansion is assumed.
key_risks_to_valuation: CMS 2027-2029 PAMA Clinical Laboratory Fee Schedule cuts finalised at the preliminary magnitude (bear case) - Medicare routine testing reimbursement is set by a single regulator; Duopoly price competition with Quest Diagnostics for payer networks and hospital outreach contracts capping commercial pricing; Acquired-growth accounting: if outreach deals cost materially more than ~1.5x acquired revenue, the 1.6pp acquisition charge understates the cash cost of the guided growth; Biopharma funding cycle flattening BLS/Central Labs bookings (24% of revenue); Integration risk across 13+ small, geographically dispersed outreach acquisitions per year; Special items (restructuring, acquisition costs, AMCA litigation) treated as ~half recurring; if they are fully recurring the EBITDA anchor is ~1pp too high; Terminal value is ~65-75% of enterprise value; a 1pp move in WACC moves the base value by roughly 15-20%</t>
  </si>
  <si>
    <t xml:space="preserve">Data sources</t>
  </si>
  <si>
    <t xml:space="preserve">price: Yahoo Finance chart API regularMarketPrice at inputs.price_as_of (regular close); 52-week range 244.52-341.80
financials: research/LH/Reports/LH_Metrics.csv (SEC XBRL via scripts/build_facts_xbrl.py, 105 periods through Q2 2026) and the kpis table (buybacks, cash taxes, equity-award taxes, D&amp;A) via make dcf-context; TTM constructed as FY2025 + H1-2026 - H1-2025; balance sheet and share count from the Q2 2026 10-Q (2026-06-30)
qualitative: research/LH/Reports/LH_Analysis.json (2026-10-02): Q2-2026 results and raised FY2026 guidance (2026-07-30), September 10 2026 Investor Day 2026-2029 outlook, September 22 2026 PAMA reaffirmation</t>
  </si>
  <si>
    <t xml:space="preserve">Scenario narrative: bear</t>
  </si>
  <si>
    <t xml:space="preserve">CMS finalises the 2027-2029 CLFS rates near the preliminary proposal and the ACLA challenge fails. Medicare routine-test reimbursement falls each year for three years, taking 1-1.5pp off Dx growth; duopoly price competition with Quest prevents commercial repricing; a biotech funding downturn flattens BLS bookings. Revenue growth falls to 2-2.5% from year 2, pre-SBC EBITDA margin compresses ~120bps to 16.0% by year 4 before a partial recovery to 16.2%, and management slows the M&amp;A engine (capex charge drops to ~3.6-4.4%). Terminal growth 2.0%. The company still generates ~$1.0B+ of unlevered owner FCF - the bear case is a lower-growth, lower-margin reset, not a distress case, which is why WACC is not raised.</t>
  </si>
  <si>
    <t xml:space="preserve">Scenario narrative: base</t>
  </si>
  <si>
    <t xml:space="preserve">Labcorp executes at the low end of its September-2026 Investor Day framework: enterprise revenue grows ~5.5-5.7% in the next two years (FY2026 guidance 5.4-6.3%; ~4-4.5% organic plus ~1pp from outreach-lab acquisitions), decelerating to 2.5% by year 9. Pre-SBC EBITDA margin expands ~90bps to 18.1% by year 4 on specialty/esoteric mix shift and Central Labs utilisation, consistent with guided 75-150bps of adjusted operating-margin expansion, then holds. PAMA cuts for 2027-2029 land at a moderated level - management says the anticipated pressure is already inside the outlook. Cash tax ramps 21% to 24%; D&amp;A drifts from 4.8% to 4.6% as acquired intangibles roll off; capex carries a ~1.6pp acquisition charge that tapers to 0.6pp. SBC stays ~1.2% of revenue including net-share-settlement taxes. WACC 8%, terminal growth 2.5%, terminal cap 18x.</t>
  </si>
  <si>
    <t xml:space="preserve">Scenario narrative: bull</t>
  </si>
  <si>
    <t xml:space="preserve">PAMA relief is the swing: ACLA litigation or a CMS data-methodology revision moderates the 2027-29 cuts, so Dx grows 5.5-6% organically plus M&amp;A while BLS Central Labs sustains 6-7% on resilient biopharma trial demand. Revenue compounds at ~6.5% through 2028 (the midpoint of the 5-8% outlook), and the margin program reaches the top of the band (~180bps of pre-SBC EBITDA expansion to 19.0% by year 5). The outreach consolidation runway (Labcorp + Quest hold only ~25% of US tests) supports a 13+ deal/yr cadence, charged at ~1.9% of revenue. Same WACC and terminal assumptions as base.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</si>
  <si>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</si>
  <si>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</si>
  <si>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</si>
  <si>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</si>
  <si>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</si>
  <si>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</si>
  <si>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</si>
  <si>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</si>
  <si>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</si>
  <si>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</si>
  <si>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</si>
  <si>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</si>
  <si>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</si>
  <si>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</si>
  <si>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</si>
  <si>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</si>
  <si>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</si>
  <si>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</si>
  <si>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</si>
  <si>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</si>
  <si>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</si>
  <si>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</si>
  <si>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</si>
  <si>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</si>
  <si>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</si>
  <si>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</si>
  <si>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</si>
  <si>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</si>
  <si>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</si>
  <si>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</si>
  <si>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</si>
  <si>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</si>
  <si>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</si>
  <si>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</si>
  <si>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</si>
  <si>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</si>
  <si>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</si>
  <si>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</si>
  <si>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</si>
  <si>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</si>
  <si>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</si>
  <si>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</si>
  <si>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</si>
  <si>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</si>
  <si>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</si>
  <si>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</si>
  <si>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</si>
  <si>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</si>
  <si>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</si>
  <si>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</si>
  <si>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</si>
  <si>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</si>
  <si>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</si>
  <si>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</si>
  <si>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</si>
  <si>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</si>
  <si>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Jun-2026</t>
  </si>
  <si>
    <t xml:space="preserve">Currency / units</t>
  </si>
  <si>
    <t xml:space="preserve">USD millions</t>
  </si>
  <si>
    <t xml:space="preserve">FX rate (model -&gt; quote)</t>
  </si>
  <si>
    <t xml:space="preserve">BEAR</t>
  </si>
  <si>
    <t xml:space="preserve">TTM Jun-2027</t>
  </si>
  <si>
    <t xml:space="preserve">TTM Jun-2028</t>
  </si>
  <si>
    <t xml:space="preserve">TTM Jun-2029</t>
  </si>
  <si>
    <t xml:space="preserve">TTM Jun-2030</t>
  </si>
  <si>
    <t xml:space="preserve">TTM Jun-2031</t>
  </si>
  <si>
    <t xml:space="preserve">TTM Jun-2032</t>
  </si>
  <si>
    <t xml:space="preserve">TTM Jun-2033</t>
  </si>
  <si>
    <t xml:space="preserve">TTM Jun-2034</t>
  </si>
  <si>
    <t xml:space="preserve">TTM Jun-2035</t>
  </si>
  <si>
    <t xml:space="preserve">TTM Jun-2036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</si>
  <si>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</si>
  <si>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</si>
  <si>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</si>
  <si>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</si>
  <si>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</si>
  <si>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</si>
  <si>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</si>
  <si>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</si>
  <si>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</si>
  <si>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</si>
  <si>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</si>
  <si>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</si>
  <si>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</si>
  <si>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</si>
  <si>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LH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</si>
  <si>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</si>
  <si>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</si>
  <si>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</si>
  <si>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</si>
  <si>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</si>
  <si>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</si>
  <si>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</si>
  <si>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</si>
  <si>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</si>
  <si>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</si>
  <si>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</si>
  <si>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</si>
  <si>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</si>
  <si>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</si>
  <si>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</si>
  <si>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</si>
  <si>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</si>
  <si>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</si>
  <si>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</si>
  <si>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</si>
  <si>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</si>
  <si>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</si>
  <si>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</si>
  <si>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</si>
  <si>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</si>
  <si>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</si>
  <si>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</si>
  <si>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</si>
  <si>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</si>
  <si>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</si>
  <si>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LH owner-FCF component DCF: base case (millions, USD)</t>
  </si>
  <si>
    <t xml:space="preserve">LH owner-FCF component DCF: bull case (millions, USD)</t>
  </si>
  <si>
    <t xml:space="preserve">LH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</si>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</sst>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304.6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1977.1</v>
      </c>
      <c r="S2" s="0" t="n">
        <v>51.5</v>
      </c>
      <c r="AA2" s="0" t="s">
        <v>17</v>
      </c>
      <c r="AB2" s="0" t="s">
        <v>14</v>
      </c>
    </row>
    <row r="3" customFormat="false" ht="15" hidden="false" customHeight="false" outlineLevel="0" collapsed="false">
      <c r="A3" s="0" t="s">
        <v>64</v>
      </c>
      <c r="B3" s="0" t="n">
        <v>4068.2</v>
      </c>
      <c r="C3" s="0" t="n">
        <v>2377</v>
      </c>
      <c r="D3" s="0" t="n">
        <v>1691.2</v>
      </c>
      <c r="E3" s="0" t="n">
        <v>41.5712108549236</v>
      </c>
      <c r="F3" s="0" t="n">
        <v>777</v>
      </c>
      <c r="G3" s="0" t="n">
        <v>19.0993559805319</v>
      </c>
      <c r="H3" s="0" t="n">
        <v>939.8</v>
      </c>
      <c r="I3" s="0" t="n">
        <v>476.8</v>
      </c>
      <c r="J3" s="0" t="n">
        <v>11.7201710830343</v>
      </c>
      <c r="K3" s="0" t="n">
        <v>4.08</v>
      </c>
      <c r="L3" s="0" t="n">
        <v>709.7</v>
      </c>
      <c r="M3" s="0" t="n">
        <v>142.6</v>
      </c>
      <c r="N3" s="0" t="n">
        <v>567.1</v>
      </c>
      <c r="O3" s="0" t="n">
        <v>1725.3</v>
      </c>
      <c r="S3" s="0" t="n">
        <v>56.4</v>
      </c>
      <c r="U3" s="0" t="n">
        <v>35.4</v>
      </c>
      <c r="AA3" s="0" t="s">
        <v>17</v>
      </c>
      <c r="AB3" s="0" t="s">
        <v>14</v>
      </c>
    </row>
    <row r="4" customFormat="false" ht="15" hidden="false" customHeight="false" outlineLevel="0" collapsed="false">
      <c r="A4" s="0" t="s">
        <v>65</v>
      </c>
      <c r="B4" s="0" t="n">
        <v>4505.2</v>
      </c>
      <c r="C4" s="0" t="n">
        <v>2631.4</v>
      </c>
      <c r="D4" s="0" t="n">
        <v>1873.8</v>
      </c>
      <c r="E4" s="0" t="n">
        <v>41.5919382047412</v>
      </c>
      <c r="F4" s="0" t="n">
        <v>842.9</v>
      </c>
      <c r="G4" s="0" t="n">
        <v>18.7094912545503</v>
      </c>
      <c r="H4" s="0" t="n">
        <v>1022.6</v>
      </c>
      <c r="I4" s="0" t="n">
        <v>477.8</v>
      </c>
      <c r="J4" s="0" t="n">
        <v>10.6055225073249</v>
      </c>
      <c r="K4" s="0" t="n">
        <v>4.23</v>
      </c>
      <c r="L4" s="0" t="n">
        <v>780.9</v>
      </c>
      <c r="M4" s="0" t="n">
        <v>156.7</v>
      </c>
      <c r="N4" s="0" t="n">
        <v>624.2</v>
      </c>
      <c r="O4" s="0" t="n">
        <v>1688.3</v>
      </c>
      <c r="P4" s="0" t="n">
        <v>4669.5</v>
      </c>
      <c r="Q4" s="0" t="n">
        <v>2859.9</v>
      </c>
      <c r="R4" s="0" t="n">
        <v>1721.3</v>
      </c>
      <c r="S4" s="0" t="n">
        <v>219.7</v>
      </c>
      <c r="T4" s="0" t="n">
        <v>108.2</v>
      </c>
      <c r="U4" s="0" t="n">
        <v>36.2</v>
      </c>
      <c r="AA4" s="0" t="s">
        <v>17</v>
      </c>
      <c r="AB4" s="0" t="s">
        <v>14</v>
      </c>
    </row>
    <row r="5" customFormat="false" ht="15" hidden="false" customHeight="false" outlineLevel="0" collapsed="false">
      <c r="A5" s="0" t="s">
        <v>66</v>
      </c>
      <c r="B5" s="0" t="n">
        <v>4694.7</v>
      </c>
      <c r="C5" s="0" t="n">
        <v>2723.8</v>
      </c>
      <c r="D5" s="0" t="n">
        <v>1970.9</v>
      </c>
      <c r="E5" s="0" t="n">
        <v>41.9813832619763</v>
      </c>
      <c r="F5" s="0" t="n">
        <v>935.9</v>
      </c>
      <c r="G5" s="0" t="n">
        <v>19.9352461286131</v>
      </c>
      <c r="H5" s="0" t="n">
        <v>1131</v>
      </c>
      <c r="I5" s="0" t="n">
        <v>555.6</v>
      </c>
      <c r="J5" s="0" t="n">
        <v>11.8346220205764</v>
      </c>
      <c r="K5" s="0" t="n">
        <v>5.06</v>
      </c>
      <c r="L5" s="0" t="n">
        <v>862.4</v>
      </c>
      <c r="M5" s="0" t="n">
        <v>114.7</v>
      </c>
      <c r="N5" s="0" t="n">
        <v>747.7</v>
      </c>
      <c r="O5" s="0" t="n">
        <v>2106.1</v>
      </c>
      <c r="P5" s="0" t="n">
        <v>4837.8</v>
      </c>
      <c r="Q5" s="0" t="n">
        <v>2731.7</v>
      </c>
      <c r="R5" s="0" t="n">
        <v>1394.4</v>
      </c>
      <c r="S5" s="0" t="n">
        <v>148.5</v>
      </c>
      <c r="T5" s="0" t="n">
        <v>109.1</v>
      </c>
      <c r="U5" s="0" t="n">
        <v>36.4</v>
      </c>
      <c r="AA5" s="0" t="s">
        <v>17</v>
      </c>
      <c r="AB5" s="0" t="s">
        <v>14</v>
      </c>
    </row>
    <row r="6" customFormat="false" ht="15" hidden="false" customHeight="false" outlineLevel="0" collapsed="false">
      <c r="A6" s="0" t="s">
        <v>67</v>
      </c>
      <c r="B6" s="0" t="n">
        <v>5003.9</v>
      </c>
      <c r="C6" s="0" t="n">
        <v>2906.1</v>
      </c>
      <c r="D6" s="0" t="n">
        <v>2097.8</v>
      </c>
      <c r="E6" s="0" t="n">
        <v>41.9232998261356</v>
      </c>
      <c r="F6" s="0" t="n">
        <v>978.8</v>
      </c>
      <c r="G6" s="0" t="n">
        <v>19.5607426207558</v>
      </c>
      <c r="H6" s="0" t="n">
        <v>1182.4</v>
      </c>
      <c r="I6" s="0" t="n">
        <v>571.6</v>
      </c>
      <c r="J6" s="0" t="n">
        <v>11.423089989808</v>
      </c>
      <c r="K6" s="0" t="n">
        <v>5.42</v>
      </c>
      <c r="L6" s="0" t="n">
        <v>883.6</v>
      </c>
      <c r="M6" s="0" t="n">
        <v>126.1</v>
      </c>
      <c r="N6" s="0" t="n">
        <v>757.5</v>
      </c>
      <c r="O6" s="0" t="n">
        <v>2466.3</v>
      </c>
      <c r="P6" s="0" t="n">
        <v>6187.8</v>
      </c>
      <c r="Q6" s="0" t="n">
        <v>3700.9</v>
      </c>
      <c r="R6" s="0" t="n">
        <v>2188.4</v>
      </c>
      <c r="S6" s="0" t="n">
        <v>159.3</v>
      </c>
      <c r="T6" s="0" t="n">
        <v>105.4</v>
      </c>
      <c r="U6" s="0" t="n">
        <v>40</v>
      </c>
      <c r="AA6" s="0" t="s">
        <v>17</v>
      </c>
      <c r="AB6" s="0" t="s">
        <v>14</v>
      </c>
    </row>
    <row r="7" customFormat="false" ht="15" hidden="false" customHeight="false" outlineLevel="0" collapsed="false">
      <c r="A7" s="0" t="s">
        <v>68</v>
      </c>
      <c r="B7" s="0" t="n">
        <v>5542.3</v>
      </c>
      <c r="C7" s="0" t="n">
        <v>3267.6</v>
      </c>
      <c r="D7" s="0" t="n">
        <v>2274.7</v>
      </c>
      <c r="E7" s="0" t="n">
        <v>41.0425274705447</v>
      </c>
      <c r="F7" s="0" t="n">
        <v>948.4</v>
      </c>
      <c r="G7" s="0" t="n">
        <v>17.1120293019144</v>
      </c>
      <c r="H7" s="0" t="n">
        <v>1179.8</v>
      </c>
      <c r="I7" s="0" t="n">
        <v>533.1</v>
      </c>
      <c r="J7" s="0" t="n">
        <v>9.6187503383072</v>
      </c>
      <c r="K7" s="0" t="n">
        <v>5.2</v>
      </c>
      <c r="L7" s="0" t="n">
        <v>855.6</v>
      </c>
      <c r="M7" s="0" t="n">
        <v>145.7</v>
      </c>
      <c r="N7" s="0" t="n">
        <v>709.9</v>
      </c>
      <c r="O7" s="0" t="n">
        <v>2503.5</v>
      </c>
      <c r="P7" s="0" t="n">
        <v>6111.8</v>
      </c>
      <c r="Q7" s="0" t="n">
        <v>3588.1</v>
      </c>
      <c r="R7" s="0" t="n">
        <v>2221</v>
      </c>
      <c r="S7" s="0" t="n">
        <v>159.3</v>
      </c>
      <c r="T7" s="0" t="n">
        <v>101.8</v>
      </c>
      <c r="U7" s="0" t="n">
        <v>48.9</v>
      </c>
      <c r="AA7" s="0" t="s">
        <v>17</v>
      </c>
      <c r="AB7" s="0" t="s">
        <v>14</v>
      </c>
    </row>
    <row r="8" customFormat="false" ht="15" hidden="false" customHeight="false" outlineLevel="0" collapsed="false">
      <c r="A8" s="0" t="s">
        <v>69</v>
      </c>
      <c r="B8" s="0" t="n">
        <v>5671.4</v>
      </c>
      <c r="C8" s="0" t="n">
        <v>3421.7</v>
      </c>
      <c r="D8" s="0" t="n">
        <v>2249.7</v>
      </c>
      <c r="E8" s="0" t="n">
        <v>39.667454244102</v>
      </c>
      <c r="F8" s="0" t="n">
        <v>1023.5</v>
      </c>
      <c r="G8" s="0" t="n">
        <v>18.0466904115386</v>
      </c>
      <c r="H8" s="0" t="n">
        <v>1253.3</v>
      </c>
      <c r="I8" s="0" t="n">
        <v>584.8</v>
      </c>
      <c r="J8" s="0" t="n">
        <v>10.3113869591283</v>
      </c>
      <c r="K8" s="0" t="n">
        <v>6.09</v>
      </c>
      <c r="L8" s="0" t="n">
        <v>841.4</v>
      </c>
      <c r="M8" s="0" t="n">
        <v>173.8</v>
      </c>
      <c r="N8" s="0" t="n">
        <v>667.6</v>
      </c>
      <c r="O8" s="0" t="n">
        <v>4945.1</v>
      </c>
      <c r="P8" s="0" t="n">
        <v>6795</v>
      </c>
      <c r="Q8" s="0" t="n">
        <v>4056.9</v>
      </c>
      <c r="R8" s="0" t="n">
        <v>2655</v>
      </c>
      <c r="S8" s="0" t="n">
        <v>404</v>
      </c>
      <c r="T8" s="0" t="n">
        <v>97.4</v>
      </c>
      <c r="U8" s="0" t="n">
        <v>40.7</v>
      </c>
      <c r="AA8" s="0" t="s">
        <v>17</v>
      </c>
      <c r="AB8" s="0" t="s">
        <v>14</v>
      </c>
    </row>
    <row r="9" customFormat="false" ht="15" hidden="false" customHeight="false" outlineLevel="0" collapsed="false">
      <c r="A9" s="0" t="s">
        <v>70</v>
      </c>
      <c r="B9" s="0" t="n">
        <v>5808.3</v>
      </c>
      <c r="C9" s="0" t="n">
        <v>3585.1</v>
      </c>
      <c r="D9" s="0" t="n">
        <v>2223.2</v>
      </c>
      <c r="E9" s="0" t="n">
        <v>38.2762598350636</v>
      </c>
      <c r="F9" s="0" t="n">
        <v>990.9</v>
      </c>
      <c r="G9" s="0" t="n">
        <v>17.0600692113011</v>
      </c>
      <c r="H9" s="0" t="n">
        <v>1221</v>
      </c>
      <c r="I9" s="0" t="n">
        <v>575.4</v>
      </c>
      <c r="J9" s="0" t="n">
        <v>9.90651309333195</v>
      </c>
      <c r="K9" s="0" t="n">
        <v>6.36</v>
      </c>
      <c r="L9" s="0" t="n">
        <v>818.7</v>
      </c>
      <c r="M9" s="0" t="n">
        <v>202.2</v>
      </c>
      <c r="N9" s="0" t="n">
        <v>616.5</v>
      </c>
      <c r="O9" s="0" t="n">
        <v>2491.3</v>
      </c>
      <c r="P9" s="0" t="n">
        <v>6965.9</v>
      </c>
      <c r="Q9" s="0" t="n">
        <v>4455.2</v>
      </c>
      <c r="R9" s="0" t="n">
        <v>3128.3</v>
      </c>
      <c r="S9" s="0" t="n">
        <v>404</v>
      </c>
      <c r="T9" s="0" t="n">
        <v>91.8</v>
      </c>
      <c r="U9" s="0" t="n">
        <v>37.3</v>
      </c>
      <c r="AA9" s="0" t="s">
        <v>17</v>
      </c>
      <c r="AB9" s="0" t="s">
        <v>14</v>
      </c>
    </row>
    <row r="10" customFormat="false" ht="15" hidden="false" customHeight="false" outlineLevel="0" collapsed="false">
      <c r="A10" s="0" t="s">
        <v>71</v>
      </c>
      <c r="B10" s="0" t="n">
        <v>6011.6</v>
      </c>
      <c r="C10" s="0" t="n">
        <v>3808.5</v>
      </c>
      <c r="D10" s="0" t="n">
        <v>2203.1</v>
      </c>
      <c r="E10" s="0" t="n">
        <v>36.6474815356976</v>
      </c>
      <c r="F10" s="0" t="n">
        <v>910.4</v>
      </c>
      <c r="G10" s="0" t="n">
        <v>15.1440548273338</v>
      </c>
      <c r="H10" s="0" t="n">
        <v>1155.9</v>
      </c>
      <c r="I10" s="0" t="n">
        <v>512.6</v>
      </c>
      <c r="J10" s="0" t="n">
        <v>8.52684809368554</v>
      </c>
      <c r="K10" s="0" t="n">
        <v>6.03</v>
      </c>
      <c r="L10" s="0" t="n">
        <v>739</v>
      </c>
      <c r="M10" s="0" t="n">
        <v>203.5</v>
      </c>
      <c r="N10" s="0" t="n">
        <v>535.5</v>
      </c>
      <c r="O10" s="0" t="n">
        <v>2820.5</v>
      </c>
      <c r="P10" s="0" t="n">
        <v>7301.8</v>
      </c>
      <c r="Q10" s="0" t="n">
        <v>4463.6</v>
      </c>
      <c r="R10" s="0" t="n">
        <v>3403.9</v>
      </c>
      <c r="S10" s="0" t="n">
        <v>580</v>
      </c>
      <c r="T10" s="0" t="n">
        <v>86.4</v>
      </c>
      <c r="U10" s="0" t="n">
        <v>45.7</v>
      </c>
      <c r="AA10" s="0" t="s">
        <v>17</v>
      </c>
      <c r="AB10" s="0" t="s">
        <v>14</v>
      </c>
    </row>
    <row r="11" customFormat="false" ht="15" hidden="false" customHeight="false" outlineLevel="0" collapsed="false">
      <c r="A11" s="0" t="s">
        <v>72</v>
      </c>
      <c r="B11" s="0" t="n">
        <v>8680.1</v>
      </c>
      <c r="C11" s="0" t="n">
        <v>5776.8</v>
      </c>
      <c r="D11" s="0" t="n">
        <v>2903.3</v>
      </c>
      <c r="E11" s="0" t="n">
        <v>33.4477713390399</v>
      </c>
      <c r="F11" s="0" t="n">
        <v>996.8</v>
      </c>
      <c r="G11" s="0" t="n">
        <v>11.4837386666052</v>
      </c>
      <c r="H11" s="0" t="n">
        <v>1454.6</v>
      </c>
      <c r="I11" s="0" t="n">
        <v>438.7</v>
      </c>
      <c r="J11" s="0" t="n">
        <v>5.05408923860324</v>
      </c>
      <c r="K11" s="0" t="n">
        <v>4.43</v>
      </c>
      <c r="L11" s="0" t="n">
        <v>982.4</v>
      </c>
      <c r="M11" s="0" t="n">
        <v>255.8</v>
      </c>
      <c r="N11" s="0" t="n">
        <v>726.6</v>
      </c>
      <c r="O11" s="0" t="n">
        <v>4945.1</v>
      </c>
      <c r="P11" s="0" t="n">
        <v>14104.7</v>
      </c>
      <c r="Q11" s="0" t="n">
        <v>9144.7</v>
      </c>
      <c r="R11" s="0" t="n">
        <v>6892</v>
      </c>
      <c r="S11" s="0" t="n">
        <v>716.4</v>
      </c>
      <c r="T11" s="0" t="n">
        <v>101.3</v>
      </c>
      <c r="U11" s="0" t="n">
        <v>102.1</v>
      </c>
      <c r="AA11" s="0" t="s">
        <v>17</v>
      </c>
      <c r="AB11" s="0" t="s">
        <v>14</v>
      </c>
    </row>
    <row r="12" customFormat="false" ht="15" hidden="false" customHeight="false" outlineLevel="0" collapsed="false">
      <c r="A12" s="0" t="s">
        <v>73</v>
      </c>
      <c r="B12" s="0" t="n">
        <v>9552.9</v>
      </c>
      <c r="C12" s="0" t="n">
        <v>6698.9</v>
      </c>
      <c r="D12" s="0" t="n">
        <v>2854</v>
      </c>
      <c r="E12" s="0" t="n">
        <v>29.8757445383077</v>
      </c>
      <c r="F12" s="0" t="n">
        <v>1270.6</v>
      </c>
      <c r="G12" s="0" t="n">
        <v>13.3006730940343</v>
      </c>
      <c r="H12" s="0" t="n">
        <v>1769.8</v>
      </c>
      <c r="I12" s="0" t="n">
        <v>712.9</v>
      </c>
      <c r="J12" s="0" t="n">
        <v>7.46265531932712</v>
      </c>
      <c r="K12" s="0" t="n">
        <v>6.94</v>
      </c>
      <c r="L12" s="0" t="n">
        <v>1197.1</v>
      </c>
      <c r="M12" s="0" t="n">
        <v>278.9</v>
      </c>
      <c r="N12" s="0" t="n">
        <v>918.2</v>
      </c>
      <c r="O12" s="0" t="n">
        <v>5518.2</v>
      </c>
      <c r="P12" s="0" t="n">
        <v>14247</v>
      </c>
      <c r="Q12" s="0" t="n">
        <v>8726</v>
      </c>
      <c r="R12" s="0" t="n">
        <v>6445.5</v>
      </c>
      <c r="S12" s="0" t="n">
        <v>433.6</v>
      </c>
      <c r="T12" s="0" t="n">
        <v>104.3</v>
      </c>
      <c r="U12" s="0" t="n">
        <v>109.6</v>
      </c>
      <c r="AA12" s="0" t="s">
        <v>17</v>
      </c>
      <c r="AB12" s="0" t="s">
        <v>14</v>
      </c>
    </row>
    <row r="13" customFormat="false" ht="15" hidden="false" customHeight="false" outlineLevel="0" collapsed="false">
      <c r="A13" s="0" t="s">
        <v>74</v>
      </c>
      <c r="B13" s="0" t="n">
        <v>10308</v>
      </c>
      <c r="C13" s="0" t="n">
        <v>7216.2</v>
      </c>
      <c r="D13" s="0" t="n">
        <v>3091.8</v>
      </c>
      <c r="E13" s="0" t="n">
        <v>29.9941792782305</v>
      </c>
      <c r="F13" s="0" t="n">
        <v>1305.2</v>
      </c>
      <c r="G13" s="0" t="n">
        <v>12.6620100892511</v>
      </c>
      <c r="H13" s="0" t="n">
        <v>1838.4</v>
      </c>
      <c r="I13" s="0" t="n">
        <v>1232.9</v>
      </c>
      <c r="J13" s="0" t="n">
        <v>11.9606131160264</v>
      </c>
      <c r="K13" s="0" t="n">
        <v>11.99</v>
      </c>
      <c r="L13" s="0" t="n">
        <v>1498.1</v>
      </c>
      <c r="M13" s="0" t="n">
        <v>312.9</v>
      </c>
      <c r="N13" s="0" t="n">
        <v>1185.2</v>
      </c>
      <c r="O13" s="0" t="n">
        <v>6804.1</v>
      </c>
      <c r="P13" s="0" t="n">
        <v>16673</v>
      </c>
      <c r="Q13" s="0" t="n">
        <v>9848.1</v>
      </c>
      <c r="R13" s="0" t="n">
        <v>7231.3</v>
      </c>
      <c r="S13" s="0" t="n">
        <v>316.6</v>
      </c>
      <c r="T13" s="0" t="n">
        <v>103.9</v>
      </c>
      <c r="U13" s="0" t="n">
        <v>109.7</v>
      </c>
      <c r="AA13" s="0" t="s">
        <v>17</v>
      </c>
      <c r="AB13" s="0" t="s">
        <v>14</v>
      </c>
    </row>
    <row r="14" customFormat="false" ht="15" hidden="false" customHeight="false" outlineLevel="0" collapsed="false">
      <c r="A14" s="0" t="s">
        <v>75</v>
      </c>
      <c r="B14" s="0" t="n">
        <v>11333.4</v>
      </c>
      <c r="C14" s="0" t="n">
        <v>8157</v>
      </c>
      <c r="D14" s="0" t="n">
        <v>3176.4</v>
      </c>
      <c r="E14" s="0" t="n">
        <v>28.0268939594473</v>
      </c>
      <c r="F14" s="0" t="n">
        <v>1325.7</v>
      </c>
      <c r="G14" s="0" t="n">
        <v>11.6972841336227</v>
      </c>
      <c r="H14" s="0" t="n">
        <v>1877.8</v>
      </c>
      <c r="I14" s="0" t="n">
        <v>883.9</v>
      </c>
      <c r="J14" s="0" t="n">
        <v>7.79907177016606</v>
      </c>
      <c r="K14" s="0" t="n">
        <v>8.71</v>
      </c>
      <c r="L14" s="0" t="n">
        <v>1305.4</v>
      </c>
      <c r="M14" s="0" t="n">
        <v>379.8</v>
      </c>
      <c r="N14" s="0" t="n">
        <v>925.6</v>
      </c>
      <c r="O14" s="0" t="n">
        <v>7048.3</v>
      </c>
      <c r="P14" s="0" t="n">
        <v>16185.3</v>
      </c>
      <c r="Q14" s="0" t="n">
        <v>9194.8</v>
      </c>
      <c r="R14" s="0" t="n">
        <v>6122.3</v>
      </c>
      <c r="S14" s="0" t="n">
        <v>426.8</v>
      </c>
      <c r="T14" s="0" t="n">
        <v>102.6</v>
      </c>
      <c r="U14" s="0" t="n">
        <v>91.6</v>
      </c>
      <c r="AA14" s="0" t="s">
        <v>17</v>
      </c>
      <c r="AB14" s="0" t="s">
        <v>14</v>
      </c>
    </row>
    <row r="15" customFormat="false" ht="15" hidden="false" customHeight="false" outlineLevel="0" collapsed="false">
      <c r="A15" s="0" t="s">
        <v>76</v>
      </c>
      <c r="B15" s="0" t="n">
        <v>11554.8</v>
      </c>
      <c r="C15" s="0" t="n">
        <v>8302.3</v>
      </c>
      <c r="D15" s="0" t="n">
        <v>3252.5</v>
      </c>
      <c r="E15" s="0" t="n">
        <v>28.1484750926022</v>
      </c>
      <c r="F15" s="0" t="n">
        <v>1330.2</v>
      </c>
      <c r="G15" s="0" t="n">
        <v>11.5120988680029</v>
      </c>
      <c r="H15" s="0" t="n">
        <v>1907.4</v>
      </c>
      <c r="I15" s="0" t="n">
        <v>824.9</v>
      </c>
      <c r="J15" s="0" t="n">
        <v>7.13902447467719</v>
      </c>
      <c r="K15" s="0" t="n">
        <v>8.42</v>
      </c>
      <c r="L15" s="0" t="n">
        <v>1444.7</v>
      </c>
      <c r="M15" s="0" t="n">
        <v>400.2</v>
      </c>
      <c r="N15" s="0" t="n">
        <v>1044.5</v>
      </c>
      <c r="O15" s="0" t="n">
        <v>7643.9</v>
      </c>
      <c r="P15" s="0" t="n">
        <v>18046.4</v>
      </c>
      <c r="Q15" s="0" t="n">
        <v>10459.3</v>
      </c>
      <c r="R15" s="0" t="n">
        <v>6205</v>
      </c>
      <c r="S15" s="0" t="n">
        <v>337.5</v>
      </c>
      <c r="T15" s="0" t="n">
        <v>98.6</v>
      </c>
      <c r="U15" s="0" t="n">
        <v>107</v>
      </c>
      <c r="AA15" s="0" t="s">
        <v>17</v>
      </c>
      <c r="AB15" s="0" t="s">
        <v>14</v>
      </c>
    </row>
    <row r="16" customFormat="false" ht="15" hidden="false" customHeight="false" outlineLevel="0" collapsed="false">
      <c r="A16" s="0" t="s">
        <v>77</v>
      </c>
      <c r="B16" s="0" t="n">
        <v>13978.5</v>
      </c>
      <c r="C16" s="0" t="n">
        <v>9025.7</v>
      </c>
      <c r="D16" s="0" t="n">
        <v>4952.8</v>
      </c>
      <c r="E16" s="0" t="n">
        <v>35.4315556032478</v>
      </c>
      <c r="F16" s="0" t="n">
        <v>2445.4</v>
      </c>
      <c r="G16" s="0" t="n">
        <v>17.4940086561505</v>
      </c>
      <c r="H16" s="0" t="n">
        <v>3070.1</v>
      </c>
      <c r="I16" s="0" t="n">
        <v>1557</v>
      </c>
      <c r="J16" s="0" t="n">
        <v>11.1385341774869</v>
      </c>
      <c r="K16" s="0" t="n">
        <v>15.99</v>
      </c>
      <c r="L16" s="0" t="n">
        <v>2135.3</v>
      </c>
      <c r="M16" s="0" t="n">
        <v>381.7</v>
      </c>
      <c r="N16" s="0" t="n">
        <v>1753.6</v>
      </c>
      <c r="O16" s="0" t="n">
        <v>9436.6</v>
      </c>
      <c r="P16" s="0" t="n">
        <v>20071.7</v>
      </c>
      <c r="Q16" s="0" t="n">
        <v>10614.4</v>
      </c>
      <c r="R16" s="0" t="n">
        <v>5795.7</v>
      </c>
      <c r="S16" s="0" t="n">
        <v>1320.8</v>
      </c>
      <c r="T16" s="0" t="n">
        <v>98</v>
      </c>
      <c r="U16" s="0" t="n">
        <v>111.7</v>
      </c>
      <c r="AA16" s="0" t="s">
        <v>17</v>
      </c>
      <c r="AB16" s="0" t="s">
        <v>14</v>
      </c>
    </row>
    <row r="17" customFormat="false" ht="15" hidden="false" customHeight="false" outlineLevel="0" collapsed="false">
      <c r="A17" s="0" t="s">
        <v>78</v>
      </c>
      <c r="B17" s="0" t="n">
        <v>13136.1</v>
      </c>
      <c r="C17" s="0" t="n">
        <v>8143.7</v>
      </c>
      <c r="D17" s="0" t="n">
        <v>4992.4</v>
      </c>
      <c r="E17" s="0" t="n">
        <v>38.005191799697</v>
      </c>
      <c r="F17" s="0" t="n">
        <v>3048.6</v>
      </c>
      <c r="G17" s="0" t="n">
        <v>23.2078014022427</v>
      </c>
      <c r="H17" s="0" t="n">
        <v>3625.6</v>
      </c>
      <c r="I17" s="0" t="n">
        <v>2379.5</v>
      </c>
      <c r="J17" s="0" t="n">
        <v>18.1142043681154</v>
      </c>
      <c r="K17" s="0" t="n">
        <v>24.6</v>
      </c>
      <c r="L17" s="0" t="n">
        <v>3109.6</v>
      </c>
      <c r="M17" s="0" t="n">
        <v>421.5</v>
      </c>
      <c r="N17" s="0" t="n">
        <v>2688.1</v>
      </c>
      <c r="O17" s="0" t="n">
        <v>10273.4</v>
      </c>
      <c r="P17" s="0" t="n">
        <v>20385.4</v>
      </c>
      <c r="Q17" s="0" t="n">
        <v>10091.4</v>
      </c>
      <c r="R17" s="0" t="n">
        <v>5418</v>
      </c>
      <c r="S17" s="0" t="n">
        <v>1472.7</v>
      </c>
      <c r="T17" s="0" t="n">
        <v>93.1</v>
      </c>
      <c r="U17" s="0" t="n">
        <v>132.9</v>
      </c>
      <c r="AA17" s="0" t="s">
        <v>17</v>
      </c>
      <c r="AB17" s="0" t="s">
        <v>14</v>
      </c>
    </row>
    <row r="18" customFormat="false" ht="15" hidden="false" customHeight="false" outlineLevel="0" collapsed="false">
      <c r="A18" s="0" t="s">
        <v>79</v>
      </c>
      <c r="B18" s="0" t="n">
        <v>11863.9</v>
      </c>
      <c r="C18" s="0" t="n">
        <v>8155</v>
      </c>
      <c r="D18" s="0" t="n">
        <v>3708.9</v>
      </c>
      <c r="E18" s="0" t="n">
        <v>31.2620639081584</v>
      </c>
      <c r="F18" s="0" t="n">
        <v>1436.5</v>
      </c>
      <c r="G18" s="0" t="n">
        <v>12.1081600485507</v>
      </c>
      <c r="H18" s="0" t="n">
        <v>1973.7</v>
      </c>
      <c r="I18" s="0" t="n">
        <v>1280.6</v>
      </c>
      <c r="J18" s="0" t="n">
        <v>10.7940896332572</v>
      </c>
      <c r="K18" s="0" t="n">
        <v>14.05</v>
      </c>
      <c r="L18" s="0" t="n">
        <v>1955.9</v>
      </c>
      <c r="M18" s="0" t="n">
        <v>429.3</v>
      </c>
      <c r="N18" s="0" t="n">
        <v>1526.6</v>
      </c>
      <c r="O18" s="0" t="n">
        <v>10096.6</v>
      </c>
      <c r="P18" s="0" t="n">
        <v>20155.1</v>
      </c>
      <c r="Q18" s="0" t="n">
        <v>10039.6</v>
      </c>
      <c r="R18" s="0" t="n">
        <v>5340.1</v>
      </c>
      <c r="S18" s="0" t="n">
        <v>320.6</v>
      </c>
      <c r="T18" s="0" t="n">
        <v>88.2</v>
      </c>
      <c r="U18" s="0" t="n">
        <v>116.8</v>
      </c>
      <c r="AA18" s="0" t="s">
        <v>17</v>
      </c>
      <c r="AB18" s="0" t="s">
        <v>14</v>
      </c>
    </row>
    <row r="19" customFormat="false" ht="15" hidden="false" customHeight="false" outlineLevel="0" collapsed="false">
      <c r="A19" s="0" t="s">
        <v>80</v>
      </c>
      <c r="B19" s="0" t="n">
        <v>12161.6</v>
      </c>
      <c r="C19" s="0" t="n">
        <v>8796.7</v>
      </c>
      <c r="D19" s="0" t="n">
        <v>3364.9</v>
      </c>
      <c r="E19" s="0" t="n">
        <v>27.6682344428365</v>
      </c>
      <c r="F19" s="0" t="n">
        <v>725.6</v>
      </c>
      <c r="G19" s="0" t="n">
        <v>5.96632022102355</v>
      </c>
      <c r="H19" s="0" t="n">
        <v>1302.9</v>
      </c>
      <c r="I19" s="0" t="n">
        <v>419.2</v>
      </c>
      <c r="J19" s="0" t="n">
        <v>3.4469148796211</v>
      </c>
      <c r="K19" s="0" t="n">
        <v>4.8</v>
      </c>
      <c r="L19" s="0" t="n">
        <v>1327.7</v>
      </c>
      <c r="M19" s="0" t="n">
        <v>453.6</v>
      </c>
      <c r="N19" s="0" t="n">
        <v>874.1</v>
      </c>
      <c r="O19" s="0" t="n">
        <v>7875</v>
      </c>
      <c r="P19" s="0" t="n">
        <v>16725.1</v>
      </c>
      <c r="Q19" s="0" t="n">
        <v>8834.6</v>
      </c>
      <c r="R19" s="0" t="n">
        <v>5054.5</v>
      </c>
      <c r="S19" s="0" t="n">
        <v>536.8</v>
      </c>
      <c r="T19" s="0" t="n">
        <v>87.6</v>
      </c>
      <c r="U19" s="0" t="n">
        <v>128.7</v>
      </c>
      <c r="AA19" s="0" t="s">
        <v>17</v>
      </c>
      <c r="AB19" s="0" t="s">
        <v>14</v>
      </c>
    </row>
    <row r="20" customFormat="false" ht="15" hidden="false" customHeight="false" outlineLevel="0" collapsed="false">
      <c r="A20" s="0" t="s">
        <v>81</v>
      </c>
      <c r="B20" s="0" t="n">
        <v>13008.9</v>
      </c>
      <c r="C20" s="0" t="n">
        <v>9384.5</v>
      </c>
      <c r="D20" s="0" t="n">
        <v>3624.4</v>
      </c>
      <c r="E20" s="0" t="n">
        <v>27.8609259814435</v>
      </c>
      <c r="F20" s="0" t="n">
        <v>1086.7</v>
      </c>
      <c r="G20" s="0" t="n">
        <v>8.35351182651877</v>
      </c>
      <c r="H20" s="0" t="n">
        <v>1730.2</v>
      </c>
      <c r="I20" s="0" t="n">
        <v>747.1</v>
      </c>
      <c r="J20" s="0" t="n">
        <v>5.74299133670026</v>
      </c>
      <c r="K20" s="0" t="n">
        <v>8.89</v>
      </c>
      <c r="L20" s="0" t="n">
        <v>1585.8</v>
      </c>
      <c r="M20" s="0" t="n">
        <v>489.9</v>
      </c>
      <c r="N20" s="0" t="n">
        <v>1095.9</v>
      </c>
      <c r="O20" s="0" t="n">
        <v>8052.2</v>
      </c>
      <c r="P20" s="0" t="n">
        <v>18379</v>
      </c>
      <c r="Q20" s="0" t="n">
        <v>10312.5</v>
      </c>
      <c r="R20" s="0" t="n">
        <v>6331.5</v>
      </c>
      <c r="S20" s="0" t="n">
        <v>1518.7</v>
      </c>
      <c r="T20" s="0" t="n">
        <v>84.4</v>
      </c>
      <c r="U20" s="0" t="n">
        <v>116.7</v>
      </c>
      <c r="AA20" s="0" t="s">
        <v>17</v>
      </c>
      <c r="AB20" s="0" t="s">
        <v>14</v>
      </c>
    </row>
    <row r="21" customFormat="false" ht="15" hidden="false" customHeight="false" outlineLevel="0" collapsed="false">
      <c r="A21" s="0" t="s">
        <v>82</v>
      </c>
      <c r="B21" s="0" t="n">
        <v>13951.7</v>
      </c>
      <c r="C21" s="0" t="n">
        <v>9939.2</v>
      </c>
      <c r="D21" s="0" t="n">
        <v>4012.5</v>
      </c>
      <c r="E21" s="0" t="n">
        <v>28.759936065139</v>
      </c>
      <c r="F21" s="0" t="n">
        <v>1384.7</v>
      </c>
      <c r="G21" s="0" t="n">
        <v>9.92495538178143</v>
      </c>
      <c r="H21" s="0" t="n">
        <v>2065.8</v>
      </c>
      <c r="I21" s="0" t="n">
        <v>877.7</v>
      </c>
      <c r="J21" s="0" t="n">
        <v>6.29098962850405</v>
      </c>
      <c r="K21" s="0" t="n">
        <v>10.54</v>
      </c>
      <c r="L21" s="0" t="n">
        <v>1640.5</v>
      </c>
      <c r="M21" s="0" t="n">
        <v>434.5</v>
      </c>
      <c r="N21" s="0" t="n">
        <v>1206</v>
      </c>
      <c r="O21" s="0" t="n">
        <v>8619.8</v>
      </c>
      <c r="P21" s="0" t="n">
        <v>18392.7</v>
      </c>
      <c r="Q21" s="0" t="n">
        <v>9756</v>
      </c>
      <c r="R21" s="0" t="n">
        <v>5584.7</v>
      </c>
      <c r="S21" s="0" t="n">
        <v>532.3</v>
      </c>
      <c r="T21" s="0" t="n">
        <v>83.8</v>
      </c>
      <c r="U21" s="0" t="n">
        <v>125.8</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304.6</v>
      </c>
    </row>
    <row r="3" customFormat="false" ht="15" hidden="false" customHeight="false" outlineLevel="0" collapsed="false">
      <c r="A3" s="0" t="s">
        <v>86</v>
      </c>
      <c r="B3" s="3" t="n">
        <v>82</v>
      </c>
    </row>
    <row r="4" customFormat="false" ht="15" hidden="false" customHeight="false" outlineLevel="0" collapsed="false">
      <c r="A4" s="0" t="s">
        <v>87</v>
      </c>
      <c r="B4" s="3" t="n">
        <v>5716.7</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14348</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4.5</v>
      </c>
      <c r="D13" s="3" t="n">
        <v>2.5</v>
      </c>
      <c r="E13" s="3" t="n">
        <v>2</v>
      </c>
      <c r="F13" s="3" t="n">
        <v>2</v>
      </c>
      <c r="G13" s="3" t="n">
        <v>2.5</v>
      </c>
      <c r="H13" s="3" t="n">
        <v>2.5</v>
      </c>
      <c r="I13" s="3" t="n">
        <v>2.5</v>
      </c>
      <c r="J13" s="3" t="n">
        <v>2</v>
      </c>
      <c r="K13" s="3" t="n">
        <v>2</v>
      </c>
      <c r="L13" s="3" t="n">
        <v>2</v>
      </c>
    </row>
    <row r="14" customFormat="false" ht="15" hidden="false" customHeight="false" outlineLevel="0" collapsed="false">
      <c r="A14" s="0" t="s">
        <v>108</v>
      </c>
      <c r="C14" s="3" t="n">
        <v>17</v>
      </c>
      <c r="D14" s="3" t="n">
        <v>16.6</v>
      </c>
      <c r="E14" s="3" t="n">
        <v>16.3</v>
      </c>
      <c r="F14" s="3" t="n">
        <v>16</v>
      </c>
      <c r="G14" s="3" t="n">
        <v>16</v>
      </c>
      <c r="H14" s="3" t="n">
        <v>16.1</v>
      </c>
      <c r="I14" s="3" t="n">
        <v>16.2</v>
      </c>
      <c r="J14" s="3" t="n">
        <v>16.2</v>
      </c>
      <c r="K14" s="3" t="n">
        <v>16.2</v>
      </c>
      <c r="L14" s="3" t="n">
        <v>16.2</v>
      </c>
    </row>
    <row r="15" customFormat="false" ht="15" hidden="false" customHeight="false" outlineLevel="0" collapsed="false">
      <c r="A15" s="0" t="s">
        <v>109</v>
      </c>
      <c r="C15" s="3" t="n">
        <v>1.2</v>
      </c>
      <c r="D15" s="3" t="n">
        <v>1.2</v>
      </c>
      <c r="E15" s="3" t="n">
        <v>1.2</v>
      </c>
      <c r="F15" s="3" t="n">
        <v>1.2</v>
      </c>
      <c r="G15" s="3" t="n">
        <v>1.2</v>
      </c>
      <c r="H15" s="3" t="n">
        <v>1.2</v>
      </c>
      <c r="I15" s="3" t="n">
        <v>1.2</v>
      </c>
      <c r="J15" s="3" t="n">
        <v>1.2</v>
      </c>
      <c r="K15" s="3" t="n">
        <v>1.2</v>
      </c>
      <c r="L15" s="3" t="n">
        <v>1.2</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4.8</v>
      </c>
      <c r="D17" s="3" t="n">
        <v>4.8</v>
      </c>
      <c r="E17" s="3" t="n">
        <v>4.7</v>
      </c>
      <c r="F17" s="3" t="n">
        <v>4.7</v>
      </c>
      <c r="G17" s="3" t="n">
        <v>4.6</v>
      </c>
      <c r="H17" s="3" t="n">
        <v>4.6</v>
      </c>
      <c r="I17" s="3" t="n">
        <v>4.6</v>
      </c>
      <c r="J17" s="3" t="n">
        <v>4.6</v>
      </c>
      <c r="K17" s="3" t="n">
        <v>4.6</v>
      </c>
      <c r="L17" s="3" t="n">
        <v>4.6</v>
      </c>
    </row>
    <row r="18" customFormat="false" ht="15" hidden="false" customHeight="false" outlineLevel="0" collapsed="false">
      <c r="A18" s="0" t="s">
        <v>112</v>
      </c>
      <c r="C18" s="3" t="n">
        <v>4.4</v>
      </c>
      <c r="D18" s="3" t="n">
        <v>4.2</v>
      </c>
      <c r="E18" s="3" t="n">
        <v>4</v>
      </c>
      <c r="F18" s="3" t="n">
        <v>4</v>
      </c>
      <c r="G18" s="3" t="n">
        <v>3.9</v>
      </c>
      <c r="H18" s="3" t="n">
        <v>3.8</v>
      </c>
      <c r="I18" s="3" t="n">
        <v>3.8</v>
      </c>
      <c r="J18" s="3" t="n">
        <v>3.7</v>
      </c>
      <c r="K18" s="3" t="n">
        <v>3.6</v>
      </c>
      <c r="L18" s="3" t="n">
        <v>3.6</v>
      </c>
    </row>
    <row r="19" customFormat="false" ht="15" hidden="false" customHeight="false" outlineLevel="0" collapsed="false">
      <c r="A19" s="0" t="s">
        <v>113</v>
      </c>
      <c r="C19" s="3" t="n">
        <v>22</v>
      </c>
      <c r="D19" s="3" t="n">
        <v>23</v>
      </c>
      <c r="E19" s="3" t="n">
        <v>24</v>
      </c>
      <c r="F19" s="3" t="n">
        <v>24</v>
      </c>
      <c r="G19" s="3" t="n">
        <v>24</v>
      </c>
      <c r="H19" s="3" t="n">
        <v>24</v>
      </c>
      <c r="I19" s="3" t="n">
        <v>24</v>
      </c>
      <c r="J19" s="3" t="n">
        <v>24</v>
      </c>
      <c r="K19" s="3" t="n">
        <v>24</v>
      </c>
      <c r="L19" s="3" t="n">
        <v>24</v>
      </c>
    </row>
    <row r="20" customFormat="false" ht="15" hidden="false" customHeight="false" outlineLevel="0" collapsed="false">
      <c r="A20" s="0" t="s">
        <v>114</v>
      </c>
      <c r="B20" s="3" t="n">
        <v>8</v>
      </c>
    </row>
    <row r="21" customFormat="false" ht="15" hidden="false" customHeight="false" outlineLevel="0" collapsed="false">
      <c r="A21" s="0" t="s">
        <v>115</v>
      </c>
      <c r="B21" s="3" t="n">
        <v>2</v>
      </c>
    </row>
    <row r="22" customFormat="false" ht="15" hidden="false" customHeight="false" outlineLevel="0" collapsed="false">
      <c r="A22" s="0" t="s">
        <v>116</v>
      </c>
      <c r="B22" s="3" t="n">
        <v>18</v>
      </c>
    </row>
    <row r="23" customFormat="false" ht="15" hidden="false" customHeight="false" outlineLevel="0" collapsed="false">
      <c r="A23" s="0" t="s">
        <v>117</v>
      </c>
      <c r="B23" s="3" t="n">
        <v>-8</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5.7</v>
      </c>
      <c r="D27" s="3" t="n">
        <v>5.5</v>
      </c>
      <c r="E27" s="3" t="n">
        <v>5</v>
      </c>
      <c r="F27" s="3" t="n">
        <v>4.5</v>
      </c>
      <c r="G27" s="3" t="n">
        <v>4</v>
      </c>
      <c r="H27" s="3" t="n">
        <v>3.5</v>
      </c>
      <c r="I27" s="3" t="n">
        <v>3</v>
      </c>
      <c r="J27" s="3" t="n">
        <v>3</v>
      </c>
      <c r="K27" s="3" t="n">
        <v>2.5</v>
      </c>
      <c r="L27" s="3" t="n">
        <v>2.5</v>
      </c>
    </row>
    <row r="28" customFormat="false" ht="15" hidden="false" customHeight="false" outlineLevel="0" collapsed="false">
      <c r="A28" s="0" t="s">
        <v>108</v>
      </c>
      <c r="C28" s="3" t="n">
        <v>17.2</v>
      </c>
      <c r="D28" s="3" t="n">
        <v>17.5</v>
      </c>
      <c r="E28" s="3" t="n">
        <v>17.7</v>
      </c>
      <c r="F28" s="3" t="n">
        <v>18</v>
      </c>
      <c r="G28" s="3" t="n">
        <v>18.1</v>
      </c>
      <c r="H28" s="3" t="n">
        <v>18.1</v>
      </c>
      <c r="I28" s="3" t="n">
        <v>18.1</v>
      </c>
      <c r="J28" s="3" t="n">
        <v>18.1</v>
      </c>
      <c r="K28" s="3" t="n">
        <v>18.1</v>
      </c>
      <c r="L28" s="3" t="n">
        <v>18.1</v>
      </c>
    </row>
    <row r="29" customFormat="false" ht="15" hidden="false" customHeight="false" outlineLevel="0" collapsed="false">
      <c r="A29" s="0" t="s">
        <v>109</v>
      </c>
      <c r="C29" s="3" t="n">
        <v>1.2</v>
      </c>
      <c r="D29" s="3" t="n">
        <v>1.2</v>
      </c>
      <c r="E29" s="3" t="n">
        <v>1.2</v>
      </c>
      <c r="F29" s="3" t="n">
        <v>1.2</v>
      </c>
      <c r="G29" s="3" t="n">
        <v>1.2</v>
      </c>
      <c r="H29" s="3" t="n">
        <v>1.2</v>
      </c>
      <c r="I29" s="3" t="n">
        <v>1.2</v>
      </c>
      <c r="J29" s="3" t="n">
        <v>1.2</v>
      </c>
      <c r="K29" s="3" t="n">
        <v>1.2</v>
      </c>
      <c r="L29" s="3" t="n">
        <v>1.2</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4.8</v>
      </c>
      <c r="D31" s="3" t="n">
        <v>4.8</v>
      </c>
      <c r="E31" s="3" t="n">
        <v>4.7</v>
      </c>
      <c r="F31" s="3" t="n">
        <v>4.7</v>
      </c>
      <c r="G31" s="3" t="n">
        <v>4.6</v>
      </c>
      <c r="H31" s="3" t="n">
        <v>4.6</v>
      </c>
      <c r="I31" s="3" t="n">
        <v>4.6</v>
      </c>
      <c r="J31" s="3" t="n">
        <v>4.6</v>
      </c>
      <c r="K31" s="3" t="n">
        <v>4.6</v>
      </c>
      <c r="L31" s="3" t="n">
        <v>4.6</v>
      </c>
    </row>
    <row r="32" customFormat="false" ht="15" hidden="false" customHeight="false" outlineLevel="0" collapsed="false">
      <c r="A32" s="0" t="s">
        <v>112</v>
      </c>
      <c r="C32" s="3" t="n">
        <v>5</v>
      </c>
      <c r="D32" s="3" t="n">
        <v>5</v>
      </c>
      <c r="E32" s="3" t="n">
        <v>5</v>
      </c>
      <c r="F32" s="3" t="n">
        <v>4.9</v>
      </c>
      <c r="G32" s="3" t="n">
        <v>4.8</v>
      </c>
      <c r="H32" s="3" t="n">
        <v>4.6</v>
      </c>
      <c r="I32" s="3" t="n">
        <v>4.4</v>
      </c>
      <c r="J32" s="3" t="n">
        <v>4.2</v>
      </c>
      <c r="K32" s="3" t="n">
        <v>4</v>
      </c>
      <c r="L32" s="3" t="n">
        <v>4</v>
      </c>
    </row>
    <row r="33" customFormat="false" ht="15" hidden="false" customHeight="false" outlineLevel="0" collapsed="false">
      <c r="A33" s="0" t="s">
        <v>113</v>
      </c>
      <c r="C33" s="3" t="n">
        <v>21</v>
      </c>
      <c r="D33" s="3" t="n">
        <v>22</v>
      </c>
      <c r="E33" s="3" t="n">
        <v>23</v>
      </c>
      <c r="F33" s="3" t="n">
        <v>24</v>
      </c>
      <c r="G33" s="3" t="n">
        <v>24</v>
      </c>
      <c r="H33" s="3" t="n">
        <v>24</v>
      </c>
      <c r="I33" s="3" t="n">
        <v>24</v>
      </c>
      <c r="J33" s="3" t="n">
        <v>24</v>
      </c>
      <c r="K33" s="3" t="n">
        <v>24</v>
      </c>
      <c r="L33" s="3" t="n">
        <v>24</v>
      </c>
    </row>
    <row r="34" customFormat="false" ht="15" hidden="false" customHeight="false" outlineLevel="0" collapsed="false">
      <c r="A34" s="0" t="s">
        <v>114</v>
      </c>
      <c r="B34" s="3" t="n">
        <v>8</v>
      </c>
    </row>
    <row r="35" customFormat="false" ht="15" hidden="false" customHeight="false" outlineLevel="0" collapsed="false">
      <c r="A35" s="0" t="s">
        <v>115</v>
      </c>
      <c r="B35" s="3" t="n">
        <v>2.5</v>
      </c>
    </row>
    <row r="36" customFormat="false" ht="15" hidden="false" customHeight="false" outlineLevel="0" collapsed="false">
      <c r="A36" s="0" t="s">
        <v>116</v>
      </c>
      <c r="B36" s="3" t="n">
        <v>18</v>
      </c>
    </row>
    <row r="37" customFormat="false" ht="15" hidden="false" customHeight="false" outlineLevel="0" collapsed="false">
      <c r="A37" s="0" t="s">
        <v>117</v>
      </c>
      <c r="B37" s="3" t="n">
        <v>-8</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6.5</v>
      </c>
      <c r="D41" s="3" t="n">
        <v>6.5</v>
      </c>
      <c r="E41" s="3" t="n">
        <v>6.5</v>
      </c>
      <c r="F41" s="3" t="n">
        <v>6</v>
      </c>
      <c r="G41" s="3" t="n">
        <v>5.5</v>
      </c>
      <c r="H41" s="3" t="n">
        <v>5</v>
      </c>
      <c r="I41" s="3" t="n">
        <v>4</v>
      </c>
      <c r="J41" s="3" t="n">
        <v>3.5</v>
      </c>
      <c r="K41" s="3" t="n">
        <v>3</v>
      </c>
      <c r="L41" s="3" t="n">
        <v>3</v>
      </c>
    </row>
    <row r="42" customFormat="false" ht="15" hidden="false" customHeight="false" outlineLevel="0" collapsed="false">
      <c r="A42" s="0" t="s">
        <v>108</v>
      </c>
      <c r="C42" s="3" t="n">
        <v>17.4</v>
      </c>
      <c r="D42" s="3" t="n">
        <v>17.9</v>
      </c>
      <c r="E42" s="3" t="n">
        <v>18.3</v>
      </c>
      <c r="F42" s="3" t="n">
        <v>18.7</v>
      </c>
      <c r="G42" s="3" t="n">
        <v>19</v>
      </c>
      <c r="H42" s="3" t="n">
        <v>19</v>
      </c>
      <c r="I42" s="3" t="n">
        <v>19</v>
      </c>
      <c r="J42" s="3" t="n">
        <v>19</v>
      </c>
      <c r="K42" s="3" t="n">
        <v>19</v>
      </c>
      <c r="L42" s="3" t="n">
        <v>19</v>
      </c>
    </row>
    <row r="43" customFormat="false" ht="15" hidden="false" customHeight="false" outlineLevel="0" collapsed="false">
      <c r="A43" s="0" t="s">
        <v>109</v>
      </c>
      <c r="C43" s="3" t="n">
        <v>1.2</v>
      </c>
      <c r="D43" s="3" t="n">
        <v>1.2</v>
      </c>
      <c r="E43" s="3" t="n">
        <v>1.2</v>
      </c>
      <c r="F43" s="3" t="n">
        <v>1.2</v>
      </c>
      <c r="G43" s="3" t="n">
        <v>1.2</v>
      </c>
      <c r="H43" s="3" t="n">
        <v>1.2</v>
      </c>
      <c r="I43" s="3" t="n">
        <v>1.2</v>
      </c>
      <c r="J43" s="3" t="n">
        <v>1.2</v>
      </c>
      <c r="K43" s="3" t="n">
        <v>1.2</v>
      </c>
      <c r="L43" s="3" t="n">
        <v>1.2</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4.8</v>
      </c>
      <c r="D45" s="3" t="n">
        <v>4.8</v>
      </c>
      <c r="E45" s="3" t="n">
        <v>4.7</v>
      </c>
      <c r="F45" s="3" t="n">
        <v>4.7</v>
      </c>
      <c r="G45" s="3" t="n">
        <v>4.6</v>
      </c>
      <c r="H45" s="3" t="n">
        <v>4.6</v>
      </c>
      <c r="I45" s="3" t="n">
        <v>4.6</v>
      </c>
      <c r="J45" s="3" t="n">
        <v>4.6</v>
      </c>
      <c r="K45" s="3" t="n">
        <v>4.6</v>
      </c>
      <c r="L45" s="3" t="n">
        <v>4.6</v>
      </c>
    </row>
    <row r="46" customFormat="false" ht="15" hidden="false" customHeight="false" outlineLevel="0" collapsed="false">
      <c r="A46" s="0" t="s">
        <v>112</v>
      </c>
      <c r="C46" s="3" t="n">
        <v>5.3</v>
      </c>
      <c r="D46" s="3" t="n">
        <v>5.3</v>
      </c>
      <c r="E46" s="3" t="n">
        <v>5.3</v>
      </c>
      <c r="F46" s="3" t="n">
        <v>5.2</v>
      </c>
      <c r="G46" s="3" t="n">
        <v>5</v>
      </c>
      <c r="H46" s="3" t="n">
        <v>4.8</v>
      </c>
      <c r="I46" s="3" t="n">
        <v>4.6</v>
      </c>
      <c r="J46" s="3" t="n">
        <v>4.4</v>
      </c>
      <c r="K46" s="3" t="n">
        <v>4.2</v>
      </c>
      <c r="L46" s="3" t="n">
        <v>4</v>
      </c>
    </row>
    <row r="47" customFormat="false" ht="15" hidden="false" customHeight="false" outlineLevel="0" collapsed="false">
      <c r="A47" s="0" t="s">
        <v>113</v>
      </c>
      <c r="C47" s="3" t="n">
        <v>21</v>
      </c>
      <c r="D47" s="3" t="n">
        <v>22</v>
      </c>
      <c r="E47" s="3" t="n">
        <v>23</v>
      </c>
      <c r="F47" s="3" t="n">
        <v>23</v>
      </c>
      <c r="G47" s="3" t="n">
        <v>23</v>
      </c>
      <c r="H47" s="3" t="n">
        <v>23</v>
      </c>
      <c r="I47" s="3" t="n">
        <v>23</v>
      </c>
      <c r="J47" s="3" t="n">
        <v>23</v>
      </c>
      <c r="K47" s="3" t="n">
        <v>23</v>
      </c>
      <c r="L47" s="3" t="n">
        <v>23</v>
      </c>
    </row>
    <row r="48" customFormat="false" ht="15" hidden="false" customHeight="false" outlineLevel="0" collapsed="false">
      <c r="A48" s="0" t="s">
        <v>114</v>
      </c>
      <c r="B48" s="3" t="n">
        <v>8</v>
      </c>
    </row>
    <row r="49" customFormat="false" ht="15" hidden="false" customHeight="false" outlineLevel="0" collapsed="false">
      <c r="A49" s="0" t="s">
        <v>115</v>
      </c>
      <c r="B49" s="3" t="n">
        <v>2.5</v>
      </c>
    </row>
    <row r="50" customFormat="false" ht="15" hidden="false" customHeight="false" outlineLevel="0" collapsed="false">
      <c r="A50" s="0" t="s">
        <v>116</v>
      </c>
      <c r="B50" s="3" t="n">
        <v>18</v>
      </c>
    </row>
    <row r="51" customFormat="false" ht="15" hidden="false" customHeight="false" outlineLevel="0" collapsed="false">
      <c r="A51" s="0" t="s">
        <v>117</v>
      </c>
      <c r="B51" s="3" t="n">
        <v>-8</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4.5</v>
      </c>
      <c r="D5" s="4" t="n">
        <f aca="false">Assumptions!D13</f>
        <v>2.5</v>
      </c>
      <c r="E5" s="4" t="n">
        <f aca="false">Assumptions!E13</f>
        <v>2</v>
      </c>
      <c r="F5" s="4" t="n">
        <f aca="false">Assumptions!F13</f>
        <v>2</v>
      </c>
      <c r="G5" s="4" t="n">
        <f aca="false">Assumptions!G13</f>
        <v>2.5</v>
      </c>
      <c r="H5" s="4" t="n">
        <f aca="false">Assumptions!H13</f>
        <v>2.5</v>
      </c>
      <c r="I5" s="4" t="n">
        <f aca="false">Assumptions!I13</f>
        <v>2.5</v>
      </c>
      <c r="J5" s="4" t="n">
        <f aca="false">Assumptions!J13</f>
        <v>2</v>
      </c>
      <c r="K5" s="4" t="n">
        <f aca="false">Assumptions!K13</f>
        <v>2</v>
      </c>
      <c r="L5" s="4" t="n">
        <f aca="false">Assumptions!L13</f>
        <v>2</v>
      </c>
    </row>
    <row r="6" customFormat="false" ht="15" hidden="false" customHeight="false" outlineLevel="0" collapsed="false">
      <c r="A6" s="0" t="s">
        <v>37</v>
      </c>
      <c r="B6" s="3" t="n">
        <v>14348</v>
      </c>
      <c r="C6" s="0" t="n">
        <f aca="false">B6*(1+C5/100)</f>
        <v>14993.66</v>
      </c>
      <c r="D6" s="0" t="n">
        <f aca="false">C6*(1+D5/100)</f>
        <v>15368.5015</v>
      </c>
      <c r="E6" s="0" t="n">
        <f aca="false">D6*(1+E5/100)</f>
        <v>15675.87153</v>
      </c>
      <c r="F6" s="0" t="n">
        <f aca="false">E6*(1+F5/100)</f>
        <v>15989.3889606</v>
      </c>
      <c r="G6" s="0" t="n">
        <f aca="false">F6*(1+G5/100)</f>
        <v>16389.123684615</v>
      </c>
      <c r="H6" s="0" t="n">
        <f aca="false">G6*(1+H5/100)</f>
        <v>16798.8517767304</v>
      </c>
      <c r="I6" s="0" t="n">
        <f aca="false">H6*(1+I5/100)</f>
        <v>17218.8230711486</v>
      </c>
      <c r="J6" s="0" t="n">
        <f aca="false">I6*(1+J5/100)</f>
        <v>17563.1995325716</v>
      </c>
      <c r="K6" s="0" t="n">
        <f aca="false">J6*(1+K5/100)</f>
        <v>17914.463523223</v>
      </c>
      <c r="L6" s="0" t="n">
        <f aca="false">K6*(1+L5/100)</f>
        <v>18272.7527936875</v>
      </c>
    </row>
    <row r="7" customFormat="false" ht="15" hidden="false" customHeight="false" outlineLevel="0" collapsed="false">
      <c r="A7" s="0" t="s">
        <v>108</v>
      </c>
      <c r="C7" s="4" t="n">
        <f aca="false">Assumptions!C14</f>
        <v>17</v>
      </c>
      <c r="D7" s="4" t="n">
        <f aca="false">Assumptions!D14</f>
        <v>16.6</v>
      </c>
      <c r="E7" s="4" t="n">
        <f aca="false">Assumptions!E14</f>
        <v>16.3</v>
      </c>
      <c r="F7" s="4" t="n">
        <f aca="false">Assumptions!F14</f>
        <v>16</v>
      </c>
      <c r="G7" s="4" t="n">
        <f aca="false">Assumptions!G14</f>
        <v>16</v>
      </c>
      <c r="H7" s="4" t="n">
        <f aca="false">Assumptions!H14</f>
        <v>16.1</v>
      </c>
      <c r="I7" s="4" t="n">
        <f aca="false">Assumptions!I14</f>
        <v>16.2</v>
      </c>
      <c r="J7" s="4" t="n">
        <f aca="false">Assumptions!J14</f>
        <v>16.2</v>
      </c>
      <c r="K7" s="4" t="n">
        <f aca="false">Assumptions!K14</f>
        <v>16.2</v>
      </c>
      <c r="L7" s="4" t="n">
        <f aca="false">Assumptions!L14</f>
        <v>16.2</v>
      </c>
    </row>
    <row r="8" customFormat="false" ht="15" hidden="false" customHeight="false" outlineLevel="0" collapsed="false">
      <c r="A8" s="0" t="s">
        <v>43</v>
      </c>
      <c r="C8" s="0" t="n">
        <f aca="false">C6*C7/100</f>
        <v>2548.9222</v>
      </c>
      <c r="D8" s="0" t="n">
        <f aca="false">D6*D7/100</f>
        <v>2551.171249</v>
      </c>
      <c r="E8" s="0" t="n">
        <f aca="false">E6*E7/100</f>
        <v>2555.16705939</v>
      </c>
      <c r="F8" s="0" t="n">
        <f aca="false">F6*F7/100</f>
        <v>2558.302233696</v>
      </c>
      <c r="G8" s="0" t="n">
        <f aca="false">G6*G7/100</f>
        <v>2622.2597895384</v>
      </c>
      <c r="H8" s="0" t="n">
        <f aca="false">H6*H7/100</f>
        <v>2704.61513605359</v>
      </c>
      <c r="I8" s="0" t="n">
        <f aca="false">I6*I7/100</f>
        <v>2789.44933752608</v>
      </c>
      <c r="J8" s="0" t="n">
        <f aca="false">J6*J7/100</f>
        <v>2845.2383242766</v>
      </c>
      <c r="K8" s="0" t="n">
        <f aca="false">K6*K7/100</f>
        <v>2902.14309076213</v>
      </c>
      <c r="L8" s="0" t="n">
        <f aca="false">L6*L7/100</f>
        <v>2960.18595257737</v>
      </c>
    </row>
    <row r="9" customFormat="false" ht="15" hidden="false" customHeight="false" outlineLevel="0" collapsed="false">
      <c r="A9" s="0" t="s">
        <v>109</v>
      </c>
      <c r="C9" s="4" t="n">
        <f aca="false">Assumptions!C15</f>
        <v>1.2</v>
      </c>
      <c r="D9" s="4" t="n">
        <f aca="false">Assumptions!D15</f>
        <v>1.2</v>
      </c>
      <c r="E9" s="4" t="n">
        <f aca="false">Assumptions!E15</f>
        <v>1.2</v>
      </c>
      <c r="F9" s="4" t="n">
        <f aca="false">Assumptions!F15</f>
        <v>1.2</v>
      </c>
      <c r="G9" s="4" t="n">
        <f aca="false">Assumptions!G15</f>
        <v>1.2</v>
      </c>
      <c r="H9" s="4" t="n">
        <f aca="false">Assumptions!H15</f>
        <v>1.2</v>
      </c>
      <c r="I9" s="4" t="n">
        <f aca="false">Assumptions!I15</f>
        <v>1.2</v>
      </c>
      <c r="J9" s="4" t="n">
        <f aca="false">Assumptions!J15</f>
        <v>1.2</v>
      </c>
      <c r="K9" s="4" t="n">
        <f aca="false">Assumptions!K15</f>
        <v>1.2</v>
      </c>
      <c r="L9" s="4" t="n">
        <f aca="false">Assumptions!L15</f>
        <v>1.2</v>
      </c>
    </row>
    <row r="10" customFormat="false" ht="15" hidden="false" customHeight="false" outlineLevel="0" collapsed="false">
      <c r="A10" s="0" t="s">
        <v>124</v>
      </c>
      <c r="C10" s="0" t="n">
        <f aca="false">-C6*C9/100</f>
        <v>-179.92392</v>
      </c>
      <c r="D10" s="0" t="n">
        <f aca="false">-D6*D9/100</f>
        <v>-184.422018</v>
      </c>
      <c r="E10" s="0" t="n">
        <f aca="false">-E6*E9/100</f>
        <v>-188.11045836</v>
      </c>
      <c r="F10" s="0" t="n">
        <f aca="false">-F6*F9/100</f>
        <v>-191.8726675272</v>
      </c>
      <c r="G10" s="0" t="n">
        <f aca="false">-G6*G9/100</f>
        <v>-196.66948421538</v>
      </c>
      <c r="H10" s="0" t="n">
        <f aca="false">-H6*H9/100</f>
        <v>-201.586221320764</v>
      </c>
      <c r="I10" s="0" t="n">
        <f aca="false">-I6*I9/100</f>
        <v>-206.625876853784</v>
      </c>
      <c r="J10" s="0" t="n">
        <f aca="false">-J6*J9/100</f>
        <v>-210.758394390859</v>
      </c>
      <c r="K10" s="0" t="n">
        <f aca="false">-K6*K9/100</f>
        <v>-214.973562278676</v>
      </c>
      <c r="L10" s="0" t="n">
        <f aca="false">-L6*L9/100</f>
        <v>-219.27303352425</v>
      </c>
    </row>
    <row r="11" customFormat="false" ht="15" hidden="false" customHeight="false" outlineLevel="0" collapsed="false">
      <c r="A11" s="0" t="s">
        <v>125</v>
      </c>
      <c r="C11" s="0" t="n">
        <f aca="false">C8+C10+C24</f>
        <v>2368.99828</v>
      </c>
      <c r="D11" s="0" t="n">
        <f aca="false">D8+D10+D24</f>
        <v>2366.749231</v>
      </c>
      <c r="E11" s="0" t="n">
        <f aca="false">E8+E10+E24</f>
        <v>2367.05660103</v>
      </c>
      <c r="F11" s="0" t="n">
        <f aca="false">F8+F10+F24</f>
        <v>2366.4295661688</v>
      </c>
      <c r="G11" s="0" t="n">
        <f aca="false">G8+G10+G24</f>
        <v>2425.59030532302</v>
      </c>
      <c r="H11" s="0" t="n">
        <f aca="false">H8+H10+H24</f>
        <v>2503.02891473283</v>
      </c>
      <c r="I11" s="0" t="n">
        <f aca="false">I8+I10+I24</f>
        <v>2582.82346067229</v>
      </c>
      <c r="J11" s="0" t="n">
        <f aca="false">J8+J10+J24</f>
        <v>2634.47992988574</v>
      </c>
      <c r="K11" s="0" t="n">
        <f aca="false">K8+K10+K24</f>
        <v>2687.16952848346</v>
      </c>
      <c r="L11" s="0" t="n">
        <f aca="false">L8+L10+L24</f>
        <v>2740.91291905312</v>
      </c>
    </row>
    <row r="12" customFormat="false" ht="15" hidden="false" customHeight="false" outlineLevel="0" collapsed="false">
      <c r="A12" s="0" t="s">
        <v>126</v>
      </c>
      <c r="C12" s="4" t="n">
        <f aca="false">-C6*Assumptions!C17/100</f>
        <v>-719.69568</v>
      </c>
      <c r="D12" s="4" t="n">
        <f aca="false">-D6*Assumptions!D17/100</f>
        <v>-737.688072</v>
      </c>
      <c r="E12" s="4" t="n">
        <f aca="false">-E6*Assumptions!E17/100</f>
        <v>-736.76596191</v>
      </c>
      <c r="F12" s="4" t="n">
        <f aca="false">-F6*Assumptions!F17/100</f>
        <v>-751.5012811482</v>
      </c>
      <c r="G12" s="4" t="n">
        <f aca="false">-G6*Assumptions!G17/100</f>
        <v>-753.89968949229</v>
      </c>
      <c r="H12" s="4" t="n">
        <f aca="false">-H6*Assumptions!H17/100</f>
        <v>-772.747181729597</v>
      </c>
      <c r="I12" s="4" t="n">
        <f aca="false">-I6*Assumptions!I17/100</f>
        <v>-792.065861272837</v>
      </c>
      <c r="J12" s="4" t="n">
        <f aca="false">-J6*Assumptions!J17/100</f>
        <v>-807.907178498294</v>
      </c>
      <c r="K12" s="4" t="n">
        <f aca="false">-K6*Assumptions!K17/100</f>
        <v>-824.06532206826</v>
      </c>
      <c r="L12" s="4" t="n">
        <f aca="false">-L6*Assumptions!L17/100</f>
        <v>-840.546628509625</v>
      </c>
    </row>
    <row r="13" customFormat="false" ht="15" hidden="false" customHeight="false" outlineLevel="0" collapsed="false">
      <c r="A13" s="0" t="s">
        <v>127</v>
      </c>
      <c r="C13" s="0" t="n">
        <f aca="false">C11+C12</f>
        <v>1649.3026</v>
      </c>
      <c r="D13" s="0" t="n">
        <f aca="false">D11+D12</f>
        <v>1629.061159</v>
      </c>
      <c r="E13" s="0" t="n">
        <f aca="false">E11+E12</f>
        <v>1630.29063912</v>
      </c>
      <c r="F13" s="0" t="n">
        <f aca="false">F11+F12</f>
        <v>1614.9282850206</v>
      </c>
      <c r="G13" s="0" t="n">
        <f aca="false">G11+G12</f>
        <v>1671.69061583073</v>
      </c>
      <c r="H13" s="0" t="n">
        <f aca="false">H11+H12</f>
        <v>1730.28173300323</v>
      </c>
      <c r="I13" s="0" t="n">
        <f aca="false">I11+I12</f>
        <v>1790.75759939946</v>
      </c>
      <c r="J13" s="0" t="n">
        <f aca="false">J11+J12</f>
        <v>1826.57275138745</v>
      </c>
      <c r="K13" s="0" t="n">
        <f aca="false">K11+K12</f>
        <v>1863.1042064152</v>
      </c>
      <c r="L13" s="0" t="n">
        <f aca="false">L11+L12</f>
        <v>1900.3662905435</v>
      </c>
    </row>
    <row r="14" customFormat="false" ht="15" hidden="false" customHeight="false" outlineLevel="0" collapsed="false">
      <c r="A14" s="0" t="s">
        <v>113</v>
      </c>
      <c r="C14" s="4" t="n">
        <f aca="false">Assumptions!C19</f>
        <v>22</v>
      </c>
      <c r="D14" s="4" t="n">
        <f aca="false">Assumptions!D19</f>
        <v>23</v>
      </c>
      <c r="E14" s="4" t="n">
        <f aca="false">Assumptions!E19</f>
        <v>24</v>
      </c>
      <c r="F14" s="4" t="n">
        <f aca="false">Assumptions!F19</f>
        <v>24</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128</v>
      </c>
      <c r="C15" s="0" t="n">
        <f aca="false">C13-MAX(0,C13)*C14/100</f>
        <v>1286.456028</v>
      </c>
      <c r="D15" s="0" t="n">
        <f aca="false">D13-MAX(0,D13)*D14/100</f>
        <v>1254.37709243</v>
      </c>
      <c r="E15" s="0" t="n">
        <f aca="false">E13-MAX(0,E13)*E14/100</f>
        <v>1239.0208857312</v>
      </c>
      <c r="F15" s="0" t="n">
        <f aca="false">F13-MAX(0,F13)*F14/100</f>
        <v>1227.34549661566</v>
      </c>
      <c r="G15" s="0" t="n">
        <f aca="false">G13-MAX(0,G13)*G14/100</f>
        <v>1270.48486803135</v>
      </c>
      <c r="H15" s="0" t="n">
        <f aca="false">H13-MAX(0,H13)*H14/100</f>
        <v>1315.01411708245</v>
      </c>
      <c r="I15" s="0" t="n">
        <f aca="false">I13-MAX(0,I13)*I14/100</f>
        <v>1360.97577554359</v>
      </c>
      <c r="J15" s="0" t="n">
        <f aca="false">J13-MAX(0,J13)*J14/100</f>
        <v>1388.19529105446</v>
      </c>
      <c r="K15" s="0" t="n">
        <f aca="false">K13-MAX(0,K13)*K14/100</f>
        <v>1415.95919687555</v>
      </c>
      <c r="L15" s="0" t="n">
        <f aca="false">L13-MAX(0,L13)*L14/100</f>
        <v>1444.27838081306</v>
      </c>
    </row>
    <row r="16" customFormat="false" ht="15" hidden="false" customHeight="false" outlineLevel="0" collapsed="false">
      <c r="A16" s="0" t="s">
        <v>129</v>
      </c>
      <c r="C16" s="0" t="n">
        <f aca="false">-C12</f>
        <v>719.69568</v>
      </c>
      <c r="D16" s="0" t="n">
        <f aca="false">-D12</f>
        <v>737.688072</v>
      </c>
      <c r="E16" s="0" t="n">
        <f aca="false">-E12</f>
        <v>736.76596191</v>
      </c>
      <c r="F16" s="0" t="n">
        <f aca="false">-F12</f>
        <v>751.5012811482</v>
      </c>
      <c r="G16" s="0" t="n">
        <f aca="false">-G12</f>
        <v>753.89968949229</v>
      </c>
      <c r="H16" s="0" t="n">
        <f aca="false">-H12</f>
        <v>772.747181729597</v>
      </c>
      <c r="I16" s="0" t="n">
        <f aca="false">-I12</f>
        <v>792.065861272837</v>
      </c>
      <c r="J16" s="0" t="n">
        <f aca="false">-J12</f>
        <v>807.907178498294</v>
      </c>
      <c r="K16" s="0" t="n">
        <f aca="false">-K12</f>
        <v>824.06532206826</v>
      </c>
      <c r="L16" s="0" t="n">
        <f aca="false">-L12</f>
        <v>840.546628509625</v>
      </c>
    </row>
    <row r="17" customFormat="false" ht="15" hidden="false" customHeight="false" outlineLevel="0" collapsed="false">
      <c r="A17" s="0" t="s">
        <v>130</v>
      </c>
      <c r="C17" s="4" t="n">
        <f aca="false">-C6*Assumptions!C18/100</f>
        <v>-659.72104</v>
      </c>
      <c r="D17" s="4" t="n">
        <f aca="false">-D6*Assumptions!D18/100</f>
        <v>-645.477063</v>
      </c>
      <c r="E17" s="4" t="n">
        <f aca="false">-E6*Assumptions!E18/100</f>
        <v>-627.0348612</v>
      </c>
      <c r="F17" s="4" t="n">
        <f aca="false">-F6*Assumptions!F18/100</f>
        <v>-639.575558424</v>
      </c>
      <c r="G17" s="4" t="n">
        <f aca="false">-G6*Assumptions!G18/100</f>
        <v>-639.175823699985</v>
      </c>
      <c r="H17" s="4" t="n">
        <f aca="false">-H6*Assumptions!H18/100</f>
        <v>-638.356367515754</v>
      </c>
      <c r="I17" s="4" t="n">
        <f aca="false">-I6*Assumptions!I18/100</f>
        <v>-654.315276703648</v>
      </c>
      <c r="J17" s="4" t="n">
        <f aca="false">-J6*Assumptions!J18/100</f>
        <v>-649.838382705149</v>
      </c>
      <c r="K17" s="4" t="n">
        <f aca="false">-K6*Assumptions!K18/100</f>
        <v>-644.920686836029</v>
      </c>
      <c r="L17" s="4" t="n">
        <f aca="false">-L6*Assumptions!L18/100</f>
        <v>-657.81910057275</v>
      </c>
    </row>
    <row r="18" customFormat="false" ht="15" hidden="false" customHeight="false" outlineLevel="0" collapsed="false">
      <c r="A18" s="0" t="s">
        <v>131</v>
      </c>
      <c r="C18" s="4" t="n">
        <f aca="false">(C6-B6)*Assumptions!$B$23/100</f>
        <v>-51.6528</v>
      </c>
      <c r="D18" s="4" t="n">
        <f aca="false">(D6-C6)*Assumptions!$B$23/100</f>
        <v>-29.9873199999999</v>
      </c>
      <c r="E18" s="4" t="n">
        <f aca="false">(E6-D6)*Assumptions!$B$23/100</f>
        <v>-24.5896024</v>
      </c>
      <c r="F18" s="4" t="n">
        <f aca="false">(F6-E6)*Assumptions!$B$23/100</f>
        <v>-25.0813944480001</v>
      </c>
      <c r="G18" s="4" t="n">
        <f aca="false">(G6-F6)*Assumptions!$B$23/100</f>
        <v>-31.9787779211999</v>
      </c>
      <c r="H18" s="4" t="n">
        <f aca="false">(H6-G6)*Assumptions!$B$23/100</f>
        <v>-32.7782473692298</v>
      </c>
      <c r="I18" s="4" t="n">
        <f aca="false">(I6-H6)*Assumptions!$B$23/100</f>
        <v>-33.5977035534606</v>
      </c>
      <c r="J18" s="4" t="n">
        <f aca="false">(J6-I6)*Assumptions!$B$23/100</f>
        <v>-27.5501169138378</v>
      </c>
      <c r="K18" s="4" t="n">
        <f aca="false">(K6-J6)*Assumptions!$B$23/100</f>
        <v>-28.1011192521147</v>
      </c>
      <c r="L18" s="4" t="n">
        <f aca="false">(L6-K6)*Assumptions!$B$23/100</f>
        <v>-28.663141637157</v>
      </c>
    </row>
    <row r="19" customFormat="false" ht="15" hidden="false" customHeight="false" outlineLevel="0" collapsed="false">
      <c r="A19" s="0" t="s">
        <v>132</v>
      </c>
      <c r="C19" s="0" t="n">
        <f aca="false">C15+C16+C17+C18</f>
        <v>1294.777868</v>
      </c>
      <c r="D19" s="0" t="n">
        <f aca="false">D15+D16+D17+D18</f>
        <v>1316.60078143</v>
      </c>
      <c r="E19" s="0" t="n">
        <f aca="false">E15+E16+E17+E18</f>
        <v>1324.1623840412</v>
      </c>
      <c r="F19" s="0" t="n">
        <f aca="false">F15+F16+F17+F18</f>
        <v>1314.18982489186</v>
      </c>
      <c r="G19" s="0" t="n">
        <f aca="false">G15+G16+G17+G18</f>
        <v>1353.22995590246</v>
      </c>
      <c r="H19" s="0" t="n">
        <f aca="false">H15+H16+H17+H18</f>
        <v>1416.62668392707</v>
      </c>
      <c r="I19" s="0" t="n">
        <f aca="false">I15+I16+I17+I18</f>
        <v>1465.12865655932</v>
      </c>
      <c r="J19" s="0" t="n">
        <f aca="false">J15+J16+J17+J18</f>
        <v>1518.71396993377</v>
      </c>
      <c r="K19" s="0" t="n">
        <f aca="false">K15+K16+K17+K18</f>
        <v>1567.00271285566</v>
      </c>
      <c r="L19" s="0" t="n">
        <f aca="false">L15+L16+L17+L18</f>
        <v>1598.34276711278</v>
      </c>
    </row>
    <row r="20" customFormat="false" ht="15" hidden="false" customHeight="false" outlineLevel="0" collapsed="false">
      <c r="A20" s="0" t="s">
        <v>133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134</v>
      </c>
      <c r="C21" s="0" t="n">
        <f aca="false">C19*C20</f>
        <v>1198.8683962963</v>
      </c>
      <c r="D21" s="0" t="n">
        <f aca="false">D19*D20</f>
        <v>1128.7729607596</v>
      </c>
      <c r="E21" s="0" t="n">
        <f aca="false">E19*E20</f>
        <v>1051.16279279804</v>
      </c>
      <c r="F21" s="0" t="n">
        <f aca="false">F19*F20</f>
        <v>965.968753536857</v>
      </c>
      <c r="G21" s="0" t="n">
        <f aca="false">G19*G20</f>
        <v>920.985569709941</v>
      </c>
      <c r="H21" s="0" t="n">
        <f aca="false">H19*H20</f>
        <v>892.71510884297</v>
      </c>
      <c r="I21" s="0" t="n">
        <f aca="false">I19*I20</f>
        <v>854.888498925674</v>
      </c>
      <c r="J21" s="0" t="n">
        <f aca="false">J19*J20</f>
        <v>820.513902413683</v>
      </c>
      <c r="K21" s="0" t="n">
        <f aca="false">K19*K20</f>
        <v>783.89148859824</v>
      </c>
      <c r="L21" s="0" t="n">
        <f aca="false">L19*L20</f>
        <v>740.341961453893</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8</v>
      </c>
    </row>
    <row r="28" customFormat="false" ht="15" hidden="false" customHeight="false" outlineLevel="0" collapsed="false">
      <c r="A28" s="0" t="s">
        <v>115</v>
      </c>
      <c r="B28" s="4" t="n">
        <f aca="false">Assumptions!$B$21</f>
        <v>2</v>
      </c>
    </row>
    <row r="29" customFormat="false" ht="15" hidden="false" customHeight="false" outlineLevel="0" collapsed="false">
      <c r="A29" s="0" t="s">
        <v>116</v>
      </c>
      <c r="B29" s="4" t="n">
        <f aca="false">Assumptions!$B$22</f>
        <v>18</v>
      </c>
    </row>
    <row r="30" customFormat="false" ht="15" hidden="false" customHeight="false" outlineLevel="0" collapsed="false">
      <c r="A30" s="0" t="s">
        <v>137</v>
      </c>
      <c r="B30" s="0" t="n">
        <f aca="false">SUM(C21:L21)</f>
        <v>9358.10943333519</v>
      </c>
    </row>
    <row r="31" customFormat="false" ht="15" hidden="false" customHeight="false" outlineLevel="0" collapsed="false">
      <c r="A31" s="0" t="s">
        <v>138</v>
      </c>
      <c r="B31" s="0" t="n">
        <f aca="false">L19</f>
        <v>1598.34276711278</v>
      </c>
    </row>
    <row r="32" customFormat="false" ht="15" hidden="false" customHeight="false" outlineLevel="0" collapsed="false">
      <c r="A32" s="0" t="s">
        <v>139</v>
      </c>
      <c r="B32" s="0" t="n">
        <f aca="false">IF(B27&gt;B28,B31*(1+B28/100)/((B27-B28)/100),B31*B29)</f>
        <v>27171.8270409172</v>
      </c>
    </row>
    <row r="33" customFormat="false" ht="15" hidden="false" customHeight="false" outlineLevel="0" collapsed="false">
      <c r="A33" s="0" t="s">
        <v>140</v>
      </c>
      <c r="B33" s="0" t="n">
        <f aca="false">B31*B29</f>
        <v>28770.16980803</v>
      </c>
    </row>
    <row r="34" customFormat="false" ht="15" hidden="false" customHeight="false" outlineLevel="0" collapsed="false">
      <c r="A34" s="0" t="s">
        <v>141</v>
      </c>
      <c r="B34" s="0" t="n">
        <f aca="false">MAX(0,MIN(B32,B33))</f>
        <v>27171.8270409172</v>
      </c>
    </row>
    <row r="35" customFormat="false" ht="15" hidden="false" customHeight="false" outlineLevel="0" collapsed="false">
      <c r="A35" s="0" t="s">
        <v>142</v>
      </c>
      <c r="B35" s="0" t="n">
        <f aca="false">B34/(1+B27/100)^L4</f>
        <v>12585.8133447162</v>
      </c>
    </row>
    <row r="36" customFormat="false" ht="15" hidden="false" customHeight="false" outlineLevel="0" collapsed="false">
      <c r="A36" s="0" t="s">
        <v>143</v>
      </c>
      <c r="B36" s="0" t="n">
        <f aca="false">B30+B35</f>
        <v>21943.9227780514</v>
      </c>
    </row>
    <row r="37" customFormat="false" ht="15" hidden="false" customHeight="false" outlineLevel="0" collapsed="false">
      <c r="A37" s="0" t="s">
        <v>144</v>
      </c>
      <c r="B37" s="0" t="n">
        <f aca="false">B36+Assumptions!$B$5-Assumptions!$B$4</f>
        <v>16227.2227780514</v>
      </c>
    </row>
    <row r="38" customFormat="false" ht="15" hidden="false" customHeight="false" outlineLevel="0" collapsed="false">
      <c r="A38" s="0" t="s">
        <v>145</v>
      </c>
      <c r="B38" s="0" t="n">
        <f aca="false">B37/Assumptions!$B$3*Assumptions!$B$10</f>
        <v>197.892960707944</v>
      </c>
    </row>
    <row r="39" customFormat="false" ht="15" hidden="false" customHeight="false" outlineLevel="0" collapsed="false">
      <c r="A39" s="0" t="s">
        <v>146</v>
      </c>
      <c r="B39" s="4" t="n">
        <f aca="false">B38/Assumptions!$B$2-1</f>
        <v>-0.350318579422378</v>
      </c>
    </row>
    <row r="41" customFormat="false" ht="15" hidden="false" customHeight="false" outlineLevel="0" collapsed="false">
      <c r="A41" s="0" t="s">
        <v>147</v>
      </c>
      <c r="B41" s="0" t="n">
        <f aca="false">SUMPRODUCT(-C10:L10/(1+$B$27/100)^C4:L4)</f>
        <v>1319.48868398547</v>
      </c>
    </row>
    <row r="42" customFormat="false" ht="15" hidden="false" customHeight="false" outlineLevel="0" collapsed="false">
      <c r="A42" s="0" t="s">
        <v>148</v>
      </c>
      <c r="B42" s="0" t="n">
        <f aca="false">IF(B27&gt;B28,-L10*(1+B28/100)/((B27-B28)/100),-L10*20)/(1+B27/100)^L4</f>
        <v>1726.61930109712</v>
      </c>
    </row>
    <row r="43" customFormat="false" ht="15" hidden="false" customHeight="false" outlineLevel="0" collapsed="false">
      <c r="A43" s="0" t="s">
        <v>149</v>
      </c>
      <c r="B43" s="0" t="n">
        <f aca="false">(B37+B41+B42)/Assumptions!$B$3*Assumptions!$B$10</f>
        <v>235.040619062609</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12540.8432496541</v>
      </c>
    </row>
    <row r="47" customFormat="false" ht="15" hidden="false" customHeight="false" outlineLevel="0" collapsed="false">
      <c r="A47" s="0" t="s">
        <v>151</v>
      </c>
      <c r="B47" s="0" t="n">
        <f aca="false">(SUMPRODUCT(C19:L19/(1+B45/100)^C4:L4)+B46/(1+B45/100)^L4+Assumptions!$B$5-Assumptions!$B$4)/Assumptions!$B$3*Assumptions!$B$10</f>
        <v>52.4356328465069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5.7</v>
      </c>
      <c r="D5" s="4" t="n">
        <f aca="false">Assumptions!D27</f>
        <v>5.5</v>
      </c>
      <c r="E5" s="4" t="n">
        <f aca="false">Assumptions!E27</f>
        <v>5</v>
      </c>
      <c r="F5" s="4" t="n">
        <f aca="false">Assumptions!F27</f>
        <v>4.5</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14348</v>
      </c>
      <c r="C6" s="0" t="n">
        <f aca="false">B6*(1+C5/100)</f>
        <v>15165.836</v>
      </c>
      <c r="D6" s="0" t="n">
        <f aca="false">C6*(1+D5/100)</f>
        <v>15999.95698</v>
      </c>
      <c r="E6" s="0" t="n">
        <f aca="false">D6*(1+E5/100)</f>
        <v>16799.954829</v>
      </c>
      <c r="F6" s="0" t="n">
        <f aca="false">E6*(1+F5/100)</f>
        <v>17555.952796305</v>
      </c>
      <c r="G6" s="0" t="n">
        <f aca="false">F6*(1+G5/100)</f>
        <v>18258.1909081572</v>
      </c>
      <c r="H6" s="0" t="n">
        <f aca="false">G6*(1+H5/100)</f>
        <v>18897.2275899427</v>
      </c>
      <c r="I6" s="0" t="n">
        <f aca="false">H6*(1+I5/100)</f>
        <v>19464.144417641</v>
      </c>
      <c r="J6" s="0" t="n">
        <f aca="false">I6*(1+J5/100)</f>
        <v>20048.0687501702</v>
      </c>
      <c r="K6" s="0" t="n">
        <f aca="false">J6*(1+K5/100)</f>
        <v>20549.2704689245</v>
      </c>
      <c r="L6" s="0" t="n">
        <f aca="false">K6*(1+L5/100)</f>
        <v>21063.0022306476</v>
      </c>
    </row>
    <row r="7" customFormat="false" ht="15" hidden="false" customHeight="false" outlineLevel="0" collapsed="false">
      <c r="A7" s="0" t="s">
        <v>108</v>
      </c>
      <c r="C7" s="4" t="n">
        <f aca="false">Assumptions!C28</f>
        <v>17.2</v>
      </c>
      <c r="D7" s="4" t="n">
        <f aca="false">Assumptions!D28</f>
        <v>17.5</v>
      </c>
      <c r="E7" s="4" t="n">
        <f aca="false">Assumptions!E28</f>
        <v>17.7</v>
      </c>
      <c r="F7" s="4" t="n">
        <f aca="false">Assumptions!F28</f>
        <v>18</v>
      </c>
      <c r="G7" s="4" t="n">
        <f aca="false">Assumptions!G28</f>
        <v>18.1</v>
      </c>
      <c r="H7" s="4" t="n">
        <f aca="false">Assumptions!H28</f>
        <v>18.1</v>
      </c>
      <c r="I7" s="4" t="n">
        <f aca="false">Assumptions!I28</f>
        <v>18.1</v>
      </c>
      <c r="J7" s="4" t="n">
        <f aca="false">Assumptions!J28</f>
        <v>18.1</v>
      </c>
      <c r="K7" s="4" t="n">
        <f aca="false">Assumptions!K28</f>
        <v>18.1</v>
      </c>
      <c r="L7" s="4" t="n">
        <f aca="false">Assumptions!L28</f>
        <v>18.1</v>
      </c>
    </row>
    <row r="8" customFormat="false" ht="15" hidden="false" customHeight="false" outlineLevel="0" collapsed="false">
      <c r="A8" s="0" t="s">
        <v>43</v>
      </c>
      <c r="C8" s="0" t="n">
        <f aca="false">C6*C7/100</f>
        <v>2608.523792</v>
      </c>
      <c r="D8" s="0" t="n">
        <f aca="false">D6*D7/100</f>
        <v>2799.9924715</v>
      </c>
      <c r="E8" s="0" t="n">
        <f aca="false">E6*E7/100</f>
        <v>2973.592004733</v>
      </c>
      <c r="F8" s="0" t="n">
        <f aca="false">F6*F7/100</f>
        <v>3160.0715033349</v>
      </c>
      <c r="G8" s="0" t="n">
        <f aca="false">G6*G7/100</f>
        <v>3304.73255437645</v>
      </c>
      <c r="H8" s="0" t="n">
        <f aca="false">H6*H7/100</f>
        <v>3420.39819377963</v>
      </c>
      <c r="I8" s="0" t="n">
        <f aca="false">I6*I7/100</f>
        <v>3523.01013959302</v>
      </c>
      <c r="J8" s="0" t="n">
        <f aca="false">J6*J7/100</f>
        <v>3628.70044378081</v>
      </c>
      <c r="K8" s="0" t="n">
        <f aca="false">K6*K7/100</f>
        <v>3719.41795487533</v>
      </c>
      <c r="L8" s="0" t="n">
        <f aca="false">L6*L7/100</f>
        <v>3812.40340374721</v>
      </c>
    </row>
    <row r="9" customFormat="false" ht="15" hidden="false" customHeight="false" outlineLevel="0" collapsed="false">
      <c r="A9" s="0" t="s">
        <v>109</v>
      </c>
      <c r="C9" s="4" t="n">
        <f aca="false">Assumptions!C29</f>
        <v>1.2</v>
      </c>
      <c r="D9" s="4" t="n">
        <f aca="false">Assumptions!D29</f>
        <v>1.2</v>
      </c>
      <c r="E9" s="4" t="n">
        <f aca="false">Assumptions!E29</f>
        <v>1.2</v>
      </c>
      <c r="F9" s="4" t="n">
        <f aca="false">Assumptions!F29</f>
        <v>1.2</v>
      </c>
      <c r="G9" s="4" t="n">
        <f aca="false">Assumptions!G29</f>
        <v>1.2</v>
      </c>
      <c r="H9" s="4" t="n">
        <f aca="false">Assumptions!H29</f>
        <v>1.2</v>
      </c>
      <c r="I9" s="4" t="n">
        <f aca="false">Assumptions!I29</f>
        <v>1.2</v>
      </c>
      <c r="J9" s="4" t="n">
        <f aca="false">Assumptions!J29</f>
        <v>1.2</v>
      </c>
      <c r="K9" s="4" t="n">
        <f aca="false">Assumptions!K29</f>
        <v>1.2</v>
      </c>
      <c r="L9" s="4" t="n">
        <f aca="false">Assumptions!L29</f>
        <v>1.2</v>
      </c>
    </row>
    <row r="10" customFormat="false" ht="15" hidden="false" customHeight="false" outlineLevel="0" collapsed="false">
      <c r="A10" s="0" t="s">
        <v>124</v>
      </c>
      <c r="C10" s="0" t="n">
        <f aca="false">-C6*C9/100</f>
        <v>-181.990032</v>
      </c>
      <c r="D10" s="0" t="n">
        <f aca="false">-D6*D9/100</f>
        <v>-191.99948376</v>
      </c>
      <c r="E10" s="0" t="n">
        <f aca="false">-E6*E9/100</f>
        <v>-201.599457948</v>
      </c>
      <c r="F10" s="0" t="n">
        <f aca="false">-F6*F9/100</f>
        <v>-210.67143355566</v>
      </c>
      <c r="G10" s="0" t="n">
        <f aca="false">-G6*G9/100</f>
        <v>-219.098290897886</v>
      </c>
      <c r="H10" s="0" t="n">
        <f aca="false">-H6*H9/100</f>
        <v>-226.766731079312</v>
      </c>
      <c r="I10" s="0" t="n">
        <f aca="false">-I6*I9/100</f>
        <v>-233.569733011692</v>
      </c>
      <c r="J10" s="0" t="n">
        <f aca="false">-J6*J9/100</f>
        <v>-240.576825002042</v>
      </c>
      <c r="K10" s="0" t="n">
        <f aca="false">-K6*K9/100</f>
        <v>-246.591245627094</v>
      </c>
      <c r="L10" s="0" t="n">
        <f aca="false">-L6*L9/100</f>
        <v>-252.756026767771</v>
      </c>
    </row>
    <row r="11" customFormat="false" ht="15" hidden="false" customHeight="false" outlineLevel="0" collapsed="false">
      <c r="A11" s="0" t="s">
        <v>125</v>
      </c>
      <c r="C11" s="0" t="n">
        <f aca="false">C8+C10+C24</f>
        <v>2426.53376</v>
      </c>
      <c r="D11" s="0" t="n">
        <f aca="false">D8+D10+D24</f>
        <v>2607.99298774</v>
      </c>
      <c r="E11" s="0" t="n">
        <f aca="false">E8+E10+E24</f>
        <v>2771.992546785</v>
      </c>
      <c r="F11" s="0" t="n">
        <f aca="false">F8+F10+F24</f>
        <v>2949.40006977924</v>
      </c>
      <c r="G11" s="0" t="n">
        <f aca="false">G8+G10+G24</f>
        <v>3085.63426347857</v>
      </c>
      <c r="H11" s="0" t="n">
        <f aca="false">H8+H10+H24</f>
        <v>3193.63146270032</v>
      </c>
      <c r="I11" s="0" t="n">
        <f aca="false">I8+I10+I24</f>
        <v>3289.44040658133</v>
      </c>
      <c r="J11" s="0" t="n">
        <f aca="false">J8+J10+J24</f>
        <v>3388.12361877877</v>
      </c>
      <c r="K11" s="0" t="n">
        <f aca="false">K8+K10+K24</f>
        <v>3472.82670924823</v>
      </c>
      <c r="L11" s="0" t="n">
        <f aca="false">L8+L10+L24</f>
        <v>3559.64737697944</v>
      </c>
    </row>
    <row r="12" customFormat="false" ht="15" hidden="false" customHeight="false" outlineLevel="0" collapsed="false">
      <c r="A12" s="0" t="s">
        <v>126</v>
      </c>
      <c r="C12" s="4" t="n">
        <f aca="false">-C6*Assumptions!C31/100</f>
        <v>-727.960128</v>
      </c>
      <c r="D12" s="4" t="n">
        <f aca="false">-D6*Assumptions!D31/100</f>
        <v>-767.99793504</v>
      </c>
      <c r="E12" s="4" t="n">
        <f aca="false">-E6*Assumptions!E31/100</f>
        <v>-789.597876963</v>
      </c>
      <c r="F12" s="4" t="n">
        <f aca="false">-F6*Assumptions!F31/100</f>
        <v>-825.129781426335</v>
      </c>
      <c r="G12" s="4" t="n">
        <f aca="false">-G6*Assumptions!G31/100</f>
        <v>-839.876781775231</v>
      </c>
      <c r="H12" s="4" t="n">
        <f aca="false">-H6*Assumptions!H31/100</f>
        <v>-869.272469137364</v>
      </c>
      <c r="I12" s="4" t="n">
        <f aca="false">-I6*Assumptions!I31/100</f>
        <v>-895.350643211485</v>
      </c>
      <c r="J12" s="4" t="n">
        <f aca="false">-J6*Assumptions!J31/100</f>
        <v>-922.21116250783</v>
      </c>
      <c r="K12" s="4" t="n">
        <f aca="false">-K6*Assumptions!K31/100</f>
        <v>-945.266441570525</v>
      </c>
      <c r="L12" s="4" t="n">
        <f aca="false">-L6*Assumptions!L31/100</f>
        <v>-968.898102609788</v>
      </c>
    </row>
    <row r="13" customFormat="false" ht="15" hidden="false" customHeight="false" outlineLevel="0" collapsed="false">
      <c r="A13" s="0" t="s">
        <v>127</v>
      </c>
      <c r="C13" s="0" t="n">
        <f aca="false">C11+C12</f>
        <v>1698.573632</v>
      </c>
      <c r="D13" s="0" t="n">
        <f aca="false">D11+D12</f>
        <v>1839.9950527</v>
      </c>
      <c r="E13" s="0" t="n">
        <f aca="false">E11+E12</f>
        <v>1982.394669822</v>
      </c>
      <c r="F13" s="0" t="n">
        <f aca="false">F11+F12</f>
        <v>2124.27028835291</v>
      </c>
      <c r="G13" s="0" t="n">
        <f aca="false">G11+G12</f>
        <v>2245.75748170334</v>
      </c>
      <c r="H13" s="0" t="n">
        <f aca="false">H11+H12</f>
        <v>2324.35899356295</v>
      </c>
      <c r="I13" s="0" t="n">
        <f aca="false">I11+I12</f>
        <v>2394.08976336984</v>
      </c>
      <c r="J13" s="0" t="n">
        <f aca="false">J11+J12</f>
        <v>2465.91245627094</v>
      </c>
      <c r="K13" s="0" t="n">
        <f aca="false">K11+K12</f>
        <v>2527.56026767771</v>
      </c>
      <c r="L13" s="0" t="n">
        <f aca="false">L11+L12</f>
        <v>2590.74927436965</v>
      </c>
    </row>
    <row r="14" customFormat="false" ht="15" hidden="false" customHeight="false" outlineLevel="0" collapsed="false">
      <c r="A14" s="0" t="s">
        <v>113</v>
      </c>
      <c r="C14" s="4" t="n">
        <f aca="false">Assumptions!C33</f>
        <v>21</v>
      </c>
      <c r="D14" s="4" t="n">
        <f aca="false">Assumptions!D33</f>
        <v>22</v>
      </c>
      <c r="E14" s="4" t="n">
        <f aca="false">Assumptions!E33</f>
        <v>23</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128</v>
      </c>
      <c r="C15" s="0" t="n">
        <f aca="false">C13-MAX(0,C13)*C14/100</f>
        <v>1341.87316928</v>
      </c>
      <c r="D15" s="0" t="n">
        <f aca="false">D13-MAX(0,D13)*D14/100</f>
        <v>1435.196141106</v>
      </c>
      <c r="E15" s="0" t="n">
        <f aca="false">E13-MAX(0,E13)*E14/100</f>
        <v>1526.44389576294</v>
      </c>
      <c r="F15" s="0" t="n">
        <f aca="false">F13-MAX(0,F13)*F14/100</f>
        <v>1614.44541914821</v>
      </c>
      <c r="G15" s="0" t="n">
        <f aca="false">G13-MAX(0,G13)*G14/100</f>
        <v>1706.77568609454</v>
      </c>
      <c r="H15" s="0" t="n">
        <f aca="false">H13-MAX(0,H13)*H14/100</f>
        <v>1766.51283510784</v>
      </c>
      <c r="I15" s="0" t="n">
        <f aca="false">I13-MAX(0,I13)*I14/100</f>
        <v>1819.50822016108</v>
      </c>
      <c r="J15" s="0" t="n">
        <f aca="false">J13-MAX(0,J13)*J14/100</f>
        <v>1874.09346676591</v>
      </c>
      <c r="K15" s="0" t="n">
        <f aca="false">K13-MAX(0,K13)*K14/100</f>
        <v>1920.94580343506</v>
      </c>
      <c r="L15" s="0" t="n">
        <f aca="false">L13-MAX(0,L13)*L14/100</f>
        <v>1968.96944852094</v>
      </c>
    </row>
    <row r="16" customFormat="false" ht="15" hidden="false" customHeight="false" outlineLevel="0" collapsed="false">
      <c r="A16" s="0" t="s">
        <v>129</v>
      </c>
      <c r="C16" s="0" t="n">
        <f aca="false">-C12</f>
        <v>727.960128</v>
      </c>
      <c r="D16" s="0" t="n">
        <f aca="false">-D12</f>
        <v>767.99793504</v>
      </c>
      <c r="E16" s="0" t="n">
        <f aca="false">-E12</f>
        <v>789.597876963</v>
      </c>
      <c r="F16" s="0" t="n">
        <f aca="false">-F12</f>
        <v>825.129781426335</v>
      </c>
      <c r="G16" s="0" t="n">
        <f aca="false">-G12</f>
        <v>839.876781775231</v>
      </c>
      <c r="H16" s="0" t="n">
        <f aca="false">-H12</f>
        <v>869.272469137364</v>
      </c>
      <c r="I16" s="0" t="n">
        <f aca="false">-I12</f>
        <v>895.350643211485</v>
      </c>
      <c r="J16" s="0" t="n">
        <f aca="false">-J12</f>
        <v>922.21116250783</v>
      </c>
      <c r="K16" s="0" t="n">
        <f aca="false">-K12</f>
        <v>945.266441570525</v>
      </c>
      <c r="L16" s="0" t="n">
        <f aca="false">-L12</f>
        <v>968.898102609788</v>
      </c>
    </row>
    <row r="17" customFormat="false" ht="15" hidden="false" customHeight="false" outlineLevel="0" collapsed="false">
      <c r="A17" s="0" t="s">
        <v>130</v>
      </c>
      <c r="C17" s="4" t="n">
        <f aca="false">-C6*Assumptions!C32/100</f>
        <v>-758.2918</v>
      </c>
      <c r="D17" s="4" t="n">
        <f aca="false">-D6*Assumptions!D32/100</f>
        <v>-799.997849</v>
      </c>
      <c r="E17" s="4" t="n">
        <f aca="false">-E6*Assumptions!E32/100</f>
        <v>-839.99774145</v>
      </c>
      <c r="F17" s="4" t="n">
        <f aca="false">-F6*Assumptions!F32/100</f>
        <v>-860.241687018945</v>
      </c>
      <c r="G17" s="4" t="n">
        <f aca="false">-G6*Assumptions!G32/100</f>
        <v>-876.393163591545</v>
      </c>
      <c r="H17" s="4" t="n">
        <f aca="false">-H6*Assumptions!H32/100</f>
        <v>-869.272469137364</v>
      </c>
      <c r="I17" s="4" t="n">
        <f aca="false">-I6*Assumptions!I32/100</f>
        <v>-856.422354376203</v>
      </c>
      <c r="J17" s="4" t="n">
        <f aca="false">-J6*Assumptions!J32/100</f>
        <v>-842.018887507149</v>
      </c>
      <c r="K17" s="4" t="n">
        <f aca="false">-K6*Assumptions!K32/100</f>
        <v>-821.970818756979</v>
      </c>
      <c r="L17" s="4" t="n">
        <f aca="false">-L6*Assumptions!L32/100</f>
        <v>-842.520089225903</v>
      </c>
    </row>
    <row r="18" customFormat="false" ht="15" hidden="false" customHeight="false" outlineLevel="0" collapsed="false">
      <c r="A18" s="0" t="s">
        <v>131</v>
      </c>
      <c r="C18" s="4" t="n">
        <f aca="false">(C6-B6)*Assumptions!$B$37/100</f>
        <v>-65.4268799999999</v>
      </c>
      <c r="D18" s="4" t="n">
        <f aca="false">(D6-C6)*Assumptions!$B$37/100</f>
        <v>-66.7296784</v>
      </c>
      <c r="E18" s="4" t="n">
        <f aca="false">(E6-D6)*Assumptions!$B$37/100</f>
        <v>-63.99982792</v>
      </c>
      <c r="F18" s="4" t="n">
        <f aca="false">(F6-E6)*Assumptions!$B$37/100</f>
        <v>-60.4798373844</v>
      </c>
      <c r="G18" s="4" t="n">
        <f aca="false">(G6-F6)*Assumptions!$B$37/100</f>
        <v>-56.1790489481759</v>
      </c>
      <c r="H18" s="4" t="n">
        <f aca="false">(H6-G6)*Assumptions!$B$37/100</f>
        <v>-51.1229345428399</v>
      </c>
      <c r="I18" s="4" t="n">
        <f aca="false">(I6-H6)*Assumptions!$B$37/100</f>
        <v>-45.3533462158626</v>
      </c>
      <c r="J18" s="4" t="n">
        <f aca="false">(J6-I6)*Assumptions!$B$37/100</f>
        <v>-46.7139466023384</v>
      </c>
      <c r="K18" s="4" t="n">
        <f aca="false">(K6-J6)*Assumptions!$B$37/100</f>
        <v>-40.0961375003404</v>
      </c>
      <c r="L18" s="4" t="n">
        <f aca="false">(L6-K6)*Assumptions!$B$37/100</f>
        <v>-41.0985409378487</v>
      </c>
    </row>
    <row r="19" customFormat="false" ht="15" hidden="false" customHeight="false" outlineLevel="0" collapsed="false">
      <c r="A19" s="0" t="s">
        <v>132</v>
      </c>
      <c r="C19" s="0" t="n">
        <f aca="false">C15+C16+C17+C18</f>
        <v>1246.11461728</v>
      </c>
      <c r="D19" s="0" t="n">
        <f aca="false">D15+D16+D17+D18</f>
        <v>1336.466548746</v>
      </c>
      <c r="E19" s="0" t="n">
        <f aca="false">E15+E16+E17+E18</f>
        <v>1412.04420335594</v>
      </c>
      <c r="F19" s="0" t="n">
        <f aca="false">F15+F16+F17+F18</f>
        <v>1518.8536761712</v>
      </c>
      <c r="G19" s="0" t="n">
        <f aca="false">G15+G16+G17+G18</f>
        <v>1614.08025533005</v>
      </c>
      <c r="H19" s="0" t="n">
        <f aca="false">H15+H16+H17+H18</f>
        <v>1715.389900565</v>
      </c>
      <c r="I19" s="0" t="n">
        <f aca="false">I15+I16+I17+I18</f>
        <v>1813.0831627805</v>
      </c>
      <c r="J19" s="0" t="n">
        <f aca="false">J15+J16+J17+J18</f>
        <v>1907.57179516425</v>
      </c>
      <c r="K19" s="0" t="n">
        <f aca="false">K15+K16+K17+K18</f>
        <v>2004.14528874827</v>
      </c>
      <c r="L19" s="0" t="n">
        <f aca="false">L15+L16+L17+L18</f>
        <v>2054.24892096697</v>
      </c>
    </row>
    <row r="20" customFormat="false" ht="15" hidden="false" customHeight="false" outlineLevel="0" collapsed="false">
      <c r="A20" s="0" t="s">
        <v>133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134</v>
      </c>
      <c r="C21" s="0" t="n">
        <f aca="false">C19*C20</f>
        <v>1153.80983081481</v>
      </c>
      <c r="D21" s="0" t="n">
        <f aca="false">D19*D20</f>
        <v>1145.80465427469</v>
      </c>
      <c r="E21" s="0" t="n">
        <f aca="false">E19*E20</f>
        <v>1120.92621436959</v>
      </c>
      <c r="F21" s="0" t="n">
        <f aca="false">F19*F20</f>
        <v>1116.40279401547</v>
      </c>
      <c r="G21" s="0" t="n">
        <f aca="false">G19*G20</f>
        <v>1098.51590044158</v>
      </c>
      <c r="H21" s="0" t="n">
        <f aca="false">H19*H20</f>
        <v>1080.98661359809</v>
      </c>
      <c r="I21" s="0" t="n">
        <f aca="false">I19*I20</f>
        <v>1057.91661129391</v>
      </c>
      <c r="J21" s="0" t="n">
        <f aca="false">J19*J20</f>
        <v>1030.60168588082</v>
      </c>
      <c r="K21" s="0" t="n">
        <f aca="false">K19*K20</f>
        <v>1002.5716106777</v>
      </c>
      <c r="L21" s="0" t="n">
        <f aca="false">L19*L20</f>
        <v>951.514723096891</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8</v>
      </c>
    </row>
    <row r="28" customFormat="false" ht="15" hidden="false" customHeight="false" outlineLevel="0" collapsed="false">
      <c r="A28" s="0" t="s">
        <v>115</v>
      </c>
      <c r="B28" s="4" t="n">
        <f aca="false">Assumptions!$B$35</f>
        <v>2.5</v>
      </c>
    </row>
    <row r="29" customFormat="false" ht="15" hidden="false" customHeight="false" outlineLevel="0" collapsed="false">
      <c r="A29" s="0" t="s">
        <v>116</v>
      </c>
      <c r="B29" s="4" t="n">
        <f aca="false">Assumptions!$B$36</f>
        <v>18</v>
      </c>
    </row>
    <row r="30" customFormat="false" ht="15" hidden="false" customHeight="false" outlineLevel="0" collapsed="false">
      <c r="A30" s="0" t="s">
        <v>137</v>
      </c>
      <c r="B30" s="0" t="n">
        <f aca="false">SUM(C21:L21)</f>
        <v>10759.0506384636</v>
      </c>
    </row>
    <row r="31" customFormat="false" ht="15" hidden="false" customHeight="false" outlineLevel="0" collapsed="false">
      <c r="A31" s="0" t="s">
        <v>138</v>
      </c>
      <c r="B31" s="0" t="n">
        <f aca="false">L19</f>
        <v>2054.24892096697</v>
      </c>
    </row>
    <row r="32" customFormat="false" ht="15" hidden="false" customHeight="false" outlineLevel="0" collapsed="false">
      <c r="A32" s="0" t="s">
        <v>139</v>
      </c>
      <c r="B32" s="0" t="n">
        <f aca="false">IF(B27&gt;B28,B31*(1+B28/100)/((B27-B28)/100),B31*B29)</f>
        <v>38283.7298907481</v>
      </c>
    </row>
    <row r="33" customFormat="false" ht="15" hidden="false" customHeight="false" outlineLevel="0" collapsed="false">
      <c r="A33" s="0" t="s">
        <v>140</v>
      </c>
      <c r="B33" s="0" t="n">
        <f aca="false">B31*B29</f>
        <v>36976.4805774055</v>
      </c>
    </row>
    <row r="34" customFormat="false" ht="15" hidden="false" customHeight="false" outlineLevel="0" collapsed="false">
      <c r="A34" s="0" t="s">
        <v>141</v>
      </c>
      <c r="B34" s="0" t="n">
        <f aca="false">MAX(0,MIN(B32,B33))</f>
        <v>36976.4805774055</v>
      </c>
    </row>
    <row r="35" customFormat="false" ht="15" hidden="false" customHeight="false" outlineLevel="0" collapsed="false">
      <c r="A35" s="0" t="s">
        <v>142</v>
      </c>
      <c r="B35" s="0" t="n">
        <f aca="false">B34/(1+B27/100)^L4</f>
        <v>17127.265015744</v>
      </c>
    </row>
    <row r="36" customFormat="false" ht="15" hidden="false" customHeight="false" outlineLevel="0" collapsed="false">
      <c r="A36" s="0" t="s">
        <v>143</v>
      </c>
      <c r="B36" s="0" t="n">
        <f aca="false">B30+B35</f>
        <v>27886.3156542076</v>
      </c>
    </row>
    <row r="37" customFormat="false" ht="15" hidden="false" customHeight="false" outlineLevel="0" collapsed="false">
      <c r="A37" s="0" t="s">
        <v>144</v>
      </c>
      <c r="B37" s="0" t="n">
        <f aca="false">B36+Assumptions!$B$5-Assumptions!$B$4</f>
        <v>22169.6156542076</v>
      </c>
    </row>
    <row r="38" customFormat="false" ht="15" hidden="false" customHeight="false" outlineLevel="0" collapsed="false">
      <c r="A38" s="0" t="s">
        <v>145</v>
      </c>
      <c r="B38" s="0" t="n">
        <f aca="false">B37/Assumptions!$B$3*Assumptions!$B$10</f>
        <v>270.361166514727</v>
      </c>
    </row>
    <row r="39" customFormat="false" ht="15" hidden="false" customHeight="false" outlineLevel="0" collapsed="false">
      <c r="A39" s="0" t="s">
        <v>146</v>
      </c>
      <c r="B39" s="4" t="n">
        <f aca="false">B38/Assumptions!$B$2-1</f>
        <v>-0.112405888001554</v>
      </c>
    </row>
    <row r="41" customFormat="false" ht="15" hidden="false" customHeight="false" outlineLevel="0" collapsed="false">
      <c r="A41" s="0" t="s">
        <v>147</v>
      </c>
      <c r="B41" s="0" t="n">
        <f aca="false">SUMPRODUCT(-C10:L10/(1+$B$27/100)^C4:L4)</f>
        <v>1446.7137939968</v>
      </c>
    </row>
    <row r="42" customFormat="false" ht="15" hidden="false" customHeight="false" outlineLevel="0" collapsed="false">
      <c r="A42" s="0" t="s">
        <v>148</v>
      </c>
      <c r="B42" s="0" t="n">
        <f aca="false">IF(B27&gt;B28,-L10*(1+B28/100)/((B27-B28)/100),-L10*20)/(1+B27/100)^L4</f>
        <v>2181.85126026935</v>
      </c>
    </row>
    <row r="43" customFormat="false" ht="15" hidden="false" customHeight="false" outlineLevel="0" collapsed="false">
      <c r="A43" s="0" t="s">
        <v>149</v>
      </c>
      <c r="B43" s="0" t="n">
        <f aca="false">(B37+B41+B42)/Assumptions!$B$3*Assumptions!$B$10</f>
        <v>314.611959859436</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16844.8411519292</v>
      </c>
    </row>
    <row r="47" customFormat="false" ht="15" hidden="false" customHeight="false" outlineLevel="0" collapsed="false">
      <c r="A47" s="0" t="s">
        <v>151</v>
      </c>
      <c r="B47" s="0" t="n">
        <f aca="false">(SUMPRODUCT(C19:L19/(1+B45/100)^C4:L4)+B46/(1+B45/100)^L4+Assumptions!$B$5-Assumptions!$B$4)/Assumptions!$B$3*Assumptions!$B$10</f>
        <v>76.4005684518355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6.5</v>
      </c>
      <c r="D5" s="4" t="n">
        <f aca="false">Assumptions!D41</f>
        <v>6.5</v>
      </c>
      <c r="E5" s="4" t="n">
        <f aca="false">Assumptions!E41</f>
        <v>6.5</v>
      </c>
      <c r="F5" s="4" t="n">
        <f aca="false">Assumptions!F41</f>
        <v>6</v>
      </c>
      <c r="G5" s="4" t="n">
        <f aca="false">Assumptions!G41</f>
        <v>5.5</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14348</v>
      </c>
      <c r="C6" s="0" t="n">
        <f aca="false">B6*(1+C5/100)</f>
        <v>15280.62</v>
      </c>
      <c r="D6" s="0" t="n">
        <f aca="false">C6*(1+D5/100)</f>
        <v>16273.8603</v>
      </c>
      <c r="E6" s="0" t="n">
        <f aca="false">D6*(1+E5/100)</f>
        <v>17331.6612195</v>
      </c>
      <c r="F6" s="0" t="n">
        <f aca="false">E6*(1+F5/100)</f>
        <v>18371.56089267</v>
      </c>
      <c r="G6" s="0" t="n">
        <f aca="false">F6*(1+G5/100)</f>
        <v>19381.9967417668</v>
      </c>
      <c r="H6" s="0" t="n">
        <f aca="false">G6*(1+H5/100)</f>
        <v>20351.0965788552</v>
      </c>
      <c r="I6" s="0" t="n">
        <f aca="false">H6*(1+I5/100)</f>
        <v>21165.1404420094</v>
      </c>
      <c r="J6" s="0" t="n">
        <f aca="false">I6*(1+J5/100)</f>
        <v>21905.9203574797</v>
      </c>
      <c r="K6" s="0" t="n">
        <f aca="false">J6*(1+K5/100)</f>
        <v>22563.0979682041</v>
      </c>
      <c r="L6" s="0" t="n">
        <f aca="false">K6*(1+L5/100)</f>
        <v>23239.9909072502</v>
      </c>
    </row>
    <row r="7" customFormat="false" ht="15" hidden="false" customHeight="false" outlineLevel="0" collapsed="false">
      <c r="A7" s="0" t="s">
        <v>108</v>
      </c>
      <c r="C7" s="4" t="n">
        <f aca="false">Assumptions!C42</f>
        <v>17.4</v>
      </c>
      <c r="D7" s="4" t="n">
        <f aca="false">Assumptions!D42</f>
        <v>17.9</v>
      </c>
      <c r="E7" s="4" t="n">
        <f aca="false">Assumptions!E42</f>
        <v>18.3</v>
      </c>
      <c r="F7" s="4" t="n">
        <f aca="false">Assumptions!F42</f>
        <v>18.7</v>
      </c>
      <c r="G7" s="4" t="n">
        <f aca="false">Assumptions!G42</f>
        <v>19</v>
      </c>
      <c r="H7" s="4" t="n">
        <f aca="false">Assumptions!H42</f>
        <v>19</v>
      </c>
      <c r="I7" s="4" t="n">
        <f aca="false">Assumptions!I42</f>
        <v>19</v>
      </c>
      <c r="J7" s="4" t="n">
        <f aca="false">Assumptions!J42</f>
        <v>19</v>
      </c>
      <c r="K7" s="4" t="n">
        <f aca="false">Assumptions!K42</f>
        <v>19</v>
      </c>
      <c r="L7" s="4" t="n">
        <f aca="false">Assumptions!L42</f>
        <v>19</v>
      </c>
    </row>
    <row r="8" customFormat="false" ht="15" hidden="false" customHeight="false" outlineLevel="0" collapsed="false">
      <c r="A8" s="0" t="s">
        <v>43</v>
      </c>
      <c r="C8" s="0" t="n">
        <f aca="false">C6*C7/100</f>
        <v>2658.82788</v>
      </c>
      <c r="D8" s="0" t="n">
        <f aca="false">D6*D7/100</f>
        <v>2913.0209937</v>
      </c>
      <c r="E8" s="0" t="n">
        <f aca="false">E6*E7/100</f>
        <v>3171.6940031685</v>
      </c>
      <c r="F8" s="0" t="n">
        <f aca="false">F6*F7/100</f>
        <v>3435.48188692929</v>
      </c>
      <c r="G8" s="0" t="n">
        <f aca="false">G6*G7/100</f>
        <v>3682.5793809357</v>
      </c>
      <c r="H8" s="0" t="n">
        <f aca="false">H6*H7/100</f>
        <v>3866.70834998249</v>
      </c>
      <c r="I8" s="0" t="n">
        <f aca="false">I6*I7/100</f>
        <v>4021.37668398179</v>
      </c>
      <c r="J8" s="0" t="n">
        <f aca="false">J6*J7/100</f>
        <v>4162.12486792115</v>
      </c>
      <c r="K8" s="0" t="n">
        <f aca="false">K6*K7/100</f>
        <v>4286.98861395878</v>
      </c>
      <c r="L8" s="0" t="n">
        <f aca="false">L6*L7/100</f>
        <v>4415.59827237755</v>
      </c>
    </row>
    <row r="9" customFormat="false" ht="15" hidden="false" customHeight="false" outlineLevel="0" collapsed="false">
      <c r="A9" s="0" t="s">
        <v>109</v>
      </c>
      <c r="C9" s="4" t="n">
        <f aca="false">Assumptions!C43</f>
        <v>1.2</v>
      </c>
      <c r="D9" s="4" t="n">
        <f aca="false">Assumptions!D43</f>
        <v>1.2</v>
      </c>
      <c r="E9" s="4" t="n">
        <f aca="false">Assumptions!E43</f>
        <v>1.2</v>
      </c>
      <c r="F9" s="4" t="n">
        <f aca="false">Assumptions!F43</f>
        <v>1.2</v>
      </c>
      <c r="G9" s="4" t="n">
        <f aca="false">Assumptions!G43</f>
        <v>1.2</v>
      </c>
      <c r="H9" s="4" t="n">
        <f aca="false">Assumptions!H43</f>
        <v>1.2</v>
      </c>
      <c r="I9" s="4" t="n">
        <f aca="false">Assumptions!I43</f>
        <v>1.2</v>
      </c>
      <c r="J9" s="4" t="n">
        <f aca="false">Assumptions!J43</f>
        <v>1.2</v>
      </c>
      <c r="K9" s="4" t="n">
        <f aca="false">Assumptions!K43</f>
        <v>1.2</v>
      </c>
      <c r="L9" s="4" t="n">
        <f aca="false">Assumptions!L43</f>
        <v>1.2</v>
      </c>
    </row>
    <row r="10" customFormat="false" ht="15" hidden="false" customHeight="false" outlineLevel="0" collapsed="false">
      <c r="A10" s="0" t="s">
        <v>124</v>
      </c>
      <c r="C10" s="0" t="n">
        <f aca="false">-C6*C9/100</f>
        <v>-183.36744</v>
      </c>
      <c r="D10" s="0" t="n">
        <f aca="false">-D6*D9/100</f>
        <v>-195.2863236</v>
      </c>
      <c r="E10" s="0" t="n">
        <f aca="false">-E6*E9/100</f>
        <v>-207.979934634</v>
      </c>
      <c r="F10" s="0" t="n">
        <f aca="false">-F6*F9/100</f>
        <v>-220.45873071204</v>
      </c>
      <c r="G10" s="0" t="n">
        <f aca="false">-G6*G9/100</f>
        <v>-232.583960901202</v>
      </c>
      <c r="H10" s="0" t="n">
        <f aca="false">-H6*H9/100</f>
        <v>-244.213158946262</v>
      </c>
      <c r="I10" s="0" t="n">
        <f aca="false">-I6*I9/100</f>
        <v>-253.981685304113</v>
      </c>
      <c r="J10" s="0" t="n">
        <f aca="false">-J6*J9/100</f>
        <v>-262.871044289757</v>
      </c>
      <c r="K10" s="0" t="n">
        <f aca="false">-K6*K9/100</f>
        <v>-270.757175618449</v>
      </c>
      <c r="L10" s="0" t="n">
        <f aca="false">-L6*L9/100</f>
        <v>-278.879890887003</v>
      </c>
    </row>
    <row r="11" customFormat="false" ht="15" hidden="false" customHeight="false" outlineLevel="0" collapsed="false">
      <c r="A11" s="0" t="s">
        <v>125</v>
      </c>
      <c r="C11" s="0" t="n">
        <f aca="false">C8+C10+C24</f>
        <v>2475.46044</v>
      </c>
      <c r="D11" s="0" t="n">
        <f aca="false">D8+D10+D24</f>
        <v>2717.7346701</v>
      </c>
      <c r="E11" s="0" t="n">
        <f aca="false">E8+E10+E24</f>
        <v>2963.7140685345</v>
      </c>
      <c r="F11" s="0" t="n">
        <f aca="false">F8+F10+F24</f>
        <v>3215.02315621725</v>
      </c>
      <c r="G11" s="0" t="n">
        <f aca="false">G8+G10+G24</f>
        <v>3449.9954200345</v>
      </c>
      <c r="H11" s="0" t="n">
        <f aca="false">H8+H10+H24</f>
        <v>3622.49519103622</v>
      </c>
      <c r="I11" s="0" t="n">
        <f aca="false">I8+I10+I24</f>
        <v>3767.39499867767</v>
      </c>
      <c r="J11" s="0" t="n">
        <f aca="false">J8+J10+J24</f>
        <v>3899.25382363139</v>
      </c>
      <c r="K11" s="0" t="n">
        <f aca="false">K8+K10+K24</f>
        <v>4016.23143834033</v>
      </c>
      <c r="L11" s="0" t="n">
        <f aca="false">L8+L10+L24</f>
        <v>4136.71838149054</v>
      </c>
    </row>
    <row r="12" customFormat="false" ht="15" hidden="false" customHeight="false" outlineLevel="0" collapsed="false">
      <c r="A12" s="0" t="s">
        <v>126</v>
      </c>
      <c r="C12" s="4" t="n">
        <f aca="false">-C6*Assumptions!C45/100</f>
        <v>-733.46976</v>
      </c>
      <c r="D12" s="4" t="n">
        <f aca="false">-D6*Assumptions!D45/100</f>
        <v>-781.1452944</v>
      </c>
      <c r="E12" s="4" t="n">
        <f aca="false">-E6*Assumptions!E45/100</f>
        <v>-814.5880773165</v>
      </c>
      <c r="F12" s="4" t="n">
        <f aca="false">-F6*Assumptions!F45/100</f>
        <v>-863.46336195549</v>
      </c>
      <c r="G12" s="4" t="n">
        <f aca="false">-G6*Assumptions!G45/100</f>
        <v>-891.571850121275</v>
      </c>
      <c r="H12" s="4" t="n">
        <f aca="false">-H6*Assumptions!H45/100</f>
        <v>-936.150442627339</v>
      </c>
      <c r="I12" s="4" t="n">
        <f aca="false">-I6*Assumptions!I45/100</f>
        <v>-973.596460332432</v>
      </c>
      <c r="J12" s="4" t="n">
        <f aca="false">-J6*Assumptions!J45/100</f>
        <v>-1007.67233644407</v>
      </c>
      <c r="K12" s="4" t="n">
        <f aca="false">-K6*Assumptions!K45/100</f>
        <v>-1037.90250653739</v>
      </c>
      <c r="L12" s="4" t="n">
        <f aca="false">-L6*Assumptions!L45/100</f>
        <v>-1069.03958173351</v>
      </c>
    </row>
    <row r="13" customFormat="false" ht="15" hidden="false" customHeight="false" outlineLevel="0" collapsed="false">
      <c r="A13" s="0" t="s">
        <v>127</v>
      </c>
      <c r="C13" s="0" t="n">
        <f aca="false">C11+C12</f>
        <v>1741.99068</v>
      </c>
      <c r="D13" s="0" t="n">
        <f aca="false">D11+D12</f>
        <v>1936.5893757</v>
      </c>
      <c r="E13" s="0" t="n">
        <f aca="false">E11+E12</f>
        <v>2149.125991218</v>
      </c>
      <c r="F13" s="0" t="n">
        <f aca="false">F11+F12</f>
        <v>2351.55979426176</v>
      </c>
      <c r="G13" s="0" t="n">
        <f aca="false">G11+G12</f>
        <v>2558.42356991322</v>
      </c>
      <c r="H13" s="0" t="n">
        <f aca="false">H11+H12</f>
        <v>2686.34474840888</v>
      </c>
      <c r="I13" s="0" t="n">
        <f aca="false">I11+I12</f>
        <v>2793.79853834524</v>
      </c>
      <c r="J13" s="0" t="n">
        <f aca="false">J11+J12</f>
        <v>2891.58148718732</v>
      </c>
      <c r="K13" s="0" t="n">
        <f aca="false">K11+K12</f>
        <v>2978.32893180294</v>
      </c>
      <c r="L13" s="0" t="n">
        <f aca="false">L11+L12</f>
        <v>3067.67879975703</v>
      </c>
    </row>
    <row r="14" customFormat="false" ht="15" hidden="false" customHeight="false" outlineLevel="0" collapsed="false">
      <c r="A14" s="0" t="s">
        <v>113</v>
      </c>
      <c r="C14" s="4" t="n">
        <f aca="false">Assumptions!C47</f>
        <v>21</v>
      </c>
      <c r="D14" s="4" t="n">
        <f aca="false">Assumptions!D47</f>
        <v>22</v>
      </c>
      <c r="E14" s="4" t="n">
        <f aca="false">Assumptions!E47</f>
        <v>23</v>
      </c>
      <c r="F14" s="4" t="n">
        <f aca="false">Assumptions!F47</f>
        <v>23</v>
      </c>
      <c r="G14" s="4" t="n">
        <f aca="false">Assumptions!G47</f>
        <v>23</v>
      </c>
      <c r="H14" s="4" t="n">
        <f aca="false">Assumptions!H47</f>
        <v>23</v>
      </c>
      <c r="I14" s="4" t="n">
        <f aca="false">Assumptions!I47</f>
        <v>23</v>
      </c>
      <c r="J14" s="4" t="n">
        <f aca="false">Assumptions!J47</f>
        <v>23</v>
      </c>
      <c r="K14" s="4" t="n">
        <f aca="false">Assumptions!K47</f>
        <v>23</v>
      </c>
      <c r="L14" s="4" t="n">
        <f aca="false">Assumptions!L47</f>
        <v>23</v>
      </c>
    </row>
    <row r="15" customFormat="false" ht="15" hidden="false" customHeight="false" outlineLevel="0" collapsed="false">
      <c r="A15" s="0" t="s">
        <v>128</v>
      </c>
      <c r="C15" s="0" t="n">
        <f aca="false">C13-MAX(0,C13)*C14/100</f>
        <v>1376.1726372</v>
      </c>
      <c r="D15" s="0" t="n">
        <f aca="false">D13-MAX(0,D13)*D14/100</f>
        <v>1510.539713046</v>
      </c>
      <c r="E15" s="0" t="n">
        <f aca="false">E13-MAX(0,E13)*E14/100</f>
        <v>1654.82701323786</v>
      </c>
      <c r="F15" s="0" t="n">
        <f aca="false">F13-MAX(0,F13)*F14/100</f>
        <v>1810.70104158155</v>
      </c>
      <c r="G15" s="0" t="n">
        <f aca="false">G13-MAX(0,G13)*G14/100</f>
        <v>1969.98614883318</v>
      </c>
      <c r="H15" s="0" t="n">
        <f aca="false">H13-MAX(0,H13)*H14/100</f>
        <v>2068.48545627484</v>
      </c>
      <c r="I15" s="0" t="n">
        <f aca="false">I13-MAX(0,I13)*I14/100</f>
        <v>2151.22487452584</v>
      </c>
      <c r="J15" s="0" t="n">
        <f aca="false">J13-MAX(0,J13)*J14/100</f>
        <v>2226.51774513424</v>
      </c>
      <c r="K15" s="0" t="n">
        <f aca="false">K13-MAX(0,K13)*K14/100</f>
        <v>2293.31327748827</v>
      </c>
      <c r="L15" s="0" t="n">
        <f aca="false">L13-MAX(0,L13)*L14/100</f>
        <v>2362.11267581291</v>
      </c>
    </row>
    <row r="16" customFormat="false" ht="15" hidden="false" customHeight="false" outlineLevel="0" collapsed="false">
      <c r="A16" s="0" t="s">
        <v>129</v>
      </c>
      <c r="C16" s="0" t="n">
        <f aca="false">-C12</f>
        <v>733.46976</v>
      </c>
      <c r="D16" s="0" t="n">
        <f aca="false">-D12</f>
        <v>781.1452944</v>
      </c>
      <c r="E16" s="0" t="n">
        <f aca="false">-E12</f>
        <v>814.5880773165</v>
      </c>
      <c r="F16" s="0" t="n">
        <f aca="false">-F12</f>
        <v>863.46336195549</v>
      </c>
      <c r="G16" s="0" t="n">
        <f aca="false">-G12</f>
        <v>891.571850121275</v>
      </c>
      <c r="H16" s="0" t="n">
        <f aca="false">-H12</f>
        <v>936.150442627339</v>
      </c>
      <c r="I16" s="0" t="n">
        <f aca="false">-I12</f>
        <v>973.596460332432</v>
      </c>
      <c r="J16" s="0" t="n">
        <f aca="false">-J12</f>
        <v>1007.67233644407</v>
      </c>
      <c r="K16" s="0" t="n">
        <f aca="false">-K12</f>
        <v>1037.90250653739</v>
      </c>
      <c r="L16" s="0" t="n">
        <f aca="false">-L12</f>
        <v>1069.03958173351</v>
      </c>
    </row>
    <row r="17" customFormat="false" ht="15" hidden="false" customHeight="false" outlineLevel="0" collapsed="false">
      <c r="A17" s="0" t="s">
        <v>130</v>
      </c>
      <c r="C17" s="4" t="n">
        <f aca="false">-C6*Assumptions!C46/100</f>
        <v>-809.87286</v>
      </c>
      <c r="D17" s="4" t="n">
        <f aca="false">-D6*Assumptions!D46/100</f>
        <v>-862.5145959</v>
      </c>
      <c r="E17" s="4" t="n">
        <f aca="false">-E6*Assumptions!E46/100</f>
        <v>-918.5780446335</v>
      </c>
      <c r="F17" s="4" t="n">
        <f aca="false">-F6*Assumptions!F46/100</f>
        <v>-955.32116641884</v>
      </c>
      <c r="G17" s="4" t="n">
        <f aca="false">-G6*Assumptions!G46/100</f>
        <v>-969.099837088342</v>
      </c>
      <c r="H17" s="4" t="n">
        <f aca="false">-H6*Assumptions!H46/100</f>
        <v>-976.852635785049</v>
      </c>
      <c r="I17" s="4" t="n">
        <f aca="false">-I6*Assumptions!I46/100</f>
        <v>-973.596460332432</v>
      </c>
      <c r="J17" s="4" t="n">
        <f aca="false">-J6*Assumptions!J46/100</f>
        <v>-963.860495729108</v>
      </c>
      <c r="K17" s="4" t="n">
        <f aca="false">-K6*Assumptions!K46/100</f>
        <v>-947.650114664573</v>
      </c>
      <c r="L17" s="4" t="n">
        <f aca="false">-L6*Assumptions!L46/100</f>
        <v>-929.59963629001</v>
      </c>
    </row>
    <row r="18" customFormat="false" ht="15" hidden="false" customHeight="false" outlineLevel="0" collapsed="false">
      <c r="A18" s="0" t="s">
        <v>131</v>
      </c>
      <c r="C18" s="4" t="n">
        <f aca="false">(C6-B6)*Assumptions!$B$51/100</f>
        <v>-74.6095999999999</v>
      </c>
      <c r="D18" s="4" t="n">
        <f aca="false">(D6-C6)*Assumptions!$B$51/100</f>
        <v>-79.459224</v>
      </c>
      <c r="E18" s="4" t="n">
        <f aca="false">(E6-D6)*Assumptions!$B$51/100</f>
        <v>-84.62407356</v>
      </c>
      <c r="F18" s="4" t="n">
        <f aca="false">(F6-E6)*Assumptions!$B$51/100</f>
        <v>-83.1919738535999</v>
      </c>
      <c r="G18" s="4" t="n">
        <f aca="false">(G6-F6)*Assumptions!$B$51/100</f>
        <v>-80.8348679277478</v>
      </c>
      <c r="H18" s="4" t="n">
        <f aca="false">(H6-G6)*Assumptions!$B$51/100</f>
        <v>-77.5279869670674</v>
      </c>
      <c r="I18" s="4" t="n">
        <f aca="false">(I6-H6)*Assumptions!$B$51/100</f>
        <v>-65.1235090523367</v>
      </c>
      <c r="J18" s="4" t="n">
        <f aca="false">(J6-I6)*Assumptions!$B$51/100</f>
        <v>-59.2623932376262</v>
      </c>
      <c r="K18" s="4" t="n">
        <f aca="false">(K6-J6)*Assumptions!$B$51/100</f>
        <v>-52.5742088579515</v>
      </c>
      <c r="L18" s="4" t="n">
        <f aca="false">(L6-K6)*Assumptions!$B$51/100</f>
        <v>-54.1514351236899</v>
      </c>
    </row>
    <row r="19" customFormat="false" ht="15" hidden="false" customHeight="false" outlineLevel="0" collapsed="false">
      <c r="A19" s="0" t="s">
        <v>132</v>
      </c>
      <c r="C19" s="0" t="n">
        <f aca="false">C15+C16+C17+C18</f>
        <v>1225.1599372</v>
      </c>
      <c r="D19" s="0" t="n">
        <f aca="false">D15+D16+D17+D18</f>
        <v>1349.711187546</v>
      </c>
      <c r="E19" s="0" t="n">
        <f aca="false">E15+E16+E17+E18</f>
        <v>1466.21297236086</v>
      </c>
      <c r="F19" s="0" t="n">
        <f aca="false">F15+F16+F17+F18</f>
        <v>1635.65126326461</v>
      </c>
      <c r="G19" s="0" t="n">
        <f aca="false">G15+G16+G17+G18</f>
        <v>1811.62329393837</v>
      </c>
      <c r="H19" s="0" t="n">
        <f aca="false">H15+H16+H17+H18</f>
        <v>1950.25527615006</v>
      </c>
      <c r="I19" s="0" t="n">
        <f aca="false">I15+I16+I17+I18</f>
        <v>2086.1013654735</v>
      </c>
      <c r="J19" s="0" t="n">
        <f aca="false">J15+J16+J17+J18</f>
        <v>2211.06719261157</v>
      </c>
      <c r="K19" s="0" t="n">
        <f aca="false">K15+K16+K17+K18</f>
        <v>2330.99146050313</v>
      </c>
      <c r="L19" s="0" t="n">
        <f aca="false">L15+L16+L17+L18</f>
        <v>2447.40118613273</v>
      </c>
    </row>
    <row r="20" customFormat="false" ht="15" hidden="false" customHeight="false" outlineLevel="0" collapsed="false">
      <c r="A20" s="0" t="s">
        <v>133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134</v>
      </c>
      <c r="C21" s="0" t="n">
        <f aca="false">C19*C20</f>
        <v>1134.40734925926</v>
      </c>
      <c r="D21" s="0" t="n">
        <f aca="false">D19*D20</f>
        <v>1157.15979727881</v>
      </c>
      <c r="E21" s="0" t="n">
        <f aca="false">E19*E20</f>
        <v>1163.92712966207</v>
      </c>
      <c r="F21" s="0" t="n">
        <f aca="false">F19*F20</f>
        <v>1202.25250726372</v>
      </c>
      <c r="G21" s="0" t="n">
        <f aca="false">G19*G20</f>
        <v>1232.96037320939</v>
      </c>
      <c r="H21" s="0" t="n">
        <f aca="false">H19*H20</f>
        <v>1228.99163969829</v>
      </c>
      <c r="I21" s="0" t="n">
        <f aca="false">I19*I20</f>
        <v>1217.22011029701</v>
      </c>
      <c r="J21" s="0" t="n">
        <f aca="false">J19*J20</f>
        <v>1194.57080571117</v>
      </c>
      <c r="K21" s="0" t="n">
        <f aca="false">K19*K20</f>
        <v>1166.07607050894</v>
      </c>
      <c r="L21" s="0" t="n">
        <f aca="false">L19*L20</f>
        <v>1133.62029214741</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8</v>
      </c>
    </row>
    <row r="28" customFormat="false" ht="15" hidden="false" customHeight="false" outlineLevel="0" collapsed="false">
      <c r="A28" s="0" t="s">
        <v>115</v>
      </c>
      <c r="B28" s="4" t="n">
        <f aca="false">Assumptions!$B$49</f>
        <v>2.5</v>
      </c>
    </row>
    <row r="29" customFormat="false" ht="15" hidden="false" customHeight="false" outlineLevel="0" collapsed="false">
      <c r="A29" s="0" t="s">
        <v>116</v>
      </c>
      <c r="B29" s="4" t="n">
        <f aca="false">Assumptions!$B$50</f>
        <v>18</v>
      </c>
    </row>
    <row r="30" customFormat="false" ht="15" hidden="false" customHeight="false" outlineLevel="0" collapsed="false">
      <c r="A30" s="0" t="s">
        <v>137</v>
      </c>
      <c r="B30" s="0" t="n">
        <f aca="false">SUM(C21:L21)</f>
        <v>11831.1860750361</v>
      </c>
    </row>
    <row r="31" customFormat="false" ht="15" hidden="false" customHeight="false" outlineLevel="0" collapsed="false">
      <c r="A31" s="0" t="s">
        <v>138</v>
      </c>
      <c r="B31" s="0" t="n">
        <f aca="false">L19</f>
        <v>2447.40118613273</v>
      </c>
    </row>
    <row r="32" customFormat="false" ht="15" hidden="false" customHeight="false" outlineLevel="0" collapsed="false">
      <c r="A32" s="0" t="s">
        <v>139</v>
      </c>
      <c r="B32" s="0" t="n">
        <f aca="false">IF(B27&gt;B28,B31*(1+B28/100)/((B27-B28)/100),B31*B29)</f>
        <v>45610.6584688372</v>
      </c>
    </row>
    <row r="33" customFormat="false" ht="15" hidden="false" customHeight="false" outlineLevel="0" collapsed="false">
      <c r="A33" s="0" t="s">
        <v>140</v>
      </c>
      <c r="B33" s="0" t="n">
        <f aca="false">B31*B29</f>
        <v>44053.2213503891</v>
      </c>
    </row>
    <row r="34" customFormat="false" ht="15" hidden="false" customHeight="false" outlineLevel="0" collapsed="false">
      <c r="A34" s="0" t="s">
        <v>141</v>
      </c>
      <c r="B34" s="0" t="n">
        <f aca="false">MAX(0,MIN(B32,B33))</f>
        <v>44053.2213503891</v>
      </c>
    </row>
    <row r="35" customFormat="false" ht="15" hidden="false" customHeight="false" outlineLevel="0" collapsed="false">
      <c r="A35" s="0" t="s">
        <v>142</v>
      </c>
      <c r="B35" s="0" t="n">
        <f aca="false">B34/(1+B27/100)^L4</f>
        <v>20405.1652586534</v>
      </c>
    </row>
    <row r="36" customFormat="false" ht="15" hidden="false" customHeight="false" outlineLevel="0" collapsed="false">
      <c r="A36" s="0" t="s">
        <v>143</v>
      </c>
      <c r="B36" s="0" t="n">
        <f aca="false">B30+B35</f>
        <v>32236.3513336895</v>
      </c>
    </row>
    <row r="37" customFormat="false" ht="15" hidden="false" customHeight="false" outlineLevel="0" collapsed="false">
      <c r="A37" s="0" t="s">
        <v>144</v>
      </c>
      <c r="B37" s="0" t="n">
        <f aca="false">B36+Assumptions!$B$5-Assumptions!$B$4</f>
        <v>26519.6513336895</v>
      </c>
    </row>
    <row r="38" customFormat="false" ht="15" hidden="false" customHeight="false" outlineLevel="0" collapsed="false">
      <c r="A38" s="0" t="s">
        <v>145</v>
      </c>
      <c r="B38" s="0" t="n">
        <f aca="false">B37/Assumptions!$B$3*Assumptions!$B$10</f>
        <v>323.410382118164</v>
      </c>
    </row>
    <row r="39" customFormat="false" ht="15" hidden="false" customHeight="false" outlineLevel="0" collapsed="false">
      <c r="A39" s="0" t="s">
        <v>146</v>
      </c>
      <c r="B39" s="4" t="n">
        <f aca="false">B38/Assumptions!$B$2-1</f>
        <v>0.0617543733360606</v>
      </c>
    </row>
    <row r="41" customFormat="false" ht="15" hidden="false" customHeight="false" outlineLevel="0" collapsed="false">
      <c r="A41" s="0" t="s">
        <v>147</v>
      </c>
      <c r="B41" s="0" t="n">
        <f aca="false">SUMPRODUCT(-C10:L10/(1+$B$27/100)^C4:L4)</f>
        <v>1531.38285656261</v>
      </c>
    </row>
    <row r="42" customFormat="false" ht="15" hidden="false" customHeight="false" outlineLevel="0" collapsed="false">
      <c r="A42" s="0" t="s">
        <v>148</v>
      </c>
      <c r="B42" s="0" t="n">
        <f aca="false">IF(B27&gt;B28,-L10*(1+B28/100)/((B27-B28)/100),-L10*20)/(1+B27/100)^L4</f>
        <v>2407.35878458259</v>
      </c>
    </row>
    <row r="43" customFormat="false" ht="15" hidden="false" customHeight="false" outlineLevel="0" collapsed="false">
      <c r="A43" s="0" t="s">
        <v>149</v>
      </c>
      <c r="B43" s="0" t="n">
        <f aca="false">(B37+B41+B42)/Assumptions!$B$3*Assumptions!$B$10</f>
        <v>371.443816766276</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20068.6897262884</v>
      </c>
    </row>
    <row r="47" customFormat="false" ht="15" hidden="false" customHeight="false" outlineLevel="0" collapsed="false">
      <c r="A47" s="0" t="s">
        <v>151</v>
      </c>
      <c r="B47" s="0" t="n">
        <f aca="false">(SUMPRODUCT(C19:L19/(1+B45/100)^C4:L4)+B46/(1+B45/100)^L4+Assumptions!$B$5-Assumptions!$B$4)/Assumptions!$B$3*Assumptions!$B$10</f>
        <v>94.483134657755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197.892960707944</v>
      </c>
      <c r="C4" s="0" t="n">
        <f aca="false">B4/Assumptions!$B$2-1</f>
        <v>-0.350318579422378</v>
      </c>
      <c r="D4" s="4" t="n">
        <f aca="false">Assumptions!$B$24</f>
        <v>0.25</v>
      </c>
      <c r="E4" s="4" t="n">
        <f aca="false">DCF_Bear!$B$43</f>
        <v>235.040619062609</v>
      </c>
      <c r="F4" s="4" t="n">
        <f aca="false">DCF_Bear!$B$47</f>
        <v>52.4356328465069</v>
      </c>
    </row>
    <row r="5" customFormat="false" ht="15" hidden="false" customHeight="false" outlineLevel="0" collapsed="false">
      <c r="A5" s="0" t="s">
        <v>160</v>
      </c>
      <c r="B5" s="4" t="n">
        <f aca="false">DCF_Base!$B$38</f>
        <v>270.361166514727</v>
      </c>
      <c r="C5" s="0" t="n">
        <f aca="false">B5/Assumptions!$B$2-1</f>
        <v>-0.112405888001554</v>
      </c>
      <c r="D5" s="4" t="n">
        <f aca="false">Assumptions!$B$38</f>
        <v>0.5</v>
      </c>
      <c r="E5" s="4" t="n">
        <f aca="false">DCF_Base!$B$43</f>
        <v>314.611959859436</v>
      </c>
      <c r="F5" s="4" t="n">
        <f aca="false">DCF_Base!$B$47</f>
        <v>76.4005684518355</v>
      </c>
    </row>
    <row r="6" customFormat="false" ht="15" hidden="false" customHeight="false" outlineLevel="0" collapsed="false">
      <c r="A6" s="0" t="s">
        <v>161</v>
      </c>
      <c r="B6" s="4" t="n">
        <f aca="false">DCF_Bull!$B$38</f>
        <v>323.410382118164</v>
      </c>
      <c r="C6" s="0" t="n">
        <f aca="false">B6/Assumptions!$B$2-1</f>
        <v>0.0617543733360606</v>
      </c>
      <c r="D6" s="4" t="n">
        <f aca="false">Assumptions!$B$52</f>
        <v>0.25</v>
      </c>
      <c r="E6" s="4" t="n">
        <f aca="false">DCF_Bull!$B$43</f>
        <v>371.443816766276</v>
      </c>
      <c r="F6" s="4" t="n">
        <f aca="false">DCF_Bull!$B$47</f>
        <v>94.483134657755</v>
      </c>
    </row>
    <row r="8" customFormat="false" ht="15" hidden="false" customHeight="false" outlineLevel="0" collapsed="false">
      <c r="A8" s="0" t="s">
        <v>162</v>
      </c>
      <c r="B8" s="0" t="n">
        <f aca="false">SUMPRODUCT(B4:B6,D4:D6)</f>
        <v>265.50641896389</v>
      </c>
    </row>
    <row r="9" customFormat="false" ht="15" hidden="false" customHeight="false" outlineLevel="0" collapsed="false">
      <c r="A9" s="0" t="s">
        <v>163</v>
      </c>
      <c r="B9" s="0" t="n">
        <f aca="false">SUMPRODUCT(E4:E6,D4:D6)</f>
        <v>308.927088886939</v>
      </c>
    </row>
    <row r="10" customFormat="false" ht="15" hidden="false" customHeight="false" outlineLevel="0" collapsed="false">
      <c r="A10" s="0" t="s">
        <v>164</v>
      </c>
      <c r="B10" s="0" t="n">
        <f aca="false">1-Assumptions!$B$2/B8</f>
        <v>-0.1472415664701</v>
      </c>
    </row>
    <row r="11" customFormat="false" ht="15" hidden="false" customHeight="false" outlineLevel="0" collapsed="false">
      <c r="A11" s="0" t="s">
        <v>165</v>
      </c>
      <c r="B11" s="0" t="n">
        <f aca="false">IF(ABS(B9-B8)&gt;0.01*ABS(B8),(Assumptions!$B$2-B8)/(B9-B8)*100,"n/a")</f>
        <v>90.0344953345771</v>
      </c>
    </row>
    <row r="12" customFormat="false" ht="15" hidden="false" customHeight="false" outlineLevel="0" collapsed="false">
      <c r="A12" s="0" t="s">
        <v>166</v>
      </c>
      <c r="B12" s="0" t="n">
        <f aca="false">SUMPRODUCT(F4:F6,D4:D6)</f>
        <v>74.9299761019832</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270.361166514727</v>
      </c>
      <c r="C15" s="3" t="n">
        <v>8</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222.107745808129</v>
      </c>
      <c r="C16" s="3" t="n">
        <v>9</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181.411241303132</v>
      </c>
      <c r="C17" s="3" t="n">
        <v>10</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150.376192293936</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125.94637698549</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76.4005684518355</v>
      </c>
      <c r="C20" s="3" t="n">
        <v>15</v>
      </c>
    </row>
    <row r="22" customFormat="false" ht="15" hidden="false" customHeight="false" outlineLevel="0" collapsed="false">
      <c r="A22" s="2" t="s">
        <v>175</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327.2664033247</v>
      </c>
      <c r="C24" s="0" t="n">
        <f aca="false">(SUMPRODUCT(DCF_Base!$C$19:$L$19/(1+$A$24/100)^DCF_Base!$C$4:$L$4)+MAX(0,MIN(IF($A$24&gt;$C$23,DCF_Base!$L$19*(1+$C$23/100)/(($A$24-$C$23)/100),DCF_Base!$L$19*DCF_Base!$B$29),DCF_Base!$L$19*DCF_Base!$B$29))/(1+$A$24/100)^DCF_Base!$L$4+Assumptions!$B$5-Assumptions!$B$4)/Assumptions!$B$3*Assumptions!$B$10</f>
        <v>327.2664033247</v>
      </c>
      <c r="D24" s="0" t="n">
        <f aca="false">(SUMPRODUCT(DCF_Base!$C$19:$L$19/(1+$A$24/100)^DCF_Base!$C$4:$L$4)+MAX(0,MIN(IF($A$24&gt;$D$23,DCF_Base!$L$19*(1+$D$23/100)/(($A$24-$D$23)/100),DCF_Base!$L$19*DCF_Base!$B$29),DCF_Base!$L$19*DCF_Base!$B$29))/(1+$A$24/100)^DCF_Base!$L$4+Assumptions!$B$5-Assumptions!$B$4)/Assumptions!$B$3*Assumptions!$B$10</f>
        <v>327.2664033247</v>
      </c>
      <c r="E24" s="0" t="n">
        <f aca="false">(SUMPRODUCT(DCF_Base!$C$19:$L$19/(1+$A$24/100)^DCF_Base!$C$4:$L$4)+MAX(0,MIN(IF($A$24&gt;$E$23,DCF_Base!$L$19*(1+$E$23/100)/(($A$24-$E$23)/100),DCF_Base!$L$19*DCF_Base!$B$29),DCF_Base!$L$19*DCF_Base!$B$29))/(1+$A$24/100)^DCF_Base!$L$4+Assumptions!$B$5-Assumptions!$B$4)/Assumptions!$B$3*Assumptions!$B$10</f>
        <v>327.2664033247</v>
      </c>
      <c r="F24" s="0" t="n">
        <f aca="false">(SUMPRODUCT(DCF_Base!$C$19:$L$19/(1+$A$24/100)^DCF_Base!$C$4:$L$4)+MAX(0,MIN(IF($A$24&gt;$F$23,DCF_Base!$L$19*(1+$F$23/100)/(($A$24-$F$23)/100),DCF_Base!$L$19*DCF_Base!$B$29),DCF_Base!$L$19*DCF_Base!$B$29))/(1+$A$24/100)^DCF_Base!$L$4+Assumptions!$B$5-Assumptions!$B$4)/Assumptions!$B$3*Assumptions!$B$10</f>
        <v>327.2664033247</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297.452810303811</v>
      </c>
      <c r="C25" s="0" t="n">
        <f aca="false">(SUMPRODUCT(DCF_Base!$C$19:$L$19/(1+$A$25/100)^DCF_Base!$C$4:$L$4)+MAX(0,MIN(IF($A$25&gt;$C$23,DCF_Base!$L$19*(1+$C$23/100)/(($A$25-$C$23)/100),DCF_Base!$L$19*DCF_Base!$B$29),DCF_Base!$L$19*DCF_Base!$B$29))/(1+$A$25/100)^DCF_Base!$L$4+Assumptions!$B$5-Assumptions!$B$4)/Assumptions!$B$3*Assumptions!$B$10</f>
        <v>297.452810303811</v>
      </c>
      <c r="D25" s="0" t="n">
        <f aca="false">(SUMPRODUCT(DCF_Base!$C$19:$L$19/(1+$A$25/100)^DCF_Base!$C$4:$L$4)+MAX(0,MIN(IF($A$25&gt;$D$23,DCF_Base!$L$19*(1+$D$23/100)/(($A$25-$D$23)/100),DCF_Base!$L$19*DCF_Base!$B$29),DCF_Base!$L$19*DCF_Base!$B$29))/(1+$A$25/100)^DCF_Base!$L$4+Assumptions!$B$5-Assumptions!$B$4)/Assumptions!$B$3*Assumptions!$B$10</f>
        <v>297.452810303811</v>
      </c>
      <c r="E25" s="0" t="n">
        <f aca="false">(SUMPRODUCT(DCF_Base!$C$19:$L$19/(1+$A$25/100)^DCF_Base!$C$4:$L$4)+MAX(0,MIN(IF($A$25&gt;$E$23,DCF_Base!$L$19*(1+$E$23/100)/(($A$25-$E$23)/100),DCF_Base!$L$19*DCF_Base!$B$29),DCF_Base!$L$19*DCF_Base!$B$29))/(1+$A$25/100)^DCF_Base!$L$4+Assumptions!$B$5-Assumptions!$B$4)/Assumptions!$B$3*Assumptions!$B$10</f>
        <v>297.452810303811</v>
      </c>
      <c r="F25" s="0" t="n">
        <f aca="false">(SUMPRODUCT(DCF_Base!$C$19:$L$19/(1+$A$25/100)^DCF_Base!$C$4:$L$4)+MAX(0,MIN(IF($A$25&gt;$F$23,DCF_Base!$L$19*(1+$F$23/100)/(($A$25-$F$23)/100),DCF_Base!$L$19*DCF_Base!$B$29),DCF_Base!$L$19*DCF_Base!$B$29))/(1+$A$25/100)^DCF_Base!$L$4+Assumptions!$B$5-Assumptions!$B$4)/Assumptions!$B$3*Assumptions!$B$10</f>
        <v>297.452810303811</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242.69047569296</v>
      </c>
      <c r="C26" s="0" t="n">
        <f aca="false">(SUMPRODUCT(DCF_Base!$C$19:$L$19/(1+$A$26/100)^DCF_Base!$C$4:$L$4)+MAX(0,MIN(IF($A$26&gt;$C$23,DCF_Base!$L$19*(1+$C$23/100)/(($A$26-$C$23)/100),DCF_Base!$L$19*DCF_Base!$B$29),DCF_Base!$L$19*DCF_Base!$B$29))/(1+$A$26/100)^DCF_Base!$L$4+Assumptions!$B$5-Assumptions!$B$4)/Assumptions!$B$3*Assumptions!$B$10</f>
        <v>258.757328428179</v>
      </c>
      <c r="D26" s="0" t="n">
        <f aca="false">(SUMPRODUCT(DCF_Base!$C$19:$L$19/(1+$A$26/100)^DCF_Base!$C$4:$L$4)+MAX(0,MIN(IF($A$26&gt;$D$23,DCF_Base!$L$19*(1+$D$23/100)/(($A$26-$D$23)/100),DCF_Base!$L$19*DCF_Base!$B$29),DCF_Base!$L$19*DCF_Base!$B$29))/(1+$A$26/100)^DCF_Base!$L$4+Assumptions!$B$5-Assumptions!$B$4)/Assumptions!$B$3*Assumptions!$B$10</f>
        <v>270.361166514727</v>
      </c>
      <c r="E26" s="0" t="n">
        <f aca="false">(SUMPRODUCT(DCF_Base!$C$19:$L$19/(1+$A$26/100)^DCF_Base!$C$4:$L$4)+MAX(0,MIN(IF($A$26&gt;$E$23,DCF_Base!$L$19*(1+$E$23/100)/(($A$26-$E$23)/100),DCF_Base!$L$19*DCF_Base!$B$29),DCF_Base!$L$19*DCF_Base!$B$29))/(1+$A$26/100)^DCF_Base!$L$4+Assumptions!$B$5-Assumptions!$B$4)/Assumptions!$B$3*Assumptions!$B$10</f>
        <v>270.361166514727</v>
      </c>
      <c r="F26" s="0" t="n">
        <f aca="false">(SUMPRODUCT(DCF_Base!$C$19:$L$19/(1+$A$26/100)^DCF_Base!$C$4:$L$4)+MAX(0,MIN(IF($A$26&gt;$F$23,DCF_Base!$L$19*(1+$F$23/100)/(($A$26-$F$23)/100),DCF_Base!$L$19*DCF_Base!$B$29),DCF_Base!$L$19*DCF_Base!$B$29))/(1+$A$26/100)^DCF_Base!$L$4+Assumptions!$B$5-Assumptions!$B$4)/Assumptions!$B$3*Assumptions!$B$10</f>
        <v>270.361166514727</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198.447126189503</v>
      </c>
      <c r="C27" s="0" t="n">
        <f aca="false">(SUMPRODUCT(DCF_Base!$C$19:$L$19/(1+$A$27/100)^DCF_Base!$C$4:$L$4)+MAX(0,MIN(IF($A$27&gt;$C$23,DCF_Base!$L$19*(1+$C$23/100)/(($A$27-$C$23)/100),DCF_Base!$L$19*DCF_Base!$B$29),DCF_Base!$L$19*DCF_Base!$B$29))/(1+$A$27/100)^DCF_Base!$L$4+Assumptions!$B$5-Assumptions!$B$4)/Assumptions!$B$3*Assumptions!$B$10</f>
        <v>209.43241386958</v>
      </c>
      <c r="D27" s="0" t="n">
        <f aca="false">(SUMPRODUCT(DCF_Base!$C$19:$L$19/(1+$A$27/100)^DCF_Base!$C$4:$L$4)+MAX(0,MIN(IF($A$27&gt;$D$23,DCF_Base!$L$19*(1+$D$23/100)/(($A$27-$D$23)/100),DCF_Base!$L$19*DCF_Base!$B$29),DCF_Base!$L$19*DCF_Base!$B$29))/(1+$A$27/100)^DCF_Base!$L$4+Assumptions!$B$5-Assumptions!$B$4)/Assumptions!$B$3*Assumptions!$B$10</f>
        <v>222.107745808129</v>
      </c>
      <c r="E27" s="0" t="n">
        <f aca="false">(SUMPRODUCT(DCF_Base!$C$19:$L$19/(1+$A$27/100)^DCF_Base!$C$4:$L$4)+MAX(0,MIN(IF($A$27&gt;$E$23,DCF_Base!$L$19*(1+$E$23/100)/(($A$27-$E$23)/100),DCF_Base!$L$19*DCF_Base!$B$29),DCF_Base!$L$19*DCF_Base!$B$29))/(1+$A$27/100)^DCF_Base!$L$4+Assumptions!$B$5-Assumptions!$B$4)/Assumptions!$B$3*Assumptions!$B$10</f>
        <v>236.895633069771</v>
      </c>
      <c r="F27" s="0" t="n">
        <f aca="false">(SUMPRODUCT(DCF_Base!$C$19:$L$19/(1+$A$27/100)^DCF_Base!$C$4:$L$4)+MAX(0,MIN(IF($A$27&gt;$F$23,DCF_Base!$L$19*(1+$F$23/100)/(($A$27-$F$23)/100),DCF_Base!$L$19*DCF_Base!$B$29),DCF_Base!$L$19*DCF_Base!$B$29))/(1+$A$27/100)^DCF_Base!$L$4+Assumptions!$B$5-Assumptions!$B$4)/Assumptions!$B$3*Assumptions!$B$10</f>
        <v>245.714097950566</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164.745491424101</v>
      </c>
      <c r="C28" s="0" t="n">
        <f aca="false">(SUMPRODUCT(DCF_Base!$C$19:$L$19/(1+$A$28/100)^DCF_Base!$C$4:$L$4)+MAX(0,MIN(IF($A$28&gt;$C$23,DCF_Base!$L$19*(1+$C$23/100)/(($A$28-$C$23)/100),DCF_Base!$L$19*DCF_Base!$B$29),DCF_Base!$L$19*DCF_Base!$B$29))/(1+$A$28/100)^DCF_Base!$L$4+Assumptions!$B$5-Assumptions!$B$4)/Assumptions!$B$3*Assumptions!$B$10</f>
        <v>172.557561679897</v>
      </c>
      <c r="D28" s="0" t="n">
        <f aca="false">(SUMPRODUCT(DCF_Base!$C$19:$L$19/(1+$A$28/100)^DCF_Base!$C$4:$L$4)+MAX(0,MIN(IF($A$28&gt;$D$23,DCF_Base!$L$19*(1+$D$23/100)/(($A$28-$D$23)/100),DCF_Base!$L$19*DCF_Base!$B$29),DCF_Base!$L$19*DCF_Base!$B$29))/(1+$A$28/100)^DCF_Base!$L$4+Assumptions!$B$5-Assumptions!$B$4)/Assumptions!$B$3*Assumptions!$B$10</f>
        <v>181.411241303132</v>
      </c>
      <c r="E28" s="0" t="n">
        <f aca="false">(SUMPRODUCT(DCF_Base!$C$19:$L$19/(1+$A$28/100)^DCF_Base!$C$4:$L$4)+MAX(0,MIN(IF($A$28&gt;$E$23,DCF_Base!$L$19*(1+$E$23/100)/(($A$28-$E$23)/100),DCF_Base!$L$19*DCF_Base!$B$29),DCF_Base!$L$19*DCF_Base!$B$29))/(1+$A$28/100)^DCF_Base!$L$4+Assumptions!$B$5-Assumptions!$B$4)/Assumptions!$B$3*Assumptions!$B$10</f>
        <v>191.529732301115</v>
      </c>
      <c r="F28" s="0" t="n">
        <f aca="false">(SUMPRODUCT(DCF_Base!$C$19:$L$19/(1+$A$28/100)^DCF_Base!$C$4:$L$4)+MAX(0,MIN(IF($A$28&gt;$F$23,DCF_Base!$L$19*(1+$F$23/100)/(($A$28-$F$23)/100),DCF_Base!$L$19*DCF_Base!$B$29),DCF_Base!$L$19*DCF_Base!$B$29))/(1+$A$28/100)^DCF_Base!$L$4+Assumptions!$B$5-Assumptions!$B$4)/Assumptions!$B$3*Assumptions!$B$10</f>
        <v>203.204914221864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2026-10-02T00:18:58Z</dcterms:created>
  <dc:creator>openpyxl</dc:creator>
  <dc:description/>
  <dc:language>en-NZ</dc:language>
  <cp:lastModifiedBy/>
  <dcterms:modified xsi:type="dcterms:W3CDTF">2026-10-02T00:18:59Z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