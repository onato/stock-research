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CC"/>
    </font>
    <font>
      <color rgb="00007700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AA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164" fontId="0" fillId="0" borderId="0" pivotButton="0" quotePrefix="0" xfId="0"/>
    <xf numFmtId="164" fontId="2" fillId="3" borderId="0" pivotButton="0" quotePrefix="0" xfId="0"/>
    <xf numFmtId="0" fontId="3" fillId="0" borderId="0" pivotButton="0" quotePrefix="0" xfId="0"/>
    <xf numFmtId="0" fontId="1" fillId="4" borderId="0" pivotButton="0" quotePrefix="0" xfId="0"/>
    <xf numFmtId="164" fontId="2" fillId="0" borderId="0" pivotButton="0" quotePrefix="0" xfId="0"/>
    <xf numFmtId="164" fontId="1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1" t="inlineStr">
        <is>
          <t>NetEase (9999.HK / NTES) -- Owner-FCF DCF workbook</t>
        </is>
      </c>
    </row>
    <row r="2">
      <c r="A2" s="1" t="inlineStr">
        <is>
          <t>Version</t>
        </is>
      </c>
      <c r="B2" s="2" t="inlineStr">
        <is>
          <t>2026-08-29 full rebuild. Supersedes the 2026-06-25 model.</t>
        </is>
      </c>
    </row>
    <row r="3">
      <c r="A3" s="1" t="inlineStr">
        <is>
          <t>Built by</t>
        </is>
      </c>
      <c r="B3" s="2" t="inlineStr">
        <is>
          <t>dcf-analyst agent (Claude Opus 5), at the user's request, 2026-08-29.</t>
        </is>
      </c>
    </row>
    <row r="4">
      <c r="A4" s="1" t="inlineStr">
        <is>
          <t>What changed vs prior</t>
        </is>
      </c>
      <c r="B4" s="2" t="inlineStr">
        <is>
          <t>Net cash corrected from RMB39,859.7m (narrow cash only) to RMB167,496.0m stated / RMB150,089.1m after haircut -- the prior file omitted time deposits and short-term investments, understating net cash by ~RMB128bn (~HK$43/share). SBC now explicitly modelled (prior file omitted inputs.sbc). Horizon extended 5 -&gt; 10 years. Single WACC across scenarios (prior used 10/11/13%, charging risk three times). Component margin build replaces a flat 43% FCF margin.</t>
        </is>
      </c>
    </row>
    <row r="5">
      <c r="A5" s="1" t="inlineStr">
        <is>
          <t>PRICE anchor</t>
        </is>
      </c>
      <c r="B5" s="2" t="inlineStr">
        <is>
          <t>HK$192.20, 9999.HK HKEX regular close 2026-08-28 (regularMarketTime 2026-08-28T08:08:31Z). NTES ADS US$122.76, 2026-08-28T20:00:00Z close. Both regular-session, not after-hours.</t>
        </is>
      </c>
    </row>
    <row r="6">
      <c r="A6" s="1" t="inlineStr">
        <is>
          <t>BALANCE SHEET anchor</t>
        </is>
      </c>
      <c r="B6" s="2" t="inlineStr">
        <is>
          <t>2026-06-30 (Q2-2026 6-K). Net cash reconciles: cash 22,814.5 + time deposits 101,978.6 + restricted 4,447.5 + short-term investments 50,599.6 + non-current TD 260.0 - short-term loans 12,604.2 = 167,496.0.</t>
        </is>
      </c>
    </row>
    <row r="7">
      <c r="A7" s="1" t="inlineStr">
        <is>
          <t>SHARE COUNT anchor</t>
        </is>
      </c>
      <c r="B7" s="2" t="inlineStr">
        <is>
          <t>3,221.6m fully diluted ordinary, Q2-2026 6-K. NOT 3,210.6m, which is the H1-2025 six-month average (the 6-K share row has seven columns).</t>
        </is>
      </c>
    </row>
    <row r="8">
      <c r="A8" s="1" t="inlineStr">
        <is>
          <t>GUIDANCE anchor</t>
        </is>
      </c>
      <c r="B8" s="2" t="inlineStr">
        <is>
          <t>Q2-2026 results 2026-08-20: FY2026 revenue mid-to-high single-digit growth; gaming gross margin mid-to-high 70s; effective tax rate elevated vs prior year (H1-2026 21.7% vs 15.0%).</t>
        </is>
      </c>
    </row>
    <row r="9">
      <c r="A9" s="1" t="inlineStr">
        <is>
          <t>METHOD</t>
        </is>
      </c>
      <c r="B9" s="2" t="inlineStr">
        <is>
          <t>Owner-FCF DCF, three scenarios, probability-weighted. Routed via .claude/skills/dcf-methods/SKILL.md -- asset-light cash-generative operating company.</t>
        </is>
      </c>
    </row>
    <row r="10">
      <c r="A10" s="1" t="inlineStr">
        <is>
          <t>Owner FCF definition</t>
        </is>
      </c>
      <c r="B10" s="2" t="inlineStr">
        <is>
          <t>reported FCF less SBC less net interest income. SBC expensed in the flows AND share count held FLAT -- charged exactly once, never both expensed and diluted.</t>
        </is>
      </c>
    </row>
    <row r="11">
      <c r="A11" s="1" t="inlineStr">
        <is>
          <t>Why interest income is stripped</t>
        </is>
      </c>
      <c r="B11" s="2" t="inlineStr">
        <is>
          <t>Net cash is ~3.5x the owner-FCF base and is added separately in the bridge; leaving its income in the flows would count the treasury twice.</t>
        </is>
      </c>
    </row>
    <row r="12">
      <c r="A12" s="1" t="inlineStr">
        <is>
          <t>NET CASH HAIRCUT (judgement)</t>
        </is>
      </c>
      <c r="B12" s="2" t="inlineStr">
        <is>
          <t>10.4% total: restricted cash excluded entirely; short-term investments at 90% for mark-to-market risk (the Q2-2026 earnings drop was caused by exactly this book); 5% repatriation friction for PRC withholding tax on onshore dividends. Flex cell is on Assumptions.</t>
        </is>
      </c>
    </row>
    <row r="13">
      <c r="A13" s="1" t="inlineStr">
        <is>
          <t>TAX</t>
        </is>
      </c>
      <c r="B13" s="2" t="inlineStr">
        <is>
          <t>Ramped to 24% base, NOT reverted to the 14-15% of prior years -- the H1-2026 step-up to 21.7% is treated as structural (expiring preferential software/HNTE rates).</t>
        </is>
      </c>
    </row>
    <row r="14">
      <c r="A14" s="1" t="inlineStr">
        <is>
          <t>WACC</t>
        </is>
      </c>
      <c r="B14" s="2" t="inlineStr">
        <is>
          <t>10.5% for ALL scenarios, built from RMB inputs (China 10yr ~1.8% + ERP ~6.0% + ~2.7pp China-tech regulatory/geopolitical premium). Risk charged once, in the flows.</t>
        </is>
      </c>
    </row>
    <row r="15">
      <c r="A15" s="1" t="inlineStr">
        <is>
          <t>MINORITY INTEREST</t>
        </is>
      </c>
      <c r="B15" s="2" t="inlineStr">
        <is>
          <t>Youdao (DAO) and Cloud Music (9899) are listed subsidiaries. NCI charged ONCE and immaterial: FY2025 comprehensive income attributable to NCI was a LOSS of RMB932.6m; redeemable NCI carrying value only RMB91.3m.</t>
        </is>
      </c>
    </row>
    <row r="16">
      <c r="A16" s="1" t="inlineStr">
        <is>
          <t>LEASES</t>
        </is>
      </c>
      <c r="B16" s="2" t="inlineStr">
        <is>
          <t>No adjustment. US-GAAP 20-F filer; operating lease cost already in opex; lease liabilities excluded from total_debt. One treatment, consistently applied.</t>
        </is>
      </c>
    </row>
    <row r="17">
      <c r="A17" s="1" t="inlineStr">
        <is>
          <t>Whose judgement</t>
        </is>
      </c>
      <c r="B17" s="2" t="inlineStr">
        <is>
          <t>Scenario driver paths set by the dcf-analyst agent on 2026-08-29 from Q2-2026 actuals, FY2025 20-F, and the refreshed Analysis JSON.</t>
        </is>
      </c>
    </row>
    <row r="18">
      <c r="A18" s="1" t="inlineStr">
        <is>
          <t>REFRESH AFTER NEXT PRINT</t>
        </is>
      </c>
      <c r="B18" s="2" t="inlineStr">
        <is>
          <t>Q3-2026 (due ~Nov 2026): refresh price, net cash and its date, diluted share count, the effective tax rate (is 21.7% holding?), and above all the GAMING GROSS MARGIN -- the whole base case rests on the platform revenue-sharing gain persisting.</t>
        </is>
      </c>
    </row>
    <row r="19">
      <c r="A19" s="1" t="inlineStr">
        <is>
          <t>THESE FIGURES GO STALE</t>
        </is>
      </c>
      <c r="B19" s="2" t="inlineStr">
        <is>
          <t>Prices, balance-sheet anchors and guidance are point-in-time as at 2026-08-29 and must be re-verified before any decision.</t>
        </is>
      </c>
    </row>
    <row r="20">
      <c r="A20" s="1" t="inlineStr">
        <is>
          <t>Colour legend</t>
        </is>
      </c>
      <c r="B20" s="2" t="inlineStr">
        <is>
          <t>BLUE bold = hardcoded input. YELLOW fill = key driver lever. Black = formula. GREEN = cross-sheet link.</t>
        </is>
      </c>
    </row>
    <row r="21">
      <c r="A21" s="1" t="inlineStr">
        <is>
          <t>Currency</t>
        </is>
      </c>
      <c r="B21" s="2" t="inlineStr">
        <is>
          <t>Modelled in RMB millions. Headline value in HKD at RMB:HKD 1.08 (HKD is the quote currency of the primary listing). USD per ADS at RMB:USD 7.20, 1 ADS = 5 ordinary.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Reported history -- all hardcoded, RMB millions</t>
        </is>
      </c>
    </row>
    <row r="3">
      <c r="A3" s="3" t="inlineStr">
        <is>
          <t>FY</t>
        </is>
      </c>
      <c r="B3" s="3" t="n">
        <v>2019</v>
      </c>
      <c r="C3" s="3" t="n">
        <v>2020</v>
      </c>
      <c r="D3" s="3" t="n">
        <v>2021</v>
      </c>
      <c r="E3" s="3" t="n">
        <v>2022</v>
      </c>
      <c r="F3" s="3" t="n">
        <v>2023</v>
      </c>
      <c r="G3" s="3" t="n">
        <v>2024</v>
      </c>
      <c r="H3" s="3" t="n">
        <v>2025</v>
      </c>
      <c r="I3" s="3" t="inlineStr">
        <is>
          <t>TTM Q2-26</t>
        </is>
      </c>
    </row>
    <row r="4">
      <c r="A4" s="1" t="inlineStr">
        <is>
          <t>Revenue</t>
        </is>
      </c>
      <c r="B4" s="4" t="n">
        <v>60925.1</v>
      </c>
      <c r="C4" s="4" t="n">
        <v>73631.2</v>
      </c>
      <c r="D4" s="4" t="n">
        <v>87987.60000000001</v>
      </c>
      <c r="E4" s="4" t="n">
        <v>99423</v>
      </c>
      <c r="F4" s="4" t="n">
        <v>103437.7</v>
      </c>
      <c r="G4" s="4" t="n">
        <v>105377.6</v>
      </c>
      <c r="H4" s="4" t="n">
        <v>112625.8</v>
      </c>
      <c r="I4" s="4" t="n">
        <v>116582.5</v>
      </c>
    </row>
    <row r="5">
      <c r="A5" s="1" t="inlineStr">
        <is>
          <t>Operating cash flow</t>
        </is>
      </c>
      <c r="B5" s="4" t="n">
        <v>17216.5</v>
      </c>
      <c r="C5" s="4" t="n">
        <v>24888.2</v>
      </c>
      <c r="D5" s="4" t="n">
        <v>24926.7</v>
      </c>
      <c r="E5" s="4" t="n">
        <v>27709.2</v>
      </c>
      <c r="F5" s="4" t="n">
        <v>35331.3</v>
      </c>
      <c r="G5" s="4" t="n">
        <v>39676.8</v>
      </c>
      <c r="H5" s="4" t="n">
        <v>50739.8</v>
      </c>
      <c r="I5" s="4" t="n"/>
    </row>
    <row r="6">
      <c r="A6" s="1" t="inlineStr">
        <is>
          <t>Capex</t>
        </is>
      </c>
      <c r="B6" s="4" t="n">
        <v>1209.5</v>
      </c>
      <c r="C6" s="4" t="n">
        <v>1055.6</v>
      </c>
      <c r="D6" s="4" t="n">
        <v>1601.8</v>
      </c>
      <c r="E6" s="4" t="n">
        <v>2100.3</v>
      </c>
      <c r="F6" s="4" t="n">
        <v>2301.6</v>
      </c>
      <c r="G6" s="4" t="n">
        <v>1275.4</v>
      </c>
      <c r="H6" s="4" t="n">
        <v>1065.4</v>
      </c>
      <c r="I6" s="4" t="n"/>
    </row>
    <row r="7">
      <c r="A7" s="1" t="inlineStr">
        <is>
          <t>Reported FCF</t>
        </is>
      </c>
      <c r="B7" s="4" t="n">
        <v>16007</v>
      </c>
      <c r="C7" s="4" t="n">
        <v>23832.6</v>
      </c>
      <c r="D7" s="4" t="n">
        <v>23324.9</v>
      </c>
      <c r="E7" s="4" t="n">
        <v>25609</v>
      </c>
      <c r="F7" s="4" t="n">
        <v>33029.7</v>
      </c>
      <c r="G7" s="4" t="n">
        <v>38401.4</v>
      </c>
      <c r="H7" s="4" t="n">
        <v>49674.4</v>
      </c>
      <c r="I7" s="4" t="n">
        <v>50036.6</v>
      </c>
    </row>
    <row r="8">
      <c r="A8" s="1" t="inlineStr">
        <is>
          <t>less SBC</t>
        </is>
      </c>
      <c r="B8" s="4" t="n">
        <v>2404.1</v>
      </c>
      <c r="C8" s="4" t="n">
        <v>2663.5</v>
      </c>
      <c r="D8" s="4" t="n">
        <v>3041.5</v>
      </c>
      <c r="E8" s="4" t="n">
        <v>3174.2</v>
      </c>
      <c r="F8" s="4" t="n">
        <v>3242.8</v>
      </c>
      <c r="G8" s="4" t="n">
        <v>3882.9</v>
      </c>
      <c r="H8" s="4" t="n">
        <v>3647.7</v>
      </c>
      <c r="I8" s="4" t="n">
        <v>3199.2</v>
      </c>
    </row>
    <row r="9">
      <c r="A9" s="1" t="inlineStr">
        <is>
          <t>less net interest income</t>
        </is>
      </c>
      <c r="B9" s="4" t="n">
        <v>821.8</v>
      </c>
      <c r="C9" s="4" t="n">
        <v>1598.6</v>
      </c>
      <c r="D9" s="4" t="n">
        <v>1519.7</v>
      </c>
      <c r="E9" s="4" t="n">
        <v>2149.7</v>
      </c>
      <c r="F9" s="4" t="n">
        <v>4120.4</v>
      </c>
      <c r="G9" s="4" t="n">
        <v>4920.9</v>
      </c>
      <c r="H9" s="4" t="n">
        <v>3953.5</v>
      </c>
      <c r="I9" s="4" t="n">
        <v>3953.5</v>
      </c>
    </row>
    <row r="10">
      <c r="A10" s="1" t="inlineStr">
        <is>
          <t>Owner FCF</t>
        </is>
      </c>
      <c r="B10" s="4" t="n">
        <v>12781.1</v>
      </c>
      <c r="C10" s="4" t="n">
        <v>19570.5</v>
      </c>
      <c r="D10" s="4" t="n">
        <v>18763.7</v>
      </c>
      <c r="E10" s="4" t="n">
        <v>20285.1</v>
      </c>
      <c r="F10" s="4" t="n">
        <v>25666.5</v>
      </c>
      <c r="G10" s="4" t="n">
        <v>29597.6</v>
      </c>
      <c r="H10" s="4" t="n">
        <v>42073.3</v>
      </c>
      <c r="I10" s="4" t="n">
        <v>42883.9</v>
      </c>
    </row>
    <row r="11">
      <c r="A11" s="1" t="inlineStr">
        <is>
          <t>Net income attributable</t>
        </is>
      </c>
      <c r="B11" s="4" t="n">
        <v>10989.9</v>
      </c>
      <c r="C11" s="4" t="n">
        <v>12062.8</v>
      </c>
      <c r="D11" s="4" t="n">
        <v>16856.8</v>
      </c>
      <c r="E11" s="4" t="n">
        <v>20337.6</v>
      </c>
      <c r="F11" s="4" t="n">
        <v>29416.6</v>
      </c>
      <c r="G11" s="4" t="n">
        <v>29697.6</v>
      </c>
      <c r="H11" s="4" t="n">
        <v>33759.8</v>
      </c>
      <c r="I11" s="4" t="n">
        <v>32570.3</v>
      </c>
    </row>
    <row r="12">
      <c r="A12" s="1" t="inlineStr">
        <is>
          <t>Shareholders equity</t>
        </is>
      </c>
      <c r="B12" s="4" t="n">
        <v>102388.2</v>
      </c>
      <c r="C12" s="4" t="n">
        <v>118044.8</v>
      </c>
      <c r="D12" s="4" t="n">
        <v>128766.8</v>
      </c>
      <c r="E12" s="4" t="n">
        <v>120571.4</v>
      </c>
      <c r="F12" s="4" t="n">
        <v>124285.8</v>
      </c>
      <c r="G12" s="4" t="n">
        <v>138685.6</v>
      </c>
      <c r="H12" s="4" t="n">
        <v>160296.1</v>
      </c>
      <c r="I12" s="4" t="n">
        <v>167090.5</v>
      </c>
    </row>
    <row r="13">
      <c r="A13" s="1" t="inlineStr">
        <is>
          <t>Diluted ord shares (m)</t>
        </is>
      </c>
      <c r="B13" s="4" t="n"/>
      <c r="C13" s="4" t="n">
        <v>3349.8</v>
      </c>
      <c r="D13" s="4" t="n">
        <v>3367.5</v>
      </c>
      <c r="E13" s="4" t="n">
        <v>3296</v>
      </c>
      <c r="F13" s="4" t="n">
        <v>3252</v>
      </c>
      <c r="G13" s="4" t="n">
        <v>3230.6</v>
      </c>
      <c r="H13" s="4" t="n">
        <v>3218.2</v>
      </c>
      <c r="I13" s="4" t="n">
        <v>3221.6</v>
      </c>
    </row>
    <row r="14">
      <c r="A14" s="1" t="inlineStr">
        <is>
          <t>EPS diluted RMB/ord</t>
        </is>
      </c>
      <c r="B14" s="4" t="n"/>
      <c r="C14" s="4" t="n">
        <v>3.6</v>
      </c>
      <c r="D14" s="4" t="n">
        <v>5.01</v>
      </c>
      <c r="E14" s="4" t="n">
        <v>6.17</v>
      </c>
      <c r="F14" s="4" t="n">
        <v>9.050000000000001</v>
      </c>
      <c r="G14" s="4" t="n">
        <v>9.19</v>
      </c>
      <c r="H14" s="4" t="n">
        <v>10.48</v>
      </c>
      <c r="I14" s="4" t="n"/>
    </row>
    <row r="16">
      <c r="A16" t="inlineStr">
        <is>
          <t>Source: FY2021/FY2023/FY2025 20-F (SBC line 733/765/788; interest income net line 598/608/625; OCF and capex from the cash flow statement). TTM = FY2025 + H1-2026 - H1-2025.</t>
        </is>
      </c>
    </row>
    <row r="18">
      <c r="A18" s="1" t="inlineStr">
        <is>
          <t>FY2025 FCF QUALITY WARNING</t>
        </is>
      </c>
    </row>
    <row r="19">
      <c r="A19" t="inlineStr">
        <is>
          <t>FY2025 OCF included an RMB8,400m working-capital inflow (contract liabilities +5,400, payables +1,900, taxes payable +1,100).</t>
        </is>
      </c>
    </row>
    <row r="20">
      <c r="A20" t="inlineStr">
        <is>
          <t>That is 16.9% of reported FCF and ~116% of the FY2025 revenue increase -- NOT repeatable. It is why the forward model uses a 35% WC capture rate.</t>
        </is>
      </c>
    </row>
    <row r="22">
      <c r="A22" s="1" t="inlineStr">
        <is>
          <t>Balance sheet at 2026-06-30 (RMB m)</t>
        </is>
      </c>
    </row>
    <row r="23">
      <c r="A23" s="1" t="inlineStr">
        <is>
          <t>Cash and equivalents</t>
        </is>
      </c>
      <c r="B23" s="4" t="n">
        <v>22814.5</v>
      </c>
    </row>
    <row r="24">
      <c r="A24" s="1" t="inlineStr">
        <is>
          <t>Time deposits (current)</t>
        </is>
      </c>
      <c r="B24" s="4" t="n">
        <v>101978.6</v>
      </c>
    </row>
    <row r="25">
      <c r="A25" s="1" t="inlineStr">
        <is>
          <t>Restricted cash</t>
        </is>
      </c>
      <c r="B25" s="4" t="n">
        <v>4447.5</v>
      </c>
    </row>
    <row r="26">
      <c r="A26" s="1" t="inlineStr">
        <is>
          <t>Short-term investments</t>
        </is>
      </c>
      <c r="B26" s="4" t="n">
        <v>50599.6</v>
      </c>
    </row>
    <row r="27">
      <c r="A27" s="1" t="inlineStr">
        <is>
          <t>Time deposits (non-current)</t>
        </is>
      </c>
      <c r="B27" s="4" t="n">
        <v>260</v>
      </c>
    </row>
    <row r="28">
      <c r="A28" s="1" t="inlineStr">
        <is>
          <t>Short-term loans</t>
        </is>
      </c>
      <c r="B28" s="4" t="n">
        <v>-12604.2</v>
      </c>
    </row>
    <row r="29">
      <c r="A29" s="1" t="inlineStr">
        <is>
          <t>Net cash, company stated</t>
        </is>
      </c>
      <c r="B29" s="1" t="n">
        <v>167496</v>
      </c>
    </row>
    <row r="31">
      <c r="A31" s="1" t="inlineStr">
        <is>
          <t>Buyback status</t>
        </is>
      </c>
    </row>
    <row r="32">
      <c r="A32" t="inlineStr">
        <is>
          <t>FY2025 financing outflow RMB20,159.8m; ~24.8m ADSs repurchased under the US$5.0bn authorization extended to January 2029.</t>
        </is>
      </c>
    </row>
    <row r="33">
      <c r="A33" t="inlineStr">
        <is>
          <t>Share count has actually FALLEN 3,349.8m (FY2020) -&gt; 3,218.2m (FY2025), so the flat-count assumption is funded, not aspirational.</t>
        </is>
      </c>
    </row>
    <row r="34">
      <c r="A34" t="inlineStr">
        <is>
          <t>Dividend: US$0.096/ordinary share (US$0.48/ADS) declared for Q2-2026.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75" customWidth="1" min="2" max="2"/>
    <col width="48" customWidth="1" min="3" max="3"/>
  </cols>
  <sheetData>
    <row r="1">
      <c r="A1" s="1" t="inlineStr">
        <is>
          <t>Global assumptions</t>
        </is>
      </c>
    </row>
    <row r="2">
      <c r="A2" s="1" t="inlineStr">
        <is>
          <t>Base revenue TTM (RMB m)</t>
        </is>
      </c>
      <c r="B2" s="5" t="n">
        <v>116582.5</v>
      </c>
      <c r="C2" t="inlineStr">
        <is>
          <t>TTM = FY2025 + H1-2026 - H1-2025</t>
        </is>
      </c>
    </row>
    <row r="3">
      <c r="A3" s="1" t="inlineStr">
        <is>
          <t>Diluted ordinary shares (m)</t>
        </is>
      </c>
      <c r="B3" s="5" t="n">
        <v>3221.6</v>
      </c>
      <c r="C3" t="inlineStr">
        <is>
          <t>Q2-2026 6-K; held FLAT because SBC is expensed</t>
        </is>
      </c>
    </row>
    <row r="4">
      <c r="A4" s="1" t="inlineStr">
        <is>
          <t>Net cash STATED (RMB m)</t>
        </is>
      </c>
      <c r="B4" s="5" t="n">
        <v>167496</v>
      </c>
      <c r="C4" t="inlineStr">
        <is>
          <t>Company-stated at 2026-06-30; reconciles from the balance sheet</t>
        </is>
      </c>
    </row>
    <row r="5">
      <c r="A5" s="1" t="inlineStr">
        <is>
          <t xml:space="preserve">  Restricted cash EXCLUDED (RMB m)</t>
        </is>
      </c>
      <c r="B5" s="5" t="n">
        <v>4447.5</v>
      </c>
      <c r="C5" t="inlineStr">
        <is>
          <t>Not available to shareholders</t>
        </is>
      </c>
    </row>
    <row r="6">
      <c r="A6" s="1" t="inlineStr">
        <is>
          <t xml:space="preserve">  ST investments haircut</t>
        </is>
      </c>
      <c r="B6" s="5" t="n">
        <v>0.1</v>
      </c>
      <c r="C6" t="inlineStr">
        <is>
          <t>Mark-to-market risk; this book caused the Q2-2026 earnings drop</t>
        </is>
      </c>
    </row>
    <row r="7">
      <c r="A7" s="1" t="inlineStr">
        <is>
          <t xml:space="preserve">  ST investments balance (RMB m)</t>
        </is>
      </c>
      <c r="B7" s="5" t="n">
        <v>50599.6</v>
      </c>
      <c r="C7" t="inlineStr">
        <is>
          <t>Balance the haircut applies to</t>
        </is>
      </c>
    </row>
    <row r="8">
      <c r="A8" s="1" t="inlineStr">
        <is>
          <t xml:space="preserve">  Repatriation friction</t>
        </is>
      </c>
      <c r="B8" s="5" t="n">
        <v>0.05</v>
      </c>
      <c r="C8" t="inlineStr">
        <is>
          <t>PRC withholding tax on onshore dividends, partial-repatriation basis</t>
        </is>
      </c>
    </row>
    <row r="9">
      <c r="A9" s="1" t="inlineStr">
        <is>
          <t>Net cash USED (RMB m)</t>
        </is>
      </c>
      <c r="B9" s="1">
        <f>(B4-B5-B7*B6)*(1-B8)</f>
        <v/>
      </c>
      <c r="C9" t="inlineStr">
        <is>
          <t>Stated 167,496.0 less restricted 4,447.5 less 10% of ST investments (5,060.0), then times (1-5%) repatriation friction = 150,089.1</t>
        </is>
      </c>
    </row>
    <row r="10">
      <c r="A10" s="1" t="inlineStr">
        <is>
          <t>Net debt for bridge (RMB m)</t>
        </is>
      </c>
      <c r="B10" s="1">
        <f>-B9</f>
        <v/>
      </c>
      <c r="C10" t="inlineStr">
        <is>
          <t>negative of net cash used</t>
        </is>
      </c>
    </row>
    <row r="11">
      <c r="A11" s="1" t="inlineStr">
        <is>
          <t>WACC (all scenarios)</t>
        </is>
      </c>
      <c r="B11" s="5" t="n">
        <v>0.105</v>
      </c>
      <c r="C11" t="inlineStr">
        <is>
          <t>RMB-built. Risk charged once, in the flows</t>
        </is>
      </c>
    </row>
    <row r="12">
      <c r="A12" s="1" t="inlineStr">
        <is>
          <t>Terminal cap multiple</t>
        </is>
      </c>
      <c r="B12" s="5" t="n">
        <v>18</v>
      </c>
      <c r="C12" t="inlineStr">
        <is>
          <t>18x not 20x, for the China regulatory discount</t>
        </is>
      </c>
    </row>
    <row r="13">
      <c r="A13" s="1" t="inlineStr">
        <is>
          <t>Price HK$ (2026-08-28 close)</t>
        </is>
      </c>
      <c r="B13" s="5" t="n">
        <v>192.2</v>
      </c>
      <c r="C13" t="inlineStr">
        <is>
          <t>regularMarketTime 2026-08-28T08:08:31Z</t>
        </is>
      </c>
    </row>
    <row r="14">
      <c r="A14" s="1" t="inlineStr">
        <is>
          <t>RMB:HKD</t>
        </is>
      </c>
      <c r="B14" s="5" t="n">
        <v>1.08</v>
      </c>
      <c r="C14" t="inlineStr">
        <is>
          <t>Headline value reported in HKD, the quote currency</t>
        </is>
      </c>
    </row>
    <row r="15">
      <c r="A15" s="1" t="inlineStr">
        <is>
          <t>RMB:USD</t>
        </is>
      </c>
      <c r="B15" s="5" t="n">
        <v>7.2</v>
      </c>
      <c r="C15" t="inlineStr">
        <is>
          <t>For the NTES ADS cross-check, 1 ADS = 5 ordinary</t>
        </is>
      </c>
    </row>
    <row r="17">
      <c r="A17" s="1" t="inlineStr">
        <is>
          <t>Per-scenario drivers: terminal growth, weight, D&amp;A %, capex %, WC capture %</t>
        </is>
      </c>
    </row>
    <row r="18">
      <c r="A18" s="3" t="inlineStr">
        <is>
          <t>Scenario</t>
        </is>
      </c>
      <c r="B18" s="3" t="inlineStr">
        <is>
          <t>Terminal growth</t>
        </is>
      </c>
      <c r="C18" s="3" t="inlineStr">
        <is>
          <t>Weight</t>
        </is>
      </c>
      <c r="D18" s="3" t="inlineStr">
        <is>
          <t>D&amp;A % rev</t>
        </is>
      </c>
      <c r="E18" s="3" t="inlineStr">
        <is>
          <t>Capex % rev</t>
        </is>
      </c>
      <c r="F18" s="3" t="inlineStr">
        <is>
          <t>WC capture %</t>
        </is>
      </c>
    </row>
    <row r="19">
      <c r="A19" s="1" t="inlineStr">
        <is>
          <t>Bear</t>
        </is>
      </c>
      <c r="B19" s="5" t="n">
        <v>0.015</v>
      </c>
      <c r="C19" s="5" t="n">
        <v>0.25</v>
      </c>
      <c r="D19" s="5" t="n">
        <v>0.017</v>
      </c>
      <c r="E19" s="5" t="n">
        <v>0.012</v>
      </c>
      <c r="F19" s="5" t="n">
        <v>0.1</v>
      </c>
    </row>
    <row r="20">
      <c r="A20" s="1" t="inlineStr">
        <is>
          <t>Base</t>
        </is>
      </c>
      <c r="B20" s="5" t="n">
        <v>0.025</v>
      </c>
      <c r="C20" s="5" t="n">
        <v>0.5</v>
      </c>
      <c r="D20" s="5" t="n">
        <v>0.016</v>
      </c>
      <c r="E20" s="5" t="n">
        <v>0.01</v>
      </c>
      <c r="F20" s="5" t="n">
        <v>0.35</v>
      </c>
    </row>
    <row r="21">
      <c r="A21" s="1" t="inlineStr">
        <is>
          <t>Bull</t>
        </is>
      </c>
      <c r="B21" s="5" t="n">
        <v>0.03</v>
      </c>
      <c r="C21" s="5" t="n">
        <v>0.25</v>
      </c>
      <c r="D21" s="5" t="n">
        <v>0.016</v>
      </c>
      <c r="E21" s="5" t="n">
        <v>0.01</v>
      </c>
      <c r="F21" s="5" t="n">
        <v>0.45</v>
      </c>
    </row>
    <row r="22">
      <c r="A22" s="1" t="inlineStr">
        <is>
          <t>Weights check</t>
        </is>
      </c>
      <c r="C22" s="1">
        <f>SUM(C19:C21)</f>
        <v/>
      </c>
      <c r="D22">
        <f>IF(ABS(C22-1)&lt;0.0001,"OK sums to 100%","ERROR")</f>
        <v/>
      </c>
    </row>
    <row r="24">
      <c r="A24" s="1" t="inlineStr">
        <is>
          <t>Scenario narratives</t>
        </is>
      </c>
    </row>
    <row r="25" ht="150" customHeight="1">
      <c r="A25" s="1" t="inlineStr">
        <is>
          <t>BEAR</t>
        </is>
      </c>
      <c r="B25" s="2" t="inlineStr">
        <is>
          <t>Bear case names the actual downside axes, not generic weakness: a December-2023-style regulatory reversal (that draft rule cut the stock 28% in a single session) or a China consumer-spending slump stalls domestic gaming; Marvel Rivals churns out against Overwatch 2 / Valorant as hero-shooters historically do; Sea of Remnants' rocky China launch (criticised learning curve) proves representative of the wider simultaneous pipeline; and the AI investment gap versus Tencent (~RMB85.8bn 2025 R&amp;D) and miHoYo (RMB100bn over three years) erodes NetEase's relative development velocity. Revenue goes flat-to-slightly-negative from Y3, and critically the platform revenue-sharing margin gain REVERSES: adjusted EBITDA margin falls 39.0% -&gt; 33.0%, back toward the FY2022-23 level. SBC rises as a share of a shrinking revenue base (3.0% -&gt; 4.0%) because retention grants do not shrink with revenue. Tax stays at 25% statutory.</t>
        </is>
      </c>
    </row>
    <row r="26" ht="150" customHeight="1">
      <c r="A26" s="1" t="inlineStr">
        <is>
          <t>BASE</t>
        </is>
      </c>
      <c r="B26" s="2" t="inlineStr">
        <is>
          <t>Base case follows management's own framing: mid-to-high single-digit revenue growth (H1-2026 actual +7.0%), decelerating to 3% by Y10 as the China gaming market matures and the international titles move from launch surge to steady live-service. Adjusted EBITDA margin starts at the TTM 41.0% and drifts DOWN to 40.0% -- the Q2-2026 gaming gross margin of 76.1% (from 70.2%) is a genuine structural gain from lower platform revenue-sharing, but assuming it compounds further would be extrapolating a one-time channel-mix shift. Cash tax ramps 22.0% -&gt; 24.0%: the H1-2026 effective rate of 21.7% (vs 15.0% in H1-2025) is treated as STRUCTURAL, reflecting expiring preferential software/HNTE rates, not a timing blip. Working-capital capture cut to 35% of the revenue increase, far below the ~116% of the FY2025 revenue delta that the contract-liability/payables/tax-payable inflow actually represented -- that RMB8.4bn inflow was 16.9% of reported FCF and is not repeatable at that rate.</t>
        </is>
      </c>
    </row>
    <row r="27" ht="150" customHeight="1">
      <c r="A27" s="1" t="inlineStr">
        <is>
          <t>BULL</t>
        </is>
      </c>
      <c r="B27" s="2" t="inlineStr">
        <is>
          <t>Bull case: Where Winds Meet (100m+ cumulative players, Xbox/Game Pass since June 2026) and Marvel Rivals (#2 on Steam globally) both convert into durable multi-year evergreen franchises, and the Ananta / Blood Message / Sea of Remnants pipeline lands at least one further global hit, holding revenue growth at 8-10% for five years. The platform revenue-sharing benefit proves to be a permanent step-change, letting adjusted EBITDA margin RISE from 42.0% to 43.5% as international self-published mix grows. Tax settles at 22% as preferential rates are partly renewed. NPPA approvals continue running ~19% ahead of prior year, removing the licensing bottleneck.</t>
        </is>
      </c>
    </row>
    <row r="29" ht="95" customHeight="1">
      <c r="A29" s="1" t="inlineStr">
        <is>
          <t>Net cash haircut rationale</t>
        </is>
      </c>
      <c r="B29" s="2" t="inlineStr">
        <is>
          <t>Restricted cash RMB4,447.5m excluded entirely (not available to shareholders). Short-term investments RMB50,599.6m taken at 90% for mark-to-market risk -- the Q2-2026 net income fall to RMB7.0bn from RMB10.7bn was caused by declines in the fair value of equity securities and impairments in exactly this book. Then a 5% repatriation friction on the remainder for the 10% PRC withholding tax on onshore dividends under a partial-repatriation assumption. Total 10.4%. Set B5 to 0 to value on the full stated figure (worth about HK$5.83/share).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BEAR scenario -- owner-FCF DCF, RMB millions</t>
        </is>
      </c>
    </row>
    <row r="3">
      <c r="A3" s="3" t="inlineStr">
        <is>
          <t>Year</t>
        </is>
      </c>
      <c r="B3" s="3" t="inlineStr">
        <is>
          <t>2025A</t>
        </is>
      </c>
      <c r="C3" s="3" t="inlineStr">
        <is>
          <t>2026E</t>
        </is>
      </c>
      <c r="D3" s="3" t="inlineStr">
        <is>
          <t>2027E</t>
        </is>
      </c>
      <c r="E3" s="3" t="inlineStr">
        <is>
          <t>2028E</t>
        </is>
      </c>
      <c r="F3" s="3" t="inlineStr">
        <is>
          <t>2029E</t>
        </is>
      </c>
      <c r="G3" s="3" t="inlineStr">
        <is>
          <t>2030E</t>
        </is>
      </c>
      <c r="H3" s="3" t="inlineStr">
        <is>
          <t>2031E</t>
        </is>
      </c>
      <c r="I3" s="3" t="inlineStr">
        <is>
          <t>2032E</t>
        </is>
      </c>
      <c r="J3" s="3" t="inlineStr">
        <is>
          <t>2033E</t>
        </is>
      </c>
      <c r="K3" s="3" t="inlineStr">
        <is>
          <t>2034E</t>
        </is>
      </c>
      <c r="L3" s="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1" t="inlineStr">
        <is>
          <t>Revenue growth %</t>
        </is>
      </c>
      <c r="B5" s="6" t="n"/>
      <c r="C5" s="7" t="n">
        <v>0.03</v>
      </c>
      <c r="D5" s="7" t="n">
        <v>0.015</v>
      </c>
      <c r="E5" s="7" t="n">
        <v>0.005</v>
      </c>
      <c r="F5" s="7" t="n">
        <v>0</v>
      </c>
      <c r="G5" s="7" t="n">
        <v>-0.01</v>
      </c>
      <c r="H5" s="7" t="n">
        <v>-0.01</v>
      </c>
      <c r="I5" s="7" t="n">
        <v>-0.005</v>
      </c>
      <c r="J5" s="7" t="n">
        <v>0</v>
      </c>
      <c r="K5" s="7" t="n">
        <v>0.005</v>
      </c>
      <c r="L5" s="7" t="n">
        <v>0.01</v>
      </c>
    </row>
    <row r="6">
      <c r="A6" s="1" t="inlineStr">
        <is>
          <t>Revenue</t>
        </is>
      </c>
      <c r="B6" s="4" t="n">
        <v>116582.5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1" t="inlineStr">
        <is>
          <t>Adj EBITDA margin % (pre-SBC)</t>
        </is>
      </c>
      <c r="B7" s="6" t="n"/>
      <c r="C7" s="7" t="n">
        <v>0.39</v>
      </c>
      <c r="D7" s="7" t="n">
        <v>0.3833</v>
      </c>
      <c r="E7" s="7" t="n">
        <v>0.3767</v>
      </c>
      <c r="F7" s="7" t="n">
        <v>0.37</v>
      </c>
      <c r="G7" s="7" t="n">
        <v>0.3633</v>
      </c>
      <c r="H7" s="7" t="n">
        <v>0.3567</v>
      </c>
      <c r="I7" s="7" t="n">
        <v>0.35</v>
      </c>
      <c r="J7" s="7" t="n">
        <v>0.3433</v>
      </c>
      <c r="K7" s="7" t="n">
        <v>0.3367</v>
      </c>
      <c r="L7" s="7" t="n">
        <v>0.33</v>
      </c>
    </row>
    <row r="8">
      <c r="A8" s="1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1" t="inlineStr">
        <is>
          <t>SBC % of revenue</t>
        </is>
      </c>
      <c r="B9" s="6" t="n"/>
      <c r="C9" s="7" t="n">
        <v>0.03</v>
      </c>
      <c r="D9" s="7" t="n">
        <v>0.032</v>
      </c>
      <c r="E9" s="7" t="n">
        <v>0.034</v>
      </c>
      <c r="F9" s="7" t="n">
        <v>0.036</v>
      </c>
      <c r="G9" s="7" t="n">
        <v>0.038</v>
      </c>
      <c r="H9" s="7" t="n">
        <v>0.04</v>
      </c>
      <c r="I9" s="7" t="n">
        <v>0.04</v>
      </c>
      <c r="J9" s="7" t="n">
        <v>0.04</v>
      </c>
      <c r="K9" s="7" t="n">
        <v>0.04</v>
      </c>
      <c r="L9" s="7" t="n">
        <v>0.04</v>
      </c>
    </row>
    <row r="10">
      <c r="A10" s="1" t="inlineStr">
        <is>
          <t>SBC (expense)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s="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s="1" t="inlineStr">
        <is>
          <t>D&amp;A</t>
        </is>
      </c>
      <c r="C12" s="8">
        <f>-C6*Assumptions!$D$19</f>
        <v/>
      </c>
      <c r="D12" s="8">
        <f>-D6*Assumptions!$D$19</f>
        <v/>
      </c>
      <c r="E12" s="8">
        <f>-E6*Assumptions!$D$19</f>
        <v/>
      </c>
      <c r="F12" s="8">
        <f>-F6*Assumptions!$D$19</f>
        <v/>
      </c>
      <c r="G12" s="8">
        <f>-G6*Assumptions!$D$19</f>
        <v/>
      </c>
      <c r="H12" s="8">
        <f>-H6*Assumptions!$D$19</f>
        <v/>
      </c>
      <c r="I12" s="8">
        <f>-I6*Assumptions!$D$19</f>
        <v/>
      </c>
      <c r="J12" s="8">
        <f>-J6*Assumptions!$D$19</f>
        <v/>
      </c>
      <c r="K12" s="8">
        <f>-K6*Assumptions!$D$19</f>
        <v/>
      </c>
      <c r="L12" s="8">
        <f>-L6*Assumptions!$D$19</f>
        <v/>
      </c>
    </row>
    <row r="13">
      <c r="A13" s="1" t="inlineStr">
        <is>
          <t>EBIT after SBC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s="1" t="inlineStr">
        <is>
          <t>Cash tax rate</t>
        </is>
      </c>
      <c r="B14" s="6" t="n"/>
      <c r="C14" s="7" t="n">
        <v>0.24</v>
      </c>
      <c r="D14" s="7" t="n">
        <v>0.25</v>
      </c>
      <c r="E14" s="7" t="n">
        <v>0.25</v>
      </c>
      <c r="F14" s="7" t="n">
        <v>0.25</v>
      </c>
      <c r="G14" s="7" t="n">
        <v>0.25</v>
      </c>
      <c r="H14" s="7" t="n">
        <v>0.25</v>
      </c>
      <c r="I14" s="7" t="n">
        <v>0.25</v>
      </c>
      <c r="J14" s="7" t="n">
        <v>0.25</v>
      </c>
      <c r="K14" s="7" t="n">
        <v>0.25</v>
      </c>
      <c r="L14" s="7" t="n">
        <v>0.25</v>
      </c>
    </row>
    <row r="15">
      <c r="A15" s="1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s="1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s="1" t="inlineStr">
        <is>
          <t>less capex</t>
        </is>
      </c>
      <c r="C17" s="8">
        <f>-C6*Assumptions!$E$19</f>
        <v/>
      </c>
      <c r="D17" s="8">
        <f>-D6*Assumptions!$E$19</f>
        <v/>
      </c>
      <c r="E17" s="8">
        <f>-E6*Assumptions!$E$19</f>
        <v/>
      </c>
      <c r="F17" s="8">
        <f>-F6*Assumptions!$E$19</f>
        <v/>
      </c>
      <c r="G17" s="8">
        <f>-G6*Assumptions!$E$19</f>
        <v/>
      </c>
      <c r="H17" s="8">
        <f>-H6*Assumptions!$E$19</f>
        <v/>
      </c>
      <c r="I17" s="8">
        <f>-I6*Assumptions!$E$19</f>
        <v/>
      </c>
      <c r="J17" s="8">
        <f>-J6*Assumptions!$E$19</f>
        <v/>
      </c>
      <c r="K17" s="8">
        <f>-K6*Assumptions!$E$19</f>
        <v/>
      </c>
      <c r="L17" s="8">
        <f>-L6*Assumptions!$E$19</f>
        <v/>
      </c>
    </row>
    <row r="18">
      <c r="A18" s="1" t="inlineStr">
        <is>
          <t>add working capital</t>
        </is>
      </c>
      <c r="C18" s="8">
        <f>Assumptions!$F$19*(C6-B6)</f>
        <v/>
      </c>
      <c r="D18" s="8">
        <f>Assumptions!$F$19*(D6-C6)</f>
        <v/>
      </c>
      <c r="E18" s="8">
        <f>Assumptions!$F$19*(E6-D6)</f>
        <v/>
      </c>
      <c r="F18" s="8">
        <f>Assumptions!$F$19*(F6-E6)</f>
        <v/>
      </c>
      <c r="G18" s="8">
        <f>Assumptions!$F$19*(G6-F6)</f>
        <v/>
      </c>
      <c r="H18" s="8">
        <f>Assumptions!$F$19*(H6-G6)</f>
        <v/>
      </c>
      <c r="I18" s="8">
        <f>Assumptions!$F$19*(I6-H6)</f>
        <v/>
      </c>
      <c r="J18" s="8">
        <f>Assumptions!$F$19*(J6-I6)</f>
        <v/>
      </c>
      <c r="K18" s="8">
        <f>Assumptions!$F$19*(K6-J6)</f>
        <v/>
      </c>
      <c r="L18" s="8">
        <f>Assumptions!$F$19*(L6-K6)</f>
        <v/>
      </c>
    </row>
    <row r="19">
      <c r="A19" s="1" t="inlineStr">
        <is>
          <t>UNLEVERED OWNER FCF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s="1" t="inlineStr">
        <is>
          <t>Discount factor</t>
        </is>
      </c>
      <c r="C20" s="8">
        <f>1/(1+Assumptions!$B$11)^C4</f>
        <v/>
      </c>
      <c r="D20" s="8">
        <f>1/(1+Assumptions!$B$11)^D4</f>
        <v/>
      </c>
      <c r="E20" s="8">
        <f>1/(1+Assumptions!$B$11)^E4</f>
        <v/>
      </c>
      <c r="F20" s="8">
        <f>1/(1+Assumptions!$B$11)^F4</f>
        <v/>
      </c>
      <c r="G20" s="8">
        <f>1/(1+Assumptions!$B$11)^G4</f>
        <v/>
      </c>
      <c r="H20" s="8">
        <f>1/(1+Assumptions!$B$11)^H4</f>
        <v/>
      </c>
      <c r="I20" s="8">
        <f>1/(1+Assumptions!$B$11)^I4</f>
        <v/>
      </c>
      <c r="J20" s="8">
        <f>1/(1+Assumptions!$B$11)^J4</f>
        <v/>
      </c>
      <c r="K20" s="8">
        <f>1/(1+Assumptions!$B$11)^K4</f>
        <v/>
      </c>
      <c r="L20" s="8">
        <f>1/(1+Assumptions!$B$11)^L4</f>
        <v/>
      </c>
    </row>
    <row r="21">
      <c r="A21" s="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s="1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s="1" t="inlineStr">
        <is>
          <t>Memo: owner-FCF margin</t>
        </is>
      </c>
      <c r="B24" s="6" t="n"/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s="1" t="inlineStr">
        <is>
          <t>Sum PV of explicit FCF</t>
        </is>
      </c>
      <c r="B26">
        <f>SUM(C21:L21)</f>
        <v/>
      </c>
    </row>
    <row r="27">
      <c r="A27" s="1" t="inlineStr">
        <is>
          <t>Terminal growth</t>
        </is>
      </c>
      <c r="B27">
        <f>Assumptions!$B$19</f>
        <v/>
      </c>
    </row>
    <row r="28">
      <c r="A28" s="1" t="inlineStr">
        <is>
          <t>Terminal-year FCF grown</t>
        </is>
      </c>
      <c r="B28">
        <f>L19*(1+B27)</f>
        <v/>
      </c>
    </row>
    <row r="29">
      <c r="A29" s="1" t="inlineStr">
        <is>
          <t>Gordon terminal value</t>
        </is>
      </c>
      <c r="B29">
        <f>B28/(Assumptions!$B$11-B27)</f>
        <v/>
      </c>
    </row>
    <row r="30">
      <c r="A30" s="1" t="inlineStr">
        <is>
          <t>Cap terminal value</t>
        </is>
      </c>
      <c r="B30">
        <f>Assumptions!$B$12*L19</f>
        <v/>
      </c>
    </row>
    <row r="31">
      <c r="A31" s="1" t="inlineStr">
        <is>
          <t>TERMINAL VALUE USED</t>
        </is>
      </c>
      <c r="B31">
        <f>MAX(0,MIN(B29,B30))</f>
        <v/>
      </c>
    </row>
    <row r="32">
      <c r="A32" s="1" t="inlineStr">
        <is>
          <t>Which bound</t>
        </is>
      </c>
      <c r="B32">
        <f>IF(B30&lt;B29,"cap","gordon")</f>
        <v/>
      </c>
    </row>
    <row r="33">
      <c r="A33" s="1" t="inlineStr">
        <is>
          <t>Implied exit multiple</t>
        </is>
      </c>
      <c r="B33">
        <f>B31/L19</f>
        <v/>
      </c>
    </row>
    <row r="34">
      <c r="A34" s="1" t="inlineStr">
        <is>
          <t>PV of terminal value</t>
        </is>
      </c>
      <c r="B34">
        <f>B31*L20</f>
        <v/>
      </c>
    </row>
    <row r="35">
      <c r="A35" s="1" t="inlineStr">
        <is>
          <t>Enterprise value</t>
        </is>
      </c>
      <c r="B35">
        <f>B26+B34</f>
        <v/>
      </c>
    </row>
    <row r="36">
      <c r="A36" s="1" t="inlineStr">
        <is>
          <t>add net cash used</t>
        </is>
      </c>
      <c r="B36">
        <f>Assumptions!$B$9</f>
        <v/>
      </c>
    </row>
    <row r="37">
      <c r="A37" s="1" t="inlineStr">
        <is>
          <t>Equity value</t>
        </is>
      </c>
      <c r="B37">
        <f>B35+B36</f>
        <v/>
      </c>
    </row>
    <row r="38">
      <c r="A38" s="1" t="inlineStr">
        <is>
          <t>Diluted shares (m)</t>
        </is>
      </c>
      <c r="B38">
        <f>Assumptions!$B$3</f>
        <v/>
      </c>
    </row>
    <row r="39">
      <c r="A39" s="1" t="inlineStr">
        <is>
          <t>VALUE PER SHARE RMB</t>
        </is>
      </c>
      <c r="B39" s="1">
        <f>B37/B38</f>
        <v/>
      </c>
    </row>
    <row r="40">
      <c r="A40" s="1" t="inlineStr">
        <is>
          <t>VALUE PER SHARE HKD</t>
        </is>
      </c>
      <c r="B40" s="9">
        <f>B39*Assumptions!$B$14</f>
        <v/>
      </c>
    </row>
    <row r="41">
      <c r="A41" s="1" t="inlineStr">
        <is>
          <t>Upside vs price</t>
        </is>
      </c>
      <c r="B41" s="6">
        <f>B40/Assumptions!$B$13-1</f>
        <v/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1" t="inlineStr">
        <is>
          <t>Terminal % of EV</t>
        </is>
      </c>
      <c r="B42" s="6">
        <f>B34/B35</f>
        <v/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4">
      <c r="A44" s="1" t="inlineStr">
        <is>
          <t>Street basis memo (SBC treated as non-cash)</t>
        </is>
      </c>
    </row>
    <row r="45">
      <c r="A45" t="inlineStr">
        <is>
          <t>PV of explicit-period SBC</t>
        </is>
      </c>
      <c r="B45">
        <f>SUMPRODUCT(-C10:L10,C20:L20)</f>
        <v/>
      </c>
    </row>
    <row r="46">
      <c r="A46" t="inlineStr">
        <is>
          <t>PV of terminal SBC</t>
        </is>
      </c>
      <c r="B46">
        <f>(-L10*(1+B27)/(Assumptions!$B$11-B27))*L20</f>
        <v/>
      </c>
    </row>
    <row r="47">
      <c r="A47" t="inlineStr">
        <is>
          <t>Street value per share HKD</t>
        </is>
      </c>
      <c r="B47" s="1">
        <f>(B37+B45+B46)/B38*Assumptions!$B$14</f>
        <v/>
      </c>
    </row>
    <row r="49">
      <c r="A49" s="1" t="inlineStr">
        <is>
          <t>15% hurdle entry price</t>
        </is>
      </c>
    </row>
    <row r="50">
      <c r="A50" t="inlineStr">
        <is>
          <t>PV of interim FCF at 15%</t>
        </is>
      </c>
      <c r="B50">
        <f>SUMPRODUCT(C19:L19,1/(1.15)^C4:L4)</f>
        <v/>
      </c>
    </row>
    <row r="51">
      <c r="A51" t="inlineStr">
        <is>
          <t>PV of terminal value at 15%</t>
        </is>
      </c>
      <c r="B51">
        <f>B31/1.15^10</f>
        <v/>
      </c>
    </row>
    <row r="52">
      <c r="A52" t="inlineStr">
        <is>
          <t>Entry price HKD</t>
        </is>
      </c>
      <c r="B52" s="1">
        <f>(B50+B51+Assumptions!$B$9)/B38*Assumptions!$B$14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BASE scenario -- owner-FCF DCF, RMB millions</t>
        </is>
      </c>
    </row>
    <row r="3">
      <c r="A3" s="3" t="inlineStr">
        <is>
          <t>Year</t>
        </is>
      </c>
      <c r="B3" s="3" t="inlineStr">
        <is>
          <t>2025A</t>
        </is>
      </c>
      <c r="C3" s="3" t="inlineStr">
        <is>
          <t>2026E</t>
        </is>
      </c>
      <c r="D3" s="3" t="inlineStr">
        <is>
          <t>2027E</t>
        </is>
      </c>
      <c r="E3" s="3" t="inlineStr">
        <is>
          <t>2028E</t>
        </is>
      </c>
      <c r="F3" s="3" t="inlineStr">
        <is>
          <t>2029E</t>
        </is>
      </c>
      <c r="G3" s="3" t="inlineStr">
        <is>
          <t>2030E</t>
        </is>
      </c>
      <c r="H3" s="3" t="inlineStr">
        <is>
          <t>2031E</t>
        </is>
      </c>
      <c r="I3" s="3" t="inlineStr">
        <is>
          <t>2032E</t>
        </is>
      </c>
      <c r="J3" s="3" t="inlineStr">
        <is>
          <t>2033E</t>
        </is>
      </c>
      <c r="K3" s="3" t="inlineStr">
        <is>
          <t>2034E</t>
        </is>
      </c>
      <c r="L3" s="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1" t="inlineStr">
        <is>
          <t>Revenue growth %</t>
        </is>
      </c>
      <c r="B5" s="6" t="n"/>
      <c r="C5" s="7" t="n">
        <v>0.075</v>
      </c>
      <c r="D5" s="7" t="n">
        <v>0.07000000000000001</v>
      </c>
      <c r="E5" s="7" t="n">
        <v>0.065</v>
      </c>
      <c r="F5" s="7" t="n">
        <v>0.06</v>
      </c>
      <c r="G5" s="7" t="n">
        <v>0.055</v>
      </c>
      <c r="H5" s="7" t="n">
        <v>0.05</v>
      </c>
      <c r="I5" s="7" t="n">
        <v>0.045</v>
      </c>
      <c r="J5" s="7" t="n">
        <v>0.04</v>
      </c>
      <c r="K5" s="7" t="n">
        <v>0.035</v>
      </c>
      <c r="L5" s="7" t="n">
        <v>0.03</v>
      </c>
    </row>
    <row r="6">
      <c r="A6" s="1" t="inlineStr">
        <is>
          <t>Revenue</t>
        </is>
      </c>
      <c r="B6" s="4" t="n">
        <v>116582.5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1" t="inlineStr">
        <is>
          <t>Adj EBITDA margin % (pre-SBC)</t>
        </is>
      </c>
      <c r="B7" s="6" t="n"/>
      <c r="C7" s="7" t="n">
        <v>0.41</v>
      </c>
      <c r="D7" s="7" t="n">
        <v>0.4089</v>
      </c>
      <c r="E7" s="7" t="n">
        <v>0.4078</v>
      </c>
      <c r="F7" s="7" t="n">
        <v>0.4067</v>
      </c>
      <c r="G7" s="7" t="n">
        <v>0.4056</v>
      </c>
      <c r="H7" s="7" t="n">
        <v>0.4044</v>
      </c>
      <c r="I7" s="7" t="n">
        <v>0.4033</v>
      </c>
      <c r="J7" s="7" t="n">
        <v>0.4022</v>
      </c>
      <c r="K7" s="7" t="n">
        <v>0.4011</v>
      </c>
      <c r="L7" s="7" t="n">
        <v>0.4</v>
      </c>
    </row>
    <row r="8">
      <c r="A8" s="1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1" t="inlineStr">
        <is>
          <t>SBC % of revenue</t>
        </is>
      </c>
      <c r="B9" s="6" t="n"/>
      <c r="C9" s="7" t="n">
        <v>0.028</v>
      </c>
      <c r="D9" s="7" t="n">
        <v>0.028</v>
      </c>
      <c r="E9" s="7" t="n">
        <v>0.029</v>
      </c>
      <c r="F9" s="7" t="n">
        <v>0.029</v>
      </c>
      <c r="G9" s="7" t="n">
        <v>0.03</v>
      </c>
      <c r="H9" s="7" t="n">
        <v>0.03</v>
      </c>
      <c r="I9" s="7" t="n">
        <v>0.03</v>
      </c>
      <c r="J9" s="7" t="n">
        <v>0.03</v>
      </c>
      <c r="K9" s="7" t="n">
        <v>0.03</v>
      </c>
      <c r="L9" s="7" t="n">
        <v>0.03</v>
      </c>
    </row>
    <row r="10">
      <c r="A10" s="1" t="inlineStr">
        <is>
          <t>SBC (expense)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s="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s="1" t="inlineStr">
        <is>
          <t>D&amp;A</t>
        </is>
      </c>
      <c r="C12" s="8">
        <f>-C6*Assumptions!$D$20</f>
        <v/>
      </c>
      <c r="D12" s="8">
        <f>-D6*Assumptions!$D$20</f>
        <v/>
      </c>
      <c r="E12" s="8">
        <f>-E6*Assumptions!$D$20</f>
        <v/>
      </c>
      <c r="F12" s="8">
        <f>-F6*Assumptions!$D$20</f>
        <v/>
      </c>
      <c r="G12" s="8">
        <f>-G6*Assumptions!$D$20</f>
        <v/>
      </c>
      <c r="H12" s="8">
        <f>-H6*Assumptions!$D$20</f>
        <v/>
      </c>
      <c r="I12" s="8">
        <f>-I6*Assumptions!$D$20</f>
        <v/>
      </c>
      <c r="J12" s="8">
        <f>-J6*Assumptions!$D$20</f>
        <v/>
      </c>
      <c r="K12" s="8">
        <f>-K6*Assumptions!$D$20</f>
        <v/>
      </c>
      <c r="L12" s="8">
        <f>-L6*Assumptions!$D$20</f>
        <v/>
      </c>
    </row>
    <row r="13">
      <c r="A13" s="1" t="inlineStr">
        <is>
          <t>EBIT after SBC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s="1" t="inlineStr">
        <is>
          <t>Cash tax rate</t>
        </is>
      </c>
      <c r="B14" s="6" t="n"/>
      <c r="C14" s="7" t="n">
        <v>0.22</v>
      </c>
      <c r="D14" s="7" t="n">
        <v>0.225</v>
      </c>
      <c r="E14" s="7" t="n">
        <v>0.23</v>
      </c>
      <c r="F14" s="7" t="n">
        <v>0.235</v>
      </c>
      <c r="G14" s="7" t="n">
        <v>0.24</v>
      </c>
      <c r="H14" s="7" t="n">
        <v>0.24</v>
      </c>
      <c r="I14" s="7" t="n">
        <v>0.24</v>
      </c>
      <c r="J14" s="7" t="n">
        <v>0.24</v>
      </c>
      <c r="K14" s="7" t="n">
        <v>0.24</v>
      </c>
      <c r="L14" s="7" t="n">
        <v>0.24</v>
      </c>
    </row>
    <row r="15">
      <c r="A15" s="1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s="1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s="1" t="inlineStr">
        <is>
          <t>less capex</t>
        </is>
      </c>
      <c r="C17" s="8">
        <f>-C6*Assumptions!$E$20</f>
        <v/>
      </c>
      <c r="D17" s="8">
        <f>-D6*Assumptions!$E$20</f>
        <v/>
      </c>
      <c r="E17" s="8">
        <f>-E6*Assumptions!$E$20</f>
        <v/>
      </c>
      <c r="F17" s="8">
        <f>-F6*Assumptions!$E$20</f>
        <v/>
      </c>
      <c r="G17" s="8">
        <f>-G6*Assumptions!$E$20</f>
        <v/>
      </c>
      <c r="H17" s="8">
        <f>-H6*Assumptions!$E$20</f>
        <v/>
      </c>
      <c r="I17" s="8">
        <f>-I6*Assumptions!$E$20</f>
        <v/>
      </c>
      <c r="J17" s="8">
        <f>-J6*Assumptions!$E$20</f>
        <v/>
      </c>
      <c r="K17" s="8">
        <f>-K6*Assumptions!$E$20</f>
        <v/>
      </c>
      <c r="L17" s="8">
        <f>-L6*Assumptions!$E$20</f>
        <v/>
      </c>
    </row>
    <row r="18">
      <c r="A18" s="1" t="inlineStr">
        <is>
          <t>add working capital</t>
        </is>
      </c>
      <c r="C18" s="8">
        <f>Assumptions!$F$20*(C6-B6)</f>
        <v/>
      </c>
      <c r="D18" s="8">
        <f>Assumptions!$F$20*(D6-C6)</f>
        <v/>
      </c>
      <c r="E18" s="8">
        <f>Assumptions!$F$20*(E6-D6)</f>
        <v/>
      </c>
      <c r="F18" s="8">
        <f>Assumptions!$F$20*(F6-E6)</f>
        <v/>
      </c>
      <c r="G18" s="8">
        <f>Assumptions!$F$20*(G6-F6)</f>
        <v/>
      </c>
      <c r="H18" s="8">
        <f>Assumptions!$F$20*(H6-G6)</f>
        <v/>
      </c>
      <c r="I18" s="8">
        <f>Assumptions!$F$20*(I6-H6)</f>
        <v/>
      </c>
      <c r="J18" s="8">
        <f>Assumptions!$F$20*(J6-I6)</f>
        <v/>
      </c>
      <c r="K18" s="8">
        <f>Assumptions!$F$20*(K6-J6)</f>
        <v/>
      </c>
      <c r="L18" s="8">
        <f>Assumptions!$F$20*(L6-K6)</f>
        <v/>
      </c>
    </row>
    <row r="19">
      <c r="A19" s="1" t="inlineStr">
        <is>
          <t>UNLEVERED OWNER FCF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s="1" t="inlineStr">
        <is>
          <t>Discount factor</t>
        </is>
      </c>
      <c r="C20" s="8">
        <f>1/(1+Assumptions!$B$11)^C4</f>
        <v/>
      </c>
      <c r="D20" s="8">
        <f>1/(1+Assumptions!$B$11)^D4</f>
        <v/>
      </c>
      <c r="E20" s="8">
        <f>1/(1+Assumptions!$B$11)^E4</f>
        <v/>
      </c>
      <c r="F20" s="8">
        <f>1/(1+Assumptions!$B$11)^F4</f>
        <v/>
      </c>
      <c r="G20" s="8">
        <f>1/(1+Assumptions!$B$11)^G4</f>
        <v/>
      </c>
      <c r="H20" s="8">
        <f>1/(1+Assumptions!$B$11)^H4</f>
        <v/>
      </c>
      <c r="I20" s="8">
        <f>1/(1+Assumptions!$B$11)^I4</f>
        <v/>
      </c>
      <c r="J20" s="8">
        <f>1/(1+Assumptions!$B$11)^J4</f>
        <v/>
      </c>
      <c r="K20" s="8">
        <f>1/(1+Assumptions!$B$11)^K4</f>
        <v/>
      </c>
      <c r="L20" s="8">
        <f>1/(1+Assumptions!$B$11)^L4</f>
        <v/>
      </c>
    </row>
    <row r="21">
      <c r="A21" s="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s="1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s="1" t="inlineStr">
        <is>
          <t>Memo: owner-FCF margin</t>
        </is>
      </c>
      <c r="B24" s="6" t="n"/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s="1" t="inlineStr">
        <is>
          <t>Sum PV of explicit FCF</t>
        </is>
      </c>
      <c r="B26">
        <f>SUM(C21:L21)</f>
        <v/>
      </c>
    </row>
    <row r="27">
      <c r="A27" s="1" t="inlineStr">
        <is>
          <t>Terminal growth</t>
        </is>
      </c>
      <c r="B27">
        <f>Assumptions!$B$20</f>
        <v/>
      </c>
    </row>
    <row r="28">
      <c r="A28" s="1" t="inlineStr">
        <is>
          <t>Terminal-year FCF grown</t>
        </is>
      </c>
      <c r="B28">
        <f>L19*(1+B27)</f>
        <v/>
      </c>
    </row>
    <row r="29">
      <c r="A29" s="1" t="inlineStr">
        <is>
          <t>Gordon terminal value</t>
        </is>
      </c>
      <c r="B29">
        <f>B28/(Assumptions!$B$11-B27)</f>
        <v/>
      </c>
    </row>
    <row r="30">
      <c r="A30" s="1" t="inlineStr">
        <is>
          <t>Cap terminal value</t>
        </is>
      </c>
      <c r="B30">
        <f>Assumptions!$B$12*L19</f>
        <v/>
      </c>
    </row>
    <row r="31">
      <c r="A31" s="1" t="inlineStr">
        <is>
          <t>TERMINAL VALUE USED</t>
        </is>
      </c>
      <c r="B31">
        <f>MAX(0,MIN(B29,B30))</f>
        <v/>
      </c>
    </row>
    <row r="32">
      <c r="A32" s="1" t="inlineStr">
        <is>
          <t>Which bound</t>
        </is>
      </c>
      <c r="B32">
        <f>IF(B30&lt;B29,"cap","gordon")</f>
        <v/>
      </c>
    </row>
    <row r="33">
      <c r="A33" s="1" t="inlineStr">
        <is>
          <t>Implied exit multiple</t>
        </is>
      </c>
      <c r="B33">
        <f>B31/L19</f>
        <v/>
      </c>
    </row>
    <row r="34">
      <c r="A34" s="1" t="inlineStr">
        <is>
          <t>PV of terminal value</t>
        </is>
      </c>
      <c r="B34">
        <f>B31*L20</f>
        <v/>
      </c>
    </row>
    <row r="35">
      <c r="A35" s="1" t="inlineStr">
        <is>
          <t>Enterprise value</t>
        </is>
      </c>
      <c r="B35">
        <f>B26+B34</f>
        <v/>
      </c>
    </row>
    <row r="36">
      <c r="A36" s="1" t="inlineStr">
        <is>
          <t>add net cash used</t>
        </is>
      </c>
      <c r="B36">
        <f>Assumptions!$B$9</f>
        <v/>
      </c>
    </row>
    <row r="37">
      <c r="A37" s="1" t="inlineStr">
        <is>
          <t>Equity value</t>
        </is>
      </c>
      <c r="B37">
        <f>B35+B36</f>
        <v/>
      </c>
    </row>
    <row r="38">
      <c r="A38" s="1" t="inlineStr">
        <is>
          <t>Diluted shares (m)</t>
        </is>
      </c>
      <c r="B38">
        <f>Assumptions!$B$3</f>
        <v/>
      </c>
    </row>
    <row r="39">
      <c r="A39" s="1" t="inlineStr">
        <is>
          <t>VALUE PER SHARE RMB</t>
        </is>
      </c>
      <c r="B39" s="1">
        <f>B37/B38</f>
        <v/>
      </c>
    </row>
    <row r="40">
      <c r="A40" s="1" t="inlineStr">
        <is>
          <t>VALUE PER SHARE HKD</t>
        </is>
      </c>
      <c r="B40" s="9">
        <f>B39*Assumptions!$B$14</f>
        <v/>
      </c>
    </row>
    <row r="41">
      <c r="A41" s="1" t="inlineStr">
        <is>
          <t>Upside vs price</t>
        </is>
      </c>
      <c r="B41" s="6">
        <f>B40/Assumptions!$B$13-1</f>
        <v/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1" t="inlineStr">
        <is>
          <t>Terminal % of EV</t>
        </is>
      </c>
      <c r="B42" s="6">
        <f>B34/B35</f>
        <v/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4">
      <c r="A44" s="1" t="inlineStr">
        <is>
          <t>Street basis memo (SBC treated as non-cash)</t>
        </is>
      </c>
    </row>
    <row r="45">
      <c r="A45" t="inlineStr">
        <is>
          <t>PV of explicit-period SBC</t>
        </is>
      </c>
      <c r="B45">
        <f>SUMPRODUCT(-C10:L10,C20:L20)</f>
        <v/>
      </c>
    </row>
    <row r="46">
      <c r="A46" t="inlineStr">
        <is>
          <t>PV of terminal SBC</t>
        </is>
      </c>
      <c r="B46">
        <f>(-L10*(1+B27)/(Assumptions!$B$11-B27))*L20</f>
        <v/>
      </c>
    </row>
    <row r="47">
      <c r="A47" t="inlineStr">
        <is>
          <t>Street value per share HKD</t>
        </is>
      </c>
      <c r="B47" s="1">
        <f>(B37+B45+B46)/B38*Assumptions!$B$14</f>
        <v/>
      </c>
    </row>
    <row r="49">
      <c r="A49" s="1" t="inlineStr">
        <is>
          <t>15% hurdle entry price</t>
        </is>
      </c>
    </row>
    <row r="50">
      <c r="A50" t="inlineStr">
        <is>
          <t>PV of interim FCF at 15%</t>
        </is>
      </c>
      <c r="B50">
        <f>SUMPRODUCT(C19:L19,1/(1.15)^C4:L4)</f>
        <v/>
      </c>
    </row>
    <row r="51">
      <c r="A51" t="inlineStr">
        <is>
          <t>PV of terminal value at 15%</t>
        </is>
      </c>
      <c r="B51">
        <f>B31/1.15^10</f>
        <v/>
      </c>
    </row>
    <row r="52">
      <c r="A52" t="inlineStr">
        <is>
          <t>Entry price HKD</t>
        </is>
      </c>
      <c r="B52" s="1">
        <f>(B50+B51+Assumptions!$B$9)/B38*Assumptions!$B$14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BULL scenario -- owner-FCF DCF, RMB millions</t>
        </is>
      </c>
    </row>
    <row r="3">
      <c r="A3" s="3" t="inlineStr">
        <is>
          <t>Year</t>
        </is>
      </c>
      <c r="B3" s="3" t="inlineStr">
        <is>
          <t>2025A</t>
        </is>
      </c>
      <c r="C3" s="3" t="inlineStr">
        <is>
          <t>2026E</t>
        </is>
      </c>
      <c r="D3" s="3" t="inlineStr">
        <is>
          <t>2027E</t>
        </is>
      </c>
      <c r="E3" s="3" t="inlineStr">
        <is>
          <t>2028E</t>
        </is>
      </c>
      <c r="F3" s="3" t="inlineStr">
        <is>
          <t>2029E</t>
        </is>
      </c>
      <c r="G3" s="3" t="inlineStr">
        <is>
          <t>2030E</t>
        </is>
      </c>
      <c r="H3" s="3" t="inlineStr">
        <is>
          <t>2031E</t>
        </is>
      </c>
      <c r="I3" s="3" t="inlineStr">
        <is>
          <t>2032E</t>
        </is>
      </c>
      <c r="J3" s="3" t="inlineStr">
        <is>
          <t>2033E</t>
        </is>
      </c>
      <c r="K3" s="3" t="inlineStr">
        <is>
          <t>2034E</t>
        </is>
      </c>
      <c r="L3" s="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1" t="inlineStr">
        <is>
          <t>Revenue growth %</t>
        </is>
      </c>
      <c r="B5" s="6" t="n"/>
      <c r="C5" s="7" t="n">
        <v>0.1</v>
      </c>
      <c r="D5" s="7" t="n">
        <v>0.095</v>
      </c>
      <c r="E5" s="7" t="n">
        <v>0.09</v>
      </c>
      <c r="F5" s="7" t="n">
        <v>0.08500000000000001</v>
      </c>
      <c r="G5" s="7" t="n">
        <v>0.08</v>
      </c>
      <c r="H5" s="7" t="n">
        <v>0.07000000000000001</v>
      </c>
      <c r="I5" s="7" t="n">
        <v>0.06</v>
      </c>
      <c r="J5" s="7" t="n">
        <v>0.055</v>
      </c>
      <c r="K5" s="7" t="n">
        <v>0.05</v>
      </c>
      <c r="L5" s="7" t="n">
        <v>0.045</v>
      </c>
    </row>
    <row r="6">
      <c r="A6" s="1" t="inlineStr">
        <is>
          <t>Revenue</t>
        </is>
      </c>
      <c r="B6" s="4" t="n">
        <v>116582.5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s="1" t="inlineStr">
        <is>
          <t>Adj EBITDA margin % (pre-SBC)</t>
        </is>
      </c>
      <c r="B7" s="6" t="n"/>
      <c r="C7" s="7" t="n">
        <v>0.42</v>
      </c>
      <c r="D7" s="7" t="n">
        <v>0.4217</v>
      </c>
      <c r="E7" s="7" t="n">
        <v>0.4233</v>
      </c>
      <c r="F7" s="7" t="n">
        <v>0.425</v>
      </c>
      <c r="G7" s="7" t="n">
        <v>0.4267</v>
      </c>
      <c r="H7" s="7" t="n">
        <v>0.4283</v>
      </c>
      <c r="I7" s="7" t="n">
        <v>0.43</v>
      </c>
      <c r="J7" s="7" t="n">
        <v>0.4317</v>
      </c>
      <c r="K7" s="7" t="n">
        <v>0.4333</v>
      </c>
      <c r="L7" s="7" t="n">
        <v>0.435</v>
      </c>
    </row>
    <row r="8">
      <c r="A8" s="1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s="1" t="inlineStr">
        <is>
          <t>SBC % of revenue</t>
        </is>
      </c>
      <c r="B9" s="6" t="n"/>
      <c r="C9" s="7" t="n">
        <v>0.028</v>
      </c>
      <c r="D9" s="7" t="n">
        <v>0.028</v>
      </c>
      <c r="E9" s="7" t="n">
        <v>0.028</v>
      </c>
      <c r="F9" s="7" t="n">
        <v>0.028</v>
      </c>
      <c r="G9" s="7" t="n">
        <v>0.028</v>
      </c>
      <c r="H9" s="7" t="n">
        <v>0.028</v>
      </c>
      <c r="I9" s="7" t="n">
        <v>0.028</v>
      </c>
      <c r="J9" s="7" t="n">
        <v>0.028</v>
      </c>
      <c r="K9" s="7" t="n">
        <v>0.028</v>
      </c>
      <c r="L9" s="7" t="n">
        <v>0.028</v>
      </c>
    </row>
    <row r="10">
      <c r="A10" s="1" t="inlineStr">
        <is>
          <t>SBC (expense)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s="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s="1" t="inlineStr">
        <is>
          <t>D&amp;A</t>
        </is>
      </c>
      <c r="C12" s="8">
        <f>-C6*Assumptions!$D$21</f>
        <v/>
      </c>
      <c r="D12" s="8">
        <f>-D6*Assumptions!$D$21</f>
        <v/>
      </c>
      <c r="E12" s="8">
        <f>-E6*Assumptions!$D$21</f>
        <v/>
      </c>
      <c r="F12" s="8">
        <f>-F6*Assumptions!$D$21</f>
        <v/>
      </c>
      <c r="G12" s="8">
        <f>-G6*Assumptions!$D$21</f>
        <v/>
      </c>
      <c r="H12" s="8">
        <f>-H6*Assumptions!$D$21</f>
        <v/>
      </c>
      <c r="I12" s="8">
        <f>-I6*Assumptions!$D$21</f>
        <v/>
      </c>
      <c r="J12" s="8">
        <f>-J6*Assumptions!$D$21</f>
        <v/>
      </c>
      <c r="K12" s="8">
        <f>-K6*Assumptions!$D$21</f>
        <v/>
      </c>
      <c r="L12" s="8">
        <f>-L6*Assumptions!$D$21</f>
        <v/>
      </c>
    </row>
    <row r="13">
      <c r="A13" s="1" t="inlineStr">
        <is>
          <t>EBIT after SBC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s="1" t="inlineStr">
        <is>
          <t>Cash tax rate</t>
        </is>
      </c>
      <c r="B14" s="6" t="n"/>
      <c r="C14" s="7" t="n">
        <v>0.215</v>
      </c>
      <c r="D14" s="7" t="n">
        <v>0.215</v>
      </c>
      <c r="E14" s="7" t="n">
        <v>0.22</v>
      </c>
      <c r="F14" s="7" t="n">
        <v>0.22</v>
      </c>
      <c r="G14" s="7" t="n">
        <v>0.22</v>
      </c>
      <c r="H14" s="7" t="n">
        <v>0.22</v>
      </c>
      <c r="I14" s="7" t="n">
        <v>0.22</v>
      </c>
      <c r="J14" s="7" t="n">
        <v>0.22</v>
      </c>
      <c r="K14" s="7" t="n">
        <v>0.22</v>
      </c>
      <c r="L14" s="7" t="n">
        <v>0.22</v>
      </c>
    </row>
    <row r="15">
      <c r="A15" s="1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s="1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s="1" t="inlineStr">
        <is>
          <t>less capex</t>
        </is>
      </c>
      <c r="C17" s="8">
        <f>-C6*Assumptions!$E$21</f>
        <v/>
      </c>
      <c r="D17" s="8">
        <f>-D6*Assumptions!$E$21</f>
        <v/>
      </c>
      <c r="E17" s="8">
        <f>-E6*Assumptions!$E$21</f>
        <v/>
      </c>
      <c r="F17" s="8">
        <f>-F6*Assumptions!$E$21</f>
        <v/>
      </c>
      <c r="G17" s="8">
        <f>-G6*Assumptions!$E$21</f>
        <v/>
      </c>
      <c r="H17" s="8">
        <f>-H6*Assumptions!$E$21</f>
        <v/>
      </c>
      <c r="I17" s="8">
        <f>-I6*Assumptions!$E$21</f>
        <v/>
      </c>
      <c r="J17" s="8">
        <f>-J6*Assumptions!$E$21</f>
        <v/>
      </c>
      <c r="K17" s="8">
        <f>-K6*Assumptions!$E$21</f>
        <v/>
      </c>
      <c r="L17" s="8">
        <f>-L6*Assumptions!$E$21</f>
        <v/>
      </c>
    </row>
    <row r="18">
      <c r="A18" s="1" t="inlineStr">
        <is>
          <t>add working capital</t>
        </is>
      </c>
      <c r="C18" s="8">
        <f>Assumptions!$F$21*(C6-B6)</f>
        <v/>
      </c>
      <c r="D18" s="8">
        <f>Assumptions!$F$21*(D6-C6)</f>
        <v/>
      </c>
      <c r="E18" s="8">
        <f>Assumptions!$F$21*(E6-D6)</f>
        <v/>
      </c>
      <c r="F18" s="8">
        <f>Assumptions!$F$21*(F6-E6)</f>
        <v/>
      </c>
      <c r="G18" s="8">
        <f>Assumptions!$F$21*(G6-F6)</f>
        <v/>
      </c>
      <c r="H18" s="8">
        <f>Assumptions!$F$21*(H6-G6)</f>
        <v/>
      </c>
      <c r="I18" s="8">
        <f>Assumptions!$F$21*(I6-H6)</f>
        <v/>
      </c>
      <c r="J18" s="8">
        <f>Assumptions!$F$21*(J6-I6)</f>
        <v/>
      </c>
      <c r="K18" s="8">
        <f>Assumptions!$F$21*(K6-J6)</f>
        <v/>
      </c>
      <c r="L18" s="8">
        <f>Assumptions!$F$21*(L6-K6)</f>
        <v/>
      </c>
    </row>
    <row r="19">
      <c r="A19" s="1" t="inlineStr">
        <is>
          <t>UNLEVERED OWNER FCF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s="1" t="inlineStr">
        <is>
          <t>Discount factor</t>
        </is>
      </c>
      <c r="C20" s="8">
        <f>1/(1+Assumptions!$B$11)^C4</f>
        <v/>
      </c>
      <c r="D20" s="8">
        <f>1/(1+Assumptions!$B$11)^D4</f>
        <v/>
      </c>
      <c r="E20" s="8">
        <f>1/(1+Assumptions!$B$11)^E4</f>
        <v/>
      </c>
      <c r="F20" s="8">
        <f>1/(1+Assumptions!$B$11)^F4</f>
        <v/>
      </c>
      <c r="G20" s="8">
        <f>1/(1+Assumptions!$B$11)^G4</f>
        <v/>
      </c>
      <c r="H20" s="8">
        <f>1/(1+Assumptions!$B$11)^H4</f>
        <v/>
      </c>
      <c r="I20" s="8">
        <f>1/(1+Assumptions!$B$11)^I4</f>
        <v/>
      </c>
      <c r="J20" s="8">
        <f>1/(1+Assumptions!$B$11)^J4</f>
        <v/>
      </c>
      <c r="K20" s="8">
        <f>1/(1+Assumptions!$B$11)^K4</f>
        <v/>
      </c>
      <c r="L20" s="8">
        <f>1/(1+Assumptions!$B$11)^L4</f>
        <v/>
      </c>
    </row>
    <row r="21">
      <c r="A21" s="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s="1" t="inlineStr">
        <is>
          <t>Memo: FCF before SBC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s="1" t="inlineStr">
        <is>
          <t>Memo: owner-FCF margin</t>
        </is>
      </c>
      <c r="B24" s="6" t="n"/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s="1" t="inlineStr">
        <is>
          <t>Sum PV of explicit FCF</t>
        </is>
      </c>
      <c r="B26">
        <f>SUM(C21:L21)</f>
        <v/>
      </c>
    </row>
    <row r="27">
      <c r="A27" s="1" t="inlineStr">
        <is>
          <t>Terminal growth</t>
        </is>
      </c>
      <c r="B27">
        <f>Assumptions!$B$21</f>
        <v/>
      </c>
    </row>
    <row r="28">
      <c r="A28" s="1" t="inlineStr">
        <is>
          <t>Terminal-year FCF grown</t>
        </is>
      </c>
      <c r="B28">
        <f>L19*(1+B27)</f>
        <v/>
      </c>
    </row>
    <row r="29">
      <c r="A29" s="1" t="inlineStr">
        <is>
          <t>Gordon terminal value</t>
        </is>
      </c>
      <c r="B29">
        <f>B28/(Assumptions!$B$11-B27)</f>
        <v/>
      </c>
    </row>
    <row r="30">
      <c r="A30" s="1" t="inlineStr">
        <is>
          <t>Cap terminal value</t>
        </is>
      </c>
      <c r="B30">
        <f>Assumptions!$B$12*L19</f>
        <v/>
      </c>
    </row>
    <row r="31">
      <c r="A31" s="1" t="inlineStr">
        <is>
          <t>TERMINAL VALUE USED</t>
        </is>
      </c>
      <c r="B31">
        <f>MAX(0,MIN(B29,B30))</f>
        <v/>
      </c>
    </row>
    <row r="32">
      <c r="A32" s="1" t="inlineStr">
        <is>
          <t>Which bound</t>
        </is>
      </c>
      <c r="B32">
        <f>IF(B30&lt;B29,"cap","gordon")</f>
        <v/>
      </c>
    </row>
    <row r="33">
      <c r="A33" s="1" t="inlineStr">
        <is>
          <t>Implied exit multiple</t>
        </is>
      </c>
      <c r="B33">
        <f>B31/L19</f>
        <v/>
      </c>
    </row>
    <row r="34">
      <c r="A34" s="1" t="inlineStr">
        <is>
          <t>PV of terminal value</t>
        </is>
      </c>
      <c r="B34">
        <f>B31*L20</f>
        <v/>
      </c>
    </row>
    <row r="35">
      <c r="A35" s="1" t="inlineStr">
        <is>
          <t>Enterprise value</t>
        </is>
      </c>
      <c r="B35">
        <f>B26+B34</f>
        <v/>
      </c>
    </row>
    <row r="36">
      <c r="A36" s="1" t="inlineStr">
        <is>
          <t>add net cash used</t>
        </is>
      </c>
      <c r="B36">
        <f>Assumptions!$B$9</f>
        <v/>
      </c>
    </row>
    <row r="37">
      <c r="A37" s="1" t="inlineStr">
        <is>
          <t>Equity value</t>
        </is>
      </c>
      <c r="B37">
        <f>B35+B36</f>
        <v/>
      </c>
    </row>
    <row r="38">
      <c r="A38" s="1" t="inlineStr">
        <is>
          <t>Diluted shares (m)</t>
        </is>
      </c>
      <c r="B38">
        <f>Assumptions!$B$3</f>
        <v/>
      </c>
    </row>
    <row r="39">
      <c r="A39" s="1" t="inlineStr">
        <is>
          <t>VALUE PER SHARE RMB</t>
        </is>
      </c>
      <c r="B39" s="1">
        <f>B37/B38</f>
        <v/>
      </c>
    </row>
    <row r="40">
      <c r="A40" s="1" t="inlineStr">
        <is>
          <t>VALUE PER SHARE HKD</t>
        </is>
      </c>
      <c r="B40" s="9">
        <f>B39*Assumptions!$B$14</f>
        <v/>
      </c>
    </row>
    <row r="41">
      <c r="A41" s="1" t="inlineStr">
        <is>
          <t>Upside vs price</t>
        </is>
      </c>
      <c r="B41" s="6">
        <f>B40/Assumptions!$B$13-1</f>
        <v/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1" t="inlineStr">
        <is>
          <t>Terminal % of EV</t>
        </is>
      </c>
      <c r="B42" s="6">
        <f>B34/B35</f>
        <v/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4">
      <c r="A44" s="1" t="inlineStr">
        <is>
          <t>Street basis memo (SBC treated as non-cash)</t>
        </is>
      </c>
    </row>
    <row r="45">
      <c r="A45" t="inlineStr">
        <is>
          <t>PV of explicit-period SBC</t>
        </is>
      </c>
      <c r="B45">
        <f>SUMPRODUCT(-C10:L10,C20:L20)</f>
        <v/>
      </c>
    </row>
    <row r="46">
      <c r="A46" t="inlineStr">
        <is>
          <t>PV of terminal SBC</t>
        </is>
      </c>
      <c r="B46">
        <f>(-L10*(1+B27)/(Assumptions!$B$11-B27))*L20</f>
        <v/>
      </c>
    </row>
    <row r="47">
      <c r="A47" t="inlineStr">
        <is>
          <t>Street value per share HKD</t>
        </is>
      </c>
      <c r="B47" s="1">
        <f>(B37+B45+B46)/B38*Assumptions!$B$14</f>
        <v/>
      </c>
    </row>
    <row r="49">
      <c r="A49" s="1" t="inlineStr">
        <is>
          <t>15% hurdle entry price</t>
        </is>
      </c>
    </row>
    <row r="50">
      <c r="A50" t="inlineStr">
        <is>
          <t>PV of interim FCF at 15%</t>
        </is>
      </c>
      <c r="B50">
        <f>SUMPRODUCT(C19:L19,1/(1.15)^C4:L4)</f>
        <v/>
      </c>
    </row>
    <row r="51">
      <c r="A51" t="inlineStr">
        <is>
          <t>PV of terminal value at 15%</t>
        </is>
      </c>
      <c r="B51">
        <f>B31/1.15^10</f>
        <v/>
      </c>
    </row>
    <row r="52">
      <c r="A52" t="inlineStr">
        <is>
          <t>Entry price HKD</t>
        </is>
      </c>
      <c r="B52" s="1">
        <f>(B50+B51+Assumptions!$B$9)/B38*Assumptions!$B$14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Reported FCF reconciled to owner FCF -- RMB millions</t>
        </is>
      </c>
    </row>
    <row r="3">
      <c r="A3" s="3" t="inlineStr">
        <is>
          <t>Year</t>
        </is>
      </c>
      <c r="B3" s="3" t="n">
        <v>2019</v>
      </c>
      <c r="C3" s="3" t="n">
        <v>2020</v>
      </c>
      <c r="D3" s="3" t="n">
        <v>2021</v>
      </c>
      <c r="E3" s="3" t="n">
        <v>2022</v>
      </c>
      <c r="F3" s="3" t="n">
        <v>2023</v>
      </c>
      <c r="G3" s="3" t="n">
        <v>2024</v>
      </c>
      <c r="H3" s="3" t="n">
        <v>2025</v>
      </c>
      <c r="I3" s="3" t="inlineStr">
        <is>
          <t>TTM</t>
        </is>
      </c>
    </row>
    <row r="4">
      <c r="A4" s="1" t="inlineStr">
        <is>
          <t>Free cash flow (company definition)</t>
        </is>
      </c>
      <c r="B4" s="4" t="n">
        <v>16007</v>
      </c>
      <c r="C4" s="4" t="n">
        <v>23832.6</v>
      </c>
      <c r="D4" s="4" t="n">
        <v>23324.9</v>
      </c>
      <c r="E4" s="4" t="n">
        <v>25609</v>
      </c>
      <c r="F4" s="4" t="n">
        <v>33029.7</v>
      </c>
      <c r="G4" s="4" t="n">
        <v>38401.4</v>
      </c>
      <c r="H4" s="4" t="n">
        <v>49674.4</v>
      </c>
      <c r="I4" s="4" t="n">
        <v>50036.6</v>
      </c>
    </row>
    <row r="5">
      <c r="A5" s="1" t="inlineStr">
        <is>
          <t>less: SBC</t>
        </is>
      </c>
      <c r="B5" s="4" t="n">
        <v>-2404.1</v>
      </c>
      <c r="C5" s="4" t="n">
        <v>-2663.5</v>
      </c>
      <c r="D5" s="4" t="n">
        <v>-3041.5</v>
      </c>
      <c r="E5" s="4" t="n">
        <v>-3174.2</v>
      </c>
      <c r="F5" s="4" t="n">
        <v>-3242.8</v>
      </c>
      <c r="G5" s="4" t="n">
        <v>-3882.9</v>
      </c>
      <c r="H5" s="4" t="n">
        <v>-3647.7</v>
      </c>
      <c r="I5" s="4" t="n">
        <v>-3199.2</v>
      </c>
    </row>
    <row r="6">
      <c r="A6" s="1" t="inlineStr">
        <is>
          <t>less: net interest income</t>
        </is>
      </c>
      <c r="B6" s="4" t="n">
        <v>-821.8</v>
      </c>
      <c r="C6" s="4" t="n">
        <v>-1598.6</v>
      </c>
      <c r="D6" s="4" t="n">
        <v>-1519.7</v>
      </c>
      <c r="E6" s="4" t="n">
        <v>-2149.7</v>
      </c>
      <c r="F6" s="4" t="n">
        <v>-4120.4</v>
      </c>
      <c r="G6" s="4" t="n">
        <v>-4920.9</v>
      </c>
      <c r="H6" s="4" t="n">
        <v>-3953.5</v>
      </c>
      <c r="I6" s="4" t="n">
        <v>-3953.5</v>
      </c>
    </row>
    <row r="7">
      <c r="A7" s="1" t="inlineStr">
        <is>
          <t>Owner FCF</t>
        </is>
      </c>
      <c r="B7" s="1">
        <f>B4+B5+B6</f>
        <v/>
      </c>
      <c r="C7" s="1">
        <f>C4+C5+C6</f>
        <v/>
      </c>
      <c r="D7" s="1">
        <f>D4+D5+D6</f>
        <v/>
      </c>
      <c r="E7" s="1">
        <f>E4+E5+E6</f>
        <v/>
      </c>
      <c r="F7" s="1">
        <f>F4+F5+F6</f>
        <v/>
      </c>
      <c r="G7" s="1">
        <f>G4+G5+G6</f>
        <v/>
      </c>
      <c r="H7" s="1">
        <f>H4+H5+H6</f>
        <v/>
      </c>
      <c r="I7" s="1">
        <f>I4+I5+I6</f>
        <v/>
      </c>
    </row>
    <row r="8">
      <c r="A8" s="1" t="inlineStr">
        <is>
          <t>Revenue</t>
        </is>
      </c>
      <c r="B8" s="4" t="n">
        <v>60925.1</v>
      </c>
      <c r="C8" s="4" t="n">
        <v>73631.2</v>
      </c>
      <c r="D8" s="4" t="n">
        <v>87987.60000000001</v>
      </c>
      <c r="E8" s="4" t="n">
        <v>99423</v>
      </c>
      <c r="F8" s="4" t="n">
        <v>103437.7</v>
      </c>
      <c r="G8" s="4" t="n">
        <v>105377.6</v>
      </c>
      <c r="H8" s="4" t="n">
        <v>112625.8</v>
      </c>
      <c r="I8" s="4" t="n">
        <v>116582.5</v>
      </c>
    </row>
    <row r="9">
      <c r="A9" s="1" t="inlineStr">
        <is>
          <t>Reported FCF margin</t>
        </is>
      </c>
      <c r="B9" s="6">
        <f>B4/B8</f>
        <v/>
      </c>
      <c r="C9" s="6">
        <f>C4/C8</f>
        <v/>
      </c>
      <c r="D9" s="6">
        <f>D4/D8</f>
        <v/>
      </c>
      <c r="E9" s="6">
        <f>E4/E8</f>
        <v/>
      </c>
      <c r="F9" s="6">
        <f>F4/F8</f>
        <v/>
      </c>
      <c r="G9" s="6">
        <f>G4/G8</f>
        <v/>
      </c>
      <c r="H9" s="6">
        <f>H4/H8</f>
        <v/>
      </c>
      <c r="I9" s="6">
        <f>I4/I8</f>
        <v/>
      </c>
    </row>
    <row r="10">
      <c r="A10" s="1" t="inlineStr">
        <is>
          <t>Owner FCF margin</t>
        </is>
      </c>
      <c r="B10" s="6">
        <f>B7/B8</f>
        <v/>
      </c>
      <c r="C10" s="6">
        <f>C7/C8</f>
        <v/>
      </c>
      <c r="D10" s="6">
        <f>D7/D8</f>
        <v/>
      </c>
      <c r="E10" s="6">
        <f>E7/E8</f>
        <v/>
      </c>
      <c r="F10" s="6">
        <f>F7/F8</f>
        <v/>
      </c>
      <c r="G10" s="6">
        <f>G7/G8</f>
        <v/>
      </c>
      <c r="H10" s="6">
        <f>H7/H8</f>
        <v/>
      </c>
      <c r="I10" s="6">
        <f>I7/I8</f>
        <v/>
      </c>
    </row>
    <row r="12">
      <c r="A12" s="1" t="inlineStr">
        <is>
          <t>Memo: working-capital inflow inside OCF, and why it matters</t>
        </is>
      </c>
    </row>
    <row r="13">
      <c r="A13" t="inlineStr">
        <is>
          <t>FY2025 WC inflow (contract liab 5,400 + payables 1,900 + taxes payable 1,100)</t>
        </is>
      </c>
      <c r="B13" s="4" t="n">
        <v>8400</v>
      </c>
    </row>
    <row r="14">
      <c r="A14" t="inlineStr">
        <is>
          <t>as % of FY2025 reported FCF</t>
        </is>
      </c>
      <c r="B14" s="10" t="n">
        <v>0.169</v>
      </c>
    </row>
    <row r="15">
      <c r="A15" t="inlineStr">
        <is>
          <t>as % of the FY2025 revenue INCREASE</t>
        </is>
      </c>
      <c r="B15" s="10" t="n">
        <v>1.159</v>
      </c>
    </row>
    <row r="16">
      <c r="A16" t="inlineStr">
        <is>
          <t>FY2024 WC inflow</t>
        </is>
      </c>
      <c r="B16" s="4" t="n">
        <v>3306.8</v>
      </c>
    </row>
    <row r="17">
      <c r="A17" t="inlineStr">
        <is>
          <t>FY2024 as % of reported FCF</t>
        </is>
      </c>
      <c r="B17" s="10" t="n">
        <v>0.08599999999999999</v>
      </c>
    </row>
    <row r="18">
      <c r="A18" t="inlineStr">
        <is>
          <t>Forward WC capture rate assumed in the model</t>
        </is>
      </c>
      <c r="B18" s="10" t="n">
        <v>0.35</v>
      </c>
    </row>
    <row r="20">
      <c r="A20" s="1" t="inlineStr">
        <is>
          <t>Memo: cash tax rate -- FLAGGED as structurally higher</t>
        </is>
      </c>
    </row>
    <row r="21">
      <c r="A21" t="inlineStr">
        <is>
          <t>H1-2025 effective tax rate</t>
        </is>
      </c>
      <c r="B21" s="10" t="n">
        <v>0.15</v>
      </c>
    </row>
    <row r="22">
      <c r="A22" t="inlineStr">
        <is>
          <t>H1-2026 effective tax rate</t>
        </is>
      </c>
      <c r="B22" s="10" t="n">
        <v>0.217</v>
      </c>
    </row>
    <row r="23">
      <c r="A23" t="inlineStr">
        <is>
          <t>Q2-2026 alone</t>
        </is>
      </c>
      <c r="B23" s="10" t="n">
        <v>0.255</v>
      </c>
    </row>
    <row r="24">
      <c r="A24" t="inlineStr">
        <is>
          <t>Modelled base-case path</t>
        </is>
      </c>
      <c r="B24" s="10" t="n">
        <v>0.22</v>
      </c>
    </row>
    <row r="25">
      <c r="A25" t="inlineStr">
        <is>
          <t>ramping to</t>
        </is>
      </c>
      <c r="B25" s="10" t="n">
        <v>0.24</v>
      </c>
    </row>
    <row r="27">
      <c r="A27" t="inlineStr">
        <is>
          <t>The step-up is treated as permanent (expiring preferential software/HNTE rates), not a timing item. Reverting to 15% would materially overstate value.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Valuation summary -- NetEase 9999.HK</t>
        </is>
      </c>
    </row>
    <row r="3">
      <c r="A3" s="3" t="inlineStr">
        <is>
          <t>Scenario</t>
        </is>
      </c>
      <c r="B3" s="3" t="inlineStr">
        <is>
          <t>Value/share HKD</t>
        </is>
      </c>
      <c r="C3" s="3" t="inlineStr">
        <is>
          <t>Upside</t>
        </is>
      </c>
      <c r="D3" s="3" t="inlineStr">
        <is>
          <t>Weight</t>
        </is>
      </c>
      <c r="E3" s="3" t="inlineStr">
        <is>
          <t>Street value HKD</t>
        </is>
      </c>
      <c r="F3" s="3" t="inlineStr">
        <is>
          <t>Entry HKD @15%</t>
        </is>
      </c>
    </row>
    <row r="4">
      <c r="A4" s="1" t="inlineStr">
        <is>
          <t>Bear</t>
        </is>
      </c>
      <c r="B4" s="8">
        <f>DCF_Bear!$B$40</f>
        <v/>
      </c>
      <c r="C4" s="6">
        <f>B4/Assumptions!$B$13-1</f>
        <v/>
      </c>
      <c r="D4" s="8">
        <f>Assumptions!$C$19</f>
        <v/>
      </c>
      <c r="E4" s="8">
        <f>DCF_Bear!$B$47</f>
        <v/>
      </c>
      <c r="F4" s="8">
        <f>DCF_Bear!$B$52</f>
        <v/>
      </c>
    </row>
    <row r="5">
      <c r="A5" s="1" t="inlineStr">
        <is>
          <t>Base</t>
        </is>
      </c>
      <c r="B5" s="8">
        <f>DCF_Base!$B$40</f>
        <v/>
      </c>
      <c r="C5" s="6">
        <f>B5/Assumptions!$B$13-1</f>
        <v/>
      </c>
      <c r="D5" s="8">
        <f>Assumptions!$C$20</f>
        <v/>
      </c>
      <c r="E5" s="8">
        <f>DCF_Base!$B$47</f>
        <v/>
      </c>
      <c r="F5" s="8">
        <f>DCF_Base!$B$52</f>
        <v/>
      </c>
    </row>
    <row r="6">
      <c r="A6" s="1" t="inlineStr">
        <is>
          <t>Bull</t>
        </is>
      </c>
      <c r="B6" s="8">
        <f>DCF_Bull!$B$40</f>
        <v/>
      </c>
      <c r="C6" s="6">
        <f>B6/Assumptions!$B$13-1</f>
        <v/>
      </c>
      <c r="D6" s="8">
        <f>Assumptions!$C$21</f>
        <v/>
      </c>
      <c r="E6" s="8">
        <f>DCF_Bull!$B$47</f>
        <v/>
      </c>
      <c r="F6" s="8">
        <f>DCF_Bull!$B$52</f>
        <v/>
      </c>
    </row>
    <row r="8">
      <c r="A8" s="1" t="inlineStr">
        <is>
          <t>PROBABILITY-WEIGHTED</t>
        </is>
      </c>
      <c r="B8" s="9">
        <f>SUMPRODUCT(B4:B6,D4:D6)</f>
        <v/>
      </c>
      <c r="C8" s="6">
        <f>B8/Assumptions!$B$13-1</f>
        <v/>
      </c>
      <c r="E8" s="1">
        <f>SUMPRODUCT(E4:E6,D4:D6)</f>
        <v/>
      </c>
      <c r="F8" s="1">
        <f>SUMPRODUCT(F4:F6,D4:D6)</f>
        <v/>
      </c>
    </row>
    <row r="9">
      <c r="A9" t="inlineStr">
        <is>
          <t>Margin of safety vs price</t>
        </is>
      </c>
      <c r="B9" s="6">
        <f>1-Assumptions!$B$13/B8</f>
        <v/>
      </c>
    </row>
    <row r="10" ht="48" customHeight="1">
      <c r="A10" t="inlineStr">
        <is>
          <t>Band position (0%=house, 100%=street)</t>
        </is>
      </c>
      <c r="B10" s="6">
        <f>(Assumptions!$B$13-B8)/(E8-B8)</f>
        <v/>
      </c>
      <c r="C10" s="2" t="inlineStr">
        <is>
          <t>Negative because the price sits BELOW the house IV. The band is only ~HK$18 wide (SBC is just 2.8% of revenue), so a HK$35 gap below the floor scales to a large negative. Not an error -- it means no part of the thesis depends on SBC treatment.</t>
        </is>
      </c>
    </row>
    <row r="12">
      <c r="A12" s="1" t="inlineStr">
        <is>
          <t>Required-return table (base case), value per share HKD</t>
        </is>
      </c>
    </row>
    <row r="13">
      <c r="A13" s="1" t="inlineStr">
        <is>
          <t>Required return</t>
        </is>
      </c>
      <c r="B13" s="1" t="inlineStr">
        <is>
          <t>Value/share HKD</t>
        </is>
      </c>
    </row>
    <row r="14">
      <c r="A14" s="6" t="n">
        <v>0.09</v>
      </c>
      <c r="B14">
        <f>(SUMPRODUCT(DCF_Base!$C$19:$L$19,1/(1+$A14)^DCF_Base!$C$4:$L$4)+DCF_Base!$B$31/(1+$A14)^10+Assumptions!$B$9)/Assumptions!$B$3*Assumptions!$B$14</f>
        <v/>
      </c>
      <c r="D14" t="inlineStr">
        <is>
          <t>Today's HK$192.20 sits between the 12% and 15% rows -- the market is pricing roughly a 13-14% forward return on the base-case flows.</t>
        </is>
      </c>
    </row>
    <row r="15">
      <c r="A15" s="6" t="n">
        <v>0.1</v>
      </c>
      <c r="B15">
        <f>(SUMPRODUCT(DCF_Base!$C$19:$L$19,1/(1+$A15)^DCF_Base!$C$4:$L$4)+DCF_Base!$B$31/(1+$A15)^10+Assumptions!$B$9)/Assumptions!$B$3*Assumptions!$B$14</f>
        <v/>
      </c>
    </row>
    <row r="16">
      <c r="A16" s="6" t="n">
        <v>0.105</v>
      </c>
      <c r="B16">
        <f>(SUMPRODUCT(DCF_Base!$C$19:$L$19,1/(1+$A16)^DCF_Base!$C$4:$L$4)+DCF_Base!$B$31/(1+$A16)^10+Assumptions!$B$9)/Assumptions!$B$3*Assumptions!$B$14</f>
        <v/>
      </c>
    </row>
    <row r="17">
      <c r="A17" s="6" t="n">
        <v>0.11</v>
      </c>
      <c r="B17">
        <f>(SUMPRODUCT(DCF_Base!$C$19:$L$19,1/(1+$A17)^DCF_Base!$C$4:$L$4)+DCF_Base!$B$31/(1+$A17)^10+Assumptions!$B$9)/Assumptions!$B$3*Assumptions!$B$14</f>
        <v/>
      </c>
    </row>
    <row r="18">
      <c r="A18" s="6" t="n">
        <v>0.12</v>
      </c>
      <c r="B18">
        <f>(SUMPRODUCT(DCF_Base!$C$19:$L$19,1/(1+$A18)^DCF_Base!$C$4:$L$4)+DCF_Base!$B$31/(1+$A18)^10+Assumptions!$B$9)/Assumptions!$B$3*Assumptions!$B$14</f>
        <v/>
      </c>
    </row>
    <row r="19">
      <c r="A19" s="6" t="n">
        <v>0.15</v>
      </c>
      <c r="B19">
        <f>(SUMPRODUCT(DCF_Base!$C$19:$L$19,1/(1+$A19)^DCF_Base!$C$4:$L$4)+DCF_Base!$B$31/(1+$A19)^10+Assumptions!$B$9)/Assumptions!$B$3*Assumptions!$B$14</f>
        <v/>
      </c>
    </row>
    <row r="21">
      <c r="A21" s="1" t="inlineStr">
        <is>
          <t>Sensitivity: WACC (rows) x terminal growth (cols), base case, value per share HKD</t>
        </is>
      </c>
    </row>
    <row r="22">
      <c r="B22" s="11" t="n">
        <v>0.015</v>
      </c>
      <c r="C22" s="11" t="n">
        <v>0.02</v>
      </c>
      <c r="D22" s="11" t="n">
        <v>0.025</v>
      </c>
      <c r="E22" s="11" t="n">
        <v>0.03</v>
      </c>
      <c r="F22" s="11" t="n">
        <v>0.035</v>
      </c>
    </row>
    <row r="23">
      <c r="A23" s="11" t="n">
        <v>0.08500000000000001</v>
      </c>
      <c r="B23">
        <f>IF($A23&lt;=B$22,"n/a",(SUMPRODUCT(DCF_Base!$C$19:$L$19,1/(1+$A23)^DCF_Base!$C$4:$L$4)+MAX(0,MIN(DCF_Base!$L$19*(1+B$22)/($A23-B$22),Assumptions!$B$12*DCF_Base!$L$19))/(1+$A23)^10+Assumptions!$B$9)/Assumptions!$B$3*Assumptions!$B$14)</f>
        <v/>
      </c>
      <c r="C23">
        <f>IF($A23&lt;=C$22,"n/a",(SUMPRODUCT(DCF_Base!$C$19:$L$19,1/(1+$A23)^DCF_Base!$C$4:$L$4)+MAX(0,MIN(DCF_Base!$L$19*(1+C$22)/($A23-C$22),Assumptions!$B$12*DCF_Base!$L$19))/(1+$A23)^10+Assumptions!$B$9)/Assumptions!$B$3*Assumptions!$B$14)</f>
        <v/>
      </c>
      <c r="D23">
        <f>IF($A23&lt;=D$22,"n/a",(SUMPRODUCT(DCF_Base!$C$19:$L$19,1/(1+$A23)^DCF_Base!$C$4:$L$4)+MAX(0,MIN(DCF_Base!$L$19*(1+D$22)/($A23-D$22),Assumptions!$B$12*DCF_Base!$L$19))/(1+$A23)^10+Assumptions!$B$9)/Assumptions!$B$3*Assumptions!$B$14)</f>
        <v/>
      </c>
      <c r="E23">
        <f>IF($A23&lt;=E$22,"n/a",(SUMPRODUCT(DCF_Base!$C$19:$L$19,1/(1+$A23)^DCF_Base!$C$4:$L$4)+MAX(0,MIN(DCF_Base!$L$19*(1+E$22)/($A23-E$22),Assumptions!$B$12*DCF_Base!$L$19))/(1+$A23)^10+Assumptions!$B$9)/Assumptions!$B$3*Assumptions!$B$14)</f>
        <v/>
      </c>
      <c r="F23">
        <f>IF($A23&lt;=F$22,"n/a",(SUMPRODUCT(DCF_Base!$C$19:$L$19,1/(1+$A23)^DCF_Base!$C$4:$L$4)+MAX(0,MIN(DCF_Base!$L$19*(1+F$22)/($A23-F$22),Assumptions!$B$12*DCF_Base!$L$19))/(1+$A23)^10+Assumptions!$B$9)/Assumptions!$B$3*Assumptions!$B$14)</f>
        <v/>
      </c>
    </row>
    <row r="24">
      <c r="A24" s="11" t="n">
        <v>0.095</v>
      </c>
      <c r="B24">
        <f>IF($A24&lt;=B$22,"n/a",(SUMPRODUCT(DCF_Base!$C$19:$L$19,1/(1+$A24)^DCF_Base!$C$4:$L$4)+MAX(0,MIN(DCF_Base!$L$19*(1+B$22)/($A24-B$22),Assumptions!$B$12*DCF_Base!$L$19))/(1+$A24)^10+Assumptions!$B$9)/Assumptions!$B$3*Assumptions!$B$14)</f>
        <v/>
      </c>
      <c r="C24">
        <f>IF($A24&lt;=C$22,"n/a",(SUMPRODUCT(DCF_Base!$C$19:$L$19,1/(1+$A24)^DCF_Base!$C$4:$L$4)+MAX(0,MIN(DCF_Base!$L$19*(1+C$22)/($A24-C$22),Assumptions!$B$12*DCF_Base!$L$19))/(1+$A24)^10+Assumptions!$B$9)/Assumptions!$B$3*Assumptions!$B$14)</f>
        <v/>
      </c>
      <c r="D24">
        <f>IF($A24&lt;=D$22,"n/a",(SUMPRODUCT(DCF_Base!$C$19:$L$19,1/(1+$A24)^DCF_Base!$C$4:$L$4)+MAX(0,MIN(DCF_Base!$L$19*(1+D$22)/($A24-D$22),Assumptions!$B$12*DCF_Base!$L$19))/(1+$A24)^10+Assumptions!$B$9)/Assumptions!$B$3*Assumptions!$B$14)</f>
        <v/>
      </c>
      <c r="E24">
        <f>IF($A24&lt;=E$22,"n/a",(SUMPRODUCT(DCF_Base!$C$19:$L$19,1/(1+$A24)^DCF_Base!$C$4:$L$4)+MAX(0,MIN(DCF_Base!$L$19*(1+E$22)/($A24-E$22),Assumptions!$B$12*DCF_Base!$L$19))/(1+$A24)^10+Assumptions!$B$9)/Assumptions!$B$3*Assumptions!$B$14)</f>
        <v/>
      </c>
      <c r="F24">
        <f>IF($A24&lt;=F$22,"n/a",(SUMPRODUCT(DCF_Base!$C$19:$L$19,1/(1+$A24)^DCF_Base!$C$4:$L$4)+MAX(0,MIN(DCF_Base!$L$19*(1+F$22)/($A24-F$22),Assumptions!$B$12*DCF_Base!$L$19))/(1+$A24)^10+Assumptions!$B$9)/Assumptions!$B$3*Assumptions!$B$14)</f>
        <v/>
      </c>
    </row>
    <row r="25">
      <c r="A25" s="11" t="n">
        <v>0.105</v>
      </c>
      <c r="B25">
        <f>IF($A25&lt;=B$22,"n/a",(SUMPRODUCT(DCF_Base!$C$19:$L$19,1/(1+$A25)^DCF_Base!$C$4:$L$4)+MAX(0,MIN(DCF_Base!$L$19*(1+B$22)/($A25-B$22),Assumptions!$B$12*DCF_Base!$L$19))/(1+$A25)^10+Assumptions!$B$9)/Assumptions!$B$3*Assumptions!$B$14)</f>
        <v/>
      </c>
      <c r="C25">
        <f>IF($A25&lt;=C$22,"n/a",(SUMPRODUCT(DCF_Base!$C$19:$L$19,1/(1+$A25)^DCF_Base!$C$4:$L$4)+MAX(0,MIN(DCF_Base!$L$19*(1+C$22)/($A25-C$22),Assumptions!$B$12*DCF_Base!$L$19))/(1+$A25)^10+Assumptions!$B$9)/Assumptions!$B$3*Assumptions!$B$14)</f>
        <v/>
      </c>
      <c r="D25" s="12">
        <f>IF($A25&lt;=D$22,"n/a",(SUMPRODUCT(DCF_Base!$C$19:$L$19,1/(1+$A25)^DCF_Base!$C$4:$L$4)+MAX(0,MIN(DCF_Base!$L$19*(1+D$22)/($A25-D$22),Assumptions!$B$12*DCF_Base!$L$19))/(1+$A25)^10+Assumptions!$B$9)/Assumptions!$B$3*Assumptions!$B$14)</f>
        <v/>
      </c>
      <c r="E25">
        <f>IF($A25&lt;=E$22,"n/a",(SUMPRODUCT(DCF_Base!$C$19:$L$19,1/(1+$A25)^DCF_Base!$C$4:$L$4)+MAX(0,MIN(DCF_Base!$L$19*(1+E$22)/($A25-E$22),Assumptions!$B$12*DCF_Base!$L$19))/(1+$A25)^10+Assumptions!$B$9)/Assumptions!$B$3*Assumptions!$B$14)</f>
        <v/>
      </c>
      <c r="F25">
        <f>IF($A25&lt;=F$22,"n/a",(SUMPRODUCT(DCF_Base!$C$19:$L$19,1/(1+$A25)^DCF_Base!$C$4:$L$4)+MAX(0,MIN(DCF_Base!$L$19*(1+F$22)/($A25-F$22),Assumptions!$B$12*DCF_Base!$L$19))/(1+$A25)^10+Assumptions!$B$9)/Assumptions!$B$3*Assumptions!$B$14)</f>
        <v/>
      </c>
    </row>
    <row r="26">
      <c r="A26" s="11" t="n">
        <v>0.115</v>
      </c>
      <c r="B26">
        <f>IF($A26&lt;=B$22,"n/a",(SUMPRODUCT(DCF_Base!$C$19:$L$19,1/(1+$A26)^DCF_Base!$C$4:$L$4)+MAX(0,MIN(DCF_Base!$L$19*(1+B$22)/($A26-B$22),Assumptions!$B$12*DCF_Base!$L$19))/(1+$A26)^10+Assumptions!$B$9)/Assumptions!$B$3*Assumptions!$B$14)</f>
        <v/>
      </c>
      <c r="C26">
        <f>IF($A26&lt;=C$22,"n/a",(SUMPRODUCT(DCF_Base!$C$19:$L$19,1/(1+$A26)^DCF_Base!$C$4:$L$4)+MAX(0,MIN(DCF_Base!$L$19*(1+C$22)/($A26-C$22),Assumptions!$B$12*DCF_Base!$L$19))/(1+$A26)^10+Assumptions!$B$9)/Assumptions!$B$3*Assumptions!$B$14)</f>
        <v/>
      </c>
      <c r="D26">
        <f>IF($A26&lt;=D$22,"n/a",(SUMPRODUCT(DCF_Base!$C$19:$L$19,1/(1+$A26)^DCF_Base!$C$4:$L$4)+MAX(0,MIN(DCF_Base!$L$19*(1+D$22)/($A26-D$22),Assumptions!$B$12*DCF_Base!$L$19))/(1+$A26)^10+Assumptions!$B$9)/Assumptions!$B$3*Assumptions!$B$14)</f>
        <v/>
      </c>
      <c r="E26">
        <f>IF($A26&lt;=E$22,"n/a",(SUMPRODUCT(DCF_Base!$C$19:$L$19,1/(1+$A26)^DCF_Base!$C$4:$L$4)+MAX(0,MIN(DCF_Base!$L$19*(1+E$22)/($A26-E$22),Assumptions!$B$12*DCF_Base!$L$19))/(1+$A26)^10+Assumptions!$B$9)/Assumptions!$B$3*Assumptions!$B$14)</f>
        <v/>
      </c>
      <c r="F26">
        <f>IF($A26&lt;=F$22,"n/a",(SUMPRODUCT(DCF_Base!$C$19:$L$19,1/(1+$A26)^DCF_Base!$C$4:$L$4)+MAX(0,MIN(DCF_Base!$L$19*(1+F$22)/($A26-F$22),Assumptions!$B$12*DCF_Base!$L$19))/(1+$A26)^10+Assumptions!$B$9)/Assumptions!$B$3*Assumptions!$B$14)</f>
        <v/>
      </c>
    </row>
    <row r="27">
      <c r="A27" s="11" t="n">
        <v>0.125</v>
      </c>
      <c r="B27">
        <f>IF($A27&lt;=B$22,"n/a",(SUMPRODUCT(DCF_Base!$C$19:$L$19,1/(1+$A27)^DCF_Base!$C$4:$L$4)+MAX(0,MIN(DCF_Base!$L$19*(1+B$22)/($A27-B$22),Assumptions!$B$12*DCF_Base!$L$19))/(1+$A27)^10+Assumptions!$B$9)/Assumptions!$B$3*Assumptions!$B$14)</f>
        <v/>
      </c>
      <c r="C27">
        <f>IF($A27&lt;=C$22,"n/a",(SUMPRODUCT(DCF_Base!$C$19:$L$19,1/(1+$A27)^DCF_Base!$C$4:$L$4)+MAX(0,MIN(DCF_Base!$L$19*(1+C$22)/($A27-C$22),Assumptions!$B$12*DCF_Base!$L$19))/(1+$A27)^10+Assumptions!$B$9)/Assumptions!$B$3*Assumptions!$B$14)</f>
        <v/>
      </c>
      <c r="D27">
        <f>IF($A27&lt;=D$22,"n/a",(SUMPRODUCT(DCF_Base!$C$19:$L$19,1/(1+$A27)^DCF_Base!$C$4:$L$4)+MAX(0,MIN(DCF_Base!$L$19*(1+D$22)/($A27-D$22),Assumptions!$B$12*DCF_Base!$L$19))/(1+$A27)^10+Assumptions!$B$9)/Assumptions!$B$3*Assumptions!$B$14)</f>
        <v/>
      </c>
      <c r="E27">
        <f>IF($A27&lt;=E$22,"n/a",(SUMPRODUCT(DCF_Base!$C$19:$L$19,1/(1+$A27)^DCF_Base!$C$4:$L$4)+MAX(0,MIN(DCF_Base!$L$19*(1+E$22)/($A27-E$22),Assumptions!$B$12*DCF_Base!$L$19))/(1+$A27)^10+Assumptions!$B$9)/Assumptions!$B$3*Assumptions!$B$14)</f>
        <v/>
      </c>
      <c r="F27">
        <f>IF($A27&lt;=F$22,"n/a",(SUMPRODUCT(DCF_Base!$C$19:$L$19,1/(1+$A27)^DCF_Base!$C$4:$L$4)+MAX(0,MIN(DCF_Base!$L$19*(1+F$22)/($A27-F$22),Assumptions!$B$12*DCF_Base!$L$19))/(1+$A27)^10+Assumptions!$B$9)/Assumptions!$B$3*Assumptions!$B$14)</f>
        <v/>
      </c>
    </row>
    <row r="29">
      <c r="A29" t="inlineStr">
        <is>
          <t>House pair (WACC 10.5%, g 2.5%) highlighted.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2026-08-28T22:05:04Z</dcterms:created>
  <dcterms:modified xsi:type="dcterms:W3CDTF">2026-08-28T22:05:04Z</dcterms:modified>
</cp:coreProperties>
</file>