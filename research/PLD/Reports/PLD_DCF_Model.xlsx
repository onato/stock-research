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<sst xmlns="http://schemas.openxmlformats.org/spreadsheetml/2006/main" count="384" uniqueCount="173">
  <si>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</si>
  <si>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PLD</t>
  </si>
  <si>
    <t xml:space="preserve">Company</t>
  </si>
  <si>
    <t xml:space="preserve">Prologis,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</si>
  <si>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</si>
  <si>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</si>
  <si>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</si>
  <si>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</si>
  <si>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2026-10-01T20:04:19Z regular close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</si>
  <si>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</si>
  <si>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</si>
  <si>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</si>
  <si>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</si>
  <si>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</si>
  <si>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</si>
  <si>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</si>
  <si>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</si>
  <si>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</si>
  <si>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</si>
  <si>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</si>
  <si>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</si>
  <si>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2026-10-02T07:24:30Z</t>
  </si>
  <si>
    <t xml:space="preserve">Drivers file</t>
  </si>
  <si>
    <t xml:space="preserve">PLD_Drivers.json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</si>
  <si>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</si>
  <si>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</si>
  <si>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</si>
  <si>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Prologis is valued on the cash it can distribute - AFFO after interest, recurring capex, straight-line rent and stock compensation, plus a normalised level of realized development gains - capitalised at a 9.25% USD cost of equity off a 5.24% 10-year Treasury, with net debt NOT deducted a second time. Three explicit ten-year AFFO paths bracket the mark-to-market runway, the development/data-centre opportunity and the refinancing headwind. GAAP EPS, P/E, EV/EBITDA and book equity are not used: depreciation, disposition gains and two all-stock mergers make them uninformative. The pending SEGRO acquisition is not modelled.
key_risks_to_valuation: Cost of equity: each 50bp on the 9.25% rate moves base value roughly 8-10%; the 5.24% 10-year Treasury used is high by post-2009 standards and the valuation rises if rates mean-revert; Development gains and promotes: ~6.8% of FY26 revenue from realized development gains is cap-rate dependent; the base normalises it to 4.5% and the bear to 1.5% - the single largest margin swing between scenarios; Refinancing: $36.4B of debt at a 3.3% average coupon (7.9-year term) reprices toward the 4.4% Q2-26 new-issue rate or higher; each 100bp on the full stack is ~$360M, ~7% of FY26 house AFFO; SEGRO plc (~$18.8B, 0.0920 PLD shares per SEGRO share plus partial cash, close expected H1 2027): unmodelled; adds ~13% to the share count before the cash alternative and brings a lower-growth UK/European portfolio, so per-share accretion is the question to revisit at completion; Data-centre pivot: the 5.8 GW power pipeline and ~$25B ambition are unproven at PLD's scale; power, permitting and community opposition could delay the bull case; Leadership change: Dan Letter became CEO 1 January 2026 with Hamid Moghadam as Executive Chairman; capital allocation through the SEGRO integration is the first big test</t>
  </si>
  <si>
    <t xml:space="preserve">Data sources</t>
  </si>
  <si>
    <t xml:space="preserve">price: Yahoo Finance chart API at inputs.price_as_of (regular close); 52-week range 111.03-153.35
financials: SEC EDGAR 8-K earnings supplementals (ex99.1): Q2-2026 (0001193125-26-305416) for H1-26 Core FFO/AFFO reconciliation, diluted shares+units, debt and liquidity, FY2026 guidance; FY2025 (0001193125-26-017256) and FY2024 (0000950170-25-006999) for full-year Core FFO, AFFO, SBC and development gains FY2023-FY2025. SEC XBRL companyfacts as carried in PLD_Metrics.csv for revenue, net income, EPS, equity and SBC history.
qualitative: research/PLD/Reports/PLD_Analysis.json (2026-10-02)</t>
  </si>
  <si>
    <t xml:space="preserve">Scenario narrative: bear</t>
  </si>
  <si>
    <t xml:space="preserve">Rates stay above 5% on the 10-year, cap rates widen, development and promote income dry up, and refinancing plus a softer leasing market (tariffs, a supply bulge from the current development wave) hold revenue growth to ~3%. AFFO/share grows only ~2.5%/yr; the balance sheet (4.7x debt/EBITDA, 7.9-year term, 23.9% debt/market cap) keeps this an earnings problem, not a solvency one.</t>
  </si>
  <si>
    <t xml:space="preserve">Scenario narrative: base</t>
  </si>
  <si>
    <t xml:space="preserve">Embedded rent growth carries FY26-FY28: cash same-store NOI +7% this year, Q2-26 cash rent change on rollover still +22%, and ~$2.5B/yr of development stabilising at ~6.3% yields. Development gains normalise to ~4.5% of revenue and refinancing from a 3.3% average coupon absorbs part of the operating upside. House AFFO/share compounds ~6.5%/yr for a decade, then a 3% perpetuity at a 9.25% cost of equity.</t>
  </si>
  <si>
    <t xml:space="preserve">Scenario narrative: bull</t>
  </si>
  <si>
    <t xml:space="preserve">Logistics demand broadens while new supply stays below the 2022-23 peak, the data-centre power bank (5.8 GW) monetises through build-to-suits and fund contributions, and development gains and promotes run at or above the FY26 guide. AFFO/share compounds ~8%/yr and the business earns a 3.5% terminal growth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</si>
  <si>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</si>
  <si>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</si>
  <si>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</si>
  <si>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</si>
  <si>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</si>
  <si>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</si>
  <si>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</si>
  <si>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</si>
  <si>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</si>
  <si>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</si>
  <si>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</si>
  <si>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</si>
  <si>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</si>
  <si>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</si>
  <si>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</si>
  <si>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</si>
  <si>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</si>
  <si>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</si>
  <si>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</si>
  <si>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</si>
  <si>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</si>
  <si>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</si>
  <si>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</si>
  <si>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</si>
  <si>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</si>
  <si>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</si>
  <si>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</si>
  <si>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</si>
  <si>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</si>
  <si>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</si>
  <si>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</si>
  <si>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</si>
  <si>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</si>
  <si>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</si>
  <si>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</si>
  <si>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</si>
  <si>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</si>
  <si>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</si>
  <si>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</si>
  <si>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</si>
  <si>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</si>
  <si>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</si>
  <si>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</si>
  <si>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</si>
  <si>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</si>
  <si>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</si>
  <si>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</si>
  <si>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</si>
  <si>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</si>
  <si>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</si>
  <si>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</si>
  <si>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</si>
  <si>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</si>
  <si>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</si>
  <si>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</si>
  <si>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</si>
  <si>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</si>
  <si>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</si>
  <si>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</si>
  <si>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</si>
  <si>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</si>
  <si>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</si>
  <si>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</si>
  <si>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</si>
  <si>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</si>
  <si>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</si>
  <si>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</si>
  <si>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</si>
  <si>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</si>
  <si>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</si>
  <si>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</si>
  <si>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</si>
  <si>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</si>
  <si>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</si>
  <si>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</si>
  <si>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</si>
  <si>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</si>
  <si>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</si>
  <si>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</si>
  <si>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</si>
  <si>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</si>
  <si>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</si>
  <si>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PLD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</si>
  <si>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</si>
  <si>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</si>
  <si>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</si>
  <si>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</si>
  <si>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</si>
  <si>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</si>
  <si>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</si>
  <si>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</si>
  <si>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</si>
  <si>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</si>
  <si>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</si>
  <si>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</si>
  <si>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</si>
  <si>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</si>
  <si>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</si>
  <si>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</si>
  <si>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</si>
  <si>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</si>
  <si>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</si>
  <si>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</si>
  <si>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</si>
  <si>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</si>
  <si>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</si>
  <si>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</si>
  <si>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</si>
  <si>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</si>
  <si>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</si>
  <si>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</si>
  <si>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</si>
  <si>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</si>
  <si>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PLD owner-FCF component DCF: base case (millions, USD)</t>
  </si>
  <si>
    <t xml:space="preserve">PLD owner-FCF component DCF: bull case (millions, USD)</t>
  </si>
  <si>
    <t xml:space="preserve">PLD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</si>
  <si>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</si>
  <si>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</si>
  <si>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</si>
  <si>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</si>
  <si>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</si>
  <si>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</si>
  <si>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</si>
  <si>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</si>
  <si>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</si>
  <si>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</si>
  <si>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</si>
  <si>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</si>
  <si>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</si>
  <si>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</si>
  <si>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</si>
  <si>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9.25%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</si>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</sst>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128.18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6757.769</v>
      </c>
      <c r="S2" s="0" t="n">
        <v>174.636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1027.171</v>
      </c>
      <c r="F3" s="0" t="n">
        <v>-44.558</v>
      </c>
      <c r="G3" s="0" t="n">
        <v>-4.3379339954107</v>
      </c>
      <c r="H3" s="0" t="n">
        <v>282.568</v>
      </c>
      <c r="I3" s="0" t="n">
        <v>23.929</v>
      </c>
      <c r="J3" s="0" t="n">
        <v>2.3296023738988</v>
      </c>
      <c r="K3" s="0" t="n">
        <v>-0.01</v>
      </c>
      <c r="L3" s="0" t="n">
        <v>89.095</v>
      </c>
      <c r="O3" s="0" t="n">
        <v>8007.286</v>
      </c>
      <c r="S3" s="0" t="n">
        <v>34.362</v>
      </c>
      <c r="T3" s="0" t="n">
        <v>179.966</v>
      </c>
      <c r="U3" s="0" t="n">
        <v>17.242</v>
      </c>
      <c r="V3" s="0" t="n">
        <v>0.2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840.152</v>
      </c>
      <c r="F4" s="0" t="n">
        <v>-613.521</v>
      </c>
      <c r="G4" s="0" t="n">
        <v>-73.0250002380522</v>
      </c>
      <c r="H4" s="0" t="n">
        <v>-256.827</v>
      </c>
      <c r="I4" s="0" t="n">
        <v>-1270.496</v>
      </c>
      <c r="J4" s="0" t="n">
        <v>-151.222159799655</v>
      </c>
      <c r="K4" s="0" t="n">
        <v>-5.9</v>
      </c>
      <c r="L4" s="0" t="n">
        <v>240.783</v>
      </c>
      <c r="O4" s="0" t="n">
        <v>7520.355</v>
      </c>
      <c r="P4" s="0" t="n">
        <v>14902.667</v>
      </c>
      <c r="Q4" s="0" t="n">
        <v>7382.312</v>
      </c>
      <c r="S4" s="0" t="n">
        <v>37.634</v>
      </c>
      <c r="T4" s="0" t="n">
        <v>254.482</v>
      </c>
      <c r="U4" s="0" t="n">
        <v>25.1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1421.771</v>
      </c>
      <c r="F5" s="0" t="n">
        <v>94.778</v>
      </c>
      <c r="G5" s="0" t="n">
        <v>6.66619307891355</v>
      </c>
      <c r="H5" s="0" t="n">
        <v>698.662</v>
      </c>
      <c r="I5" s="0" t="n">
        <v>-157.938</v>
      </c>
      <c r="J5" s="0" t="n">
        <v>-11.1085399828805</v>
      </c>
      <c r="K5" s="0" t="n">
        <v>-0.51</v>
      </c>
      <c r="L5" s="0" t="n">
        <v>207.064</v>
      </c>
      <c r="O5" s="0" t="n">
        <v>14455.474</v>
      </c>
      <c r="P5" s="0" t="n">
        <v>27723.912</v>
      </c>
      <c r="Q5" s="0" t="n">
        <v>13268.438</v>
      </c>
      <c r="R5" s="0" t="n">
        <v>11.382</v>
      </c>
      <c r="S5" s="0" t="n">
        <v>176.072</v>
      </c>
      <c r="T5" s="0" t="n">
        <v>459.401</v>
      </c>
      <c r="U5" s="0" t="n">
        <v>34.8</v>
      </c>
      <c r="V5" s="0" t="n">
        <v>0.01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1960.518</v>
      </c>
      <c r="F6" s="0" t="n">
        <v>92.983</v>
      </c>
      <c r="G6" s="0" t="n">
        <v>4.74277716399441</v>
      </c>
      <c r="H6" s="0" t="n">
        <v>860.442</v>
      </c>
      <c r="I6" s="0" t="n">
        <v>-39.72</v>
      </c>
      <c r="J6" s="0" t="n">
        <v>-2.02599517066408</v>
      </c>
      <c r="K6" s="0" t="n">
        <v>-0.18</v>
      </c>
      <c r="L6" s="0" t="n">
        <v>463.492</v>
      </c>
      <c r="O6" s="0" t="n">
        <v>13773.336</v>
      </c>
      <c r="P6" s="0" t="n">
        <v>27310.145</v>
      </c>
      <c r="Q6" s="0" t="n">
        <v>13536.809</v>
      </c>
      <c r="R6" s="0" t="n">
        <v>11791</v>
      </c>
      <c r="S6" s="0" t="n">
        <v>100.81</v>
      </c>
      <c r="T6" s="0" t="n">
        <v>461.77</v>
      </c>
      <c r="U6" s="0" t="n">
        <v>56.9</v>
      </c>
      <c r="V6" s="0" t="n">
        <v>0.2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1750.486</v>
      </c>
      <c r="F7" s="0" t="n">
        <v>304.412</v>
      </c>
      <c r="G7" s="0" t="n">
        <v>17.3901419377247</v>
      </c>
      <c r="H7" s="0" t="n">
        <v>968.419</v>
      </c>
      <c r="I7" s="0" t="n">
        <v>353.049</v>
      </c>
      <c r="J7" s="0" t="n">
        <v>20.1686274554609</v>
      </c>
      <c r="K7" s="0" t="n">
        <v>0.65</v>
      </c>
      <c r="L7" s="0" t="n">
        <v>484.989</v>
      </c>
      <c r="O7" s="0" t="n">
        <v>14176.453</v>
      </c>
      <c r="P7" s="0" t="n">
        <v>24572.307</v>
      </c>
      <c r="Q7" s="0" t="n">
        <v>10395.854</v>
      </c>
      <c r="R7" s="0" t="n">
        <v>9011.216</v>
      </c>
      <c r="S7" s="0" t="n">
        <v>491.129</v>
      </c>
      <c r="T7" s="0" t="n">
        <v>498.799</v>
      </c>
      <c r="U7" s="0" t="n">
        <v>58.4</v>
      </c>
      <c r="V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1760.787</v>
      </c>
      <c r="F8" s="0" t="n">
        <v>319.808</v>
      </c>
      <c r="G8" s="0" t="n">
        <v>18.1627874353911</v>
      </c>
      <c r="H8" s="0" t="n">
        <v>962.269</v>
      </c>
      <c r="I8" s="0" t="n">
        <v>739.284</v>
      </c>
      <c r="J8" s="0" t="n">
        <v>41.9859983064391</v>
      </c>
      <c r="K8" s="0" t="n">
        <v>1.25</v>
      </c>
      <c r="L8" s="0" t="n">
        <v>704.531</v>
      </c>
      <c r="O8" s="0" t="n">
        <v>15183.599</v>
      </c>
      <c r="P8" s="0" t="n">
        <v>25775.001</v>
      </c>
      <c r="Q8" s="0" t="n">
        <v>10591.402</v>
      </c>
      <c r="R8" s="0" t="n">
        <v>9336.977</v>
      </c>
      <c r="S8" s="0" t="n">
        <v>350.692</v>
      </c>
      <c r="T8" s="0" t="n">
        <v>509.498</v>
      </c>
      <c r="U8" s="0" t="n">
        <v>57.478</v>
      </c>
      <c r="V8" s="0" t="n">
        <v>0.41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2197.074</v>
      </c>
      <c r="F9" s="0" t="n">
        <v>380.172</v>
      </c>
      <c r="G9" s="0" t="n">
        <v>17.3035591882659</v>
      </c>
      <c r="H9" s="0" t="n">
        <v>1260.545</v>
      </c>
      <c r="I9" s="0" t="n">
        <v>925.515</v>
      </c>
      <c r="J9" s="0" t="n">
        <v>42.1248897397175</v>
      </c>
      <c r="K9" s="0" t="n">
        <v>1.66</v>
      </c>
      <c r="O9" s="0" t="n">
        <v>18420.836</v>
      </c>
      <c r="P9" s="0" t="n">
        <v>31394.767</v>
      </c>
      <c r="Q9" s="0" t="n">
        <v>12973.931</v>
      </c>
      <c r="R9" s="0" t="n">
        <v>11626.831</v>
      </c>
      <c r="S9" s="0" t="n">
        <v>264.08</v>
      </c>
      <c r="T9" s="0" t="n">
        <v>533.944</v>
      </c>
      <c r="U9" s="0" t="n">
        <v>53.665</v>
      </c>
      <c r="V9" s="0" t="n">
        <v>0.08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2533.135</v>
      </c>
      <c r="F10" s="0" t="n">
        <v>668.378</v>
      </c>
      <c r="G10" s="0" t="n">
        <v>26.3854078049532</v>
      </c>
      <c r="H10" s="0" t="n">
        <v>1599.363</v>
      </c>
      <c r="I10" s="0" t="n">
        <v>1292.54</v>
      </c>
      <c r="J10" s="0" t="n">
        <v>51.02531053418</v>
      </c>
      <c r="K10" s="0" t="n">
        <v>2.29</v>
      </c>
      <c r="L10" s="0" t="n">
        <v>1417.005</v>
      </c>
      <c r="O10" s="0" t="n">
        <v>18458.14</v>
      </c>
      <c r="P10" s="0" t="n">
        <v>30249.932</v>
      </c>
      <c r="Q10" s="0" t="n">
        <v>11791.792</v>
      </c>
      <c r="R10" s="0" t="n">
        <v>10608.294</v>
      </c>
      <c r="S10" s="0" t="n">
        <v>807.316</v>
      </c>
      <c r="T10" s="0" t="n">
        <v>546.666</v>
      </c>
      <c r="U10" s="0" t="n">
        <v>60.341</v>
      </c>
      <c r="V10" s="0" t="n">
        <v>0.15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2618.134</v>
      </c>
      <c r="F11" s="0" t="n">
        <v>1954.031</v>
      </c>
      <c r="G11" s="0" t="n">
        <v>74.6344915882839</v>
      </c>
      <c r="H11" s="0" t="n">
        <v>2833.171</v>
      </c>
      <c r="I11" s="0" t="n">
        <v>1760.959</v>
      </c>
      <c r="J11" s="0" t="n">
        <v>67.2600791250563</v>
      </c>
      <c r="K11" s="0" t="n">
        <v>3.1</v>
      </c>
      <c r="L11" s="0" t="n">
        <v>1687.246</v>
      </c>
      <c r="O11" s="0" t="n">
        <v>18705.741</v>
      </c>
      <c r="P11" s="0" t="n">
        <v>29481.075</v>
      </c>
      <c r="Q11" s="0" t="n">
        <v>10775.334</v>
      </c>
      <c r="R11" s="0" t="n">
        <v>9412.631</v>
      </c>
      <c r="S11" s="0" t="n">
        <v>447.046</v>
      </c>
      <c r="T11" s="0" t="n">
        <v>552.3</v>
      </c>
      <c r="U11" s="0" t="n">
        <v>76.64</v>
      </c>
      <c r="V11" s="0" t="n">
        <v>0.01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2804.449</v>
      </c>
      <c r="F12" s="0" t="n">
        <v>1687.998</v>
      </c>
      <c r="G12" s="0" t="n">
        <v>60.1900052381056</v>
      </c>
      <c r="H12" s="0" t="n">
        <v>2635.212</v>
      </c>
      <c r="I12" s="0" t="n">
        <v>1822.96</v>
      </c>
      <c r="J12" s="0" t="n">
        <v>65.002430067368</v>
      </c>
      <c r="K12" s="0" t="n">
        <v>2.9</v>
      </c>
      <c r="L12" s="0" t="n">
        <v>1803.559</v>
      </c>
      <c r="O12" s="0" t="n">
        <v>25800.888</v>
      </c>
      <c r="P12" s="0" t="n">
        <v>38417.664</v>
      </c>
      <c r="Q12" s="0" t="n">
        <v>12616.776</v>
      </c>
      <c r="R12" s="0" t="n">
        <v>11089.815</v>
      </c>
      <c r="S12" s="0" t="n">
        <v>343.856</v>
      </c>
      <c r="T12" s="0" t="n">
        <v>629.616</v>
      </c>
      <c r="U12" s="0" t="n">
        <v>76.093</v>
      </c>
      <c r="V12" s="0" t="n">
        <v>0.03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3330.621</v>
      </c>
      <c r="F13" s="0" t="n">
        <v>1849.766</v>
      </c>
      <c r="G13" s="0" t="n">
        <v>55.5381714100764</v>
      </c>
      <c r="H13" s="0" t="n">
        <v>2989.645</v>
      </c>
      <c r="I13" s="0" t="n">
        <v>1701.846</v>
      </c>
      <c r="J13" s="0" t="n">
        <v>51.0969575943946</v>
      </c>
      <c r="K13" s="0" t="n">
        <v>2.48</v>
      </c>
      <c r="L13" s="0" t="n">
        <v>2264.034</v>
      </c>
      <c r="O13" s="0" t="n">
        <v>26071.784</v>
      </c>
      <c r="P13" s="0" t="n">
        <v>40031.85</v>
      </c>
      <c r="Q13" s="0" t="n">
        <v>13960.066</v>
      </c>
      <c r="R13" s="0" t="n">
        <v>11905.877</v>
      </c>
      <c r="S13" s="0" t="n">
        <v>1088.855</v>
      </c>
      <c r="T13" s="0" t="n">
        <v>654.903</v>
      </c>
      <c r="U13" s="0" t="n">
        <v>97.557</v>
      </c>
      <c r="V13" s="0" t="n">
        <v>0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4438.735</v>
      </c>
      <c r="F14" s="0" t="n">
        <v>2118.944</v>
      </c>
      <c r="G14" s="0" t="n">
        <v>47.7375648692702</v>
      </c>
      <c r="H14" s="0" t="n">
        <v>3680.913</v>
      </c>
      <c r="I14" s="0" t="n">
        <v>1616.63</v>
      </c>
      <c r="J14" s="0" t="n">
        <v>36.4209622786672</v>
      </c>
      <c r="K14" s="0" t="n">
        <v>2.02</v>
      </c>
      <c r="L14" s="0" t="n">
        <v>2937.005</v>
      </c>
      <c r="O14" s="0" t="n">
        <v>36324.58</v>
      </c>
      <c r="P14" s="0" t="n">
        <v>56065.005</v>
      </c>
      <c r="Q14" s="0" t="n">
        <v>19740.425</v>
      </c>
      <c r="R14" s="0" t="n">
        <v>16849.076</v>
      </c>
      <c r="S14" s="0" t="n">
        <v>598</v>
      </c>
      <c r="T14" s="0" t="n">
        <v>754.414</v>
      </c>
      <c r="U14" s="0" t="n">
        <v>109.831</v>
      </c>
      <c r="V14" s="0" t="n">
        <v>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4759.44</v>
      </c>
      <c r="F15" s="0" t="n">
        <v>3206.996</v>
      </c>
      <c r="G15" s="0" t="n">
        <v>67.3817928159616</v>
      </c>
      <c r="H15" s="0" t="n">
        <v>4784.938</v>
      </c>
      <c r="I15" s="0" t="n">
        <v>3148.59</v>
      </c>
      <c r="J15" s="0" t="n">
        <v>66.1546316373355</v>
      </c>
      <c r="K15" s="0" t="n">
        <v>3.97</v>
      </c>
      <c r="L15" s="0" t="n">
        <v>2996.042</v>
      </c>
      <c r="O15" s="0" t="n">
        <v>37742.21</v>
      </c>
      <c r="P15" s="0" t="n">
        <v>58486.22</v>
      </c>
      <c r="Q15" s="0" t="n">
        <v>20744.01</v>
      </c>
      <c r="R15" s="0" t="n">
        <v>215.3</v>
      </c>
      <c r="S15" s="0" t="n">
        <v>556</v>
      </c>
      <c r="T15" s="0" t="n">
        <v>764.762</v>
      </c>
      <c r="U15" s="0" t="n">
        <v>113.028</v>
      </c>
      <c r="V15" s="0" t="n">
        <v>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5973.692</v>
      </c>
      <c r="F16" s="0" t="n">
        <v>3467.538</v>
      </c>
      <c r="G16" s="0" t="n">
        <v>58.0468159389537</v>
      </c>
      <c r="H16" s="0" t="n">
        <v>5280.315</v>
      </c>
      <c r="I16" s="0" t="n">
        <v>3555.398</v>
      </c>
      <c r="J16" s="0" t="n">
        <v>59.5175981620747</v>
      </c>
      <c r="K16" s="0" t="n">
        <v>4.28</v>
      </c>
      <c r="L16" s="0" t="n">
        <v>4126.43</v>
      </c>
      <c r="O16" s="0" t="n">
        <v>57863.093</v>
      </c>
      <c r="P16" s="0" t="n">
        <v>87897.448</v>
      </c>
      <c r="Q16" s="0" t="n">
        <v>30034.355</v>
      </c>
      <c r="R16" s="0" t="n">
        <v>23875.961</v>
      </c>
      <c r="S16" s="0" t="n">
        <v>278</v>
      </c>
      <c r="T16" s="0" t="n">
        <v>923.142</v>
      </c>
      <c r="U16" s="0" t="n">
        <v>175.356</v>
      </c>
      <c r="V16" s="0" t="n">
        <v>0.02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8023.469</v>
      </c>
      <c r="F17" s="0" t="n">
        <v>3707.792</v>
      </c>
      <c r="G17" s="0" t="n">
        <v>46.211831814892</v>
      </c>
      <c r="H17" s="0" t="n">
        <v>6192.683</v>
      </c>
      <c r="I17" s="0" t="n">
        <v>3253.145</v>
      </c>
      <c r="J17" s="0" t="n">
        <v>40.5453675959862</v>
      </c>
      <c r="K17" s="0" t="n">
        <v>3.3</v>
      </c>
      <c r="L17" s="0" t="n">
        <v>5373.058</v>
      </c>
      <c r="O17" s="0" t="n">
        <v>57823.72</v>
      </c>
      <c r="P17" s="0" t="n">
        <v>93020.84</v>
      </c>
      <c r="Q17" s="0" t="n">
        <v>35197.12</v>
      </c>
      <c r="R17" s="0" t="n">
        <v>29000.501</v>
      </c>
      <c r="S17" s="0" t="n">
        <v>530</v>
      </c>
      <c r="T17" s="0" t="n">
        <v>951.791</v>
      </c>
      <c r="U17" s="0" t="n">
        <v>267.648</v>
      </c>
      <c r="V17" s="0" t="n">
        <v>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8201.61</v>
      </c>
      <c r="F18" s="0" t="n">
        <v>4415.92</v>
      </c>
      <c r="G18" s="0" t="n">
        <v>53.8421114878664</v>
      </c>
      <c r="H18" s="0" t="n">
        <v>6996.439</v>
      </c>
      <c r="I18" s="0" t="n">
        <v>3947.935</v>
      </c>
      <c r="J18" s="0" t="n">
        <v>48.1360976686285</v>
      </c>
      <c r="K18" s="0" t="n">
        <v>4.02</v>
      </c>
      <c r="L18" s="0" t="n">
        <v>4912.209</v>
      </c>
      <c r="O18" s="0" t="n">
        <v>58616.77</v>
      </c>
      <c r="P18" s="0" t="n">
        <v>95328.909</v>
      </c>
      <c r="Q18" s="0" t="n">
        <v>36712.139</v>
      </c>
      <c r="R18" s="0" t="n">
        <v>30879.263</v>
      </c>
      <c r="S18" s="0" t="n">
        <v>1318.591</v>
      </c>
      <c r="T18" s="0" t="n">
        <v>953.59</v>
      </c>
      <c r="U18" s="0" t="n">
        <v>231.747</v>
      </c>
      <c r="V18" s="0" t="n">
        <v>0.01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8790.127</v>
      </c>
      <c r="F19" s="0" t="n">
        <v>4357.864</v>
      </c>
      <c r="G19" s="0" t="n">
        <v>49.5768036115974</v>
      </c>
      <c r="H19" s="0" t="n">
        <v>6983.892</v>
      </c>
      <c r="I19" s="0" t="n">
        <v>3565.299</v>
      </c>
      <c r="J19" s="0" t="n">
        <v>40.5602672179822</v>
      </c>
      <c r="K19" s="0" t="n">
        <v>3.58</v>
      </c>
      <c r="L19" s="0" t="n">
        <v>5008.434</v>
      </c>
      <c r="O19" s="0" t="n">
        <v>57754.008</v>
      </c>
      <c r="P19" s="0" t="n">
        <v>98724.256</v>
      </c>
      <c r="Q19" s="0" t="n">
        <v>40970.248</v>
      </c>
      <c r="R19" s="0" t="n">
        <v>35037.073</v>
      </c>
      <c r="S19" s="0" t="n">
        <v>1145.647</v>
      </c>
      <c r="T19" s="0" t="n">
        <v>956.832</v>
      </c>
      <c r="U19" s="0" t="n">
        <v>185.466</v>
      </c>
      <c r="V19" s="0" t="n">
        <v>0.03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128.18</v>
      </c>
    </row>
    <row r="3" customFormat="false" ht="15" hidden="false" customHeight="false" outlineLevel="0" collapsed="false">
      <c r="A3" s="0" t="s">
        <v>84</v>
      </c>
      <c r="B3" s="3" t="n">
        <v>957.884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8790.127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7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53</v>
      </c>
      <c r="D14" s="3" t="n">
        <v>47</v>
      </c>
      <c r="E14" s="3" t="n">
        <v>46.5</v>
      </c>
      <c r="F14" s="3" t="n">
        <v>46.5</v>
      </c>
      <c r="G14" s="3" t="n">
        <v>46.5</v>
      </c>
      <c r="H14" s="3" t="n">
        <v>46.5</v>
      </c>
      <c r="I14" s="3" t="n">
        <v>46.5</v>
      </c>
      <c r="J14" s="3" t="n">
        <v>46.5</v>
      </c>
      <c r="K14" s="3" t="n">
        <v>46.5</v>
      </c>
      <c r="L14" s="3" t="n">
        <v>46.5</v>
      </c>
    </row>
    <row r="15" customFormat="false" ht="15" hidden="false" customHeight="false" outlineLevel="0" collapsed="false">
      <c r="A15" s="0" t="s">
        <v>106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111</v>
      </c>
      <c r="B20" s="3" t="n">
        <v>9.25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16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8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53.8</v>
      </c>
      <c r="D28" s="3" t="n">
        <v>52</v>
      </c>
      <c r="E28" s="3" t="n">
        <v>52.5</v>
      </c>
      <c r="F28" s="3" t="n">
        <v>52.8</v>
      </c>
      <c r="G28" s="3" t="n">
        <v>53</v>
      </c>
      <c r="H28" s="3" t="n">
        <v>53</v>
      </c>
      <c r="I28" s="3" t="n">
        <v>53</v>
      </c>
      <c r="J28" s="3" t="n">
        <v>53</v>
      </c>
      <c r="K28" s="3" t="n">
        <v>53</v>
      </c>
      <c r="L28" s="3" t="n">
        <v>53</v>
      </c>
    </row>
    <row r="29" customFormat="false" ht="15" hidden="false" customHeight="false" outlineLevel="0" collapsed="false">
      <c r="A29" s="0" t="s">
        <v>106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111</v>
      </c>
      <c r="B34" s="3" t="n">
        <v>9.25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8.5</v>
      </c>
      <c r="D41" s="3" t="n">
        <v>9</v>
      </c>
      <c r="E41" s="3" t="n">
        <v>8.5</v>
      </c>
      <c r="F41" s="3" t="n">
        <v>8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105</v>
      </c>
      <c r="C42" s="3" t="n">
        <v>54.2</v>
      </c>
      <c r="D42" s="3" t="n">
        <v>53.5</v>
      </c>
      <c r="E42" s="3" t="n">
        <v>54</v>
      </c>
      <c r="F42" s="3" t="n">
        <v>54.5</v>
      </c>
      <c r="G42" s="3" t="n">
        <v>55</v>
      </c>
      <c r="H42" s="3" t="n">
        <v>55</v>
      </c>
      <c r="I42" s="3" t="n">
        <v>55</v>
      </c>
      <c r="J42" s="3" t="n">
        <v>55</v>
      </c>
      <c r="K42" s="3" t="n">
        <v>55</v>
      </c>
      <c r="L42" s="3" t="n">
        <v>55</v>
      </c>
    </row>
    <row r="43" customFormat="false" ht="15" hidden="false" customHeight="false" outlineLevel="0" collapsed="false">
      <c r="A43" s="0" t="s">
        <v>106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111</v>
      </c>
      <c r="B48" s="3" t="n">
        <v>9.25</v>
      </c>
    </row>
    <row r="49" customFormat="false" ht="15" hidden="false" customHeight="false" outlineLevel="0" collapsed="false">
      <c r="A49" s="0" t="s">
        <v>112</v>
      </c>
      <c r="B49" s="3" t="n">
        <v>3.5</v>
      </c>
    </row>
    <row r="50" customFormat="false" ht="15" hidden="false" customHeight="false" outlineLevel="0" collapsed="false">
      <c r="A50" s="0" t="s">
        <v>113</v>
      </c>
      <c r="B50" s="3" t="n">
        <v>22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7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8790.127</v>
      </c>
      <c r="C6" s="0" t="n">
        <f aca="false">B6*(1+C5/100)</f>
        <v>9405.43589</v>
      </c>
      <c r="D6" s="0" t="n">
        <f aca="false">C6*(1+D5/100)</f>
        <v>9687.5989667</v>
      </c>
      <c r="E6" s="0" t="n">
        <f aca="false">D6*(1+E5/100)</f>
        <v>9978.226935701</v>
      </c>
      <c r="F6" s="0" t="n">
        <f aca="false">E6*(1+F5/100)</f>
        <v>10277.573743772</v>
      </c>
      <c r="G6" s="0" t="n">
        <f aca="false">F6*(1+G5/100)</f>
        <v>10585.9009560852</v>
      </c>
      <c r="H6" s="0" t="n">
        <f aca="false">G6*(1+H5/100)</f>
        <v>10903.4779847677</v>
      </c>
      <c r="I6" s="0" t="n">
        <f aca="false">H6*(1+I5/100)</f>
        <v>11230.5823243108</v>
      </c>
      <c r="J6" s="0" t="n">
        <f aca="false">I6*(1+J5/100)</f>
        <v>11511.3468824186</v>
      </c>
      <c r="K6" s="0" t="n">
        <f aca="false">J6*(1+K5/100)</f>
        <v>11799.130554479</v>
      </c>
      <c r="L6" s="0" t="n">
        <f aca="false">K6*(1+L5/100)</f>
        <v>12094.108818341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53</v>
      </c>
      <c r="D7" s="4" t="n">
        <f aca="false">Assumptions!D14</f>
        <v>47</v>
      </c>
      <c r="E7" s="4" t="n">
        <f aca="false">Assumptions!E14</f>
        <v>46.5</v>
      </c>
      <c r="F7" s="4" t="n">
        <f aca="false">Assumptions!F14</f>
        <v>46.5</v>
      </c>
      <c r="G7" s="4" t="n">
        <f aca="false">Assumptions!G14</f>
        <v>46.5</v>
      </c>
      <c r="H7" s="4" t="n">
        <f aca="false">Assumptions!H14</f>
        <v>46.5</v>
      </c>
      <c r="I7" s="4" t="n">
        <f aca="false">Assumptions!I14</f>
        <v>46.5</v>
      </c>
      <c r="J7" s="4" t="n">
        <f aca="false">Assumptions!J14</f>
        <v>46.5</v>
      </c>
      <c r="K7" s="4" t="n">
        <f aca="false">Assumptions!K14</f>
        <v>46.5</v>
      </c>
      <c r="L7" s="4" t="n">
        <f aca="false">Assumptions!L14</f>
        <v>46.5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4984.8810217</v>
      </c>
      <c r="D8" s="0" t="n">
        <f aca="false">D6*D7/100</f>
        <v>4553.171514349</v>
      </c>
      <c r="E8" s="0" t="n">
        <f aca="false">E6*E7/100</f>
        <v>4639.87552510097</v>
      </c>
      <c r="F8" s="0" t="n">
        <f aca="false">F6*F7/100</f>
        <v>4779.071790854</v>
      </c>
      <c r="G8" s="0" t="n">
        <f aca="false">G6*G7/100</f>
        <v>4922.44394457961</v>
      </c>
      <c r="H8" s="0" t="n">
        <f aca="false">H6*H7/100</f>
        <v>5070.117262917</v>
      </c>
      <c r="I8" s="0" t="n">
        <f aca="false">I6*I7/100</f>
        <v>5222.22078080451</v>
      </c>
      <c r="J8" s="0" t="n">
        <f aca="false">J6*J7/100</f>
        <v>5352.77630032463</v>
      </c>
      <c r="K8" s="0" t="n">
        <f aca="false">K6*K7/100</f>
        <v>5486.59570783274</v>
      </c>
      <c r="L8" s="0" t="n">
        <f aca="false">L6*L7/100</f>
        <v>5623.76060052856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4984.8810217</v>
      </c>
      <c r="D11" s="0" t="n">
        <f aca="false">D8+D10+D24</f>
        <v>4553.171514349</v>
      </c>
      <c r="E11" s="0" t="n">
        <f aca="false">E8+E10+E24</f>
        <v>4639.87552510097</v>
      </c>
      <c r="F11" s="0" t="n">
        <f aca="false">F8+F10+F24</f>
        <v>4779.071790854</v>
      </c>
      <c r="G11" s="0" t="n">
        <f aca="false">G8+G10+G24</f>
        <v>4922.44394457961</v>
      </c>
      <c r="H11" s="0" t="n">
        <f aca="false">H8+H10+H24</f>
        <v>5070.117262917</v>
      </c>
      <c r="I11" s="0" t="n">
        <f aca="false">I8+I10+I24</f>
        <v>5222.22078080451</v>
      </c>
      <c r="J11" s="0" t="n">
        <f aca="false">J8+J10+J24</f>
        <v>5352.77630032463</v>
      </c>
      <c r="K11" s="0" t="n">
        <f aca="false">K8+K10+K24</f>
        <v>5486.59570783274</v>
      </c>
      <c r="L11" s="0" t="n">
        <f aca="false">L8+L10+L24</f>
        <v>5623.76060052856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4984.8810217</v>
      </c>
      <c r="D13" s="0" t="n">
        <f aca="false">D11+D12</f>
        <v>4553.171514349</v>
      </c>
      <c r="E13" s="0" t="n">
        <f aca="false">E11+E12</f>
        <v>4639.87552510097</v>
      </c>
      <c r="F13" s="0" t="n">
        <f aca="false">F11+F12</f>
        <v>4779.071790854</v>
      </c>
      <c r="G13" s="0" t="n">
        <f aca="false">G11+G12</f>
        <v>4922.44394457961</v>
      </c>
      <c r="H13" s="0" t="n">
        <f aca="false">H11+H12</f>
        <v>5070.117262917</v>
      </c>
      <c r="I13" s="0" t="n">
        <f aca="false">I11+I12</f>
        <v>5222.22078080451</v>
      </c>
      <c r="J13" s="0" t="n">
        <f aca="false">J11+J12</f>
        <v>5352.77630032463</v>
      </c>
      <c r="K13" s="0" t="n">
        <f aca="false">K11+K12</f>
        <v>5486.59570783274</v>
      </c>
      <c r="L13" s="0" t="n">
        <f aca="false">L11+L12</f>
        <v>5623.76060052856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4984.8810217</v>
      </c>
      <c r="D15" s="0" t="n">
        <f aca="false">D13-MAX(0,D13)*D14/100</f>
        <v>4553.171514349</v>
      </c>
      <c r="E15" s="0" t="n">
        <f aca="false">E13-MAX(0,E13)*E14/100</f>
        <v>4639.87552510097</v>
      </c>
      <c r="F15" s="0" t="n">
        <f aca="false">F13-MAX(0,F13)*F14/100</f>
        <v>4779.071790854</v>
      </c>
      <c r="G15" s="0" t="n">
        <f aca="false">G13-MAX(0,G13)*G14/100</f>
        <v>4922.44394457961</v>
      </c>
      <c r="H15" s="0" t="n">
        <f aca="false">H13-MAX(0,H13)*H14/100</f>
        <v>5070.117262917</v>
      </c>
      <c r="I15" s="0" t="n">
        <f aca="false">I13-MAX(0,I13)*I14/100</f>
        <v>5222.22078080451</v>
      </c>
      <c r="J15" s="0" t="n">
        <f aca="false">J13-MAX(0,J13)*J14/100</f>
        <v>5352.77630032463</v>
      </c>
      <c r="K15" s="0" t="n">
        <f aca="false">K13-MAX(0,K13)*K14/100</f>
        <v>5486.59570783274</v>
      </c>
      <c r="L15" s="0" t="n">
        <f aca="false">L13-MAX(0,L13)*L14/100</f>
        <v>5623.76060052856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4984.8810217</v>
      </c>
      <c r="D19" s="0" t="n">
        <f aca="false">D15+D16+D17+D18</f>
        <v>4553.171514349</v>
      </c>
      <c r="E19" s="0" t="n">
        <f aca="false">E15+E16+E17+E18</f>
        <v>4639.87552510097</v>
      </c>
      <c r="F19" s="0" t="n">
        <f aca="false">F15+F16+F17+F18</f>
        <v>4779.071790854</v>
      </c>
      <c r="G19" s="0" t="n">
        <f aca="false">G15+G16+G17+G18</f>
        <v>4922.44394457961</v>
      </c>
      <c r="H19" s="0" t="n">
        <f aca="false">H15+H16+H17+H18</f>
        <v>5070.117262917</v>
      </c>
      <c r="I19" s="0" t="n">
        <f aca="false">I15+I16+I17+I18</f>
        <v>5222.22078080451</v>
      </c>
      <c r="J19" s="0" t="n">
        <f aca="false">J15+J16+J17+J18</f>
        <v>5352.77630032463</v>
      </c>
      <c r="K19" s="0" t="n">
        <f aca="false">K15+K16+K17+K18</f>
        <v>5486.59570783274</v>
      </c>
      <c r="L19" s="0" t="n">
        <f aca="false">L15+L16+L17+L18</f>
        <v>5623.76060052856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4562.82015716247</v>
      </c>
      <c r="D21" s="0" t="n">
        <f aca="false">D19*D20</f>
        <v>3814.79424564113</v>
      </c>
      <c r="E21" s="0" t="n">
        <f aca="false">E19*E20</f>
        <v>3558.29534826392</v>
      </c>
      <c r="F21" s="0" t="n">
        <f aca="false">F19*F20</f>
        <v>3354.731541155</v>
      </c>
      <c r="G21" s="0" t="n">
        <f aca="false">G19*G20</f>
        <v>3162.81326076856</v>
      </c>
      <c r="H21" s="0" t="n">
        <f aca="false">H19*H20</f>
        <v>2981.87428704038</v>
      </c>
      <c r="I21" s="0" t="n">
        <f aca="false">I19*I20</f>
        <v>2811.28651318224</v>
      </c>
      <c r="J21" s="0" t="n">
        <f aca="false">J19*J20</f>
        <v>2637.59146545702</v>
      </c>
      <c r="K21" s="0" t="n">
        <f aca="false">K19*K20</f>
        <v>2474.62814836928</v>
      </c>
      <c r="L21" s="0" t="n">
        <f aca="false">L19*L20</f>
        <v>2321.7335030467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9.25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31680.5684700867</v>
      </c>
    </row>
    <row r="31" customFormat="false" ht="15" hidden="false" customHeight="false" outlineLevel="0" collapsed="false">
      <c r="A31" s="0" t="s">
        <v>135</v>
      </c>
      <c r="B31" s="0" t="n">
        <f aca="false">L19</f>
        <v>5623.76060052856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85397.8461561744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89980.1696084569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85397.8461561744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35255.9531944128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66936.5216644995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66936.5216644995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69.8795696185545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-0.454832504146087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69.8795696185545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46114.8369243342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37.8560782921046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8790.127</v>
      </c>
      <c r="C6" s="0" t="n">
        <f aca="false">B6*(1+C5/100)</f>
        <v>9493.33716</v>
      </c>
      <c r="D6" s="0" t="n">
        <f aca="false">C6*(1+D5/100)</f>
        <v>10157.8707612</v>
      </c>
      <c r="E6" s="0" t="n">
        <f aca="false">D6*(1+E5/100)</f>
        <v>10818.132360678</v>
      </c>
      <c r="F6" s="0" t="n">
        <f aca="false">E6*(1+F5/100)</f>
        <v>11467.2203023187</v>
      </c>
      <c r="G6" s="0" t="n">
        <f aca="false">F6*(1+G5/100)</f>
        <v>12097.9174189462</v>
      </c>
      <c r="H6" s="0" t="n">
        <f aca="false">G6*(1+H5/100)</f>
        <v>12702.8132898935</v>
      </c>
      <c r="I6" s="0" t="n">
        <f aca="false">H6*(1+I5/100)</f>
        <v>13274.4398879387</v>
      </c>
      <c r="J6" s="0" t="n">
        <f aca="false">I6*(1+J5/100)</f>
        <v>13805.4174834563</v>
      </c>
      <c r="K6" s="0" t="n">
        <f aca="false">J6*(1+K5/100)</f>
        <v>14288.6070953772</v>
      </c>
      <c r="L6" s="0" t="n">
        <f aca="false">K6*(1+L5/100)</f>
        <v>14717.2653082386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53.8</v>
      </c>
      <c r="D7" s="4" t="n">
        <f aca="false">Assumptions!D28</f>
        <v>52</v>
      </c>
      <c r="E7" s="4" t="n">
        <f aca="false">Assumptions!E28</f>
        <v>52.5</v>
      </c>
      <c r="F7" s="4" t="n">
        <f aca="false">Assumptions!F28</f>
        <v>52.8</v>
      </c>
      <c r="G7" s="4" t="n">
        <f aca="false">Assumptions!G28</f>
        <v>53</v>
      </c>
      <c r="H7" s="4" t="n">
        <f aca="false">Assumptions!H28</f>
        <v>53</v>
      </c>
      <c r="I7" s="4" t="n">
        <f aca="false">Assumptions!I28</f>
        <v>53</v>
      </c>
      <c r="J7" s="4" t="n">
        <f aca="false">Assumptions!J28</f>
        <v>53</v>
      </c>
      <c r="K7" s="4" t="n">
        <f aca="false">Assumptions!K28</f>
        <v>53</v>
      </c>
      <c r="L7" s="4" t="n">
        <f aca="false">Assumptions!L28</f>
        <v>53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5107.41539208</v>
      </c>
      <c r="D8" s="0" t="n">
        <f aca="false">D6*D7/100</f>
        <v>5282.092795824</v>
      </c>
      <c r="E8" s="0" t="n">
        <f aca="false">E6*E7/100</f>
        <v>5679.51948935595</v>
      </c>
      <c r="F8" s="0" t="n">
        <f aca="false">F6*F7/100</f>
        <v>6054.69231962426</v>
      </c>
      <c r="G8" s="0" t="n">
        <f aca="false">G6*G7/100</f>
        <v>6411.89623204149</v>
      </c>
      <c r="H8" s="0" t="n">
        <f aca="false">H6*H7/100</f>
        <v>6732.49104364357</v>
      </c>
      <c r="I8" s="0" t="n">
        <f aca="false">I6*I7/100</f>
        <v>7035.45314060753</v>
      </c>
      <c r="J8" s="0" t="n">
        <f aca="false">J6*J7/100</f>
        <v>7316.87126623183</v>
      </c>
      <c r="K8" s="0" t="n">
        <f aca="false">K6*K7/100</f>
        <v>7572.96176054994</v>
      </c>
      <c r="L8" s="0" t="n">
        <f aca="false">L6*L7/100</f>
        <v>7800.15061336644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5107.41539208</v>
      </c>
      <c r="D11" s="0" t="n">
        <f aca="false">D8+D10+D24</f>
        <v>5282.092795824</v>
      </c>
      <c r="E11" s="0" t="n">
        <f aca="false">E8+E10+E24</f>
        <v>5679.51948935595</v>
      </c>
      <c r="F11" s="0" t="n">
        <f aca="false">F8+F10+F24</f>
        <v>6054.69231962426</v>
      </c>
      <c r="G11" s="0" t="n">
        <f aca="false">G8+G10+G24</f>
        <v>6411.89623204149</v>
      </c>
      <c r="H11" s="0" t="n">
        <f aca="false">H8+H10+H24</f>
        <v>6732.49104364357</v>
      </c>
      <c r="I11" s="0" t="n">
        <f aca="false">I8+I10+I24</f>
        <v>7035.45314060753</v>
      </c>
      <c r="J11" s="0" t="n">
        <f aca="false">J8+J10+J24</f>
        <v>7316.87126623183</v>
      </c>
      <c r="K11" s="0" t="n">
        <f aca="false">K8+K10+K24</f>
        <v>7572.96176054994</v>
      </c>
      <c r="L11" s="0" t="n">
        <f aca="false">L8+L10+L24</f>
        <v>7800.15061336644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5107.41539208</v>
      </c>
      <c r="D13" s="0" t="n">
        <f aca="false">D11+D12</f>
        <v>5282.092795824</v>
      </c>
      <c r="E13" s="0" t="n">
        <f aca="false">E11+E12</f>
        <v>5679.51948935595</v>
      </c>
      <c r="F13" s="0" t="n">
        <f aca="false">F11+F12</f>
        <v>6054.69231962426</v>
      </c>
      <c r="G13" s="0" t="n">
        <f aca="false">G11+G12</f>
        <v>6411.89623204149</v>
      </c>
      <c r="H13" s="0" t="n">
        <f aca="false">H11+H12</f>
        <v>6732.49104364357</v>
      </c>
      <c r="I13" s="0" t="n">
        <f aca="false">I11+I12</f>
        <v>7035.45314060753</v>
      </c>
      <c r="J13" s="0" t="n">
        <f aca="false">J11+J12</f>
        <v>7316.87126623183</v>
      </c>
      <c r="K13" s="0" t="n">
        <f aca="false">K11+K12</f>
        <v>7572.96176054994</v>
      </c>
      <c r="L13" s="0" t="n">
        <f aca="false">L11+L12</f>
        <v>7800.15061336644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5107.41539208</v>
      </c>
      <c r="D15" s="0" t="n">
        <f aca="false">D13-MAX(0,D13)*D14/100</f>
        <v>5282.092795824</v>
      </c>
      <c r="E15" s="0" t="n">
        <f aca="false">E13-MAX(0,E13)*E14/100</f>
        <v>5679.51948935595</v>
      </c>
      <c r="F15" s="0" t="n">
        <f aca="false">F13-MAX(0,F13)*F14/100</f>
        <v>6054.69231962426</v>
      </c>
      <c r="G15" s="0" t="n">
        <f aca="false">G13-MAX(0,G13)*G14/100</f>
        <v>6411.89623204149</v>
      </c>
      <c r="H15" s="0" t="n">
        <f aca="false">H13-MAX(0,H13)*H14/100</f>
        <v>6732.49104364357</v>
      </c>
      <c r="I15" s="0" t="n">
        <f aca="false">I13-MAX(0,I13)*I14/100</f>
        <v>7035.45314060753</v>
      </c>
      <c r="J15" s="0" t="n">
        <f aca="false">J13-MAX(0,J13)*J14/100</f>
        <v>7316.87126623183</v>
      </c>
      <c r="K15" s="0" t="n">
        <f aca="false">K13-MAX(0,K13)*K14/100</f>
        <v>7572.96176054994</v>
      </c>
      <c r="L15" s="0" t="n">
        <f aca="false">L13-MAX(0,L13)*L14/100</f>
        <v>7800.15061336644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5107.41539208</v>
      </c>
      <c r="D19" s="0" t="n">
        <f aca="false">D15+D16+D17+D18</f>
        <v>5282.092795824</v>
      </c>
      <c r="E19" s="0" t="n">
        <f aca="false">E15+E16+E17+E18</f>
        <v>5679.51948935595</v>
      </c>
      <c r="F19" s="0" t="n">
        <f aca="false">F15+F16+F17+F18</f>
        <v>6054.69231962426</v>
      </c>
      <c r="G19" s="0" t="n">
        <f aca="false">G15+G16+G17+G18</f>
        <v>6411.89623204149</v>
      </c>
      <c r="H19" s="0" t="n">
        <f aca="false">H15+H16+H17+H18</f>
        <v>6732.49104364357</v>
      </c>
      <c r="I19" s="0" t="n">
        <f aca="false">I15+I16+I17+I18</f>
        <v>7035.45314060753</v>
      </c>
      <c r="J19" s="0" t="n">
        <f aca="false">J15+J16+J17+J18</f>
        <v>7316.87126623183</v>
      </c>
      <c r="K19" s="0" t="n">
        <f aca="false">K15+K16+K17+K18</f>
        <v>7572.96176054994</v>
      </c>
      <c r="L19" s="0" t="n">
        <f aca="false">L15+L16+L17+L18</f>
        <v>7800.15061336644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4674.97976391762</v>
      </c>
      <c r="D21" s="0" t="n">
        <f aca="false">D19*D20</f>
        <v>4425.5080527826</v>
      </c>
      <c r="E21" s="0" t="n">
        <f aca="false">E19*E20</f>
        <v>4355.59265976425</v>
      </c>
      <c r="F21" s="0" t="n">
        <f aca="false">F19*F20</f>
        <v>4250.16994628633</v>
      </c>
      <c r="G21" s="0" t="n">
        <f aca="false">G19*G20</f>
        <v>4119.82963294155</v>
      </c>
      <c r="H21" s="0" t="n">
        <f aca="false">H19*H20</f>
        <v>3959.56166095069</v>
      </c>
      <c r="I21" s="0" t="n">
        <f aca="false">I19*I20</f>
        <v>3787.40680612675</v>
      </c>
      <c r="J21" s="0" t="n">
        <f aca="false">J19*J20</f>
        <v>3605.40327539754</v>
      </c>
      <c r="K21" s="0" t="n">
        <f aca="false">K19*K20</f>
        <v>3415.64520827136</v>
      </c>
      <c r="L21" s="0" t="n">
        <f aca="false">L19*L20</f>
        <v>3220.24216431991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9.25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39814.3391707586</v>
      </c>
    </row>
    <row r="31" customFormat="false" ht="15" hidden="false" customHeight="false" outlineLevel="0" collapsed="false">
      <c r="A31" s="0" t="s">
        <v>135</v>
      </c>
      <c r="B31" s="0" t="n">
        <f aca="false">L19</f>
        <v>7800.15061336644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128546.482108279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156003.012267329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128546.482108279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53069.590867992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92883.9300387506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92883.9300387506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96.9678270424714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-0.24350267559314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96.9678270424714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66951.2927647286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49.4807439126475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8.5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8790.127</v>
      </c>
      <c r="C6" s="0" t="n">
        <f aca="false">B6*(1+C5/100)</f>
        <v>9537.287795</v>
      </c>
      <c r="D6" s="0" t="n">
        <f aca="false">C6*(1+D5/100)</f>
        <v>10395.64369655</v>
      </c>
      <c r="E6" s="0" t="n">
        <f aca="false">D6*(1+E5/100)</f>
        <v>11279.2734107568</v>
      </c>
      <c r="F6" s="0" t="n">
        <f aca="false">E6*(1+F5/100)</f>
        <v>12181.6152836173</v>
      </c>
      <c r="G6" s="0" t="n">
        <f aca="false">F6*(1+G5/100)</f>
        <v>13034.3283534705</v>
      </c>
      <c r="H6" s="0" t="n">
        <f aca="false">G6*(1+H5/100)</f>
        <v>13881.5596964461</v>
      </c>
      <c r="I6" s="0" t="n">
        <f aca="false">H6*(1+I5/100)</f>
        <v>14714.4532782329</v>
      </c>
      <c r="J6" s="0" t="n">
        <f aca="false">I6*(1+J5/100)</f>
        <v>15450.1759421445</v>
      </c>
      <c r="K6" s="0" t="n">
        <f aca="false">J6*(1+K5/100)</f>
        <v>16145.433859541</v>
      </c>
      <c r="L6" s="0" t="n">
        <f aca="false">K6*(1+L5/100)</f>
        <v>16791.2512139226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54.2</v>
      </c>
      <c r="D7" s="4" t="n">
        <f aca="false">Assumptions!D42</f>
        <v>53.5</v>
      </c>
      <c r="E7" s="4" t="n">
        <f aca="false">Assumptions!E42</f>
        <v>54</v>
      </c>
      <c r="F7" s="4" t="n">
        <f aca="false">Assumptions!F42</f>
        <v>54.5</v>
      </c>
      <c r="G7" s="4" t="n">
        <f aca="false">Assumptions!G42</f>
        <v>55</v>
      </c>
      <c r="H7" s="4" t="n">
        <f aca="false">Assumptions!H42</f>
        <v>55</v>
      </c>
      <c r="I7" s="4" t="n">
        <f aca="false">Assumptions!I42</f>
        <v>55</v>
      </c>
      <c r="J7" s="4" t="n">
        <f aca="false">Assumptions!J42</f>
        <v>55</v>
      </c>
      <c r="K7" s="4" t="n">
        <f aca="false">Assumptions!K42</f>
        <v>55</v>
      </c>
      <c r="L7" s="4" t="n">
        <f aca="false">Assumptions!L42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5169.20998489</v>
      </c>
      <c r="D8" s="0" t="n">
        <f aca="false">D6*D7/100</f>
        <v>5561.66937765425</v>
      </c>
      <c r="E8" s="0" t="n">
        <f aca="false">E6*E7/100</f>
        <v>6090.80764180865</v>
      </c>
      <c r="F8" s="0" t="n">
        <f aca="false">F6*F7/100</f>
        <v>6638.98032957143</v>
      </c>
      <c r="G8" s="0" t="n">
        <f aca="false">G6*G7/100</f>
        <v>7168.88059440878</v>
      </c>
      <c r="H8" s="0" t="n">
        <f aca="false">H6*H7/100</f>
        <v>7634.85783304535</v>
      </c>
      <c r="I8" s="0" t="n">
        <f aca="false">I6*I7/100</f>
        <v>8092.94930302807</v>
      </c>
      <c r="J8" s="0" t="n">
        <f aca="false">J6*J7/100</f>
        <v>8497.59676817947</v>
      </c>
      <c r="K8" s="0" t="n">
        <f aca="false">K6*K7/100</f>
        <v>8879.98862274755</v>
      </c>
      <c r="L8" s="0" t="n">
        <f aca="false">L6*L7/100</f>
        <v>9235.18816765745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5169.20998489</v>
      </c>
      <c r="D11" s="0" t="n">
        <f aca="false">D8+D10+D24</f>
        <v>5561.66937765425</v>
      </c>
      <c r="E11" s="0" t="n">
        <f aca="false">E8+E10+E24</f>
        <v>6090.80764180865</v>
      </c>
      <c r="F11" s="0" t="n">
        <f aca="false">F8+F10+F24</f>
        <v>6638.98032957143</v>
      </c>
      <c r="G11" s="0" t="n">
        <f aca="false">G8+G10+G24</f>
        <v>7168.88059440878</v>
      </c>
      <c r="H11" s="0" t="n">
        <f aca="false">H8+H10+H24</f>
        <v>7634.85783304535</v>
      </c>
      <c r="I11" s="0" t="n">
        <f aca="false">I8+I10+I24</f>
        <v>8092.94930302807</v>
      </c>
      <c r="J11" s="0" t="n">
        <f aca="false">J8+J10+J24</f>
        <v>8497.59676817947</v>
      </c>
      <c r="K11" s="0" t="n">
        <f aca="false">K8+K10+K24</f>
        <v>8879.98862274755</v>
      </c>
      <c r="L11" s="0" t="n">
        <f aca="false">L8+L10+L24</f>
        <v>9235.18816765745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5169.20998489</v>
      </c>
      <c r="D13" s="0" t="n">
        <f aca="false">D11+D12</f>
        <v>5561.66937765425</v>
      </c>
      <c r="E13" s="0" t="n">
        <f aca="false">E11+E12</f>
        <v>6090.80764180865</v>
      </c>
      <c r="F13" s="0" t="n">
        <f aca="false">F11+F12</f>
        <v>6638.98032957143</v>
      </c>
      <c r="G13" s="0" t="n">
        <f aca="false">G11+G12</f>
        <v>7168.88059440878</v>
      </c>
      <c r="H13" s="0" t="n">
        <f aca="false">H11+H12</f>
        <v>7634.85783304535</v>
      </c>
      <c r="I13" s="0" t="n">
        <f aca="false">I11+I12</f>
        <v>8092.94930302807</v>
      </c>
      <c r="J13" s="0" t="n">
        <f aca="false">J11+J12</f>
        <v>8497.59676817947</v>
      </c>
      <c r="K13" s="0" t="n">
        <f aca="false">K11+K12</f>
        <v>8879.98862274755</v>
      </c>
      <c r="L13" s="0" t="n">
        <f aca="false">L11+L12</f>
        <v>9235.18816765745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5169.20998489</v>
      </c>
      <c r="D15" s="0" t="n">
        <f aca="false">D13-MAX(0,D13)*D14/100</f>
        <v>5561.66937765425</v>
      </c>
      <c r="E15" s="0" t="n">
        <f aca="false">E13-MAX(0,E13)*E14/100</f>
        <v>6090.80764180865</v>
      </c>
      <c r="F15" s="0" t="n">
        <f aca="false">F13-MAX(0,F13)*F14/100</f>
        <v>6638.98032957143</v>
      </c>
      <c r="G15" s="0" t="n">
        <f aca="false">G13-MAX(0,G13)*G14/100</f>
        <v>7168.88059440878</v>
      </c>
      <c r="H15" s="0" t="n">
        <f aca="false">H13-MAX(0,H13)*H14/100</f>
        <v>7634.85783304535</v>
      </c>
      <c r="I15" s="0" t="n">
        <f aca="false">I13-MAX(0,I13)*I14/100</f>
        <v>8092.94930302807</v>
      </c>
      <c r="J15" s="0" t="n">
        <f aca="false">J13-MAX(0,J13)*J14/100</f>
        <v>8497.59676817947</v>
      </c>
      <c r="K15" s="0" t="n">
        <f aca="false">K13-MAX(0,K13)*K14/100</f>
        <v>8879.98862274755</v>
      </c>
      <c r="L15" s="0" t="n">
        <f aca="false">L13-MAX(0,L13)*L14/100</f>
        <v>9235.18816765745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5169.20998489</v>
      </c>
      <c r="D19" s="0" t="n">
        <f aca="false">D15+D16+D17+D18</f>
        <v>5561.66937765425</v>
      </c>
      <c r="E19" s="0" t="n">
        <f aca="false">E15+E16+E17+E18</f>
        <v>6090.80764180865</v>
      </c>
      <c r="F19" s="0" t="n">
        <f aca="false">F15+F16+F17+F18</f>
        <v>6638.98032957143</v>
      </c>
      <c r="G19" s="0" t="n">
        <f aca="false">G15+G16+G17+G18</f>
        <v>7168.88059440878</v>
      </c>
      <c r="H19" s="0" t="n">
        <f aca="false">H15+H16+H17+H18</f>
        <v>7634.85783304535</v>
      </c>
      <c r="I19" s="0" t="n">
        <f aca="false">I15+I16+I17+I18</f>
        <v>8092.94930302807</v>
      </c>
      <c r="J19" s="0" t="n">
        <f aca="false">J15+J16+J17+J18</f>
        <v>8497.59676817947</v>
      </c>
      <c r="K19" s="0" t="n">
        <f aca="false">K15+K16+K17+K18</f>
        <v>8879.98862274755</v>
      </c>
      <c r="L19" s="0" t="n">
        <f aca="false">L15+L16+L17+L18</f>
        <v>9235.18816765745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0.91533180778032</v>
      </c>
      <c r="D20" s="0" t="n">
        <f aca="false">1/(1+$B$27/100)^D4</f>
        <v>0.837832318334389</v>
      </c>
      <c r="E20" s="0" t="n">
        <f aca="false">1/(1+$B$27/100)^E4</f>
        <v>0.766894570557793</v>
      </c>
      <c r="F20" s="0" t="n">
        <f aca="false">1/(1+$B$27/100)^F4</f>
        <v>0.701962993645578</v>
      </c>
      <c r="G20" s="0" t="n">
        <f aca="false">1/(1+$B$27/100)^G4</f>
        <v>0.642529055968492</v>
      </c>
      <c r="H20" s="0" t="n">
        <f aca="false">1/(1+$B$27/100)^H4</f>
        <v>0.588127282351022</v>
      </c>
      <c r="I20" s="0" t="n">
        <f aca="false">1/(1+$B$27/100)^I4</f>
        <v>0.538331608559288</v>
      </c>
      <c r="J20" s="0" t="n">
        <f aca="false">1/(1+$B$27/100)^J4</f>
        <v>0.492752044447861</v>
      </c>
      <c r="K20" s="0" t="n">
        <f aca="false">1/(1+$B$27/100)^K4</f>
        <v>0.451031619631909</v>
      </c>
      <c r="L20" s="0" t="n">
        <f aca="false">1/(1+$B$27/100)^L4</f>
        <v>0.412843587763762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4731.54232026545</v>
      </c>
      <c r="D21" s="0" t="n">
        <f aca="false">D19*D20</f>
        <v>4659.74634848944</v>
      </c>
      <c r="E21" s="0" t="n">
        <f aca="false">E19*E20</f>
        <v>4671.00731081497</v>
      </c>
      <c r="F21" s="0" t="n">
        <f aca="false">F19*F20</f>
        <v>4660.31850690006</v>
      </c>
      <c r="G21" s="0" t="n">
        <f aca="false">G19*G20</f>
        <v>4606.21408067631</v>
      </c>
      <c r="H21" s="0" t="n">
        <f aca="false">H19*H20</f>
        <v>4490.26818848538</v>
      </c>
      <c r="I21" s="0" t="n">
        <f aca="false">I19*I20</f>
        <v>4356.69041628787</v>
      </c>
      <c r="J21" s="0" t="n">
        <f aca="false">J19*J20</f>
        <v>4187.20818041397</v>
      </c>
      <c r="K21" s="0" t="n">
        <f aca="false">K19*K20</f>
        <v>4005.15565083076</v>
      </c>
      <c r="L21" s="0" t="n">
        <f aca="false">L19*L20</f>
        <v>3812.68821680914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9.25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44180.8392199733</v>
      </c>
    </row>
    <row r="31" customFormat="false" ht="15" hidden="false" customHeight="false" outlineLevel="0" collapsed="false">
      <c r="A31" s="0" t="s">
        <v>135</v>
      </c>
      <c r="B31" s="0" t="n">
        <f aca="false">L19</f>
        <v>9235.18816765745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166233.387017834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203174.139688464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166233.387017834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68628.3879025645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112809.227122538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112809.227122538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117.769194518896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-0.0812202019121888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117.769194518896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83116.693508917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56.9364857211156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69.8795696185545</v>
      </c>
      <c r="C4" s="0" t="n">
        <f aca="false">B4/Assumptions!$B$2-1</f>
        <v>-0.454832504146087</v>
      </c>
      <c r="D4" s="4" t="n">
        <f aca="false">Assumptions!$B$24</f>
        <v>0.2</v>
      </c>
      <c r="E4" s="4" t="n">
        <f aca="false">DCF_Bear!$B$43</f>
        <v>69.8795696185545</v>
      </c>
      <c r="F4" s="4" t="n">
        <f aca="false">DCF_Bear!$B$47</f>
        <v>37.8560782921046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96.9678270424714</v>
      </c>
      <c r="C5" s="0" t="n">
        <f aca="false">B5/Assumptions!$B$2-1</f>
        <v>-0.24350267559314</v>
      </c>
      <c r="D5" s="4" t="n">
        <f aca="false">Assumptions!$B$38</f>
        <v>0.5</v>
      </c>
      <c r="E5" s="4" t="n">
        <f aca="false">DCF_Base!$B$43</f>
        <v>96.9678270424714</v>
      </c>
      <c r="F5" s="4" t="n">
        <f aca="false">DCF_Base!$B$47</f>
        <v>49.4807439126475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117.769194518896</v>
      </c>
      <c r="C6" s="0" t="n">
        <f aca="false">B6/Assumptions!$B$2-1</f>
        <v>-0.0812202019121888</v>
      </c>
      <c r="D6" s="4" t="n">
        <f aca="false">Assumptions!$B$52</f>
        <v>0.3</v>
      </c>
      <c r="E6" s="4" t="n">
        <f aca="false">DCF_Bull!$B$43</f>
        <v>117.769194518896</v>
      </c>
      <c r="F6" s="4" t="n">
        <f aca="false">DCF_Bull!$B$47</f>
        <v>56.9364857211156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97.7905858006153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97.7905858006153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-0.310760120215923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49.3925333310793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101.110794955616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96.9678270424714</v>
      </c>
      <c r="C16" s="3" t="n">
        <v>9.25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86.3209602007753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75.2431517957631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66.6392315799944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49.4807439126475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124.373209758795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126.68409836995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126.68409836995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126.68409836995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126.68409836995</v>
      </c>
    </row>
    <row r="25" customFormat="false" ht="15" hidden="false" customHeight="false" outlineLevel="0" collapsed="false">
      <c r="A25" s="3" t="n">
        <v>8.25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103.757030794732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109.307900924859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115.916079651202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117.320126863265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117.320126863265</v>
      </c>
    </row>
    <row r="26" customFormat="false" ht="15" hidden="false" customHeight="false" outlineLevel="0" collapsed="false">
      <c r="A26" s="3" t="n">
        <v>9.25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88.8623415128994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92.6148811099234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96.9678270424714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102.077807050245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108.161116583309</v>
      </c>
    </row>
    <row r="27" customFormat="false" ht="15" hidden="false" customHeight="false" outlineLevel="0" collapsed="false">
      <c r="A27" s="3" t="n">
        <v>10.25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77.6064866567642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80.2525305220568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83.2635459549761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86.7206377483278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90.7308642286158</v>
      </c>
    </row>
    <row r="28" customFormat="false" ht="15" hidden="false" customHeight="false" outlineLevel="0" collapsed="false">
      <c r="A28" s="3" t="n">
        <v>11.25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68.8075746279252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70.7347006297691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72.8954176621395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75.3349368922352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78.1109415333786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2026-10-02T07:24:30Z</dcterms:created>
  <dc:creator>openpyxl</dc:creator>
  <dc:description/>
  <dc:language>en-NZ</dc:language>
  <cp:lastModifiedBy/>
  <dcterms:modified xsi:type="dcterms:W3CDTF">2026-10-02T07:24:30Z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