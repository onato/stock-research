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<sst xmlns="http://schemas.openxmlformats.org/spreadsheetml/2006/main" count="386" uniqueCount="173">
  <si>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</si>
  <si>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ON</t>
  </si>
  <si>
    <t xml:space="preserve">Company</t>
  </si>
  <si>
    <t xml:space="preserve">ON Semiconductor Corporation (onsemi)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</si>
  <si>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</si>
  <si>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</si>
  <si>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</si>
  <si>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</si>
  <si>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</t>
  </si>
  <si>
    <t xml:space="preserve">Balance sheet date</t>
  </si>
  <si>
    <t xml:space="preserve">2026-07-03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</si>
  <si>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</si>
  <si>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</si>
  <si>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</si>
  <si>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</si>
  <si>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</si>
  <si>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</si>
  <si>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</si>
  <si>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</si>
  <si>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</si>
  <si>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</si>
  <si>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2026-10-02T06:37:54Z</t>
  </si>
  <si>
    <t xml:space="preserve">Drivers file</t>
  </si>
  <si>
    <t xml:space="preserve">ON_Drivers.json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</si>
  <si>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</si>
  <si>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</si>
  <si>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</si>
  <si>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on the pro forma combined company. Neither the FY2024 peak (34% GAAP EBITDA margin, $914M owner FCF) nor the FY2025 trough (13% GAAP / ~24% adjusted margin, FCF propped by inventory release and capex at half of D&amp;A) is extrapolated: the forward flows are built from a 30% adjusted EBITDA margin in FY2026 rising to 33% mid-cycle, capex returning to 8% of revenue and a -15% working-capital drag on growth. SBC including equity-award taxes is fully expensed and the share count held flat; the flat count is funded by ON's $1.4B/yr buyback. The Synaptics merger is modelled as completing (all three scenarios), with the standalone value recorded as a memo so the price of the deal is explicit. One WACC, 10%; risk lives in the scenario flows and the 25/50/25 weights.
key_risks_to_valuation: Cycle: a second leg down in auto/industrial demand repeats the FY2025 margin collapse; the bear case prices this but the real history (FY2019-20 margins of 18-19%) is worse than the bear path; SiC price competition from Chinese substrate and device makers compressing PSG margins structurally, not cyclically; China EV exposure: domestic-supplier preference and policy shifts; US export-control and tariff risk; Synaptics: regulatory (HSR, foreign-investment regimes), $320M reverse termination fee, integration of a 12.5%-SBC software/edge-AI business into an IDM, synergies below the $200M guide; Leverage: gross debt rose to $4.5B in May-2026 ($1.5B of 0% 2031 converts); net debt is modest at ~$0.6B standalone but the $805M 2027 converts are current and in the money; Terminal-value share of the valuation is high for a cyclical; the 15x cap (12x bear) is what disciplines it; Revenue reference year: the FY2026 base rests on Q3 guidance and a seasonal Q4; a Q3 miss in early November would move year-1 directly
standalone_memo: description: ON ex-Synaptics on identical organic driver paths (no Synaptics revenue layers, SBC blend or synergies), shares 394.1M, net debt $640.4M; same WACC, caps and weights. Run through the same engine on 2026-10-02 immediately before this build.
bear: 27.19
base: 49.23
bull: 60.92
weighted: 46.64
weighted_entry_price: 26.5
reading: The headline pro forma weighted value is compared against this figure in the final report; the difference per share is the model's price of the Synaptics deal at a $200M synergy run-rate.</t>
  </si>
  <si>
    <t xml:space="preserve">Data sources</t>
  </si>
  <si>
    <t xml:space="preserve">price: Yahoo Finance chart API at inputs.price_as_of (regular close); 52-week range 44.56-134.92
financials: ON_Metrics.csv (SEC XBRL, FY2008-Q2 FY2026 under calendar-shifted quarter labels); SEC companyconcept API for debt, cash, shares, SBC, withholding taxes, capex, D&amp;A, interest income, taxes paid; Q2-2026 10-Q filed 2026-08-03 (Note 7 debt table, Synaptics note); Synaptics FY2026 10-K XBRL (filed 2026-08-10)
qualitative: ON_Analysis.json (2026-10-02); 8-Ks of 2026-05-06 and 2026-05-07 (0% convertible notes due 2031 pricing), 2026-06-25 (Synaptics merger agreement and press release) and 2026-10-01 (amended and restated merger agreement)</t>
  </si>
  <si>
    <t xml:space="preserve">Scenario narrative: bear</t>
  </si>
  <si>
    <t xml:space="preserve">The recovery proves to be restocking rather than demand: ex-China auto production and EV adoption disappoint again in 2027, China BEV makers shift SiC sourcing to domestic suppliers, and SiC ASP declines outrun cost-downs so PSG margins compress; ISG loses further share to Sony. Organic revenue falls 2% in FY2027 and is flat in FY2028, and the adjusted EBITDA margin re-compresses to 26.5% (the FY2025 ex-restructuring trough was ~24%) before recovering only to 28%. Synaptics still closes, so the 12% dilution and its 12.5% SBC load land while the $200M synergies only partly offset the integration cost. Capex is held at 7.5%, terminal growth at 2.5% and the cap at 12x. This scenario stays cash-generative; it does not test the zero floor.</t>
  </si>
  <si>
    <t xml:space="preserve">Scenario narrative: base</t>
  </si>
  <si>
    <t xml:space="preserve">The automotive/industrial inventory correction bottomed in late 2025; FY2026 lands at ~$6.6B on H1 actuals plus Q3 guidance, with non-GAAP gross margin recovering from 33% to the low 40s on utilisation and Fab Right (two fab divestitures, ~$35M savings from 2027). Organic growth of 8.5% in FY2027 fading to 3% by FY2035 blends EV/SiC content gains, AI data-center power (guided to more than double in 2026, from a small base) and a normal industrial cycle, with SiC pricing pressure and a slow China EV recovery holding the mature adjusted EBITDA margin at 33%, below the FY2022-24 peak. Synaptics closes mid-2027 and contributes ~$1.3B of revenue at a ~19% EBITDA margin and 12.5% SBC, plus the guided $200M synergies by FY2029; on an owner-FCF basis the deal is roughly neutral to slightly dilutive against the 12.2% of shares issued. Capex returns to the ~8% mid-cycle level by FY2029 and the owner-FCF margin settles around 15-16% of revenue.</t>
  </si>
  <si>
    <t xml:space="preserve">Scenario narrative: bull</t>
  </si>
  <si>
    <t xml:space="preserve">AI data-center power (48V then 800VDC with NVIDIA MGX and the hyperscalers) becomes a multi-billion-dollar franchise by 2029 while SiC pricing stabilises as Chinese substrate oversupply clears and EV penetration re-accelerates in Europe and the US; the 300mm East Fishkill ramp and the exited subscale fabs lift the mature adjusted EBITDA margin to 36%, approaching the FY2023 peak of 38%. Synaptics' Astra edge-AI compute and connectivity attach to onsemi's power/sensing sockets and the synergies exceed the $200M guide. Organic growth of 11% in FY2027 and 9% in FY2028-29 fades to 3.5%; capex runs at 8.5% to fund it and the terminal cap is 17x.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</si>
  <si>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</si>
  <si>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</si>
  <si>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</si>
  <si>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</si>
  <si>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</si>
  <si>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</si>
  <si>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</si>
  <si>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</si>
  <si>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</si>
  <si>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</si>
  <si>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</si>
  <si>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</si>
  <si>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</si>
  <si>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</si>
  <si>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</si>
  <si>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</si>
  <si>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</si>
  <si>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</si>
  <si>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</si>
  <si>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</si>
  <si>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</si>
  <si>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</si>
  <si>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</si>
  <si>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</si>
  <si>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</si>
  <si>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</si>
  <si>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</si>
  <si>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</si>
  <si>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</si>
  <si>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</si>
  <si>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</si>
  <si>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</si>
  <si>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</si>
  <si>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</si>
  <si>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</si>
  <si>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</si>
  <si>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</si>
  <si>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</si>
  <si>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</si>
  <si>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</si>
  <si>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</si>
  <si>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</si>
  <si>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</si>
  <si>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</si>
  <si>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</si>
  <si>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</si>
  <si>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</si>
  <si>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</si>
  <si>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</si>
  <si>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</si>
  <si>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</si>
  <si>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</si>
  <si>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</si>
  <si>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</si>
  <si>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</si>
  <si>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</si>
  <si>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</si>
  <si>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</si>
  <si>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</si>
  <si>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</si>
  <si>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</si>
  <si>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</si>
  <si>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</si>
  <si>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</si>
  <si>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</si>
  <si>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</si>
  <si>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</si>
  <si>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</si>
  <si>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</si>
  <si>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</si>
  <si>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</si>
  <si>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</si>
  <si>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</si>
  <si>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</si>
  <si>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</si>
  <si>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</si>
  <si>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</si>
  <si>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</si>
  <si>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</si>
  <si>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</si>
  <si>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</si>
  <si>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</si>
  <si>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</si>
  <si>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</si>
  <si>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</si>
  <si>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</si>
  <si>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</si>
  <si>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</si>
  <si>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</si>
  <si>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</si>
  <si>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</si>
  <si>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</si>
  <si>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</si>
  <si>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</si>
  <si>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</si>
  <si>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</si>
  <si>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</si>
  <si>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</si>
  <si>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</si>
  <si>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</si>
  <si>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</si>
  <si>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</si>
  <si>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</si>
  <si>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</si>
  <si>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</si>
  <si>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</si>
  <si>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</si>
  <si>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</si>
  <si>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</si>
  <si>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</si>
  <si>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</si>
  <si>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</si>
  <si>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</si>
  <si>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</si>
  <si>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ON owner-FCF component DCF: base case (millions, USD)</t>
  </si>
  <si>
    <t xml:space="preserve">ON owner-FCF component DCF: bull case (millions, USD)</t>
  </si>
  <si>
    <t xml:space="preserve">ON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</si>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</sst>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80.08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102.2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242.7</v>
      </c>
      <c r="S2" s="0" t="n">
        <v>274.6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2054.8</v>
      </c>
      <c r="C3" s="0" t="n">
        <v>1309.3</v>
      </c>
      <c r="D3" s="0" t="n">
        <v>745.5</v>
      </c>
      <c r="E3" s="0" t="n">
        <v>36.2809032509247</v>
      </c>
      <c r="F3" s="0" t="n">
        <v>-365.9</v>
      </c>
      <c r="G3" s="0" t="n">
        <v>-17.8070858477711</v>
      </c>
      <c r="H3" s="0" t="n">
        <v>-223.8</v>
      </c>
      <c r="I3" s="0" t="n">
        <v>-428.9</v>
      </c>
      <c r="J3" s="0" t="n">
        <v>-20.8730776717929</v>
      </c>
      <c r="K3" s="0" t="n">
        <v>-1.13</v>
      </c>
      <c r="L3" s="0" t="n">
        <v>393.8</v>
      </c>
      <c r="M3" s="0" t="n">
        <v>95</v>
      </c>
      <c r="N3" s="0" t="n">
        <v>298.8</v>
      </c>
      <c r="O3" s="0" t="n">
        <v>855.5</v>
      </c>
      <c r="S3" s="0" t="n">
        <v>458.7</v>
      </c>
      <c r="T3" s="0" t="n">
        <v>379</v>
      </c>
      <c r="U3" s="0" t="n">
        <v>33.2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1768.9</v>
      </c>
      <c r="C4" s="0" t="n">
        <v>1148.2</v>
      </c>
      <c r="D4" s="0" t="n">
        <v>620.7</v>
      </c>
      <c r="E4" s="0" t="n">
        <v>35.0896037085194</v>
      </c>
      <c r="F4" s="0" t="n">
        <v>142.6</v>
      </c>
      <c r="G4" s="0" t="n">
        <v>8.06150715133699</v>
      </c>
      <c r="H4" s="0" t="n">
        <v>298.2</v>
      </c>
      <c r="I4" s="0" t="n">
        <v>63.3</v>
      </c>
      <c r="J4" s="0" t="n">
        <v>3.57849510995534</v>
      </c>
      <c r="K4" s="0" t="n">
        <v>0.14</v>
      </c>
      <c r="L4" s="0" t="n">
        <v>279.3</v>
      </c>
      <c r="M4" s="0" t="n">
        <v>55.3</v>
      </c>
      <c r="N4" s="0" t="n">
        <v>224</v>
      </c>
      <c r="O4" s="0" t="n">
        <v>1004.6</v>
      </c>
      <c r="P4" s="0" t="n">
        <v>2414.3</v>
      </c>
      <c r="Q4" s="0" t="n">
        <v>1409.7</v>
      </c>
      <c r="R4" s="0" t="n">
        <v>933.5</v>
      </c>
      <c r="S4" s="0" t="n">
        <v>525.7</v>
      </c>
      <c r="T4" s="0" t="n">
        <v>432.1</v>
      </c>
      <c r="U4" s="0" t="n">
        <v>54.2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2313.4</v>
      </c>
      <c r="C5" s="0" t="n">
        <v>1357.4</v>
      </c>
      <c r="D5" s="0" t="n">
        <v>956</v>
      </c>
      <c r="E5" s="0" t="n">
        <v>41.3244575084292</v>
      </c>
      <c r="F5" s="0" t="n">
        <v>374.2</v>
      </c>
      <c r="G5" s="0" t="n">
        <v>16.1753263594709</v>
      </c>
      <c r="H5" s="0" t="n">
        <v>541.1</v>
      </c>
      <c r="I5" s="0" t="n">
        <v>292.9</v>
      </c>
      <c r="J5" s="0" t="n">
        <v>12.6610184144549</v>
      </c>
      <c r="K5" s="0" t="n">
        <v>0.67</v>
      </c>
      <c r="L5" s="0" t="n">
        <v>551.8</v>
      </c>
      <c r="M5" s="0" t="n">
        <v>188.9</v>
      </c>
      <c r="N5" s="0" t="n">
        <v>362.9</v>
      </c>
      <c r="O5" s="0" t="n">
        <v>1388</v>
      </c>
      <c r="P5" s="0" t="n">
        <v>2919.2</v>
      </c>
      <c r="Q5" s="0" t="n">
        <v>1531.2</v>
      </c>
      <c r="R5" s="0" t="n">
        <v>1024.8</v>
      </c>
      <c r="S5" s="0" t="n">
        <v>623.3</v>
      </c>
      <c r="T5" s="0" t="n">
        <v>444.4</v>
      </c>
      <c r="U5" s="0" t="n">
        <v>52.7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3442.3</v>
      </c>
      <c r="C6" s="0" t="n">
        <v>2433.5</v>
      </c>
      <c r="D6" s="0" t="n">
        <v>1008.8</v>
      </c>
      <c r="E6" s="0" t="n">
        <v>29.3059872759492</v>
      </c>
      <c r="F6" s="0" t="n">
        <v>113.4</v>
      </c>
      <c r="G6" s="0" t="n">
        <v>3.2943090375621</v>
      </c>
      <c r="H6" s="0" t="n">
        <v>342.8</v>
      </c>
      <c r="I6" s="0" t="n">
        <v>14.9</v>
      </c>
      <c r="J6" s="0" t="n">
        <v>0.432850129274032</v>
      </c>
      <c r="K6" s="0" t="n">
        <v>0.03</v>
      </c>
      <c r="L6" s="0" t="n">
        <v>545.5</v>
      </c>
      <c r="M6" s="0" t="n">
        <v>316.4</v>
      </c>
      <c r="N6" s="0" t="n">
        <v>229.1</v>
      </c>
      <c r="O6" s="0" t="n">
        <v>1537.3</v>
      </c>
      <c r="P6" s="0" t="n">
        <v>3883.5</v>
      </c>
      <c r="Q6" s="0" t="n">
        <v>2390</v>
      </c>
      <c r="R6" s="0" t="n">
        <v>1577.1</v>
      </c>
      <c r="S6" s="0" t="n">
        <v>652.9</v>
      </c>
      <c r="T6" s="0" t="n">
        <v>457.2</v>
      </c>
      <c r="U6" s="0" t="n">
        <v>33.5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2894.9</v>
      </c>
      <c r="C7" s="0" t="n">
        <v>1948.6</v>
      </c>
      <c r="D7" s="0" t="n">
        <v>946.3</v>
      </c>
      <c r="E7" s="0" t="n">
        <v>32.6885211924419</v>
      </c>
      <c r="F7" s="0" t="n">
        <v>-20.3</v>
      </c>
      <c r="G7" s="0" t="n">
        <v>-0.701233203219455</v>
      </c>
      <c r="H7" s="0" t="n">
        <v>223.3</v>
      </c>
      <c r="I7" s="0" t="n">
        <v>-97.2</v>
      </c>
      <c r="J7" s="0" t="n">
        <v>-3.35762893364192</v>
      </c>
      <c r="K7" s="0" t="n">
        <v>-0.21</v>
      </c>
      <c r="L7" s="0" t="n">
        <v>276</v>
      </c>
      <c r="M7" s="0" t="n">
        <v>256.3</v>
      </c>
      <c r="N7" s="0" t="n">
        <v>19.7</v>
      </c>
      <c r="O7" s="0" t="n">
        <v>1427.9</v>
      </c>
      <c r="P7" s="0" t="n">
        <v>3328.4</v>
      </c>
      <c r="Q7" s="0" t="n">
        <v>1937.7</v>
      </c>
      <c r="R7" s="0" t="n">
        <v>1365.5</v>
      </c>
      <c r="S7" s="0" t="n">
        <v>486.9</v>
      </c>
      <c r="T7" s="0" t="n">
        <v>452.6</v>
      </c>
      <c r="U7" s="0" t="n">
        <v>20.5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2782.7</v>
      </c>
      <c r="C8" s="0" t="n">
        <v>1853.6</v>
      </c>
      <c r="D8" s="0" t="n">
        <v>929.1</v>
      </c>
      <c r="E8" s="0" t="n">
        <v>33.3884356919539</v>
      </c>
      <c r="F8" s="0" t="n">
        <v>208.9</v>
      </c>
      <c r="G8" s="0" t="n">
        <v>7.5070974233658</v>
      </c>
      <c r="H8" s="0" t="n">
        <v>420.7</v>
      </c>
      <c r="I8" s="0" t="n">
        <v>153.6</v>
      </c>
      <c r="J8" s="0" t="n">
        <v>5.51981888094297</v>
      </c>
      <c r="K8" s="0" t="n">
        <v>0.34</v>
      </c>
      <c r="L8" s="0" t="n">
        <v>327.3</v>
      </c>
      <c r="M8" s="0" t="n">
        <v>155.2</v>
      </c>
      <c r="N8" s="0" t="n">
        <v>172.1</v>
      </c>
      <c r="O8" s="0" t="n">
        <v>1523.6</v>
      </c>
      <c r="P8" s="0" t="n">
        <v>3293.8</v>
      </c>
      <c r="Q8" s="0" t="n">
        <v>1770.2</v>
      </c>
      <c r="R8" s="0" t="n">
        <v>1123.8</v>
      </c>
      <c r="S8" s="0" t="n">
        <v>509.5</v>
      </c>
      <c r="T8" s="0" t="n">
        <v>450.7</v>
      </c>
      <c r="U8" s="0" t="n">
        <v>32.3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3161.8</v>
      </c>
      <c r="C9" s="0" t="n">
        <v>2076.9</v>
      </c>
      <c r="D9" s="0" t="n">
        <v>1084.9</v>
      </c>
      <c r="E9" s="0" t="n">
        <v>34.3127332532102</v>
      </c>
      <c r="F9" s="0" t="n">
        <v>228.9</v>
      </c>
      <c r="G9" s="0" t="n">
        <v>7.23954709342779</v>
      </c>
      <c r="H9" s="0" t="n">
        <v>497.7</v>
      </c>
      <c r="I9" s="0" t="n">
        <v>192.1</v>
      </c>
      <c r="J9" s="0" t="n">
        <v>6.07565310898855</v>
      </c>
      <c r="K9" s="0" t="n">
        <v>0.43</v>
      </c>
      <c r="L9" s="0" t="n">
        <v>481.3</v>
      </c>
      <c r="M9" s="0" t="n">
        <v>204.3</v>
      </c>
      <c r="N9" s="0" t="n">
        <v>277</v>
      </c>
      <c r="O9" s="0" t="n">
        <v>1647.4</v>
      </c>
      <c r="P9" s="0" t="n">
        <v>3822.1</v>
      </c>
      <c r="Q9" s="0" t="n">
        <v>2174.7</v>
      </c>
      <c r="R9" s="0" t="n">
        <v>1416.9</v>
      </c>
      <c r="S9" s="0" t="n">
        <v>511.7</v>
      </c>
      <c r="T9" s="0" t="n">
        <v>443.5</v>
      </c>
      <c r="U9" s="0" t="n">
        <v>45.8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3495.8</v>
      </c>
      <c r="C10" s="0" t="n">
        <v>2302.6</v>
      </c>
      <c r="D10" s="0" t="n">
        <v>1193.2</v>
      </c>
      <c r="E10" s="0" t="n">
        <v>34.1323874363522</v>
      </c>
      <c r="F10" s="0" t="n">
        <v>261.1</v>
      </c>
      <c r="G10" s="0" t="n">
        <v>7.46896275530637</v>
      </c>
      <c r="H10" s="0" t="n">
        <v>618.7</v>
      </c>
      <c r="I10" s="0" t="n">
        <v>209</v>
      </c>
      <c r="J10" s="0" t="n">
        <v>5.97860289490245</v>
      </c>
      <c r="K10" s="0" t="n">
        <v>0.49</v>
      </c>
      <c r="L10" s="0" t="n">
        <v>470.6</v>
      </c>
      <c r="M10" s="0" t="n">
        <v>270.8</v>
      </c>
      <c r="N10" s="0" t="n">
        <v>199.8</v>
      </c>
      <c r="O10" s="0" t="n">
        <v>1631.9</v>
      </c>
      <c r="P10" s="0" t="n">
        <v>3869.6</v>
      </c>
      <c r="Q10" s="0" t="n">
        <v>2237.7</v>
      </c>
      <c r="R10" s="0" t="n">
        <v>1393.9</v>
      </c>
      <c r="S10" s="0" t="n">
        <v>617.6</v>
      </c>
      <c r="T10" s="0" t="n">
        <v>427.8</v>
      </c>
      <c r="U10" s="0" t="n">
        <v>46.9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3906.9</v>
      </c>
      <c r="C11" s="0" t="n">
        <v>2606.4</v>
      </c>
      <c r="D11" s="0" t="n">
        <v>1300.5</v>
      </c>
      <c r="E11" s="0" t="n">
        <v>33.2872609997696</v>
      </c>
      <c r="F11" s="0" t="n">
        <v>246.8</v>
      </c>
      <c r="G11" s="0" t="n">
        <v>6.31702884639996</v>
      </c>
      <c r="H11" s="0" t="n">
        <v>610.9</v>
      </c>
      <c r="I11" s="0" t="n">
        <v>184.5</v>
      </c>
      <c r="J11" s="0" t="n">
        <v>4.72241419027874</v>
      </c>
      <c r="K11" s="0" t="n">
        <v>0.44</v>
      </c>
      <c r="L11" s="0" t="n">
        <v>581.1</v>
      </c>
      <c r="M11" s="0" t="n">
        <v>210.7</v>
      </c>
      <c r="N11" s="0" t="n">
        <v>370.4</v>
      </c>
      <c r="O11" s="0" t="n">
        <v>1845</v>
      </c>
      <c r="P11" s="0" t="n">
        <v>6924.4</v>
      </c>
      <c r="Q11" s="0" t="n">
        <v>5046.5</v>
      </c>
      <c r="R11" s="0" t="n">
        <v>3622.3</v>
      </c>
      <c r="S11" s="0" t="n">
        <v>1028.1</v>
      </c>
      <c r="T11" s="0" t="n">
        <v>420</v>
      </c>
      <c r="U11" s="0" t="n">
        <v>56.1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5543.1</v>
      </c>
      <c r="C12" s="0" t="n">
        <v>3507.5</v>
      </c>
      <c r="D12" s="0" t="n">
        <v>2035.6</v>
      </c>
      <c r="E12" s="0" t="n">
        <v>36.7231332647796</v>
      </c>
      <c r="F12" s="0" t="n">
        <v>681.6</v>
      </c>
      <c r="G12" s="0" t="n">
        <v>12.296368458083</v>
      </c>
      <c r="H12" s="0" t="n">
        <v>1163.5</v>
      </c>
      <c r="I12" s="0" t="n">
        <v>813</v>
      </c>
      <c r="J12" s="0" t="n">
        <v>14.6668831520268</v>
      </c>
      <c r="K12" s="0" t="n">
        <v>1.92</v>
      </c>
      <c r="L12" s="0" t="n">
        <v>1094.2</v>
      </c>
      <c r="M12" s="0" t="n">
        <v>387.5</v>
      </c>
      <c r="N12" s="0" t="n">
        <v>706.7</v>
      </c>
      <c r="O12" s="0" t="n">
        <v>2801</v>
      </c>
      <c r="P12" s="0" t="n">
        <v>7195.1</v>
      </c>
      <c r="Q12" s="0" t="n">
        <v>4394.1</v>
      </c>
      <c r="R12" s="0" t="n">
        <v>2951.8</v>
      </c>
      <c r="S12" s="0" t="n">
        <v>949.2</v>
      </c>
      <c r="T12" s="0" t="n">
        <v>428.3</v>
      </c>
      <c r="U12" s="0" t="n">
        <v>69.8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5878.3</v>
      </c>
      <c r="C13" s="0" t="n">
        <v>3639.6</v>
      </c>
      <c r="D13" s="0" t="n">
        <v>2238.7</v>
      </c>
      <c r="E13" s="0" t="n">
        <v>38.084139972441</v>
      </c>
      <c r="F13" s="0" t="n">
        <v>847.2</v>
      </c>
      <c r="G13" s="0" t="n">
        <v>14.4123300954358</v>
      </c>
      <c r="H13" s="0" t="n">
        <v>1355.9</v>
      </c>
      <c r="I13" s="0" t="n">
        <v>629.9</v>
      </c>
      <c r="J13" s="0" t="n">
        <v>10.7156831056598</v>
      </c>
      <c r="K13" s="0" t="n">
        <v>1.48</v>
      </c>
      <c r="L13" s="0" t="n">
        <v>1274.2</v>
      </c>
      <c r="M13" s="0" t="n">
        <v>514.8</v>
      </c>
      <c r="N13" s="0" t="n">
        <v>759.4</v>
      </c>
      <c r="O13" s="0" t="n">
        <v>3194.1</v>
      </c>
      <c r="P13" s="0" t="n">
        <v>7587.6</v>
      </c>
      <c r="Q13" s="0" t="n">
        <v>4393.5</v>
      </c>
      <c r="R13" s="0" t="n">
        <v>2766.1</v>
      </c>
      <c r="S13" s="0" t="n">
        <v>1069.6</v>
      </c>
      <c r="T13" s="0" t="n">
        <v>435.9</v>
      </c>
      <c r="U13" s="0" t="n">
        <v>78.3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5517.9</v>
      </c>
      <c r="C14" s="0" t="n">
        <v>3544.3</v>
      </c>
      <c r="D14" s="0" t="n">
        <v>1973.6</v>
      </c>
      <c r="E14" s="0" t="n">
        <v>35.7672302868845</v>
      </c>
      <c r="F14" s="0" t="n">
        <v>432.7</v>
      </c>
      <c r="G14" s="0" t="n">
        <v>7.84175139092771</v>
      </c>
      <c r="H14" s="0" t="n">
        <v>1025.8</v>
      </c>
      <c r="I14" s="0" t="n">
        <v>213.9</v>
      </c>
      <c r="J14" s="0" t="n">
        <v>3.87647474582722</v>
      </c>
      <c r="K14" s="0" t="n">
        <v>0.52</v>
      </c>
      <c r="L14" s="0" t="n">
        <v>694.7</v>
      </c>
      <c r="M14" s="0" t="n">
        <v>534.6</v>
      </c>
      <c r="N14" s="0" t="n">
        <v>160.1</v>
      </c>
      <c r="O14" s="0" t="n">
        <v>3324.1</v>
      </c>
      <c r="P14" s="0" t="n">
        <v>8425.5</v>
      </c>
      <c r="Q14" s="0" t="n">
        <v>5101.4</v>
      </c>
      <c r="R14" s="0" t="n">
        <v>3612.5</v>
      </c>
      <c r="S14" s="0" t="n">
        <v>894.2</v>
      </c>
      <c r="T14" s="0" t="n">
        <v>416</v>
      </c>
      <c r="U14" s="0" t="n">
        <v>79.4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5255</v>
      </c>
      <c r="C15" s="0" t="n">
        <v>3539.2</v>
      </c>
      <c r="D15" s="0" t="n">
        <v>1715.8</v>
      </c>
      <c r="E15" s="0" t="n">
        <v>32.650808753568</v>
      </c>
      <c r="F15" s="0" t="n">
        <v>348.7</v>
      </c>
      <c r="G15" s="0" t="n">
        <v>6.63558515699334</v>
      </c>
      <c r="H15" s="0" t="n">
        <v>973.8</v>
      </c>
      <c r="I15" s="0" t="n">
        <v>236.4</v>
      </c>
      <c r="J15" s="0" t="n">
        <v>4.49857278782112</v>
      </c>
      <c r="K15" s="0" t="n">
        <v>0.57</v>
      </c>
      <c r="L15" s="0" t="n">
        <v>884.3</v>
      </c>
      <c r="M15" s="0" t="n">
        <v>383.6</v>
      </c>
      <c r="N15" s="0" t="n">
        <v>500.7</v>
      </c>
      <c r="O15" s="0" t="n">
        <v>3558.1</v>
      </c>
      <c r="P15" s="0" t="n">
        <v>8668</v>
      </c>
      <c r="Q15" s="0" t="n">
        <v>5109.9</v>
      </c>
      <c r="R15" s="0" t="n">
        <v>3491.3</v>
      </c>
      <c r="S15" s="0" t="n">
        <v>1080.7</v>
      </c>
      <c r="T15" s="0" t="n">
        <v>418.8</v>
      </c>
      <c r="U15" s="0" t="n">
        <v>67.7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6739.8</v>
      </c>
      <c r="C16" s="0" t="n">
        <v>4025.5</v>
      </c>
      <c r="D16" s="0" t="n">
        <v>2714.3</v>
      </c>
      <c r="E16" s="0" t="n">
        <v>40.272708388973</v>
      </c>
      <c r="F16" s="0" t="n">
        <v>1287.6</v>
      </c>
      <c r="G16" s="0" t="n">
        <v>19.1044244636339</v>
      </c>
      <c r="H16" s="0" t="n">
        <v>1884.3</v>
      </c>
      <c r="I16" s="0" t="n">
        <v>1011.2</v>
      </c>
      <c r="J16" s="0" t="n">
        <v>15.003412564171</v>
      </c>
      <c r="K16" s="0" t="n">
        <v>2.37</v>
      </c>
      <c r="L16" s="0" t="n">
        <v>1782</v>
      </c>
      <c r="M16" s="0" t="n">
        <v>444.6</v>
      </c>
      <c r="N16" s="0" t="n">
        <v>1337.4</v>
      </c>
      <c r="O16" s="0" t="n">
        <v>4604.4</v>
      </c>
      <c r="P16" s="0" t="n">
        <v>9626</v>
      </c>
      <c r="Q16" s="0" t="n">
        <v>5021.6</v>
      </c>
      <c r="R16" s="0" t="n">
        <v>3074.6</v>
      </c>
      <c r="S16" s="0" t="n">
        <v>1352.6</v>
      </c>
      <c r="T16" s="0" t="n">
        <v>443.8</v>
      </c>
      <c r="U16" s="0" t="n">
        <v>101.3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8326.2</v>
      </c>
      <c r="C17" s="0" t="n">
        <v>4249</v>
      </c>
      <c r="D17" s="0" t="n">
        <v>4077.2</v>
      </c>
      <c r="E17" s="0" t="n">
        <v>48.9683168792486</v>
      </c>
      <c r="F17" s="0" t="n">
        <v>2360</v>
      </c>
      <c r="G17" s="0" t="n">
        <v>28.3442626888617</v>
      </c>
      <c r="H17" s="0" t="n">
        <v>2911.8</v>
      </c>
      <c r="I17" s="0" t="n">
        <v>1903.8</v>
      </c>
      <c r="J17" s="0" t="n">
        <v>22.8651725877351</v>
      </c>
      <c r="K17" s="0" t="n">
        <v>4.39</v>
      </c>
      <c r="L17" s="0" t="n">
        <v>2633.1</v>
      </c>
      <c r="M17" s="0" t="n">
        <v>1036</v>
      </c>
      <c r="N17" s="0" t="n">
        <v>1597.1</v>
      </c>
      <c r="O17" s="0" t="n">
        <v>6207</v>
      </c>
      <c r="P17" s="0" t="n">
        <v>11978.5</v>
      </c>
      <c r="Q17" s="0" t="n">
        <v>5771.5</v>
      </c>
      <c r="R17" s="0" t="n">
        <v>3193.5</v>
      </c>
      <c r="S17" s="0" t="n">
        <v>2919</v>
      </c>
      <c r="T17" s="0" t="n">
        <v>448.2</v>
      </c>
      <c r="U17" s="0" t="n">
        <v>100.8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8253</v>
      </c>
      <c r="C18" s="0" t="n">
        <v>4369.5</v>
      </c>
      <c r="D18" s="0" t="n">
        <v>3883.5</v>
      </c>
      <c r="E18" s="0" t="n">
        <v>47.0556161395856</v>
      </c>
      <c r="F18" s="0" t="n">
        <v>2538.7</v>
      </c>
      <c r="G18" s="0" t="n">
        <v>30.760935417424</v>
      </c>
      <c r="H18" s="0" t="n">
        <v>3148.2</v>
      </c>
      <c r="I18" s="0" t="n">
        <v>2185.6</v>
      </c>
      <c r="J18" s="0" t="n">
        <v>26.4824912153156</v>
      </c>
      <c r="K18" s="0" t="n">
        <v>5.07</v>
      </c>
      <c r="L18" s="0" t="n">
        <v>1977.5</v>
      </c>
      <c r="M18" s="0" t="n">
        <v>1539.1</v>
      </c>
      <c r="N18" s="0" t="n">
        <v>438.4</v>
      </c>
      <c r="O18" s="0" t="n">
        <v>7800.6</v>
      </c>
      <c r="P18" s="0" t="n">
        <v>13215.2</v>
      </c>
      <c r="Q18" s="0" t="n">
        <v>5414.6</v>
      </c>
      <c r="R18" s="0" t="n">
        <v>3336.6</v>
      </c>
      <c r="S18" s="0" t="n">
        <v>2483</v>
      </c>
      <c r="T18" s="0" t="n">
        <v>446.8</v>
      </c>
      <c r="U18" s="0" t="n">
        <v>121.1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7082.3</v>
      </c>
      <c r="C19" s="0" t="n">
        <v>3866.2</v>
      </c>
      <c r="D19" s="0" t="n">
        <v>3216.1</v>
      </c>
      <c r="E19" s="0" t="n">
        <v>45.4103892803185</v>
      </c>
      <c r="F19" s="0" t="n">
        <v>1767.7</v>
      </c>
      <c r="G19" s="0" t="n">
        <v>24.9594058427347</v>
      </c>
      <c r="H19" s="0" t="n">
        <v>2410.6</v>
      </c>
      <c r="I19" s="0" t="n">
        <v>1574.6</v>
      </c>
      <c r="J19" s="0" t="n">
        <v>22.2328904451944</v>
      </c>
      <c r="K19" s="0" t="n">
        <v>3.68</v>
      </c>
      <c r="L19" s="0" t="n">
        <v>1906.4</v>
      </c>
      <c r="M19" s="0" t="n">
        <v>694</v>
      </c>
      <c r="N19" s="0" t="n">
        <v>1212.4</v>
      </c>
      <c r="O19" s="0" t="n">
        <v>8814.5</v>
      </c>
      <c r="P19" s="0" t="n">
        <v>14089.8</v>
      </c>
      <c r="Q19" s="0" t="n">
        <v>5275.3</v>
      </c>
      <c r="R19" s="0" t="n">
        <v>3345.9</v>
      </c>
      <c r="S19" s="0" t="n">
        <v>2691.3</v>
      </c>
      <c r="T19" s="0" t="n">
        <v>432.7</v>
      </c>
      <c r="U19" s="0" t="n">
        <v>136.1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5995.4</v>
      </c>
      <c r="C20" s="0" t="n">
        <v>4011.5</v>
      </c>
      <c r="D20" s="0" t="n">
        <v>1983.9</v>
      </c>
      <c r="E20" s="0" t="n">
        <v>33.0903692831171</v>
      </c>
      <c r="F20" s="0" t="n">
        <v>84.2</v>
      </c>
      <c r="G20" s="0" t="n">
        <v>1.40441004770324</v>
      </c>
      <c r="H20" s="0" t="n">
        <v>770.2</v>
      </c>
      <c r="I20" s="0" t="n">
        <v>123.6</v>
      </c>
      <c r="J20" s="0" t="n">
        <v>2.06158054508457</v>
      </c>
      <c r="K20" s="0" t="n">
        <v>0.29</v>
      </c>
      <c r="L20" s="0" t="n">
        <v>1759.8</v>
      </c>
      <c r="M20" s="0" t="n">
        <v>341.2</v>
      </c>
      <c r="N20" s="0" t="n">
        <v>1418.6</v>
      </c>
      <c r="O20" s="0" t="n">
        <v>7691.9</v>
      </c>
      <c r="P20" s="0" t="n">
        <v>12524.1</v>
      </c>
      <c r="Q20" s="0" t="n">
        <v>4832.2</v>
      </c>
      <c r="R20" s="0" t="n">
        <v>2980.5</v>
      </c>
      <c r="S20" s="0" t="n">
        <v>2147.6</v>
      </c>
      <c r="T20" s="0" t="n">
        <v>411.8</v>
      </c>
      <c r="U20" s="0" t="n">
        <v>144.3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80.08</v>
      </c>
    </row>
    <row r="3" customFormat="false" ht="15" hidden="false" customHeight="false" outlineLevel="0" collapsed="false">
      <c r="A3" s="0" t="s">
        <v>85</v>
      </c>
      <c r="B3" s="3" t="n">
        <v>448.8</v>
      </c>
    </row>
    <row r="4" customFormat="false" ht="15" hidden="false" customHeight="false" outlineLevel="0" collapsed="false">
      <c r="A4" s="0" t="s">
        <v>86</v>
      </c>
      <c r="B4" s="3" t="n">
        <v>1035.2</v>
      </c>
    </row>
    <row r="5" customFormat="false" ht="15" hidden="false" customHeight="false" outlineLevel="0" collapsed="false">
      <c r="A5" s="0" t="s">
        <v>87</v>
      </c>
      <c r="B5" s="3" t="n">
        <v>65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5995.4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9</v>
      </c>
      <c r="D13" s="3" t="n">
        <v>7.5</v>
      </c>
      <c r="E13" s="3" t="n">
        <v>6.5</v>
      </c>
      <c r="F13" s="3" t="n">
        <v>1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29</v>
      </c>
      <c r="D14" s="3" t="n">
        <v>27.5</v>
      </c>
      <c r="E14" s="3" t="n">
        <v>26.5</v>
      </c>
      <c r="F14" s="3" t="n">
        <v>26.5</v>
      </c>
      <c r="G14" s="3" t="n">
        <v>27</v>
      </c>
      <c r="H14" s="3" t="n">
        <v>27.5</v>
      </c>
      <c r="I14" s="3" t="n">
        <v>28</v>
      </c>
      <c r="J14" s="3" t="n">
        <v>28</v>
      </c>
      <c r="K14" s="3" t="n">
        <v>28</v>
      </c>
      <c r="L14" s="3" t="n">
        <v>28</v>
      </c>
    </row>
    <row r="15" customFormat="false" ht="15" hidden="false" customHeight="false" outlineLevel="0" collapsed="false">
      <c r="A15" s="0" t="s">
        <v>107</v>
      </c>
      <c r="C15" s="3" t="n">
        <v>2.9</v>
      </c>
      <c r="D15" s="3" t="n">
        <v>3.8</v>
      </c>
      <c r="E15" s="3" t="n">
        <v>4.4</v>
      </c>
      <c r="F15" s="3" t="n">
        <v>4.4</v>
      </c>
      <c r="G15" s="3" t="n">
        <v>4.3</v>
      </c>
      <c r="H15" s="3" t="n">
        <v>4.2</v>
      </c>
      <c r="I15" s="3" t="n">
        <v>4.1</v>
      </c>
      <c r="J15" s="3" t="n">
        <v>4</v>
      </c>
      <c r="K15" s="3" t="n">
        <v>4</v>
      </c>
      <c r="L15" s="3" t="n">
        <v>4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10.5</v>
      </c>
      <c r="D17" s="3" t="n">
        <v>9.8</v>
      </c>
      <c r="E17" s="3" t="n">
        <v>9.6</v>
      </c>
      <c r="F17" s="3" t="n">
        <v>9.3</v>
      </c>
      <c r="G17" s="3" t="n">
        <v>9</v>
      </c>
      <c r="H17" s="3" t="n">
        <v>8.8</v>
      </c>
      <c r="I17" s="3" t="n">
        <v>8.5</v>
      </c>
      <c r="J17" s="3" t="n">
        <v>8</v>
      </c>
      <c r="K17" s="3" t="n">
        <v>7.5</v>
      </c>
      <c r="L17" s="3" t="n">
        <v>7.5</v>
      </c>
    </row>
    <row r="18" customFormat="false" ht="15" hidden="false" customHeight="false" outlineLevel="0" collapsed="false">
      <c r="A18" s="0" t="s">
        <v>110</v>
      </c>
      <c r="C18" s="3" t="n">
        <v>3.5</v>
      </c>
      <c r="D18" s="3" t="n">
        <v>5.5</v>
      </c>
      <c r="E18" s="3" t="n">
        <v>6.5</v>
      </c>
      <c r="F18" s="3" t="n">
        <v>7</v>
      </c>
      <c r="G18" s="3" t="n">
        <v>7.5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111</v>
      </c>
      <c r="C19" s="3" t="n">
        <v>16</v>
      </c>
      <c r="D19" s="3" t="n">
        <v>16</v>
      </c>
      <c r="E19" s="3" t="n">
        <v>17</v>
      </c>
      <c r="F19" s="3" t="n">
        <v>17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112</v>
      </c>
      <c r="B20" s="3" t="n">
        <v>10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-15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9.7</v>
      </c>
      <c r="D27" s="3" t="n">
        <v>18.5</v>
      </c>
      <c r="E27" s="3" t="n">
        <v>15</v>
      </c>
      <c r="F27" s="3" t="n">
        <v>6.5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30</v>
      </c>
      <c r="D28" s="3" t="n">
        <v>31</v>
      </c>
      <c r="E28" s="3" t="n">
        <v>32</v>
      </c>
      <c r="F28" s="3" t="n">
        <v>33</v>
      </c>
      <c r="G28" s="3" t="n">
        <v>33</v>
      </c>
      <c r="H28" s="3" t="n">
        <v>33</v>
      </c>
      <c r="I28" s="3" t="n">
        <v>33</v>
      </c>
      <c r="J28" s="3" t="n">
        <v>33</v>
      </c>
      <c r="K28" s="3" t="n">
        <v>33</v>
      </c>
      <c r="L28" s="3" t="n">
        <v>33</v>
      </c>
    </row>
    <row r="29" customFormat="false" ht="15" hidden="false" customHeight="false" outlineLevel="0" collapsed="false">
      <c r="A29" s="0" t="s">
        <v>107</v>
      </c>
      <c r="C29" s="3" t="n">
        <v>2.9</v>
      </c>
      <c r="D29" s="3" t="n">
        <v>3.7</v>
      </c>
      <c r="E29" s="3" t="n">
        <v>4.3</v>
      </c>
      <c r="F29" s="3" t="n">
        <v>4.2</v>
      </c>
      <c r="G29" s="3" t="n">
        <v>4.1</v>
      </c>
      <c r="H29" s="3" t="n">
        <v>4</v>
      </c>
      <c r="I29" s="3" t="n">
        <v>3.9</v>
      </c>
      <c r="J29" s="3" t="n">
        <v>3.8</v>
      </c>
      <c r="K29" s="3" t="n">
        <v>3.7</v>
      </c>
      <c r="L29" s="3" t="n">
        <v>3.6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10.5</v>
      </c>
      <c r="D31" s="3" t="n">
        <v>9.8</v>
      </c>
      <c r="E31" s="3" t="n">
        <v>9.6</v>
      </c>
      <c r="F31" s="3" t="n">
        <v>9.3</v>
      </c>
      <c r="G31" s="3" t="n">
        <v>9</v>
      </c>
      <c r="H31" s="3" t="n">
        <v>8.8</v>
      </c>
      <c r="I31" s="3" t="n">
        <v>8.5</v>
      </c>
      <c r="J31" s="3" t="n">
        <v>8.3</v>
      </c>
      <c r="K31" s="3" t="n">
        <v>8</v>
      </c>
      <c r="L31" s="3" t="n">
        <v>8</v>
      </c>
    </row>
    <row r="32" customFormat="false" ht="15" hidden="false" customHeight="false" outlineLevel="0" collapsed="false">
      <c r="A32" s="0" t="s">
        <v>110</v>
      </c>
      <c r="C32" s="3" t="n">
        <v>3.5</v>
      </c>
      <c r="D32" s="3" t="n">
        <v>6</v>
      </c>
      <c r="E32" s="3" t="n">
        <v>7.5</v>
      </c>
      <c r="F32" s="3" t="n">
        <v>8</v>
      </c>
      <c r="G32" s="3" t="n">
        <v>8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111</v>
      </c>
      <c r="C33" s="3" t="n">
        <v>16</v>
      </c>
      <c r="D33" s="3" t="n">
        <v>16</v>
      </c>
      <c r="E33" s="3" t="n">
        <v>17</v>
      </c>
      <c r="F33" s="3" t="n">
        <v>17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112</v>
      </c>
      <c r="B34" s="3" t="n">
        <v>10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-15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10.5</v>
      </c>
      <c r="D41" s="3" t="n">
        <v>22</v>
      </c>
      <c r="E41" s="3" t="n">
        <v>18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30.5</v>
      </c>
      <c r="D42" s="3" t="n">
        <v>32</v>
      </c>
      <c r="E42" s="3" t="n">
        <v>33.5</v>
      </c>
      <c r="F42" s="3" t="n">
        <v>35</v>
      </c>
      <c r="G42" s="3" t="n">
        <v>36</v>
      </c>
      <c r="H42" s="3" t="n">
        <v>36</v>
      </c>
      <c r="I42" s="3" t="n">
        <v>36</v>
      </c>
      <c r="J42" s="3" t="n">
        <v>36</v>
      </c>
      <c r="K42" s="3" t="n">
        <v>36</v>
      </c>
      <c r="L42" s="3" t="n">
        <v>36</v>
      </c>
    </row>
    <row r="43" customFormat="false" ht="15" hidden="false" customHeight="false" outlineLevel="0" collapsed="false">
      <c r="A43" s="0" t="s">
        <v>107</v>
      </c>
      <c r="C43" s="3" t="n">
        <v>2.9</v>
      </c>
      <c r="D43" s="3" t="n">
        <v>3.7</v>
      </c>
      <c r="E43" s="3" t="n">
        <v>4.3</v>
      </c>
      <c r="F43" s="3" t="n">
        <v>4.2</v>
      </c>
      <c r="G43" s="3" t="n">
        <v>4.1</v>
      </c>
      <c r="H43" s="3" t="n">
        <v>4</v>
      </c>
      <c r="I43" s="3" t="n">
        <v>3.9</v>
      </c>
      <c r="J43" s="3" t="n">
        <v>3.8</v>
      </c>
      <c r="K43" s="3" t="n">
        <v>3.7</v>
      </c>
      <c r="L43" s="3" t="n">
        <v>3.6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10.5</v>
      </c>
      <c r="D45" s="3" t="n">
        <v>9.8</v>
      </c>
      <c r="E45" s="3" t="n">
        <v>9.6</v>
      </c>
      <c r="F45" s="3" t="n">
        <v>9.3</v>
      </c>
      <c r="G45" s="3" t="n">
        <v>9</v>
      </c>
      <c r="H45" s="3" t="n">
        <v>8.8</v>
      </c>
      <c r="I45" s="3" t="n">
        <v>8.6</v>
      </c>
      <c r="J45" s="3" t="n">
        <v>8.5</v>
      </c>
      <c r="K45" s="3" t="n">
        <v>8.5</v>
      </c>
      <c r="L45" s="3" t="n">
        <v>8.5</v>
      </c>
    </row>
    <row r="46" customFormat="false" ht="15" hidden="false" customHeight="false" outlineLevel="0" collapsed="false">
      <c r="A46" s="0" t="s">
        <v>110</v>
      </c>
      <c r="C46" s="3" t="n">
        <v>3.5</v>
      </c>
      <c r="D46" s="3" t="n">
        <v>6.5</v>
      </c>
      <c r="E46" s="3" t="n">
        <v>8</v>
      </c>
      <c r="F46" s="3" t="n">
        <v>8.5</v>
      </c>
      <c r="G46" s="3" t="n">
        <v>8.5</v>
      </c>
      <c r="H46" s="3" t="n">
        <v>8.5</v>
      </c>
      <c r="I46" s="3" t="n">
        <v>8.5</v>
      </c>
      <c r="J46" s="3" t="n">
        <v>8.5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111</v>
      </c>
      <c r="C47" s="3" t="n">
        <v>16</v>
      </c>
      <c r="D47" s="3" t="n">
        <v>16</v>
      </c>
      <c r="E47" s="3" t="n">
        <v>17</v>
      </c>
      <c r="F47" s="3" t="n">
        <v>17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112</v>
      </c>
      <c r="B48" s="3" t="n">
        <v>10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-15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9</v>
      </c>
      <c r="D5" s="4" t="n">
        <f aca="false">Assumptions!D13</f>
        <v>7.5</v>
      </c>
      <c r="E5" s="4" t="n">
        <f aca="false">Assumptions!E13</f>
        <v>6.5</v>
      </c>
      <c r="F5" s="4" t="n">
        <f aca="false">Assumptions!F13</f>
        <v>1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5995.4</v>
      </c>
      <c r="C6" s="0" t="n">
        <f aca="false">B6*(1+C5/100)</f>
        <v>6534.986</v>
      </c>
      <c r="D6" s="0" t="n">
        <f aca="false">C6*(1+D5/100)</f>
        <v>7025.10995</v>
      </c>
      <c r="E6" s="0" t="n">
        <f aca="false">D6*(1+E5/100)</f>
        <v>7481.74209675</v>
      </c>
      <c r="F6" s="0" t="n">
        <f aca="false">E6*(1+F5/100)</f>
        <v>7556.5595177175</v>
      </c>
      <c r="G6" s="0" t="n">
        <f aca="false">F6*(1+G5/100)</f>
        <v>7783.25630324902</v>
      </c>
      <c r="H6" s="0" t="n">
        <f aca="false">G6*(1+H5/100)</f>
        <v>8016.7539923465</v>
      </c>
      <c r="I6" s="0" t="n">
        <f aca="false">H6*(1+I5/100)</f>
        <v>8257.25661211689</v>
      </c>
      <c r="J6" s="0" t="n">
        <f aca="false">I6*(1+J5/100)</f>
        <v>8504.9743104804</v>
      </c>
      <c r="K6" s="0" t="n">
        <f aca="false">J6*(1+K5/100)</f>
        <v>8717.59866824241</v>
      </c>
      <c r="L6" s="0" t="n">
        <f aca="false">K6*(1+L5/100)</f>
        <v>8935.53863494847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29</v>
      </c>
      <c r="D7" s="4" t="n">
        <f aca="false">Assumptions!D14</f>
        <v>27.5</v>
      </c>
      <c r="E7" s="4" t="n">
        <f aca="false">Assumptions!E14</f>
        <v>26.5</v>
      </c>
      <c r="F7" s="4" t="n">
        <f aca="false">Assumptions!F14</f>
        <v>26.5</v>
      </c>
      <c r="G7" s="4" t="n">
        <f aca="false">Assumptions!G14</f>
        <v>27</v>
      </c>
      <c r="H7" s="4" t="n">
        <f aca="false">Assumptions!H14</f>
        <v>27.5</v>
      </c>
      <c r="I7" s="4" t="n">
        <f aca="false">Assumptions!I14</f>
        <v>28</v>
      </c>
      <c r="J7" s="4" t="n">
        <f aca="false">Assumptions!J14</f>
        <v>28</v>
      </c>
      <c r="K7" s="4" t="n">
        <f aca="false">Assumptions!K14</f>
        <v>28</v>
      </c>
      <c r="L7" s="4" t="n">
        <f aca="false">Assumptions!L14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1895.14594</v>
      </c>
      <c r="D8" s="0" t="n">
        <f aca="false">D6*D7/100</f>
        <v>1931.90523625</v>
      </c>
      <c r="E8" s="0" t="n">
        <f aca="false">E6*E7/100</f>
        <v>1982.66165563875</v>
      </c>
      <c r="F8" s="0" t="n">
        <f aca="false">F6*F7/100</f>
        <v>2002.48827219514</v>
      </c>
      <c r="G8" s="0" t="n">
        <f aca="false">G6*G7/100</f>
        <v>2101.47920187724</v>
      </c>
      <c r="H8" s="0" t="n">
        <f aca="false">H6*H7/100</f>
        <v>2204.60734789529</v>
      </c>
      <c r="I8" s="0" t="n">
        <f aca="false">I6*I7/100</f>
        <v>2312.03185139273</v>
      </c>
      <c r="J8" s="0" t="n">
        <f aca="false">J6*J7/100</f>
        <v>2381.39280693451</v>
      </c>
      <c r="K8" s="0" t="n">
        <f aca="false">K6*K7/100</f>
        <v>2440.92762710787</v>
      </c>
      <c r="L8" s="0" t="n">
        <f aca="false">L6*L7/100</f>
        <v>2501.95081778557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2.9</v>
      </c>
      <c r="D9" s="4" t="n">
        <f aca="false">Assumptions!D15</f>
        <v>3.8</v>
      </c>
      <c r="E9" s="4" t="n">
        <f aca="false">Assumptions!E15</f>
        <v>4.4</v>
      </c>
      <c r="F9" s="4" t="n">
        <f aca="false">Assumptions!F15</f>
        <v>4.4</v>
      </c>
      <c r="G9" s="4" t="n">
        <f aca="false">Assumptions!G15</f>
        <v>4.3</v>
      </c>
      <c r="H9" s="4" t="n">
        <f aca="false">Assumptions!H15</f>
        <v>4.2</v>
      </c>
      <c r="I9" s="4" t="n">
        <f aca="false">Assumptions!I15</f>
        <v>4.1</v>
      </c>
      <c r="J9" s="4" t="n">
        <f aca="false">Assumptions!J15</f>
        <v>4</v>
      </c>
      <c r="K9" s="4" t="n">
        <f aca="false">Assumptions!K15</f>
        <v>4</v>
      </c>
      <c r="L9" s="4" t="n">
        <f aca="false">Assumptions!L15</f>
        <v>4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-189.514594</v>
      </c>
      <c r="D10" s="0" t="n">
        <f aca="false">-D6*D9/100</f>
        <v>-266.9541781</v>
      </c>
      <c r="E10" s="0" t="n">
        <f aca="false">-E6*E9/100</f>
        <v>-329.196652257</v>
      </c>
      <c r="F10" s="0" t="n">
        <f aca="false">-F6*F9/100</f>
        <v>-332.48861877957</v>
      </c>
      <c r="G10" s="0" t="n">
        <f aca="false">-G6*G9/100</f>
        <v>-334.680021039708</v>
      </c>
      <c r="H10" s="0" t="n">
        <f aca="false">-H6*H9/100</f>
        <v>-336.703667678553</v>
      </c>
      <c r="I10" s="0" t="n">
        <f aca="false">-I6*I9/100</f>
        <v>-338.547521096793</v>
      </c>
      <c r="J10" s="0" t="n">
        <f aca="false">-J6*J9/100</f>
        <v>-340.198972419216</v>
      </c>
      <c r="K10" s="0" t="n">
        <f aca="false">-K6*K9/100</f>
        <v>-348.703946729696</v>
      </c>
      <c r="L10" s="0" t="n">
        <f aca="false">-L6*L9/100</f>
        <v>-357.421545397939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1705.631346</v>
      </c>
      <c r="D11" s="0" t="n">
        <f aca="false">D8+D10+D24</f>
        <v>1664.95105815</v>
      </c>
      <c r="E11" s="0" t="n">
        <f aca="false">E8+E10+E24</f>
        <v>1653.46500338175</v>
      </c>
      <c r="F11" s="0" t="n">
        <f aca="false">F8+F10+F24</f>
        <v>1669.99965341557</v>
      </c>
      <c r="G11" s="0" t="n">
        <f aca="false">G8+G10+G24</f>
        <v>1766.79918083753</v>
      </c>
      <c r="H11" s="0" t="n">
        <f aca="false">H8+H10+H24</f>
        <v>1867.90368021673</v>
      </c>
      <c r="I11" s="0" t="n">
        <f aca="false">I8+I10+I24</f>
        <v>1973.48433029594</v>
      </c>
      <c r="J11" s="0" t="n">
        <f aca="false">J8+J10+J24</f>
        <v>2041.1938345153</v>
      </c>
      <c r="K11" s="0" t="n">
        <f aca="false">K8+K10+K24</f>
        <v>2092.22368037818</v>
      </c>
      <c r="L11" s="0" t="n">
        <f aca="false">L8+L10+L24</f>
        <v>2144.52927238763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-686.17353</v>
      </c>
      <c r="D12" s="4" t="n">
        <f aca="false">-D6*Assumptions!D17/100</f>
        <v>-688.4607751</v>
      </c>
      <c r="E12" s="4" t="n">
        <f aca="false">-E6*Assumptions!E17/100</f>
        <v>-718.247241288</v>
      </c>
      <c r="F12" s="4" t="n">
        <f aca="false">-F6*Assumptions!F17/100</f>
        <v>-702.760035147727</v>
      </c>
      <c r="G12" s="4" t="n">
        <f aca="false">-G6*Assumptions!G17/100</f>
        <v>-700.493067292412</v>
      </c>
      <c r="H12" s="4" t="n">
        <f aca="false">-H6*Assumptions!H17/100</f>
        <v>-705.474351326492</v>
      </c>
      <c r="I12" s="4" t="n">
        <f aca="false">-I6*Assumptions!I17/100</f>
        <v>-701.866812029936</v>
      </c>
      <c r="J12" s="4" t="n">
        <f aca="false">-J6*Assumptions!J17/100</f>
        <v>-680.397944838432</v>
      </c>
      <c r="K12" s="4" t="n">
        <f aca="false">-K6*Assumptions!K17/100</f>
        <v>-653.819900118181</v>
      </c>
      <c r="L12" s="4" t="n">
        <f aca="false">-L6*Assumptions!L17/100</f>
        <v>-670.165397621135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1019.457816</v>
      </c>
      <c r="D13" s="0" t="n">
        <f aca="false">D11+D12</f>
        <v>976.49028305</v>
      </c>
      <c r="E13" s="0" t="n">
        <f aca="false">E11+E12</f>
        <v>935.21776209375</v>
      </c>
      <c r="F13" s="0" t="n">
        <f aca="false">F11+F12</f>
        <v>967.23961826784</v>
      </c>
      <c r="G13" s="0" t="n">
        <f aca="false">G11+G12</f>
        <v>1066.30611354512</v>
      </c>
      <c r="H13" s="0" t="n">
        <f aca="false">H11+H12</f>
        <v>1162.42932889024</v>
      </c>
      <c r="I13" s="0" t="n">
        <f aca="false">I11+I12</f>
        <v>1271.617518266</v>
      </c>
      <c r="J13" s="0" t="n">
        <f aca="false">J11+J12</f>
        <v>1360.79588967686</v>
      </c>
      <c r="K13" s="0" t="n">
        <f aca="false">K11+K12</f>
        <v>1438.40378026</v>
      </c>
      <c r="L13" s="0" t="n">
        <f aca="false">L11+L12</f>
        <v>1474.3638747665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16</v>
      </c>
      <c r="D14" s="4" t="n">
        <f aca="false">Assumptions!D19</f>
        <v>16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856.34456544</v>
      </c>
      <c r="D15" s="0" t="n">
        <f aca="false">D13-MAX(0,D13)*D14/100</f>
        <v>820.251837762</v>
      </c>
      <c r="E15" s="0" t="n">
        <f aca="false">E13-MAX(0,E13)*E14/100</f>
        <v>776.230742537812</v>
      </c>
      <c r="F15" s="0" t="n">
        <f aca="false">F13-MAX(0,F13)*F14/100</f>
        <v>802.808883162307</v>
      </c>
      <c r="G15" s="0" t="n">
        <f aca="false">G13-MAX(0,G13)*G14/100</f>
        <v>874.371013106995</v>
      </c>
      <c r="H15" s="0" t="n">
        <f aca="false">H13-MAX(0,H13)*H14/100</f>
        <v>953.192049689998</v>
      </c>
      <c r="I15" s="0" t="n">
        <f aca="false">I13-MAX(0,I13)*I14/100</f>
        <v>1042.72636497812</v>
      </c>
      <c r="J15" s="0" t="n">
        <f aca="false">J13-MAX(0,J13)*J14/100</f>
        <v>1115.85262953503</v>
      </c>
      <c r="K15" s="0" t="n">
        <f aca="false">K13-MAX(0,K13)*K14/100</f>
        <v>1179.4910998132</v>
      </c>
      <c r="L15" s="0" t="n">
        <f aca="false">L13-MAX(0,L13)*L14/100</f>
        <v>1208.97837730853</v>
      </c>
    </row>
    <row r="16" customFormat="false" ht="15" hidden="false" customHeight="false" outlineLevel="0" collapsed="false">
      <c r="A16" s="0" t="s">
        <v>127</v>
      </c>
      <c r="C16" s="0" t="n">
        <f aca="false">-C12</f>
        <v>686.17353</v>
      </c>
      <c r="D16" s="0" t="n">
        <f aca="false">-D12</f>
        <v>688.4607751</v>
      </c>
      <c r="E16" s="0" t="n">
        <f aca="false">-E12</f>
        <v>718.247241288</v>
      </c>
      <c r="F16" s="0" t="n">
        <f aca="false">-F12</f>
        <v>702.760035147727</v>
      </c>
      <c r="G16" s="0" t="n">
        <f aca="false">-G12</f>
        <v>700.493067292412</v>
      </c>
      <c r="H16" s="0" t="n">
        <f aca="false">-H12</f>
        <v>705.474351326492</v>
      </c>
      <c r="I16" s="0" t="n">
        <f aca="false">-I12</f>
        <v>701.866812029936</v>
      </c>
      <c r="J16" s="0" t="n">
        <f aca="false">-J12</f>
        <v>680.397944838432</v>
      </c>
      <c r="K16" s="0" t="n">
        <f aca="false">-K12</f>
        <v>653.819900118181</v>
      </c>
      <c r="L16" s="0" t="n">
        <f aca="false">-L12</f>
        <v>670.165397621135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-228.72451</v>
      </c>
      <c r="D17" s="4" t="n">
        <f aca="false">-D6*Assumptions!D18/100</f>
        <v>-386.38104725</v>
      </c>
      <c r="E17" s="4" t="n">
        <f aca="false">-E6*Assumptions!E18/100</f>
        <v>-486.31323628875</v>
      </c>
      <c r="F17" s="4" t="n">
        <f aca="false">-F6*Assumptions!F18/100</f>
        <v>-528.959166240225</v>
      </c>
      <c r="G17" s="4" t="n">
        <f aca="false">-G6*Assumptions!G18/100</f>
        <v>-583.744222743677</v>
      </c>
      <c r="H17" s="4" t="n">
        <f aca="false">-H6*Assumptions!H18/100</f>
        <v>-601.256549425987</v>
      </c>
      <c r="I17" s="4" t="n">
        <f aca="false">-I6*Assumptions!I18/100</f>
        <v>-619.294245908767</v>
      </c>
      <c r="J17" s="4" t="n">
        <f aca="false">-J6*Assumptions!J18/100</f>
        <v>-637.87307328603</v>
      </c>
      <c r="K17" s="4" t="n">
        <f aca="false">-K6*Assumptions!K18/100</f>
        <v>-653.819900118181</v>
      </c>
      <c r="L17" s="4" t="n">
        <f aca="false">-L6*Assumptions!L18/100</f>
        <v>-670.165397621135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-80.9379</v>
      </c>
      <c r="D18" s="4" t="n">
        <f aca="false">(D6-C6)*Assumptions!$B$23/100</f>
        <v>-73.5185925</v>
      </c>
      <c r="E18" s="4" t="n">
        <f aca="false">(E6-D6)*Assumptions!$B$23/100</f>
        <v>-68.4948220124999</v>
      </c>
      <c r="F18" s="4" t="n">
        <f aca="false">(F6-E6)*Assumptions!$B$23/100</f>
        <v>-11.222613145125</v>
      </c>
      <c r="G18" s="4" t="n">
        <f aca="false">(G6-F6)*Assumptions!$B$23/100</f>
        <v>-34.0045178297288</v>
      </c>
      <c r="H18" s="4" t="n">
        <f aca="false">(H6-G6)*Assumptions!$B$23/100</f>
        <v>-35.0246533646207</v>
      </c>
      <c r="I18" s="4" t="n">
        <f aca="false">(I6-H6)*Assumptions!$B$23/100</f>
        <v>-36.0753929655593</v>
      </c>
      <c r="J18" s="4" t="n">
        <f aca="false">(J6-I6)*Assumptions!$B$23/100</f>
        <v>-37.1576547545261</v>
      </c>
      <c r="K18" s="4" t="n">
        <f aca="false">(K6-J6)*Assumptions!$B$23/100</f>
        <v>-31.8936536643015</v>
      </c>
      <c r="L18" s="4" t="n">
        <f aca="false">(L6-K6)*Assumptions!$B$23/100</f>
        <v>-32.6909950059088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1232.85568544</v>
      </c>
      <c r="D19" s="0" t="n">
        <f aca="false">D15+D16+D17+D18</f>
        <v>1048.812973112</v>
      </c>
      <c r="E19" s="0" t="n">
        <f aca="false">E15+E16+E17+E18</f>
        <v>939.669925524563</v>
      </c>
      <c r="F19" s="0" t="n">
        <f aca="false">F15+F16+F17+F18</f>
        <v>965.387138924685</v>
      </c>
      <c r="G19" s="0" t="n">
        <f aca="false">G15+G16+G17+G18</f>
        <v>957.115339826002</v>
      </c>
      <c r="H19" s="0" t="n">
        <f aca="false">H15+H16+H17+H18</f>
        <v>1022.38519822588</v>
      </c>
      <c r="I19" s="0" t="n">
        <f aca="false">I15+I16+I17+I18</f>
        <v>1089.22353813373</v>
      </c>
      <c r="J19" s="0" t="n">
        <f aca="false">J15+J16+J17+J18</f>
        <v>1121.2198463329</v>
      </c>
      <c r="K19" s="0" t="n">
        <f aca="false">K15+K16+K17+K18</f>
        <v>1147.5974461489</v>
      </c>
      <c r="L19" s="0" t="n">
        <f aca="false">L15+L16+L17+L18</f>
        <v>1176.28738230262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1120.77789585455</v>
      </c>
      <c r="D21" s="0" t="n">
        <f aca="false">D19*D20</f>
        <v>866.787581084297</v>
      </c>
      <c r="E21" s="0" t="n">
        <f aca="false">E19*E20</f>
        <v>705.987923008687</v>
      </c>
      <c r="F21" s="0" t="n">
        <f aca="false">F19*F20</f>
        <v>659.372405521948</v>
      </c>
      <c r="G21" s="0" t="n">
        <f aca="false">G19*G20</f>
        <v>594.293323124974</v>
      </c>
      <c r="H21" s="0" t="n">
        <f aca="false">H19*H20</f>
        <v>577.109790871374</v>
      </c>
      <c r="I21" s="0" t="n">
        <f aca="false">I19*I20</f>
        <v>558.943901161298</v>
      </c>
      <c r="J21" s="0" t="n">
        <f aca="false">J19*J20</f>
        <v>523.057333151923</v>
      </c>
      <c r="K21" s="0" t="n">
        <f aca="false">K19*K20</f>
        <v>486.693343762093</v>
      </c>
      <c r="L21" s="0" t="n">
        <f aca="false">L19*L20</f>
        <v>453.509706687404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6546.53320422854</v>
      </c>
    </row>
    <row r="31" customFormat="false" ht="15" hidden="false" customHeight="false" outlineLevel="0" collapsed="false">
      <c r="A31" s="0" t="s">
        <v>136</v>
      </c>
      <c r="B31" s="0" t="n">
        <f aca="false">L19</f>
        <v>1176.28738230262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16075.9275581358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14115.4485876314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14115.4485876314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5442.11648024885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11988.6496844774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11018.4496844774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24.550912844201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-0.69342016927821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1883.3239357669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1883.28687045134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32.943539417771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9645.55653488147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15.0619325749874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9.7</v>
      </c>
      <c r="D5" s="4" t="n">
        <f aca="false">Assumptions!D27</f>
        <v>18.5</v>
      </c>
      <c r="E5" s="4" t="n">
        <f aca="false">Assumptions!E27</f>
        <v>15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5995.4</v>
      </c>
      <c r="C6" s="0" t="n">
        <f aca="false">B6*(1+C5/100)</f>
        <v>6576.9538</v>
      </c>
      <c r="D6" s="0" t="n">
        <f aca="false">C6*(1+D5/100)</f>
        <v>7793.690253</v>
      </c>
      <c r="E6" s="0" t="n">
        <f aca="false">D6*(1+E5/100)</f>
        <v>8962.74379095</v>
      </c>
      <c r="F6" s="0" t="n">
        <f aca="false">E6*(1+F5/100)</f>
        <v>9545.32213736175</v>
      </c>
      <c r="G6" s="0" t="n">
        <f aca="false">F6*(1+G5/100)</f>
        <v>10118.0414656035</v>
      </c>
      <c r="H6" s="0" t="n">
        <f aca="false">G6*(1+H5/100)</f>
        <v>10623.9435388836</v>
      </c>
      <c r="I6" s="0" t="n">
        <f aca="false">H6*(1+I5/100)</f>
        <v>11102.0209981334</v>
      </c>
      <c r="J6" s="0" t="n">
        <f aca="false">I6*(1+J5/100)</f>
        <v>11546.1018380587</v>
      </c>
      <c r="K6" s="0" t="n">
        <f aca="false">J6*(1+K5/100)</f>
        <v>11950.2154023908</v>
      </c>
      <c r="L6" s="0" t="n">
        <f aca="false">K6*(1+L5/100)</f>
        <v>12308.7218644625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30</v>
      </c>
      <c r="D7" s="4" t="n">
        <f aca="false">Assumptions!D28</f>
        <v>31</v>
      </c>
      <c r="E7" s="4" t="n">
        <f aca="false">Assumptions!E28</f>
        <v>32</v>
      </c>
      <c r="F7" s="4" t="n">
        <f aca="false">Assumptions!F28</f>
        <v>33</v>
      </c>
      <c r="G7" s="4" t="n">
        <f aca="false">Assumptions!G28</f>
        <v>33</v>
      </c>
      <c r="H7" s="4" t="n">
        <f aca="false">Assumptions!H28</f>
        <v>33</v>
      </c>
      <c r="I7" s="4" t="n">
        <f aca="false">Assumptions!I28</f>
        <v>33</v>
      </c>
      <c r="J7" s="4" t="n">
        <f aca="false">Assumptions!J28</f>
        <v>33</v>
      </c>
      <c r="K7" s="4" t="n">
        <f aca="false">Assumptions!K28</f>
        <v>33</v>
      </c>
      <c r="L7" s="4" t="n">
        <f aca="false">Assumptions!L28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1973.08614</v>
      </c>
      <c r="D8" s="0" t="n">
        <f aca="false">D6*D7/100</f>
        <v>2416.04397843</v>
      </c>
      <c r="E8" s="0" t="n">
        <f aca="false">E6*E7/100</f>
        <v>2868.078013104</v>
      </c>
      <c r="F8" s="0" t="n">
        <f aca="false">F6*F7/100</f>
        <v>3149.95630532938</v>
      </c>
      <c r="G8" s="0" t="n">
        <f aca="false">G6*G7/100</f>
        <v>3338.95368364914</v>
      </c>
      <c r="H8" s="0" t="n">
        <f aca="false">H6*H7/100</f>
        <v>3505.9013678316</v>
      </c>
      <c r="I8" s="0" t="n">
        <f aca="false">I6*I7/100</f>
        <v>3663.66692938402</v>
      </c>
      <c r="J8" s="0" t="n">
        <f aca="false">J6*J7/100</f>
        <v>3810.21360655938</v>
      </c>
      <c r="K8" s="0" t="n">
        <f aca="false">K6*K7/100</f>
        <v>3943.57108278896</v>
      </c>
      <c r="L8" s="0" t="n">
        <f aca="false">L6*L7/100</f>
        <v>4061.87821527263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2.9</v>
      </c>
      <c r="D9" s="4" t="n">
        <f aca="false">Assumptions!D29</f>
        <v>3.7</v>
      </c>
      <c r="E9" s="4" t="n">
        <f aca="false">Assumptions!E29</f>
        <v>4.3</v>
      </c>
      <c r="F9" s="4" t="n">
        <f aca="false">Assumptions!F29</f>
        <v>4.2</v>
      </c>
      <c r="G9" s="4" t="n">
        <f aca="false">Assumptions!G29</f>
        <v>4.1</v>
      </c>
      <c r="H9" s="4" t="n">
        <f aca="false">Assumptions!H29</f>
        <v>4</v>
      </c>
      <c r="I9" s="4" t="n">
        <f aca="false">Assumptions!I29</f>
        <v>3.9</v>
      </c>
      <c r="J9" s="4" t="n">
        <f aca="false">Assumptions!J29</f>
        <v>3.8</v>
      </c>
      <c r="K9" s="4" t="n">
        <f aca="false">Assumptions!K29</f>
        <v>3.7</v>
      </c>
      <c r="L9" s="4" t="n">
        <f aca="false">Assumptions!L29</f>
        <v>3.6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-190.7316602</v>
      </c>
      <c r="D10" s="0" t="n">
        <f aca="false">-D6*D9/100</f>
        <v>-288.366539361</v>
      </c>
      <c r="E10" s="0" t="n">
        <f aca="false">-E6*E9/100</f>
        <v>-385.39798301085</v>
      </c>
      <c r="F10" s="0" t="n">
        <f aca="false">-F6*F9/100</f>
        <v>-400.903529769194</v>
      </c>
      <c r="G10" s="0" t="n">
        <f aca="false">-G6*G9/100</f>
        <v>-414.839700089742</v>
      </c>
      <c r="H10" s="0" t="n">
        <f aca="false">-H6*H9/100</f>
        <v>-424.957741555345</v>
      </c>
      <c r="I10" s="0" t="n">
        <f aca="false">-I6*I9/100</f>
        <v>-432.978818927202</v>
      </c>
      <c r="J10" s="0" t="n">
        <f aca="false">-J6*J9/100</f>
        <v>-438.751869846232</v>
      </c>
      <c r="K10" s="0" t="n">
        <f aca="false">-K6*K9/100</f>
        <v>-442.157969888459</v>
      </c>
      <c r="L10" s="0" t="n">
        <f aca="false">-L6*L9/100</f>
        <v>-443.11398712065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1782.3544798</v>
      </c>
      <c r="D11" s="0" t="n">
        <f aca="false">D8+D10+D24</f>
        <v>2127.677439069</v>
      </c>
      <c r="E11" s="0" t="n">
        <f aca="false">E8+E10+E24</f>
        <v>2482.68003009315</v>
      </c>
      <c r="F11" s="0" t="n">
        <f aca="false">F8+F10+F24</f>
        <v>2749.05277556018</v>
      </c>
      <c r="G11" s="0" t="n">
        <f aca="false">G8+G10+G24</f>
        <v>2924.1139835594</v>
      </c>
      <c r="H11" s="0" t="n">
        <f aca="false">H8+H10+H24</f>
        <v>3080.94362627625</v>
      </c>
      <c r="I11" s="0" t="n">
        <f aca="false">I8+I10+I24</f>
        <v>3230.68811045682</v>
      </c>
      <c r="J11" s="0" t="n">
        <f aca="false">J8+J10+J24</f>
        <v>3371.46173671315</v>
      </c>
      <c r="K11" s="0" t="n">
        <f aca="false">K8+K10+K24</f>
        <v>3501.4131129005</v>
      </c>
      <c r="L11" s="0" t="n">
        <f aca="false">L8+L10+L24</f>
        <v>3618.76422815198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-690.580149</v>
      </c>
      <c r="D12" s="4" t="n">
        <f aca="false">-D6*Assumptions!D31/100</f>
        <v>-763.781644794</v>
      </c>
      <c r="E12" s="4" t="n">
        <f aca="false">-E6*Assumptions!E31/100</f>
        <v>-860.4234039312</v>
      </c>
      <c r="F12" s="4" t="n">
        <f aca="false">-F6*Assumptions!F31/100</f>
        <v>-887.714958774643</v>
      </c>
      <c r="G12" s="4" t="n">
        <f aca="false">-G6*Assumptions!G31/100</f>
        <v>-910.623731904311</v>
      </c>
      <c r="H12" s="4" t="n">
        <f aca="false">-H6*Assumptions!H31/100</f>
        <v>-934.907031421759</v>
      </c>
      <c r="I12" s="4" t="n">
        <f aca="false">-I6*Assumptions!I31/100</f>
        <v>-943.671784841338</v>
      </c>
      <c r="J12" s="4" t="n">
        <f aca="false">-J6*Assumptions!J31/100</f>
        <v>-958.326452558874</v>
      </c>
      <c r="K12" s="4" t="n">
        <f aca="false">-K6*Assumptions!K31/100</f>
        <v>-956.017232191262</v>
      </c>
      <c r="L12" s="4" t="n">
        <f aca="false">-L6*Assumptions!L31/100</f>
        <v>-984.697749157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1091.7743308</v>
      </c>
      <c r="D13" s="0" t="n">
        <f aca="false">D11+D12</f>
        <v>1363.895794275</v>
      </c>
      <c r="E13" s="0" t="n">
        <f aca="false">E11+E12</f>
        <v>1622.25662616195</v>
      </c>
      <c r="F13" s="0" t="n">
        <f aca="false">F11+F12</f>
        <v>1861.33781678554</v>
      </c>
      <c r="G13" s="0" t="n">
        <f aca="false">G11+G12</f>
        <v>2013.49025165509</v>
      </c>
      <c r="H13" s="0" t="n">
        <f aca="false">H11+H12</f>
        <v>2146.03659485449</v>
      </c>
      <c r="I13" s="0" t="n">
        <f aca="false">I11+I12</f>
        <v>2287.01632561548</v>
      </c>
      <c r="J13" s="0" t="n">
        <f aca="false">J11+J12</f>
        <v>2413.13528415427</v>
      </c>
      <c r="K13" s="0" t="n">
        <f aca="false">K11+K12</f>
        <v>2545.39588070924</v>
      </c>
      <c r="L13" s="0" t="n">
        <f aca="false">L11+L12</f>
        <v>2634.06647899498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16</v>
      </c>
      <c r="D14" s="4" t="n">
        <f aca="false">Assumptions!D33</f>
        <v>16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917.090437872</v>
      </c>
      <c r="D15" s="0" t="n">
        <f aca="false">D13-MAX(0,D13)*D14/100</f>
        <v>1145.672467191</v>
      </c>
      <c r="E15" s="0" t="n">
        <f aca="false">E13-MAX(0,E13)*E14/100</f>
        <v>1346.47299971442</v>
      </c>
      <c r="F15" s="0" t="n">
        <f aca="false">F13-MAX(0,F13)*F14/100</f>
        <v>1544.910387932</v>
      </c>
      <c r="G15" s="0" t="n">
        <f aca="false">G13-MAX(0,G13)*G14/100</f>
        <v>1651.06200635717</v>
      </c>
      <c r="H15" s="0" t="n">
        <f aca="false">H13-MAX(0,H13)*H14/100</f>
        <v>1759.75000778068</v>
      </c>
      <c r="I15" s="0" t="n">
        <f aca="false">I13-MAX(0,I13)*I14/100</f>
        <v>1875.35338700469</v>
      </c>
      <c r="J15" s="0" t="n">
        <f aca="false">J13-MAX(0,J13)*J14/100</f>
        <v>1978.7709330065</v>
      </c>
      <c r="K15" s="0" t="n">
        <f aca="false">K13-MAX(0,K13)*K14/100</f>
        <v>2087.22462218157</v>
      </c>
      <c r="L15" s="0" t="n">
        <f aca="false">L13-MAX(0,L13)*L14/100</f>
        <v>2159.93451277588</v>
      </c>
    </row>
    <row r="16" customFormat="false" ht="15" hidden="false" customHeight="false" outlineLevel="0" collapsed="false">
      <c r="A16" s="0" t="s">
        <v>127</v>
      </c>
      <c r="C16" s="0" t="n">
        <f aca="false">-C12</f>
        <v>690.580149</v>
      </c>
      <c r="D16" s="0" t="n">
        <f aca="false">-D12</f>
        <v>763.781644794</v>
      </c>
      <c r="E16" s="0" t="n">
        <f aca="false">-E12</f>
        <v>860.4234039312</v>
      </c>
      <c r="F16" s="0" t="n">
        <f aca="false">-F12</f>
        <v>887.714958774643</v>
      </c>
      <c r="G16" s="0" t="n">
        <f aca="false">-G12</f>
        <v>910.623731904311</v>
      </c>
      <c r="H16" s="0" t="n">
        <f aca="false">-H12</f>
        <v>934.907031421759</v>
      </c>
      <c r="I16" s="0" t="n">
        <f aca="false">-I12</f>
        <v>943.671784841338</v>
      </c>
      <c r="J16" s="0" t="n">
        <f aca="false">-J12</f>
        <v>958.326452558874</v>
      </c>
      <c r="K16" s="0" t="n">
        <f aca="false">-K12</f>
        <v>956.017232191262</v>
      </c>
      <c r="L16" s="0" t="n">
        <f aca="false">-L12</f>
        <v>984.697749157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-230.193383</v>
      </c>
      <c r="D17" s="4" t="n">
        <f aca="false">-D6*Assumptions!D32/100</f>
        <v>-467.62141518</v>
      </c>
      <c r="E17" s="4" t="n">
        <f aca="false">-E6*Assumptions!E32/100</f>
        <v>-672.20578432125</v>
      </c>
      <c r="F17" s="4" t="n">
        <f aca="false">-F6*Assumptions!F32/100</f>
        <v>-763.62577098894</v>
      </c>
      <c r="G17" s="4" t="n">
        <f aca="false">-G6*Assumptions!G32/100</f>
        <v>-809.443317248276</v>
      </c>
      <c r="H17" s="4" t="n">
        <f aca="false">-H6*Assumptions!H32/100</f>
        <v>-849.91548311069</v>
      </c>
      <c r="I17" s="4" t="n">
        <f aca="false">-I6*Assumptions!I32/100</f>
        <v>-888.161679850671</v>
      </c>
      <c r="J17" s="4" t="n">
        <f aca="false">-J6*Assumptions!J32/100</f>
        <v>-923.688147044698</v>
      </c>
      <c r="K17" s="4" t="n">
        <f aca="false">-K6*Assumptions!K32/100</f>
        <v>-956.017232191262</v>
      </c>
      <c r="L17" s="4" t="n">
        <f aca="false">-L6*Assumptions!L32/100</f>
        <v>-984.697749157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-87.23307</v>
      </c>
      <c r="D18" s="4" t="n">
        <f aca="false">(D6-C6)*Assumptions!$B$37/100</f>
        <v>-182.51046795</v>
      </c>
      <c r="E18" s="4" t="n">
        <f aca="false">(E6-D6)*Assumptions!$B$37/100</f>
        <v>-175.3580306925</v>
      </c>
      <c r="F18" s="4" t="n">
        <f aca="false">(F6-E6)*Assumptions!$B$37/100</f>
        <v>-87.3867519617625</v>
      </c>
      <c r="G18" s="4" t="n">
        <f aca="false">(G6-F6)*Assumptions!$B$37/100</f>
        <v>-85.9078992362557</v>
      </c>
      <c r="H18" s="4" t="n">
        <f aca="false">(H6-G6)*Assumptions!$B$37/100</f>
        <v>-75.8853109920259</v>
      </c>
      <c r="I18" s="4" t="n">
        <f aca="false">(I6-H6)*Assumptions!$B$37/100</f>
        <v>-71.7116188874643</v>
      </c>
      <c r="J18" s="4" t="n">
        <f aca="false">(J6-I6)*Assumptions!$B$37/100</f>
        <v>-66.6121259888005</v>
      </c>
      <c r="K18" s="4" t="n">
        <f aca="false">(K6-J6)*Assumptions!$B$37/100</f>
        <v>-60.6170346498081</v>
      </c>
      <c r="L18" s="4" t="n">
        <f aca="false">(L6-K6)*Assumptions!$B$37/100</f>
        <v>-53.7759693107586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1290.244133872</v>
      </c>
      <c r="D19" s="0" t="n">
        <f aca="false">D15+D16+D17+D18</f>
        <v>1259.322228855</v>
      </c>
      <c r="E19" s="0" t="n">
        <f aca="false">E15+E16+E17+E18</f>
        <v>1359.33258863187</v>
      </c>
      <c r="F19" s="0" t="n">
        <f aca="false">F15+F16+F17+F18</f>
        <v>1581.61282375594</v>
      </c>
      <c r="G19" s="0" t="n">
        <f aca="false">G15+G16+G17+G18</f>
        <v>1666.33452177695</v>
      </c>
      <c r="H19" s="0" t="n">
        <f aca="false">H15+H16+H17+H18</f>
        <v>1768.85624509973</v>
      </c>
      <c r="I19" s="0" t="n">
        <f aca="false">I15+I16+I17+I18</f>
        <v>1859.1518731079</v>
      </c>
      <c r="J19" s="0" t="n">
        <f aca="false">J15+J16+J17+J18</f>
        <v>1946.79711253188</v>
      </c>
      <c r="K19" s="0" t="n">
        <f aca="false">K15+K16+K17+K18</f>
        <v>2026.60758753177</v>
      </c>
      <c r="L19" s="0" t="n">
        <f aca="false">L15+L16+L17+L18</f>
        <v>2106.15854346512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1172.94921261091</v>
      </c>
      <c r="D21" s="0" t="n">
        <f aca="false">D19*D20</f>
        <v>1040.76217260744</v>
      </c>
      <c r="E21" s="0" t="n">
        <f aca="false">E19*E20</f>
        <v>1021.28669318698</v>
      </c>
      <c r="F21" s="0" t="n">
        <f aca="false">F19*F20</f>
        <v>1080.26283980325</v>
      </c>
      <c r="G21" s="0" t="n">
        <f aca="false">G19*G20</f>
        <v>1034.66263592089</v>
      </c>
      <c r="H21" s="0" t="n">
        <f aca="false">H19*H20</f>
        <v>998.47323637161</v>
      </c>
      <c r="I21" s="0" t="n">
        <f aca="false">I19*I20</f>
        <v>954.038876709141</v>
      </c>
      <c r="J21" s="0" t="n">
        <f aca="false">J19*J20</f>
        <v>908.19522076712</v>
      </c>
      <c r="K21" s="0" t="n">
        <f aca="false">K19*K20</f>
        <v>859.479451247828</v>
      </c>
      <c r="L21" s="0" t="n">
        <f aca="false">L19*L20</f>
        <v>812.015292907654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9882.12563213282</v>
      </c>
    </row>
    <row r="31" customFormat="false" ht="15" hidden="false" customHeight="false" outlineLevel="0" collapsed="false">
      <c r="A31" s="0" t="s">
        <v>136</v>
      </c>
      <c r="B31" s="0" t="n">
        <f aca="false">L19</f>
        <v>2106.15854346512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30990.6185681296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31592.3781519768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30990.6185681296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11948.2250242126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21830.3506563454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20860.1506563454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46.4798365783098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-0.419582460310817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2257.77531578944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2513.78304160475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57.1116511001328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18077.860831409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25.3918188995793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10.5</v>
      </c>
      <c r="D5" s="4" t="n">
        <f aca="false">Assumptions!D41</f>
        <v>22</v>
      </c>
      <c r="E5" s="4" t="n">
        <f aca="false">Assumptions!E41</f>
        <v>18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5995.4</v>
      </c>
      <c r="C6" s="0" t="n">
        <f aca="false">B6*(1+C5/100)</f>
        <v>6624.917</v>
      </c>
      <c r="D6" s="0" t="n">
        <f aca="false">C6*(1+D5/100)</f>
        <v>8082.39874</v>
      </c>
      <c r="E6" s="0" t="n">
        <f aca="false">D6*(1+E5/100)</f>
        <v>9537.2305132</v>
      </c>
      <c r="F6" s="0" t="n">
        <f aca="false">E6*(1+F5/100)</f>
        <v>10395.581259388</v>
      </c>
      <c r="G6" s="0" t="n">
        <f aca="false">F6*(1+G5/100)</f>
        <v>11227.227760139</v>
      </c>
      <c r="H6" s="0" t="n">
        <f aca="false">G6*(1+H5/100)</f>
        <v>12013.1337033488</v>
      </c>
      <c r="I6" s="0" t="n">
        <f aca="false">H6*(1+I5/100)</f>
        <v>12733.9217255497</v>
      </c>
      <c r="J6" s="0" t="n">
        <f aca="false">I6*(1+J5/100)</f>
        <v>13370.6178118272</v>
      </c>
      <c r="K6" s="0" t="n">
        <f aca="false">J6*(1+K5/100)</f>
        <v>13905.4425243003</v>
      </c>
      <c r="L6" s="0" t="n">
        <f aca="false">K6*(1+L5/100)</f>
        <v>14392.1330126508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30.5</v>
      </c>
      <c r="D7" s="4" t="n">
        <f aca="false">Assumptions!D42</f>
        <v>32</v>
      </c>
      <c r="E7" s="4" t="n">
        <f aca="false">Assumptions!E42</f>
        <v>33.5</v>
      </c>
      <c r="F7" s="4" t="n">
        <f aca="false">Assumptions!F42</f>
        <v>35</v>
      </c>
      <c r="G7" s="4" t="n">
        <f aca="false">Assumptions!G42</f>
        <v>36</v>
      </c>
      <c r="H7" s="4" t="n">
        <f aca="false">Assumptions!H42</f>
        <v>36</v>
      </c>
      <c r="I7" s="4" t="n">
        <f aca="false">Assumptions!I42</f>
        <v>36</v>
      </c>
      <c r="J7" s="4" t="n">
        <f aca="false">Assumptions!J42</f>
        <v>36</v>
      </c>
      <c r="K7" s="4" t="n">
        <f aca="false">Assumptions!K42</f>
        <v>36</v>
      </c>
      <c r="L7" s="4" t="n">
        <f aca="false">Assumptions!L42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2020.599685</v>
      </c>
      <c r="D8" s="0" t="n">
        <f aca="false">D6*D7/100</f>
        <v>2586.3675968</v>
      </c>
      <c r="E8" s="0" t="n">
        <f aca="false">E6*E7/100</f>
        <v>3194.972221922</v>
      </c>
      <c r="F8" s="0" t="n">
        <f aca="false">F6*F7/100</f>
        <v>3638.4534407858</v>
      </c>
      <c r="G8" s="0" t="n">
        <f aca="false">G6*G7/100</f>
        <v>4041.80199365005</v>
      </c>
      <c r="H8" s="0" t="n">
        <f aca="false">H6*H7/100</f>
        <v>4324.72813320556</v>
      </c>
      <c r="I8" s="0" t="n">
        <f aca="false">I6*I7/100</f>
        <v>4584.21182119789</v>
      </c>
      <c r="J8" s="0" t="n">
        <f aca="false">J6*J7/100</f>
        <v>4813.42241225779</v>
      </c>
      <c r="K8" s="0" t="n">
        <f aca="false">K6*K7/100</f>
        <v>5005.9593087481</v>
      </c>
      <c r="L8" s="0" t="n">
        <f aca="false">L6*L7/100</f>
        <v>5181.16788455428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2.9</v>
      </c>
      <c r="D9" s="4" t="n">
        <f aca="false">Assumptions!D43</f>
        <v>3.7</v>
      </c>
      <c r="E9" s="4" t="n">
        <f aca="false">Assumptions!E43</f>
        <v>4.3</v>
      </c>
      <c r="F9" s="4" t="n">
        <f aca="false">Assumptions!F43</f>
        <v>4.2</v>
      </c>
      <c r="G9" s="4" t="n">
        <f aca="false">Assumptions!G43</f>
        <v>4.1</v>
      </c>
      <c r="H9" s="4" t="n">
        <f aca="false">Assumptions!H43</f>
        <v>4</v>
      </c>
      <c r="I9" s="4" t="n">
        <f aca="false">Assumptions!I43</f>
        <v>3.9</v>
      </c>
      <c r="J9" s="4" t="n">
        <f aca="false">Assumptions!J43</f>
        <v>3.8</v>
      </c>
      <c r="K9" s="4" t="n">
        <f aca="false">Assumptions!K43</f>
        <v>3.7</v>
      </c>
      <c r="L9" s="4" t="n">
        <f aca="false">Assumptions!L43</f>
        <v>3.6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-192.122593</v>
      </c>
      <c r="D10" s="0" t="n">
        <f aca="false">-D6*D9/100</f>
        <v>-299.04875338</v>
      </c>
      <c r="E10" s="0" t="n">
        <f aca="false">-E6*E9/100</f>
        <v>-410.1009120676</v>
      </c>
      <c r="F10" s="0" t="n">
        <f aca="false">-F6*F9/100</f>
        <v>-436.614412894296</v>
      </c>
      <c r="G10" s="0" t="n">
        <f aca="false">-G6*G9/100</f>
        <v>-460.316338165701</v>
      </c>
      <c r="H10" s="0" t="n">
        <f aca="false">-H6*H9/100</f>
        <v>-480.525348133951</v>
      </c>
      <c r="I10" s="0" t="n">
        <f aca="false">-I6*I9/100</f>
        <v>-496.622947296438</v>
      </c>
      <c r="J10" s="0" t="n">
        <f aca="false">-J6*J9/100</f>
        <v>-508.083476849433</v>
      </c>
      <c r="K10" s="0" t="n">
        <f aca="false">-K6*K9/100</f>
        <v>-514.50137339911</v>
      </c>
      <c r="L10" s="0" t="n">
        <f aca="false">-L6*L9/100</f>
        <v>-518.116788455428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1828.477092</v>
      </c>
      <c r="D11" s="0" t="n">
        <f aca="false">D8+D10+D24</f>
        <v>2287.31884342</v>
      </c>
      <c r="E11" s="0" t="n">
        <f aca="false">E8+E10+E24</f>
        <v>2784.8713098544</v>
      </c>
      <c r="F11" s="0" t="n">
        <f aca="false">F8+F10+F24</f>
        <v>3201.8390278915</v>
      </c>
      <c r="G11" s="0" t="n">
        <f aca="false">G8+G10+G24</f>
        <v>3581.48565548435</v>
      </c>
      <c r="H11" s="0" t="n">
        <f aca="false">H8+H10+H24</f>
        <v>3844.20278507161</v>
      </c>
      <c r="I11" s="0" t="n">
        <f aca="false">I8+I10+I24</f>
        <v>4087.58887390145</v>
      </c>
      <c r="J11" s="0" t="n">
        <f aca="false">J8+J10+J24</f>
        <v>4305.33893540835</v>
      </c>
      <c r="K11" s="0" t="n">
        <f aca="false">K8+K10+K24</f>
        <v>4491.45793534899</v>
      </c>
      <c r="L11" s="0" t="n">
        <f aca="false">L8+L10+L24</f>
        <v>4663.05109609885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-695.616285</v>
      </c>
      <c r="D12" s="4" t="n">
        <f aca="false">-D6*Assumptions!D45/100</f>
        <v>-792.07507652</v>
      </c>
      <c r="E12" s="4" t="n">
        <f aca="false">-E6*Assumptions!E45/100</f>
        <v>-915.5741292672</v>
      </c>
      <c r="F12" s="4" t="n">
        <f aca="false">-F6*Assumptions!F45/100</f>
        <v>-966.789057123084</v>
      </c>
      <c r="G12" s="4" t="n">
        <f aca="false">-G6*Assumptions!G45/100</f>
        <v>-1010.45049841251</v>
      </c>
      <c r="H12" s="4" t="n">
        <f aca="false">-H6*Assumptions!H45/100</f>
        <v>-1057.15576589469</v>
      </c>
      <c r="I12" s="4" t="n">
        <f aca="false">-I6*Assumptions!I45/100</f>
        <v>-1095.11726839727</v>
      </c>
      <c r="J12" s="4" t="n">
        <f aca="false">-J6*Assumptions!J45/100</f>
        <v>-1136.50251400531</v>
      </c>
      <c r="K12" s="4" t="n">
        <f aca="false">-K6*Assumptions!K45/100</f>
        <v>-1181.96261456552</v>
      </c>
      <c r="L12" s="4" t="n">
        <f aca="false">-L6*Assumptions!L45/100</f>
        <v>-1223.33130607532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1132.860807</v>
      </c>
      <c r="D13" s="0" t="n">
        <f aca="false">D11+D12</f>
        <v>1495.2437669</v>
      </c>
      <c r="E13" s="0" t="n">
        <f aca="false">E11+E12</f>
        <v>1869.2971805872</v>
      </c>
      <c r="F13" s="0" t="n">
        <f aca="false">F11+F12</f>
        <v>2235.04997076842</v>
      </c>
      <c r="G13" s="0" t="n">
        <f aca="false">G11+G12</f>
        <v>2571.03515707184</v>
      </c>
      <c r="H13" s="0" t="n">
        <f aca="false">H11+H12</f>
        <v>2787.04701917692</v>
      </c>
      <c r="I13" s="0" t="n">
        <f aca="false">I11+I12</f>
        <v>2992.47160550418</v>
      </c>
      <c r="J13" s="0" t="n">
        <f aca="false">J11+J12</f>
        <v>3168.83642140304</v>
      </c>
      <c r="K13" s="0" t="n">
        <f aca="false">K11+K12</f>
        <v>3309.49532078347</v>
      </c>
      <c r="L13" s="0" t="n">
        <f aca="false">L11+L12</f>
        <v>3439.71979002354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16</v>
      </c>
      <c r="D14" s="4" t="n">
        <f aca="false">Assumptions!D47</f>
        <v>16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951.60307788</v>
      </c>
      <c r="D15" s="0" t="n">
        <f aca="false">D13-MAX(0,D13)*D14/100</f>
        <v>1256.004764196</v>
      </c>
      <c r="E15" s="0" t="n">
        <f aca="false">E13-MAX(0,E13)*E14/100</f>
        <v>1551.51665988738</v>
      </c>
      <c r="F15" s="0" t="n">
        <f aca="false">F13-MAX(0,F13)*F14/100</f>
        <v>1855.09147573779</v>
      </c>
      <c r="G15" s="0" t="n">
        <f aca="false">G13-MAX(0,G13)*G14/100</f>
        <v>2108.24882879891</v>
      </c>
      <c r="H15" s="0" t="n">
        <f aca="false">H13-MAX(0,H13)*H14/100</f>
        <v>2285.37855572507</v>
      </c>
      <c r="I15" s="0" t="n">
        <f aca="false">I13-MAX(0,I13)*I14/100</f>
        <v>2453.82671651343</v>
      </c>
      <c r="J15" s="0" t="n">
        <f aca="false">J13-MAX(0,J13)*J14/100</f>
        <v>2598.4458655505</v>
      </c>
      <c r="K15" s="0" t="n">
        <f aca="false">K13-MAX(0,K13)*K14/100</f>
        <v>2713.78616304244</v>
      </c>
      <c r="L15" s="0" t="n">
        <f aca="false">L13-MAX(0,L13)*L14/100</f>
        <v>2820.5702278193</v>
      </c>
    </row>
    <row r="16" customFormat="false" ht="15" hidden="false" customHeight="false" outlineLevel="0" collapsed="false">
      <c r="A16" s="0" t="s">
        <v>127</v>
      </c>
      <c r="C16" s="0" t="n">
        <f aca="false">-C12</f>
        <v>695.616285</v>
      </c>
      <c r="D16" s="0" t="n">
        <f aca="false">-D12</f>
        <v>792.07507652</v>
      </c>
      <c r="E16" s="0" t="n">
        <f aca="false">-E12</f>
        <v>915.5741292672</v>
      </c>
      <c r="F16" s="0" t="n">
        <f aca="false">-F12</f>
        <v>966.789057123084</v>
      </c>
      <c r="G16" s="0" t="n">
        <f aca="false">-G12</f>
        <v>1010.45049841251</v>
      </c>
      <c r="H16" s="0" t="n">
        <f aca="false">-H12</f>
        <v>1057.15576589469</v>
      </c>
      <c r="I16" s="0" t="n">
        <f aca="false">-I12</f>
        <v>1095.11726839727</v>
      </c>
      <c r="J16" s="0" t="n">
        <f aca="false">-J12</f>
        <v>1136.50251400531</v>
      </c>
      <c r="K16" s="0" t="n">
        <f aca="false">-K12</f>
        <v>1181.96261456552</v>
      </c>
      <c r="L16" s="0" t="n">
        <f aca="false">-L12</f>
        <v>1223.33130607532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-231.872095</v>
      </c>
      <c r="D17" s="4" t="n">
        <f aca="false">-D6*Assumptions!D46/100</f>
        <v>-525.3559181</v>
      </c>
      <c r="E17" s="4" t="n">
        <f aca="false">-E6*Assumptions!E46/100</f>
        <v>-762.978441056</v>
      </c>
      <c r="F17" s="4" t="n">
        <f aca="false">-F6*Assumptions!F46/100</f>
        <v>-883.62440704798</v>
      </c>
      <c r="G17" s="4" t="n">
        <f aca="false">-G6*Assumptions!G46/100</f>
        <v>-954.314359611818</v>
      </c>
      <c r="H17" s="4" t="n">
        <f aca="false">-H6*Assumptions!H46/100</f>
        <v>-1021.11636478465</v>
      </c>
      <c r="I17" s="4" t="n">
        <f aca="false">-I6*Assumptions!I46/100</f>
        <v>-1082.38334667172</v>
      </c>
      <c r="J17" s="4" t="n">
        <f aca="false">-J6*Assumptions!J46/100</f>
        <v>-1136.50251400531</v>
      </c>
      <c r="K17" s="4" t="n">
        <f aca="false">-K6*Assumptions!K46/100</f>
        <v>-1181.96261456552</v>
      </c>
      <c r="L17" s="4" t="n">
        <f aca="false">-L6*Assumptions!L46/100</f>
        <v>-1223.33130607532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-94.42755</v>
      </c>
      <c r="D18" s="4" t="n">
        <f aca="false">(D6-C6)*Assumptions!$B$51/100</f>
        <v>-218.622261</v>
      </c>
      <c r="E18" s="4" t="n">
        <f aca="false">(E6-D6)*Assumptions!$B$51/100</f>
        <v>-218.22476598</v>
      </c>
      <c r="F18" s="4" t="n">
        <f aca="false">(F6-E6)*Assumptions!$B$51/100</f>
        <v>-128.7526119282</v>
      </c>
      <c r="G18" s="4" t="n">
        <f aca="false">(G6-F6)*Assumptions!$B$51/100</f>
        <v>-124.746975112656</v>
      </c>
      <c r="H18" s="4" t="n">
        <f aca="false">(H6-G6)*Assumptions!$B$51/100</f>
        <v>-117.88589148146</v>
      </c>
      <c r="I18" s="4" t="n">
        <f aca="false">(I6-H6)*Assumptions!$B$51/100</f>
        <v>-108.118203330139</v>
      </c>
      <c r="J18" s="4" t="n">
        <f aca="false">(J6-I6)*Assumptions!$B$51/100</f>
        <v>-95.5044129416228</v>
      </c>
      <c r="K18" s="4" t="n">
        <f aca="false">(K6-J6)*Assumptions!$B$51/100</f>
        <v>-80.2237068709632</v>
      </c>
      <c r="L18" s="4" t="n">
        <f aca="false">(L6-K6)*Assumptions!$B$51/100</f>
        <v>-73.0035732525763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1320.91971788</v>
      </c>
      <c r="D19" s="0" t="n">
        <f aca="false">D15+D16+D17+D18</f>
        <v>1304.101661616</v>
      </c>
      <c r="E19" s="0" t="n">
        <f aca="false">E15+E16+E17+E18</f>
        <v>1485.88758211858</v>
      </c>
      <c r="F19" s="0" t="n">
        <f aca="false">F15+F16+F17+F18</f>
        <v>1809.50351388469</v>
      </c>
      <c r="G19" s="0" t="n">
        <f aca="false">G15+G16+G17+G18</f>
        <v>2039.63799248695</v>
      </c>
      <c r="H19" s="0" t="n">
        <f aca="false">H15+H16+H17+H18</f>
        <v>2203.53206535366</v>
      </c>
      <c r="I19" s="0" t="n">
        <f aca="false">I15+I16+I17+I18</f>
        <v>2358.44243490884</v>
      </c>
      <c r="J19" s="0" t="n">
        <f aca="false">J15+J16+J17+J18</f>
        <v>2502.94145260887</v>
      </c>
      <c r="K19" s="0" t="n">
        <f aca="false">K15+K16+K17+K18</f>
        <v>2633.56245617148</v>
      </c>
      <c r="L19" s="0" t="n">
        <f aca="false">L15+L16+L17+L18</f>
        <v>2747.56665456672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1200.83610716364</v>
      </c>
      <c r="D21" s="0" t="n">
        <f aca="false">D19*D20</f>
        <v>1077.76996827769</v>
      </c>
      <c r="E21" s="0" t="n">
        <f aca="false">E19*E20</f>
        <v>1116.36933292154</v>
      </c>
      <c r="F21" s="0" t="n">
        <f aca="false">F19*F20</f>
        <v>1235.91524751362</v>
      </c>
      <c r="G21" s="0" t="n">
        <f aca="false">G19*G20</f>
        <v>1266.45472085671</v>
      </c>
      <c r="H21" s="0" t="n">
        <f aca="false">H19*H20</f>
        <v>1243.8364049297</v>
      </c>
      <c r="I21" s="0" t="n">
        <f aca="false">I19*I20</f>
        <v>1210.25388185326</v>
      </c>
      <c r="J21" s="0" t="n">
        <f aca="false">J19*J20</f>
        <v>1167.64065987491</v>
      </c>
      <c r="K21" s="0" t="n">
        <f aca="false">K19*K20</f>
        <v>1116.88756549751</v>
      </c>
      <c r="L21" s="0" t="n">
        <f aca="false">L19*L20</f>
        <v>1059.30588592855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11695.2697748171</v>
      </c>
    </row>
    <row r="31" customFormat="false" ht="15" hidden="false" customHeight="false" outlineLevel="0" collapsed="false">
      <c r="A31" s="0" t="s">
        <v>136</v>
      </c>
      <c r="B31" s="0" t="n">
        <f aca="false">L19</f>
        <v>2747.56665456672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40428.4807743389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46708.6331276343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40428.4807743389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15586.9294643772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27282.1992391943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26311.9992391943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58.6274492851924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-0.267888994940155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2495.02334503277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2939.27349225234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70.7359538245977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23583.2804516977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31.4279287732598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24.550912844201</v>
      </c>
      <c r="C4" s="0" t="n">
        <f aca="false">B4/Assumptions!$B$2-1</f>
        <v>-0.69342016927821</v>
      </c>
      <c r="D4" s="4" t="n">
        <f aca="false">Assumptions!$B$24</f>
        <v>0.25</v>
      </c>
      <c r="E4" s="4" t="n">
        <f aca="false">DCF_Bear!$B$43</f>
        <v>32.943539417771</v>
      </c>
      <c r="F4" s="4" t="n">
        <f aca="false">DCF_Bear!$B$47</f>
        <v>15.0619325749874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46.4798365783098</v>
      </c>
      <c r="C5" s="0" t="n">
        <f aca="false">B5/Assumptions!$B$2-1</f>
        <v>-0.419582460310817</v>
      </c>
      <c r="D5" s="4" t="n">
        <f aca="false">Assumptions!$B$38</f>
        <v>0.5</v>
      </c>
      <c r="E5" s="4" t="n">
        <f aca="false">DCF_Base!$B$43</f>
        <v>57.1116511001328</v>
      </c>
      <c r="F5" s="4" t="n">
        <f aca="false">DCF_Base!$B$47</f>
        <v>25.3918188995793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58.6274492851924</v>
      </c>
      <c r="C6" s="0" t="n">
        <f aca="false">B6/Assumptions!$B$2-1</f>
        <v>-0.267888994940155</v>
      </c>
      <c r="D6" s="4" t="n">
        <f aca="false">Assumptions!$B$52</f>
        <v>0.25</v>
      </c>
      <c r="E6" s="4" t="n">
        <f aca="false">DCF_Bull!$B$43</f>
        <v>70.7359538245977</v>
      </c>
      <c r="F6" s="4" t="n">
        <f aca="false">DCF_Bull!$B$47</f>
        <v>31.4279287732598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44.0345088215032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54.4756988606586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-0.818573708284326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345.223973927522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24.3183747868514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50.6752751136016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46.4798365783098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40.1270511480423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35.1985011380464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25.3918188995793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54.710008988577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54.710008988577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54.710008988577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54.710008988577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54.710008988577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49.8257104365625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50.6752751136016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50.6752751136016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50.6752751136016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50.6752751136016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42.9258480764381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44.5843760439782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46.4798365783098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46.9967803604002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46.9967803604002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37.5790541832356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38.7781115784388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40.1270511480423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41.6558493269264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43.403047245651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33.3181736351395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34.2088550838849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35.1985011380464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36.3045761397563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37.5489105166799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2026-10-02T06:37:54Z</dcterms:created>
  <dc:creator>openpyxl</dc:creator>
  <dc:description/>
  <dc:language>en-NZ</dc:language>
  <cp:lastModifiedBy/>
  <dcterms:modified xsi:type="dcterms:W3CDTF">2026-10-02T06:37:54Z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