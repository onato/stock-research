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<sst xmlns="http://schemas.openxmlformats.org/spreadsheetml/2006/main" count="392" uniqueCount="191">
  <si>
    <t xml:space="preserve">Ticker</t>
  </si>
  <si>
    <t xml:space="preserve">SKT.NZ</t>
  </si>
  <si>
    <t xml:space="preserve">Company</t>
  </si>
  <si>
    <t xml:space="preserve">Sky Network Television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</si>
  <si>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</si>
  <si>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</si>
  <si>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</si>
  <si>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</si>
  <si>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Yahoo Finance chart API regular close, 2026-09-25T05:00:32Z; 52-week range 3.05-3.90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</si>
  <si>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</si>
  <si>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</si>
  <si>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</si>
  <si>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</si>
  <si>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</si>
  <si>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</si>
  <si>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</si>
  <si>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</si>
  <si>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</si>
  <si>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</si>
  <si>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</si>
  <si>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</si>
  <si>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2026-09-25T15:45:58Z</t>
  </si>
  <si>
    <t xml:space="preserve">Drivers file</t>
  </si>
  <si>
    <t xml:space="preserve">SKT.NZ_Drivers.json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</si>
  <si>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</si>
  <si>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</si>
  <si>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</si>
  <si>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This is an income stock, not a growth stock, and should be valued as one. Reported FY2026 numbers are flattered by a one-off $31.4m bargain-purchase gain and $8.2m of Optus compensation; this model uses Sky's own underlying revenue/EBITDA, normalised free cash flow, and a normal 28% NZ tax rate throughout. The core Sky Box satellite base has fallen ~5-8%/yr for several years and is the majority of revenue; FY2026's headline growth was acquisition-driven (Discovery NZ/Sky Free), not organic, and FY2027 guidance at the midpoint is essentially flat. The investment case rests on the ~9% fully-imputed dividend yield and a net-cash balance sheet (no bank debt since FY2023), not on compounding. The FY2026 dividend of 32cps costs more than underlying earnings (~105% of underlying EPS) but is comfortably covered by normalised free cash flow (74.9%, within the newly formalised 60-90% payout policy), and the FY2027 guidance of at least 35cps sits near the top of that band against this model's year-1 owner FCF.
key_risks_to_valuation: Structural satellite subscriber decline (Sky Box, ~54% of revenue) continuing at or faster than the historical 5-8%/yr rate; Neon and the broader streaming push failing to offset satellite decline against a newly-launched standalone HBO Max competitor; The new ~NZ$61m/yr, seven-year NRL rights commitment (2028-2034, pending shareholder approval) becoming a fixed-cost burden if audience/advertising support does not materialise as the linear-TV ad market remains contracted; Dividend policy (60-90% of normalised FCF, 10%/yr growth target FY27-29) coming under pressure if capex exceeds the guided 6-8% of revenue envelope or FCF normalisation assumptions prove optimistic; Sky Free integration synergies (target at least $10m EBITDA by FY28) failing to drop through to margin, being consumed instead by content cost inflation</t>
  </si>
  <si>
    <t xml:space="preserve">Data sources</t>
  </si>
  <si>
    <t xml:space="preserve">price: Yahoo Finance chart API at inputs.price_as_of; 52-week range 3.05-3.90
financials: SKT.NZ_Metrics.csv (core_metrics, FY2015-FY2026 + half years) and SKT.NZ.duckdb kpis table
qualitative: SKT.NZ_Analysis.json (refreshed 2026-09-26 with FY2026 Annual Results, FY2027 guidance, FY31 strategic targets, NRL/Premier League/Olympics rights renewals) and SKT.NZ_Annual_FY2026.txt / SKT.NZ_Presentation_FY2026.txt</t>
  </si>
  <si>
    <t xml:space="preserve">Scenario narrative: bear</t>
  </si>
  <si>
    <t xml:space="preserve">The satellite base decays faster than 5-8% as households cut discretionary spend in a weak NZ economy, and Neon's rebound stalls against a standalone HBO Max that launched in NZ on 16 June 2026 after Sky chose not to renew exclusivity. The acquired free-to-air business is a declining linear-advertising asset in a contracting market, and integration synergies are consumed by content inflation rather than dropping to EBITDA. The new seven-year NRL commitment (~NZ$61m/yr from 2028, subject to shareholder approval) is a large fixed obligation locked in before the FY31 strategic plan is even finalised, and if audience/ad-revenue support doesn't materialise it becomes a margin drag rather than a synergy. Because the satellite cost base is largely fixed - transponder, field technicians, set-top hardware - a shrinking subscriber base produces operating deleverage, so the margin falls from 19% to 13.5%. The 2030 NZR renewal reprices against Sky again, or fragments further to a global streamer. Revenue declines ~4.5%/yr and terminal growth is negative.</t>
  </si>
  <si>
    <t xml:space="preserve">Scenario narrative: base</t>
  </si>
  <si>
    <t xml:space="preserve">FY2027 lands inside guidance (revenue $825-840m, EBITDA $155-165m) and Sky Free synergies reach the promised $10m+ by FY28, holding revenue roughly flat for three years and lifting the EBITDA margin from 19.0% to about 20.5%. From FY2030 the arithmetic of the core reasserts itself: Sky Box is ~54% of revenue and shrinking 5-8% a year, and streaming, advertising and broadband are too small to offset it, so group revenue drifts to -1.5%/yr and the margin eases back as the mix shifts toward lower-margin advertising and free-to-air. The cheaper NZR deal (~$75-80m/yr vs ~$111m) and the renewed NRL/Premier League rights (management frames both as supportive of continued programming-cost discipline within the 47-49% target) are genuine and durable margin support, and capex normalises to the guided 6-8% of revenue now the Optus satellite migration is finished.</t>
  </si>
  <si>
    <t xml:space="preserve">Scenario narrative: bull</t>
  </si>
  <si>
    <t xml:space="preserve">Sky Free is the pivot management says it is: advertising and BVOD scale on the acquired Three/ThreeNow inventory, digital advertising compounds off its small base, broadband keeps growing ~15%, and together they genuinely offset satellite attrition so group revenue grows ~1.5-2%/yr toward the stated FY2031 ambition of 20-30% of revenue from non-subscription sources. Synergies exceed $10m, programming costs settle at the 47% end of the 47-49% target aided by the renewed rights economics, and the EBITDA margin reaches 23% - above the 21-23% three-year target Sky only just delivered. Capex falls to the bottom of the 6-8% envelope. Even here the exit is capped at 5.6x EV/EBITDA, the highest multiple this market has paid in a decade.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</si>
  <si>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</si>
  <si>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</si>
  <si>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</si>
  <si>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</si>
  <si>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2026-08-28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</si>
  <si>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</si>
  <si>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</si>
  <si>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</si>
  <si>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</si>
  <si>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</si>
  <si>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</si>
  <si>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</si>
  <si>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</si>
  <si>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</si>
  <si>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</si>
  <si>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</si>
  <si>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</si>
  <si>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</si>
  <si>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Price anchor refresh only (3.49 -&gt; 3.50); FY2026 financials in this cycle's Metrics.csv refresh were an EPS unit rescale (cents to whole NZD) with no change to underlying revenue/EBITDA/NPAT/cash/shares -- prior DCF was already built on final FY2026 annual results</t>
  </si>
  <si>
    <t xml:space="preserve">NRL/Premier League/Olympics rights renewals (2028-2034/2034/2032): confirmed as RENEWALS of rights Sky already carries, management frames the new economics as supportive of the existing 47-49% programming-cost target -- no driver path changed</t>
  </si>
  <si>
    <t xml:space="preserve">Methodology: prior DCF.json was hand-built (pre-dates this ticker's move to the Drivers/build-dcf engine route) and its FCF arithmetic could not be reproduced from its own recorded driver paths -- e.g. base year-1 FCF of $53.5m vs $60.9m recomputed by scripts/dcf_engine.py from the IDENTICAL growth/margin/SBC/lease/D&amp;A/capex/tax/WC paths (hand-verified: NOPAT+D&amp;A-capex+WC = $60.89m). This build carries the same driver paths forward unchanged but lets the engine (not a hand calculation) compute the arithmetic, per the component-route mandate</t>
  </si>
  <si>
    <t xml:space="preserve">approximate, base scenario; bear/bull move by comparable engine-recalculation amounts ($1.74-&gt;$2.07, $5.76-&gt;$6.20)</t>
  </si>
  <si>
    <t xml:space="preserve">New weighted IV</t>
  </si>
  <si>
    <t xml:space="preserve">ties to probability_weighted.weighted_iv; scenario values now base $4.03 / bear $2.07 / bull $6.20 (all produced by scripts/dcf_engine.py from unchanged driver paths)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</si>
  <si>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</si>
  <si>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</si>
  <si>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</si>
  <si>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</si>
  <si>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</si>
  <si>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</si>
  <si>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</si>
  <si>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</si>
  <si>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</si>
  <si>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</si>
  <si>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</si>
  <si>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</si>
  <si>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</si>
  <si>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</si>
  <si>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</si>
  <si>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</si>
  <si>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</si>
  <si>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</si>
  <si>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</si>
  <si>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</si>
  <si>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</si>
  <si>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</si>
  <si>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</si>
  <si>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</si>
  <si>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</si>
  <si>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</si>
  <si>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</si>
  <si>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Subscribers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</si>
  <si>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</si>
  <si>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</si>
  <si>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</si>
  <si>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</si>
  <si>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</si>
  <si>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</si>
  <si>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</si>
  <si>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</si>
  <si>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</si>
  <si>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</si>
  <si>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</si>
  <si>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</si>
  <si>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</si>
  <si>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</si>
  <si>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</si>
  <si>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</si>
  <si>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</si>
  <si>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</si>
  <si>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</si>
  <si>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</si>
  <si>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</si>
  <si>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</si>
  <si>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</si>
  <si>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</si>
  <si>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</si>
  <si>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</si>
  <si>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</si>
  <si>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</si>
  <si>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</si>
  <si>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</si>
  <si>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</si>
  <si>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</si>
  <si>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</si>
  <si>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</si>
  <si>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</si>
  <si>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</si>
  <si>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</si>
  <si>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</si>
  <si>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</si>
  <si>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</si>
  <si>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</si>
  <si>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</si>
  <si>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</si>
  <si>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</si>
  <si>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</si>
  <si>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</si>
  <si>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</si>
  <si>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</si>
  <si>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SKT.NZ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</si>
  <si>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</si>
  <si>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</si>
  <si>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</si>
  <si>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</si>
  <si>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</si>
  <si>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</si>
  <si>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</si>
  <si>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</si>
  <si>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</si>
  <si>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</si>
  <si>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</si>
  <si>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</si>
  <si>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</si>
  <si>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</si>
  <si>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</si>
  <si>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</si>
  <si>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</si>
  <si>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</si>
  <si>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</si>
  <si>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</si>
  <si>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</si>
  <si>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</si>
  <si>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</si>
  <si>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</si>
  <si>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</si>
  <si>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</si>
  <si>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</si>
  <si>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</si>
  <si>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</si>
  <si>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</si>
  <si>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SKT.NZ owner-FCF component DCF: base case (millions, NZD)</t>
  </si>
  <si>
    <t xml:space="preserve">SKT.NZ owner-FCF component DCF: bull case (millions, NZD)</t>
  </si>
  <si>
    <t xml:space="preserve">SKT.NZ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</si>
  <si>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</si>
  <si>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</si>
  <si>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</si>
  <si>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</si>
  <si>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</si>
  <si>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</si>
  <si>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</si>
  <si>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</si>
  <si>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</si>
  <si>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</si>
  <si>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</si>
  <si>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</si>
  <si>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</si>
  <si>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</si>
  <si>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</si>
  <si>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</si>
  <si>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</si>
  <si>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</si>
  <si>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13%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</si>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</sst>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n">
        <v>3.49</v>
      </c>
    </row>
    <row r="4" customFormat="false" ht="15" hidden="false" customHeight="false" outlineLevel="0" collapsed="false">
      <c r="A4" s="0" t="s">
        <v>42</v>
      </c>
      <c r="B4" s="0" t="n">
        <v>1.74</v>
      </c>
    </row>
    <row r="5" customFormat="false" ht="15" hidden="false" customHeight="false" outlineLevel="0" collapsed="false">
      <c r="A5" s="0" t="s">
        <v>43</v>
      </c>
      <c r="B5" s="0" t="n">
        <v>3.63</v>
      </c>
    </row>
    <row r="6" customFormat="false" ht="15" hidden="false" customHeight="false" outlineLevel="0" collapsed="false">
      <c r="A6" s="0" t="s">
        <v>44</v>
      </c>
      <c r="B6" s="0" t="n">
        <v>5.76</v>
      </c>
    </row>
    <row r="7" customFormat="false" ht="15" hidden="false" customHeight="false" outlineLevel="0" collapsed="false">
      <c r="A7" s="0" t="s">
        <v>45</v>
      </c>
      <c r="B7" s="0" t="n">
        <v>3.49</v>
      </c>
    </row>
    <row r="8" customFormat="false" ht="15" hidden="false" customHeight="false" outlineLevel="0" collapsed="false">
      <c r="A8" s="0" t="s">
        <v>46</v>
      </c>
      <c r="B8" s="0" t="s">
        <v>5</v>
      </c>
    </row>
    <row r="9" customFormat="false" ht="15" hidden="false" customHeight="false" outlineLevel="0" collapsed="false">
      <c r="A9" s="0" t="s">
        <v>47</v>
      </c>
      <c r="B9" s="0" t="n">
        <v>3.5</v>
      </c>
    </row>
    <row r="10" customFormat="false" ht="15" hidden="false" customHeight="false" outlineLevel="0" collapsed="false">
      <c r="A10" s="0" t="s">
        <v>48</v>
      </c>
      <c r="B10" s="0" t="n">
        <v>2.07</v>
      </c>
    </row>
    <row r="11" customFormat="false" ht="15" hidden="false" customHeight="false" outlineLevel="0" collapsed="false">
      <c r="A11" s="0" t="s">
        <v>49</v>
      </c>
      <c r="B11" s="0" t="n">
        <v>4.03</v>
      </c>
    </row>
    <row r="12" customFormat="false" ht="15" hidden="false" customHeight="false" outlineLevel="0" collapsed="false">
      <c r="A12" s="0" t="s">
        <v>50</v>
      </c>
      <c r="B12" s="0" t="n">
        <v>6.2</v>
      </c>
    </row>
    <row r="13" customFormat="false" ht="15" hidden="false" customHeight="false" outlineLevel="0" collapsed="false">
      <c r="A13" s="0" t="s">
        <v>51</v>
      </c>
      <c r="B13" s="0" t="n">
        <v>3.87</v>
      </c>
    </row>
    <row r="15" customFormat="false" ht="15" hidden="false" customHeight="false" outlineLevel="0" collapsed="false">
      <c r="A15" s="2" t="s">
        <v>52</v>
      </c>
    </row>
    <row r="16" customFormat="false" ht="15" hidden="false" customHeight="false" outlineLevel="0" collapsed="false">
      <c r="A16" s="0" t="s">
        <v>53</v>
      </c>
      <c r="B16" s="0" t="n">
        <v>3.49</v>
      </c>
    </row>
    <row r="17" customFormat="false" ht="15" hidden="false" customHeight="false" outlineLevel="0" collapsed="false">
      <c r="A17" s="0" t="s">
        <v>54</v>
      </c>
      <c r="B17" s="0" t="n">
        <v>0</v>
      </c>
    </row>
    <row r="18" customFormat="false" ht="15" hidden="false" customHeight="false" outlineLevel="0" collapsed="false">
      <c r="A18" s="0" t="s">
        <v>55</v>
      </c>
      <c r="B18" s="0" t="n">
        <v>0</v>
      </c>
    </row>
    <row r="19" customFormat="false" ht="15" hidden="false" customHeight="false" outlineLevel="0" collapsed="false">
      <c r="A19" s="0" t="s">
        <v>56</v>
      </c>
      <c r="B19" s="0" t="n">
        <v>0.38</v>
      </c>
      <c r="C19" s="0" t="s">
        <v>57</v>
      </c>
    </row>
    <row r="20" customFormat="false" ht="15" hidden="false" customHeight="false" outlineLevel="0" collapsed="false">
      <c r="A20" s="0" t="s">
        <v>58</v>
      </c>
      <c r="B20" s="0" t="n">
        <v>3.87</v>
      </c>
      <c r="C20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16</v>
      </c>
      <c r="AB1" s="2" t="s">
        <v>86</v>
      </c>
      <c r="AC1" s="2" t="s">
        <v>87</v>
      </c>
    </row>
    <row r="2" customFormat="false" ht="15" hidden="false" customHeight="false" outlineLevel="0" collapsed="false">
      <c r="A2" s="0" t="s">
        <v>88</v>
      </c>
      <c r="B2" s="0" t="n">
        <v>927.525</v>
      </c>
      <c r="F2" s="0" t="n">
        <v>260.575</v>
      </c>
      <c r="G2" s="0" t="n">
        <v>28.0935823832242</v>
      </c>
      <c r="H2" s="0" t="n">
        <v>379.769</v>
      </c>
      <c r="I2" s="0" t="n">
        <v>171.764</v>
      </c>
      <c r="J2" s="0" t="n">
        <v>18.5185304978303</v>
      </c>
      <c r="K2" s="0" t="n">
        <v>0.4409</v>
      </c>
      <c r="L2" s="0" t="n">
        <v>282.915</v>
      </c>
      <c r="M2" s="0" t="n">
        <v>115.462</v>
      </c>
      <c r="N2" s="0" t="n">
        <v>167.453</v>
      </c>
      <c r="O2" s="0" t="n">
        <v>1335.724</v>
      </c>
      <c r="P2" s="0" t="n">
        <v>1942.021</v>
      </c>
      <c r="Q2" s="0" t="n">
        <v>604.818</v>
      </c>
      <c r="R2" s="0" t="n">
        <v>350.763</v>
      </c>
      <c r="S2" s="0" t="n">
        <v>17.895</v>
      </c>
      <c r="T2" s="0" t="n">
        <v>389.14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89</v>
      </c>
      <c r="B3" s="0" t="n">
        <v>928.2</v>
      </c>
      <c r="F3" s="0" t="n">
        <v>225.045</v>
      </c>
      <c r="G3" s="0" t="n">
        <v>24.2453135100194</v>
      </c>
      <c r="H3" s="0" t="n">
        <v>325.286</v>
      </c>
      <c r="I3" s="0" t="n">
        <v>147.123</v>
      </c>
      <c r="J3" s="0" t="n">
        <v>15.8503555268261</v>
      </c>
      <c r="K3" s="0" t="n">
        <v>0.377</v>
      </c>
      <c r="L3" s="0" t="n">
        <v>275.844</v>
      </c>
      <c r="M3" s="0" t="n">
        <v>128.803</v>
      </c>
      <c r="N3" s="0" t="n">
        <v>147.041</v>
      </c>
      <c r="O3" s="0" t="n">
        <v>1329.708</v>
      </c>
      <c r="P3" s="0" t="n">
        <v>1943.564</v>
      </c>
      <c r="Q3" s="0" t="n">
        <v>612.641</v>
      </c>
      <c r="R3" s="0" t="n">
        <v>348.085</v>
      </c>
      <c r="S3" s="0" t="n">
        <v>22.863</v>
      </c>
      <c r="T3" s="0" t="n">
        <v>389.14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90</v>
      </c>
      <c r="B4" s="0" t="n">
        <v>893.485</v>
      </c>
      <c r="F4" s="0" t="n">
        <v>187.192</v>
      </c>
      <c r="G4" s="0" t="n">
        <v>20.9507714175392</v>
      </c>
      <c r="H4" s="0" t="n">
        <v>292.34</v>
      </c>
      <c r="I4" s="0" t="n">
        <v>116.344</v>
      </c>
      <c r="J4" s="0" t="n">
        <v>13.0213713716515</v>
      </c>
      <c r="K4" s="0" t="n">
        <v>0.2982</v>
      </c>
      <c r="L4" s="0" t="n">
        <v>245.261</v>
      </c>
      <c r="M4" s="0" t="n">
        <v>79.682</v>
      </c>
      <c r="N4" s="0" t="n">
        <v>165.579</v>
      </c>
      <c r="O4" s="0" t="n">
        <v>1326.588</v>
      </c>
      <c r="P4" s="0" t="n">
        <v>1887.2</v>
      </c>
      <c r="Q4" s="0" t="n">
        <v>559.322</v>
      </c>
      <c r="R4" s="0" t="n">
        <v>298.663</v>
      </c>
      <c r="S4" s="0" t="n">
        <v>5.444</v>
      </c>
      <c r="T4" s="0" t="n">
        <v>389.14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91</v>
      </c>
      <c r="B5" s="0" t="n">
        <v>852.71</v>
      </c>
      <c r="F5" s="0" t="n">
        <v>-176.604</v>
      </c>
      <c r="G5" s="0" t="n">
        <v>-20.7109099224824</v>
      </c>
      <c r="H5" s="0" t="n">
        <v>285.81</v>
      </c>
      <c r="I5" s="0" t="n">
        <v>-240.674</v>
      </c>
      <c r="J5" s="0" t="n">
        <v>-28.224601564424</v>
      </c>
      <c r="K5" s="0" t="n">
        <v>-0.6192</v>
      </c>
      <c r="L5" s="0" t="n">
        <v>213.613</v>
      </c>
      <c r="M5" s="0" t="n">
        <v>58.223</v>
      </c>
      <c r="N5" s="0" t="n">
        <v>155.39</v>
      </c>
      <c r="O5" s="0" t="n">
        <v>1025.433</v>
      </c>
      <c r="P5" s="0" t="n">
        <v>1503.002</v>
      </c>
      <c r="Q5" s="0" t="n">
        <v>476.315</v>
      </c>
      <c r="R5" s="0" t="n">
        <v>235.344</v>
      </c>
      <c r="S5" s="0" t="n">
        <v>4.694</v>
      </c>
      <c r="T5" s="0" t="n">
        <v>389.14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92</v>
      </c>
      <c r="B6" s="0" t="n">
        <v>795.126</v>
      </c>
      <c r="F6" s="0" t="n">
        <v>-570.935</v>
      </c>
      <c r="G6" s="0" t="n">
        <v>-71.8043429594807</v>
      </c>
      <c r="H6" s="0" t="n">
        <v>230.168</v>
      </c>
      <c r="I6" s="0" t="n">
        <v>-607.837</v>
      </c>
      <c r="J6" s="0" t="n">
        <v>-76.4453684070198</v>
      </c>
      <c r="K6" s="0" t="n">
        <v>-1.5628</v>
      </c>
      <c r="L6" s="0" t="n">
        <v>178.026</v>
      </c>
      <c r="M6" s="0" t="n">
        <v>76.342</v>
      </c>
      <c r="N6" s="0" t="n">
        <v>101.684</v>
      </c>
      <c r="O6" s="0" t="n">
        <v>350.239</v>
      </c>
      <c r="P6" s="0" t="n">
        <v>771.353</v>
      </c>
      <c r="Q6" s="0" t="n">
        <v>419.785</v>
      </c>
      <c r="R6" s="0" t="n">
        <v>193.662</v>
      </c>
      <c r="S6" s="0" t="n">
        <v>4.283</v>
      </c>
      <c r="T6" s="0" t="n">
        <v>389.14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93</v>
      </c>
      <c r="B7" s="0" t="n">
        <v>746.641</v>
      </c>
      <c r="F7" s="0" t="n">
        <v>-132.567</v>
      </c>
      <c r="G7" s="0" t="n">
        <v>-17.755119260796</v>
      </c>
      <c r="H7" s="0" t="n">
        <v>164.251</v>
      </c>
      <c r="I7" s="0" t="n">
        <v>-156.772</v>
      </c>
      <c r="J7" s="0" t="n">
        <v>-20.9969717709046</v>
      </c>
      <c r="K7" s="0" t="n">
        <v>-0.2391</v>
      </c>
      <c r="L7" s="0" t="n">
        <v>157.3</v>
      </c>
      <c r="M7" s="0" t="n">
        <v>56.458</v>
      </c>
      <c r="N7" s="0" t="n">
        <v>100.842</v>
      </c>
      <c r="O7" s="0" t="n">
        <v>373.724</v>
      </c>
      <c r="P7" s="0" t="n">
        <v>837.936</v>
      </c>
      <c r="Q7" s="0" t="n">
        <v>462.966</v>
      </c>
      <c r="R7" s="0" t="n">
        <v>212.513</v>
      </c>
      <c r="S7" s="0" t="n">
        <v>110.677</v>
      </c>
      <c r="T7" s="0" t="n">
        <v>1746.28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94</v>
      </c>
      <c r="B8" s="0" t="n">
        <v>711.234</v>
      </c>
      <c r="F8" s="0" t="n">
        <v>78.425</v>
      </c>
      <c r="G8" s="0" t="n">
        <v>11.026610088944</v>
      </c>
      <c r="H8" s="0" t="n">
        <v>186.416</v>
      </c>
      <c r="I8" s="0" t="n">
        <v>47.546</v>
      </c>
      <c r="J8" s="0" t="n">
        <v>6.68500099826499</v>
      </c>
      <c r="K8" s="0" t="n">
        <v>0.027</v>
      </c>
      <c r="L8" s="0" t="n">
        <v>107.208</v>
      </c>
      <c r="M8" s="0" t="n">
        <v>51.071</v>
      </c>
      <c r="N8" s="0" t="n">
        <v>56.137</v>
      </c>
      <c r="O8" s="0" t="n">
        <v>422.154</v>
      </c>
      <c r="P8" s="0" t="n">
        <v>701.648</v>
      </c>
      <c r="Q8" s="0" t="n">
        <v>278.154</v>
      </c>
      <c r="R8" s="0" t="n">
        <v>77.547</v>
      </c>
      <c r="S8" s="0" t="n">
        <v>34.8</v>
      </c>
      <c r="T8" s="0" t="n">
        <v>1746.88</v>
      </c>
      <c r="AA8" s="0" t="s">
        <v>17</v>
      </c>
      <c r="AB8" s="0" t="s">
        <v>14</v>
      </c>
      <c r="AC8" s="0" t="n">
        <v>936750</v>
      </c>
    </row>
    <row r="9" customFormat="false" ht="15" hidden="false" customHeight="false" outlineLevel="0" collapsed="false">
      <c r="A9" s="0" t="s">
        <v>95</v>
      </c>
      <c r="B9" s="0" t="n">
        <v>736.111</v>
      </c>
      <c r="F9" s="0" t="n">
        <v>86.845</v>
      </c>
      <c r="G9" s="0" t="n">
        <v>11.7978131015567</v>
      </c>
      <c r="H9" s="0" t="n">
        <v>169.016</v>
      </c>
      <c r="I9" s="0" t="n">
        <v>62.212</v>
      </c>
      <c r="J9" s="0" t="n">
        <v>8.45144278512344</v>
      </c>
      <c r="K9" s="0" t="n">
        <v>0.3557</v>
      </c>
      <c r="L9" s="0" t="n">
        <v>119.638</v>
      </c>
      <c r="M9" s="0" t="n">
        <v>44.683</v>
      </c>
      <c r="N9" s="0" t="n">
        <v>74.955</v>
      </c>
      <c r="O9" s="0" t="n">
        <v>493.224</v>
      </c>
      <c r="P9" s="0" t="n">
        <v>776.85</v>
      </c>
      <c r="Q9" s="0" t="n">
        <v>282.357</v>
      </c>
      <c r="R9" s="0" t="n">
        <v>71.714</v>
      </c>
      <c r="S9" s="0" t="n">
        <v>138.916</v>
      </c>
      <c r="T9" s="0" t="n">
        <v>174.688</v>
      </c>
      <c r="AA9" s="0" t="s">
        <v>17</v>
      </c>
      <c r="AB9" s="0" t="s">
        <v>14</v>
      </c>
      <c r="AC9" s="0" t="n">
        <v>957665</v>
      </c>
    </row>
    <row r="10" customFormat="false" ht="15" hidden="false" customHeight="false" outlineLevel="0" collapsed="false">
      <c r="A10" s="0" t="s">
        <v>96</v>
      </c>
      <c r="B10" s="0" t="n">
        <v>754.1</v>
      </c>
      <c r="F10" s="0" t="n">
        <v>74.41</v>
      </c>
      <c r="G10" s="0" t="n">
        <v>9.86739159262697</v>
      </c>
      <c r="H10" s="0" t="n">
        <v>148.508</v>
      </c>
      <c r="I10" s="0" t="n">
        <v>51.013</v>
      </c>
      <c r="J10" s="0" t="n">
        <v>6.76475268532025</v>
      </c>
      <c r="K10" s="0" t="n">
        <v>0.3237</v>
      </c>
      <c r="L10" s="0" t="n">
        <v>117.021</v>
      </c>
      <c r="M10" s="0" t="n">
        <v>71.38</v>
      </c>
      <c r="N10" s="0" t="n">
        <v>45.641</v>
      </c>
      <c r="O10" s="0" t="n">
        <v>439.18</v>
      </c>
      <c r="P10" s="0" t="n">
        <v>690.174</v>
      </c>
      <c r="Q10" s="0" t="n">
        <v>249.568</v>
      </c>
      <c r="R10" s="0" t="n">
        <v>49.313</v>
      </c>
      <c r="S10" s="0" t="n">
        <v>56.051</v>
      </c>
      <c r="T10" s="0" t="n">
        <v>143.852</v>
      </c>
      <c r="U10" s="0" t="n">
        <v>0.181</v>
      </c>
      <c r="AA10" s="0" t="s">
        <v>17</v>
      </c>
      <c r="AB10" s="0" t="s">
        <v>14</v>
      </c>
      <c r="AC10" s="0" t="n">
        <v>978361</v>
      </c>
    </row>
    <row r="11" customFormat="false" ht="15" hidden="false" customHeight="false" outlineLevel="0" collapsed="false">
      <c r="A11" s="0" t="s">
        <v>97</v>
      </c>
      <c r="B11" s="0" t="n">
        <v>766.734</v>
      </c>
      <c r="F11" s="0" t="n">
        <v>69.764</v>
      </c>
      <c r="G11" s="0" t="n">
        <v>9.09885305725323</v>
      </c>
      <c r="H11" s="0" t="n">
        <v>153.035</v>
      </c>
      <c r="I11" s="0" t="n">
        <v>49.223</v>
      </c>
      <c r="J11" s="0" t="n">
        <v>6.41982747602167</v>
      </c>
      <c r="K11" s="0" t="n">
        <v>0.3444</v>
      </c>
      <c r="L11" s="0" t="n">
        <v>139.131</v>
      </c>
      <c r="M11" s="0" t="n">
        <v>88.707</v>
      </c>
      <c r="N11" s="0" t="n">
        <v>50.424</v>
      </c>
      <c r="O11" s="0" t="n">
        <v>447.539</v>
      </c>
      <c r="P11" s="0" t="n">
        <v>681.384</v>
      </c>
      <c r="Q11" s="0" t="n">
        <v>232.466</v>
      </c>
      <c r="R11" s="0" t="n">
        <v>24.712</v>
      </c>
      <c r="S11" s="0" t="n">
        <v>37.799</v>
      </c>
      <c r="T11" s="0" t="n">
        <v>137.675</v>
      </c>
      <c r="U11" s="0" t="n">
        <v>0.181</v>
      </c>
      <c r="AA11" s="0" t="s">
        <v>17</v>
      </c>
      <c r="AB11" s="0" t="s">
        <v>14</v>
      </c>
      <c r="AC11" s="0" t="n">
        <v>904527</v>
      </c>
    </row>
    <row r="12" customFormat="false" ht="15" hidden="false" customHeight="false" outlineLevel="0" collapsed="false">
      <c r="A12" s="0" t="s">
        <v>98</v>
      </c>
      <c r="B12" s="0" t="n">
        <v>750.723</v>
      </c>
      <c r="F12" s="0" t="n">
        <v>31.497</v>
      </c>
      <c r="G12" s="0" t="n">
        <v>4.19555548451293</v>
      </c>
      <c r="H12" s="0" t="n">
        <v>120.638</v>
      </c>
      <c r="I12" s="0" t="n">
        <v>20.59</v>
      </c>
      <c r="J12" s="0" t="n">
        <v>2.74268938077027</v>
      </c>
      <c r="K12" s="0" t="n">
        <v>0.1469</v>
      </c>
      <c r="L12" s="0" t="n">
        <v>120.201</v>
      </c>
      <c r="M12" s="0" t="n">
        <v>77.746</v>
      </c>
      <c r="N12" s="0" t="n">
        <v>42.455</v>
      </c>
      <c r="O12" s="0" t="n">
        <v>437.566</v>
      </c>
      <c r="P12" s="0" t="n">
        <v>672.867</v>
      </c>
      <c r="Q12" s="0" t="n">
        <v>233.852</v>
      </c>
      <c r="R12" s="0" t="n">
        <v>72.6</v>
      </c>
      <c r="S12" s="0" t="n">
        <v>32.41</v>
      </c>
      <c r="T12" s="0" t="n">
        <v>137.675</v>
      </c>
      <c r="U12" s="0" t="n">
        <v>0.396</v>
      </c>
      <c r="AA12" s="0" t="s">
        <v>17</v>
      </c>
      <c r="AB12" s="0" t="s">
        <v>14</v>
      </c>
      <c r="AC12" s="0" t="n">
        <v>914368</v>
      </c>
    </row>
    <row r="13" customFormat="false" ht="15" hidden="false" customHeight="false" outlineLevel="0" collapsed="false">
      <c r="A13" s="0" t="s">
        <v>99</v>
      </c>
      <c r="B13" s="0" t="n">
        <v>824.845</v>
      </c>
      <c r="F13" s="0" t="n">
        <v>73.183</v>
      </c>
      <c r="G13" s="0" t="n">
        <v>8.8723335899472</v>
      </c>
      <c r="H13" s="0" t="n">
        <v>170.203</v>
      </c>
      <c r="I13" s="0" t="n">
        <v>59.798</v>
      </c>
      <c r="J13" s="0" t="n">
        <v>7.24960447114306</v>
      </c>
      <c r="K13" s="0" t="n">
        <v>0.4313</v>
      </c>
      <c r="L13" s="0" t="n">
        <v>152.75</v>
      </c>
      <c r="M13" s="0" t="n">
        <v>63.427</v>
      </c>
      <c r="N13" s="0" t="n">
        <v>89.323</v>
      </c>
      <c r="O13" s="0" t="n">
        <v>467.568</v>
      </c>
      <c r="P13" s="0" t="n">
        <v>738.852</v>
      </c>
      <c r="Q13" s="0" t="n">
        <v>269.576</v>
      </c>
      <c r="R13" s="0" t="n">
        <v>62.483</v>
      </c>
      <c r="S13" s="0" t="n">
        <v>79.14</v>
      </c>
      <c r="T13" s="0" t="n">
        <v>137.675</v>
      </c>
      <c r="U13" s="0" t="n">
        <v>0.436</v>
      </c>
      <c r="V13" s="0" t="n">
        <v>0.32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100</v>
      </c>
      <c r="B1" s="2" t="s">
        <v>37</v>
      </c>
    </row>
    <row r="2" customFormat="false" ht="15" hidden="false" customHeight="false" outlineLevel="0" collapsed="false">
      <c r="A2" s="0" t="s">
        <v>101</v>
      </c>
      <c r="B2" s="3" t="n">
        <v>3.5</v>
      </c>
    </row>
    <row r="3" customFormat="false" ht="15" hidden="false" customHeight="false" outlineLevel="0" collapsed="false">
      <c r="A3" s="0" t="s">
        <v>102</v>
      </c>
      <c r="B3" s="3" t="n">
        <v>138.602</v>
      </c>
    </row>
    <row r="4" customFormat="false" ht="15" hidden="false" customHeight="false" outlineLevel="0" collapsed="false">
      <c r="A4" s="0" t="s">
        <v>103</v>
      </c>
      <c r="B4" s="3" t="n">
        <v>-79.14</v>
      </c>
    </row>
    <row r="5" customFormat="false" ht="15" hidden="false" customHeight="false" outlineLevel="0" collapsed="false">
      <c r="A5" s="0" t="s">
        <v>104</v>
      </c>
      <c r="B5" s="3" t="n">
        <v>0</v>
      </c>
    </row>
    <row r="6" customFormat="false" ht="15" hidden="false" customHeight="false" outlineLevel="0" collapsed="false">
      <c r="A6" s="0" t="s">
        <v>105</v>
      </c>
      <c r="B6" s="3" t="n">
        <v>15</v>
      </c>
    </row>
    <row r="7" customFormat="false" ht="15" hidden="false" customHeight="false" outlineLevel="0" collapsed="false">
      <c r="A7" s="0" t="s">
        <v>106</v>
      </c>
      <c r="B7" s="3" t="n">
        <v>826.1</v>
      </c>
    </row>
    <row r="8" customFormat="false" ht="15" hidden="false" customHeight="false" outlineLevel="0" collapsed="false">
      <c r="A8" s="0" t="s">
        <v>107</v>
      </c>
      <c r="B8" s="3" t="s">
        <v>99</v>
      </c>
    </row>
    <row r="9" customFormat="false" ht="15" hidden="false" customHeight="false" outlineLevel="0" collapsed="false">
      <c r="A9" s="0" t="s">
        <v>108</v>
      </c>
      <c r="B9" s="3" t="s">
        <v>109</v>
      </c>
    </row>
    <row r="10" customFormat="false" ht="15" hidden="false" customHeight="false" outlineLevel="0" collapsed="false">
      <c r="A10" s="0" t="s">
        <v>110</v>
      </c>
      <c r="B10" s="3" t="n">
        <v>1</v>
      </c>
    </row>
    <row r="12" customFormat="false" ht="15" hidden="false" customHeight="false" outlineLevel="0" collapsed="false">
      <c r="A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  <c r="L12" s="2" t="s">
        <v>121</v>
      </c>
    </row>
    <row r="13" customFormat="false" ht="15" hidden="false" customHeight="false" outlineLevel="0" collapsed="false">
      <c r="A13" s="0" t="s">
        <v>122</v>
      </c>
      <c r="C13" s="3" t="n">
        <v>-0.1</v>
      </c>
      <c r="D13" s="3" t="n">
        <v>-1.5</v>
      </c>
      <c r="E13" s="3" t="n">
        <v>-2.5</v>
      </c>
      <c r="F13" s="3" t="n">
        <v>-3.5</v>
      </c>
      <c r="G13" s="3" t="n">
        <v>-4</v>
      </c>
      <c r="H13" s="3" t="n">
        <v>-4.5</v>
      </c>
      <c r="I13" s="3" t="n">
        <v>-4.5</v>
      </c>
      <c r="J13" s="3" t="n">
        <v>-4.5</v>
      </c>
      <c r="K13" s="3" t="n">
        <v>-4.5</v>
      </c>
      <c r="L13" s="3" t="n">
        <v>-4.5</v>
      </c>
    </row>
    <row r="14" customFormat="false" ht="15" hidden="false" customHeight="false" outlineLevel="0" collapsed="false">
      <c r="A14" s="0" t="s">
        <v>123</v>
      </c>
      <c r="C14" s="3" t="n">
        <v>18.6</v>
      </c>
      <c r="D14" s="3" t="n">
        <v>18</v>
      </c>
      <c r="E14" s="3" t="n">
        <v>17.4</v>
      </c>
      <c r="F14" s="3" t="n">
        <v>16.8</v>
      </c>
      <c r="G14" s="3" t="n">
        <v>16.2</v>
      </c>
      <c r="H14" s="3" t="n">
        <v>15.6</v>
      </c>
      <c r="I14" s="3" t="n">
        <v>15</v>
      </c>
      <c r="J14" s="3" t="n">
        <v>14.5</v>
      </c>
      <c r="K14" s="3" t="n">
        <v>14</v>
      </c>
      <c r="L14" s="3" t="n">
        <v>13.5</v>
      </c>
    </row>
    <row r="15" customFormat="false" ht="15" hidden="false" customHeight="false" outlineLevel="0" collapsed="false">
      <c r="A15" s="0" t="s">
        <v>124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125</v>
      </c>
      <c r="C16" s="3" t="n">
        <v>3.3</v>
      </c>
      <c r="D16" s="3" t="n">
        <v>3.3</v>
      </c>
      <c r="E16" s="3" t="n">
        <v>3.3</v>
      </c>
      <c r="F16" s="3" t="n">
        <v>3.3</v>
      </c>
      <c r="G16" s="3" t="n">
        <v>3.3</v>
      </c>
      <c r="H16" s="3" t="n">
        <v>3.3</v>
      </c>
      <c r="I16" s="3" t="n">
        <v>3.3</v>
      </c>
      <c r="J16" s="3" t="n">
        <v>3.3</v>
      </c>
      <c r="K16" s="3" t="n">
        <v>3.3</v>
      </c>
      <c r="L16" s="3" t="n">
        <v>3.3</v>
      </c>
    </row>
    <row r="17" customFormat="false" ht="15" hidden="false" customHeight="false" outlineLevel="0" collapsed="false">
      <c r="A17" s="0" t="s">
        <v>126</v>
      </c>
      <c r="C17" s="3" t="n">
        <v>11.6</v>
      </c>
      <c r="D17" s="3" t="n">
        <v>11.5</v>
      </c>
      <c r="E17" s="3" t="n">
        <v>11.4</v>
      </c>
      <c r="F17" s="3" t="n">
        <v>11.3</v>
      </c>
      <c r="G17" s="3" t="n">
        <v>11.2</v>
      </c>
      <c r="H17" s="3" t="n">
        <v>11.1</v>
      </c>
      <c r="I17" s="3" t="n">
        <v>11</v>
      </c>
      <c r="J17" s="3" t="n">
        <v>11</v>
      </c>
      <c r="K17" s="3" t="n">
        <v>11</v>
      </c>
      <c r="L17" s="3" t="n">
        <v>11</v>
      </c>
    </row>
    <row r="18" customFormat="false" ht="15" hidden="false" customHeight="false" outlineLevel="0" collapsed="false">
      <c r="A18" s="0" t="s">
        <v>127</v>
      </c>
      <c r="C18" s="3" t="n">
        <v>7.8</v>
      </c>
      <c r="D18" s="3" t="n">
        <v>7.8</v>
      </c>
      <c r="E18" s="3" t="n">
        <v>7.8</v>
      </c>
      <c r="F18" s="3" t="n">
        <v>8</v>
      </c>
      <c r="G18" s="3" t="n">
        <v>8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129</v>
      </c>
      <c r="B20" s="3" t="n">
        <v>13</v>
      </c>
    </row>
    <row r="21" customFormat="false" ht="15" hidden="false" customHeight="false" outlineLevel="0" collapsed="false">
      <c r="A21" s="0" t="s">
        <v>130</v>
      </c>
      <c r="B21" s="3" t="n">
        <v>-1</v>
      </c>
    </row>
    <row r="22" customFormat="false" ht="15" hidden="false" customHeight="false" outlineLevel="0" collapsed="false">
      <c r="A22" s="0" t="s">
        <v>131</v>
      </c>
      <c r="B22" s="3" t="n">
        <v>23.6</v>
      </c>
    </row>
    <row r="23" customFormat="false" ht="15" hidden="false" customHeight="false" outlineLevel="0" collapsed="false">
      <c r="A23" s="0" t="s">
        <v>132</v>
      </c>
      <c r="B23" s="3" t="n">
        <v>8</v>
      </c>
    </row>
    <row r="24" customFormat="false" ht="15" hidden="false" customHeight="false" outlineLevel="0" collapsed="false">
      <c r="A24" s="0" t="s">
        <v>133</v>
      </c>
      <c r="B24" s="3" t="n">
        <v>0.3</v>
      </c>
    </row>
    <row r="26" customFormat="false" ht="15" hidden="false" customHeight="false" outlineLevel="0" collapsed="false">
      <c r="A26" s="2" t="s">
        <v>134</v>
      </c>
      <c r="C26" s="2" t="s">
        <v>112</v>
      </c>
      <c r="D26" s="2" t="s">
        <v>113</v>
      </c>
      <c r="E26" s="2" t="s">
        <v>114</v>
      </c>
      <c r="F26" s="2" t="s">
        <v>115</v>
      </c>
      <c r="G26" s="2" t="s">
        <v>116</v>
      </c>
      <c r="H26" s="2" t="s">
        <v>117</v>
      </c>
      <c r="I26" s="2" t="s">
        <v>118</v>
      </c>
      <c r="J26" s="2" t="s">
        <v>119</v>
      </c>
      <c r="K26" s="2" t="s">
        <v>120</v>
      </c>
      <c r="L26" s="2" t="s">
        <v>121</v>
      </c>
    </row>
    <row r="27" customFormat="false" ht="15" hidden="false" customHeight="false" outlineLevel="0" collapsed="false">
      <c r="A27" s="0" t="s">
        <v>122</v>
      </c>
      <c r="C27" s="3" t="n">
        <v>0.8</v>
      </c>
      <c r="D27" s="3" t="n">
        <v>0.5</v>
      </c>
      <c r="E27" s="3" t="n">
        <v>0</v>
      </c>
      <c r="F27" s="3" t="n">
        <v>-0.5</v>
      </c>
      <c r="G27" s="3" t="n">
        <v>-1</v>
      </c>
      <c r="H27" s="3" t="n">
        <v>-1.2</v>
      </c>
      <c r="I27" s="3" t="n">
        <v>-1.5</v>
      </c>
      <c r="J27" s="3" t="n">
        <v>-1.5</v>
      </c>
      <c r="K27" s="3" t="n">
        <v>-1.5</v>
      </c>
      <c r="L27" s="3" t="n">
        <v>-1.5</v>
      </c>
    </row>
    <row r="28" customFormat="false" ht="15" hidden="false" customHeight="false" outlineLevel="0" collapsed="false">
      <c r="A28" s="0" t="s">
        <v>123</v>
      </c>
      <c r="C28" s="3" t="n">
        <v>19.2</v>
      </c>
      <c r="D28" s="3" t="n">
        <v>19.8</v>
      </c>
      <c r="E28" s="3" t="n">
        <v>20.3</v>
      </c>
      <c r="F28" s="3" t="n">
        <v>20.5</v>
      </c>
      <c r="G28" s="3" t="n">
        <v>20.4</v>
      </c>
      <c r="H28" s="3" t="n">
        <v>20.2</v>
      </c>
      <c r="I28" s="3" t="n">
        <v>20</v>
      </c>
      <c r="J28" s="3" t="n">
        <v>19.8</v>
      </c>
      <c r="K28" s="3" t="n">
        <v>19.6</v>
      </c>
      <c r="L28" s="3" t="n">
        <v>19.4</v>
      </c>
    </row>
    <row r="29" customFormat="false" ht="15" hidden="false" customHeight="false" outlineLevel="0" collapsed="false">
      <c r="A29" s="0" t="s">
        <v>124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125</v>
      </c>
      <c r="C30" s="3" t="n">
        <v>3.16</v>
      </c>
      <c r="D30" s="3" t="n">
        <v>3.16</v>
      </c>
      <c r="E30" s="3" t="n">
        <v>3.16</v>
      </c>
      <c r="F30" s="3" t="n">
        <v>3.16</v>
      </c>
      <c r="G30" s="3" t="n">
        <v>3.16</v>
      </c>
      <c r="H30" s="3" t="n">
        <v>3.16</v>
      </c>
      <c r="I30" s="3" t="n">
        <v>3.16</v>
      </c>
      <c r="J30" s="3" t="n">
        <v>3.16</v>
      </c>
      <c r="K30" s="3" t="n">
        <v>3.16</v>
      </c>
      <c r="L30" s="3" t="n">
        <v>3.16</v>
      </c>
    </row>
    <row r="31" customFormat="false" ht="15" hidden="false" customHeight="false" outlineLevel="0" collapsed="false">
      <c r="A31" s="0" t="s">
        <v>126</v>
      </c>
      <c r="C31" s="3" t="n">
        <v>11.5</v>
      </c>
      <c r="D31" s="3" t="n">
        <v>11.2</v>
      </c>
      <c r="E31" s="3" t="n">
        <v>11</v>
      </c>
      <c r="F31" s="3" t="n">
        <v>10.8</v>
      </c>
      <c r="G31" s="3" t="n">
        <v>10.6</v>
      </c>
      <c r="H31" s="3" t="n">
        <v>10.5</v>
      </c>
      <c r="I31" s="3" t="n">
        <v>10.4</v>
      </c>
      <c r="J31" s="3" t="n">
        <v>10.3</v>
      </c>
      <c r="K31" s="3" t="n">
        <v>10.2</v>
      </c>
      <c r="L31" s="3" t="n">
        <v>10.1</v>
      </c>
    </row>
    <row r="32" customFormat="false" ht="15" hidden="false" customHeight="false" outlineLevel="0" collapsed="false">
      <c r="A32" s="0" t="s">
        <v>127</v>
      </c>
      <c r="C32" s="3" t="n">
        <v>7.5</v>
      </c>
      <c r="D32" s="3" t="n">
        <v>7.2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129</v>
      </c>
      <c r="B34" s="3" t="n">
        <v>13</v>
      </c>
    </row>
    <row r="35" customFormat="false" ht="15" hidden="false" customHeight="false" outlineLevel="0" collapsed="false">
      <c r="A35" s="0" t="s">
        <v>130</v>
      </c>
      <c r="B35" s="3" t="n">
        <v>0</v>
      </c>
    </row>
    <row r="36" customFormat="false" ht="15" hidden="false" customHeight="false" outlineLevel="0" collapsed="false">
      <c r="A36" s="0" t="s">
        <v>131</v>
      </c>
      <c r="B36" s="3" t="n">
        <v>9.03</v>
      </c>
    </row>
    <row r="37" customFormat="false" ht="15" hidden="false" customHeight="false" outlineLevel="0" collapsed="false">
      <c r="A37" s="0" t="s">
        <v>132</v>
      </c>
      <c r="B37" s="3" t="n">
        <v>10</v>
      </c>
    </row>
    <row r="38" customFormat="false" ht="15" hidden="false" customHeight="false" outlineLevel="0" collapsed="false">
      <c r="A38" s="0" t="s">
        <v>133</v>
      </c>
      <c r="B38" s="3" t="n">
        <v>0.5</v>
      </c>
    </row>
    <row r="40" customFormat="false" ht="15" hidden="false" customHeight="false" outlineLevel="0" collapsed="false">
      <c r="A40" s="2" t="s">
        <v>135</v>
      </c>
      <c r="C40" s="2" t="s">
        <v>112</v>
      </c>
      <c r="D40" s="2" t="s">
        <v>113</v>
      </c>
      <c r="E40" s="2" t="s">
        <v>114</v>
      </c>
      <c r="F40" s="2" t="s">
        <v>115</v>
      </c>
      <c r="G40" s="2" t="s">
        <v>116</v>
      </c>
      <c r="H40" s="2" t="s">
        <v>117</v>
      </c>
      <c r="I40" s="2" t="s">
        <v>118</v>
      </c>
      <c r="J40" s="2" t="s">
        <v>119</v>
      </c>
      <c r="K40" s="2" t="s">
        <v>120</v>
      </c>
      <c r="L40" s="2" t="s">
        <v>121</v>
      </c>
    </row>
    <row r="41" customFormat="false" ht="15" hidden="false" customHeight="false" outlineLevel="0" collapsed="false">
      <c r="A41" s="0" t="s">
        <v>122</v>
      </c>
      <c r="C41" s="3" t="n">
        <v>1.7</v>
      </c>
      <c r="D41" s="3" t="n">
        <v>1.8</v>
      </c>
      <c r="E41" s="3" t="n">
        <v>2</v>
      </c>
      <c r="F41" s="3" t="n">
        <v>2</v>
      </c>
      <c r="G41" s="3" t="n">
        <v>1.8</v>
      </c>
      <c r="H41" s="3" t="n">
        <v>1.5</v>
      </c>
      <c r="I41" s="3" t="n">
        <v>1.5</v>
      </c>
      <c r="J41" s="3" t="n">
        <v>1.5</v>
      </c>
      <c r="K41" s="3" t="n">
        <v>1.5</v>
      </c>
      <c r="L41" s="3" t="n">
        <v>1.5</v>
      </c>
    </row>
    <row r="42" customFormat="false" ht="15" hidden="false" customHeight="false" outlineLevel="0" collapsed="false">
      <c r="A42" s="0" t="s">
        <v>123</v>
      </c>
      <c r="C42" s="3" t="n">
        <v>19.8</v>
      </c>
      <c r="D42" s="3" t="n">
        <v>20.8</v>
      </c>
      <c r="E42" s="3" t="n">
        <v>21.8</v>
      </c>
      <c r="F42" s="3" t="n">
        <v>22.5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124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125</v>
      </c>
      <c r="C44" s="3" t="n">
        <v>3</v>
      </c>
      <c r="D44" s="3" t="n">
        <v>3</v>
      </c>
      <c r="E44" s="3" t="n">
        <v>3</v>
      </c>
      <c r="F44" s="3" t="n">
        <v>3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</row>
    <row r="45" customFormat="false" ht="15" hidden="false" customHeight="false" outlineLevel="0" collapsed="false">
      <c r="A45" s="0" t="s">
        <v>126</v>
      </c>
      <c r="C45" s="3" t="n">
        <v>11.3</v>
      </c>
      <c r="D45" s="3" t="n">
        <v>11</v>
      </c>
      <c r="E45" s="3" t="n">
        <v>10.7</v>
      </c>
      <c r="F45" s="3" t="n">
        <v>10.4</v>
      </c>
      <c r="G45" s="3" t="n">
        <v>10.2</v>
      </c>
      <c r="H45" s="3" t="n">
        <v>10</v>
      </c>
      <c r="I45" s="3" t="n">
        <v>10</v>
      </c>
      <c r="J45" s="3" t="n">
        <v>10</v>
      </c>
      <c r="K45" s="3" t="n">
        <v>10</v>
      </c>
      <c r="L45" s="3" t="n">
        <v>10</v>
      </c>
    </row>
    <row r="46" customFormat="false" ht="15" hidden="false" customHeight="false" outlineLevel="0" collapsed="false">
      <c r="A46" s="0" t="s">
        <v>127</v>
      </c>
      <c r="C46" s="3" t="n">
        <v>7.2</v>
      </c>
      <c r="D46" s="3" t="n">
        <v>6.8</v>
      </c>
      <c r="E46" s="3" t="n">
        <v>6.5</v>
      </c>
      <c r="F46" s="3" t="n">
        <v>6.2</v>
      </c>
      <c r="G46" s="3" t="n">
        <v>6</v>
      </c>
      <c r="H46" s="3" t="n">
        <v>6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129</v>
      </c>
      <c r="B48" s="3" t="n">
        <v>13</v>
      </c>
    </row>
    <row r="49" customFormat="false" ht="15" hidden="false" customHeight="false" outlineLevel="0" collapsed="false">
      <c r="A49" s="0" t="s">
        <v>130</v>
      </c>
      <c r="B49" s="3" t="n">
        <v>1</v>
      </c>
    </row>
    <row r="50" customFormat="false" ht="15" hidden="false" customHeight="false" outlineLevel="0" collapsed="false">
      <c r="A50" s="0" t="s">
        <v>131</v>
      </c>
      <c r="B50" s="3" t="n">
        <v>12.27</v>
      </c>
    </row>
    <row r="51" customFormat="false" ht="15" hidden="false" customHeight="false" outlineLevel="0" collapsed="false">
      <c r="A51" s="0" t="s">
        <v>132</v>
      </c>
      <c r="B51" s="3" t="n">
        <v>12</v>
      </c>
    </row>
    <row r="52" customFormat="false" ht="15" hidden="false" customHeight="false" outlineLevel="0" collapsed="false">
      <c r="A52" s="0" t="s">
        <v>133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137</v>
      </c>
      <c r="B3" s="0" t="s">
        <v>99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</row>
    <row r="4" customFormat="false" ht="15" hidden="false" customHeight="false" outlineLevel="0" collapsed="false">
      <c r="A4" s="0" t="s">
        <v>138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122</v>
      </c>
      <c r="C5" s="4" t="n">
        <f aca="false">Assumptions!C13</f>
        <v>-0.1</v>
      </c>
      <c r="D5" s="4" t="n">
        <f aca="false">Assumptions!D13</f>
        <v>-1.5</v>
      </c>
      <c r="E5" s="4" t="n">
        <f aca="false">Assumptions!E13</f>
        <v>-2.5</v>
      </c>
      <c r="F5" s="4" t="n">
        <f aca="false">Assumptions!F13</f>
        <v>-3.5</v>
      </c>
      <c r="G5" s="4" t="n">
        <f aca="false">Assumptions!G13</f>
        <v>-4</v>
      </c>
      <c r="H5" s="4" t="n">
        <f aca="false">Assumptions!H13</f>
        <v>-4.5</v>
      </c>
      <c r="I5" s="4" t="n">
        <f aca="false">Assumptions!I13</f>
        <v>-4.5</v>
      </c>
      <c r="J5" s="4" t="n">
        <f aca="false">Assumptions!J13</f>
        <v>-4.5</v>
      </c>
      <c r="K5" s="4" t="n">
        <f aca="false">Assumptions!K13</f>
        <v>-4.5</v>
      </c>
      <c r="L5" s="4" t="n">
        <f aca="false">Assumptions!L13</f>
        <v>-4.5</v>
      </c>
    </row>
    <row r="6" customFormat="false" ht="15" hidden="false" customHeight="false" outlineLevel="0" collapsed="false">
      <c r="A6" s="0" t="s">
        <v>61</v>
      </c>
      <c r="B6" s="3" t="n">
        <v>826.1</v>
      </c>
      <c r="C6" s="0" t="n">
        <f aca="false">B6*(1+C5/100)</f>
        <v>825.2739</v>
      </c>
      <c r="D6" s="0" t="n">
        <f aca="false">C6*(1+D5/100)</f>
        <v>812.8947915</v>
      </c>
      <c r="E6" s="0" t="n">
        <f aca="false">D6*(1+E5/100)</f>
        <v>792.5724217125</v>
      </c>
      <c r="F6" s="0" t="n">
        <f aca="false">E6*(1+F5/100)</f>
        <v>764.832386952562</v>
      </c>
      <c r="G6" s="0" t="n">
        <f aca="false">F6*(1+G5/100)</f>
        <v>734.23909147446</v>
      </c>
      <c r="H6" s="0" t="n">
        <f aca="false">G6*(1+H5/100)</f>
        <v>701.198332358109</v>
      </c>
      <c r="I6" s="0" t="n">
        <f aca="false">H6*(1+I5/100)</f>
        <v>669.644407401994</v>
      </c>
      <c r="J6" s="0" t="n">
        <f aca="false">I6*(1+J5/100)</f>
        <v>639.510409068905</v>
      </c>
      <c r="K6" s="0" t="n">
        <f aca="false">J6*(1+K5/100)</f>
        <v>610.732440660804</v>
      </c>
      <c r="L6" s="0" t="n">
        <f aca="false">K6*(1+L5/100)</f>
        <v>583.249480831068</v>
      </c>
    </row>
    <row r="7" customFormat="false" ht="15" hidden="false" customHeight="false" outlineLevel="0" collapsed="false">
      <c r="A7" s="0" t="s">
        <v>123</v>
      </c>
      <c r="C7" s="4" t="n">
        <f aca="false">Assumptions!C14</f>
        <v>18.6</v>
      </c>
      <c r="D7" s="4" t="n">
        <f aca="false">Assumptions!D14</f>
        <v>18</v>
      </c>
      <c r="E7" s="4" t="n">
        <f aca="false">Assumptions!E14</f>
        <v>17.4</v>
      </c>
      <c r="F7" s="4" t="n">
        <f aca="false">Assumptions!F14</f>
        <v>16.8</v>
      </c>
      <c r="G7" s="4" t="n">
        <f aca="false">Assumptions!G14</f>
        <v>16.2</v>
      </c>
      <c r="H7" s="4" t="n">
        <f aca="false">Assumptions!H14</f>
        <v>15.6</v>
      </c>
      <c r="I7" s="4" t="n">
        <f aca="false">Assumptions!I14</f>
        <v>15</v>
      </c>
      <c r="J7" s="4" t="n">
        <f aca="false">Assumptions!J14</f>
        <v>14.5</v>
      </c>
      <c r="K7" s="4" t="n">
        <f aca="false">Assumptions!K14</f>
        <v>14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67</v>
      </c>
      <c r="C8" s="0" t="n">
        <f aca="false">C6*C7/100</f>
        <v>153.5009454</v>
      </c>
      <c r="D8" s="0" t="n">
        <f aca="false">D6*D7/100</f>
        <v>146.32106247</v>
      </c>
      <c r="E8" s="0" t="n">
        <f aca="false">E6*E7/100</f>
        <v>137.907601377975</v>
      </c>
      <c r="F8" s="0" t="n">
        <f aca="false">F6*F7/100</f>
        <v>128.491841008031</v>
      </c>
      <c r="G8" s="0" t="n">
        <f aca="false">G6*G7/100</f>
        <v>118.946732818862</v>
      </c>
      <c r="H8" s="0" t="n">
        <f aca="false">H6*H7/100</f>
        <v>109.386939847865</v>
      </c>
      <c r="I8" s="0" t="n">
        <f aca="false">I6*I7/100</f>
        <v>100.446661110299</v>
      </c>
      <c r="J8" s="0" t="n">
        <f aca="false">J6*J7/100</f>
        <v>92.7290093149912</v>
      </c>
      <c r="K8" s="0" t="n">
        <f aca="false">K6*K7/100</f>
        <v>85.5025416925125</v>
      </c>
      <c r="L8" s="0" t="n">
        <f aca="false">L6*L7/100</f>
        <v>78.7386799121941</v>
      </c>
    </row>
    <row r="9" customFormat="false" ht="15" hidden="false" customHeight="false" outlineLevel="0" collapsed="false">
      <c r="A9" s="0" t="s">
        <v>124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139</v>
      </c>
      <c r="C10" s="0" t="n">
        <f aca="false">-C6*C9/100</f>
        <v>-0.41263695</v>
      </c>
      <c r="D10" s="0" t="n">
        <f aca="false">-D6*D9/100</f>
        <v>-0.40644739575</v>
      </c>
      <c r="E10" s="0" t="n">
        <f aca="false">-E6*E9/100</f>
        <v>-0.39628621085625</v>
      </c>
      <c r="F10" s="0" t="n">
        <f aca="false">-F6*F9/100</f>
        <v>-0.382416193476281</v>
      </c>
      <c r="G10" s="0" t="n">
        <f aca="false">-G6*G9/100</f>
        <v>-0.36711954573723</v>
      </c>
      <c r="H10" s="0" t="n">
        <f aca="false">-H6*H9/100</f>
        <v>-0.350599166179055</v>
      </c>
      <c r="I10" s="0" t="n">
        <f aca="false">-I6*I9/100</f>
        <v>-0.334822203700997</v>
      </c>
      <c r="J10" s="0" t="n">
        <f aca="false">-J6*J9/100</f>
        <v>-0.319755204534452</v>
      </c>
      <c r="K10" s="0" t="n">
        <f aca="false">-K6*K9/100</f>
        <v>-0.305366220330402</v>
      </c>
      <c r="L10" s="0" t="n">
        <f aca="false">-L6*L9/100</f>
        <v>-0.291624740415534</v>
      </c>
    </row>
    <row r="11" customFormat="false" ht="15" hidden="false" customHeight="false" outlineLevel="0" collapsed="false">
      <c r="A11" s="0" t="s">
        <v>140</v>
      </c>
      <c r="C11" s="0" t="n">
        <f aca="false">C8+C10+C24</f>
        <v>125.85426975</v>
      </c>
      <c r="D11" s="0" t="n">
        <f aca="false">D8+D10+D24</f>
        <v>119.08908695475</v>
      </c>
      <c r="E11" s="0" t="n">
        <f aca="false">E8+E10+E24</f>
        <v>111.356425250606</v>
      </c>
      <c r="F11" s="0" t="n">
        <f aca="false">F8+F10+F24</f>
        <v>102.86995604512</v>
      </c>
      <c r="G11" s="0" t="n">
        <f aca="false">G8+G10+G24</f>
        <v>94.3497232544681</v>
      </c>
      <c r="H11" s="0" t="n">
        <f aca="false">H8+H10+H24</f>
        <v>85.8967957138684</v>
      </c>
      <c r="I11" s="0" t="n">
        <f aca="false">I8+I10+I24</f>
        <v>78.0135734623323</v>
      </c>
      <c r="J11" s="0" t="n">
        <f aca="false">J8+J10+J24</f>
        <v>71.3054106111829</v>
      </c>
      <c r="K11" s="0" t="n">
        <f aca="false">K8+K10+K24</f>
        <v>65.0430049303756</v>
      </c>
      <c r="L11" s="0" t="n">
        <f aca="false">L8+L10+L24</f>
        <v>59.1998223043534</v>
      </c>
    </row>
    <row r="12" customFormat="false" ht="15" hidden="false" customHeight="false" outlineLevel="0" collapsed="false">
      <c r="A12" s="0" t="s">
        <v>141</v>
      </c>
      <c r="C12" s="4" t="n">
        <f aca="false">-C6*Assumptions!C17/100</f>
        <v>-95.7317724</v>
      </c>
      <c r="D12" s="4" t="n">
        <f aca="false">-D6*Assumptions!D17/100</f>
        <v>-93.4829010225</v>
      </c>
      <c r="E12" s="4" t="n">
        <f aca="false">-E6*Assumptions!E17/100</f>
        <v>-90.353256075225</v>
      </c>
      <c r="F12" s="4" t="n">
        <f aca="false">-F6*Assumptions!F17/100</f>
        <v>-86.4260597256396</v>
      </c>
      <c r="G12" s="4" t="n">
        <f aca="false">-G6*Assumptions!G17/100</f>
        <v>-82.2347782451395</v>
      </c>
      <c r="H12" s="4" t="n">
        <f aca="false">-H6*Assumptions!H17/100</f>
        <v>-77.8330148917501</v>
      </c>
      <c r="I12" s="4" t="n">
        <f aca="false">-I6*Assumptions!I17/100</f>
        <v>-73.6608848142194</v>
      </c>
      <c r="J12" s="4" t="n">
        <f aca="false">-J6*Assumptions!J17/100</f>
        <v>-70.3461449975795</v>
      </c>
      <c r="K12" s="4" t="n">
        <f aca="false">-K6*Assumptions!K17/100</f>
        <v>-67.1805684726884</v>
      </c>
      <c r="L12" s="4" t="n">
        <f aca="false">-L6*Assumptions!L17/100</f>
        <v>-64.1574428914175</v>
      </c>
    </row>
    <row r="13" customFormat="false" ht="15" hidden="false" customHeight="false" outlineLevel="0" collapsed="false">
      <c r="A13" s="0" t="s">
        <v>142</v>
      </c>
      <c r="C13" s="0" t="n">
        <f aca="false">C11+C12</f>
        <v>30.12249735</v>
      </c>
      <c r="D13" s="0" t="n">
        <f aca="false">D11+D12</f>
        <v>25.60618593225</v>
      </c>
      <c r="E13" s="0" t="n">
        <f aca="false">E11+E12</f>
        <v>21.0031691753812</v>
      </c>
      <c r="F13" s="0" t="n">
        <f aca="false">F11+F12</f>
        <v>16.4438963194801</v>
      </c>
      <c r="G13" s="0" t="n">
        <f aca="false">G11+G12</f>
        <v>12.1149450093286</v>
      </c>
      <c r="H13" s="0" t="n">
        <f aca="false">H11+H12</f>
        <v>8.06378082211828</v>
      </c>
      <c r="I13" s="0" t="n">
        <f aca="false">I11+I12</f>
        <v>4.35268864811296</v>
      </c>
      <c r="J13" s="0" t="n">
        <f aca="false">J11+J12</f>
        <v>0.959265613603364</v>
      </c>
      <c r="K13" s="0" t="n">
        <f aca="false">K11+K12</f>
        <v>-2.1375635423128</v>
      </c>
      <c r="L13" s="0" t="n">
        <f aca="false">L11+L12</f>
        <v>-4.95762058706406</v>
      </c>
    </row>
    <row r="14" customFormat="false" ht="15" hidden="false" customHeight="false" outlineLevel="0" collapsed="false">
      <c r="A14" s="0" t="s">
        <v>128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143</v>
      </c>
      <c r="C15" s="0" t="n">
        <f aca="false">C13-MAX(0,C13)*C14/100</f>
        <v>21.688198092</v>
      </c>
      <c r="D15" s="0" t="n">
        <f aca="false">D13-MAX(0,D13)*D14/100</f>
        <v>18.43645387122</v>
      </c>
      <c r="E15" s="0" t="n">
        <f aca="false">E13-MAX(0,E13)*E14/100</f>
        <v>15.1222818062745</v>
      </c>
      <c r="F15" s="0" t="n">
        <f aca="false">F13-MAX(0,F13)*F14/100</f>
        <v>11.8396053500257</v>
      </c>
      <c r="G15" s="0" t="n">
        <f aca="false">G13-MAX(0,G13)*G14/100</f>
        <v>8.72276040671659</v>
      </c>
      <c r="H15" s="0" t="n">
        <f aca="false">H13-MAX(0,H13)*H14/100</f>
        <v>5.80592219192516</v>
      </c>
      <c r="I15" s="0" t="n">
        <f aca="false">I13-MAX(0,I13)*I14/100</f>
        <v>3.13393582664133</v>
      </c>
      <c r="J15" s="0" t="n">
        <f aca="false">J13-MAX(0,J13)*J14/100</f>
        <v>0.690671241794422</v>
      </c>
      <c r="K15" s="0" t="n">
        <f aca="false">K13-MAX(0,K13)*K14/100</f>
        <v>-2.1375635423128</v>
      </c>
      <c r="L15" s="0" t="n">
        <f aca="false">L13-MAX(0,L13)*L14/100</f>
        <v>-4.95762058706406</v>
      </c>
    </row>
    <row r="16" customFormat="false" ht="15" hidden="false" customHeight="false" outlineLevel="0" collapsed="false">
      <c r="A16" s="0" t="s">
        <v>144</v>
      </c>
      <c r="C16" s="0" t="n">
        <f aca="false">-C12</f>
        <v>95.7317724</v>
      </c>
      <c r="D16" s="0" t="n">
        <f aca="false">-D12</f>
        <v>93.4829010225</v>
      </c>
      <c r="E16" s="0" t="n">
        <f aca="false">-E12</f>
        <v>90.353256075225</v>
      </c>
      <c r="F16" s="0" t="n">
        <f aca="false">-F12</f>
        <v>86.4260597256396</v>
      </c>
      <c r="G16" s="0" t="n">
        <f aca="false">-G12</f>
        <v>82.2347782451395</v>
      </c>
      <c r="H16" s="0" t="n">
        <f aca="false">-H12</f>
        <v>77.8330148917501</v>
      </c>
      <c r="I16" s="0" t="n">
        <f aca="false">-I12</f>
        <v>73.6608848142194</v>
      </c>
      <c r="J16" s="0" t="n">
        <f aca="false">-J12</f>
        <v>70.3461449975795</v>
      </c>
      <c r="K16" s="0" t="n">
        <f aca="false">-K12</f>
        <v>67.1805684726884</v>
      </c>
      <c r="L16" s="0" t="n">
        <f aca="false">-L12</f>
        <v>64.1574428914175</v>
      </c>
    </row>
    <row r="17" customFormat="false" ht="15" hidden="false" customHeight="false" outlineLevel="0" collapsed="false">
      <c r="A17" s="0" t="s">
        <v>145</v>
      </c>
      <c r="C17" s="4" t="n">
        <f aca="false">-C6*Assumptions!C18/100</f>
        <v>-64.3713642</v>
      </c>
      <c r="D17" s="4" t="n">
        <f aca="false">-D6*Assumptions!D18/100</f>
        <v>-63.405793737</v>
      </c>
      <c r="E17" s="4" t="n">
        <f aca="false">-E6*Assumptions!E18/100</f>
        <v>-61.820648893575</v>
      </c>
      <c r="F17" s="4" t="n">
        <f aca="false">-F6*Assumptions!F18/100</f>
        <v>-61.186590956205</v>
      </c>
      <c r="G17" s="4" t="n">
        <f aca="false">-G6*Assumptions!G18/100</f>
        <v>-58.7391273179568</v>
      </c>
      <c r="H17" s="4" t="n">
        <f aca="false">-H6*Assumptions!H18/100</f>
        <v>-56.0958665886487</v>
      </c>
      <c r="I17" s="4" t="n">
        <f aca="false">-I6*Assumptions!I18/100</f>
        <v>-53.5715525921595</v>
      </c>
      <c r="J17" s="4" t="n">
        <f aca="false">-J6*Assumptions!J18/100</f>
        <v>-51.1608327255124</v>
      </c>
      <c r="K17" s="4" t="n">
        <f aca="false">-K6*Assumptions!K18/100</f>
        <v>-48.8585952528643</v>
      </c>
      <c r="L17" s="4" t="n">
        <f aca="false">-L6*Assumptions!L18/100</f>
        <v>-46.6599584664854</v>
      </c>
    </row>
    <row r="18" customFormat="false" ht="15" hidden="false" customHeight="false" outlineLevel="0" collapsed="false">
      <c r="A18" s="0" t="s">
        <v>146</v>
      </c>
      <c r="C18" s="4" t="n">
        <f aca="false">(C6-B6)*Assumptions!$B$23/100</f>
        <v>-0.0660879999999997</v>
      </c>
      <c r="D18" s="4" t="n">
        <f aca="false">(D6-C6)*Assumptions!$B$23/100</f>
        <v>-0.990328680000002</v>
      </c>
      <c r="E18" s="4" t="n">
        <f aca="false">(E6-D6)*Assumptions!$B$23/100</f>
        <v>-1.62578958300001</v>
      </c>
      <c r="F18" s="4" t="n">
        <f aca="false">(F6-E6)*Assumptions!$B$23/100</f>
        <v>-2.219202780795</v>
      </c>
      <c r="G18" s="4" t="n">
        <f aca="false">(G6-F6)*Assumptions!$B$23/100</f>
        <v>-2.4474636382482</v>
      </c>
      <c r="H18" s="4" t="n">
        <f aca="false">(H6-G6)*Assumptions!$B$23/100</f>
        <v>-2.64326072930806</v>
      </c>
      <c r="I18" s="4" t="n">
        <f aca="false">(I6-H6)*Assumptions!$B$23/100</f>
        <v>-2.52431399648919</v>
      </c>
      <c r="J18" s="4" t="n">
        <f aca="false">(J6-I6)*Assumptions!$B$23/100</f>
        <v>-2.41071986664718</v>
      </c>
      <c r="K18" s="4" t="n">
        <f aca="false">(K6-J6)*Assumptions!$B$23/100</f>
        <v>-2.30223747264806</v>
      </c>
      <c r="L18" s="4" t="n">
        <f aca="false">(L6-K6)*Assumptions!$B$23/100</f>
        <v>-2.19863678637889</v>
      </c>
    </row>
    <row r="19" customFormat="false" ht="15" hidden="false" customHeight="false" outlineLevel="0" collapsed="false">
      <c r="A19" s="0" t="s">
        <v>147</v>
      </c>
      <c r="C19" s="0" t="n">
        <f aca="false">C15+C16+C17+C18</f>
        <v>52.982518292</v>
      </c>
      <c r="D19" s="0" t="n">
        <f aca="false">D15+D16+D17+D18</f>
        <v>47.52323247672</v>
      </c>
      <c r="E19" s="0" t="n">
        <f aca="false">E15+E16+E17+E18</f>
        <v>42.0290994049245</v>
      </c>
      <c r="F19" s="0" t="n">
        <f aca="false">F15+F16+F17+F18</f>
        <v>34.8598713386652</v>
      </c>
      <c r="G19" s="0" t="n">
        <f aca="false">G15+G16+G17+G18</f>
        <v>29.7709476956511</v>
      </c>
      <c r="H19" s="0" t="n">
        <f aca="false">H15+H16+H17+H18</f>
        <v>24.8998097657185</v>
      </c>
      <c r="I19" s="0" t="n">
        <f aca="false">I15+I16+I17+I18</f>
        <v>20.698954052212</v>
      </c>
      <c r="J19" s="0" t="n">
        <f aca="false">J15+J16+J17+J18</f>
        <v>17.4652636472144</v>
      </c>
      <c r="K19" s="0" t="n">
        <f aca="false">K15+K16+K17+K18</f>
        <v>13.8821722048633</v>
      </c>
      <c r="L19" s="0" t="n">
        <f aca="false">L15+L16+L17+L18</f>
        <v>10.3412270514891</v>
      </c>
    </row>
    <row r="20" customFormat="false" ht="15" hidden="false" customHeight="false" outlineLevel="0" collapsed="false">
      <c r="A20" s="0" t="s">
        <v>148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149</v>
      </c>
      <c r="C21" s="0" t="n">
        <f aca="false">C19*C20</f>
        <v>46.8871843292035</v>
      </c>
      <c r="D21" s="0" t="n">
        <f aca="false">D19*D20</f>
        <v>37.2176618973451</v>
      </c>
      <c r="E21" s="0" t="n">
        <f aca="false">E19*E20</f>
        <v>29.1282741629683</v>
      </c>
      <c r="F21" s="0" t="n">
        <f aca="false">F19*F20</f>
        <v>21.3802119364969</v>
      </c>
      <c r="G21" s="0" t="n">
        <f aca="false">G19*G20</f>
        <v>16.1584776659345</v>
      </c>
      <c r="H21" s="0" t="n">
        <f aca="false">H19*H20</f>
        <v>11.9598399600352</v>
      </c>
      <c r="I21" s="0" t="n">
        <f aca="false">I19*I20</f>
        <v>8.79831073430504</v>
      </c>
      <c r="J21" s="0" t="n">
        <f aca="false">J19*J20</f>
        <v>6.56973115847879</v>
      </c>
      <c r="K21" s="0" t="n">
        <f aca="false">K19*K20</f>
        <v>4.62116458140338</v>
      </c>
      <c r="L21" s="0" t="n">
        <f aca="false">L19*L20</f>
        <v>3.04640499469537</v>
      </c>
    </row>
    <row r="23" customFormat="false" ht="15" hidden="false" customHeight="false" outlineLevel="0" collapsed="false">
      <c r="A23" s="0" t="s">
        <v>125</v>
      </c>
      <c r="C23" s="4" t="n">
        <f aca="false">Assumptions!C16</f>
        <v>3.3</v>
      </c>
      <c r="D23" s="4" t="n">
        <f aca="false">Assumptions!D16</f>
        <v>3.3</v>
      </c>
      <c r="E23" s="4" t="n">
        <f aca="false">Assumptions!E16</f>
        <v>3.3</v>
      </c>
      <c r="F23" s="4" t="n">
        <f aca="false">Assumptions!F16</f>
        <v>3.3</v>
      </c>
      <c r="G23" s="4" t="n">
        <f aca="false">Assumptions!G16</f>
        <v>3.3</v>
      </c>
      <c r="H23" s="4" t="n">
        <f aca="false">Assumptions!H16</f>
        <v>3.3</v>
      </c>
      <c r="I23" s="4" t="n">
        <f aca="false">Assumptions!I16</f>
        <v>3.3</v>
      </c>
      <c r="J23" s="4" t="n">
        <f aca="false">Assumptions!J16</f>
        <v>3.3</v>
      </c>
      <c r="K23" s="4" t="n">
        <f aca="false">Assumptions!K16</f>
        <v>3.3</v>
      </c>
      <c r="L23" s="4" t="n">
        <f aca="false">Assumptions!L16</f>
        <v>3.3</v>
      </c>
    </row>
    <row r="24" customFormat="false" ht="15" hidden="false" customHeight="false" outlineLevel="0" collapsed="false">
      <c r="A24" s="0" t="s">
        <v>150</v>
      </c>
      <c r="C24" s="0" t="n">
        <f aca="false">-C6*C23/100</f>
        <v>-27.2340387</v>
      </c>
      <c r="D24" s="0" t="n">
        <f aca="false">-D6*D23/100</f>
        <v>-26.8255281195</v>
      </c>
      <c r="E24" s="0" t="n">
        <f aca="false">-E6*E23/100</f>
        <v>-26.1548899165125</v>
      </c>
      <c r="F24" s="0" t="n">
        <f aca="false">-F6*F23/100</f>
        <v>-25.2394687694346</v>
      </c>
      <c r="G24" s="0" t="n">
        <f aca="false">-G6*G23/100</f>
        <v>-24.2298900186572</v>
      </c>
      <c r="H24" s="0" t="n">
        <f aca="false">-H6*H23/100</f>
        <v>-23.1395449678176</v>
      </c>
      <c r="I24" s="0" t="n">
        <f aca="false">-I6*I23/100</f>
        <v>-22.0982654442658</v>
      </c>
      <c r="J24" s="0" t="n">
        <f aca="false">-J6*J23/100</f>
        <v>-21.1038434992739</v>
      </c>
      <c r="K24" s="0" t="n">
        <f aca="false">-K6*K23/100</f>
        <v>-20.1541705418065</v>
      </c>
      <c r="L24" s="0" t="n">
        <f aca="false">-L6*L23/100</f>
        <v>-19.2472328674252</v>
      </c>
    </row>
    <row r="26" customFormat="false" ht="15" hidden="false" customHeight="false" outlineLevel="0" collapsed="false">
      <c r="A26" s="2" t="s">
        <v>151</v>
      </c>
    </row>
    <row r="27" customFormat="false" ht="15" hidden="false" customHeight="false" outlineLevel="0" collapsed="false">
      <c r="A27" s="0" t="s">
        <v>129</v>
      </c>
      <c r="B27" s="4" t="n">
        <f aca="false">Assumptions!$B$20</f>
        <v>13</v>
      </c>
    </row>
    <row r="28" customFormat="false" ht="15" hidden="false" customHeight="false" outlineLevel="0" collapsed="false">
      <c r="A28" s="0" t="s">
        <v>130</v>
      </c>
      <c r="B28" s="4" t="n">
        <f aca="false">Assumptions!$B$21</f>
        <v>-1</v>
      </c>
    </row>
    <row r="29" customFormat="false" ht="15" hidden="false" customHeight="false" outlineLevel="0" collapsed="false">
      <c r="A29" s="0" t="s">
        <v>131</v>
      </c>
      <c r="B29" s="4" t="n">
        <f aca="false">Assumptions!$B$22</f>
        <v>23.6</v>
      </c>
    </row>
    <row r="30" customFormat="false" ht="15" hidden="false" customHeight="false" outlineLevel="0" collapsed="false">
      <c r="A30" s="0" t="s">
        <v>152</v>
      </c>
      <c r="B30" s="0" t="n">
        <f aca="false">SUM(C21:L21)</f>
        <v>185.767261420866</v>
      </c>
    </row>
    <row r="31" customFormat="false" ht="15" hidden="false" customHeight="false" outlineLevel="0" collapsed="false">
      <c r="A31" s="0" t="s">
        <v>153</v>
      </c>
      <c r="B31" s="0" t="n">
        <f aca="false">L19</f>
        <v>10.3412270514891</v>
      </c>
    </row>
    <row r="32" customFormat="false" ht="15" hidden="false" customHeight="false" outlineLevel="0" collapsed="false">
      <c r="A32" s="0" t="s">
        <v>154</v>
      </c>
      <c r="B32" s="0" t="n">
        <f aca="false">IF(B27&gt;B28,B31*(1+B28/100)/((B27-B28)/100),B31*B29)</f>
        <v>73.1272484355299</v>
      </c>
    </row>
    <row r="33" customFormat="false" ht="15" hidden="false" customHeight="false" outlineLevel="0" collapsed="false">
      <c r="A33" s="0" t="s">
        <v>155</v>
      </c>
      <c r="B33" s="0" t="n">
        <f aca="false">B31*B29</f>
        <v>244.052958415142</v>
      </c>
    </row>
    <row r="34" customFormat="false" ht="15" hidden="false" customHeight="false" outlineLevel="0" collapsed="false">
      <c r="A34" s="0" t="s">
        <v>156</v>
      </c>
      <c r="B34" s="0" t="n">
        <f aca="false">MAX(0,MIN(B32,B33))</f>
        <v>73.1272484355299</v>
      </c>
    </row>
    <row r="35" customFormat="false" ht="15" hidden="false" customHeight="false" outlineLevel="0" collapsed="false">
      <c r="A35" s="0" t="s">
        <v>157</v>
      </c>
      <c r="B35" s="0" t="n">
        <f aca="false">B34/(1+B27/100)^L4</f>
        <v>21.5424353196315</v>
      </c>
    </row>
    <row r="36" customFormat="false" ht="15" hidden="false" customHeight="false" outlineLevel="0" collapsed="false">
      <c r="A36" s="0" t="s">
        <v>158</v>
      </c>
      <c r="B36" s="0" t="n">
        <f aca="false">B30+B35</f>
        <v>207.309696740498</v>
      </c>
    </row>
    <row r="37" customFormat="false" ht="15" hidden="false" customHeight="false" outlineLevel="0" collapsed="false">
      <c r="A37" s="0" t="s">
        <v>159</v>
      </c>
      <c r="B37" s="0" t="n">
        <f aca="false">B36+Assumptions!$B$5-Assumptions!$B$4</f>
        <v>286.449696740498</v>
      </c>
    </row>
    <row r="38" customFormat="false" ht="15" hidden="false" customHeight="false" outlineLevel="0" collapsed="false">
      <c r="A38" s="0" t="s">
        <v>160</v>
      </c>
      <c r="B38" s="0" t="n">
        <f aca="false">B37/Assumptions!$B$3*Assumptions!$B$10</f>
        <v>2.06670680611029</v>
      </c>
    </row>
    <row r="39" customFormat="false" ht="15" hidden="false" customHeight="false" outlineLevel="0" collapsed="false">
      <c r="A39" s="0" t="s">
        <v>161</v>
      </c>
      <c r="B39" s="4" t="n">
        <f aca="false">B38/Assumptions!$B$2-1</f>
        <v>-0.409512341111347</v>
      </c>
    </row>
    <row r="41" customFormat="false" ht="15" hidden="false" customHeight="false" outlineLevel="0" collapsed="false">
      <c r="A41" s="0" t="s">
        <v>162</v>
      </c>
      <c r="B41" s="0" t="n">
        <f aca="false">SUMPRODUCT(-C10:L10/(1+$B$27/100)^C4:L4)</f>
        <v>2.01047951365686</v>
      </c>
    </row>
    <row r="42" customFormat="false" ht="15" hidden="false" customHeight="false" outlineLevel="0" collapsed="false">
      <c r="A42" s="0" t="s">
        <v>163</v>
      </c>
      <c r="B42" s="0" t="n">
        <f aca="false">IF(B27&gt;B28,-L10*(1+B28/100)/((B27-B28)/100),-L10*20)/(1+B27/100)^L4</f>
        <v>0.607501128901464</v>
      </c>
    </row>
    <row r="43" customFormat="false" ht="15" hidden="false" customHeight="false" outlineLevel="0" collapsed="false">
      <c r="A43" s="0" t="s">
        <v>164</v>
      </c>
      <c r="B43" s="0" t="n">
        <f aca="false">(B37+B41+B42)/Assumptions!$B$3*Assumptions!$B$10</f>
        <v>2.0855952827741</v>
      </c>
    </row>
    <row r="45" customFormat="false" ht="15" hidden="false" customHeight="false" outlineLevel="0" collapsed="false">
      <c r="A45" s="0" t="s">
        <v>105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165</v>
      </c>
      <c r="B46" s="0" t="n">
        <f aca="false">MAX(0,MIN(IF(B45&gt;B28,B31*(1+B28/100)/((B45-B28)/100),B31*B29),B31*B29))</f>
        <v>63.9863423810887</v>
      </c>
    </row>
    <row r="47" customFormat="false" ht="15" hidden="false" customHeight="false" outlineLevel="0" collapsed="false">
      <c r="A47" s="0" t="s">
        <v>166</v>
      </c>
      <c r="B47" s="0" t="n">
        <f aca="false">(SUMPRODUCT(C19:L19/(1+B45/100)^C4:L4)+B46/(1+B45/100)^L4+Assumptions!$B$5-Assumptions!$B$4)/Assumptions!$B$3*Assumptions!$B$10</f>
        <v>1.94866055913465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167</v>
      </c>
    </row>
    <row r="3" customFormat="false" ht="15" hidden="false" customHeight="false" outlineLevel="0" collapsed="false">
      <c r="A3" s="0" t="s">
        <v>137</v>
      </c>
      <c r="B3" s="0" t="s">
        <v>99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</row>
    <row r="4" customFormat="false" ht="15" hidden="false" customHeight="false" outlineLevel="0" collapsed="false">
      <c r="A4" s="0" t="s">
        <v>138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122</v>
      </c>
      <c r="C5" s="4" t="n">
        <f aca="false">Assumptions!C27</f>
        <v>0.8</v>
      </c>
      <c r="D5" s="4" t="n">
        <f aca="false">Assumptions!D27</f>
        <v>0.5</v>
      </c>
      <c r="E5" s="4" t="n">
        <f aca="false">Assumptions!E27</f>
        <v>0</v>
      </c>
      <c r="F5" s="4" t="n">
        <f aca="false">Assumptions!F27</f>
        <v>-0.5</v>
      </c>
      <c r="G5" s="4" t="n">
        <f aca="false">Assumptions!G27</f>
        <v>-1</v>
      </c>
      <c r="H5" s="4" t="n">
        <f aca="false">Assumptions!H27</f>
        <v>-1.2</v>
      </c>
      <c r="I5" s="4" t="n">
        <f aca="false">Assumptions!I27</f>
        <v>-1.5</v>
      </c>
      <c r="J5" s="4" t="n">
        <f aca="false">Assumptions!J27</f>
        <v>-1.5</v>
      </c>
      <c r="K5" s="4" t="n">
        <f aca="false">Assumptions!K27</f>
        <v>-1.5</v>
      </c>
      <c r="L5" s="4" t="n">
        <f aca="false">Assumptions!L27</f>
        <v>-1.5</v>
      </c>
    </row>
    <row r="6" customFormat="false" ht="15" hidden="false" customHeight="false" outlineLevel="0" collapsed="false">
      <c r="A6" s="0" t="s">
        <v>61</v>
      </c>
      <c r="B6" s="3" t="n">
        <v>826.1</v>
      </c>
      <c r="C6" s="0" t="n">
        <f aca="false">B6*(1+C5/100)</f>
        <v>832.7088</v>
      </c>
      <c r="D6" s="0" t="n">
        <f aca="false">C6*(1+D5/100)</f>
        <v>836.872344</v>
      </c>
      <c r="E6" s="0" t="n">
        <f aca="false">D6*(1+E5/100)</f>
        <v>836.872344</v>
      </c>
      <c r="F6" s="0" t="n">
        <f aca="false">E6*(1+F5/100)</f>
        <v>832.68798228</v>
      </c>
      <c r="G6" s="0" t="n">
        <f aca="false">F6*(1+G5/100)</f>
        <v>824.3611024572</v>
      </c>
      <c r="H6" s="0" t="n">
        <f aca="false">G6*(1+H5/100)</f>
        <v>814.468769227713</v>
      </c>
      <c r="I6" s="0" t="n">
        <f aca="false">H6*(1+I5/100)</f>
        <v>802.251737689298</v>
      </c>
      <c r="J6" s="0" t="n">
        <f aca="false">I6*(1+J5/100)</f>
        <v>790.217961623958</v>
      </c>
      <c r="K6" s="0" t="n">
        <f aca="false">J6*(1+K5/100)</f>
        <v>778.364692199599</v>
      </c>
      <c r="L6" s="0" t="n">
        <f aca="false">K6*(1+L5/100)</f>
        <v>766.689221816605</v>
      </c>
    </row>
    <row r="7" customFormat="false" ht="15" hidden="false" customHeight="false" outlineLevel="0" collapsed="false">
      <c r="A7" s="0" t="s">
        <v>123</v>
      </c>
      <c r="C7" s="4" t="n">
        <f aca="false">Assumptions!C28</f>
        <v>19.2</v>
      </c>
      <c r="D7" s="4" t="n">
        <f aca="false">Assumptions!D28</f>
        <v>19.8</v>
      </c>
      <c r="E7" s="4" t="n">
        <f aca="false">Assumptions!E28</f>
        <v>20.3</v>
      </c>
      <c r="F7" s="4" t="n">
        <f aca="false">Assumptions!F28</f>
        <v>20.5</v>
      </c>
      <c r="G7" s="4" t="n">
        <f aca="false">Assumptions!G28</f>
        <v>20.4</v>
      </c>
      <c r="H7" s="4" t="n">
        <f aca="false">Assumptions!H28</f>
        <v>20.2</v>
      </c>
      <c r="I7" s="4" t="n">
        <f aca="false">Assumptions!I28</f>
        <v>20</v>
      </c>
      <c r="J7" s="4" t="n">
        <f aca="false">Assumptions!J28</f>
        <v>19.8</v>
      </c>
      <c r="K7" s="4" t="n">
        <f aca="false">Assumptions!K28</f>
        <v>19.6</v>
      </c>
      <c r="L7" s="4" t="n">
        <f aca="false">Assumptions!L28</f>
        <v>19.4</v>
      </c>
    </row>
    <row r="8" customFormat="false" ht="15" hidden="false" customHeight="false" outlineLevel="0" collapsed="false">
      <c r="A8" s="0" t="s">
        <v>67</v>
      </c>
      <c r="C8" s="0" t="n">
        <f aca="false">C6*C7/100</f>
        <v>159.8800896</v>
      </c>
      <c r="D8" s="0" t="n">
        <f aca="false">D6*D7/100</f>
        <v>165.700724112</v>
      </c>
      <c r="E8" s="0" t="n">
        <f aca="false">E6*E7/100</f>
        <v>169.885085832</v>
      </c>
      <c r="F8" s="0" t="n">
        <f aca="false">F6*F7/100</f>
        <v>170.7010363674</v>
      </c>
      <c r="G8" s="0" t="n">
        <f aca="false">G6*G7/100</f>
        <v>168.169664901269</v>
      </c>
      <c r="H8" s="0" t="n">
        <f aca="false">H6*H7/100</f>
        <v>164.522691383998</v>
      </c>
      <c r="I8" s="0" t="n">
        <f aca="false">I6*I7/100</f>
        <v>160.45034753786</v>
      </c>
      <c r="J8" s="0" t="n">
        <f aca="false">J6*J7/100</f>
        <v>156.463156401544</v>
      </c>
      <c r="K8" s="0" t="n">
        <f aca="false">K6*K7/100</f>
        <v>152.559479671121</v>
      </c>
      <c r="L8" s="0" t="n">
        <f aca="false">L6*L7/100</f>
        <v>148.737709032421</v>
      </c>
    </row>
    <row r="9" customFormat="false" ht="15" hidden="false" customHeight="false" outlineLevel="0" collapsed="false">
      <c r="A9" s="0" t="s">
        <v>124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139</v>
      </c>
      <c r="C10" s="0" t="n">
        <f aca="false">-C6*C9/100</f>
        <v>-0.4163544</v>
      </c>
      <c r="D10" s="0" t="n">
        <f aca="false">-D6*D9/100</f>
        <v>-0.418436172</v>
      </c>
      <c r="E10" s="0" t="n">
        <f aca="false">-E6*E9/100</f>
        <v>-0.418436172</v>
      </c>
      <c r="F10" s="0" t="n">
        <f aca="false">-F6*F9/100</f>
        <v>-0.41634399114</v>
      </c>
      <c r="G10" s="0" t="n">
        <f aca="false">-G6*G9/100</f>
        <v>-0.4121805512286</v>
      </c>
      <c r="H10" s="0" t="n">
        <f aca="false">-H6*H9/100</f>
        <v>-0.407234384613857</v>
      </c>
      <c r="I10" s="0" t="n">
        <f aca="false">-I6*I9/100</f>
        <v>-0.401125868844649</v>
      </c>
      <c r="J10" s="0" t="n">
        <f aca="false">-J6*J9/100</f>
        <v>-0.395108980811979</v>
      </c>
      <c r="K10" s="0" t="n">
        <f aca="false">-K6*K9/100</f>
        <v>-0.389182346099799</v>
      </c>
      <c r="L10" s="0" t="n">
        <f aca="false">-L6*L9/100</f>
        <v>-0.383344610908302</v>
      </c>
    </row>
    <row r="11" customFormat="false" ht="15" hidden="false" customHeight="false" outlineLevel="0" collapsed="false">
      <c r="A11" s="0" t="s">
        <v>140</v>
      </c>
      <c r="C11" s="0" t="n">
        <f aca="false">C8+C10+C24</f>
        <v>133.15013712</v>
      </c>
      <c r="D11" s="0" t="n">
        <f aca="false">D8+D10+D24</f>
        <v>138.8371218696</v>
      </c>
      <c r="E11" s="0" t="n">
        <f aca="false">E8+E10+E24</f>
        <v>143.0214835896</v>
      </c>
      <c r="F11" s="0" t="n">
        <f aca="false">F8+F10+F24</f>
        <v>143.971752136212</v>
      </c>
      <c r="G11" s="0" t="n">
        <f aca="false">G8+G10+G24</f>
        <v>141.707673512393</v>
      </c>
      <c r="H11" s="0" t="n">
        <f aca="false">H8+H10+H24</f>
        <v>138.378243891789</v>
      </c>
      <c r="I11" s="0" t="n">
        <f aca="false">I8+I10+I24</f>
        <v>134.698066758033</v>
      </c>
      <c r="J11" s="0" t="n">
        <f aca="false">J8+J10+J24</f>
        <v>131.097159833415</v>
      </c>
      <c r="K11" s="0" t="n">
        <f aca="false">K8+K10+K24</f>
        <v>127.573973051514</v>
      </c>
      <c r="L11" s="0" t="n">
        <f aca="false">L8+L10+L24</f>
        <v>124.126985012108</v>
      </c>
    </row>
    <row r="12" customFormat="false" ht="15" hidden="false" customHeight="false" outlineLevel="0" collapsed="false">
      <c r="A12" s="0" t="s">
        <v>141</v>
      </c>
      <c r="C12" s="4" t="n">
        <f aca="false">-C6*Assumptions!C31/100</f>
        <v>-95.761512</v>
      </c>
      <c r="D12" s="4" t="n">
        <f aca="false">-D6*Assumptions!D31/100</f>
        <v>-93.729702528</v>
      </c>
      <c r="E12" s="4" t="n">
        <f aca="false">-E6*Assumptions!E31/100</f>
        <v>-92.05595784</v>
      </c>
      <c r="F12" s="4" t="n">
        <f aca="false">-F6*Assumptions!F31/100</f>
        <v>-89.93030208624</v>
      </c>
      <c r="G12" s="4" t="n">
        <f aca="false">-G6*Assumptions!G31/100</f>
        <v>-87.3822768604632</v>
      </c>
      <c r="H12" s="4" t="n">
        <f aca="false">-H6*Assumptions!H31/100</f>
        <v>-85.5192207689099</v>
      </c>
      <c r="I12" s="4" t="n">
        <f aca="false">-I6*Assumptions!I31/100</f>
        <v>-83.434180719687</v>
      </c>
      <c r="J12" s="4" t="n">
        <f aca="false">-J6*Assumptions!J31/100</f>
        <v>-81.3924500472677</v>
      </c>
      <c r="K12" s="4" t="n">
        <f aca="false">-K6*Assumptions!K31/100</f>
        <v>-79.3931986043591</v>
      </c>
      <c r="L12" s="4" t="n">
        <f aca="false">-L6*Assumptions!L31/100</f>
        <v>-77.4356114034771</v>
      </c>
    </row>
    <row r="13" customFormat="false" ht="15" hidden="false" customHeight="false" outlineLevel="0" collapsed="false">
      <c r="A13" s="0" t="s">
        <v>142</v>
      </c>
      <c r="C13" s="0" t="n">
        <f aca="false">C11+C12</f>
        <v>37.38862512</v>
      </c>
      <c r="D13" s="0" t="n">
        <f aca="false">D11+D12</f>
        <v>45.1074193416</v>
      </c>
      <c r="E13" s="0" t="n">
        <f aca="false">E11+E12</f>
        <v>50.9655257496</v>
      </c>
      <c r="F13" s="0" t="n">
        <f aca="false">F11+F12</f>
        <v>54.041450049972</v>
      </c>
      <c r="G13" s="0" t="n">
        <f aca="false">G11+G12</f>
        <v>54.3253966519294</v>
      </c>
      <c r="H13" s="0" t="n">
        <f aca="false">H11+H12</f>
        <v>52.8590231228786</v>
      </c>
      <c r="I13" s="0" t="n">
        <f aca="false">I11+I12</f>
        <v>51.2638860383461</v>
      </c>
      <c r="J13" s="0" t="n">
        <f aca="false">J11+J12</f>
        <v>49.704709786147</v>
      </c>
      <c r="K13" s="0" t="n">
        <f aca="false">K11+K12</f>
        <v>48.1807744471552</v>
      </c>
      <c r="L13" s="0" t="n">
        <f aca="false">L11+L12</f>
        <v>46.6913736086312</v>
      </c>
    </row>
    <row r="14" customFormat="false" ht="15" hidden="false" customHeight="false" outlineLevel="0" collapsed="false">
      <c r="A14" s="0" t="s">
        <v>128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143</v>
      </c>
      <c r="C15" s="0" t="n">
        <f aca="false">C13-MAX(0,C13)*C14/100</f>
        <v>26.9198100864</v>
      </c>
      <c r="D15" s="0" t="n">
        <f aca="false">D13-MAX(0,D13)*D14/100</f>
        <v>32.477341925952</v>
      </c>
      <c r="E15" s="0" t="n">
        <f aca="false">E13-MAX(0,E13)*E14/100</f>
        <v>36.695178539712</v>
      </c>
      <c r="F15" s="0" t="n">
        <f aca="false">F13-MAX(0,F13)*F14/100</f>
        <v>38.9098440359798</v>
      </c>
      <c r="G15" s="0" t="n">
        <f aca="false">G13-MAX(0,G13)*G14/100</f>
        <v>39.1142855893892</v>
      </c>
      <c r="H15" s="0" t="n">
        <f aca="false">H13-MAX(0,H13)*H14/100</f>
        <v>38.0584966484726</v>
      </c>
      <c r="I15" s="0" t="n">
        <f aca="false">I13-MAX(0,I13)*I14/100</f>
        <v>36.9099979476092</v>
      </c>
      <c r="J15" s="0" t="n">
        <f aca="false">J13-MAX(0,J13)*J14/100</f>
        <v>35.7873910460258</v>
      </c>
      <c r="K15" s="0" t="n">
        <f aca="false">K13-MAX(0,K13)*K14/100</f>
        <v>34.6901576019517</v>
      </c>
      <c r="L15" s="0" t="n">
        <f aca="false">L13-MAX(0,L13)*L14/100</f>
        <v>33.6177889982145</v>
      </c>
    </row>
    <row r="16" customFormat="false" ht="15" hidden="false" customHeight="false" outlineLevel="0" collapsed="false">
      <c r="A16" s="0" t="s">
        <v>144</v>
      </c>
      <c r="C16" s="0" t="n">
        <f aca="false">-C12</f>
        <v>95.761512</v>
      </c>
      <c r="D16" s="0" t="n">
        <f aca="false">-D12</f>
        <v>93.729702528</v>
      </c>
      <c r="E16" s="0" t="n">
        <f aca="false">-E12</f>
        <v>92.05595784</v>
      </c>
      <c r="F16" s="0" t="n">
        <f aca="false">-F12</f>
        <v>89.93030208624</v>
      </c>
      <c r="G16" s="0" t="n">
        <f aca="false">-G12</f>
        <v>87.3822768604632</v>
      </c>
      <c r="H16" s="0" t="n">
        <f aca="false">-H12</f>
        <v>85.5192207689099</v>
      </c>
      <c r="I16" s="0" t="n">
        <f aca="false">-I12</f>
        <v>83.434180719687</v>
      </c>
      <c r="J16" s="0" t="n">
        <f aca="false">-J12</f>
        <v>81.3924500472677</v>
      </c>
      <c r="K16" s="0" t="n">
        <f aca="false">-K12</f>
        <v>79.3931986043591</v>
      </c>
      <c r="L16" s="0" t="n">
        <f aca="false">-L12</f>
        <v>77.4356114034771</v>
      </c>
    </row>
    <row r="17" customFormat="false" ht="15" hidden="false" customHeight="false" outlineLevel="0" collapsed="false">
      <c r="A17" s="0" t="s">
        <v>145</v>
      </c>
      <c r="C17" s="4" t="n">
        <f aca="false">-C6*Assumptions!C32/100</f>
        <v>-62.45316</v>
      </c>
      <c r="D17" s="4" t="n">
        <f aca="false">-D6*Assumptions!D32/100</f>
        <v>-60.254808768</v>
      </c>
      <c r="E17" s="4" t="n">
        <f aca="false">-E6*Assumptions!E32/100</f>
        <v>-58.58106408</v>
      </c>
      <c r="F17" s="4" t="n">
        <f aca="false">-F6*Assumptions!F32/100</f>
        <v>-58.2881587596</v>
      </c>
      <c r="G17" s="4" t="n">
        <f aca="false">-G6*Assumptions!G32/100</f>
        <v>-57.705277172004</v>
      </c>
      <c r="H17" s="4" t="n">
        <f aca="false">-H6*Assumptions!H32/100</f>
        <v>-57.0128138459399</v>
      </c>
      <c r="I17" s="4" t="n">
        <f aca="false">-I6*Assumptions!I32/100</f>
        <v>-56.1576216382508</v>
      </c>
      <c r="J17" s="4" t="n">
        <f aca="false">-J6*Assumptions!J32/100</f>
        <v>-55.3152573136771</v>
      </c>
      <c r="K17" s="4" t="n">
        <f aca="false">-K6*Assumptions!K32/100</f>
        <v>-54.4855284539719</v>
      </c>
      <c r="L17" s="4" t="n">
        <f aca="false">-L6*Assumptions!L32/100</f>
        <v>-53.6682455271623</v>
      </c>
    </row>
    <row r="18" customFormat="false" ht="15" hidden="false" customHeight="false" outlineLevel="0" collapsed="false">
      <c r="A18" s="0" t="s">
        <v>146</v>
      </c>
      <c r="C18" s="4" t="n">
        <f aca="false">(C6-B6)*Assumptions!$B$37/100</f>
        <v>0.660879999999997</v>
      </c>
      <c r="D18" s="4" t="n">
        <f aca="false">(D6-C6)*Assumptions!$B$37/100</f>
        <v>0.416354399999989</v>
      </c>
      <c r="E18" s="4" t="n">
        <f aca="false">(E6-D6)*Assumptions!$B$37/100</f>
        <v>0</v>
      </c>
      <c r="F18" s="4" t="n">
        <f aca="false">(F6-E6)*Assumptions!$B$37/100</f>
        <v>-0.418436171999997</v>
      </c>
      <c r="G18" s="4" t="n">
        <f aca="false">(G6-F6)*Assumptions!$B$37/100</f>
        <v>-0.832687982280004</v>
      </c>
      <c r="H18" s="4" t="n">
        <f aca="false">(H6-G6)*Assumptions!$B$37/100</f>
        <v>-0.989233322948644</v>
      </c>
      <c r="I18" s="4" t="n">
        <f aca="false">(I6-H6)*Assumptions!$B$37/100</f>
        <v>-1.22170315384158</v>
      </c>
      <c r="J18" s="4" t="n">
        <f aca="false">(J6-I6)*Assumptions!$B$37/100</f>
        <v>-1.20337760653395</v>
      </c>
      <c r="K18" s="4" t="n">
        <f aca="false">(K6-J6)*Assumptions!$B$37/100</f>
        <v>-1.18532694243594</v>
      </c>
      <c r="L18" s="4" t="n">
        <f aca="false">(L6-K6)*Assumptions!$B$37/100</f>
        <v>-1.1675470382994</v>
      </c>
    </row>
    <row r="19" customFormat="false" ht="15" hidden="false" customHeight="false" outlineLevel="0" collapsed="false">
      <c r="A19" s="0" t="s">
        <v>147</v>
      </c>
      <c r="C19" s="0" t="n">
        <f aca="false">C15+C16+C17+C18</f>
        <v>60.8890420864</v>
      </c>
      <c r="D19" s="0" t="n">
        <f aca="false">D15+D16+D17+D18</f>
        <v>66.368590085952</v>
      </c>
      <c r="E19" s="0" t="n">
        <f aca="false">E15+E16+E17+E18</f>
        <v>70.170072299712</v>
      </c>
      <c r="F19" s="0" t="n">
        <f aca="false">F15+F16+F17+F18</f>
        <v>70.1335511906198</v>
      </c>
      <c r="G19" s="0" t="n">
        <f aca="false">G15+G16+G17+G18</f>
        <v>67.9585972955684</v>
      </c>
      <c r="H19" s="0" t="n">
        <f aca="false">H15+H16+H17+H18</f>
        <v>65.5756702484939</v>
      </c>
      <c r="I19" s="0" t="n">
        <f aca="false">I15+I16+I17+I18</f>
        <v>62.9648538752037</v>
      </c>
      <c r="J19" s="0" t="n">
        <f aca="false">J15+J16+J17+J18</f>
        <v>60.6612061730825</v>
      </c>
      <c r="K19" s="0" t="n">
        <f aca="false">K15+K16+K17+K18</f>
        <v>58.412500809903</v>
      </c>
      <c r="L19" s="0" t="n">
        <f aca="false">L15+L16+L17+L18</f>
        <v>56.2176078362298</v>
      </c>
    </row>
    <row r="20" customFormat="false" ht="15" hidden="false" customHeight="false" outlineLevel="0" collapsed="false">
      <c r="A20" s="0" t="s">
        <v>148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149</v>
      </c>
      <c r="C21" s="0" t="n">
        <f aca="false">C19*C20</f>
        <v>53.884108041062</v>
      </c>
      <c r="D21" s="0" t="n">
        <f aca="false">D19*D20</f>
        <v>51.9763412060083</v>
      </c>
      <c r="E21" s="0" t="n">
        <f aca="false">E19*E20</f>
        <v>48.631379994353</v>
      </c>
      <c r="F21" s="0" t="n">
        <f aca="false">F19*F20</f>
        <v>43.0142203838674</v>
      </c>
      <c r="G21" s="0" t="n">
        <f aca="false">G19*G20</f>
        <v>36.885203918755</v>
      </c>
      <c r="H21" s="0" t="n">
        <f aca="false">H19*H20</f>
        <v>31.4972093691978</v>
      </c>
      <c r="I21" s="0" t="n">
        <f aca="false">I19*I20</f>
        <v>26.7638813215759</v>
      </c>
      <c r="J21" s="0" t="n">
        <f aca="false">J19*J20</f>
        <v>22.8183109259716</v>
      </c>
      <c r="K21" s="0" t="n">
        <f aca="false">K19*K20</f>
        <v>19.444635599561</v>
      </c>
      <c r="L21" s="0" t="n">
        <f aca="false">L19*L20</f>
        <v>16.5610522280773</v>
      </c>
    </row>
    <row r="23" customFormat="false" ht="15" hidden="false" customHeight="false" outlineLevel="0" collapsed="false">
      <c r="A23" s="0" t="s">
        <v>125</v>
      </c>
      <c r="C23" s="4" t="n">
        <f aca="false">Assumptions!C30</f>
        <v>3.16</v>
      </c>
      <c r="D23" s="4" t="n">
        <f aca="false">Assumptions!D30</f>
        <v>3.16</v>
      </c>
      <c r="E23" s="4" t="n">
        <f aca="false">Assumptions!E30</f>
        <v>3.16</v>
      </c>
      <c r="F23" s="4" t="n">
        <f aca="false">Assumptions!F30</f>
        <v>3.16</v>
      </c>
      <c r="G23" s="4" t="n">
        <f aca="false">Assumptions!G30</f>
        <v>3.16</v>
      </c>
      <c r="H23" s="4" t="n">
        <f aca="false">Assumptions!H30</f>
        <v>3.16</v>
      </c>
      <c r="I23" s="4" t="n">
        <f aca="false">Assumptions!I30</f>
        <v>3.16</v>
      </c>
      <c r="J23" s="4" t="n">
        <f aca="false">Assumptions!J30</f>
        <v>3.16</v>
      </c>
      <c r="K23" s="4" t="n">
        <f aca="false">Assumptions!K30</f>
        <v>3.16</v>
      </c>
      <c r="L23" s="4" t="n">
        <f aca="false">Assumptions!L30</f>
        <v>3.16</v>
      </c>
    </row>
    <row r="24" customFormat="false" ht="15" hidden="false" customHeight="false" outlineLevel="0" collapsed="false">
      <c r="A24" s="0" t="s">
        <v>150</v>
      </c>
      <c r="C24" s="0" t="n">
        <f aca="false">-C6*C23/100</f>
        <v>-26.31359808</v>
      </c>
      <c r="D24" s="0" t="n">
        <f aca="false">-D6*D23/100</f>
        <v>-26.4451660704</v>
      </c>
      <c r="E24" s="0" t="n">
        <f aca="false">-E6*E23/100</f>
        <v>-26.4451660704</v>
      </c>
      <c r="F24" s="0" t="n">
        <f aca="false">-F6*F23/100</f>
        <v>-26.312940240048</v>
      </c>
      <c r="G24" s="0" t="n">
        <f aca="false">-G6*G23/100</f>
        <v>-26.0498108376475</v>
      </c>
      <c r="H24" s="0" t="n">
        <f aca="false">-H6*H23/100</f>
        <v>-25.7372131075957</v>
      </c>
      <c r="I24" s="0" t="n">
        <f aca="false">-I6*I23/100</f>
        <v>-25.3511549109818</v>
      </c>
      <c r="J24" s="0" t="n">
        <f aca="false">-J6*J23/100</f>
        <v>-24.9708875873171</v>
      </c>
      <c r="K24" s="0" t="n">
        <f aca="false">-K6*K23/100</f>
        <v>-24.5963242735073</v>
      </c>
      <c r="L24" s="0" t="n">
        <f aca="false">-L6*L23/100</f>
        <v>-24.2273794094047</v>
      </c>
    </row>
    <row r="26" customFormat="false" ht="15" hidden="false" customHeight="false" outlineLevel="0" collapsed="false">
      <c r="A26" s="2" t="s">
        <v>151</v>
      </c>
    </row>
    <row r="27" customFormat="false" ht="15" hidden="false" customHeight="false" outlineLevel="0" collapsed="false">
      <c r="A27" s="0" t="s">
        <v>129</v>
      </c>
      <c r="B27" s="4" t="n">
        <f aca="false">Assumptions!$B$34</f>
        <v>13</v>
      </c>
    </row>
    <row r="28" customFormat="false" ht="15" hidden="false" customHeight="false" outlineLevel="0" collapsed="false">
      <c r="A28" s="0" t="s">
        <v>130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131</v>
      </c>
      <c r="B29" s="4" t="n">
        <f aca="false">Assumptions!$B$36</f>
        <v>9.03</v>
      </c>
    </row>
    <row r="30" customFormat="false" ht="15" hidden="false" customHeight="false" outlineLevel="0" collapsed="false">
      <c r="A30" s="0" t="s">
        <v>152</v>
      </c>
      <c r="B30" s="0" t="n">
        <f aca="false">SUM(C21:L21)</f>
        <v>351.476342988429</v>
      </c>
    </row>
    <row r="31" customFormat="false" ht="15" hidden="false" customHeight="false" outlineLevel="0" collapsed="false">
      <c r="A31" s="0" t="s">
        <v>153</v>
      </c>
      <c r="B31" s="0" t="n">
        <f aca="false">L19</f>
        <v>56.2176078362298</v>
      </c>
    </row>
    <row r="32" customFormat="false" ht="15" hidden="false" customHeight="false" outlineLevel="0" collapsed="false">
      <c r="A32" s="0" t="s">
        <v>154</v>
      </c>
      <c r="B32" s="0" t="n">
        <f aca="false">IF(B27&gt;B28,B31*(1+B28/100)/((B27-B28)/100),B31*B29)</f>
        <v>432.443137201768</v>
      </c>
    </row>
    <row r="33" customFormat="false" ht="15" hidden="false" customHeight="false" outlineLevel="0" collapsed="false">
      <c r="A33" s="0" t="s">
        <v>155</v>
      </c>
      <c r="B33" s="0" t="n">
        <f aca="false">B31*B29</f>
        <v>507.644998761155</v>
      </c>
    </row>
    <row r="34" customFormat="false" ht="15" hidden="false" customHeight="false" outlineLevel="0" collapsed="false">
      <c r="A34" s="0" t="s">
        <v>156</v>
      </c>
      <c r="B34" s="0" t="n">
        <f aca="false">MAX(0,MIN(B32,B33))</f>
        <v>432.443137201768</v>
      </c>
    </row>
    <row r="35" customFormat="false" ht="15" hidden="false" customHeight="false" outlineLevel="0" collapsed="false">
      <c r="A35" s="0" t="s">
        <v>157</v>
      </c>
      <c r="B35" s="0" t="n">
        <f aca="false">B34/(1+B27/100)^L4</f>
        <v>127.392709446748</v>
      </c>
    </row>
    <row r="36" customFormat="false" ht="15" hidden="false" customHeight="false" outlineLevel="0" collapsed="false">
      <c r="A36" s="0" t="s">
        <v>158</v>
      </c>
      <c r="B36" s="0" t="n">
        <f aca="false">B30+B35</f>
        <v>478.869052435177</v>
      </c>
    </row>
    <row r="37" customFormat="false" ht="15" hidden="false" customHeight="false" outlineLevel="0" collapsed="false">
      <c r="A37" s="0" t="s">
        <v>159</v>
      </c>
      <c r="B37" s="0" t="n">
        <f aca="false">B36+Assumptions!$B$5-Assumptions!$B$4</f>
        <v>558.009052435177</v>
      </c>
    </row>
    <row r="38" customFormat="false" ht="15" hidden="false" customHeight="false" outlineLevel="0" collapsed="false">
      <c r="A38" s="0" t="s">
        <v>160</v>
      </c>
      <c r="B38" s="0" t="n">
        <f aca="false">B37/Assumptions!$B$3*Assumptions!$B$10</f>
        <v>4.02598124439169</v>
      </c>
    </row>
    <row r="39" customFormat="false" ht="15" hidden="false" customHeight="false" outlineLevel="0" collapsed="false">
      <c r="A39" s="0" t="s">
        <v>161</v>
      </c>
      <c r="B39" s="4" t="n">
        <f aca="false">B38/Assumptions!$B$2-1</f>
        <v>0.150280355540483</v>
      </c>
    </row>
    <row r="41" customFormat="false" ht="15" hidden="false" customHeight="false" outlineLevel="0" collapsed="false">
      <c r="A41" s="0" t="s">
        <v>162</v>
      </c>
      <c r="B41" s="0" t="n">
        <f aca="false">SUMPRODUCT(-C10:L10/(1+$B$27/100)^C4:L4)</f>
        <v>2.22242697066685</v>
      </c>
    </row>
    <row r="42" customFormat="false" ht="15" hidden="false" customHeight="false" outlineLevel="0" collapsed="false">
      <c r="A42" s="0" t="s">
        <v>163</v>
      </c>
      <c r="B42" s="0" t="n">
        <f aca="false">IF(B27&gt;B28,-L10*(1+B28/100)/((B27-B28)/100),-L10*20)/(1+B27/100)^L4</f>
        <v>0.868683505311762</v>
      </c>
    </row>
    <row r="43" customFormat="false" ht="15" hidden="false" customHeight="false" outlineLevel="0" collapsed="false">
      <c r="A43" s="0" t="s">
        <v>164</v>
      </c>
      <c r="B43" s="0" t="n">
        <f aca="false">(B37+B41+B42)/Assumptions!$B$3*Assumptions!$B$10</f>
        <v>4.04828330695918</v>
      </c>
    </row>
    <row r="45" customFormat="false" ht="15" hidden="false" customHeight="false" outlineLevel="0" collapsed="false">
      <c r="A45" s="0" t="s">
        <v>105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165</v>
      </c>
      <c r="B46" s="0" t="n">
        <f aca="false">MAX(0,MIN(IF(B45&gt;B28,B31*(1+B28/100)/((B45-B28)/100),B31*B29),B31*B29))</f>
        <v>374.784052241532</v>
      </c>
    </row>
    <row r="47" customFormat="false" ht="15" hidden="false" customHeight="false" outlineLevel="0" collapsed="false">
      <c r="A47" s="0" t="s">
        <v>166</v>
      </c>
      <c r="B47" s="0" t="n">
        <f aca="false">(SUMPRODUCT(C19:L19/(1+B45/100)^C4:L4)+B46/(1+B45/100)^L4+Assumptions!$B$5-Assumptions!$B$4)/Assumptions!$B$3*Assumptions!$B$10</f>
        <v>3.5878876816924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168</v>
      </c>
    </row>
    <row r="3" customFormat="false" ht="15" hidden="false" customHeight="false" outlineLevel="0" collapsed="false">
      <c r="A3" s="0" t="s">
        <v>137</v>
      </c>
      <c r="B3" s="0" t="s">
        <v>99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</row>
    <row r="4" customFormat="false" ht="15" hidden="false" customHeight="false" outlineLevel="0" collapsed="false">
      <c r="A4" s="0" t="s">
        <v>138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122</v>
      </c>
      <c r="C5" s="4" t="n">
        <f aca="false">Assumptions!C41</f>
        <v>1.7</v>
      </c>
      <c r="D5" s="4" t="n">
        <f aca="false">Assumptions!D41</f>
        <v>1.8</v>
      </c>
      <c r="E5" s="4" t="n">
        <f aca="false">Assumptions!E41</f>
        <v>2</v>
      </c>
      <c r="F5" s="4" t="n">
        <f aca="false">Assumptions!F41</f>
        <v>2</v>
      </c>
      <c r="G5" s="4" t="n">
        <f aca="false">Assumptions!G41</f>
        <v>1.8</v>
      </c>
      <c r="H5" s="4" t="n">
        <f aca="false">Assumptions!H41</f>
        <v>1.5</v>
      </c>
      <c r="I5" s="4" t="n">
        <f aca="false">Assumptions!I41</f>
        <v>1.5</v>
      </c>
      <c r="J5" s="4" t="n">
        <f aca="false">Assumptions!J41</f>
        <v>1.5</v>
      </c>
      <c r="K5" s="4" t="n">
        <f aca="false">Assumptions!K41</f>
        <v>1.5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61</v>
      </c>
      <c r="B6" s="3" t="n">
        <v>826.1</v>
      </c>
      <c r="C6" s="0" t="n">
        <f aca="false">B6*(1+C5/100)</f>
        <v>840.1437</v>
      </c>
      <c r="D6" s="0" t="n">
        <f aca="false">C6*(1+D5/100)</f>
        <v>855.2662866</v>
      </c>
      <c r="E6" s="0" t="n">
        <f aca="false">D6*(1+E5/100)</f>
        <v>872.371612332</v>
      </c>
      <c r="F6" s="0" t="n">
        <f aca="false">E6*(1+F5/100)</f>
        <v>889.81904457864</v>
      </c>
      <c r="G6" s="0" t="n">
        <f aca="false">F6*(1+G5/100)</f>
        <v>905.835787381055</v>
      </c>
      <c r="H6" s="0" t="n">
        <f aca="false">G6*(1+H5/100)</f>
        <v>919.423324191771</v>
      </c>
      <c r="I6" s="0" t="n">
        <f aca="false">H6*(1+I5/100)</f>
        <v>933.214674054648</v>
      </c>
      <c r="J6" s="0" t="n">
        <f aca="false">I6*(1+J5/100)</f>
        <v>947.212894165467</v>
      </c>
      <c r="K6" s="0" t="n">
        <f aca="false">J6*(1+K5/100)</f>
        <v>961.421087577949</v>
      </c>
      <c r="L6" s="0" t="n">
        <f aca="false">K6*(1+L5/100)</f>
        <v>975.842403891618</v>
      </c>
    </row>
    <row r="7" customFormat="false" ht="15" hidden="false" customHeight="false" outlineLevel="0" collapsed="false">
      <c r="A7" s="0" t="s">
        <v>123</v>
      </c>
      <c r="C7" s="4" t="n">
        <f aca="false">Assumptions!C42</f>
        <v>19.8</v>
      </c>
      <c r="D7" s="4" t="n">
        <f aca="false">Assumptions!D42</f>
        <v>20.8</v>
      </c>
      <c r="E7" s="4" t="n">
        <f aca="false">Assumptions!E42</f>
        <v>21.8</v>
      </c>
      <c r="F7" s="4" t="n">
        <f aca="false">Assumptions!F42</f>
        <v>22.5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67</v>
      </c>
      <c r="C8" s="0" t="n">
        <f aca="false">C6*C7/100</f>
        <v>166.3484526</v>
      </c>
      <c r="D8" s="0" t="n">
        <f aca="false">D6*D7/100</f>
        <v>177.8953876128</v>
      </c>
      <c r="E8" s="0" t="n">
        <f aca="false">E6*E7/100</f>
        <v>190.177011488376</v>
      </c>
      <c r="F8" s="0" t="n">
        <f aca="false">F6*F7/100</f>
        <v>200.209285030194</v>
      </c>
      <c r="G8" s="0" t="n">
        <f aca="false">G6*G7/100</f>
        <v>208.342231097643</v>
      </c>
      <c r="H8" s="0" t="n">
        <f aca="false">H6*H7/100</f>
        <v>211.467364564107</v>
      </c>
      <c r="I8" s="0" t="n">
        <f aca="false">I6*I7/100</f>
        <v>214.639375032569</v>
      </c>
      <c r="J8" s="0" t="n">
        <f aca="false">J6*J7/100</f>
        <v>217.858965658057</v>
      </c>
      <c r="K8" s="0" t="n">
        <f aca="false">K6*K7/100</f>
        <v>221.126850142928</v>
      </c>
      <c r="L8" s="0" t="n">
        <f aca="false">L6*L7/100</f>
        <v>224.443752895072</v>
      </c>
    </row>
    <row r="9" customFormat="false" ht="15" hidden="false" customHeight="false" outlineLevel="0" collapsed="false">
      <c r="A9" s="0" t="s">
        <v>124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139</v>
      </c>
      <c r="C10" s="0" t="n">
        <f aca="false">-C6*C9/100</f>
        <v>-0.42007185</v>
      </c>
      <c r="D10" s="0" t="n">
        <f aca="false">-D6*D9/100</f>
        <v>-0.4276331433</v>
      </c>
      <c r="E10" s="0" t="n">
        <f aca="false">-E6*E9/100</f>
        <v>-0.436185806166</v>
      </c>
      <c r="F10" s="0" t="n">
        <f aca="false">-F6*F9/100</f>
        <v>-0.44490952228932</v>
      </c>
      <c r="G10" s="0" t="n">
        <f aca="false">-G6*G9/100</f>
        <v>-0.452917893690528</v>
      </c>
      <c r="H10" s="0" t="n">
        <f aca="false">-H6*H9/100</f>
        <v>-0.459711662095886</v>
      </c>
      <c r="I10" s="0" t="n">
        <f aca="false">-I6*I9/100</f>
        <v>-0.466607337027324</v>
      </c>
      <c r="J10" s="0" t="n">
        <f aca="false">-J6*J9/100</f>
        <v>-0.473606447082734</v>
      </c>
      <c r="K10" s="0" t="n">
        <f aca="false">-K6*K9/100</f>
        <v>-0.480710543788975</v>
      </c>
      <c r="L10" s="0" t="n">
        <f aca="false">-L6*L9/100</f>
        <v>-0.487921201945809</v>
      </c>
    </row>
    <row r="11" customFormat="false" ht="15" hidden="false" customHeight="false" outlineLevel="0" collapsed="false">
      <c r="A11" s="0" t="s">
        <v>140</v>
      </c>
      <c r="C11" s="0" t="n">
        <f aca="false">C8+C10+C24</f>
        <v>140.72406975</v>
      </c>
      <c r="D11" s="0" t="n">
        <f aca="false">D8+D10+D24</f>
        <v>151.8097658715</v>
      </c>
      <c r="E11" s="0" t="n">
        <f aca="false">E8+E10+E24</f>
        <v>163.56967731225</v>
      </c>
      <c r="F11" s="0" t="n">
        <f aca="false">F8+F10+F24</f>
        <v>173.069804170545</v>
      </c>
      <c r="G11" s="0" t="n">
        <f aca="false">G8+G10+G24</f>
        <v>180.714239582521</v>
      </c>
      <c r="H11" s="0" t="n">
        <f aca="false">H8+H10+H24</f>
        <v>183.424953176258</v>
      </c>
      <c r="I11" s="0" t="n">
        <f aca="false">I8+I10+I24</f>
        <v>186.176327473902</v>
      </c>
      <c r="J11" s="0" t="n">
        <f aca="false">J8+J10+J24</f>
        <v>188.968972386011</v>
      </c>
      <c r="K11" s="0" t="n">
        <f aca="false">K8+K10+K24</f>
        <v>191.803506971801</v>
      </c>
      <c r="L11" s="0" t="n">
        <f aca="false">L8+L10+L24</f>
        <v>194.680559576378</v>
      </c>
    </row>
    <row r="12" customFormat="false" ht="15" hidden="false" customHeight="false" outlineLevel="0" collapsed="false">
      <c r="A12" s="0" t="s">
        <v>141</v>
      </c>
      <c r="C12" s="4" t="n">
        <f aca="false">-C6*Assumptions!C45/100</f>
        <v>-94.9362381</v>
      </c>
      <c r="D12" s="4" t="n">
        <f aca="false">-D6*Assumptions!D45/100</f>
        <v>-94.079291526</v>
      </c>
      <c r="E12" s="4" t="n">
        <f aca="false">-E6*Assumptions!E45/100</f>
        <v>-93.343762519524</v>
      </c>
      <c r="F12" s="4" t="n">
        <f aca="false">-F6*Assumptions!F45/100</f>
        <v>-92.5411806361786</v>
      </c>
      <c r="G12" s="4" t="n">
        <f aca="false">-G6*Assumptions!G45/100</f>
        <v>-92.3952503128677</v>
      </c>
      <c r="H12" s="4" t="n">
        <f aca="false">-H6*Assumptions!H45/100</f>
        <v>-91.9423324191771</v>
      </c>
      <c r="I12" s="4" t="n">
        <f aca="false">-I6*Assumptions!I45/100</f>
        <v>-93.3214674054648</v>
      </c>
      <c r="J12" s="4" t="n">
        <f aca="false">-J6*Assumptions!J45/100</f>
        <v>-94.7212894165467</v>
      </c>
      <c r="K12" s="4" t="n">
        <f aca="false">-K6*Assumptions!K45/100</f>
        <v>-96.1421087577949</v>
      </c>
      <c r="L12" s="4" t="n">
        <f aca="false">-L6*Assumptions!L45/100</f>
        <v>-97.5842403891618</v>
      </c>
    </row>
    <row r="13" customFormat="false" ht="15" hidden="false" customHeight="false" outlineLevel="0" collapsed="false">
      <c r="A13" s="0" t="s">
        <v>142</v>
      </c>
      <c r="C13" s="0" t="n">
        <f aca="false">C11+C12</f>
        <v>45.78783165</v>
      </c>
      <c r="D13" s="0" t="n">
        <f aca="false">D11+D12</f>
        <v>57.7304743455</v>
      </c>
      <c r="E13" s="0" t="n">
        <f aca="false">E11+E12</f>
        <v>70.225914792726</v>
      </c>
      <c r="F13" s="0" t="n">
        <f aca="false">F11+F12</f>
        <v>80.5286235343669</v>
      </c>
      <c r="G13" s="0" t="n">
        <f aca="false">G11+G12</f>
        <v>88.3189892696529</v>
      </c>
      <c r="H13" s="0" t="n">
        <f aca="false">H11+H12</f>
        <v>91.4826207570813</v>
      </c>
      <c r="I13" s="0" t="n">
        <f aca="false">I11+I12</f>
        <v>92.8548600684375</v>
      </c>
      <c r="J13" s="0" t="n">
        <f aca="false">J11+J12</f>
        <v>94.247682969464</v>
      </c>
      <c r="K13" s="0" t="n">
        <f aca="false">K11+K12</f>
        <v>95.6613982140059</v>
      </c>
      <c r="L13" s="0" t="n">
        <f aca="false">L11+L12</f>
        <v>97.096319187216</v>
      </c>
    </row>
    <row r="14" customFormat="false" ht="15" hidden="false" customHeight="false" outlineLevel="0" collapsed="false">
      <c r="A14" s="0" t="s">
        <v>128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143</v>
      </c>
      <c r="C15" s="0" t="n">
        <f aca="false">C13-MAX(0,C13)*C14/100</f>
        <v>32.967238788</v>
      </c>
      <c r="D15" s="0" t="n">
        <f aca="false">D13-MAX(0,D13)*D14/100</f>
        <v>41.56594152876</v>
      </c>
      <c r="E15" s="0" t="n">
        <f aca="false">E13-MAX(0,E13)*E14/100</f>
        <v>50.5626586507627</v>
      </c>
      <c r="F15" s="0" t="n">
        <f aca="false">F13-MAX(0,F13)*F14/100</f>
        <v>57.9806089447442</v>
      </c>
      <c r="G15" s="0" t="n">
        <f aca="false">G13-MAX(0,G13)*G14/100</f>
        <v>63.5896722741501</v>
      </c>
      <c r="H15" s="0" t="n">
        <f aca="false">H13-MAX(0,H13)*H14/100</f>
        <v>65.8674869450985</v>
      </c>
      <c r="I15" s="0" t="n">
        <f aca="false">I13-MAX(0,I13)*I14/100</f>
        <v>66.855499249275</v>
      </c>
      <c r="J15" s="0" t="n">
        <f aca="false">J13-MAX(0,J13)*J14/100</f>
        <v>67.8583317380141</v>
      </c>
      <c r="K15" s="0" t="n">
        <f aca="false">K13-MAX(0,K13)*K14/100</f>
        <v>68.8762067140843</v>
      </c>
      <c r="L15" s="0" t="n">
        <f aca="false">L13-MAX(0,L13)*L14/100</f>
        <v>69.9093498147955</v>
      </c>
    </row>
    <row r="16" customFormat="false" ht="15" hidden="false" customHeight="false" outlineLevel="0" collapsed="false">
      <c r="A16" s="0" t="s">
        <v>144</v>
      </c>
      <c r="C16" s="0" t="n">
        <f aca="false">-C12</f>
        <v>94.9362381</v>
      </c>
      <c r="D16" s="0" t="n">
        <f aca="false">-D12</f>
        <v>94.079291526</v>
      </c>
      <c r="E16" s="0" t="n">
        <f aca="false">-E12</f>
        <v>93.343762519524</v>
      </c>
      <c r="F16" s="0" t="n">
        <f aca="false">-F12</f>
        <v>92.5411806361786</v>
      </c>
      <c r="G16" s="0" t="n">
        <f aca="false">-G12</f>
        <v>92.3952503128677</v>
      </c>
      <c r="H16" s="0" t="n">
        <f aca="false">-H12</f>
        <v>91.9423324191771</v>
      </c>
      <c r="I16" s="0" t="n">
        <f aca="false">-I12</f>
        <v>93.3214674054648</v>
      </c>
      <c r="J16" s="0" t="n">
        <f aca="false">-J12</f>
        <v>94.7212894165467</v>
      </c>
      <c r="K16" s="0" t="n">
        <f aca="false">-K12</f>
        <v>96.1421087577949</v>
      </c>
      <c r="L16" s="0" t="n">
        <f aca="false">-L12</f>
        <v>97.5842403891618</v>
      </c>
    </row>
    <row r="17" customFormat="false" ht="15" hidden="false" customHeight="false" outlineLevel="0" collapsed="false">
      <c r="A17" s="0" t="s">
        <v>145</v>
      </c>
      <c r="C17" s="4" t="n">
        <f aca="false">-C6*Assumptions!C46/100</f>
        <v>-60.4903464</v>
      </c>
      <c r="D17" s="4" t="n">
        <f aca="false">-D6*Assumptions!D46/100</f>
        <v>-58.1581074888</v>
      </c>
      <c r="E17" s="4" t="n">
        <f aca="false">-E6*Assumptions!E46/100</f>
        <v>-56.70415480158</v>
      </c>
      <c r="F17" s="4" t="n">
        <f aca="false">-F6*Assumptions!F46/100</f>
        <v>-55.1687807638757</v>
      </c>
      <c r="G17" s="4" t="n">
        <f aca="false">-G6*Assumptions!G46/100</f>
        <v>-54.3501472428633</v>
      </c>
      <c r="H17" s="4" t="n">
        <f aca="false">-H6*Assumptions!H46/100</f>
        <v>-55.1653994515063</v>
      </c>
      <c r="I17" s="4" t="n">
        <f aca="false">-I6*Assumptions!I46/100</f>
        <v>-55.9928804432789</v>
      </c>
      <c r="J17" s="4" t="n">
        <f aca="false">-J6*Assumptions!J46/100</f>
        <v>-56.832773649928</v>
      </c>
      <c r="K17" s="4" t="n">
        <f aca="false">-K6*Assumptions!K46/100</f>
        <v>-57.685265254677</v>
      </c>
      <c r="L17" s="4" t="n">
        <f aca="false">-L6*Assumptions!L46/100</f>
        <v>-58.5505442334971</v>
      </c>
    </row>
    <row r="18" customFormat="false" ht="15" hidden="false" customHeight="false" outlineLevel="0" collapsed="false">
      <c r="A18" s="0" t="s">
        <v>146</v>
      </c>
      <c r="C18" s="4" t="n">
        <f aca="false">(C6-B6)*Assumptions!$B$51/100</f>
        <v>1.68524399999999</v>
      </c>
      <c r="D18" s="4" t="n">
        <f aca="false">(D6-C6)*Assumptions!$B$51/100</f>
        <v>1.814710392</v>
      </c>
      <c r="E18" s="4" t="n">
        <f aca="false">(E6-D6)*Assumptions!$B$51/100</f>
        <v>2.05263908784</v>
      </c>
      <c r="F18" s="4" t="n">
        <f aca="false">(F6-E6)*Assumptions!$B$51/100</f>
        <v>2.0936918695968</v>
      </c>
      <c r="G18" s="4" t="n">
        <f aca="false">(G6-F6)*Assumptions!$B$51/100</f>
        <v>1.92200913628986</v>
      </c>
      <c r="H18" s="4" t="n">
        <f aca="false">(H6-G6)*Assumptions!$B$51/100</f>
        <v>1.63050441728589</v>
      </c>
      <c r="I18" s="4" t="n">
        <f aca="false">(I6-H6)*Assumptions!$B$51/100</f>
        <v>1.65496198354518</v>
      </c>
      <c r="J18" s="4" t="n">
        <f aca="false">(J6-I6)*Assumptions!$B$51/100</f>
        <v>1.67978641329835</v>
      </c>
      <c r="K18" s="4" t="n">
        <f aca="false">(K6-J6)*Assumptions!$B$51/100</f>
        <v>1.70498320949783</v>
      </c>
      <c r="L18" s="4" t="n">
        <f aca="false">(L6-K6)*Assumptions!$B$51/100</f>
        <v>1.7305579576403</v>
      </c>
    </row>
    <row r="19" customFormat="false" ht="15" hidden="false" customHeight="false" outlineLevel="0" collapsed="false">
      <c r="A19" s="0" t="s">
        <v>147</v>
      </c>
      <c r="C19" s="0" t="n">
        <f aca="false">C15+C16+C17+C18</f>
        <v>69.098374488</v>
      </c>
      <c r="D19" s="0" t="n">
        <f aca="false">D15+D16+D17+D18</f>
        <v>79.30183595796</v>
      </c>
      <c r="E19" s="0" t="n">
        <f aca="false">E15+E16+E17+E18</f>
        <v>89.2549054565467</v>
      </c>
      <c r="F19" s="0" t="n">
        <f aca="false">F15+F16+F17+F18</f>
        <v>97.4467006866438</v>
      </c>
      <c r="G19" s="0" t="n">
        <f aca="false">G15+G16+G17+G18</f>
        <v>103.556784480444</v>
      </c>
      <c r="H19" s="0" t="n">
        <f aca="false">H15+H16+H17+H18</f>
        <v>104.274924330055</v>
      </c>
      <c r="I19" s="0" t="n">
        <f aca="false">I15+I16+I17+I18</f>
        <v>105.839048195006</v>
      </c>
      <c r="J19" s="0" t="n">
        <f aca="false">J15+J16+J17+J18</f>
        <v>107.426633917931</v>
      </c>
      <c r="K19" s="0" t="n">
        <f aca="false">K15+K16+K17+K18</f>
        <v>109.0380334267</v>
      </c>
      <c r="L19" s="0" t="n">
        <f aca="false">L15+L16+L17+L18</f>
        <v>110.673603928101</v>
      </c>
    </row>
    <row r="20" customFormat="false" ht="15" hidden="false" customHeight="false" outlineLevel="0" collapsed="false">
      <c r="A20" s="0" t="s">
        <v>148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149</v>
      </c>
      <c r="C21" s="0" t="n">
        <f aca="false">C19*C20</f>
        <v>61.1490039716814</v>
      </c>
      <c r="D21" s="0" t="n">
        <f aca="false">D19*D20</f>
        <v>62.1049698159292</v>
      </c>
      <c r="E21" s="0" t="n">
        <f aca="false">E19*E20</f>
        <v>61.8581267107401</v>
      </c>
      <c r="F21" s="0" t="n">
        <f aca="false">F19*F20</f>
        <v>59.7658864816854</v>
      </c>
      <c r="G21" s="0" t="n">
        <f aca="false">G19*G20</f>
        <v>56.2064737169146</v>
      </c>
      <c r="H21" s="0" t="n">
        <f aca="false">H19*H20</f>
        <v>50.0851781024143</v>
      </c>
      <c r="I21" s="0" t="n">
        <f aca="false">I19*I20</f>
        <v>44.9880139592482</v>
      </c>
      <c r="J21" s="0" t="n">
        <f aca="false">J19*J20</f>
        <v>40.4095877598557</v>
      </c>
      <c r="K21" s="0" t="n">
        <f aca="false">K19*K20</f>
        <v>36.2971075896049</v>
      </c>
      <c r="L21" s="0" t="n">
        <f aca="false">L19*L20</f>
        <v>32.6031541623442</v>
      </c>
    </row>
    <row r="23" customFormat="false" ht="15" hidden="false" customHeight="false" outlineLevel="0" collapsed="false">
      <c r="A23" s="0" t="s">
        <v>125</v>
      </c>
      <c r="C23" s="4" t="n">
        <f aca="false">Assumptions!C44</f>
        <v>3</v>
      </c>
      <c r="D23" s="4" t="n">
        <f aca="false">Assumptions!D44</f>
        <v>3</v>
      </c>
      <c r="E23" s="4" t="n">
        <f aca="false">Assumptions!E44</f>
        <v>3</v>
      </c>
      <c r="F23" s="4" t="n">
        <f aca="false">Assumptions!F44</f>
        <v>3</v>
      </c>
      <c r="G23" s="4" t="n">
        <f aca="false">Assumptions!G44</f>
        <v>3</v>
      </c>
      <c r="H23" s="4" t="n">
        <f aca="false">Assumptions!H44</f>
        <v>3</v>
      </c>
      <c r="I23" s="4" t="n">
        <f aca="false">Assumptions!I44</f>
        <v>3</v>
      </c>
      <c r="J23" s="4" t="n">
        <f aca="false">Assumptions!J44</f>
        <v>3</v>
      </c>
      <c r="K23" s="4" t="n">
        <f aca="false">Assumptions!K44</f>
        <v>3</v>
      </c>
      <c r="L23" s="4" t="n">
        <f aca="false">Assumptions!L44</f>
        <v>3</v>
      </c>
    </row>
    <row r="24" customFormat="false" ht="15" hidden="false" customHeight="false" outlineLevel="0" collapsed="false">
      <c r="A24" s="0" t="s">
        <v>150</v>
      </c>
      <c r="C24" s="0" t="n">
        <f aca="false">-C6*C23/100</f>
        <v>-25.204311</v>
      </c>
      <c r="D24" s="0" t="n">
        <f aca="false">-D6*D23/100</f>
        <v>-25.657988598</v>
      </c>
      <c r="E24" s="0" t="n">
        <f aca="false">-E6*E23/100</f>
        <v>-26.17114836996</v>
      </c>
      <c r="F24" s="0" t="n">
        <f aca="false">-F6*F23/100</f>
        <v>-26.6945713373592</v>
      </c>
      <c r="G24" s="0" t="n">
        <f aca="false">-G6*G23/100</f>
        <v>-27.1750736214317</v>
      </c>
      <c r="H24" s="0" t="n">
        <f aca="false">-H6*H23/100</f>
        <v>-27.5826997257531</v>
      </c>
      <c r="I24" s="0" t="n">
        <f aca="false">-I6*I23/100</f>
        <v>-27.9964402216394</v>
      </c>
      <c r="J24" s="0" t="n">
        <f aca="false">-J6*J23/100</f>
        <v>-28.416386824964</v>
      </c>
      <c r="K24" s="0" t="n">
        <f aca="false">-K6*K23/100</f>
        <v>-28.8426326273385</v>
      </c>
      <c r="L24" s="0" t="n">
        <f aca="false">-L6*L23/100</f>
        <v>-29.2752721167486</v>
      </c>
    </row>
    <row r="26" customFormat="false" ht="15" hidden="false" customHeight="false" outlineLevel="0" collapsed="false">
      <c r="A26" s="2" t="s">
        <v>151</v>
      </c>
    </row>
    <row r="27" customFormat="false" ht="15" hidden="false" customHeight="false" outlineLevel="0" collapsed="false">
      <c r="A27" s="0" t="s">
        <v>129</v>
      </c>
      <c r="B27" s="4" t="n">
        <f aca="false">Assumptions!$B$48</f>
        <v>13</v>
      </c>
    </row>
    <row r="28" customFormat="false" ht="15" hidden="false" customHeight="false" outlineLevel="0" collapsed="false">
      <c r="A28" s="0" t="s">
        <v>130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131</v>
      </c>
      <c r="B29" s="4" t="n">
        <f aca="false">Assumptions!$B$50</f>
        <v>12.27</v>
      </c>
    </row>
    <row r="30" customFormat="false" ht="15" hidden="false" customHeight="false" outlineLevel="0" collapsed="false">
      <c r="A30" s="0" t="s">
        <v>152</v>
      </c>
      <c r="B30" s="0" t="n">
        <f aca="false">SUM(C21:L21)</f>
        <v>505.467502270418</v>
      </c>
    </row>
    <row r="31" customFormat="false" ht="15" hidden="false" customHeight="false" outlineLevel="0" collapsed="false">
      <c r="A31" s="0" t="s">
        <v>153</v>
      </c>
      <c r="B31" s="0" t="n">
        <f aca="false">L19</f>
        <v>110.673603928101</v>
      </c>
    </row>
    <row r="32" customFormat="false" ht="15" hidden="false" customHeight="false" outlineLevel="0" collapsed="false">
      <c r="A32" s="0" t="s">
        <v>154</v>
      </c>
      <c r="B32" s="0" t="n">
        <f aca="false">IF(B27&gt;B28,B31*(1+B28/100)/((B27-B28)/100),B31*B29)</f>
        <v>931.502833061513</v>
      </c>
    </row>
    <row r="33" customFormat="false" ht="15" hidden="false" customHeight="false" outlineLevel="0" collapsed="false">
      <c r="A33" s="0" t="s">
        <v>155</v>
      </c>
      <c r="B33" s="0" t="n">
        <f aca="false">B31*B29</f>
        <v>1357.96512019779</v>
      </c>
    </row>
    <row r="34" customFormat="false" ht="15" hidden="false" customHeight="false" outlineLevel="0" collapsed="false">
      <c r="A34" s="0" t="s">
        <v>156</v>
      </c>
      <c r="B34" s="0" t="n">
        <f aca="false">MAX(0,MIN(B32,B33))</f>
        <v>931.502833061513</v>
      </c>
    </row>
    <row r="35" customFormat="false" ht="15" hidden="false" customHeight="false" outlineLevel="0" collapsed="false">
      <c r="A35" s="0" t="s">
        <v>157</v>
      </c>
      <c r="B35" s="0" t="n">
        <f aca="false">B34/(1+B27/100)^L4</f>
        <v>274.409880866397</v>
      </c>
    </row>
    <row r="36" customFormat="false" ht="15" hidden="false" customHeight="false" outlineLevel="0" collapsed="false">
      <c r="A36" s="0" t="s">
        <v>158</v>
      </c>
      <c r="B36" s="0" t="n">
        <f aca="false">B30+B35</f>
        <v>779.877383136815</v>
      </c>
    </row>
    <row r="37" customFormat="false" ht="15" hidden="false" customHeight="false" outlineLevel="0" collapsed="false">
      <c r="A37" s="0" t="s">
        <v>159</v>
      </c>
      <c r="B37" s="0" t="n">
        <f aca="false">B36+Assumptions!$B$5-Assumptions!$B$4</f>
        <v>859.017383136815</v>
      </c>
    </row>
    <row r="38" customFormat="false" ht="15" hidden="false" customHeight="false" outlineLevel="0" collapsed="false">
      <c r="A38" s="0" t="s">
        <v>160</v>
      </c>
      <c r="B38" s="0" t="n">
        <f aca="false">B37/Assumptions!$B$3*Assumptions!$B$10</f>
        <v>6.19772718385604</v>
      </c>
    </row>
    <row r="39" customFormat="false" ht="15" hidden="false" customHeight="false" outlineLevel="0" collapsed="false">
      <c r="A39" s="0" t="s">
        <v>161</v>
      </c>
      <c r="B39" s="4" t="n">
        <f aca="false">B38/Assumptions!$B$2-1</f>
        <v>0.77077919538744</v>
      </c>
    </row>
    <row r="41" customFormat="false" ht="15" hidden="false" customHeight="false" outlineLevel="0" collapsed="false">
      <c r="A41" s="0" t="s">
        <v>162</v>
      </c>
      <c r="B41" s="0" t="n">
        <f aca="false">SUMPRODUCT(-C10:L10/(1+$B$27/100)^C4:L4)</f>
        <v>2.42869348021008</v>
      </c>
    </row>
    <row r="42" customFormat="false" ht="15" hidden="false" customHeight="false" outlineLevel="0" collapsed="false">
      <c r="A42" s="0" t="s">
        <v>163</v>
      </c>
      <c r="B42" s="0" t="n">
        <f aca="false">IF(B27&gt;B28,-L10*(1+B28/100)/((B27-B28)/100),-L10*20)/(1+B27/100)^L4</f>
        <v>1.20977716588249</v>
      </c>
    </row>
    <row r="43" customFormat="false" ht="15" hidden="false" customHeight="false" outlineLevel="0" collapsed="false">
      <c r="A43" s="0" t="s">
        <v>164</v>
      </c>
      <c r="B43" s="0" t="n">
        <f aca="false">(B37+B41+B42)/Assumptions!$B$3*Assumptions!$B$10</f>
        <v>6.22397839701381</v>
      </c>
    </row>
    <row r="45" customFormat="false" ht="15" hidden="false" customHeight="false" outlineLevel="0" collapsed="false">
      <c r="A45" s="0" t="s">
        <v>105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165</v>
      </c>
      <c r="B46" s="0" t="n">
        <f aca="false">MAX(0,MIN(IF(B45&gt;B28,B31*(1+B28/100)/((B45-B28)/100),B31*B29),B31*B29))</f>
        <v>798.430999767011</v>
      </c>
    </row>
    <row r="47" customFormat="false" ht="15" hidden="false" customHeight="false" outlineLevel="0" collapsed="false">
      <c r="A47" s="0" t="s">
        <v>166</v>
      </c>
      <c r="B47" s="0" t="n">
        <f aca="false">(SUMPRODUCT(C19:L19/(1+B45/100)^C4:L4)+B46/(1+B45/100)^L4+Assumptions!$B$5-Assumptions!$B$4)/Assumptions!$B$3*Assumptions!$B$10</f>
        <v>5.34463453905497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169</v>
      </c>
    </row>
    <row r="3" customFormat="false" ht="15" hidden="false" customHeight="false" outlineLevel="0" collapsed="false">
      <c r="A3" s="2" t="s">
        <v>170</v>
      </c>
      <c r="B3" s="2" t="s">
        <v>171</v>
      </c>
      <c r="C3" s="2" t="s">
        <v>161</v>
      </c>
      <c r="D3" s="2" t="s">
        <v>172</v>
      </c>
      <c r="E3" s="2" t="s">
        <v>164</v>
      </c>
      <c r="F3" s="2" t="s">
        <v>173</v>
      </c>
    </row>
    <row r="4" customFormat="false" ht="15" hidden="false" customHeight="false" outlineLevel="0" collapsed="false">
      <c r="A4" s="0" t="s">
        <v>174</v>
      </c>
      <c r="B4" s="4" t="n">
        <f aca="false">DCF_Bear!$B$38</f>
        <v>2.06670680611029</v>
      </c>
      <c r="C4" s="0" t="n">
        <f aca="false">B4/Assumptions!$B$2-1</f>
        <v>-0.409512341111347</v>
      </c>
      <c r="D4" s="4" t="n">
        <f aca="false">Assumptions!$B$24</f>
        <v>0.3</v>
      </c>
      <c r="E4" s="4" t="n">
        <f aca="false">DCF_Bear!$B$43</f>
        <v>2.0855952827741</v>
      </c>
      <c r="F4" s="4" t="n">
        <f aca="false">DCF_Bear!$B$47</f>
        <v>1.94866055913465</v>
      </c>
    </row>
    <row r="5" customFormat="false" ht="15" hidden="false" customHeight="false" outlineLevel="0" collapsed="false">
      <c r="A5" s="0" t="s">
        <v>175</v>
      </c>
      <c r="B5" s="4" t="n">
        <f aca="false">DCF_Base!$B$38</f>
        <v>4.02598124439169</v>
      </c>
      <c r="C5" s="0" t="n">
        <f aca="false">B5/Assumptions!$B$2-1</f>
        <v>0.150280355540483</v>
      </c>
      <c r="D5" s="4" t="n">
        <f aca="false">Assumptions!$B$38</f>
        <v>0.5</v>
      </c>
      <c r="E5" s="4" t="n">
        <f aca="false">DCF_Base!$B$43</f>
        <v>4.04828330695918</v>
      </c>
      <c r="F5" s="4" t="n">
        <f aca="false">DCF_Base!$B$47</f>
        <v>3.5878876816924</v>
      </c>
    </row>
    <row r="6" customFormat="false" ht="15" hidden="false" customHeight="false" outlineLevel="0" collapsed="false">
      <c r="A6" s="0" t="s">
        <v>176</v>
      </c>
      <c r="B6" s="4" t="n">
        <f aca="false">DCF_Bull!$B$38</f>
        <v>6.19772718385604</v>
      </c>
      <c r="C6" s="0" t="n">
        <f aca="false">B6/Assumptions!$B$2-1</f>
        <v>0.77077919538744</v>
      </c>
      <c r="D6" s="4" t="n">
        <f aca="false">Assumptions!$B$52</f>
        <v>0.2</v>
      </c>
      <c r="E6" s="4" t="n">
        <f aca="false">DCF_Bull!$B$43</f>
        <v>6.22397839701381</v>
      </c>
      <c r="F6" s="4" t="n">
        <f aca="false">DCF_Bull!$B$47</f>
        <v>5.34463453905497</v>
      </c>
    </row>
    <row r="8" customFormat="false" ht="15" hidden="false" customHeight="false" outlineLevel="0" collapsed="false">
      <c r="A8" s="0" t="s">
        <v>177</v>
      </c>
      <c r="B8" s="0" t="n">
        <f aca="false">SUMPRODUCT(B4:B6,D4:D6)</f>
        <v>3.87254810080014</v>
      </c>
    </row>
    <row r="9" customFormat="false" ht="15" hidden="false" customHeight="false" outlineLevel="0" collapsed="false">
      <c r="A9" s="0" t="s">
        <v>178</v>
      </c>
      <c r="B9" s="0" t="n">
        <f aca="false">SUMPRODUCT(E4:E6,D4:D6)</f>
        <v>3.89461591771458</v>
      </c>
    </row>
    <row r="10" customFormat="false" ht="15" hidden="false" customHeight="false" outlineLevel="0" collapsed="false">
      <c r="A10" s="0" t="s">
        <v>179</v>
      </c>
      <c r="B10" s="0" t="n">
        <f aca="false">1-Assumptions!$B$2/B8</f>
        <v>0.0962023172089623</v>
      </c>
    </row>
    <row r="11" customFormat="false" ht="15" hidden="false" customHeight="false" outlineLevel="0" collapsed="false">
      <c r="A11" s="0" t="s">
        <v>180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181</v>
      </c>
      <c r="B12" s="0" t="n">
        <f aca="false">SUMPRODUCT(F4:F6,D4:D6)</f>
        <v>3.44746891639759</v>
      </c>
    </row>
    <row r="14" customFormat="false" ht="15" hidden="false" customHeight="false" outlineLevel="0" collapsed="false">
      <c r="A14" s="2" t="s">
        <v>182</v>
      </c>
      <c r="C14" s="0" t="s">
        <v>183</v>
      </c>
    </row>
    <row r="15" customFormat="false" ht="15" hidden="false" customHeight="false" outlineLevel="0" collapsed="false">
      <c r="A15" s="0" t="s">
        <v>184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5.10789428850133</v>
      </c>
      <c r="C15" s="3" t="n">
        <v>9</v>
      </c>
    </row>
    <row r="16" customFormat="false" ht="15" hidden="false" customHeight="false" outlineLevel="0" collapsed="false">
      <c r="A16" s="0" t="s">
        <v>185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4.84808511759633</v>
      </c>
      <c r="C16" s="3" t="n">
        <v>10</v>
      </c>
    </row>
    <row r="17" customFormat="false" ht="15" hidden="false" customHeight="false" outlineLevel="0" collapsed="false">
      <c r="A17" s="0" t="s">
        <v>186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4.60906973109666</v>
      </c>
      <c r="C17" s="3" t="n">
        <v>11</v>
      </c>
    </row>
    <row r="18" customFormat="false" ht="15" hidden="false" customHeight="false" outlineLevel="0" collapsed="false">
      <c r="A18" s="0" t="s">
        <v>187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4.29791602515763</v>
      </c>
      <c r="C18" s="3" t="n">
        <v>12</v>
      </c>
    </row>
    <row r="19" customFormat="false" ht="15" hidden="false" customHeight="false" outlineLevel="0" collapsed="false">
      <c r="A19" s="0" t="s">
        <v>188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4.02598124439169</v>
      </c>
      <c r="C19" s="3" t="n">
        <v>13</v>
      </c>
    </row>
    <row r="20" customFormat="false" ht="15" hidden="false" customHeight="false" outlineLevel="0" collapsed="false">
      <c r="A20" s="0" t="s">
        <v>189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3.5878876816924</v>
      </c>
      <c r="C20" s="3" t="n">
        <v>15</v>
      </c>
    </row>
    <row r="22" customFormat="false" ht="15" hidden="false" customHeight="false" outlineLevel="0" collapsed="false">
      <c r="A22" s="2" t="s">
        <v>190</v>
      </c>
    </row>
    <row r="23" customFormat="false" ht="15" hidden="false" customHeight="false" outlineLevel="0" collapsed="false">
      <c r="B23" s="3" t="n">
        <v>-1</v>
      </c>
      <c r="C23" s="3" t="n">
        <v>-0.5</v>
      </c>
      <c r="D23" s="3" t="n">
        <v>0</v>
      </c>
      <c r="E23" s="3" t="n">
        <v>0.5</v>
      </c>
      <c r="F23" s="3" t="n">
        <v>1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4.49764857012694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4.55509816538725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4.60906973109666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4.60906973109666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4.60906973109666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4.20415635688117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4.24916099765387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4.29791602515763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4.35091062027041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4.3888963889816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3.95179464139749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3.98751411691322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4.02598124439169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4.06752574206844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4.11253228121826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3.73240060511023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3.76107339455556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3.79179424038985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3.82479070443408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3.86032535802018</v>
      </c>
    </row>
    <row r="28" customFormat="false" ht="15" hidden="false" customHeight="false" outlineLevel="0" collapsed="false">
      <c r="A28" s="3" t="n">
        <v>15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3.53984679001859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3.56309238276398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3.5878876816924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3.61439300123656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3.64279155789103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2026-09-25T15:45:58Z</dcterms:created>
  <dc:creator>openpyxl</dc:creator>
  <dc:description/>
  <dc:language>en-NZ</dc:language>
  <cp:lastModifiedBy/>
  <dcterms:modified xsi:type="dcterms:W3CDTF">2026-09-25T15:45:58Z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