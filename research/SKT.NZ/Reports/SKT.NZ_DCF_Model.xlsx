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$#,##0.0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color rgb="000000CC"/>
    </font>
    <font>
      <b val="1"/>
      <sz val="12"/>
    </font>
    <font>
      <b val="1"/>
      <sz val="11"/>
    </font>
    <font>
      <b val="1"/>
      <sz val="13"/>
    </font>
    <font>
      <color rgb="000077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4" fillId="3" borderId="0" pivotButton="0" quotePrefix="0" xfId="0"/>
    <xf numFmtId="164" fontId="4" fillId="3" borderId="0" pivotButton="0" quotePrefix="0" xfId="0"/>
    <xf numFmtId="0" fontId="4" fillId="3" borderId="0" pivotButton="0" quotePrefix="0" xfId="0"/>
    <xf numFmtId="165" fontId="2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2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7" fontId="5" fillId="4" borderId="0" pivotButton="0" quotePrefix="0" xfId="0"/>
    <xf numFmtId="167" fontId="0" fillId="0" borderId="0" pivotButton="0" quotePrefix="0" xfId="0"/>
    <xf numFmtId="0" fontId="7" fillId="0" borderId="0" pivotButton="0" quotePrefix="0" xfId="0"/>
    <xf numFmtId="167" fontId="8" fillId="0" borderId="0" pivotButton="0" quotePrefix="0" xfId="0"/>
    <xf numFmtId="165" fontId="8" fillId="0" borderId="0" pivotButton="0" quotePrefix="0" xfId="0"/>
    <xf numFmtId="165" fontId="4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4" customWidth="1" min="1" max="1"/>
    <col width="118" customWidth="1" min="2" max="2"/>
  </cols>
  <sheetData>
    <row r="1">
      <c r="A1" s="1" t="inlineStr">
        <is>
          <t>SKT.NZ - Sky Network Television - DCF Model</t>
        </is>
      </c>
    </row>
    <row r="3">
      <c r="A3" s="2" t="inlineStr">
        <is>
          <t>Version</t>
        </is>
      </c>
      <c r="B3" s="3" t="inlineStr">
        <is>
          <t>1.0 - fresh build. No prior SKT.NZ DCF existed; this supersedes nothing.</t>
        </is>
      </c>
    </row>
    <row r="4">
      <c r="A4" s="2" t="inlineStr">
        <is>
          <t>Built by</t>
        </is>
      </c>
      <c r="B4" s="3" t="inlineStr">
        <is>
          <t>dcf-analyst agent (Claude Opus 5), 28 August 2026, at the user's request.</t>
        </is>
      </c>
    </row>
    <row r="5">
      <c r="A5" s="2" t="inlineStr">
        <is>
          <t>Valuation date</t>
        </is>
      </c>
      <c r="B5" s="3" t="inlineStr">
        <is>
          <t>2026-08-28</t>
        </is>
      </c>
    </row>
    <row r="6">
      <c r="A6" s="2" t="inlineStr">
        <is>
          <t>Model type</t>
        </is>
      </c>
      <c r="B6" s="3" t="inlineStr">
        <is>
          <t>Owner-FCF DCF, 10-year explicit horizon, three probability-weighted scenarios.</t>
        </is>
      </c>
    </row>
    <row r="7">
      <c r="A7" s="2" t="inlineStr">
        <is>
          <t>Routing</t>
        </is>
      </c>
      <c r="B7" s="3" t="inlineStr">
        <is>
          <t>Routed via .claude/skills/dcf-methods/SKILL.md. Sky is an operating company (media/broadcasting) whose value is a stream of free cash flow -&gt; owner-FCF DCF, plus the section 7 non-US adaptations.</t>
        </is>
      </c>
    </row>
    <row r="8">
      <c r="A8" s="2" t="inlineStr"/>
      <c r="B8" s="3" t="inlineStr"/>
    </row>
    <row r="9">
      <c r="A9" s="2" t="inlineStr">
        <is>
          <t>DATA VINTAGE</t>
        </is>
      </c>
      <c r="B9" s="3" t="inlineStr">
        <is>
          <t>Each anchor below has a named source and date. These figures go stale.</t>
        </is>
      </c>
    </row>
    <row r="10">
      <c r="A10" s="2" t="inlineStr">
        <is>
          <t>Price</t>
        </is>
      </c>
      <c r="B10" s="3" t="inlineStr">
        <is>
          <t>NZ$3.55, NZX regular close 28 Aug 2026, verified live from Yahoo Finance. 52-week range 3.02-3.66; the stock is at 83% of that range, near its HIGH.</t>
        </is>
      </c>
    </row>
    <row r="11">
      <c r="A11" s="2" t="inlineStr">
        <is>
          <t>Balance sheet</t>
        </is>
      </c>
      <c r="B11" s="3" t="inlineStr">
        <is>
          <t>30 June 2026, FY2026 Annual Report. Cash $79.140m; lease liabilities $62.483m (30.521 current + 31.962 non-current); ZERO bank borrowings.</t>
        </is>
      </c>
    </row>
    <row r="12">
      <c r="A12" s="2" t="inlineStr">
        <is>
          <t>Share count</t>
        </is>
      </c>
      <c r="B12" s="3" t="inlineStr">
        <is>
          <t>138,602k fully diluted, FY2026 Annual Report Note 8 (basic 137,675k). Held flat.</t>
        </is>
      </c>
    </row>
    <row r="13">
      <c r="A13" s="2" t="inlineStr">
        <is>
          <t>Earnings base</t>
        </is>
      </c>
      <c r="B13" s="3" t="inlineStr">
        <is>
          <t>FY2026 UNDERLYING: revenue $826.1m, EBITDA $157.0m, NPAT $41.8m, capex $59.1m - from Sky's own reconciliation table, NOT the reported figures.</t>
        </is>
      </c>
    </row>
    <row r="14">
      <c r="A14" s="2" t="inlineStr">
        <is>
          <t>Guidance</t>
        </is>
      </c>
      <c r="B14" s="3" t="inlineStr">
        <is>
          <t>FY2027 (28 Aug 2026 results presentation): revenue $825-840m, EBITDA $155-165m, capex $60-65m, dividend at least 35 cps. Synergies: at least $10m incremental EBITDA by FY28.</t>
        </is>
      </c>
    </row>
    <row r="15">
      <c r="A15" s="2" t="inlineStr"/>
      <c r="B15" s="3" t="inlineStr"/>
    </row>
    <row r="16">
      <c r="A16" s="2" t="inlineStr">
        <is>
          <t>METHODOLOGY CHOICES</t>
        </is>
      </c>
      <c r="B16" s="3" t="inlineStr">
        <is>
          <t>Each with its one-line rationale.</t>
        </is>
      </c>
    </row>
    <row r="17">
      <c r="A17" s="2" t="inlineStr">
        <is>
          <t>Underlying not reported</t>
        </is>
      </c>
      <c r="B17" s="3" t="inlineStr">
        <is>
          <t>Reported FY2026 contains a $31.4m non-cash bargain-purchase gain and $8.2m Optus compensation, less $13.9m integration costs. Underlying NPAT grew just 1.8%.</t>
        </is>
      </c>
    </row>
    <row r="18">
      <c r="A18" s="2" t="inlineStr">
        <is>
          <t>Bargain purchase = 31.4</t>
        </is>
      </c>
      <c r="B18" s="3" t="inlineStr">
        <is>
          <t>Final figure per the FY2026 income statement and Note 5. The $34.4m in the H1 interim was provisional and was revised DOWN by $3.026m on final purchase price allocation.</t>
        </is>
      </c>
    </row>
    <row r="19">
      <c r="A19" s="2" t="inlineStr">
        <is>
          <t>Owner FCF = 57.15</t>
        </is>
      </c>
      <c r="B19" s="3" t="inlineStr">
        <is>
          <t>Sky's own normalised FCF of $58.9m less interest income of $1.753m. Reported FCF of $89.3m deducts no lease principal, includes the Optus receipt and reflects NIL tax paid.</t>
        </is>
      </c>
    </row>
    <row r="20">
      <c r="A20" s="2" t="inlineStr">
        <is>
          <t>Tax at 28%</t>
        </is>
      </c>
      <c r="B20" s="3" t="inlineStr">
        <is>
          <t>NIL income tax was paid in FY2026 (vs $12.7m FY2025). Not repeatable. Sky itself normalises this by -$15.2m. Statutory NZ rate modelled throughout.</t>
        </is>
      </c>
    </row>
    <row r="21">
      <c r="A21" s="2" t="inlineStr">
        <is>
          <t>Lease treatment (B)</t>
        </is>
      </c>
      <c r="B21" s="3" t="inlineStr">
        <is>
          <t>Lease principal (~3.16% of revenue) deducted INSIDE the flows; lease liabilities EXCLUDED from net debt. Sky's own normalised-FCF definition uses this convention. Charging both would double-count.</t>
        </is>
      </c>
    </row>
    <row r="22">
      <c r="A22" s="2" t="inlineStr">
        <is>
          <t>Net debt = -79.140</t>
        </is>
      </c>
      <c r="B22" s="3" t="inlineStr">
        <is>
          <t>NET CASH. Leases excluded per treatment (B); no bank debt since FY2023.</t>
        </is>
      </c>
    </row>
    <row r="23">
      <c r="A23" s="2" t="inlineStr">
        <is>
          <t>WACC 13.0%</t>
        </is>
      </c>
      <c r="B23" s="3" t="inlineStr">
        <is>
          <t>NZD-matched: NZ 10yr risk-free 4.5% + beta 1.0 x NZ ERP 6.0% = 10.5%, plus 150bp small-cap/NZX illiquidity and 100bp single-country concentration. Zero bank debt so WACC = cost of equity.</t>
        </is>
      </c>
    </row>
    <row r="24">
      <c r="A24" s="2" t="inlineStr">
        <is>
          <t>Risk charged once</t>
        </is>
      </c>
      <c r="B24" s="3" t="inlineStr">
        <is>
          <t>Structural satellite decline, NZR rights risk and integration risk live in the FLOWS, not the WACC. The same 13.0% is used in all three scenarios.</t>
        </is>
      </c>
    </row>
    <row r="25">
      <c r="A25" s="2" t="inlineStr">
        <is>
          <t>Terminal growth 0.0% base</t>
        </is>
      </c>
      <c r="B25" s="3" t="inlineStr">
        <is>
          <t>A business whose majority revenue stream shrinks 5-8%/yr does not grow with GDP forever. Bear -1.0%, bull +1.0%.</t>
        </is>
      </c>
    </row>
    <row r="26">
      <c r="A26" s="2" t="inlineStr">
        <is>
          <t>Exit-multiple caps</t>
        </is>
      </c>
      <c r="B26" s="3" t="inlineStr">
        <is>
          <t>Step 8c: bear 1.9x (10yr min), base 3.0x (recent-range top), bull 5.6x (10yr max) EV/EBITDA on terminal EBITDA. Gordon bound in all three; caps stand as a guardrail.</t>
        </is>
      </c>
    </row>
    <row r="27">
      <c r="A27" s="2" t="inlineStr">
        <is>
          <t>SBC</t>
        </is>
      </c>
      <c r="B27" s="3" t="inlineStr">
        <is>
          <t>~0.05% of revenue - an SBC-zero market. Rows kept explicit at ~0%; house/street band collapses, band_position is null.</t>
        </is>
      </c>
    </row>
    <row r="28">
      <c r="A28" s="2" t="inlineStr"/>
      <c r="B28" s="3" t="inlineStr"/>
    </row>
    <row r="29">
      <c r="A29" s="2" t="inlineStr">
        <is>
          <t>SCENARIO DRIVERS</t>
        </is>
      </c>
      <c r="B29" s="3" t="inlineStr">
        <is>
          <t>Whose judgment, and when set.</t>
        </is>
      </c>
    </row>
    <row r="30">
      <c r="A30" s="2" t="inlineStr">
        <is>
          <t>Judgment</t>
        </is>
      </c>
      <c r="B30" s="3" t="inlineStr">
        <is>
          <t>Scenario driver paths are the dcf-analyst agent's judgment, set 28 Aug 2026 on the FY2026 annual report, the FY2026 results presentation and the Analysis JSON. Year 1 is anchored to published FY2027 guidance.</t>
        </is>
      </c>
    </row>
    <row r="31">
      <c r="A31" s="2" t="inlineStr"/>
      <c r="B31" s="3" t="inlineStr"/>
    </row>
    <row r="32">
      <c r="A32" s="2" t="inlineStr">
        <is>
          <t>REFRESH AFTER NEXT PRINT</t>
        </is>
      </c>
      <c r="B32" s="3" t="inlineStr">
        <is>
          <t>H1 FY2027 interim (approx Feb 2027): Sky Box / Neon / Sky Sport Now customer counts, FY27 guidance reconfirmation or revision, synergy delivery against the $10m FY28 target, any buyback initiation (flagged as possible after the FY27 interim), and the balance-sheet anchors.</t>
        </is>
      </c>
    </row>
    <row r="33">
      <c r="A33" s="2" t="inlineStr"/>
      <c r="B33" s="3" t="inlineStr"/>
    </row>
    <row r="34">
      <c r="A34" s="2" t="inlineStr">
        <is>
          <t>COLOUR LEGEND</t>
        </is>
      </c>
      <c r="B34" s="3" t="inlineStr">
        <is>
          <t>Blue = hardcoded input. Yellow fill = key driver lever. Black = formula. Green = cross-sheet link. Highlighted green fill = headline value per share.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80" customWidth="1" min="5" max="5"/>
  </cols>
  <sheetData>
    <row r="1">
      <c r="A1" s="4" t="inlineStr">
        <is>
          <t>Item</t>
        </is>
      </c>
      <c r="B1" s="4" t="inlineStr">
        <is>
          <t>FY2024</t>
        </is>
      </c>
      <c r="C1" s="4" t="inlineStr">
        <is>
          <t>FY2025</t>
        </is>
      </c>
      <c r="D1" s="4" t="inlineStr">
        <is>
          <t>FY2026</t>
        </is>
      </c>
      <c r="E1" s="4" t="inlineStr">
        <is>
          <t>Source note</t>
        </is>
      </c>
    </row>
    <row r="2">
      <c r="A2" s="2" t="inlineStr">
        <is>
          <t>Revenue reported</t>
        </is>
      </c>
      <c r="B2" s="5" t="n">
        <v>766.734</v>
      </c>
      <c r="C2" s="5" t="n">
        <v>750.723</v>
      </c>
      <c r="D2" s="5" t="n">
        <v>824.845</v>
      </c>
      <c r="E2" t="inlineStr">
        <is>
          <t>CSV / income statement</t>
        </is>
      </c>
    </row>
    <row r="3">
      <c r="A3" s="2" t="inlineStr">
        <is>
          <t>Revenue underlying</t>
        </is>
      </c>
      <c r="C3" s="5" t="n">
        <v>755.1</v>
      </c>
      <c r="D3" s="5" t="n">
        <v>826.1</v>
      </c>
      <c r="E3" t="inlineStr">
        <is>
          <t>Sky reconciliation table, FY2026 Annual Report p8</t>
        </is>
      </c>
    </row>
    <row r="4">
      <c r="A4" s="2" t="inlineStr">
        <is>
          <t>EBITDA reported</t>
        </is>
      </c>
      <c r="B4" s="5" t="n">
        <v>153.035</v>
      </c>
      <c r="C4" s="5" t="n">
        <v>120.638</v>
      </c>
      <c r="D4" s="5" t="n">
        <v>170.203</v>
      </c>
      <c r="E4" t="inlineStr">
        <is>
          <t>EBIT + D&amp;A, statutory. FY25 depressed by 19.7m accelerated content amortisation</t>
        </is>
      </c>
    </row>
    <row r="5">
      <c r="A5" s="2" t="inlineStr">
        <is>
          <t>EBITDA underlying</t>
        </is>
      </c>
      <c r="C5" s="5" t="n">
        <v>148.5</v>
      </c>
      <c r="D5" s="5" t="n">
        <v>157</v>
      </c>
      <c r="E5" t="inlineStr">
        <is>
          <t>Sky reconciliation table. Underlying growth +5.8%, NOT the +41% reported jump</t>
        </is>
      </c>
    </row>
    <row r="6">
      <c r="A6" s="2" t="inlineStr">
        <is>
          <t>NPAT reported</t>
        </is>
      </c>
      <c r="B6" s="5" t="n">
        <v>49.223</v>
      </c>
      <c r="C6" s="5" t="n">
        <v>20.59</v>
      </c>
      <c r="D6" s="5" t="n">
        <v>59.798</v>
      </c>
      <c r="E6" t="inlineStr">
        <is>
          <t>Income statement</t>
        </is>
      </c>
    </row>
    <row r="7">
      <c r="A7" s="2" t="inlineStr">
        <is>
          <t>NPAT underlying</t>
        </is>
      </c>
      <c r="C7" s="5" t="n">
        <v>41.1</v>
      </c>
      <c r="D7" s="5" t="n">
        <v>41.8</v>
      </c>
      <c r="E7" t="inlineStr">
        <is>
          <t>Sky reconciliation table. Underlying growth only +1.8% YoY</t>
        </is>
      </c>
    </row>
    <row r="8">
      <c r="A8" s="2" t="inlineStr">
        <is>
          <t>Gain on bargain purchase</t>
        </is>
      </c>
      <c r="D8" s="5" t="n">
        <v>31.407</v>
      </c>
      <c r="E8" t="inlineStr">
        <is>
          <t>Note 5. Final; provisional 34.433 reduced by 3.026 on final PPA</t>
        </is>
      </c>
    </row>
    <row r="9">
      <c r="A9" s="2" t="inlineStr">
        <is>
          <t>Optus compensation</t>
        </is>
      </c>
      <c r="D9" s="5" t="n">
        <v>8.199999999999999</v>
      </c>
      <c r="E9" t="inlineStr">
        <is>
          <t>Note 6, satellite migration</t>
        </is>
      </c>
    </row>
    <row r="10">
      <c r="A10" s="2" t="inlineStr">
        <is>
          <t>Sky Free integration+transaction</t>
        </is>
      </c>
      <c r="C10" s="5" t="n">
        <v>2.3</v>
      </c>
      <c r="D10" s="5" t="n">
        <v>13.9</v>
      </c>
      <c r="E10" t="inlineStr">
        <is>
          <t>12.8m integration + 1.1m transaction</t>
        </is>
      </c>
    </row>
    <row r="11">
      <c r="A11" s="2" t="inlineStr">
        <is>
          <t>Operating cash flow</t>
        </is>
      </c>
      <c r="B11" s="5" t="n">
        <v>139.131</v>
      </c>
      <c r="C11" s="5" t="n">
        <v>120.201</v>
      </c>
      <c r="D11" s="5" t="n">
        <v>152.75</v>
      </c>
      <c r="E11" t="inlineStr">
        <is>
          <t>Cash flow statement</t>
        </is>
      </c>
    </row>
    <row r="12">
      <c r="A12" s="2" t="inlineStr">
        <is>
          <t>Capex cash</t>
        </is>
      </c>
      <c r="B12" s="5" t="n">
        <v>88.70699999999999</v>
      </c>
      <c r="C12" s="5" t="n">
        <v>77.746</v>
      </c>
      <c r="D12" s="5" t="n">
        <v>63.427</v>
      </c>
      <c r="E12" t="inlineStr">
        <is>
          <t>PPE 33.492 + intangibles 29.935</t>
        </is>
      </c>
    </row>
    <row r="13">
      <c r="A13" s="2" t="inlineStr">
        <is>
          <t>Capex underlying</t>
        </is>
      </c>
      <c r="C13" s="5" t="n">
        <v>65.2</v>
      </c>
      <c r="D13" s="5" t="n">
        <v>59.1</v>
      </c>
      <c r="E13" t="inlineStr">
        <is>
          <t>Sky reconciliation table</t>
        </is>
      </c>
    </row>
    <row r="14">
      <c r="A14" s="2" t="inlineStr">
        <is>
          <t>Lease principal repaid</t>
        </is>
      </c>
      <c r="B14" s="5" t="n">
        <v>26.742</v>
      </c>
      <c r="C14" s="5" t="n">
        <v>17.693</v>
      </c>
      <c r="D14" s="5" t="n">
        <v>26.074</v>
      </c>
      <c r="E14" t="inlineStr">
        <is>
          <t>Financing activities - Payments for lease liability principal</t>
        </is>
      </c>
    </row>
    <row r="15">
      <c r="A15" s="2" t="inlineStr">
        <is>
          <t>Income tax PAID</t>
        </is>
      </c>
      <c r="B15" s="5" t="n">
        <v>13</v>
      </c>
      <c r="C15" s="5" t="n">
        <v>12.658</v>
      </c>
      <c r="D15" s="5" t="n">
        <v>0</v>
      </c>
      <c r="E15" t="inlineStr">
        <is>
          <t>Cash flow statement. NIL in FY2026 - not repeatable</t>
        </is>
      </c>
    </row>
    <row r="16">
      <c r="A16" s="2" t="inlineStr">
        <is>
          <t>Interest income</t>
        </is>
      </c>
      <c r="B16" s="5" t="n">
        <v>3.602</v>
      </c>
      <c r="C16" s="5" t="n">
        <v>1.7</v>
      </c>
      <c r="D16" s="5" t="n">
        <v>1.753</v>
      </c>
      <c r="E16" t="inlineStr">
        <is>
          <t>Finance income, Note 19</t>
        </is>
      </c>
    </row>
    <row r="17">
      <c r="A17" s="2" t="inlineStr">
        <is>
          <t>Reported FCF (OCF-capex)</t>
        </is>
      </c>
      <c r="B17" s="5" t="n">
        <v>50.424</v>
      </c>
      <c r="C17" s="5" t="n">
        <v>42.455</v>
      </c>
      <c r="D17" s="5" t="n">
        <v>89.32299999999999</v>
      </c>
      <c r="E17" t="inlineStr">
        <is>
          <t>CSV convention; deducts NO lease principal</t>
        </is>
      </c>
    </row>
    <row r="18">
      <c r="A18" s="2" t="inlineStr">
        <is>
          <t>Sky stated FCF</t>
        </is>
      </c>
      <c r="C18" s="5" t="n">
        <v>24.8</v>
      </c>
      <c r="D18" s="5" t="n">
        <v>55.1</v>
      </c>
      <c r="E18" t="inlineStr">
        <is>
          <t>Results presentation p16 (ex-Optus claim, post-lease)</t>
        </is>
      </c>
    </row>
    <row r="19">
      <c r="A19" s="2" t="inlineStr">
        <is>
          <t>Sky normalised FCF</t>
        </is>
      </c>
      <c r="D19" s="5" t="n">
        <v>58.9</v>
      </c>
      <c r="E19" t="inlineStr">
        <is>
          <t>Presentation p17: OCF less lease principal less capex, excluding one-offs, tax normalised -15.2</t>
        </is>
      </c>
    </row>
    <row r="20">
      <c r="A20" s="2" t="inlineStr">
        <is>
          <t>Owner FCF (house)</t>
        </is>
      </c>
      <c r="B20" s="5" t="n">
        <v>20.1</v>
      </c>
      <c r="C20" s="5" t="n">
        <v>23.1</v>
      </c>
      <c r="D20" s="5" t="n">
        <v>57.15</v>
      </c>
      <c r="E20" t="inlineStr">
        <is>
          <t>Normalised 58.9 less interest income 1.753</t>
        </is>
      </c>
    </row>
    <row r="21">
      <c r="A21" s="2" t="inlineStr">
        <is>
          <t>Shareholders equity</t>
        </is>
      </c>
      <c r="B21" s="5" t="n">
        <v>447.539</v>
      </c>
      <c r="C21" s="5" t="n">
        <v>437.566</v>
      </c>
      <c r="D21" s="5" t="n">
        <v>467.568</v>
      </c>
      <c r="E21" t="inlineStr">
        <is>
          <t>Attributable to owners of the Parent</t>
        </is>
      </c>
    </row>
    <row r="22">
      <c r="A22" s="2" t="inlineStr">
        <is>
          <t>Cash</t>
        </is>
      </c>
      <c r="B22" s="5" t="n">
        <v>37.799</v>
      </c>
      <c r="C22" s="5" t="n">
        <v>32.41</v>
      </c>
      <c r="D22" s="5" t="n">
        <v>79.14</v>
      </c>
      <c r="E22" t="inlineStr">
        <is>
          <t>Balance sheet</t>
        </is>
      </c>
    </row>
    <row r="23">
      <c r="A23" s="2" t="inlineStr">
        <is>
          <t>Lease liabilities total</t>
        </is>
      </c>
      <c r="B23" s="5" t="n">
        <v>24.712</v>
      </c>
      <c r="C23" s="5" t="n">
        <v>72.59999999999999</v>
      </c>
      <c r="D23" s="5" t="n">
        <v>62.483</v>
      </c>
      <c r="E23" t="inlineStr">
        <is>
          <t>30.521 current + 31.962 non-current; NO bank debt</t>
        </is>
      </c>
    </row>
    <row r="24">
      <c r="A24" s="2" t="inlineStr">
        <is>
          <t>Dividend per share (cps)</t>
        </is>
      </c>
      <c r="B24" s="5" t="n">
        <v>19</v>
      </c>
      <c r="C24" s="5" t="n">
        <v>22</v>
      </c>
      <c r="D24" s="5" t="n">
        <v>32</v>
      </c>
      <c r="E24" t="inlineStr">
        <is>
          <t>FY26 = 15.0 interim + 17.0 final, fully imputed</t>
        </is>
      </c>
    </row>
    <row r="25">
      <c r="A25" s="2" t="inlineStr">
        <is>
          <t>Dividends paid cash</t>
        </is>
      </c>
      <c r="C25" s="5" t="n">
        <v>29.859</v>
      </c>
      <c r="D25" s="5" t="n">
        <v>41.231</v>
      </c>
      <c r="E25" t="inlineStr">
        <is>
          <t>Financing activities</t>
        </is>
      </c>
    </row>
    <row r="26">
      <c r="A26" s="2" t="inlineStr">
        <is>
          <t>Share buybacks</t>
        </is>
      </c>
      <c r="B26" s="5" t="n">
        <v>16.931</v>
      </c>
      <c r="C26" s="5" t="n">
        <v>0</v>
      </c>
      <c r="D26" s="5" t="n">
        <v>0</v>
      </c>
      <c r="E26" t="inlineStr">
        <is>
          <t>Paused since Feb-2025</t>
        </is>
      </c>
    </row>
    <row r="27">
      <c r="A27" s="2" t="inlineStr">
        <is>
          <t>Sky Box customers</t>
        </is>
      </c>
      <c r="B27" s="6" t="n">
        <v>479192</v>
      </c>
      <c r="C27" s="6" t="n">
        <v>448290</v>
      </c>
      <c r="D27" s="6" t="n">
        <v>422000</v>
      </c>
      <c r="E27" t="inlineStr">
        <is>
          <t>KPI - structural decline, 514,982 in FY2023</t>
        </is>
      </c>
    </row>
    <row r="28">
      <c r="A28" s="2" t="inlineStr">
        <is>
          <t>Neon customers</t>
        </is>
      </c>
      <c r="B28" s="6" t="n">
        <v>258325</v>
      </c>
      <c r="C28" s="6" t="n">
        <v>259409</v>
      </c>
      <c r="D28" s="6" t="n">
        <v>252000</v>
      </c>
      <c r="E28" t="inlineStr">
        <is>
          <t>KPI - now shrinking; standalone HBO Max launched NZ 16 Jun 2026</t>
        </is>
      </c>
    </row>
    <row r="29">
      <c r="A29" s="2" t="inlineStr">
        <is>
          <t>Sky Sport Now customers</t>
        </is>
      </c>
      <c r="B29" s="6" t="n">
        <v>125439</v>
      </c>
      <c r="C29" s="6" t="n">
        <v>150173</v>
      </c>
      <c r="D29" s="6" t="n">
        <v>159000</v>
      </c>
      <c r="E29" t="inlineStr">
        <is>
          <t>KPI - growing +13%</t>
        </is>
      </c>
    </row>
    <row r="30">
      <c r="A30" s="2" t="inlineStr">
        <is>
          <t>Broadband customers</t>
        </is>
      </c>
      <c r="D30" s="6" t="n">
        <v>59000</v>
      </c>
      <c r="E30" t="inlineStr">
        <is>
          <t>KPI - growing +16% off a small base</t>
        </is>
      </c>
    </row>
    <row r="32">
      <c r="A32" s="2" t="inlineStr">
        <is>
          <t>Diluted share table</t>
        </is>
      </c>
    </row>
    <row r="33">
      <c r="A33" t="inlineStr">
        <is>
          <t>Basic weighted shares (000s)</t>
        </is>
      </c>
      <c r="B33" s="7" t="n">
        <v>137675</v>
      </c>
      <c r="E33" t="inlineStr">
        <is>
          <t>Note 8</t>
        </is>
      </c>
    </row>
    <row r="34">
      <c r="A34" t="inlineStr">
        <is>
          <t>Diluted weighted shares (000s)</t>
        </is>
      </c>
      <c r="B34" s="7" t="n">
        <v>138602</v>
      </c>
      <c r="E34" t="inlineStr">
        <is>
          <t>Note 8, incl share rights</t>
        </is>
      </c>
    </row>
    <row r="35">
      <c r="A35" t="inlineStr">
        <is>
          <t>Shares used in model (m)</t>
        </is>
      </c>
      <c r="B35" s="7" t="n">
        <v>138.602</v>
      </c>
      <c r="E35" t="inlineStr">
        <is>
          <t>Fully diluted, held flat</t>
        </is>
      </c>
    </row>
    <row r="37">
      <c r="A37" s="2" t="inlineStr">
        <is>
          <t>FY2027 guidance</t>
        </is>
      </c>
    </row>
    <row r="38">
      <c r="A38" t="inlineStr">
        <is>
          <t>Revenue</t>
        </is>
      </c>
      <c r="B38" s="7" t="n">
        <v>825</v>
      </c>
      <c r="C38" s="7" t="n">
        <v>840</v>
      </c>
      <c r="E38" t="inlineStr">
        <is>
          <t>Presentation p19</t>
        </is>
      </c>
    </row>
    <row r="39">
      <c r="A39" t="inlineStr">
        <is>
          <t>EBITDA</t>
        </is>
      </c>
      <c r="B39" s="7" t="n">
        <v>155</v>
      </c>
      <c r="C39" s="7" t="n">
        <v>165</v>
      </c>
      <c r="E39" t="inlineStr">
        <is>
          <t>Presentation p19</t>
        </is>
      </c>
    </row>
    <row r="40">
      <c r="A40" t="inlineStr">
        <is>
          <t>Capex</t>
        </is>
      </c>
      <c r="B40" s="7" t="n">
        <v>60</v>
      </c>
      <c r="C40" s="7" t="n">
        <v>65</v>
      </c>
      <c r="E40" t="inlineStr">
        <is>
          <t>6-8% of revenue</t>
        </is>
      </c>
    </row>
    <row r="41">
      <c r="A41" t="inlineStr">
        <is>
          <t>Dividend cps</t>
        </is>
      </c>
      <c r="B41" s="7" t="n">
        <v>35</v>
      </c>
      <c r="E41" t="inlineStr">
        <is>
          <t>At least 35 cps; 10%/yr growth target to FY29, paid quarterly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8" customWidth="1" min="3" max="3"/>
  </cols>
  <sheetData>
    <row r="1">
      <c r="A1" s="8" t="inlineStr">
        <is>
          <t>Global assumptions</t>
        </is>
      </c>
    </row>
    <row r="2">
      <c r="A2" s="2" t="inlineStr">
        <is>
          <t>WACC / cost of equity</t>
        </is>
      </c>
      <c r="B2" s="9" t="n">
        <v>0.13</v>
      </c>
      <c r="C2" t="inlineStr">
        <is>
          <t>NZD-matched: 4.5% rf + 1.0 beta x 6.0% ERP = 10.5%, +150bp illiquidity, +100bp single-country. Zero bank debt so WACC = CoE.</t>
        </is>
      </c>
    </row>
    <row r="3">
      <c r="A3" s="2" t="inlineStr">
        <is>
          <t>Risk-free rate (NZ 10yr)</t>
        </is>
      </c>
      <c r="B3" s="9" t="n">
        <v>0.045</v>
      </c>
      <c r="C3" t="inlineStr">
        <is>
          <t>NZ government bond</t>
        </is>
      </c>
    </row>
    <row r="4">
      <c r="A4" s="2" t="inlineStr">
        <is>
          <t>Equity risk premium (NZ)</t>
        </is>
      </c>
      <c r="B4" s="9" t="n">
        <v>0.06</v>
      </c>
      <c r="C4" t="inlineStr">
        <is>
          <t>NZ market</t>
        </is>
      </c>
    </row>
    <row r="5">
      <c r="A5" s="2" t="inlineStr">
        <is>
          <t>Beta</t>
        </is>
      </c>
      <c r="B5" s="10" t="n">
        <v>1</v>
      </c>
      <c r="C5" t="inlineStr">
        <is>
          <t>Defensive subscription revenue offset by structural decline</t>
        </is>
      </c>
    </row>
    <row r="6">
      <c r="A6" s="2" t="inlineStr">
        <is>
          <t>Cash tax rate</t>
        </is>
      </c>
      <c r="B6" s="9" t="n">
        <v>0.28</v>
      </c>
      <c r="C6" t="inlineStr">
        <is>
          <t>NZ statutory. NIL was paid in FY2026 - not repeatable.</t>
        </is>
      </c>
    </row>
    <row r="7">
      <c r="A7" s="2" t="inlineStr">
        <is>
          <t>Net CASH (NZDm)</t>
        </is>
      </c>
      <c r="B7" s="10" t="n">
        <v>79.14</v>
      </c>
      <c r="C7" t="inlineStr">
        <is>
          <t>Cash 79.140; lease liabilities EXCLUDED per treatment (B); no bank debt</t>
        </is>
      </c>
    </row>
    <row r="8">
      <c r="A8" s="2" t="inlineStr">
        <is>
          <t>Diluted shares (m)</t>
        </is>
      </c>
      <c r="B8" s="10" t="n">
        <v>138.602</v>
      </c>
      <c r="C8" t="inlineStr">
        <is>
          <t>FY2026 Note 8; held flat</t>
        </is>
      </c>
    </row>
    <row r="9">
      <c r="A9" s="2" t="inlineStr">
        <is>
          <t>Share price (NZD)</t>
        </is>
      </c>
      <c r="B9" s="10" t="n">
        <v>3.55</v>
      </c>
      <c r="C9" t="inlineStr">
        <is>
          <t>NZX close 28 Aug 2026, live from Yahoo</t>
        </is>
      </c>
    </row>
    <row r="10">
      <c r="A10" s="2" t="inlineStr">
        <is>
          <t>FY2026 underlying revenue</t>
        </is>
      </c>
      <c r="B10" s="10" t="n">
        <v>826.1</v>
      </c>
      <c r="C10" t="inlineStr">
        <is>
          <t>Base year revenue - UNDERLYING not reported</t>
        </is>
      </c>
    </row>
    <row r="11">
      <c r="A11" s="2" t="inlineStr">
        <is>
          <t>FY2026 underlying EBITDA</t>
        </is>
      </c>
      <c r="B11" s="10" t="n">
        <v>157</v>
      </c>
      <c r="C11" t="inlineStr">
        <is>
          <t>Margin 19.0%</t>
        </is>
      </c>
    </row>
    <row r="12">
      <c r="A12" s="2" t="inlineStr">
        <is>
          <t>FY2026 owner FCF</t>
        </is>
      </c>
      <c r="B12" s="10" t="n">
        <v>57.15</v>
      </c>
      <c r="C12" t="inlineStr">
        <is>
          <t>Sky normalised 58.9 less interest income 1.753</t>
        </is>
      </c>
    </row>
    <row r="13">
      <c r="A13" s="2" t="inlineStr">
        <is>
          <t>Entry-price hurdle IRR</t>
        </is>
      </c>
      <c r="B13" s="9" t="n">
        <v>0.15</v>
      </c>
      <c r="C13" t="inlineStr">
        <is>
          <t>House standard</t>
        </is>
      </c>
    </row>
    <row r="15">
      <c r="A15" s="8" t="inlineStr">
        <is>
          <t>Per-scenario terminal settings</t>
        </is>
      </c>
    </row>
    <row r="16">
      <c r="A16" s="4" t="inlineStr">
        <is>
          <t>Scenario</t>
        </is>
      </c>
      <c r="B16" s="4" t="inlineStr">
        <is>
          <t>Terminal growth</t>
        </is>
      </c>
      <c r="C16" s="4" t="inlineStr">
        <is>
          <t>Exit EV/EBITDA cap</t>
        </is>
      </c>
      <c r="D16" s="4" t="inlineStr">
        <is>
          <t>Probability</t>
        </is>
      </c>
    </row>
    <row r="17">
      <c r="A17" s="2" t="inlineStr">
        <is>
          <t>Bear</t>
        </is>
      </c>
      <c r="B17" s="9" t="n">
        <v>-0.01</v>
      </c>
      <c r="C17" s="11" t="n">
        <v>1.9</v>
      </c>
      <c r="D17" s="9" t="n">
        <v>0.3</v>
      </c>
    </row>
    <row r="18">
      <c r="A18" s="2" t="inlineStr">
        <is>
          <t>Base</t>
        </is>
      </c>
      <c r="B18" s="9" t="n">
        <v>0</v>
      </c>
      <c r="C18" s="11" t="n">
        <v>3</v>
      </c>
      <c r="D18" s="9" t="n">
        <v>0.5</v>
      </c>
    </row>
    <row r="19">
      <c r="A19" s="2" t="inlineStr">
        <is>
          <t>Bull</t>
        </is>
      </c>
      <c r="B19" s="9" t="n">
        <v>0.01</v>
      </c>
      <c r="C19" s="11" t="n">
        <v>5.6</v>
      </c>
      <c r="D19" s="9" t="n">
        <v>0.2</v>
      </c>
    </row>
    <row r="20">
      <c r="A20" s="2" t="inlineStr">
        <is>
          <t>Weights check</t>
        </is>
      </c>
      <c r="D20" s="12">
        <f>SUM(D17:D19)</f>
        <v/>
      </c>
    </row>
    <row r="22">
      <c r="A22" s="8" t="inlineStr">
        <is>
          <t>Scenario narratives</t>
        </is>
      </c>
    </row>
    <row r="23" ht="95" customHeight="1">
      <c r="A23" s="2" t="inlineStr">
        <is>
          <t>Bear</t>
        </is>
      </c>
      <c r="C23" s="3" t="inlineStr">
        <is>
          <t>The satellite base decays faster than 5-8% as households cut discretionary spend in a weak NZ economy, and Neon keeps shrinking against a standalone HBO Max that launched in NZ on 16 June 2026 after Sky chose not to renew exclusivity. The acquired free-to-air business is a declining linear-advertising asset in a market that fell 11% in FY25, and integration synergies are consumed by content inflation rather than dropping to EBITDA. Because the satellite cost base is largely fixed - transponder, field technicians, set-top hardware - a shrinking subscriber base produces operating deleverage, so the margin falls from 19% to 13.5%. The 2030 NZR renewal reprices against Sky again, or fragments further to a global streamer. Revenue declines ~4.5%/yr and terminal growth is negative.</t>
        </is>
      </c>
    </row>
    <row r="24" ht="95" customHeight="1">
      <c r="A24" s="2" t="inlineStr">
        <is>
          <t>Base</t>
        </is>
      </c>
      <c r="C24" s="3" t="inlineStr">
        <is>
          <t>FY2027 lands inside guidance (revenue $825-840m, EBITDA $155-165m) and Sky Free synergies reach the promised $10m+ by FY28, holding revenue roughly flat for three years and lifting the EBITDA margin from 19.0% to about 20.5%. From FY2030 the arithmetic of the core reasserts itself: Sky Box is ~54% of revenue and shrinking 5-8% a year, and streaming, advertising and broadband are too small to offset it, so group revenue drifts to -1.5%/yr and the margin eases back as the mix shifts toward lower-margin advertising and free-to-air. The cheaper NZR deal (~$75-80m/yr vs ~$111m) is a genuine and durable margin support, and capex normalises to the guided 7% of revenue now the Optus satellite migration is finished.</t>
        </is>
      </c>
    </row>
    <row r="25" ht="95" customHeight="1">
      <c r="A25" s="2" t="inlineStr">
        <is>
          <t>Bull</t>
        </is>
      </c>
      <c r="C25" s="3" t="inlineStr">
        <is>
          <t>Sky Free is the pivot management says it is: advertising and BVOD scale on the acquired Three/ThreeNow inventory, digital advertising compounds off its small base, broadband keeps growing ~15%, and together they genuinely offset satellite attrition so group revenue grows ~1.5-2%/yr toward the stated FY2031 ambition of 20-30% of revenue from non-subscription sources. Synergies exceed $10m, programming costs settle at the 47% end of the 47-49% target, and the EBITDA margin reaches 23% - above the 21-23% three-year target Sky has so far missed. Capex falls to the bottom of the 6-8% envelope. Even here the exit is capped at 5.6x EV/EBITDA, the highest multiple this market has paid in a decade.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Bear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-0.001</v>
      </c>
      <c r="D5" s="9" t="n">
        <v>-0.015</v>
      </c>
      <c r="E5" s="9" t="n">
        <v>-0.025</v>
      </c>
      <c r="F5" s="9" t="n">
        <v>-0.035</v>
      </c>
      <c r="G5" s="9" t="n">
        <v>-0.04</v>
      </c>
      <c r="H5" s="9" t="n">
        <v>-0.045</v>
      </c>
      <c r="I5" s="9" t="n">
        <v>-0.045</v>
      </c>
      <c r="J5" s="9" t="n">
        <v>-0.045</v>
      </c>
      <c r="K5" s="9" t="n">
        <v>-0.045</v>
      </c>
      <c r="L5" s="9" t="n">
        <v>-0.045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0.186</v>
      </c>
      <c r="D7" s="9" t="n">
        <v>0.18</v>
      </c>
      <c r="E7" s="9" t="n">
        <v>0.174</v>
      </c>
      <c r="F7" s="9" t="n">
        <v>0.168</v>
      </c>
      <c r="G7" s="9" t="n">
        <v>0.162</v>
      </c>
      <c r="H7" s="9" t="n">
        <v>0.156</v>
      </c>
      <c r="I7" s="9" t="n">
        <v>0.15</v>
      </c>
      <c r="J7" s="9" t="n">
        <v>0.145</v>
      </c>
      <c r="K7" s="9" t="n">
        <v>0.14</v>
      </c>
      <c r="L7" s="9" t="n">
        <v>0.135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0.116</v>
      </c>
      <c r="D12" s="9" t="n">
        <v>0.115</v>
      </c>
      <c r="E12" s="9" t="n">
        <v>0.114</v>
      </c>
      <c r="F12" s="9" t="n">
        <v>0.113</v>
      </c>
      <c r="G12" s="9" t="n">
        <v>0.112</v>
      </c>
      <c r="H12" s="9" t="n">
        <v>0.111</v>
      </c>
      <c r="I12" s="9" t="n">
        <v>0.11</v>
      </c>
      <c r="J12" s="9" t="n">
        <v>0.11</v>
      </c>
      <c r="K12" s="9" t="n">
        <v>0.11</v>
      </c>
      <c r="L12" s="9" t="n">
        <v>0.11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0.078</v>
      </c>
      <c r="D18" s="9" t="n">
        <v>0.078</v>
      </c>
      <c r="E18" s="9" t="n">
        <v>0.078</v>
      </c>
      <c r="F18" s="9" t="n">
        <v>0.08</v>
      </c>
      <c r="G18" s="9" t="n">
        <v>0.08</v>
      </c>
      <c r="H18" s="9" t="n">
        <v>0.08</v>
      </c>
      <c r="I18" s="9" t="n">
        <v>0.08</v>
      </c>
      <c r="J18" s="9" t="n">
        <v>0.08</v>
      </c>
      <c r="K18" s="9" t="n">
        <v>0.08</v>
      </c>
      <c r="L18" s="9" t="n">
        <v>0.08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0.033</v>
      </c>
      <c r="D20" s="9" t="n">
        <v>0.033</v>
      </c>
      <c r="E20" s="9" t="n">
        <v>0.033</v>
      </c>
      <c r="F20" s="9" t="n">
        <v>0.033</v>
      </c>
      <c r="G20" s="9" t="n">
        <v>0.033</v>
      </c>
      <c r="H20" s="9" t="n">
        <v>0.033</v>
      </c>
      <c r="I20" s="9" t="n">
        <v>0.033</v>
      </c>
      <c r="J20" s="9" t="n">
        <v>0.033</v>
      </c>
      <c r="K20" s="9" t="n">
        <v>0.033</v>
      </c>
      <c r="L20" s="9" t="n">
        <v>0.033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0.08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Assumptions!$B$17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Assumptions!$C$17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Base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0.008</v>
      </c>
      <c r="D5" s="9" t="n">
        <v>0.005</v>
      </c>
      <c r="E5" s="9" t="n">
        <v>0</v>
      </c>
      <c r="F5" s="9" t="n">
        <v>-0.005</v>
      </c>
      <c r="G5" s="9" t="n">
        <v>-0.01</v>
      </c>
      <c r="H5" s="9" t="n">
        <v>-0.012</v>
      </c>
      <c r="I5" s="9" t="n">
        <v>-0.015</v>
      </c>
      <c r="J5" s="9" t="n">
        <v>-0.015</v>
      </c>
      <c r="K5" s="9" t="n">
        <v>-0.015</v>
      </c>
      <c r="L5" s="9" t="n">
        <v>-0.015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0.192</v>
      </c>
      <c r="D7" s="9" t="n">
        <v>0.198</v>
      </c>
      <c r="E7" s="9" t="n">
        <v>0.203</v>
      </c>
      <c r="F7" s="9" t="n">
        <v>0.205</v>
      </c>
      <c r="G7" s="9" t="n">
        <v>0.204</v>
      </c>
      <c r="H7" s="9" t="n">
        <v>0.202</v>
      </c>
      <c r="I7" s="9" t="n">
        <v>0.2</v>
      </c>
      <c r="J7" s="9" t="n">
        <v>0.198</v>
      </c>
      <c r="K7" s="9" t="n">
        <v>0.196</v>
      </c>
      <c r="L7" s="9" t="n">
        <v>0.194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0.115</v>
      </c>
      <c r="D12" s="9" t="n">
        <v>0.112</v>
      </c>
      <c r="E12" s="9" t="n">
        <v>0.11</v>
      </c>
      <c r="F12" s="9" t="n">
        <v>0.108</v>
      </c>
      <c r="G12" s="9" t="n">
        <v>0.106</v>
      </c>
      <c r="H12" s="9" t="n">
        <v>0.105</v>
      </c>
      <c r="I12" s="9" t="n">
        <v>0.104</v>
      </c>
      <c r="J12" s="9" t="n">
        <v>0.103</v>
      </c>
      <c r="K12" s="9" t="n">
        <v>0.102</v>
      </c>
      <c r="L12" s="9" t="n">
        <v>0.101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0.075</v>
      </c>
      <c r="D18" s="9" t="n">
        <v>0.07200000000000001</v>
      </c>
      <c r="E18" s="9" t="n">
        <v>0.07000000000000001</v>
      </c>
      <c r="F18" s="9" t="n">
        <v>0.07000000000000001</v>
      </c>
      <c r="G18" s="9" t="n">
        <v>0.07000000000000001</v>
      </c>
      <c r="H18" s="9" t="n">
        <v>0.07000000000000001</v>
      </c>
      <c r="I18" s="9" t="n">
        <v>0.07000000000000001</v>
      </c>
      <c r="J18" s="9" t="n">
        <v>0.07000000000000001</v>
      </c>
      <c r="K18" s="9" t="n">
        <v>0.07000000000000001</v>
      </c>
      <c r="L18" s="9" t="n">
        <v>0.07000000000000001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0.0316</v>
      </c>
      <c r="D20" s="9" t="n">
        <v>0.0316</v>
      </c>
      <c r="E20" s="9" t="n">
        <v>0.0316</v>
      </c>
      <c r="F20" s="9" t="n">
        <v>0.0316</v>
      </c>
      <c r="G20" s="9" t="n">
        <v>0.0316</v>
      </c>
      <c r="H20" s="9" t="n">
        <v>0.0316</v>
      </c>
      <c r="I20" s="9" t="n">
        <v>0.0316</v>
      </c>
      <c r="J20" s="9" t="n">
        <v>0.0316</v>
      </c>
      <c r="K20" s="9" t="n">
        <v>0.0316</v>
      </c>
      <c r="L20" s="9" t="n">
        <v>0.0316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0.1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Assumptions!$B$18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Assumptions!$C$18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8" t="inlineStr">
        <is>
          <t>SKT.NZ owner-FCF DCF - Bull case</t>
        </is>
      </c>
    </row>
    <row r="2">
      <c r="A2" t="inlineStr">
        <is>
          <t>Only rows 5, 7, 9, 12, 14, 16, 18 are hardcoded drivers. Everything else is formula.</t>
        </is>
      </c>
    </row>
    <row r="3">
      <c r="A3" s="2" t="inlineStr">
        <is>
          <t>Year</t>
        </is>
      </c>
      <c r="B3" s="2" t="inlineStr">
        <is>
          <t>FY2026A</t>
        </is>
      </c>
      <c r="C3" s="2" t="inlineStr">
        <is>
          <t>FY2027E</t>
        </is>
      </c>
      <c r="D3" s="2" t="inlineStr">
        <is>
          <t>FY2028E</t>
        </is>
      </c>
      <c r="E3" s="2" t="inlineStr">
        <is>
          <t>FY2029E</t>
        </is>
      </c>
      <c r="F3" s="2" t="inlineStr">
        <is>
          <t>FY2030E</t>
        </is>
      </c>
      <c r="G3" s="2" t="inlineStr">
        <is>
          <t>FY2031E</t>
        </is>
      </c>
      <c r="H3" s="2" t="inlineStr">
        <is>
          <t>FY2032E</t>
        </is>
      </c>
      <c r="I3" s="2" t="inlineStr">
        <is>
          <t>FY2033E</t>
        </is>
      </c>
      <c r="J3" s="2" t="inlineStr">
        <is>
          <t>FY2034E</t>
        </is>
      </c>
      <c r="K3" s="2" t="inlineStr">
        <is>
          <t>FY2035E</t>
        </is>
      </c>
      <c r="L3" s="2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2" t="inlineStr">
        <is>
          <t>Revenue growth YoY</t>
        </is>
      </c>
      <c r="C5" s="9" t="n">
        <v>0.017</v>
      </c>
      <c r="D5" s="9" t="n">
        <v>0.018</v>
      </c>
      <c r="E5" s="9" t="n">
        <v>0.02</v>
      </c>
      <c r="F5" s="9" t="n">
        <v>0.02</v>
      </c>
      <c r="G5" s="9" t="n">
        <v>0.018</v>
      </c>
      <c r="H5" s="9" t="n">
        <v>0.015</v>
      </c>
      <c r="I5" s="9" t="n">
        <v>0.015</v>
      </c>
      <c r="J5" s="9" t="n">
        <v>0.015</v>
      </c>
      <c r="K5" s="9" t="n">
        <v>0.015</v>
      </c>
      <c r="L5" s="9" t="n">
        <v>0.015</v>
      </c>
    </row>
    <row r="6">
      <c r="A6" s="2" t="inlineStr">
        <is>
          <t>Revenue</t>
        </is>
      </c>
      <c r="B6" s="5" t="n">
        <v>826.1</v>
      </c>
      <c r="C6" s="13">
        <f>B6*(1+C5)</f>
        <v/>
      </c>
      <c r="D6" s="13">
        <f>C6*(1+D5)</f>
        <v/>
      </c>
      <c r="E6" s="13">
        <f>D6*(1+E5)</f>
        <v/>
      </c>
      <c r="F6" s="13">
        <f>E6*(1+F5)</f>
        <v/>
      </c>
      <c r="G6" s="13">
        <f>F6*(1+G5)</f>
        <v/>
      </c>
      <c r="H6" s="13">
        <f>G6*(1+H5)</f>
        <v/>
      </c>
      <c r="I6" s="13">
        <f>H6*(1+I5)</f>
        <v/>
      </c>
      <c r="J6" s="13">
        <f>I6*(1+J5)</f>
        <v/>
      </c>
      <c r="K6" s="13">
        <f>J6*(1+K5)</f>
        <v/>
      </c>
      <c r="L6" s="13">
        <f>K6*(1+L5)</f>
        <v/>
      </c>
    </row>
    <row r="7">
      <c r="A7" s="2" t="inlineStr">
        <is>
          <t>Adj EBITDA margin (underlying)</t>
        </is>
      </c>
      <c r="C7" s="9" t="n">
        <v>0.198</v>
      </c>
      <c r="D7" s="9" t="n">
        <v>0.208</v>
      </c>
      <c r="E7" s="9" t="n">
        <v>0.218</v>
      </c>
      <c r="F7" s="9" t="n">
        <v>0.225</v>
      </c>
      <c r="G7" s="9" t="n">
        <v>0.23</v>
      </c>
      <c r="H7" s="9" t="n">
        <v>0.23</v>
      </c>
      <c r="I7" s="9" t="n">
        <v>0.23</v>
      </c>
      <c r="J7" s="9" t="n">
        <v>0.23</v>
      </c>
      <c r="K7" s="9" t="n">
        <v>0.23</v>
      </c>
      <c r="L7" s="9" t="n">
        <v>0.23</v>
      </c>
    </row>
    <row r="8">
      <c r="A8" s="2" t="inlineStr">
        <is>
          <t>Adjusted EBITDA</t>
        </is>
      </c>
      <c r="C8" s="13">
        <f>C6*C7</f>
        <v/>
      </c>
      <c r="D8" s="13">
        <f>D6*D7</f>
        <v/>
      </c>
      <c r="E8" s="13">
        <f>E6*E7</f>
        <v/>
      </c>
      <c r="F8" s="13">
        <f>F6*F7</f>
        <v/>
      </c>
      <c r="G8" s="13">
        <f>G6*G7</f>
        <v/>
      </c>
      <c r="H8" s="13">
        <f>H6*H7</f>
        <v/>
      </c>
      <c r="I8" s="13">
        <f>I6*I7</f>
        <v/>
      </c>
      <c r="J8" s="13">
        <f>J6*J7</f>
        <v/>
      </c>
      <c r="K8" s="13">
        <f>K6*K7</f>
        <v/>
      </c>
      <c r="L8" s="13">
        <f>L6*L7</f>
        <v/>
      </c>
    </row>
    <row r="9">
      <c r="A9" s="2" t="inlineStr">
        <is>
          <t>SBC % of revenue</t>
        </is>
      </c>
      <c r="C9" s="9" t="n">
        <v>0.0005</v>
      </c>
      <c r="D9" s="9" t="n">
        <v>0.0005</v>
      </c>
      <c r="E9" s="9" t="n">
        <v>0.0005</v>
      </c>
      <c r="F9" s="9" t="n">
        <v>0.0005</v>
      </c>
      <c r="G9" s="9" t="n">
        <v>0.0005</v>
      </c>
      <c r="H9" s="9" t="n">
        <v>0.0005</v>
      </c>
      <c r="I9" s="9" t="n">
        <v>0.0005</v>
      </c>
      <c r="J9" s="9" t="n">
        <v>0.0005</v>
      </c>
      <c r="K9" s="9" t="n">
        <v>0.0005</v>
      </c>
      <c r="L9" s="9" t="n">
        <v>0.0005</v>
      </c>
    </row>
    <row r="10">
      <c r="A10" t="inlineStr">
        <is>
          <t>SBC (negative)</t>
        </is>
      </c>
      <c r="C10" s="13">
        <f>-C6*C9</f>
        <v/>
      </c>
      <c r="D10" s="13">
        <f>-D6*D9</f>
        <v/>
      </c>
      <c r="E10" s="13">
        <f>-E6*E9</f>
        <v/>
      </c>
      <c r="F10" s="13">
        <f>-F6*F9</f>
        <v/>
      </c>
      <c r="G10" s="13">
        <f>-G6*G9</f>
        <v/>
      </c>
      <c r="H10" s="13">
        <f>-H6*H9</f>
        <v/>
      </c>
      <c r="I10" s="13">
        <f>-I6*I9</f>
        <v/>
      </c>
      <c r="J10" s="13">
        <f>-J6*J9</f>
        <v/>
      </c>
      <c r="K10" s="13">
        <f>-K6*K9</f>
        <v/>
      </c>
      <c r="L10" s="13">
        <f>-L6*L9</f>
        <v/>
      </c>
    </row>
    <row r="11">
      <c r="A11" s="2" t="inlineStr">
        <is>
          <t>Owner EBITDA</t>
        </is>
      </c>
      <c r="C11" s="13">
        <f>C8+C10</f>
        <v/>
      </c>
      <c r="D11" s="13">
        <f>D8+D10</f>
        <v/>
      </c>
      <c r="E11" s="13">
        <f>E8+E10</f>
        <v/>
      </c>
      <c r="F11" s="13">
        <f>F8+F10</f>
        <v/>
      </c>
      <c r="G11" s="13">
        <f>G8+G10</f>
        <v/>
      </c>
      <c r="H11" s="13">
        <f>H8+H10</f>
        <v/>
      </c>
      <c r="I11" s="13">
        <f>I8+I10</f>
        <v/>
      </c>
      <c r="J11" s="13">
        <f>J8+J10</f>
        <v/>
      </c>
      <c r="K11" s="13">
        <f>K8+K10</f>
        <v/>
      </c>
      <c r="L11" s="13">
        <f>L8+L10</f>
        <v/>
      </c>
    </row>
    <row r="12">
      <c r="A12" s="2" t="inlineStr">
        <is>
          <t>D&amp;A % of revenue</t>
        </is>
      </c>
      <c r="C12" s="9" t="n">
        <v>0.113</v>
      </c>
      <c r="D12" s="9" t="n">
        <v>0.11</v>
      </c>
      <c r="E12" s="9" t="n">
        <v>0.107</v>
      </c>
      <c r="F12" s="9" t="n">
        <v>0.104</v>
      </c>
      <c r="G12" s="9" t="n">
        <v>0.102</v>
      </c>
      <c r="H12" s="9" t="n">
        <v>0.1</v>
      </c>
      <c r="I12" s="9" t="n">
        <v>0.1</v>
      </c>
      <c r="J12" s="9" t="n">
        <v>0.1</v>
      </c>
      <c r="K12" s="9" t="n">
        <v>0.1</v>
      </c>
      <c r="L12" s="9" t="n">
        <v>0.1</v>
      </c>
    </row>
    <row r="13">
      <c r="A13" t="inlineStr">
        <is>
          <t>D&amp;A (negative)</t>
        </is>
      </c>
      <c r="C13" s="13">
        <f>-C6*C12</f>
        <v/>
      </c>
      <c r="D13" s="13">
        <f>-D6*D12</f>
        <v/>
      </c>
      <c r="E13" s="13">
        <f>-E6*E12</f>
        <v/>
      </c>
      <c r="F13" s="13">
        <f>-F6*F12</f>
        <v/>
      </c>
      <c r="G13" s="13">
        <f>-G6*G12</f>
        <v/>
      </c>
      <c r="H13" s="13">
        <f>-H6*H12</f>
        <v/>
      </c>
      <c r="I13" s="13">
        <f>-I6*I12</f>
        <v/>
      </c>
      <c r="J13" s="13">
        <f>-J6*J12</f>
        <v/>
      </c>
      <c r="K13" s="13">
        <f>-K6*K12</f>
        <v/>
      </c>
      <c r="L13" s="13">
        <f>-L6*L12</f>
        <v/>
      </c>
    </row>
    <row r="14">
      <c r="A14" s="2" t="inlineStr">
        <is>
          <t>Cash tax rate</t>
        </is>
      </c>
      <c r="C14" s="9" t="n">
        <v>0.28</v>
      </c>
      <c r="D14" s="9" t="n">
        <v>0.28</v>
      </c>
      <c r="E14" s="9" t="n">
        <v>0.28</v>
      </c>
      <c r="F14" s="9" t="n">
        <v>0.28</v>
      </c>
      <c r="G14" s="9" t="n">
        <v>0.28</v>
      </c>
      <c r="H14" s="9" t="n">
        <v>0.28</v>
      </c>
      <c r="I14" s="9" t="n">
        <v>0.28</v>
      </c>
      <c r="J14" s="9" t="n">
        <v>0.28</v>
      </c>
      <c r="K14" s="9" t="n">
        <v>0.28</v>
      </c>
      <c r="L14" s="9" t="n">
        <v>0.28</v>
      </c>
    </row>
    <row r="15">
      <c r="A15" s="2" t="inlineStr">
        <is>
          <t>EBIT (SBC expensed)</t>
        </is>
      </c>
      <c r="C15" s="13">
        <f>C11+C13</f>
        <v/>
      </c>
      <c r="D15" s="13">
        <f>D11+D13</f>
        <v/>
      </c>
      <c r="E15" s="13">
        <f>E11+E13</f>
        <v/>
      </c>
      <c r="F15" s="13">
        <f>F11+F13</f>
        <v/>
      </c>
      <c r="G15" s="13">
        <f>G11+G13</f>
        <v/>
      </c>
      <c r="H15" s="13">
        <f>H11+H13</f>
        <v/>
      </c>
      <c r="I15" s="13">
        <f>I11+I13</f>
        <v/>
      </c>
      <c r="J15" s="13">
        <f>J11+J13</f>
        <v/>
      </c>
      <c r="K15" s="13">
        <f>K11+K13</f>
        <v/>
      </c>
      <c r="L15" s="13">
        <f>L11+L13</f>
        <v/>
      </c>
    </row>
    <row r="16">
      <c r="A16" s="2" t="inlineStr">
        <is>
          <t>NOPAT</t>
        </is>
      </c>
      <c r="C16" s="13">
        <f>C15*(1-C14)</f>
        <v/>
      </c>
      <c r="D16" s="13">
        <f>D15*(1-D14)</f>
        <v/>
      </c>
      <c r="E16" s="13">
        <f>E15*(1-E14)</f>
        <v/>
      </c>
      <c r="F16" s="13">
        <f>F15*(1-F14)</f>
        <v/>
      </c>
      <c r="G16" s="13">
        <f>G15*(1-G14)</f>
        <v/>
      </c>
      <c r="H16" s="13">
        <f>H15*(1-H14)</f>
        <v/>
      </c>
      <c r="I16" s="13">
        <f>I15*(1-I14)</f>
        <v/>
      </c>
      <c r="J16" s="13">
        <f>J15*(1-J14)</f>
        <v/>
      </c>
      <c r="K16" s="13">
        <f>K15*(1-K14)</f>
        <v/>
      </c>
      <c r="L16" s="13">
        <f>L15*(1-L14)</f>
        <v/>
      </c>
    </row>
    <row r="17">
      <c r="A17" t="inlineStr">
        <is>
          <t>add back D&amp;A</t>
        </is>
      </c>
      <c r="C17" s="13">
        <f>-C13</f>
        <v/>
      </c>
      <c r="D17" s="13">
        <f>-D13</f>
        <v/>
      </c>
      <c r="E17" s="13">
        <f>-E13</f>
        <v/>
      </c>
      <c r="F17" s="13">
        <f>-F13</f>
        <v/>
      </c>
      <c r="G17" s="13">
        <f>-G13</f>
        <v/>
      </c>
      <c r="H17" s="13">
        <f>-H13</f>
        <v/>
      </c>
      <c r="I17" s="13">
        <f>-I13</f>
        <v/>
      </c>
      <c r="J17" s="13">
        <f>-J13</f>
        <v/>
      </c>
      <c r="K17" s="13">
        <f>-K13</f>
        <v/>
      </c>
      <c r="L17" s="13">
        <f>-L13</f>
        <v/>
      </c>
    </row>
    <row r="18">
      <c r="A18" s="2" t="inlineStr">
        <is>
          <t>Capex % of revenue</t>
        </is>
      </c>
      <c r="C18" s="9" t="n">
        <v>0.07200000000000001</v>
      </c>
      <c r="D18" s="9" t="n">
        <v>0.068</v>
      </c>
      <c r="E18" s="9" t="n">
        <v>0.065</v>
      </c>
      <c r="F18" s="9" t="n">
        <v>0.062</v>
      </c>
      <c r="G18" s="9" t="n">
        <v>0.06</v>
      </c>
      <c r="H18" s="9" t="n">
        <v>0.06</v>
      </c>
      <c r="I18" s="9" t="n">
        <v>0.06</v>
      </c>
      <c r="J18" s="9" t="n">
        <v>0.06</v>
      </c>
      <c r="K18" s="9" t="n">
        <v>0.06</v>
      </c>
      <c r="L18" s="9" t="n">
        <v>0.06</v>
      </c>
    </row>
    <row r="19">
      <c r="A19" t="inlineStr">
        <is>
          <t>less capex</t>
        </is>
      </c>
      <c r="C19" s="13">
        <f>-C6*C18</f>
        <v/>
      </c>
      <c r="D19" s="13">
        <f>-D6*D18</f>
        <v/>
      </c>
      <c r="E19" s="13">
        <f>-E6*E18</f>
        <v/>
      </c>
      <c r="F19" s="13">
        <f>-F6*F18</f>
        <v/>
      </c>
      <c r="G19" s="13">
        <f>-G6*G18</f>
        <v/>
      </c>
      <c r="H19" s="13">
        <f>-H6*H18</f>
        <v/>
      </c>
      <c r="I19" s="13">
        <f>-I6*I18</f>
        <v/>
      </c>
      <c r="J19" s="13">
        <f>-J6*J18</f>
        <v/>
      </c>
      <c r="K19" s="13">
        <f>-K6*K18</f>
        <v/>
      </c>
      <c r="L19" s="13">
        <f>-L6*L18</f>
        <v/>
      </c>
    </row>
    <row r="20">
      <c r="A20" s="2" t="inlineStr">
        <is>
          <t>Lease principal % of revenue</t>
        </is>
      </c>
      <c r="C20" s="9" t="n">
        <v>0.03</v>
      </c>
      <c r="D20" s="9" t="n">
        <v>0.03</v>
      </c>
      <c r="E20" s="9" t="n">
        <v>0.03</v>
      </c>
      <c r="F20" s="9" t="n">
        <v>0.03</v>
      </c>
      <c r="G20" s="9" t="n">
        <v>0.03</v>
      </c>
      <c r="H20" s="9" t="n">
        <v>0.03</v>
      </c>
      <c r="I20" s="9" t="n">
        <v>0.03</v>
      </c>
      <c r="J20" s="9" t="n">
        <v>0.03</v>
      </c>
      <c r="K20" s="9" t="n">
        <v>0.03</v>
      </c>
      <c r="L20" s="9" t="n">
        <v>0.03</v>
      </c>
    </row>
    <row r="21">
      <c r="A21" t="inlineStr">
        <is>
          <t>less lease principal (treatment B)</t>
        </is>
      </c>
      <c r="C21" s="13">
        <f>-C6*C20</f>
        <v/>
      </c>
      <c r="D21" s="13">
        <f>-D6*D20</f>
        <v/>
      </c>
      <c r="E21" s="13">
        <f>-E6*E20</f>
        <v/>
      </c>
      <c r="F21" s="13">
        <f>-F6*F20</f>
        <v/>
      </c>
      <c r="G21" s="13">
        <f>-G6*G20</f>
        <v/>
      </c>
      <c r="H21" s="13">
        <f>-H6*H20</f>
        <v/>
      </c>
      <c r="I21" s="13">
        <f>-I6*I20</f>
        <v/>
      </c>
      <c r="J21" s="13">
        <f>-J6*J20</f>
        <v/>
      </c>
      <c r="K21" s="13">
        <f>-K6*K20</f>
        <v/>
      </c>
      <c r="L21" s="13">
        <f>-L6*L20</f>
        <v/>
      </c>
    </row>
    <row r="22">
      <c r="A22" t="inlineStr">
        <is>
          <t>Working capital</t>
        </is>
      </c>
      <c r="B22" s="9" t="n">
        <v>0.12</v>
      </c>
      <c r="C22" s="13">
        <f>$B$22*(C6-B6)</f>
        <v/>
      </c>
      <c r="D22" s="13">
        <f>$B$22*(D6-C6)</f>
        <v/>
      </c>
      <c r="E22" s="13">
        <f>$B$22*(E6-D6)</f>
        <v/>
      </c>
      <c r="F22" s="13">
        <f>$B$22*(F6-E6)</f>
        <v/>
      </c>
      <c r="G22" s="13">
        <f>$B$22*(G6-F6)</f>
        <v/>
      </c>
      <c r="H22" s="13">
        <f>$B$22*(H6-G6)</f>
        <v/>
      </c>
      <c r="I22" s="13">
        <f>$B$22*(I6-H6)</f>
        <v/>
      </c>
      <c r="J22" s="13">
        <f>$B$22*(J6-I6)</f>
        <v/>
      </c>
      <c r="K22" s="13">
        <f>$B$22*(K6-J6)</f>
        <v/>
      </c>
      <c r="L22" s="13">
        <f>$B$22*(L6-K6)</f>
        <v/>
      </c>
    </row>
    <row r="23">
      <c r="A23" s="14" t="inlineStr">
        <is>
          <t>UNLEVERED OWNER FCF</t>
        </is>
      </c>
      <c r="C23" s="15">
        <f>C16+C17+C19+C21+C22</f>
        <v/>
      </c>
      <c r="D23" s="15">
        <f>D16+D17+D19+D21+D22</f>
        <v/>
      </c>
      <c r="E23" s="15">
        <f>E16+E17+E19+E21+E22</f>
        <v/>
      </c>
      <c r="F23" s="15">
        <f>F16+F17+F19+F21+F22</f>
        <v/>
      </c>
      <c r="G23" s="15">
        <f>G16+G17+G19+G21+G22</f>
        <v/>
      </c>
      <c r="H23" s="15">
        <f>H16+H17+H19+H21+H22</f>
        <v/>
      </c>
      <c r="I23" s="15">
        <f>I16+I17+I19+I21+I22</f>
        <v/>
      </c>
      <c r="J23" s="15">
        <f>J16+J17+J19+J21+J22</f>
        <v/>
      </c>
      <c r="K23" s="15">
        <f>K16+K17+K19+K21+K22</f>
        <v/>
      </c>
      <c r="L23" s="15">
        <f>L16+L17+L19+L21+L22</f>
        <v/>
      </c>
    </row>
    <row r="24">
      <c r="A24" t="inlineStr">
        <is>
          <t>Discount factor</t>
        </is>
      </c>
      <c r="C24" s="16">
        <f>1/(1+Assumptions!$B$2)^C4</f>
        <v/>
      </c>
      <c r="D24" s="16">
        <f>1/(1+Assumptions!$B$2)^D4</f>
        <v/>
      </c>
      <c r="E24" s="16">
        <f>1/(1+Assumptions!$B$2)^E4</f>
        <v/>
      </c>
      <c r="F24" s="16">
        <f>1/(1+Assumptions!$B$2)^F4</f>
        <v/>
      </c>
      <c r="G24" s="16">
        <f>1/(1+Assumptions!$B$2)^G4</f>
        <v/>
      </c>
      <c r="H24" s="16">
        <f>1/(1+Assumptions!$B$2)^H4</f>
        <v/>
      </c>
      <c r="I24" s="16">
        <f>1/(1+Assumptions!$B$2)^I4</f>
        <v/>
      </c>
      <c r="J24" s="16">
        <f>1/(1+Assumptions!$B$2)^J4</f>
        <v/>
      </c>
      <c r="K24" s="16">
        <f>1/(1+Assumptions!$B$2)^K4</f>
        <v/>
      </c>
      <c r="L24" s="16">
        <f>1/(1+Assumptions!$B$2)^L4</f>
        <v/>
      </c>
    </row>
    <row r="25">
      <c r="A25" s="2" t="inlineStr">
        <is>
          <t>PV of FCF</t>
        </is>
      </c>
      <c r="C25" s="13">
        <f>C23*C24</f>
        <v/>
      </c>
      <c r="D25" s="13">
        <f>D23*D24</f>
        <v/>
      </c>
      <c r="E25" s="13">
        <f>E23*E24</f>
        <v/>
      </c>
      <c r="F25" s="13">
        <f>F23*F24</f>
        <v/>
      </c>
      <c r="G25" s="13">
        <f>G23*G24</f>
        <v/>
      </c>
      <c r="H25" s="13">
        <f>H23*H24</f>
        <v/>
      </c>
      <c r="I25" s="13">
        <f>I23*I24</f>
        <v/>
      </c>
      <c r="J25" s="13">
        <f>J23*J24</f>
        <v/>
      </c>
      <c r="K25" s="13">
        <f>K23*K24</f>
        <v/>
      </c>
      <c r="L25" s="13">
        <f>L23*L24</f>
        <v/>
      </c>
    </row>
    <row r="27">
      <c r="A27" t="inlineStr">
        <is>
          <t>Memo: owner-FCF margin</t>
        </is>
      </c>
      <c r="C27" s="17">
        <f>C23/C6</f>
        <v/>
      </c>
      <c r="D27" s="17">
        <f>D23/D6</f>
        <v/>
      </c>
      <c r="E27" s="17">
        <f>E23/E6</f>
        <v/>
      </c>
      <c r="F27" s="17">
        <f>F23/F6</f>
        <v/>
      </c>
      <c r="G27" s="17">
        <f>G23/G6</f>
        <v/>
      </c>
      <c r="H27" s="17">
        <f>H23/H6</f>
        <v/>
      </c>
      <c r="I27" s="17">
        <f>I23/I6</f>
        <v/>
      </c>
      <c r="J27" s="17">
        <f>J23/J6</f>
        <v/>
      </c>
      <c r="K27" s="17">
        <f>K23/K6</f>
        <v/>
      </c>
      <c r="L27" s="17">
        <f>L23/L6</f>
        <v/>
      </c>
    </row>
    <row r="29">
      <c r="A29" s="2" t="inlineStr">
        <is>
          <t>Sum of PV of FCF</t>
        </is>
      </c>
      <c r="B29" s="13">
        <f>SUM(C25:L25)</f>
        <v/>
      </c>
    </row>
    <row r="30">
      <c r="A30" s="2" t="inlineStr">
        <is>
          <t>Terminal growth</t>
        </is>
      </c>
      <c r="B30" s="17">
        <f>Assumptions!$B$19</f>
        <v/>
      </c>
    </row>
    <row r="31">
      <c r="A31" s="2" t="inlineStr">
        <is>
          <t>Terminal-year FCF x (1+g)</t>
        </is>
      </c>
      <c r="B31" s="13">
        <f>L23*(1+B30)</f>
        <v/>
      </c>
    </row>
    <row r="32">
      <c r="A32" s="2" t="inlineStr">
        <is>
          <t>Gordon terminal value</t>
        </is>
      </c>
      <c r="B32" s="13">
        <f>IF(Assumptions!$B$2&gt;B30,B31/(Assumptions!$B$2-B30),"n/a")</f>
        <v/>
      </c>
    </row>
    <row r="33">
      <c r="A33" s="2" t="inlineStr">
        <is>
          <t>Terminal EBITDA</t>
        </is>
      </c>
      <c r="B33" s="13">
        <f>L8</f>
        <v/>
      </c>
    </row>
    <row r="34">
      <c r="A34" s="2" t="inlineStr">
        <is>
          <t>Exit EV/EBITDA cap</t>
        </is>
      </c>
      <c r="B34" s="18">
        <f>Assumptions!$C$19</f>
        <v/>
      </c>
    </row>
    <row r="35">
      <c r="A35" s="2" t="inlineStr">
        <is>
          <t>Cap terminal value</t>
        </is>
      </c>
      <c r="B35" s="13">
        <f>B33*B34</f>
        <v/>
      </c>
    </row>
    <row r="36">
      <c r="A36" s="2" t="inlineStr">
        <is>
          <t>TERMINAL VALUE USED</t>
        </is>
      </c>
      <c r="B36" s="13">
        <f>MAX(0,MIN(B32,B35))</f>
        <v/>
      </c>
    </row>
    <row r="37">
      <c r="A37" s="2" t="inlineStr">
        <is>
          <t>Terminal value bound by</t>
        </is>
      </c>
      <c r="B37">
        <f>IF(B36=0,"zero floor",IF(B36=B32,"Gordon","EV/EBITDA cap"))</f>
        <v/>
      </c>
    </row>
    <row r="38">
      <c r="A38" s="2" t="inlineStr">
        <is>
          <t>Implied exit EV/EBITDA</t>
        </is>
      </c>
      <c r="B38" s="18">
        <f>B36/B33</f>
        <v/>
      </c>
    </row>
    <row r="39">
      <c r="A39" s="2" t="inlineStr">
        <is>
          <t>Implied exit FCF multiple</t>
        </is>
      </c>
      <c r="B39" s="18">
        <f>B36/L23</f>
        <v/>
      </c>
    </row>
    <row r="40">
      <c r="A40" s="2" t="inlineStr">
        <is>
          <t>PV of terminal value</t>
        </is>
      </c>
      <c r="B40" s="13">
        <f>B36*L24</f>
        <v/>
      </c>
    </row>
    <row r="41">
      <c r="A41" s="2" t="inlineStr">
        <is>
          <t>Terminal % of EV</t>
        </is>
      </c>
      <c r="B41" s="17">
        <f>B40/B42</f>
        <v/>
      </c>
    </row>
    <row r="42">
      <c r="A42" s="2" t="inlineStr">
        <is>
          <t>ENTERPRISE VALUE</t>
        </is>
      </c>
      <c r="B42" s="13">
        <f>B29+B40</f>
        <v/>
      </c>
    </row>
    <row r="43">
      <c r="A43" s="2" t="inlineStr">
        <is>
          <t>add net CASH</t>
        </is>
      </c>
      <c r="B43" s="13">
        <f>Assumptions!$B$7</f>
        <v/>
      </c>
    </row>
    <row r="44">
      <c r="A44" s="2" t="inlineStr">
        <is>
          <t>EQUITY VALUE</t>
        </is>
      </c>
      <c r="B44" s="13">
        <f>B42+B43</f>
        <v/>
      </c>
    </row>
    <row r="45">
      <c r="A45" s="2" t="inlineStr">
        <is>
          <t>Diluted shares (m)</t>
        </is>
      </c>
      <c r="B45" s="13">
        <f>Assumptions!$B$8</f>
        <v/>
      </c>
    </row>
    <row r="46">
      <c r="A46" s="2" t="inlineStr">
        <is>
          <t>VALUE PER SHARE</t>
        </is>
      </c>
      <c r="B46" s="19">
        <f>B44/B45</f>
        <v/>
      </c>
    </row>
    <row r="47">
      <c r="A47" s="2" t="inlineStr">
        <is>
          <t>Upside vs price</t>
        </is>
      </c>
      <c r="B47" s="17">
        <f>B46/Assumptions!$B$9-1</f>
        <v/>
      </c>
    </row>
    <row r="49">
      <c r="A49" s="2" t="inlineStr">
        <is>
          <t>Street basis memo (SBC as non-cash)</t>
        </is>
      </c>
    </row>
    <row r="50">
      <c r="A50" t="inlineStr">
        <is>
          <t>PV of explicit-period SBC</t>
        </is>
      </c>
      <c r="B50" s="13">
        <f>SUMPRODUCT(-C10:L10,C24:L24)</f>
        <v/>
      </c>
    </row>
    <row r="51">
      <c r="A51" t="inlineStr">
        <is>
          <t>PV of terminal SBC</t>
        </is>
      </c>
      <c r="B51" s="13">
        <f>IF(Assumptions!$B$2&gt;B30,(-L10*(1+B30)/(Assumptions!$B$2-B30))*L24,0)</f>
        <v/>
      </c>
    </row>
    <row r="52">
      <c r="A52" s="2" t="inlineStr">
        <is>
          <t>Street value per share</t>
        </is>
      </c>
      <c r="B52" s="20">
        <f>(B44+B50+B51)/B45</f>
        <v/>
      </c>
    </row>
    <row r="53">
      <c r="A53" t="inlineStr">
        <is>
          <t>Note: SBC is ~0.05% of revenue, so the street and house bases are effectively identical here.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74" customWidth="1" min="5" max="5"/>
  </cols>
  <sheetData>
    <row r="1">
      <c r="A1" s="4" t="inlineStr">
        <is>
          <t>Reconciliation of reported FCF to owner FCF</t>
        </is>
      </c>
      <c r="B1" s="4" t="inlineStr">
        <is>
          <t>FY2024</t>
        </is>
      </c>
      <c r="C1" s="4" t="inlineStr">
        <is>
          <t>FY2025</t>
        </is>
      </c>
      <c r="D1" s="4" t="inlineStr">
        <is>
          <t>FY2026</t>
        </is>
      </c>
      <c r="E1" s="4" t="inlineStr">
        <is>
          <t>Note</t>
        </is>
      </c>
    </row>
    <row r="2">
      <c r="A2" s="2" t="inlineStr">
        <is>
          <t>Operating cash flow</t>
        </is>
      </c>
      <c r="B2" s="5" t="n">
        <v>139.131</v>
      </c>
      <c r="C2" s="5" t="n">
        <v>120.201</v>
      </c>
      <c r="D2" s="5" t="n">
        <v>152.75</v>
      </c>
      <c r="E2" t="inlineStr">
        <is>
          <t>Cash flow statement</t>
        </is>
      </c>
    </row>
    <row r="3">
      <c r="A3" s="2" t="inlineStr">
        <is>
          <t>less capex</t>
        </is>
      </c>
      <c r="B3" s="5" t="n">
        <v>-88.70699999999999</v>
      </c>
      <c r="C3" s="5" t="n">
        <v>-77.746</v>
      </c>
      <c r="D3" s="5" t="n">
        <v>-63.427</v>
      </c>
      <c r="E3" t="inlineStr">
        <is>
          <t>PPE + intangibles</t>
        </is>
      </c>
    </row>
    <row r="4">
      <c r="A4" s="2" t="inlineStr">
        <is>
          <t>Reported FCF (CSV convention)</t>
        </is>
      </c>
      <c r="B4" s="15">
        <f>B2+B3</f>
        <v/>
      </c>
      <c r="C4" s="15">
        <f>C2+C3</f>
        <v/>
      </c>
      <c r="D4" s="15">
        <f>D2+D3</f>
        <v/>
      </c>
      <c r="E4">
        <f>OCF - capex; deducts NO lease principal</f>
        <v/>
      </c>
    </row>
    <row r="5">
      <c r="A5" s="2" t="inlineStr">
        <is>
          <t>less lease principal repaid</t>
        </is>
      </c>
      <c r="B5" s="5" t="n">
        <v>-26.742</v>
      </c>
      <c r="C5" s="5" t="n">
        <v>-17.693</v>
      </c>
      <c r="D5" s="5" t="n">
        <v>-26.074</v>
      </c>
      <c r="E5" t="inlineStr">
        <is>
          <t>Treatment (B): financing outflow, a real cash cost</t>
        </is>
      </c>
    </row>
    <row r="6">
      <c r="A6" s="2" t="inlineStr">
        <is>
          <t>less one-off Optus compensation</t>
        </is>
      </c>
      <c r="B6" s="5" t="n">
        <v>0</v>
      </c>
      <c r="C6" s="5" t="n">
        <v>0</v>
      </c>
      <c r="D6" s="5" t="n">
        <v>-8.199999999999999</v>
      </c>
      <c r="E6" t="inlineStr">
        <is>
          <t>FY26 only; not repeatable</t>
        </is>
      </c>
    </row>
    <row r="7">
      <c r="A7" s="2" t="inlineStr">
        <is>
          <t>Post-lease, ex-one-off FCF</t>
        </is>
      </c>
      <c r="B7" s="15">
        <f>B4+B5+B6</f>
        <v/>
      </c>
      <c r="C7" s="15">
        <f>C4+C5+C6</f>
        <v/>
      </c>
      <c r="D7" s="15">
        <f>D4+D5+D6</f>
        <v/>
      </c>
      <c r="E7" t="inlineStr">
        <is>
          <t>Ties to Sky's stated FY26 FCF of 55.1</t>
        </is>
      </c>
    </row>
    <row r="8">
      <c r="A8" s="2" t="inlineStr">
        <is>
          <t>add back Sky Free integration incl capex</t>
        </is>
      </c>
      <c r="B8" s="5" t="n">
        <v>0</v>
      </c>
      <c r="C8" s="5" t="n">
        <v>0</v>
      </c>
      <c r="D8" s="5" t="n">
        <v>17.3</v>
      </c>
      <c r="E8" t="inlineStr">
        <is>
          <t>One-off integration spend</t>
        </is>
      </c>
    </row>
    <row r="9">
      <c r="A9" s="2" t="inlineStr">
        <is>
          <t>add back organisational change</t>
        </is>
      </c>
      <c r="B9" s="5" t="n">
        <v>0</v>
      </c>
      <c r="C9" s="5" t="n">
        <v>0</v>
      </c>
      <c r="D9" s="5" t="n">
        <v>4.2</v>
      </c>
      <c r="E9" t="inlineStr">
        <is>
          <t>One-off</t>
        </is>
      </c>
    </row>
    <row r="10">
      <c r="A10" s="2" t="inlineStr">
        <is>
          <t>add back Optus customer credits and capex</t>
        </is>
      </c>
      <c r="B10" s="5" t="n">
        <v>0</v>
      </c>
      <c r="C10" s="5" t="n">
        <v>0</v>
      </c>
      <c r="D10" s="5" t="n">
        <v>2.3</v>
      </c>
      <c r="E10" t="inlineStr">
        <is>
          <t>One-off</t>
        </is>
      </c>
    </row>
    <row r="11">
      <c r="A11" s="2" t="inlineStr">
        <is>
          <t>less Optus lease credits</t>
        </is>
      </c>
      <c r="B11" s="5" t="n">
        <v>0</v>
      </c>
      <c r="C11" s="5" t="n">
        <v>0</v>
      </c>
      <c r="D11" s="5" t="n">
        <v>-4.8</v>
      </c>
      <c r="E11" t="inlineStr">
        <is>
          <t>One-off benefit removed</t>
        </is>
      </c>
    </row>
    <row r="12">
      <c r="A12" s="2" t="inlineStr">
        <is>
          <t>TAX NORMALISATION</t>
        </is>
      </c>
      <c r="B12" s="5" t="n">
        <v>0</v>
      </c>
      <c r="C12" s="5" t="n">
        <v>0</v>
      </c>
      <c r="D12" s="5" t="n">
        <v>-15.2</v>
      </c>
      <c r="E12" t="inlineStr">
        <is>
          <t>NIL tax paid in FY2026 vs 12.7m in FY2025. Sky's own normalisation.</t>
        </is>
      </c>
    </row>
    <row r="13">
      <c r="A13" s="2" t="inlineStr">
        <is>
          <t>Normalised FCF (Sky definition)</t>
        </is>
      </c>
      <c r="B13" s="15">
        <f>SUM(B7:B12)</f>
        <v/>
      </c>
      <c r="C13" s="15">
        <f>SUM(C7:C12)</f>
        <v/>
      </c>
      <c r="D13" s="15">
        <f>SUM(D7:D12)</f>
        <v/>
      </c>
      <c r="E13" t="inlineStr">
        <is>
          <t>Sky states 58.9 for FY2026</t>
        </is>
      </c>
    </row>
    <row r="14">
      <c r="A14" s="2" t="inlineStr">
        <is>
          <t>less interest income</t>
        </is>
      </c>
      <c r="B14" s="5" t="n">
        <v>-3.602</v>
      </c>
      <c r="C14" s="5" t="n">
        <v>-1.7</v>
      </c>
      <c r="D14" s="5" t="n">
        <v>-1.753</v>
      </c>
      <c r="E14" t="inlineStr">
        <is>
          <t>Net cash sits in the bridge, so its income leaves the flows</t>
        </is>
      </c>
    </row>
    <row r="15">
      <c r="A15" s="2" t="inlineStr">
        <is>
          <t>OWNER FCF (house basis)</t>
        </is>
      </c>
      <c r="B15" s="15">
        <f>B13+B14</f>
        <v/>
      </c>
      <c r="C15" s="15">
        <f>C13+C14</f>
        <v/>
      </c>
      <c r="D15" s="15">
        <f>D13+D14</f>
        <v/>
      </c>
      <c r="E15" t="inlineStr">
        <is>
          <t>The base used in this model</t>
        </is>
      </c>
    </row>
    <row r="16">
      <c r="A16" s="2" t="inlineStr">
        <is>
          <t>less SBC incl equity taxes</t>
        </is>
      </c>
      <c r="C16" s="5" t="n">
        <v>-0.396</v>
      </c>
      <c r="D16" s="5" t="n">
        <v>-0.4</v>
      </c>
      <c r="E16" t="inlineStr">
        <is>
          <t>~0.05% of revenue - immaterial, NZX-typical</t>
        </is>
      </c>
    </row>
    <row r="17">
      <c r="A17" s="2" t="inlineStr">
        <is>
          <t>Revenue (underlying)</t>
        </is>
      </c>
      <c r="B17" s="5" t="n">
        <v>766.734</v>
      </c>
      <c r="C17" s="5" t="n">
        <v>755.1</v>
      </c>
      <c r="D17" s="5" t="n">
        <v>826.1</v>
      </c>
      <c r="E17" t="inlineStr">
        <is>
          <t>FY24 reported basis</t>
        </is>
      </c>
    </row>
    <row r="18">
      <c r="A18" s="2" t="inlineStr">
        <is>
          <t>Reported FCF margin</t>
        </is>
      </c>
      <c r="B18" s="17">
        <f>B4/B17</f>
        <v/>
      </c>
      <c r="C18" s="17">
        <f>C4/C17</f>
        <v/>
      </c>
      <c r="D18" s="17">
        <f>D4/D17</f>
        <v/>
      </c>
      <c r="E18" t="inlineStr">
        <is>
          <t>Reported FCF / revenue</t>
        </is>
      </c>
    </row>
    <row r="19">
      <c r="A19" s="2" t="inlineStr">
        <is>
          <t>Owner FCF margin</t>
        </is>
      </c>
      <c r="B19" s="17">
        <f>B15/B17</f>
        <v/>
      </c>
      <c r="C19" s="17">
        <f>C15/C17</f>
        <v/>
      </c>
      <c r="D19" s="17">
        <f>D15/D17</f>
        <v/>
      </c>
      <c r="E19" t="inlineStr">
        <is>
          <t>Owner FCF / revenue</t>
        </is>
      </c>
    </row>
    <row r="20">
      <c r="A20" s="2" t="inlineStr">
        <is>
          <t>Memo: cash tax rate paid</t>
        </is>
      </c>
      <c r="B20" s="17">
        <f>B21/B17</f>
        <v/>
      </c>
      <c r="C20" s="17">
        <f>C21/C17</f>
        <v/>
      </c>
      <c r="D20" s="17">
        <f>D21/D17</f>
        <v/>
      </c>
      <c r="E20" t="inlineStr">
        <is>
          <t>FLAGGED: 0.0% in FY2026 - abnormal, normalised to 28% in the model</t>
        </is>
      </c>
    </row>
    <row r="21">
      <c r="A21" s="2" t="inlineStr">
        <is>
          <t>Memo: income tax paid</t>
        </is>
      </c>
      <c r="B21" s="5" t="n">
        <v>13</v>
      </c>
      <c r="C21" s="5" t="n">
        <v>12.658</v>
      </c>
      <c r="D21" s="5" t="n">
        <v>0</v>
      </c>
      <c r="E21" t="inlineStr">
        <is>
          <t>Cash flow statement</t>
        </is>
      </c>
    </row>
    <row r="22">
      <c r="A22" s="2" t="inlineStr">
        <is>
          <t>Memo: dividend paid</t>
        </is>
      </c>
      <c r="C22" s="5" t="n">
        <v>29.859</v>
      </c>
      <c r="D22" s="5" t="n">
        <v>41.231</v>
      </c>
      <c r="E22" t="inlineStr">
        <is>
          <t>FY26 = 32.0 cps fully imputed</t>
        </is>
      </c>
    </row>
    <row r="23">
      <c r="A23" s="2" t="inlineStr">
        <is>
          <t>Memo: dividend % of owner FCF</t>
        </is>
      </c>
      <c r="C23" s="17">
        <f>C22/C15</f>
        <v/>
      </c>
      <c r="D23" s="17">
        <f>D22/D15</f>
        <v/>
      </c>
      <c r="E23" t="inlineStr">
        <is>
          <t>Sustainability check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1" t="inlineStr">
        <is>
          <t>SKT.NZ valuation summary</t>
        </is>
      </c>
    </row>
    <row r="3">
      <c r="A3" s="4" t="inlineStr">
        <is>
          <t>Scenario</t>
        </is>
      </c>
      <c r="B3" s="4" t="inlineStr">
        <is>
          <t>Value per share</t>
        </is>
      </c>
      <c r="C3" s="4" t="inlineStr">
        <is>
          <t>Upside</t>
        </is>
      </c>
      <c r="D3" s="4" t="inlineStr">
        <is>
          <t>Probability</t>
        </is>
      </c>
      <c r="E3" s="4" t="inlineStr">
        <is>
          <t>Street value</t>
        </is>
      </c>
      <c r="F3" s="4" t="inlineStr">
        <is>
          <t>Entry @15%</t>
        </is>
      </c>
    </row>
    <row r="4">
      <c r="A4" s="2" t="inlineStr">
        <is>
          <t>Bear</t>
        </is>
      </c>
      <c r="B4" s="22">
        <f>DCF_Bear!$B$46</f>
        <v/>
      </c>
      <c r="C4" s="17">
        <f>B4/Assumptions!$B$9-1</f>
        <v/>
      </c>
      <c r="D4" s="23">
        <f>Assumptions!$D$17</f>
        <v/>
      </c>
      <c r="E4" s="22">
        <f>DCF_Bear!$B$52</f>
        <v/>
      </c>
      <c r="F4" s="20">
        <f>(SUMPRODUCT(DCF_Bear!C23:L23,1/(1+Assumptions!$B$13)^DCF_Bear!C4:L4)+DCF_Bear!$B$36/(1+Assumptions!$B$13)^10+Assumptions!$B$7)/Assumptions!$B$8</f>
        <v/>
      </c>
    </row>
    <row r="5">
      <c r="A5" s="2" t="inlineStr">
        <is>
          <t>Base</t>
        </is>
      </c>
      <c r="B5" s="22">
        <f>DCF_Base!$B$46</f>
        <v/>
      </c>
      <c r="C5" s="17">
        <f>B5/Assumptions!$B$9-1</f>
        <v/>
      </c>
      <c r="D5" s="23">
        <f>Assumptions!$D$18</f>
        <v/>
      </c>
      <c r="E5" s="22">
        <f>DCF_Base!$B$52</f>
        <v/>
      </c>
      <c r="F5" s="20">
        <f>(SUMPRODUCT(DCF_Base!C23:L23,1/(1+Assumptions!$B$13)^DCF_Base!C4:L4)+DCF_Base!$B$36/(1+Assumptions!$B$13)^10+Assumptions!$B$7)/Assumptions!$B$8</f>
        <v/>
      </c>
    </row>
    <row r="6">
      <c r="A6" s="2" t="inlineStr">
        <is>
          <t>Bull</t>
        </is>
      </c>
      <c r="B6" s="22">
        <f>DCF_Bull!$B$46</f>
        <v/>
      </c>
      <c r="C6" s="17">
        <f>B6/Assumptions!$B$9-1</f>
        <v/>
      </c>
      <c r="D6" s="23">
        <f>Assumptions!$D$19</f>
        <v/>
      </c>
      <c r="E6" s="22">
        <f>DCF_Bull!$B$52</f>
        <v/>
      </c>
      <c r="F6" s="20">
        <f>(SUMPRODUCT(DCF_Bull!C23:L23,1/(1+Assumptions!$B$13)^DCF_Bull!C4:L4)+DCF_Bull!$B$36/(1+Assumptions!$B$13)^10+Assumptions!$B$7)/Assumptions!$B$8</f>
        <v/>
      </c>
    </row>
    <row r="8">
      <c r="A8" s="2" t="inlineStr">
        <is>
          <t>PROBABILITY-WEIGHTED VALUE</t>
        </is>
      </c>
      <c r="B8" s="19">
        <f>SUMPRODUCT(B4:B6,D4:D6)</f>
        <v/>
      </c>
    </row>
    <row r="9">
      <c r="A9" s="2" t="inlineStr">
        <is>
          <t>Current price</t>
        </is>
      </c>
      <c r="B9" s="20">
        <f>Assumptions!$B$9</f>
        <v/>
      </c>
    </row>
    <row r="10">
      <c r="A10" s="2" t="inlineStr">
        <is>
          <t>Upside / (downside)</t>
        </is>
      </c>
      <c r="B10" s="17">
        <f>B8/B9-1</f>
        <v/>
      </c>
    </row>
    <row r="11">
      <c r="A11" s="2" t="inlineStr">
        <is>
          <t>Margin of safety</t>
        </is>
      </c>
      <c r="B11" s="17">
        <f>1-B9/B8</f>
        <v/>
      </c>
    </row>
    <row r="12">
      <c r="A12" s="2" t="inlineStr">
        <is>
          <t>Street weighted value</t>
        </is>
      </c>
      <c r="B12" s="20">
        <f>SUMPRODUCT(E4:E6,D4:D6)</f>
        <v/>
      </c>
    </row>
    <row r="13">
      <c r="A13" s="2" t="inlineStr">
        <is>
          <t>Weighted entry price @15%</t>
        </is>
      </c>
      <c r="B13" s="20">
        <f>SUMPRODUCT(F4:F6,D4:D6)</f>
        <v/>
      </c>
    </row>
    <row r="14">
      <c r="A14" s="2" t="inlineStr">
        <is>
          <t>Entry vs current price</t>
        </is>
      </c>
      <c r="B14" s="17">
        <f>B13/B9-1</f>
        <v/>
      </c>
    </row>
    <row r="15">
      <c r="A15" s="2" t="inlineStr">
        <is>
          <t>Weights sum check</t>
        </is>
      </c>
      <c r="B15" s="17">
        <f>Assumptions!$D$20</f>
        <v/>
      </c>
    </row>
    <row r="16">
      <c r="A16" s="2" t="inlineStr">
        <is>
          <t>Band position</t>
        </is>
      </c>
      <c r="B16" t="inlineStr">
        <is>
          <t>n/a - SBC is ~0.05% of revenue, so the house and street bases coincide and the band collapses to a point.</t>
        </is>
      </c>
    </row>
    <row r="18">
      <c r="A18" s="8" t="inlineStr">
        <is>
          <t>Required-return table (base case)</t>
        </is>
      </c>
    </row>
    <row r="19">
      <c r="A19" s="4" t="inlineStr">
        <is>
          <t>Required return</t>
        </is>
      </c>
      <c r="B19" s="4" t="inlineStr">
        <is>
          <t>Value per share</t>
        </is>
      </c>
    </row>
    <row r="20">
      <c r="A20" s="24" t="n">
        <v>0.09</v>
      </c>
      <c r="B20" s="20">
        <f>(SUMPRODUCT(DCF_Base!C23:L23,1/(1+A20)^DCF_Base!C4:L4)+MAX(0,MIN(IF(A20&gt;DCF_Base!$B$30,DCF_Base!$B$31/(A20-DCF_Base!$B$30),0),DCF_Base!$B$35))/(1+A20)^10+Assumptions!$B$7)/Assumptions!$B$8</f>
        <v/>
      </c>
    </row>
    <row r="21">
      <c r="A21" s="24" t="n">
        <v>0.1</v>
      </c>
      <c r="B21" s="20">
        <f>(SUMPRODUCT(DCF_Base!C23:L23,1/(1+A21)^DCF_Base!C4:L4)+MAX(0,MIN(IF(A21&gt;DCF_Base!$B$30,DCF_Base!$B$31/(A21-DCF_Base!$B$30),0),DCF_Base!$B$35))/(1+A21)^10+Assumptions!$B$7)/Assumptions!$B$8</f>
        <v/>
      </c>
    </row>
    <row r="22">
      <c r="A22" s="24" t="n">
        <v>0.11</v>
      </c>
      <c r="B22" s="20">
        <f>(SUMPRODUCT(DCF_Base!C23:L23,1/(1+A22)^DCF_Base!C4:L4)+MAX(0,MIN(IF(A22&gt;DCF_Base!$B$30,DCF_Base!$B$31/(A22-DCF_Base!$B$30),0),DCF_Base!$B$35))/(1+A22)^10+Assumptions!$B$7)/Assumptions!$B$8</f>
        <v/>
      </c>
    </row>
    <row r="23">
      <c r="A23" s="24" t="n">
        <v>0.12</v>
      </c>
      <c r="B23" s="20">
        <f>(SUMPRODUCT(DCF_Base!C23:L23,1/(1+A23)^DCF_Base!C4:L4)+MAX(0,MIN(IF(A23&gt;DCF_Base!$B$30,DCF_Base!$B$31/(A23-DCF_Base!$B$30),0),DCF_Base!$B$35))/(1+A23)^10+Assumptions!$B$7)/Assumptions!$B$8</f>
        <v/>
      </c>
    </row>
    <row r="24">
      <c r="A24" s="24" t="n">
        <v>0.13</v>
      </c>
      <c r="B24" s="20">
        <f>(SUMPRODUCT(DCF_Base!C23:L23,1/(1+A24)^DCF_Base!C4:L4)+MAX(0,MIN(IF(A24&gt;DCF_Base!$B$30,DCF_Base!$B$31/(A24-DCF_Base!$B$30),0),DCF_Base!$B$35))/(1+A24)^10+Assumptions!$B$7)/Assumptions!$B$8</f>
        <v/>
      </c>
    </row>
    <row r="25">
      <c r="A25" s="24" t="n">
        <v>0.15</v>
      </c>
      <c r="B25" s="20">
        <f>(SUMPRODUCT(DCF_Base!C23:L23,1/(1+A25)^DCF_Base!C4:L4)+MAX(0,MIN(IF(A25&gt;DCF_Base!$B$30,DCF_Base!$B$31/(A25-DCF_Base!$B$30),0),DCF_Base!$B$35))/(1+A25)^10+Assumptions!$B$7)/Assumptions!$B$8</f>
        <v/>
      </c>
    </row>
    <row r="27">
      <c r="A27" s="8" t="inlineStr">
        <is>
          <t>Sensitivity: WACC x terminal growth (base case)</t>
        </is>
      </c>
    </row>
    <row r="28">
      <c r="A28" s="2" t="inlineStr">
        <is>
          <t>WACC \ g</t>
        </is>
      </c>
      <c r="B28" s="12" t="n">
        <v>-0.01</v>
      </c>
      <c r="C28" s="12" t="n">
        <v>-0.005</v>
      </c>
      <c r="D28" s="12" t="n">
        <v>0</v>
      </c>
      <c r="E28" s="12" t="n">
        <v>0.005</v>
      </c>
      <c r="F28" s="12" t="n">
        <v>0.01</v>
      </c>
    </row>
    <row r="29">
      <c r="A29" s="12" t="n">
        <v>0.11</v>
      </c>
      <c r="B29" s="20">
        <f>IF($A29&gt;B$28,(SUMPRODUCT(DCF_Base!$C$23:$L$23,1/(1+$A29)^DCF_Base!$C$4:$L$4)+MAX(0,MIN(DCF_Base!$L$23*(1+B$28)/($A29-B$28),DCF_Base!$B$35))/(1+$A29)^10+Assumptions!$B$7)/Assumptions!$B$8,"n/a")</f>
        <v/>
      </c>
      <c r="C29" s="20">
        <f>IF($A29&gt;C$28,(SUMPRODUCT(DCF_Base!$C$23:$L$23,1/(1+$A29)^DCF_Base!$C$4:$L$4)+MAX(0,MIN(DCF_Base!$L$23*(1+C$28)/($A29-C$28),DCF_Base!$B$35))/(1+$A29)^10+Assumptions!$B$7)/Assumptions!$B$8,"n/a")</f>
        <v/>
      </c>
      <c r="D29" s="20">
        <f>IF($A29&gt;D$28,(SUMPRODUCT(DCF_Base!$C$23:$L$23,1/(1+$A29)^DCF_Base!$C$4:$L$4)+MAX(0,MIN(DCF_Base!$L$23*(1+D$28)/($A29-D$28),DCF_Base!$B$35))/(1+$A29)^10+Assumptions!$B$7)/Assumptions!$B$8,"n/a")</f>
        <v/>
      </c>
      <c r="E29" s="20">
        <f>IF($A29&gt;E$28,(SUMPRODUCT(DCF_Base!$C$23:$L$23,1/(1+$A29)^DCF_Base!$C$4:$L$4)+MAX(0,MIN(DCF_Base!$L$23*(1+E$28)/($A29-E$28),DCF_Base!$B$35))/(1+$A29)^10+Assumptions!$B$7)/Assumptions!$B$8,"n/a")</f>
        <v/>
      </c>
      <c r="F29" s="20">
        <f>IF($A29&gt;F$28,(SUMPRODUCT(DCF_Base!$C$23:$L$23,1/(1+$A29)^DCF_Base!$C$4:$L$4)+MAX(0,MIN(DCF_Base!$L$23*(1+F$28)/($A29-F$28),DCF_Base!$B$35))/(1+$A29)^10+Assumptions!$B$7)/Assumptions!$B$8,"n/a")</f>
        <v/>
      </c>
    </row>
    <row r="30">
      <c r="A30" s="12" t="n">
        <v>0.12</v>
      </c>
      <c r="B30" s="20">
        <f>IF($A30&gt;B$28,(SUMPRODUCT(DCF_Base!$C$23:$L$23,1/(1+$A30)^DCF_Base!$C$4:$L$4)+MAX(0,MIN(DCF_Base!$L$23*(1+B$28)/($A30-B$28),DCF_Base!$B$35))/(1+$A30)^10+Assumptions!$B$7)/Assumptions!$B$8,"n/a")</f>
        <v/>
      </c>
      <c r="C30" s="20">
        <f>IF($A30&gt;C$28,(SUMPRODUCT(DCF_Base!$C$23:$L$23,1/(1+$A30)^DCF_Base!$C$4:$L$4)+MAX(0,MIN(DCF_Base!$L$23*(1+C$28)/($A30-C$28),DCF_Base!$B$35))/(1+$A30)^10+Assumptions!$B$7)/Assumptions!$B$8,"n/a")</f>
        <v/>
      </c>
      <c r="D30" s="20">
        <f>IF($A30&gt;D$28,(SUMPRODUCT(DCF_Base!$C$23:$L$23,1/(1+$A30)^DCF_Base!$C$4:$L$4)+MAX(0,MIN(DCF_Base!$L$23*(1+D$28)/($A30-D$28),DCF_Base!$B$35))/(1+$A30)^10+Assumptions!$B$7)/Assumptions!$B$8,"n/a")</f>
        <v/>
      </c>
      <c r="E30" s="20">
        <f>IF($A30&gt;E$28,(SUMPRODUCT(DCF_Base!$C$23:$L$23,1/(1+$A30)^DCF_Base!$C$4:$L$4)+MAX(0,MIN(DCF_Base!$L$23*(1+E$28)/($A30-E$28),DCF_Base!$B$35))/(1+$A30)^10+Assumptions!$B$7)/Assumptions!$B$8,"n/a")</f>
        <v/>
      </c>
      <c r="F30" s="20">
        <f>IF($A30&gt;F$28,(SUMPRODUCT(DCF_Base!$C$23:$L$23,1/(1+$A30)^DCF_Base!$C$4:$L$4)+MAX(0,MIN(DCF_Base!$L$23*(1+F$28)/($A30-F$28),DCF_Base!$B$35))/(1+$A30)^10+Assumptions!$B$7)/Assumptions!$B$8,"n/a")</f>
        <v/>
      </c>
    </row>
    <row r="31">
      <c r="A31" s="12" t="n">
        <v>0.13</v>
      </c>
      <c r="B31" s="20">
        <f>IF($A31&gt;B$28,(SUMPRODUCT(DCF_Base!$C$23:$L$23,1/(1+$A31)^DCF_Base!$C$4:$L$4)+MAX(0,MIN(DCF_Base!$L$23*(1+B$28)/($A31-B$28),DCF_Base!$B$35))/(1+$A31)^10+Assumptions!$B$7)/Assumptions!$B$8,"n/a")</f>
        <v/>
      </c>
      <c r="C31" s="20">
        <f>IF($A31&gt;C$28,(SUMPRODUCT(DCF_Base!$C$23:$L$23,1/(1+$A31)^DCF_Base!$C$4:$L$4)+MAX(0,MIN(DCF_Base!$L$23*(1+C$28)/($A31-C$28),DCF_Base!$B$35))/(1+$A31)^10+Assumptions!$B$7)/Assumptions!$B$8,"n/a")</f>
        <v/>
      </c>
      <c r="D31" s="25">
        <f>IF($A31&gt;D$28,(SUMPRODUCT(DCF_Base!$C$23:$L$23,1/(1+$A31)^DCF_Base!$C$4:$L$4)+MAX(0,MIN(DCF_Base!$L$23*(1+D$28)/($A31-D$28),DCF_Base!$B$35))/(1+$A31)^10+Assumptions!$B$7)/Assumptions!$B$8,"n/a")</f>
        <v/>
      </c>
      <c r="E31" s="20">
        <f>IF($A31&gt;E$28,(SUMPRODUCT(DCF_Base!$C$23:$L$23,1/(1+$A31)^DCF_Base!$C$4:$L$4)+MAX(0,MIN(DCF_Base!$L$23*(1+E$28)/($A31-E$28),DCF_Base!$B$35))/(1+$A31)^10+Assumptions!$B$7)/Assumptions!$B$8,"n/a")</f>
        <v/>
      </c>
      <c r="F31" s="20">
        <f>IF($A31&gt;F$28,(SUMPRODUCT(DCF_Base!$C$23:$L$23,1/(1+$A31)^DCF_Base!$C$4:$L$4)+MAX(0,MIN(DCF_Base!$L$23*(1+F$28)/($A31-F$28),DCF_Base!$B$35))/(1+$A31)^10+Assumptions!$B$7)/Assumptions!$B$8,"n/a")</f>
        <v/>
      </c>
    </row>
    <row r="32">
      <c r="A32" s="12" t="n">
        <v>0.14</v>
      </c>
      <c r="B32" s="20">
        <f>IF($A32&gt;B$28,(SUMPRODUCT(DCF_Base!$C$23:$L$23,1/(1+$A32)^DCF_Base!$C$4:$L$4)+MAX(0,MIN(DCF_Base!$L$23*(1+B$28)/($A32-B$28),DCF_Base!$B$35))/(1+$A32)^10+Assumptions!$B$7)/Assumptions!$B$8,"n/a")</f>
        <v/>
      </c>
      <c r="C32" s="20">
        <f>IF($A32&gt;C$28,(SUMPRODUCT(DCF_Base!$C$23:$L$23,1/(1+$A32)^DCF_Base!$C$4:$L$4)+MAX(0,MIN(DCF_Base!$L$23*(1+C$28)/($A32-C$28),DCF_Base!$B$35))/(1+$A32)^10+Assumptions!$B$7)/Assumptions!$B$8,"n/a")</f>
        <v/>
      </c>
      <c r="D32" s="20">
        <f>IF($A32&gt;D$28,(SUMPRODUCT(DCF_Base!$C$23:$L$23,1/(1+$A32)^DCF_Base!$C$4:$L$4)+MAX(0,MIN(DCF_Base!$L$23*(1+D$28)/($A32-D$28),DCF_Base!$B$35))/(1+$A32)^10+Assumptions!$B$7)/Assumptions!$B$8,"n/a")</f>
        <v/>
      </c>
      <c r="E32" s="20">
        <f>IF($A32&gt;E$28,(SUMPRODUCT(DCF_Base!$C$23:$L$23,1/(1+$A32)^DCF_Base!$C$4:$L$4)+MAX(0,MIN(DCF_Base!$L$23*(1+E$28)/($A32-E$28),DCF_Base!$B$35))/(1+$A32)^10+Assumptions!$B$7)/Assumptions!$B$8,"n/a")</f>
        <v/>
      </c>
      <c r="F32" s="20">
        <f>IF($A32&gt;F$28,(SUMPRODUCT(DCF_Base!$C$23:$L$23,1/(1+$A32)^DCF_Base!$C$4:$L$4)+MAX(0,MIN(DCF_Base!$L$23*(1+F$28)/($A32-F$28),DCF_Base!$B$35))/(1+$A32)^10+Assumptions!$B$7)/Assumptions!$B$8,"n/a")</f>
        <v/>
      </c>
    </row>
    <row r="33">
      <c r="A33" s="12" t="n">
        <v>0.15</v>
      </c>
      <c r="B33" s="20">
        <f>IF($A33&gt;B$28,(SUMPRODUCT(DCF_Base!$C$23:$L$23,1/(1+$A33)^DCF_Base!$C$4:$L$4)+MAX(0,MIN(DCF_Base!$L$23*(1+B$28)/($A33-B$28),DCF_Base!$B$35))/(1+$A33)^10+Assumptions!$B$7)/Assumptions!$B$8,"n/a")</f>
        <v/>
      </c>
      <c r="C33" s="20">
        <f>IF($A33&gt;C$28,(SUMPRODUCT(DCF_Base!$C$23:$L$23,1/(1+$A33)^DCF_Base!$C$4:$L$4)+MAX(0,MIN(DCF_Base!$L$23*(1+C$28)/($A33-C$28),DCF_Base!$B$35))/(1+$A33)^10+Assumptions!$B$7)/Assumptions!$B$8,"n/a")</f>
        <v/>
      </c>
      <c r="D33" s="20">
        <f>IF($A33&gt;D$28,(SUMPRODUCT(DCF_Base!$C$23:$L$23,1/(1+$A33)^DCF_Base!$C$4:$L$4)+MAX(0,MIN(DCF_Base!$L$23*(1+D$28)/($A33-D$28),DCF_Base!$B$35))/(1+$A33)^10+Assumptions!$B$7)/Assumptions!$B$8,"n/a")</f>
        <v/>
      </c>
      <c r="E33" s="20">
        <f>IF($A33&gt;E$28,(SUMPRODUCT(DCF_Base!$C$23:$L$23,1/(1+$A33)^DCF_Base!$C$4:$L$4)+MAX(0,MIN(DCF_Base!$L$23*(1+E$28)/($A33-E$28),DCF_Base!$B$35))/(1+$A33)^10+Assumptions!$B$7)/Assumptions!$B$8,"n/a")</f>
        <v/>
      </c>
      <c r="F33" s="20">
        <f>IF($A33&gt;F$28,(SUMPRODUCT(DCF_Base!$C$23:$L$23,1/(1+$A33)^DCF_Base!$C$4:$L$4)+MAX(0,MIN(DCF_Base!$L$23*(1+F$28)/($A33-F$28),DCF_Base!$B$35))/(1+$A33)^10+Assumptions!$B$7)/Assumptions!$B$8,"n/a")</f>
        <v/>
      </c>
    </row>
    <row r="35">
      <c r="A35" t="inlineStr">
        <is>
          <t>Note: the 11% WACC row flattens because the 3.0x EV/EBITDA exit cap binds - the guardrail against paying a multiple this market has never paid.</t>
        </is>
      </c>
    </row>
    <row r="37">
      <c r="A37" s="8" t="inlineStr">
        <is>
          <t>Implied multiples at the base-case IV</t>
        </is>
      </c>
    </row>
    <row r="38">
      <c r="A38" s="4" t="inlineStr">
        <is>
          <t>Multiple</t>
        </is>
      </c>
      <c r="B38" s="4" t="inlineStr">
        <is>
          <t>At base IV</t>
        </is>
      </c>
      <c r="C38" s="4" t="inlineStr">
        <is>
          <t>At current price</t>
        </is>
      </c>
      <c r="D38" s="4" t="inlineStr">
        <is>
          <t>10yr history</t>
        </is>
      </c>
    </row>
    <row r="39">
      <c r="A39" s="2" t="inlineStr">
        <is>
          <t>P/E (underlying EPS 30.16c)</t>
        </is>
      </c>
      <c r="B39" s="18">
        <f>DCF_Base!$B$46/(41.8/Assumptions!$B$8)</f>
        <v/>
      </c>
      <c r="C39" s="18">
        <f>Assumptions!$B$9/(41.8/Assumptions!$B$8)</f>
        <v/>
      </c>
      <c r="D39" t="inlineStr">
        <is>
          <t>avg 7.4x, range 6.4-11.5x</t>
        </is>
      </c>
    </row>
    <row r="40">
      <c r="A40" s="2" t="inlineStr">
        <is>
          <t>P/B</t>
        </is>
      </c>
      <c r="B40" s="18">
        <f>DCF_Base!$B$46/(467.568/Assumptions!$B$8)</f>
        <v/>
      </c>
      <c r="C40" s="18">
        <f>Assumptions!$B$9/(467.568/Assumptions!$B$8)</f>
        <v/>
      </c>
      <c r="D40" t="inlineStr">
        <is>
          <t>avg 0.83x, MAX 1.01x - never above ~1.0x</t>
        </is>
      </c>
    </row>
    <row r="41">
      <c r="A41" s="2" t="inlineStr">
        <is>
          <t>EV/EBITDA (underlying 157.0)</t>
        </is>
      </c>
      <c r="B41" s="18">
        <f>(DCF_Base!$B$46*Assumptions!$B$8-Assumptions!$B$7)/157</f>
        <v/>
      </c>
      <c r="C41" s="18">
        <f>(Assumptions!$B$9*Assumptions!$B$8-Assumptions!$B$7)/157</f>
        <v/>
      </c>
      <c r="D41" t="inlineStr">
        <is>
          <t>max 5.6x, recent 1.9-3.0x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2026-08-28T10:19:28Z</dcterms:created>
  <dcterms:modified xsi:type="dcterms:W3CDTF">2026-08-28T10:19:28Z</dcterms:modified>
</cp:coreProperties>
</file>