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<sst xmlns="http://schemas.openxmlformats.org/spreadsheetml/2006/main" count="178" uniqueCount="152">
  <si>
    <t>GTK.NZ (Gentrack Group) DCF Valuation Model</t>
  </si>
  <si>
    <t>Gray cells are INPUTS - adjust to see valuation change. 10-year horizon (margins immature at Y5).</t>
  </si>
  <si>
    <t>KEY INPUTS</t>
  </si>
  <si>
    <t>Current Stock Price (NZD)</t>
  </si>
  <si>
    <t>Shares Outstanding (M) - H1 FY26</t>
  </si>
  <si>
    <t>Cash &amp; Equivalents (M)</t>
  </si>
  <si>
    <t>Lease Liabilities (M)</t>
  </si>
  <si>
    <t>Acquisition Consideration Committed (M)</t>
  </si>
  <si>
    <t>Net Debt / (Net Cash) (M)</t>
  </si>
  <si>
    <t>FY2025 Reported FCF (M)</t>
  </si>
  <si>
    <t>Less: SBC (M)</t>
  </si>
  <si>
    <t>Less: Interest Income (M)</t>
  </si>
  <si>
    <t>FY2025 Owner FCF (M)</t>
  </si>
  <si>
    <t>WACC (Base)</t>
  </si>
  <si>
    <t>Terminal Growth Rate (Base)</t>
  </si>
  <si>
    <t>Terminal Cap Multiple (Base)</t>
  </si>
  <si>
    <t>Buyback Program (M, Year 1 only)</t>
  </si>
  <si>
    <t>BASE CASE ASSUMPTIONS (%)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</si>
  <si>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</si>
  <si>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</si>
  <si>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</si>
  <si>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</si>
  <si>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</si>
  <si>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</si>
  <si>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</si>
  <si>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</si>
  <si>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</si>
  <si>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</si>
  <si>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Revenue Growth %</t>
  </si>
  <si>
    <t>EBITDA Margin %</t>
  </si>
  <si>
    <t>SBC % of Revenue</t>
  </si>
  <si>
    <t>D&amp;A % of Revenue</t>
  </si>
  <si>
    <t>Capex % of Revenue</t>
  </si>
  <si>
    <t>Cash Tax Rate %</t>
  </si>
  <si>
    <t>Working Capital Capture % of Rev Growth</t>
  </si>
  <si>
    <t>PROJECTIONS (Base Case, NZ$M)</t>
  </si>
  <si>
    <t>Revenue</t>
  </si>
  <si>
    <t>Adj EBITDA</t>
  </si>
  <si>
    <t>Less: SBC</t>
  </si>
  <si>
    <t>Owner EBITDA</t>
  </si>
  <si>
    <t>Less: D&amp;A</t>
  </si>
  <si>
    <t>EBIT</t>
  </si>
  <si>
    <t>NOPAT (post 28% tax)</t>
  </si>
  <si>
    <t>Less: Capex</t>
  </si>
  <si>
    <t>+/- Working Capital (on rev change)</t>
  </si>
  <si>
    <t>Owner FCF</t>
  </si>
  <si>
    <t>Discount Factor</t>
  </si>
  <si>
    <t>PV of FCF</t>
  </si>
  <si>
    <t>Diluted Shares Outstanding (M)</t>
  </si>
  <si>
    <t>VALUATION (Base Case)</t>
  </si>
  <si>
    <t>Sum of PV of FCF</t>
  </si>
  <si>
    <t>Terminal Year FCF (Y10)</t>
  </si>
  <si>
    <t>Gordon Terminal Value</t>
  </si>
  <si>
    <t>Cap Terminal Value (multiple x Y10 FCF)</t>
  </si>
  <si>
    <t>Terminal Value (lower of the two)</t>
  </si>
  <si>
    <t>PV of Terminal Value</t>
  </si>
  <si>
    <t>Enterprise Value</t>
  </si>
  <si>
    <t>Less: Net Debt / (Net Cash)</t>
  </si>
  <si>
    <t>Equity Value</t>
  </si>
  <si>
    <t>Year-10 Diluted Shares (M)</t>
  </si>
  <si>
    <t>INTRINSIC VALUE / SHARE</t>
  </si>
  <si>
    <t>ENTRY PRICE (15% IRR Target, 10yr)</t>
  </si>
  <si>
    <t>PV of Yrs 1-10 FCF @15%</t>
  </si>
  <si>
    <t>PV of Terminal Value @15%</t>
  </si>
  <si>
    <t>Entry Price (15% IRR)</t>
  </si>
  <si>
    <t>Note: WACC &gt; 15% hurdle here, so entry price &gt; IV (see JSON note).</t>
  </si>
  <si>
    <t>Upside to Intrinsic Value</t>
  </si>
  <si>
    <t>Upside to Entry Price</t>
  </si>
  <si>
    <t>Sensitivity Analysis</t>
  </si>
  <si>
    <t>Base-Case Intrinsic Value by WACC &amp; Terminal Growth</t>
  </si>
  <si>
    <t>WACC \ Term G</t>
  </si>
  <si>
    <t>Note: matrix pre-computed from the base-case 10-year owner-FCF path (see DCF JSON). Terminal value capped at 15x Year-10 FCF where Gordon growth would exceed it.</t>
  </si>
  <si>
    <t>Scenario Comparison</t>
  </si>
  <si>
    <t>Bear</t>
  </si>
  <si>
    <t>Base</t>
  </si>
  <si>
    <t>Bull</t>
  </si>
  <si>
    <t>Intrinsic Value / Share</t>
  </si>
  <si>
    <t>Upside vs Current (%)</t>
  </si>
  <si>
    <t>WACC</t>
  </si>
  <si>
    <t>Terminal Growth</t>
  </si>
  <si>
    <t>Terminal % of Enterprise Value</t>
  </si>
  <si>
    <t>Implied Exit Multiple (x FCF)</t>
  </si>
  <si>
    <t>Probability-Weighted IV</t>
  </si>
  <si>
    <t>Weights (Bear/Base/Bull)</t>
  </si>
  <si>
    <t>25% / 50% / 25%</t>
  </si>
  <si>
    <t>FCF Quality: Reported vs Owner FCF</t>
  </si>
  <si>
    <t>NZ$ millions</t>
  </si>
  <si>
    <t>FY2023</t>
  </si>
  <si>
    <t>FY2024</t>
  </si>
  <si>
    <t>FY2025</t>
  </si>
  <si>
    <t>H1-2026</t>
  </si>
  <si>
    <t>Reported FCF (company definition)</t>
  </si>
  <si>
    <t>Less: Interest Income</t>
  </si>
  <si>
    <t>Reported FCF Margin %</t>
  </si>
  <si>
    <t>Owner FCF Margin %</t>
  </si>
  <si>
    <t>Memo: Deferred Revenue increase (kpis)</t>
  </si>
  <si>
    <t>FY2025 deferred rev increase as % of reported FCF</t>
  </si>
  <si>
    <t>Memo: Cash Tax Rate Normalization</t>
  </si>
  <si>
    <t>FY2025 statutory rate (NZ)</t>
  </si>
  <si>
    <t>FY2025 reported tax expense (CREDIT, abnormal)</t>
  </si>
  <si>
    <t>FY2024 reported tax expense (normal)</t>
  </si>
  <si>
    <t>FY2025 FX gain (excluded from normalized earnings)</t>
  </si>
  <si>
    <t>H1-2026 SBC net of one-off LTI reversal</t>
  </si>
  <si>
    <t>H1-2026 SBC as reported (abnormally low)</t>
  </si>
  <si>
    <t>LTI reversal one-off (EPS hurdle judged unlikely)</t>
  </si>
  <si>
    <t>Forward SBC normalized to FY23-25 avg % of revenue</t>
  </si>
  <si>
    <t>Historical Growth Rates</t>
  </si>
  <si>
    <t>Metric</t>
  </si>
  <si>
    <t>3-Year CAGR</t>
  </si>
  <si>
    <t>5-Year CAGR</t>
  </si>
  <si>
    <t>Equity (Book Value)</t>
  </si>
  <si>
    <t>FCF (reported, noisy)</t>
  </si>
  <si>
    <t>Owner FCF 2yr CAGR (FY23-&gt;FY25)</t>
  </si>
  <si>
    <t>Selected Growth Rate (anchor):</t>
  </si>
  <si>
    <t>Source:</t>
  </si>
  <si>
    <t>equity_5yr_cagr</t>
  </si>
  <si>
    <t>Divergence Warning:</t>
  </si>
  <si>
    <t>Revenue 3yr/5yr CAGR (22.2%/18.0%) diverges sharply (&gt;30%) from equity CAGR (15.2%/8.8%) and especially from EPS, which is not meaningfully calculable pre-FY2023 due to near-zero/negative earnings in the FY2020-22 UK-supplier-failure/COVID trough. Reported FCF CAGR is noisy and not usable (negative 5yr, +60% 3yr) because FY2020's reported FCF was itself inflated by a working-capital release in a crisis year. EQUITY CAGR is used as the conservative anchor per methodology, but even that partly reflects retained earnings from the FY2023-25 recovery period that the FY2026 guidance cut shows was not fully sustainable -- explicit downward adjustment applied via depressed FY26 base-year growth (+1.4%) rather than extrapolating the 15-22% historical revenue CAGR forward.</t>
  </si>
  <si>
    <t>Historical Multiples (FY-end close prices)</t>
  </si>
  <si>
    <t>Year</t>
  </si>
  <si>
    <t>Price</t>
  </si>
  <si>
    <t>P/E (SBC-adj)</t>
  </si>
  <si>
    <t>P/B</t>
  </si>
  <si>
    <t>EV/EBITDA(-SBC)</t>
  </si>
  <si>
    <t>P/Sales</t>
  </si>
  <si>
    <t>Outlier?</t>
  </si>
  <si>
    <t>FY2020</t>
  </si>
  <si>
    <t>YES</t>
  </si>
  <si>
    <t>FY2021</t>
  </si>
  <si>
    <t>FY2022</t>
  </si>
  <si>
    <t>no</t>
  </si>
  <si>
    <t>Model Provenance &amp; Methodology Notes</t>
  </si>
  <si>
    <t>Built by</t>
  </si>
  <si>
    <t>Claude Agent (dcf-analyst skill), Sonnet 5</t>
  </si>
  <si>
    <t>Build date</t>
  </si>
  <si>
    <t>2026-08-11</t>
  </si>
  <si>
    <t>Share price date/source</t>
  </si>
  <si>
    <t>NZ$3.70, Yahoo Finance intraday quote, 2026-08-11 (NZD, matches NZD financials, no currency mismatch)</t>
  </si>
  <si>
    <t>Latest filing used</t>
  </si>
  <si>
    <t>FY2025 Annual Report (year to 30-Sep-2025) + H1-2026 Half-Year Report (six months to 31-Mar-2026), both audited/reviewed NZX filings</t>
  </si>
  <si>
    <t>Latest guidance used</t>
  </si>
  <si>
    <t>5-May-2026 market update: FY2026 revenue NZ$229-238m, EBITDA (excl. acquisition costs) NZ$13.5-20m; reaffirmed at H1-2026 results 18-May-2026</t>
  </si>
  <si>
    <t>Horizon</t>
  </si>
  <si>
    <t>10 years (FY2026-FY2035). Chosen over 5yr because Year-5 owner-FCF margin is still well below the mature/management-guided medium-term level (15-20% EBITDA margin) -- a 5yr horizon would capitalize an immature margin via Gordon growth.</t>
  </si>
  <si>
    <t>Key methodology choices</t>
  </si>
  <si>
    <t>(1) FY2025 NPAT/FCF NOT used as the earnings anchor -- normalized away the tax-credit anomaly (+$0.635m vs -$5.07m FY24 expense) and $3.243m FX gain. (2) FY2026 base-case growth pinned to the 5-May-2026 guidance midpoint (revenue +1.4%), not the FY2023-25 recovery-period CAGR (18-22%). (3) SBC normalized forward to the FY2023-25 average (~3.5% of revenue) -- H1-2026 SBC of only $0.14m is a one-off LTI reversal, not the new run-rate. (4) Interest income stripped from owner FCF (small, ~$1.3m/yr, but net cash is added back to equity value so double-counting is avoided regardless). (5) Working capital modelled on the CHANGE in revenue (8% capture, base case) -- NOT flat, because the deferred-revenue tailwind that inflated FY23-25 reported FCF is decelerating/reversing as growth slows (H1-2026 OCF went NEGATIVE largely on this). (6) WACC carries four explicit structural premiums on an 11.5% NZ small-cap base: Kraken competitive-displacement risk, NZX illiquidity, earnings-volatility/guidance-reliability, and UK regulatory concentration -- see wacc_rationale in the JSON. (7) Net cash is reduced by the $41m of committed (ex-earn-out) acquisition consideration for Factor and DTP, both announced 18-May-2026, since the H1-2026 balance sheet cash figure predates them. (8) Share count grows by uncovered dilution (SBC less buyback cash); the $20m buyback is modelled as fully spent in Year 1 only (12-month program from May-2026), so Years 2-10 SBC is fully uncovered.</t>
  </si>
  <si>
    <t>What to refresh after next earnings/announcement</t>
  </si>
  <si>
    <t>FY2026 full-year results (expected ~Nov-2026): replace Year-1 base-case revenue/EBITDA with actuals; check whether the $20m buyback was actually executed (adjust buyback_cash and uncovered_dilution if not, or if executed at a different price than $3.70); confirm whether Factor/DTP earn-outs have triggered (adjust net cash by up to -$10m if so); refresh cash tax rate path if FY2026 tax credit/expense is again abnormal; check FY2026 SBC expense against the ~3.5%-of-revenue normalization used here.</t>
  </si>
  <si>
    <t>Cell colour conventions</t>
  </si>
  <si>
    <t>Gray-filled cells = editable inputs (DCF Model sheet, rows 5-19 and the assumption grids). White/bordered cells = formulas, do not hand-edit. Green result cells = key valuation outputs (Intrinsic Value, Entry Price, Weighted IV).</t>
  </si>
  <si>
    <t>Staleness warning</t>
  </si>
  <si>
    <t>All figures in this model go stale as soon as new results or announcements are released. GTK.NZ in particular has cut guidance once already in 2026 (5-May) -- re-verify FY2026 guidance is still current before relying on this model.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</si>
</sst>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0%"/>
    <numFmt numFmtId="166" formatCode="&quot;$&quot;#,##0.00"/>
    <numFmt numFmtId="167" formatCode="0.0%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6" fontId="4" fillId="4" borderId="2" xfId="0" applyNumberFormat="1" applyFont="1" applyFill="1" applyBorder="1"/>
    <xf numFmtId="167" fontId="0" fillId="0" borderId="2" xfId="0" applyNumberFormat="1" applyBorder="1"/>
    <xf numFmtId="167" fontId="4" fillId="3" borderId="0" xfId="0" applyNumberFormat="1" applyFont="1" applyFill="1"/>
    <xf numFmtId="166" fontId="0" fillId="0" borderId="2" xfId="0" applyNumberFormat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3.7</v>
      </c>
    </row>
    <row r="6" spans="1:2">
      <c r="A6" t="s">
        <v>4</v>
      </c>
      <c r="B6" s="4">
        <v>112.451</v>
      </c>
    </row>
    <row r="7" spans="1:2">
      <c r="A7" t="s">
        <v>5</v>
      </c>
      <c r="B7" s="4">
        <v>73.2</v>
      </c>
    </row>
    <row r="8" spans="1:2">
      <c r="A8" t="s">
        <v>6</v>
      </c>
      <c r="B8" s="4">
        <v>14.454</v>
      </c>
    </row>
    <row r="9" spans="1:2">
      <c r="A9" t="s">
        <v>7</v>
      </c>
      <c r="B9" s="4">
        <v>41</v>
      </c>
    </row>
    <row r="10" spans="1:2">
      <c r="A10" t="s">
        <v>8</v>
      </c>
      <c r="B10" s="5">
        <f>B8+B9-B7</f>
        <v>0</v>
      </c>
    </row>
    <row r="11" spans="1:2">
      <c r="A11" t="s">
        <v>9</v>
      </c>
      <c r="B11" s="4">
        <v>20.267</v>
      </c>
    </row>
    <row r="12" spans="1:2">
      <c r="A12" t="s">
        <v>10</v>
      </c>
      <c r="B12" s="4">
        <v>6.327</v>
      </c>
    </row>
    <row r="13" spans="1:2">
      <c r="A13" t="s">
        <v>11</v>
      </c>
      <c r="B13" s="4">
        <v>1.308</v>
      </c>
    </row>
    <row r="14" spans="1:2">
      <c r="A14" t="s">
        <v>12</v>
      </c>
      <c r="B14" s="5">
        <f>B11-B12-B13</f>
        <v>0</v>
      </c>
    </row>
    <row r="16" spans="1:2">
      <c r="A16" t="s">
        <v>13</v>
      </c>
      <c r="B16" s="6">
        <v>0.1675</v>
      </c>
    </row>
    <row r="17" spans="1:11">
      <c r="A17" t="s">
        <v>14</v>
      </c>
      <c r="B17" s="6">
        <v>0.02</v>
      </c>
    </row>
    <row r="18" spans="1:11">
      <c r="A18" t="s">
        <v>15</v>
      </c>
      <c r="B18" s="4">
        <v>15</v>
      </c>
    </row>
    <row r="19" spans="1:11">
      <c r="A19" t="s">
        <v>16</v>
      </c>
      <c r="B19" s="4">
        <v>20</v>
      </c>
    </row>
    <row r="21" spans="1:11">
      <c r="A21" s="3" t="s">
        <v>17</v>
      </c>
    </row>
    <row r="22" spans="1:11">
      <c r="A22" s="7"/>
      <c r="B22" s="7" t="s">
        <v>18</v>
      </c>
      <c r="C22" s="7" t="s">
        <v>19</v>
      </c>
      <c r="D22" s="7" t="s">
        <v>20</v>
      </c>
      <c r="E22" s="7" t="s">
        <v>21</v>
      </c>
      <c r="F22" s="7" t="s">
        <v>22</v>
      </c>
      <c r="G22" s="7" t="s">
        <v>23</v>
      </c>
      <c r="H22" s="7" t="s">
        <v>24</v>
      </c>
      <c r="I22" s="7" t="s">
        <v>25</v>
      </c>
      <c r="J22" s="7" t="s">
        <v>26</v>
      </c>
      <c r="K22" s="7" t="s">
        <v>27</v>
      </c>
    </row>
    <row r="23" spans="1:11">
      <c r="A23" t="s">
        <v>28</v>
      </c>
      <c r="B23" s="6">
        <v>0.0143</v>
      </c>
      <c r="C23" s="6">
        <v>0.05</v>
      </c>
      <c r="D23" s="6">
        <v>0.07000000000000001</v>
      </c>
      <c r="E23" s="6">
        <v>0.08500000000000001</v>
      </c>
      <c r="F23" s="6">
        <v>0.095</v>
      </c>
      <c r="G23" s="6">
        <v>0.1</v>
      </c>
      <c r="H23" s="6">
        <v>0.1</v>
      </c>
      <c r="I23" s="6">
        <v>0.095</v>
      </c>
      <c r="J23" s="6">
        <v>0.09</v>
      </c>
      <c r="K23" s="6">
        <v>0.08500000000000001</v>
      </c>
    </row>
    <row r="24" spans="1:11">
      <c r="A24" t="s">
        <v>29</v>
      </c>
      <c r="B24" s="6">
        <v>0.07200000000000001</v>
      </c>
      <c r="C24" s="6">
        <v>0.08500000000000001</v>
      </c>
      <c r="D24" s="6">
        <v>0.1</v>
      </c>
      <c r="E24" s="6">
        <v>0.115</v>
      </c>
      <c r="F24" s="6">
        <v>0.125</v>
      </c>
      <c r="G24" s="6">
        <v>0.135</v>
      </c>
      <c r="H24" s="6">
        <v>0.143</v>
      </c>
      <c r="I24" s="6">
        <v>0.15</v>
      </c>
      <c r="J24" s="6">
        <v>0.155</v>
      </c>
      <c r="K24" s="6">
        <v>0.16</v>
      </c>
    </row>
    <row r="25" spans="1:11">
      <c r="A25" t="s">
        <v>30</v>
      </c>
      <c r="B25" s="6">
        <v>0.035</v>
      </c>
      <c r="C25" s="6">
        <v>0.034</v>
      </c>
      <c r="D25" s="6">
        <v>0.033</v>
      </c>
      <c r="E25" s="6">
        <v>0.032</v>
      </c>
      <c r="F25" s="6">
        <v>0.031</v>
      </c>
      <c r="G25" s="6">
        <v>0.03</v>
      </c>
      <c r="H25" s="6">
        <v>0.03</v>
      </c>
      <c r="I25" s="6">
        <v>0.03</v>
      </c>
      <c r="J25" s="6">
        <v>0.03</v>
      </c>
      <c r="K25" s="6">
        <v>0.03</v>
      </c>
    </row>
    <row r="26" spans="1:11">
      <c r="A26" t="s">
        <v>31</v>
      </c>
      <c r="B26" s="6">
        <v>0.0415</v>
      </c>
    </row>
    <row r="27" spans="1:11">
      <c r="A27" t="s">
        <v>32</v>
      </c>
      <c r="B27" s="6">
        <v>0.008</v>
      </c>
    </row>
    <row r="28" spans="1:11">
      <c r="A28" t="s">
        <v>33</v>
      </c>
      <c r="B28" s="6">
        <v>0.28</v>
      </c>
    </row>
    <row r="29" spans="1:11">
      <c r="A29" t="s">
        <v>34</v>
      </c>
      <c r="B29" s="6">
        <v>0.08</v>
      </c>
    </row>
    <row r="31" spans="1:11">
      <c r="A31" s="3" t="s">
        <v>35</v>
      </c>
    </row>
    <row r="33" spans="1:11">
      <c r="A33" s="7"/>
      <c r="B33" s="7" t="s">
        <v>18</v>
      </c>
      <c r="C33" s="7" t="s">
        <v>19</v>
      </c>
      <c r="D33" s="7" t="s">
        <v>20</v>
      </c>
      <c r="E33" s="7" t="s">
        <v>21</v>
      </c>
      <c r="F33" s="7" t="s">
        <v>22</v>
      </c>
      <c r="G33" s="7" t="s">
        <v>23</v>
      </c>
      <c r="H33" s="7" t="s">
        <v>24</v>
      </c>
      <c r="I33" s="7" t="s">
        <v>25</v>
      </c>
      <c r="J33" s="7" t="s">
        <v>26</v>
      </c>
      <c r="K33" s="7" t="s">
        <v>27</v>
      </c>
    </row>
    <row r="34" spans="1:11">
      <c r="A34" t="s">
        <v>36</v>
      </c>
      <c r="B34" s="5">
        <f>230.2*(1+B23)</f>
        <v>0</v>
      </c>
      <c r="C34" s="5">
        <f>B34*(1+C23)</f>
        <v>0</v>
      </c>
      <c r="D34" s="5">
        <f>C34*(1+D23)</f>
        <v>0</v>
      </c>
      <c r="E34" s="5">
        <f>D34*(1+E23)</f>
        <v>0</v>
      </c>
      <c r="F34" s="5">
        <f>E34*(1+F23)</f>
        <v>0</v>
      </c>
      <c r="G34" s="5">
        <f>F34*(1+G23)</f>
        <v>0</v>
      </c>
      <c r="H34" s="5">
        <f>G34*(1+H23)</f>
        <v>0</v>
      </c>
      <c r="I34" s="5">
        <f>H34*(1+I23)</f>
        <v>0</v>
      </c>
      <c r="J34" s="5">
        <f>I34*(1+J23)</f>
        <v>0</v>
      </c>
      <c r="K34" s="5">
        <f>J34*(1+K23)</f>
        <v>0</v>
      </c>
    </row>
    <row r="35" spans="1:11">
      <c r="A35" t="s">
        <v>37</v>
      </c>
      <c r="B35" s="5">
        <f>B34*B24</f>
        <v>0</v>
      </c>
      <c r="C35" s="5">
        <f>C34*C24</f>
        <v>0</v>
      </c>
      <c r="D35" s="5">
        <f>D34*D24</f>
        <v>0</v>
      </c>
      <c r="E35" s="5">
        <f>E34*E24</f>
        <v>0</v>
      </c>
      <c r="F35" s="5">
        <f>F34*F24</f>
        <v>0</v>
      </c>
      <c r="G35" s="5">
        <f>G34*G24</f>
        <v>0</v>
      </c>
      <c r="H35" s="5">
        <f>H34*H24</f>
        <v>0</v>
      </c>
      <c r="I35" s="5">
        <f>I34*I24</f>
        <v>0</v>
      </c>
      <c r="J35" s="5">
        <f>J34*J24</f>
        <v>0</v>
      </c>
      <c r="K35" s="5">
        <f>K34*K24</f>
        <v>0</v>
      </c>
    </row>
    <row r="36" spans="1:11">
      <c r="A36" t="s">
        <v>38</v>
      </c>
      <c r="B36" s="5">
        <f>B34*B25</f>
        <v>0</v>
      </c>
      <c r="C36" s="5">
        <f>C34*C25</f>
        <v>0</v>
      </c>
      <c r="D36" s="5">
        <f>D34*D25</f>
        <v>0</v>
      </c>
      <c r="E36" s="5">
        <f>E34*E25</f>
        <v>0</v>
      </c>
      <c r="F36" s="5">
        <f>F34*F25</f>
        <v>0</v>
      </c>
      <c r="G36" s="5">
        <f>G34*G25</f>
        <v>0</v>
      </c>
      <c r="H36" s="5">
        <f>H34*H25</f>
        <v>0</v>
      </c>
      <c r="I36" s="5">
        <f>I34*I25</f>
        <v>0</v>
      </c>
      <c r="J36" s="5">
        <f>J34*J25</f>
        <v>0</v>
      </c>
      <c r="K36" s="5">
        <f>K34*K25</f>
        <v>0</v>
      </c>
    </row>
    <row r="37" spans="1:11">
      <c r="A37" t="s">
        <v>39</v>
      </c>
      <c r="B37" s="5">
        <f>B35-B36</f>
        <v>0</v>
      </c>
      <c r="C37" s="5">
        <f>C35-C36</f>
        <v>0</v>
      </c>
      <c r="D37" s="5">
        <f>D35-D36</f>
        <v>0</v>
      </c>
      <c r="E37" s="5">
        <f>E35-E36</f>
        <v>0</v>
      </c>
      <c r="F37" s="5">
        <f>F35-F36</f>
        <v>0</v>
      </c>
      <c r="G37" s="5">
        <f>G35-G36</f>
        <v>0</v>
      </c>
      <c r="H37" s="5">
        <f>H35-H36</f>
        <v>0</v>
      </c>
      <c r="I37" s="5">
        <f>I35-I36</f>
        <v>0</v>
      </c>
      <c r="J37" s="5">
        <f>J35-J36</f>
        <v>0</v>
      </c>
      <c r="K37" s="5">
        <f>K35-K36</f>
        <v>0</v>
      </c>
    </row>
    <row r="38" spans="1:11">
      <c r="A38" t="s">
        <v>40</v>
      </c>
      <c r="B38" s="5">
        <f>B34*$B$26</f>
        <v>0</v>
      </c>
      <c r="C38" s="5">
        <f>C34*$B$26</f>
        <v>0</v>
      </c>
      <c r="D38" s="5">
        <f>D34*$B$26</f>
        <v>0</v>
      </c>
      <c r="E38" s="5">
        <f>E34*$B$26</f>
        <v>0</v>
      </c>
      <c r="F38" s="5">
        <f>F34*$B$26</f>
        <v>0</v>
      </c>
      <c r="G38" s="5">
        <f>G34*$B$26</f>
        <v>0</v>
      </c>
      <c r="H38" s="5">
        <f>H34*$B$26</f>
        <v>0</v>
      </c>
      <c r="I38" s="5">
        <f>I34*$B$26</f>
        <v>0</v>
      </c>
      <c r="J38" s="5">
        <f>J34*$B$26</f>
        <v>0</v>
      </c>
      <c r="K38" s="5">
        <f>K34*$B$26</f>
        <v>0</v>
      </c>
    </row>
    <row r="39" spans="1:11">
      <c r="A39" t="s">
        <v>41</v>
      </c>
      <c r="B39" s="5">
        <f>B37-B38</f>
        <v>0</v>
      </c>
      <c r="C39" s="5">
        <f>C37-C38</f>
        <v>0</v>
      </c>
      <c r="D39" s="5">
        <f>D37-D38</f>
        <v>0</v>
      </c>
      <c r="E39" s="5">
        <f>E37-E38</f>
        <v>0</v>
      </c>
      <c r="F39" s="5">
        <f>F37-F38</f>
        <v>0</v>
      </c>
      <c r="G39" s="5">
        <f>G37-G38</f>
        <v>0</v>
      </c>
      <c r="H39" s="5">
        <f>H37-H38</f>
        <v>0</v>
      </c>
      <c r="I39" s="5">
        <f>I37-I38</f>
        <v>0</v>
      </c>
      <c r="J39" s="5">
        <f>J37-J38</f>
        <v>0</v>
      </c>
      <c r="K39" s="5">
        <f>K37-K38</f>
        <v>0</v>
      </c>
    </row>
    <row r="40" spans="1:11">
      <c r="A40" t="s">
        <v>42</v>
      </c>
      <c r="B40" s="5">
        <f>B39*(1-$B$28)</f>
        <v>0</v>
      </c>
      <c r="C40" s="5">
        <f>C39*(1-$B$28)</f>
        <v>0</v>
      </c>
      <c r="D40" s="5">
        <f>D39*(1-$B$28)</f>
        <v>0</v>
      </c>
      <c r="E40" s="5">
        <f>E39*(1-$B$28)</f>
        <v>0</v>
      </c>
      <c r="F40" s="5">
        <f>F39*(1-$B$28)</f>
        <v>0</v>
      </c>
      <c r="G40" s="5">
        <f>G39*(1-$B$28)</f>
        <v>0</v>
      </c>
      <c r="H40" s="5">
        <f>H39*(1-$B$28)</f>
        <v>0</v>
      </c>
      <c r="I40" s="5">
        <f>I39*(1-$B$28)</f>
        <v>0</v>
      </c>
      <c r="J40" s="5">
        <f>J39*(1-$B$28)</f>
        <v>0</v>
      </c>
      <c r="K40" s="5">
        <f>K39*(1-$B$28)</f>
        <v>0</v>
      </c>
    </row>
    <row r="41" spans="1:11">
      <c r="A41" t="s">
        <v>43</v>
      </c>
      <c r="B41" s="5">
        <f>B34*$B$27</f>
        <v>0</v>
      </c>
      <c r="C41" s="5">
        <f>C34*$B$27</f>
        <v>0</v>
      </c>
      <c r="D41" s="5">
        <f>D34*$B$27</f>
        <v>0</v>
      </c>
      <c r="E41" s="5">
        <f>E34*$B$27</f>
        <v>0</v>
      </c>
      <c r="F41" s="5">
        <f>F34*$B$27</f>
        <v>0</v>
      </c>
      <c r="G41" s="5">
        <f>G34*$B$27</f>
        <v>0</v>
      </c>
      <c r="H41" s="5">
        <f>H34*$B$27</f>
        <v>0</v>
      </c>
      <c r="I41" s="5">
        <f>I34*$B$27</f>
        <v>0</v>
      </c>
      <c r="J41" s="5">
        <f>J34*$B$27</f>
        <v>0</v>
      </c>
      <c r="K41" s="5">
        <f>K34*$B$27</f>
        <v>0</v>
      </c>
    </row>
    <row r="42" spans="1:11">
      <c r="A42" t="s">
        <v>44</v>
      </c>
      <c r="B42" s="5">
        <f>$B$29*(B34-230.2)</f>
        <v>0</v>
      </c>
      <c r="C42" s="5">
        <f>$B$29*(C34-B34)</f>
        <v>0</v>
      </c>
      <c r="D42" s="5">
        <f>$B$29*(D34-C34)</f>
        <v>0</v>
      </c>
      <c r="E42" s="5">
        <f>$B$29*(E34-D34)</f>
        <v>0</v>
      </c>
      <c r="F42" s="5">
        <f>$B$29*(F34-E34)</f>
        <v>0</v>
      </c>
      <c r="G42" s="5">
        <f>$B$29*(G34-F34)</f>
        <v>0</v>
      </c>
      <c r="H42" s="5">
        <f>$B$29*(H34-G34)</f>
        <v>0</v>
      </c>
      <c r="I42" s="5">
        <f>$B$29*(I34-H34)</f>
        <v>0</v>
      </c>
      <c r="J42" s="5">
        <f>$B$29*(J34-I34)</f>
        <v>0</v>
      </c>
      <c r="K42" s="5">
        <f>$B$29*(K34-J34)</f>
        <v>0</v>
      </c>
    </row>
    <row r="43" spans="1:11">
      <c r="A43" t="s">
        <v>45</v>
      </c>
      <c r="B43" s="5">
        <f>B40+B38-B41+B42</f>
        <v>0</v>
      </c>
      <c r="C43" s="5">
        <f>C40+C38-C41+C42</f>
        <v>0</v>
      </c>
      <c r="D43" s="5">
        <f>D40+D38-D41+D42</f>
        <v>0</v>
      </c>
      <c r="E43" s="5">
        <f>E40+E38-E41+E42</f>
        <v>0</v>
      </c>
      <c r="F43" s="5">
        <f>F40+F38-F41+F42</f>
        <v>0</v>
      </c>
      <c r="G43" s="5">
        <f>G40+G38-G41+G42</f>
        <v>0</v>
      </c>
      <c r="H43" s="5">
        <f>H40+H38-H41+H42</f>
        <v>0</v>
      </c>
      <c r="I43" s="5">
        <f>I40+I38-I41+I42</f>
        <v>0</v>
      </c>
      <c r="J43" s="5">
        <f>J40+J38-J41+J42</f>
        <v>0</v>
      </c>
      <c r="K43" s="5">
        <f>K40+K38-K41+K42</f>
        <v>0</v>
      </c>
    </row>
    <row r="44" spans="1:11">
      <c r="A44" t="s">
        <v>46</v>
      </c>
      <c r="B44" s="5">
        <f>1/(1+$B$16)^1</f>
        <v>0</v>
      </c>
      <c r="C44" s="5">
        <f>1/(1+$B$16)^2</f>
        <v>0</v>
      </c>
      <c r="D44" s="5">
        <f>1/(1+$B$16)^3</f>
        <v>0</v>
      </c>
      <c r="E44" s="5">
        <f>1/(1+$B$16)^4</f>
        <v>0</v>
      </c>
      <c r="F44" s="5">
        <f>1/(1+$B$16)^5</f>
        <v>0</v>
      </c>
      <c r="G44" s="5">
        <f>1/(1+$B$16)^6</f>
        <v>0</v>
      </c>
      <c r="H44" s="5">
        <f>1/(1+$B$16)^7</f>
        <v>0</v>
      </c>
      <c r="I44" s="5">
        <f>1/(1+$B$16)^8</f>
        <v>0</v>
      </c>
      <c r="J44" s="5">
        <f>1/(1+$B$16)^9</f>
        <v>0</v>
      </c>
      <c r="K44" s="5">
        <f>1/(1+$B$16)^10</f>
        <v>0</v>
      </c>
    </row>
    <row r="45" spans="1:11">
      <c r="A45" t="s">
        <v>47</v>
      </c>
      <c r="B45" s="5">
        <f>B43*B44</f>
        <v>0</v>
      </c>
      <c r="C45" s="5">
        <f>C43*C44</f>
        <v>0</v>
      </c>
      <c r="D45" s="5">
        <f>D43*D44</f>
        <v>0</v>
      </c>
      <c r="E45" s="5">
        <f>E43*E44</f>
        <v>0</v>
      </c>
      <c r="F45" s="5">
        <f>F43*F44</f>
        <v>0</v>
      </c>
      <c r="G45" s="5">
        <f>G43*G44</f>
        <v>0</v>
      </c>
      <c r="H45" s="5">
        <f>H43*H44</f>
        <v>0</v>
      </c>
      <c r="I45" s="5">
        <f>I43*I44</f>
        <v>0</v>
      </c>
      <c r="J45" s="5">
        <f>J43*J44</f>
        <v>0</v>
      </c>
      <c r="K45" s="5">
        <f>K43*K44</f>
        <v>0</v>
      </c>
    </row>
    <row r="46" spans="1:11">
      <c r="A46" t="s">
        <v>48</v>
      </c>
      <c r="B46" s="5">
        <f>$B$6*(1+MAX(0,B25*B34-$B$19)/($B$5*$B$6))</f>
        <v>0</v>
      </c>
      <c r="C46" s="5">
        <f>B46*(1+MAX(0,C25*C34)/($B$5*B46))</f>
        <v>0</v>
      </c>
      <c r="D46" s="5">
        <f>C46*(1+MAX(0,D25*D34)/($B$5*C46))</f>
        <v>0</v>
      </c>
      <c r="E46" s="5">
        <f>D46*(1+MAX(0,E25*E34)/($B$5*D46))</f>
        <v>0</v>
      </c>
      <c r="F46" s="5">
        <f>E46*(1+MAX(0,F25*F34)/($B$5*E46))</f>
        <v>0</v>
      </c>
      <c r="G46" s="5">
        <f>F46*(1+MAX(0,G25*G34)/($B$5*F46))</f>
        <v>0</v>
      </c>
      <c r="H46" s="5">
        <f>G46*(1+MAX(0,H25*H34)/($B$5*G46))</f>
        <v>0</v>
      </c>
      <c r="I46" s="5">
        <f>H46*(1+MAX(0,I25*I34)/($B$5*H46))</f>
        <v>0</v>
      </c>
      <c r="J46" s="5">
        <f>I46*(1+MAX(0,J25*J34)/($B$5*I46))</f>
        <v>0</v>
      </c>
      <c r="K46" s="5">
        <f>J46*(1+MAX(0,K25*K34)/($B$5*J46))</f>
        <v>0</v>
      </c>
    </row>
    <row r="49" spans="1:2">
      <c r="A49" s="3" t="s">
        <v>49</v>
      </c>
    </row>
    <row r="50" spans="1:2">
      <c r="A50" t="s">
        <v>50</v>
      </c>
      <c r="B50" s="5">
        <f>SUM(B45:K45)</f>
        <v>0</v>
      </c>
    </row>
    <row r="51" spans="1:2">
      <c r="A51" t="s">
        <v>51</v>
      </c>
      <c r="B51" s="5">
        <f>K43</f>
        <v>0</v>
      </c>
    </row>
    <row r="52" spans="1:2">
      <c r="A52" t="s">
        <v>52</v>
      </c>
      <c r="B52" s="5">
        <f>B51*(1+$B$17)/($B$16-$B$17)</f>
        <v>0</v>
      </c>
    </row>
    <row r="53" spans="1:2">
      <c r="A53" t="s">
        <v>53</v>
      </c>
      <c r="B53" s="5">
        <f>B51*$B$18</f>
        <v>0</v>
      </c>
    </row>
    <row r="54" spans="1:2">
      <c r="A54" t="s">
        <v>54</v>
      </c>
      <c r="B54" s="5">
        <f>MIN(B52,B53)</f>
        <v>0</v>
      </c>
    </row>
    <row r="55" spans="1:2">
      <c r="A55" t="s">
        <v>55</v>
      </c>
      <c r="B55" s="5">
        <f>B54*K44</f>
        <v>0</v>
      </c>
    </row>
    <row r="56" spans="1:2">
      <c r="A56" t="s">
        <v>56</v>
      </c>
      <c r="B56" s="5">
        <f>B50+B55</f>
        <v>0</v>
      </c>
    </row>
    <row r="57" spans="1:2">
      <c r="A57" t="s">
        <v>57</v>
      </c>
      <c r="B57" s="5">
        <f>B10</f>
        <v>0</v>
      </c>
    </row>
    <row r="58" spans="1:2">
      <c r="A58" t="s">
        <v>58</v>
      </c>
      <c r="B58" s="5">
        <f>B56-B57</f>
        <v>0</v>
      </c>
    </row>
    <row r="59" spans="1:2">
      <c r="A59" t="s">
        <v>59</v>
      </c>
      <c r="B59" s="5">
        <f>K46</f>
        <v>0</v>
      </c>
    </row>
    <row r="60" spans="1:2">
      <c r="A60" s="8" t="s">
        <v>60</v>
      </c>
      <c r="B60" s="9">
        <f>B58/B59</f>
        <v>0</v>
      </c>
    </row>
    <row r="62" spans="1:2">
      <c r="A62" s="3" t="s">
        <v>61</v>
      </c>
    </row>
    <row r="63" spans="1:2">
      <c r="A63" t="s">
        <v>62</v>
      </c>
      <c r="B63" s="5">
        <f>NPV(0.15,B43:K43)</f>
        <v>0</v>
      </c>
    </row>
    <row r="64" spans="1:2">
      <c r="A64" t="s">
        <v>63</v>
      </c>
      <c r="B64" s="5">
        <f>B54/(1.15^10)</f>
        <v>0</v>
      </c>
    </row>
    <row r="65" spans="1:2">
      <c r="A65" t="s">
        <v>57</v>
      </c>
      <c r="B65" s="5">
        <f>B10</f>
        <v>0</v>
      </c>
    </row>
    <row r="66" spans="1:2">
      <c r="A66" t="s">
        <v>64</v>
      </c>
      <c r="B66" s="9">
        <f>(B63+B64-B65)/B59</f>
        <v>0</v>
      </c>
    </row>
    <row r="67" spans="1:2">
      <c r="A67" s="2" t="s">
        <v>65</v>
      </c>
    </row>
    <row r="69" spans="1:2">
      <c r="A69" t="s">
        <v>66</v>
      </c>
      <c r="B69" s="10">
        <f>(B60-B5)/B5</f>
        <v>0</v>
      </c>
    </row>
    <row r="70" spans="1:2">
      <c r="A70" t="s">
        <v>67</v>
      </c>
      <c r="B70" s="10">
        <f>(B66-B5)/B5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68</v>
      </c>
    </row>
    <row r="2" spans="1:6">
      <c r="A2" t="s">
        <v>69</v>
      </c>
    </row>
    <row r="4" spans="1:6">
      <c r="A4" s="7" t="s">
        <v>70</v>
      </c>
      <c r="B4" s="11">
        <v>0.01</v>
      </c>
      <c r="C4" s="11">
        <v>0.015</v>
      </c>
      <c r="D4" s="11">
        <v>0.02</v>
      </c>
      <c r="E4" s="11">
        <v>0.025</v>
      </c>
      <c r="F4" s="11">
        <v>0.03</v>
      </c>
    </row>
    <row r="5" spans="1:6">
      <c r="A5" s="11">
        <v>0.1475</v>
      </c>
      <c r="B5" s="12">
        <v>1.62</v>
      </c>
      <c r="C5" s="12">
        <v>1.65</v>
      </c>
      <c r="D5" s="12">
        <v>1.68</v>
      </c>
      <c r="E5" s="12">
        <v>1.71</v>
      </c>
      <c r="F5" s="12">
        <v>1.75</v>
      </c>
    </row>
    <row r="6" spans="1:6">
      <c r="A6" s="11">
        <v>0.1575</v>
      </c>
      <c r="B6" s="12">
        <v>1.48</v>
      </c>
      <c r="C6" s="12">
        <v>1.5</v>
      </c>
      <c r="D6" s="12">
        <v>1.53</v>
      </c>
      <c r="E6" s="12">
        <v>1.56</v>
      </c>
      <c r="F6" s="12">
        <v>1.59</v>
      </c>
    </row>
    <row r="7" spans="1:6">
      <c r="A7" s="11">
        <v>0.1675</v>
      </c>
      <c r="B7" s="12">
        <v>1.36</v>
      </c>
      <c r="C7" s="12">
        <v>1.38</v>
      </c>
      <c r="D7" s="12">
        <v>1.4</v>
      </c>
      <c r="E7" s="12">
        <v>1.42</v>
      </c>
      <c r="F7" s="12">
        <v>1.45</v>
      </c>
    </row>
    <row r="8" spans="1:6">
      <c r="A8" s="11">
        <v>0.1775</v>
      </c>
      <c r="B8" s="12">
        <v>1.26</v>
      </c>
      <c r="C8" s="12">
        <v>1.27</v>
      </c>
      <c r="D8" s="12">
        <v>1.29</v>
      </c>
      <c r="E8" s="12">
        <v>1.31</v>
      </c>
      <c r="F8" s="12">
        <v>1.33</v>
      </c>
    </row>
    <row r="9" spans="1:6">
      <c r="A9" s="11">
        <v>0.1875</v>
      </c>
      <c r="B9" s="12">
        <v>1.17</v>
      </c>
      <c r="C9" s="12">
        <v>1.18</v>
      </c>
      <c r="D9" s="12">
        <v>1.19</v>
      </c>
      <c r="E9" s="12">
        <v>1.21</v>
      </c>
      <c r="F9" s="12">
        <v>1.22</v>
      </c>
    </row>
    <row r="11" spans="1:6">
      <c r="A11" s="2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30.7109375" customWidth="1"/>
    <col min="2" max="4" width="15.7109375" customWidth="1"/>
  </cols>
  <sheetData>
    <row r="1" spans="1:4">
      <c r="A1" s="1" t="s">
        <v>72</v>
      </c>
    </row>
    <row r="3" spans="1:4">
      <c r="A3" s="7"/>
      <c r="B3" s="7" t="s">
        <v>73</v>
      </c>
      <c r="C3" s="7" t="s">
        <v>74</v>
      </c>
      <c r="D3" s="7" t="s">
        <v>75</v>
      </c>
    </row>
    <row r="4" spans="1:4">
      <c r="A4" t="s">
        <v>76</v>
      </c>
      <c r="B4" s="12">
        <v>0.54</v>
      </c>
      <c r="C4" s="12">
        <v>1.401</v>
      </c>
      <c r="D4" s="12">
        <v>2.839</v>
      </c>
    </row>
    <row r="5" spans="1:4">
      <c r="A5" t="s">
        <v>77</v>
      </c>
      <c r="B5" s="10">
        <v>-0.8541</v>
      </c>
      <c r="C5" s="10">
        <v>-0.6214</v>
      </c>
      <c r="D5" s="10">
        <v>-0.2328</v>
      </c>
    </row>
    <row r="6" spans="1:4">
      <c r="A6" t="s">
        <v>78</v>
      </c>
      <c r="B6" s="10">
        <v>0.185</v>
      </c>
      <c r="C6" s="10">
        <v>0.1675</v>
      </c>
      <c r="D6" s="10">
        <v>0.1525</v>
      </c>
    </row>
    <row r="7" spans="1:4">
      <c r="A7" t="s">
        <v>79</v>
      </c>
      <c r="B7" s="10">
        <v>0.015</v>
      </c>
      <c r="C7" s="10">
        <v>0.02</v>
      </c>
      <c r="D7" s="10">
        <v>0.025</v>
      </c>
    </row>
    <row r="8" spans="1:4">
      <c r="A8" t="s">
        <v>80</v>
      </c>
      <c r="B8" s="10">
        <v>0.3308</v>
      </c>
      <c r="C8" s="10">
        <v>0.4201</v>
      </c>
      <c r="D8" s="10">
        <v>0.4988</v>
      </c>
    </row>
    <row r="9" spans="1:4">
      <c r="A9" t="s">
        <v>81</v>
      </c>
      <c r="B9" s="5">
        <v>5.97</v>
      </c>
      <c r="C9" s="5">
        <v>6.92</v>
      </c>
      <c r="D9" s="5">
        <v>8.039999999999999</v>
      </c>
    </row>
    <row r="11" spans="1:4">
      <c r="A11" s="8" t="s">
        <v>82</v>
      </c>
      <c r="B11" s="9">
        <v>1.545</v>
      </c>
    </row>
    <row r="12" spans="1:4">
      <c r="A12" t="s">
        <v>83</v>
      </c>
      <c r="B12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32.7109375" customWidth="1"/>
    <col min="2" max="6" width="13.7109375" customWidth="1"/>
  </cols>
  <sheetData>
    <row r="1" spans="1:5">
      <c r="A1" s="1" t="s">
        <v>85</v>
      </c>
    </row>
    <row r="3" spans="1:5">
      <c r="A3" s="7" t="s">
        <v>86</v>
      </c>
      <c r="B3" s="7" t="s">
        <v>87</v>
      </c>
      <c r="C3" s="7" t="s">
        <v>88</v>
      </c>
      <c r="D3" s="7" t="s">
        <v>89</v>
      </c>
      <c r="E3" s="7" t="s">
        <v>90</v>
      </c>
    </row>
    <row r="5" spans="1:5">
      <c r="A5" t="s">
        <v>36</v>
      </c>
      <c r="B5" s="5">
        <v>169.9</v>
      </c>
      <c r="C5" s="5">
        <v>213.2</v>
      </c>
      <c r="D5" s="5">
        <v>230.2</v>
      </c>
      <c r="E5" s="5">
        <v>110.1</v>
      </c>
    </row>
    <row r="6" spans="1:5">
      <c r="A6" t="s">
        <v>91</v>
      </c>
      <c r="B6" s="5">
        <v>23.961</v>
      </c>
      <c r="C6" s="5">
        <v>33.299</v>
      </c>
      <c r="D6" s="5">
        <v>20.267</v>
      </c>
      <c r="E6" s="5">
        <v>-9.797000000000001</v>
      </c>
    </row>
    <row r="7" spans="1:5">
      <c r="A7" t="s">
        <v>38</v>
      </c>
      <c r="B7" s="5">
        <v>5.209</v>
      </c>
      <c r="C7" s="5">
        <v>10.218</v>
      </c>
      <c r="D7" s="5">
        <v>6.327</v>
      </c>
      <c r="E7" s="5">
        <v>0.14</v>
      </c>
    </row>
    <row r="8" spans="1:5">
      <c r="A8" t="s">
        <v>92</v>
      </c>
      <c r="B8" s="5">
        <v>0.355</v>
      </c>
      <c r="C8" s="5">
        <v>1.131</v>
      </c>
      <c r="D8" s="5">
        <v>1.308</v>
      </c>
      <c r="E8" s="5">
        <v>0.702</v>
      </c>
    </row>
    <row r="9" spans="1:5">
      <c r="A9" t="s">
        <v>45</v>
      </c>
      <c r="B9" s="5">
        <v>18.397</v>
      </c>
      <c r="C9" s="5">
        <v>21.95</v>
      </c>
      <c r="D9" s="5">
        <v>12.632</v>
      </c>
      <c r="E9" s="5">
        <v>-10.639</v>
      </c>
    </row>
    <row r="10" spans="1:5">
      <c r="A10" t="s">
        <v>93</v>
      </c>
      <c r="B10" s="10">
        <v>0.1410300176574455</v>
      </c>
      <c r="C10" s="10">
        <v>0.1561866791744841</v>
      </c>
      <c r="D10" s="10">
        <v>0.08804083405734145</v>
      </c>
      <c r="E10" s="10">
        <v>-0.08898274296094461</v>
      </c>
    </row>
    <row r="11" spans="1:5">
      <c r="A11" t="s">
        <v>94</v>
      </c>
      <c r="B11" s="10">
        <v>0.1082813419658623</v>
      </c>
      <c r="C11" s="10">
        <v>0.1029549718574109</v>
      </c>
      <c r="D11" s="10">
        <v>0.054874022589053</v>
      </c>
      <c r="E11" s="10">
        <v>-0.09663033605812898</v>
      </c>
    </row>
    <row r="13" spans="1:5">
      <c r="A13" s="8" t="s">
        <v>95</v>
      </c>
    </row>
    <row r="14" spans="1:5">
      <c r="A14" t="s">
        <v>87</v>
      </c>
      <c r="B14" s="5">
        <v>0.947</v>
      </c>
    </row>
    <row r="15" spans="1:5">
      <c r="A15" t="s">
        <v>88</v>
      </c>
      <c r="B15" s="5">
        <v>17.056</v>
      </c>
    </row>
    <row r="16" spans="1:5">
      <c r="A16" t="s">
        <v>89</v>
      </c>
      <c r="B16" s="5">
        <v>18.455</v>
      </c>
    </row>
    <row r="17" spans="1:2">
      <c r="A17" t="s">
        <v>90</v>
      </c>
      <c r="B17" s="5">
        <v>24.735</v>
      </c>
    </row>
    <row r="18" spans="1:2">
      <c r="A18" t="s">
        <v>96</v>
      </c>
      <c r="B18" s="10">
        <v>0.9105935757635565</v>
      </c>
    </row>
    <row r="20" spans="1:2">
      <c r="A20" s="8" t="s">
        <v>97</v>
      </c>
    </row>
    <row r="21" spans="1:2">
      <c r="A21" t="s">
        <v>98</v>
      </c>
      <c r="B21" s="10">
        <v>0.28</v>
      </c>
    </row>
    <row r="22" spans="1:2">
      <c r="A22" t="s">
        <v>99</v>
      </c>
      <c r="B22" s="5">
        <v>-0.635</v>
      </c>
    </row>
    <row r="23" spans="1:2">
      <c r="A23" t="s">
        <v>100</v>
      </c>
      <c r="B23" s="5">
        <v>5.07</v>
      </c>
    </row>
    <row r="24" spans="1:2">
      <c r="A24" t="s">
        <v>101</v>
      </c>
      <c r="B24" s="5">
        <v>3.243</v>
      </c>
    </row>
    <row r="26" spans="1:2">
      <c r="A26" s="2" t="s">
        <v>102</v>
      </c>
    </row>
    <row r="27" spans="1:2">
      <c r="A27" t="s">
        <v>103</v>
      </c>
      <c r="B27" s="5">
        <v>0.14</v>
      </c>
    </row>
    <row r="28" spans="1:2">
      <c r="A28" t="s">
        <v>104</v>
      </c>
      <c r="B28" s="5">
        <v>2.1</v>
      </c>
    </row>
    <row r="29" spans="1:2">
      <c r="A29" t="s">
        <v>105</v>
      </c>
      <c r="B29" s="10">
        <v>0.035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22.7109375" customWidth="1"/>
    <col min="2" max="3" width="15.7109375" customWidth="1"/>
  </cols>
  <sheetData>
    <row r="1" spans="1:3">
      <c r="A1" s="1" t="s">
        <v>106</v>
      </c>
    </row>
    <row r="3" spans="1:3">
      <c r="A3" s="7" t="s">
        <v>107</v>
      </c>
      <c r="B3" s="7" t="s">
        <v>108</v>
      </c>
      <c r="C3" s="7" t="s">
        <v>109</v>
      </c>
    </row>
    <row r="4" spans="1:3">
      <c r="A4" t="s">
        <v>36</v>
      </c>
      <c r="B4" s="10">
        <v>0.2215</v>
      </c>
      <c r="C4" s="10">
        <v>0.1802</v>
      </c>
    </row>
    <row r="5" spans="1:3">
      <c r="A5" t="s">
        <v>110</v>
      </c>
      <c r="B5" s="10">
        <v>0.1516</v>
      </c>
      <c r="C5" s="10">
        <v>0.0876</v>
      </c>
    </row>
    <row r="6" spans="1:3">
      <c r="A6" t="s">
        <v>111</v>
      </c>
      <c r="B6" s="10">
        <v>0.5968</v>
      </c>
      <c r="C6" s="10">
        <v>-0.01</v>
      </c>
    </row>
    <row r="8" spans="1:3">
      <c r="A8" t="s">
        <v>112</v>
      </c>
      <c r="B8" s="10">
        <v>-0.1714</v>
      </c>
    </row>
    <row r="10" spans="1:3">
      <c r="A10" s="8" t="s">
        <v>113</v>
      </c>
      <c r="B10" s="10">
        <v>0.0876</v>
      </c>
    </row>
    <row r="11" spans="1:3">
      <c r="A11" t="s">
        <v>114</v>
      </c>
      <c r="B11" t="s">
        <v>115</v>
      </c>
    </row>
    <row r="13" spans="1:3">
      <c r="A13" s="8" t="s">
        <v>116</v>
      </c>
    </row>
    <row r="14" spans="1:3" ht="120" customHeight="1">
      <c r="A14" s="13" t="s">
        <v>117</v>
      </c>
    </row>
    <row r="17" spans="1:7">
      <c r="A17" s="3" t="s">
        <v>118</v>
      </c>
    </row>
    <row r="18" spans="1:7">
      <c r="A18" s="7" t="s">
        <v>119</v>
      </c>
      <c r="B18" s="7" t="s">
        <v>120</v>
      </c>
      <c r="C18" s="7" t="s">
        <v>121</v>
      </c>
      <c r="D18" s="7" t="s">
        <v>122</v>
      </c>
      <c r="E18" s="7" t="s">
        <v>123</v>
      </c>
      <c r="F18" s="7" t="s">
        <v>124</v>
      </c>
      <c r="G18" s="7" t="s">
        <v>125</v>
      </c>
    </row>
    <row r="20" spans="1:7">
      <c r="A20" t="s">
        <v>126</v>
      </c>
      <c r="B20" s="5">
        <v>1.23</v>
      </c>
      <c r="C20" s="5">
        <v>0</v>
      </c>
      <c r="D20" s="5">
        <v>0.77</v>
      </c>
      <c r="E20" s="5">
        <v>8.789999999999999</v>
      </c>
      <c r="F20" s="5">
        <v>1.22</v>
      </c>
      <c r="G20" t="s">
        <v>127</v>
      </c>
    </row>
    <row r="21" spans="1:7">
      <c r="A21" t="s">
        <v>128</v>
      </c>
      <c r="B21" s="5">
        <v>1.85</v>
      </c>
      <c r="C21" s="5">
        <v>61.67</v>
      </c>
      <c r="D21" s="5">
        <v>1.17</v>
      </c>
      <c r="E21" s="5">
        <v>12.95</v>
      </c>
      <c r="F21" s="5">
        <v>1.8</v>
      </c>
      <c r="G21" t="s">
        <v>127</v>
      </c>
    </row>
    <row r="22" spans="1:7">
      <c r="A22" t="s">
        <v>129</v>
      </c>
      <c r="B22" s="5">
        <v>1.45</v>
      </c>
      <c r="C22" s="5">
        <v>0</v>
      </c>
      <c r="D22" s="5">
        <v>0.93</v>
      </c>
      <c r="E22" s="5">
        <v>14.92</v>
      </c>
      <c r="F22" s="5">
        <v>1.18</v>
      </c>
      <c r="G22" t="s">
        <v>127</v>
      </c>
    </row>
    <row r="23" spans="1:7">
      <c r="A23" t="s">
        <v>87</v>
      </c>
      <c r="B23" s="5">
        <v>4.79</v>
      </c>
      <c r="C23" s="5">
        <v>75.81999999999999</v>
      </c>
      <c r="D23" s="5">
        <v>2.69</v>
      </c>
      <c r="E23" s="5">
        <v>25.33</v>
      </c>
      <c r="F23" s="5">
        <v>2.87</v>
      </c>
      <c r="G23" t="s">
        <v>130</v>
      </c>
    </row>
    <row r="24" spans="1:7">
      <c r="A24" t="s">
        <v>88</v>
      </c>
      <c r="B24" s="5">
        <v>10.74</v>
      </c>
      <c r="C24" s="5">
        <v>510.42</v>
      </c>
      <c r="D24" s="5">
        <v>5.35</v>
      </c>
      <c r="E24" s="5">
        <v>79.36</v>
      </c>
      <c r="F24" s="5">
        <v>5.21</v>
      </c>
      <c r="G24" t="s">
        <v>130</v>
      </c>
    </row>
    <row r="25" spans="1:7">
      <c r="A25" t="s">
        <v>89</v>
      </c>
      <c r="B25" s="5">
        <v>10.3</v>
      </c>
      <c r="C25" s="5">
        <v>67.31999999999999</v>
      </c>
      <c r="D25" s="5">
        <v>4.54</v>
      </c>
      <c r="E25" s="5">
        <v>48.48</v>
      </c>
      <c r="F25" s="5">
        <v>4.82</v>
      </c>
      <c r="G25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131</v>
      </c>
    </row>
    <row r="3" spans="1:2" ht="38" customHeight="1">
      <c r="A3" s="8" t="s">
        <v>132</v>
      </c>
      <c r="B3" s="13" t="s">
        <v>133</v>
      </c>
    </row>
    <row r="4" spans="1:2" ht="20" customHeight="1">
      <c r="A4" s="8" t="s">
        <v>134</v>
      </c>
      <c r="B4" s="13" t="s">
        <v>135</v>
      </c>
    </row>
    <row r="5" spans="1:2" ht="91" customHeight="1">
      <c r="A5" s="8" t="s">
        <v>136</v>
      </c>
      <c r="B5" s="13" t="s">
        <v>137</v>
      </c>
    </row>
    <row r="6" spans="1:2" ht="119" customHeight="1">
      <c r="A6" s="8" t="s">
        <v>138</v>
      </c>
      <c r="B6" s="13" t="s">
        <v>139</v>
      </c>
    </row>
    <row r="7" spans="1:2" ht="128" customHeight="1">
      <c r="A7" s="8" t="s">
        <v>140</v>
      </c>
      <c r="B7" s="13" t="s">
        <v>141</v>
      </c>
    </row>
    <row r="8" spans="1:2" ht="213" customHeight="1">
      <c r="A8" s="8" t="s">
        <v>142</v>
      </c>
      <c r="B8" s="13" t="s">
        <v>143</v>
      </c>
    </row>
    <row r="9" spans="1:2" ht="300" customHeight="1">
      <c r="A9" s="8" t="s">
        <v>144</v>
      </c>
      <c r="B9" s="13" t="s">
        <v>145</v>
      </c>
    </row>
    <row r="10" spans="1:2" ht="300" customHeight="1">
      <c r="A10" s="8" t="s">
        <v>146</v>
      </c>
      <c r="B10" s="13" t="s">
        <v>147</v>
      </c>
    </row>
    <row r="11" spans="1:2" ht="208" customHeight="1">
      <c r="A11" s="8" t="s">
        <v>148</v>
      </c>
      <c r="B11" s="13" t="s">
        <v>149</v>
      </c>
    </row>
    <row r="12" spans="1:2" ht="209" customHeight="1">
      <c r="A12" s="8" t="s">
        <v>150</v>
      </c>
      <c r="B12" s="1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Sensitivity</vt:lpstr>
      <vt:lpstr>Scenarios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2026-08-11T06:47:46Z</dcterms:created>
  <dcterms:modified xsi:type="dcterms:W3CDTF">2026-08-11T06:47:46Z</dcterms:modified>
</cp:coreProperties>
</file>