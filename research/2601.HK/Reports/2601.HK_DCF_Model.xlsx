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<sst xmlns="http://schemas.openxmlformats.org/spreadsheetml/2006/main" count="359" uniqueCount="167">
  <si>
    <t xml:space="preserve">Ticker</t>
  </si>
  <si>
    <t xml:space="preserve">2601.HK</t>
  </si>
  <si>
    <t xml:space="preserve">Company</t>
  </si>
  <si>
    <t xml:space="preserve">China Pacific Insurance (Group) Co., Ltd. (CPIC)</t>
  </si>
  <si>
    <t xml:space="preserve">Valuation date</t>
  </si>
  <si>
    <t xml:space="preserve">2026-10-18</t>
  </si>
  <si>
    <t xml:space="preserve">Current price</t>
  </si>
  <si>
    <t xml:space="preserve">Price as of</t>
  </si>
  <si>
    <t xml:space="preserve">2026-10-16T08:08:14Z (HKEX regular close, Friday; valuation written Saturday 2026-10-18 -- not an after-hours print)</t>
  </si>
  <si>
    <t xml:space="preserve">Balance sheet date</t>
  </si>
  <si>
    <t xml:space="preserve">2026-06-30</t>
  </si>
  <si>
    <t xml:space="preserve">Model</t>
  </si>
  <si>
    <t xml:space="preserve">Composite insurer FCFE at cost of equity, net debt held at zero (engine route)</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</si>
  <si>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</si>
  <si>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</si>
  <si>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</si>
  <si>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</si>
  <si>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</si>
  <si>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</si>
  <si>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</si>
  <si>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</si>
  <si>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</si>
  <si>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2026-10-18T08:29:17Z</t>
  </si>
  <si>
    <t xml:space="preserve">Drivers file</t>
  </si>
  <si>
    <t xml:space="preserve">2601.HK_Drivers.json</t>
  </si>
  <si>
    <t xml:space="preserve">Convention</t>
  </si>
  <si>
    <t xml:space="preserve">Percents stored as percents; formulas divide by 100. Blue = input, green = link, black = formula.</t>
  </si>
  <si>
    <t xml:space="preserve">Methodology</t>
  </si>
  <si>
    <t xml:space="preserve">summary: CPIC is valued on the cash that leaves the solvency perimeter for shareholders -- dividends -- discounted at a CNY cost of equity, with net debt at zero and the 2030 convertible deducted as a holdco claim. The embedded value (HKD ~78/share) and the book value (HKD ~39/share) are cross-checks on how much surplus the group holds that the FCFE does not release; the gap between them and the FCFE value is the price of Chinese-insurer capital retention, not a mispricing the model can bank on. The payout path is the dominant lever: each 10 points of terminal payout is worth roughly 15% of the base value.
key_risks_to_valuation: Payout path: the base case needs the payout of NI to double (24% -&gt; 50%) over ten years; the policy is anchored to OPAT and solvency and management has given no numeric commitment; Investment yield: FY2025 NI carries ~RMB17bn of investment result above OPAT; a sustained comprehensive yield below the ~4.5% assumed in the normalisation removes the FY2027 margin cushion; Spread compression: net investment yield 3.4% (-0.4pt) against long-duration guaranteed and participating liabilities as China risk-free rates fall; preset rate cut to 1.99% in Aug 2025; Solvency drift: core 191% / comprehensive 255% at H1 2026, down 15/18pt in six months; a further fall constrains the payout path directly; Convertible overhang: HK$15.556bn due 2030 -- redemption in cash (modelled) or 4.1% dilution if the H-share recovers above HK$37.51; A/H discount and FX: the H-share trades 23% below the A-share; the model is in CNY and bridged at 1.1724, so HKD/CNY moves flow straight into the quote-currency value; Regulation: NFRA commission ('integration of reporting and conduct') rules, illustrated-rate caps and C-ROSS II capital requirements are deliberate margin-compression tools</t>
  </si>
  <si>
    <t xml:space="preserve">Data sources</t>
  </si>
  <si>
    <t xml:space="preserve">price: Yahoo Finance chart API for 2601.HK at inputs.price_as_of; 52-week range 26.08-40.46 HKD. CNYHKD=X and 601601.SS from the same endpoint for the FX bridge and A/H parity check.
financials: 2601.HK_Metrics.csv (core_metrics export, RMB millions, FY2017-FY2025 + half-years); FY2025 Annual Report (consolidated income statement, note 23 bonds payable, profit distribution and dividend history, EV section, convertible bond section) and H1 2026 Interim Report (key indicators, note 12 bonds payable, convertible bond section, non-recurring items) in Extracted/.
qualitative: 2601.HK_Analysis.json (2026-10-18); sibling insurer builds 1336.HK and 2378.HK for model consistency.</t>
  </si>
  <si>
    <t xml:space="preserve">Scenario narrative: bear</t>
  </si>
  <si>
    <t xml:space="preserve">Low-rate spread compression plus a China equity drawdown pull NI to the OPAT-only level and keep it there; solvency drift caps the payout at 40%; CoE 11.5%; the convertible is redeemed in cash in 2030.</t>
  </si>
  <si>
    <t xml:space="preserve">Scenario narrative: base</t>
  </si>
  <si>
    <t xml:space="preserve">Dividend-driven FCFE on a normalised earnings base: FY2026 NI ~51bn, FY2027 ~43.5bn (~1.07x OPAT), then 5% fading to 3% growth; payout of NI 24% -&gt; 50% as the new interim dividend and the OPAT-anchored policy mature; CoE 10.5% CNY. Value is roughly 0.37x embedded value and ~0.75x H1 2026 book -- the market is paying for the dividends it receives, not the EV.</t>
  </si>
  <si>
    <t xml:space="preserve">Scenario narrative: bull</t>
  </si>
  <si>
    <t xml:space="preserve">Investment yields hold near 5%, NBV compounds at double digits, the combined ratio stays at 95% and the group releases surplus capital: payout to 60%, CoE 10%.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</si>
  <si>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</si>
  <si>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</si>
  <si>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</si>
  <si>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</si>
  <si>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</si>
  <si>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</si>
  <si>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</si>
  <si>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</si>
  <si>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</si>
  <si>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</si>
  <si>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</si>
  <si>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</si>
  <si>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</si>
  <si>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</si>
  <si>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</si>
  <si>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</si>
  <si>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</si>
  <si>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</si>
  <si>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</si>
  <si>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</si>
  <si>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</si>
  <si>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</si>
  <si>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</si>
  <si>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</si>
  <si>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</si>
  <si>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</si>
  <si>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</si>
  <si>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EPSDiluted</t>
  </si>
  <si>
    <t xml:space="preserve">GrossWrittenPremiums</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</si>
  <si>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</si>
  <si>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</si>
  <si>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</si>
  <si>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</si>
  <si>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</si>
  <si>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</si>
  <si>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</si>
  <si>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</si>
  <si>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</si>
  <si>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</si>
  <si>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</si>
  <si>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</si>
  <si>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</si>
  <si>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</si>
  <si>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</si>
  <si>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</si>
  <si>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</si>
  <si>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</si>
  <si>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</si>
  <si>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</si>
  <si>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</si>
  <si>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</si>
  <si>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</si>
  <si>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</si>
  <si>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</si>
  <si>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</si>
  <si>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</si>
  <si>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</si>
  <si>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</si>
  <si>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</si>
  <si>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</si>
  <si>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</si>
  <si>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</si>
  <si>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</si>
  <si>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</si>
  <si>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</si>
  <si>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</si>
  <si>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</si>
  <si>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</si>
  <si>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</si>
  <si>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</si>
  <si>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</si>
  <si>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</si>
  <si>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</si>
  <si>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</si>
  <si>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</si>
  <si>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2601.HK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</si>
  <si>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</si>
  <si>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</si>
  <si>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</si>
  <si>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</si>
  <si>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</si>
  <si>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</si>
  <si>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</si>
  <si>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</si>
  <si>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</si>
  <si>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</si>
  <si>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</si>
  <si>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</si>
  <si>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</si>
  <si>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</si>
  <si>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</si>
  <si>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</si>
  <si>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</si>
  <si>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</si>
  <si>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</si>
  <si>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</si>
  <si>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</si>
  <si>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</si>
  <si>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</si>
  <si>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</si>
  <si>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</si>
  <si>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</si>
  <si>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</si>
  <si>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</si>
  <si>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</si>
  <si>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</si>
  <si>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2601.HK owner-FCF component DCF: base case (millions, CNY)</t>
  </si>
  <si>
    <t xml:space="preserve">2601.HK owner-FCF component DCF: bull case (millions, CNY)</t>
  </si>
  <si>
    <t xml:space="preserve">2601.HK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</si>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</sst>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26.46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319405</v>
      </c>
      <c r="F2" s="0" t="n">
        <v>21102</v>
      </c>
      <c r="G2" s="0" t="n">
        <v>6.6</v>
      </c>
      <c r="I2" s="0" t="n">
        <v>14662</v>
      </c>
      <c r="J2" s="0" t="n">
        <v>4.6</v>
      </c>
      <c r="K2" s="0" t="n">
        <v>1.62</v>
      </c>
      <c r="L2" s="0" t="n">
        <v>86049</v>
      </c>
      <c r="M2" s="0" t="n">
        <v>4218</v>
      </c>
      <c r="N2" s="0" t="n">
        <v>81831</v>
      </c>
      <c r="O2" s="0" t="n">
        <v>137498</v>
      </c>
      <c r="P2" s="0" t="n">
        <v>1171224</v>
      </c>
      <c r="Q2" s="0" t="n">
        <v>1030105</v>
      </c>
      <c r="R2" s="0" t="n">
        <v>3999</v>
      </c>
      <c r="S2" s="0" t="n">
        <v>28786</v>
      </c>
      <c r="T2" s="0" t="n">
        <v>9062</v>
      </c>
      <c r="AA2" s="0" t="s">
        <v>18</v>
      </c>
      <c r="AB2" s="0" t="s">
        <v>14</v>
      </c>
    </row>
    <row r="3" customFormat="false" ht="15" hidden="false" customHeight="false" outlineLevel="0" collapsed="false">
      <c r="A3" s="0" t="s">
        <v>67</v>
      </c>
      <c r="B3" s="0" t="n">
        <v>353103</v>
      </c>
      <c r="F3" s="0" t="n">
        <v>28008</v>
      </c>
      <c r="G3" s="0" t="n">
        <v>7.9</v>
      </c>
      <c r="I3" s="0" t="n">
        <v>18019</v>
      </c>
      <c r="J3" s="0" t="n">
        <v>5.1</v>
      </c>
      <c r="K3" s="0" t="n">
        <v>1.99</v>
      </c>
      <c r="L3" s="0" t="n">
        <v>89449</v>
      </c>
      <c r="M3" s="0" t="n">
        <v>4177</v>
      </c>
      <c r="N3" s="0" t="n">
        <v>85272</v>
      </c>
      <c r="O3" s="0" t="n">
        <v>149576</v>
      </c>
      <c r="P3" s="0" t="n">
        <v>1335959</v>
      </c>
      <c r="Q3" s="0" t="n">
        <v>1181911</v>
      </c>
      <c r="R3" s="0" t="n">
        <v>13985</v>
      </c>
      <c r="S3" s="0" t="n">
        <v>38121</v>
      </c>
      <c r="T3" s="0" t="n">
        <v>9062</v>
      </c>
      <c r="AA3" s="0" t="s">
        <v>18</v>
      </c>
      <c r="AB3" s="0" t="s">
        <v>14</v>
      </c>
    </row>
    <row r="4" customFormat="false" ht="15" hidden="false" customHeight="false" outlineLevel="0" collapsed="false">
      <c r="A4" s="0" t="s">
        <v>68</v>
      </c>
      <c r="B4" s="0" t="n">
        <v>382682</v>
      </c>
      <c r="F4" s="0" t="n">
        <v>27966</v>
      </c>
      <c r="G4" s="0" t="n">
        <v>7.3</v>
      </c>
      <c r="I4" s="0" t="n">
        <v>27741</v>
      </c>
      <c r="J4" s="0" t="n">
        <v>7.2</v>
      </c>
      <c r="K4" s="0" t="n">
        <v>3.06</v>
      </c>
      <c r="L4" s="0" t="n">
        <v>111795</v>
      </c>
      <c r="M4" s="0" t="n">
        <v>3475</v>
      </c>
      <c r="N4" s="0" t="n">
        <v>108320</v>
      </c>
      <c r="O4" s="0" t="n">
        <v>178427</v>
      </c>
      <c r="P4" s="0" t="n">
        <v>1528333</v>
      </c>
      <c r="Q4" s="0" t="n">
        <v>1345013</v>
      </c>
      <c r="R4" s="0" t="n">
        <v>9988</v>
      </c>
      <c r="S4" s="0" t="n">
        <v>42546</v>
      </c>
      <c r="T4" s="0" t="n">
        <v>9062</v>
      </c>
      <c r="AA4" s="0" t="s">
        <v>18</v>
      </c>
      <c r="AB4" s="0" t="s">
        <v>14</v>
      </c>
    </row>
    <row r="5" customFormat="false" ht="15" hidden="false" customHeight="false" outlineLevel="0" collapsed="false">
      <c r="A5" s="0" t="s">
        <v>69</v>
      </c>
      <c r="B5" s="0" t="n">
        <v>418964</v>
      </c>
      <c r="F5" s="0" t="n">
        <v>29238</v>
      </c>
      <c r="G5" s="0" t="n">
        <v>7</v>
      </c>
      <c r="I5" s="0" t="n">
        <v>24584</v>
      </c>
      <c r="J5" s="0" t="n">
        <v>5.9</v>
      </c>
      <c r="K5" s="0" t="n">
        <v>2.63</v>
      </c>
      <c r="L5" s="0" t="n">
        <v>108063</v>
      </c>
      <c r="M5" s="0" t="n">
        <v>3628</v>
      </c>
      <c r="N5" s="0" t="n">
        <v>104435</v>
      </c>
      <c r="O5" s="0" t="n">
        <v>215224</v>
      </c>
      <c r="P5" s="0" t="n">
        <v>1771004</v>
      </c>
      <c r="Q5" s="0" t="n">
        <v>1550169</v>
      </c>
      <c r="R5" s="0" t="n">
        <v>9991</v>
      </c>
      <c r="S5" s="0" t="n">
        <v>34767</v>
      </c>
      <c r="T5" s="0" t="n">
        <v>9620</v>
      </c>
      <c r="AA5" s="0" t="s">
        <v>18</v>
      </c>
      <c r="AB5" s="0" t="s">
        <v>14</v>
      </c>
      <c r="AD5" s="0" t="n">
        <v>362064</v>
      </c>
    </row>
    <row r="6" customFormat="false" ht="15" hidden="false" customHeight="false" outlineLevel="0" collapsed="false">
      <c r="A6" s="0" t="s">
        <v>70</v>
      </c>
      <c r="B6" s="0" t="n">
        <v>436331</v>
      </c>
      <c r="F6" s="0" t="n">
        <v>30796</v>
      </c>
      <c r="G6" s="0" t="n">
        <v>7.1</v>
      </c>
      <c r="I6" s="0" t="n">
        <v>26834</v>
      </c>
      <c r="J6" s="0" t="n">
        <v>6.1</v>
      </c>
      <c r="K6" s="0" t="n">
        <v>2.79</v>
      </c>
      <c r="L6" s="0" t="n">
        <v>108407</v>
      </c>
      <c r="M6" s="0" t="n">
        <v>3688</v>
      </c>
      <c r="N6" s="0" t="n">
        <v>104719</v>
      </c>
      <c r="O6" s="0" t="n">
        <v>226741</v>
      </c>
      <c r="P6" s="0" t="n">
        <v>1946164</v>
      </c>
      <c r="Q6" s="0" t="n">
        <v>1713759</v>
      </c>
      <c r="R6" s="0" t="n">
        <v>9995</v>
      </c>
      <c r="S6" s="0" t="n">
        <v>45627</v>
      </c>
      <c r="T6" s="0" t="n">
        <v>9620</v>
      </c>
      <c r="AA6" s="0" t="s">
        <v>18</v>
      </c>
      <c r="AB6" s="0" t="s">
        <v>14</v>
      </c>
      <c r="AD6" s="0" t="n">
        <v>366782</v>
      </c>
    </row>
    <row r="7" customFormat="false" ht="15" hidden="false" customHeight="false" outlineLevel="0" collapsed="false">
      <c r="A7" s="0" t="s">
        <v>71</v>
      </c>
      <c r="B7" s="0" t="n">
        <v>332140</v>
      </c>
      <c r="F7" s="0" t="n">
        <v>42540</v>
      </c>
      <c r="G7" s="0" t="n">
        <v>12.8</v>
      </c>
      <c r="I7" s="0" t="n">
        <v>37381</v>
      </c>
      <c r="J7" s="0" t="n">
        <v>11.3</v>
      </c>
      <c r="K7" s="0" t="n">
        <v>3.89</v>
      </c>
      <c r="L7" s="0" t="n">
        <v>148664</v>
      </c>
      <c r="M7" s="0" t="n">
        <v>9097</v>
      </c>
      <c r="N7" s="0" t="n">
        <v>139567</v>
      </c>
      <c r="O7" s="0" t="n">
        <v>196477</v>
      </c>
      <c r="P7" s="0" t="n">
        <v>2071336</v>
      </c>
      <c r="Q7" s="0" t="n">
        <v>1869664</v>
      </c>
      <c r="R7" s="0" t="n">
        <v>9999</v>
      </c>
      <c r="S7" s="0" t="n">
        <v>53809</v>
      </c>
      <c r="T7" s="0" t="n">
        <v>9620</v>
      </c>
      <c r="AA7" s="0" t="s">
        <v>18</v>
      </c>
      <c r="AB7" s="0" t="s">
        <v>14</v>
      </c>
    </row>
    <row r="8" customFormat="false" ht="15" hidden="false" customHeight="false" outlineLevel="0" collapsed="false">
      <c r="A8" s="0" t="s">
        <v>72</v>
      </c>
      <c r="B8" s="0" t="n">
        <v>323945</v>
      </c>
      <c r="F8" s="0" t="n">
        <v>32060</v>
      </c>
      <c r="G8" s="0" t="n">
        <v>9.9</v>
      </c>
      <c r="I8" s="0" t="n">
        <v>27257</v>
      </c>
      <c r="J8" s="0" t="n">
        <v>8.4</v>
      </c>
      <c r="K8" s="0" t="n">
        <v>2.83</v>
      </c>
      <c r="L8" s="0" t="n">
        <v>137863</v>
      </c>
      <c r="M8" s="0" t="n">
        <v>3988</v>
      </c>
      <c r="N8" s="0" t="n">
        <v>133875</v>
      </c>
      <c r="O8" s="0" t="n">
        <v>249586</v>
      </c>
      <c r="P8" s="0" t="n">
        <v>2343962</v>
      </c>
      <c r="Q8" s="0" t="n">
        <v>2076258</v>
      </c>
      <c r="R8" s="0" t="n">
        <v>10285</v>
      </c>
      <c r="S8" s="0" t="n">
        <v>33740</v>
      </c>
      <c r="T8" s="0" t="n">
        <v>9620</v>
      </c>
      <c r="AA8" s="0" t="s">
        <v>18</v>
      </c>
      <c r="AB8" s="0" t="s">
        <v>14</v>
      </c>
    </row>
    <row r="9" customFormat="false" ht="15" hidden="false" customHeight="false" outlineLevel="0" collapsed="false">
      <c r="A9" s="0" t="s">
        <v>73</v>
      </c>
      <c r="B9" s="0" t="n">
        <v>404089</v>
      </c>
      <c r="F9" s="0" t="n">
        <v>55711</v>
      </c>
      <c r="G9" s="0" t="n">
        <v>13.8</v>
      </c>
      <c r="I9" s="0" t="n">
        <v>44960</v>
      </c>
      <c r="J9" s="0" t="n">
        <v>11.1</v>
      </c>
      <c r="K9" s="0" t="n">
        <v>4.67</v>
      </c>
      <c r="L9" s="0" t="n">
        <v>154404</v>
      </c>
      <c r="M9" s="0" t="n">
        <v>3878</v>
      </c>
      <c r="N9" s="0" t="n">
        <v>150526</v>
      </c>
      <c r="O9" s="0" t="n">
        <v>291417</v>
      </c>
      <c r="P9" s="0" t="n">
        <v>2834907</v>
      </c>
      <c r="Q9" s="0" t="n">
        <v>2516426</v>
      </c>
      <c r="R9" s="0" t="n">
        <v>10286</v>
      </c>
      <c r="S9" s="0" t="n">
        <v>39673</v>
      </c>
      <c r="T9" s="0" t="n">
        <v>9620</v>
      </c>
      <c r="AA9" s="0" t="s">
        <v>18</v>
      </c>
      <c r="AB9" s="0" t="s">
        <v>14</v>
      </c>
    </row>
    <row r="10" customFormat="false" ht="15" hidden="false" customHeight="false" outlineLevel="0" collapsed="false">
      <c r="A10" s="0" t="s">
        <v>74</v>
      </c>
      <c r="B10" s="0" t="n">
        <v>435156</v>
      </c>
      <c r="F10" s="0" t="n">
        <v>66174</v>
      </c>
      <c r="G10" s="0" t="n">
        <v>15.2</v>
      </c>
      <c r="I10" s="0" t="n">
        <v>53505</v>
      </c>
      <c r="J10" s="0" t="n">
        <v>12.3</v>
      </c>
      <c r="K10" s="0" t="n">
        <v>5.56</v>
      </c>
      <c r="L10" s="0" t="n">
        <v>195523</v>
      </c>
      <c r="M10" s="0" t="n">
        <v>4284</v>
      </c>
      <c r="N10" s="0" t="n">
        <v>191239</v>
      </c>
      <c r="O10" s="0" t="n">
        <v>302143</v>
      </c>
      <c r="P10" s="0" t="n">
        <v>3144767</v>
      </c>
      <c r="Q10" s="0" t="n">
        <v>2810543</v>
      </c>
      <c r="R10" s="0" t="n">
        <v>22832</v>
      </c>
      <c r="S10" s="0" t="n">
        <v>87006</v>
      </c>
      <c r="T10" s="0" t="n">
        <v>9620</v>
      </c>
      <c r="AA10" s="0" t="s">
        <v>18</v>
      </c>
      <c r="AB10" s="0" t="s">
        <v>14</v>
      </c>
      <c r="AC10" s="0" t="n">
        <v>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26.46</v>
      </c>
    </row>
    <row r="3" customFormat="false" ht="15" hidden="false" customHeight="false" outlineLevel="0" collapsed="false">
      <c r="A3" s="0" t="s">
        <v>78</v>
      </c>
      <c r="B3" s="3" t="n">
        <v>9620.341</v>
      </c>
    </row>
    <row r="4" customFormat="false" ht="15" hidden="false" customHeight="false" outlineLevel="0" collapsed="false">
      <c r="A4" s="0" t="s">
        <v>79</v>
      </c>
      <c r="B4" s="3" t="n">
        <v>0</v>
      </c>
    </row>
    <row r="5" customFormat="false" ht="15" hidden="false" customHeight="false" outlineLevel="0" collapsed="false">
      <c r="A5" s="0" t="s">
        <v>80</v>
      </c>
      <c r="B5" s="3" t="n">
        <v>-13268</v>
      </c>
    </row>
    <row r="6" customFormat="false" ht="15" hidden="false" customHeight="false" outlineLevel="0" collapsed="false">
      <c r="A6" s="0" t="s">
        <v>81</v>
      </c>
      <c r="B6" s="3" t="n">
        <v>15</v>
      </c>
    </row>
    <row r="7" customFormat="false" ht="15" hidden="false" customHeight="false" outlineLevel="0" collapsed="false">
      <c r="A7" s="0" t="s">
        <v>82</v>
      </c>
      <c r="B7" s="3" t="n">
        <v>435156</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1.1724</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2</v>
      </c>
      <c r="D13" s="3" t="n">
        <v>-5</v>
      </c>
      <c r="E13" s="3" t="n">
        <v>3</v>
      </c>
      <c r="F13" s="3" t="n">
        <v>3</v>
      </c>
      <c r="G13" s="3" t="n">
        <v>3</v>
      </c>
      <c r="H13" s="3" t="n">
        <v>3</v>
      </c>
      <c r="I13" s="3" t="n">
        <v>2.5</v>
      </c>
      <c r="J13" s="3" t="n">
        <v>2.5</v>
      </c>
      <c r="K13" s="3" t="n">
        <v>2</v>
      </c>
      <c r="L13" s="3" t="n">
        <v>2</v>
      </c>
    </row>
    <row r="14" customFormat="false" ht="15" hidden="false" customHeight="false" outlineLevel="0" collapsed="false">
      <c r="A14" s="0" t="s">
        <v>99</v>
      </c>
      <c r="C14" s="3" t="n">
        <v>12.5</v>
      </c>
      <c r="D14" s="3" t="n">
        <v>9.5</v>
      </c>
      <c r="E14" s="3" t="n">
        <v>9.5</v>
      </c>
      <c r="F14" s="3" t="n">
        <v>9.5</v>
      </c>
      <c r="G14" s="3" t="n">
        <v>9.5</v>
      </c>
      <c r="H14" s="3" t="n">
        <v>9.5</v>
      </c>
      <c r="I14" s="3" t="n">
        <v>9.5</v>
      </c>
      <c r="J14" s="3" t="n">
        <v>9.5</v>
      </c>
      <c r="K14" s="3" t="n">
        <v>9.5</v>
      </c>
      <c r="L14" s="3" t="n">
        <v>9.5</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102</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103</v>
      </c>
      <c r="C18" s="3" t="n">
        <v>7.695</v>
      </c>
      <c r="D18" s="3" t="n">
        <v>5.54</v>
      </c>
      <c r="E18" s="3" t="n">
        <v>5.387</v>
      </c>
      <c r="F18" s="3" t="n">
        <v>5.233</v>
      </c>
      <c r="G18" s="3" t="n">
        <v>5.079</v>
      </c>
      <c r="H18" s="3" t="n">
        <v>4.925</v>
      </c>
      <c r="I18" s="3" t="n">
        <v>4.771</v>
      </c>
      <c r="J18" s="3" t="n">
        <v>4.617</v>
      </c>
      <c r="K18" s="3" t="n">
        <v>4.617</v>
      </c>
      <c r="L18" s="3" t="n">
        <v>4.617</v>
      </c>
    </row>
    <row r="19" customFormat="false" ht="15" hidden="false" customHeight="false" outlineLevel="0" collapsed="false">
      <c r="A19" s="0" t="s">
        <v>104</v>
      </c>
      <c r="C19" s="3" t="n">
        <v>19</v>
      </c>
      <c r="D19" s="3" t="n">
        <v>19</v>
      </c>
      <c r="E19" s="3" t="n">
        <v>19</v>
      </c>
      <c r="F19" s="3" t="n">
        <v>19</v>
      </c>
      <c r="G19" s="3" t="n">
        <v>19</v>
      </c>
      <c r="H19" s="3" t="n">
        <v>19</v>
      </c>
      <c r="I19" s="3" t="n">
        <v>19</v>
      </c>
      <c r="J19" s="3" t="n">
        <v>19</v>
      </c>
      <c r="K19" s="3" t="n">
        <v>19</v>
      </c>
      <c r="L19" s="3" t="n">
        <v>19</v>
      </c>
    </row>
    <row r="20" customFormat="false" ht="15" hidden="false" customHeight="false" outlineLevel="0" collapsed="false">
      <c r="A20" s="0" t="s">
        <v>105</v>
      </c>
      <c r="B20" s="3" t="n">
        <v>11.5</v>
      </c>
    </row>
    <row r="21" customFormat="false" ht="15" hidden="false" customHeight="false" outlineLevel="0" collapsed="false">
      <c r="A21" s="0" t="s">
        <v>106</v>
      </c>
      <c r="B21" s="3" t="n">
        <v>2.5</v>
      </c>
    </row>
    <row r="22" customFormat="false" ht="15" hidden="false" customHeight="false" outlineLevel="0" collapsed="false">
      <c r="A22" s="0" t="s">
        <v>107</v>
      </c>
      <c r="B22" s="3" t="n">
        <v>11</v>
      </c>
    </row>
    <row r="23" customFormat="false" ht="15" hidden="false" customHeight="false" outlineLevel="0" collapsed="false">
      <c r="A23" s="0" t="s">
        <v>108</v>
      </c>
      <c r="B23" s="3" t="n">
        <v>0</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4</v>
      </c>
      <c r="D27" s="3" t="n">
        <v>-1</v>
      </c>
      <c r="E27" s="3" t="n">
        <v>5</v>
      </c>
      <c r="F27" s="3" t="n">
        <v>5</v>
      </c>
      <c r="G27" s="3" t="n">
        <v>4.5</v>
      </c>
      <c r="H27" s="3" t="n">
        <v>4.5</v>
      </c>
      <c r="I27" s="3" t="n">
        <v>4</v>
      </c>
      <c r="J27" s="3" t="n">
        <v>4</v>
      </c>
      <c r="K27" s="3" t="n">
        <v>3.5</v>
      </c>
      <c r="L27" s="3" t="n">
        <v>3</v>
      </c>
    </row>
    <row r="28" customFormat="false" ht="15" hidden="false" customHeight="false" outlineLevel="0" collapsed="false">
      <c r="A28" s="0" t="s">
        <v>99</v>
      </c>
      <c r="C28" s="3" t="n">
        <v>14</v>
      </c>
      <c r="D28" s="3" t="n">
        <v>12</v>
      </c>
      <c r="E28" s="3" t="n">
        <v>12</v>
      </c>
      <c r="F28" s="3" t="n">
        <v>12</v>
      </c>
      <c r="G28" s="3" t="n">
        <v>12</v>
      </c>
      <c r="H28" s="3" t="n">
        <v>12</v>
      </c>
      <c r="I28" s="3" t="n">
        <v>12</v>
      </c>
      <c r="J28" s="3" t="n">
        <v>12</v>
      </c>
      <c r="K28" s="3" t="n">
        <v>12</v>
      </c>
      <c r="L28" s="3" t="n">
        <v>12</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102</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103</v>
      </c>
      <c r="C32" s="3" t="n">
        <v>8.618</v>
      </c>
      <c r="D32" s="3" t="n">
        <v>6.804</v>
      </c>
      <c r="E32" s="3" t="n">
        <v>6.61</v>
      </c>
      <c r="F32" s="3" t="n">
        <v>6.415</v>
      </c>
      <c r="G32" s="3" t="n">
        <v>6.221</v>
      </c>
      <c r="H32" s="3" t="n">
        <v>6.026</v>
      </c>
      <c r="I32" s="3" t="n">
        <v>5.832</v>
      </c>
      <c r="J32" s="3" t="n">
        <v>5.54</v>
      </c>
      <c r="K32" s="3" t="n">
        <v>5.249</v>
      </c>
      <c r="L32" s="3" t="n">
        <v>4.86</v>
      </c>
    </row>
    <row r="33" customFormat="false" ht="15" hidden="false" customHeight="false" outlineLevel="0" collapsed="false">
      <c r="A33" s="0" t="s">
        <v>104</v>
      </c>
      <c r="C33" s="3" t="n">
        <v>19</v>
      </c>
      <c r="D33" s="3" t="n">
        <v>19</v>
      </c>
      <c r="E33" s="3" t="n">
        <v>19</v>
      </c>
      <c r="F33" s="3" t="n">
        <v>19</v>
      </c>
      <c r="G33" s="3" t="n">
        <v>19</v>
      </c>
      <c r="H33" s="3" t="n">
        <v>19</v>
      </c>
      <c r="I33" s="3" t="n">
        <v>19</v>
      </c>
      <c r="J33" s="3" t="n">
        <v>19</v>
      </c>
      <c r="K33" s="3" t="n">
        <v>19</v>
      </c>
      <c r="L33" s="3" t="n">
        <v>19</v>
      </c>
    </row>
    <row r="34" customFormat="false" ht="15" hidden="false" customHeight="false" outlineLevel="0" collapsed="false">
      <c r="A34" s="0" t="s">
        <v>105</v>
      </c>
      <c r="B34" s="3" t="n">
        <v>10.5</v>
      </c>
    </row>
    <row r="35" customFormat="false" ht="15" hidden="false" customHeight="false" outlineLevel="0" collapsed="false">
      <c r="A35" s="0" t="s">
        <v>106</v>
      </c>
      <c r="B35" s="3" t="n">
        <v>3</v>
      </c>
    </row>
    <row r="36" customFormat="false" ht="15" hidden="false" customHeight="false" outlineLevel="0" collapsed="false">
      <c r="A36" s="0" t="s">
        <v>107</v>
      </c>
      <c r="B36" s="3" t="n">
        <v>13</v>
      </c>
    </row>
    <row r="37" customFormat="false" ht="15" hidden="false" customHeight="false" outlineLevel="0" collapsed="false">
      <c r="A37" s="0" t="s">
        <v>108</v>
      </c>
      <c r="B37" s="3" t="n">
        <v>0</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6</v>
      </c>
      <c r="D41" s="3" t="n">
        <v>2</v>
      </c>
      <c r="E41" s="3" t="n">
        <v>6</v>
      </c>
      <c r="F41" s="3" t="n">
        <v>6</v>
      </c>
      <c r="G41" s="3" t="n">
        <v>5.5</v>
      </c>
      <c r="H41" s="3" t="n">
        <v>5.5</v>
      </c>
      <c r="I41" s="3" t="n">
        <v>5</v>
      </c>
      <c r="J41" s="3" t="n">
        <v>4.5</v>
      </c>
      <c r="K41" s="3" t="n">
        <v>4</v>
      </c>
      <c r="L41" s="3" t="n">
        <v>3.5</v>
      </c>
    </row>
    <row r="42" customFormat="false" ht="15" hidden="false" customHeight="false" outlineLevel="0" collapsed="false">
      <c r="A42" s="0" t="s">
        <v>99</v>
      </c>
      <c r="C42" s="3" t="n">
        <v>14.5</v>
      </c>
      <c r="D42" s="3" t="n">
        <v>13</v>
      </c>
      <c r="E42" s="3" t="n">
        <v>13</v>
      </c>
      <c r="F42" s="3" t="n">
        <v>13</v>
      </c>
      <c r="G42" s="3" t="n">
        <v>13</v>
      </c>
      <c r="H42" s="3" t="n">
        <v>13</v>
      </c>
      <c r="I42" s="3" t="n">
        <v>13</v>
      </c>
      <c r="J42" s="3" t="n">
        <v>13</v>
      </c>
      <c r="K42" s="3" t="n">
        <v>13</v>
      </c>
      <c r="L42" s="3" t="n">
        <v>13</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102</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103</v>
      </c>
      <c r="C46" s="3" t="n">
        <v>8.809</v>
      </c>
      <c r="D46" s="3" t="n">
        <v>7.16</v>
      </c>
      <c r="E46" s="3" t="n">
        <v>6.739</v>
      </c>
      <c r="F46" s="3" t="n">
        <v>6.318</v>
      </c>
      <c r="G46" s="3" t="n">
        <v>5.897</v>
      </c>
      <c r="H46" s="3" t="n">
        <v>5.476</v>
      </c>
      <c r="I46" s="3" t="n">
        <v>5.054</v>
      </c>
      <c r="J46" s="3" t="n">
        <v>4.739</v>
      </c>
      <c r="K46" s="3" t="n">
        <v>4.423</v>
      </c>
      <c r="L46" s="3" t="n">
        <v>4.212</v>
      </c>
    </row>
    <row r="47" customFormat="false" ht="15" hidden="false" customHeight="false" outlineLevel="0" collapsed="false">
      <c r="A47" s="0" t="s">
        <v>104</v>
      </c>
      <c r="C47" s="3" t="n">
        <v>19</v>
      </c>
      <c r="D47" s="3" t="n">
        <v>19</v>
      </c>
      <c r="E47" s="3" t="n">
        <v>19</v>
      </c>
      <c r="F47" s="3" t="n">
        <v>19</v>
      </c>
      <c r="G47" s="3" t="n">
        <v>19</v>
      </c>
      <c r="H47" s="3" t="n">
        <v>19</v>
      </c>
      <c r="I47" s="3" t="n">
        <v>19</v>
      </c>
      <c r="J47" s="3" t="n">
        <v>19</v>
      </c>
      <c r="K47" s="3" t="n">
        <v>19</v>
      </c>
      <c r="L47" s="3" t="n">
        <v>19</v>
      </c>
    </row>
    <row r="48" customFormat="false" ht="15" hidden="false" customHeight="false" outlineLevel="0" collapsed="false">
      <c r="A48" s="0" t="s">
        <v>105</v>
      </c>
      <c r="B48" s="3" t="n">
        <v>10</v>
      </c>
    </row>
    <row r="49" customFormat="false" ht="15" hidden="false" customHeight="false" outlineLevel="0" collapsed="false">
      <c r="A49" s="0" t="s">
        <v>106</v>
      </c>
      <c r="B49" s="3" t="n">
        <v>3.5</v>
      </c>
    </row>
    <row r="50" customFormat="false" ht="15" hidden="false" customHeight="false" outlineLevel="0" collapsed="false">
      <c r="A50" s="0" t="s">
        <v>107</v>
      </c>
      <c r="B50" s="3" t="n">
        <v>15</v>
      </c>
    </row>
    <row r="51" customFormat="false" ht="15" hidden="false" customHeight="false" outlineLevel="0" collapsed="false">
      <c r="A51" s="0" t="s">
        <v>108</v>
      </c>
      <c r="B51" s="3" t="n">
        <v>0</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2</v>
      </c>
      <c r="D5" s="4" t="n">
        <f aca="false">Assumptions!D13</f>
        <v>-5</v>
      </c>
      <c r="E5" s="4" t="n">
        <f aca="false">Assumptions!E13</f>
        <v>3</v>
      </c>
      <c r="F5" s="4" t="n">
        <f aca="false">Assumptions!F13</f>
        <v>3</v>
      </c>
      <c r="G5" s="4" t="n">
        <f aca="false">Assumptions!G13</f>
        <v>3</v>
      </c>
      <c r="H5" s="4" t="n">
        <f aca="false">Assumptions!H13</f>
        <v>3</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38</v>
      </c>
      <c r="B6" s="3" t="n">
        <v>435156</v>
      </c>
      <c r="C6" s="0" t="n">
        <f aca="false">B6*(1+C5/100)</f>
        <v>443859.12</v>
      </c>
      <c r="D6" s="0" t="n">
        <f aca="false">C6*(1+D5/100)</f>
        <v>421666.164</v>
      </c>
      <c r="E6" s="0" t="n">
        <f aca="false">D6*(1+E5/100)</f>
        <v>434316.14892</v>
      </c>
      <c r="F6" s="0" t="n">
        <f aca="false">E6*(1+F5/100)</f>
        <v>447345.6333876</v>
      </c>
      <c r="G6" s="0" t="n">
        <f aca="false">F6*(1+G5/100)</f>
        <v>460766.002389228</v>
      </c>
      <c r="H6" s="0" t="n">
        <f aca="false">G6*(1+H5/100)</f>
        <v>474588.982460905</v>
      </c>
      <c r="I6" s="0" t="n">
        <f aca="false">H6*(1+I5/100)</f>
        <v>486453.707022427</v>
      </c>
      <c r="J6" s="0" t="n">
        <f aca="false">I6*(1+J5/100)</f>
        <v>498615.049697988</v>
      </c>
      <c r="K6" s="0" t="n">
        <f aca="false">J6*(1+K5/100)</f>
        <v>508587.350691948</v>
      </c>
      <c r="L6" s="0" t="n">
        <f aca="false">K6*(1+L5/100)</f>
        <v>518759.097705787</v>
      </c>
    </row>
    <row r="7" customFormat="false" ht="15" hidden="false" customHeight="false" outlineLevel="0" collapsed="false">
      <c r="A7" s="0" t="s">
        <v>99</v>
      </c>
      <c r="C7" s="4" t="n">
        <f aca="false">Assumptions!C14</f>
        <v>12.5</v>
      </c>
      <c r="D7" s="4" t="n">
        <f aca="false">Assumptions!D14</f>
        <v>9.5</v>
      </c>
      <c r="E7" s="4" t="n">
        <f aca="false">Assumptions!E14</f>
        <v>9.5</v>
      </c>
      <c r="F7" s="4" t="n">
        <f aca="false">Assumptions!F14</f>
        <v>9.5</v>
      </c>
      <c r="G7" s="4" t="n">
        <f aca="false">Assumptions!G14</f>
        <v>9.5</v>
      </c>
      <c r="H7" s="4" t="n">
        <f aca="false">Assumptions!H14</f>
        <v>9.5</v>
      </c>
      <c r="I7" s="4" t="n">
        <f aca="false">Assumptions!I14</f>
        <v>9.5</v>
      </c>
      <c r="J7" s="4" t="n">
        <f aca="false">Assumptions!J14</f>
        <v>9.5</v>
      </c>
      <c r="K7" s="4" t="n">
        <f aca="false">Assumptions!K14</f>
        <v>9.5</v>
      </c>
      <c r="L7" s="4" t="n">
        <f aca="false">Assumptions!L14</f>
        <v>9.5</v>
      </c>
    </row>
    <row r="8" customFormat="false" ht="15" hidden="false" customHeight="false" outlineLevel="0" collapsed="false">
      <c r="A8" s="0" t="s">
        <v>44</v>
      </c>
      <c r="C8" s="0" t="n">
        <f aca="false">C6*C7/100</f>
        <v>55482.39</v>
      </c>
      <c r="D8" s="0" t="n">
        <f aca="false">D6*D7/100</f>
        <v>40058.28558</v>
      </c>
      <c r="E8" s="0" t="n">
        <f aca="false">E6*E7/100</f>
        <v>41260.0341474</v>
      </c>
      <c r="F8" s="0" t="n">
        <f aca="false">F6*F7/100</f>
        <v>42497.835171822</v>
      </c>
      <c r="G8" s="0" t="n">
        <f aca="false">G6*G7/100</f>
        <v>43772.7702269767</v>
      </c>
      <c r="H8" s="0" t="n">
        <f aca="false">H6*H7/100</f>
        <v>45085.953333786</v>
      </c>
      <c r="I8" s="0" t="n">
        <f aca="false">I6*I7/100</f>
        <v>46213.1021671306</v>
      </c>
      <c r="J8" s="0" t="n">
        <f aca="false">J6*J7/100</f>
        <v>47368.4297213089</v>
      </c>
      <c r="K8" s="0" t="n">
        <f aca="false">K6*K7/100</f>
        <v>48315.798315735</v>
      </c>
      <c r="L8" s="0" t="n">
        <f aca="false">L6*L7/100</f>
        <v>49282.1142820498</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55482.39</v>
      </c>
      <c r="D11" s="0" t="n">
        <f aca="false">D8+D10+D24</f>
        <v>40058.28558</v>
      </c>
      <c r="E11" s="0" t="n">
        <f aca="false">E8+E10+E24</f>
        <v>41260.0341474</v>
      </c>
      <c r="F11" s="0" t="n">
        <f aca="false">F8+F10+F24</f>
        <v>42497.835171822</v>
      </c>
      <c r="G11" s="0" t="n">
        <f aca="false">G8+G10+G24</f>
        <v>43772.7702269767</v>
      </c>
      <c r="H11" s="0" t="n">
        <f aca="false">H8+H10+H24</f>
        <v>45085.953333786</v>
      </c>
      <c r="I11" s="0" t="n">
        <f aca="false">I8+I10+I24</f>
        <v>46213.1021671306</v>
      </c>
      <c r="J11" s="0" t="n">
        <f aca="false">J8+J10+J24</f>
        <v>47368.4297213089</v>
      </c>
      <c r="K11" s="0" t="n">
        <f aca="false">K8+K10+K24</f>
        <v>48315.798315735</v>
      </c>
      <c r="L11" s="0" t="n">
        <f aca="false">L8+L10+L24</f>
        <v>49282.1142820498</v>
      </c>
    </row>
    <row r="12" customFormat="false" ht="15" hidden="false" customHeight="false" outlineLevel="0" collapsed="false">
      <c r="A12" s="0" t="s">
        <v>117</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118</v>
      </c>
      <c r="C13" s="0" t="n">
        <f aca="false">C11+C12</f>
        <v>55482.39</v>
      </c>
      <c r="D13" s="0" t="n">
        <f aca="false">D11+D12</f>
        <v>40058.28558</v>
      </c>
      <c r="E13" s="0" t="n">
        <f aca="false">E11+E12</f>
        <v>41260.0341474</v>
      </c>
      <c r="F13" s="0" t="n">
        <f aca="false">F11+F12</f>
        <v>42497.835171822</v>
      </c>
      <c r="G13" s="0" t="n">
        <f aca="false">G11+G12</f>
        <v>43772.7702269767</v>
      </c>
      <c r="H13" s="0" t="n">
        <f aca="false">H11+H12</f>
        <v>45085.953333786</v>
      </c>
      <c r="I13" s="0" t="n">
        <f aca="false">I11+I12</f>
        <v>46213.1021671306</v>
      </c>
      <c r="J13" s="0" t="n">
        <f aca="false">J11+J12</f>
        <v>47368.4297213089</v>
      </c>
      <c r="K13" s="0" t="n">
        <f aca="false">K11+K12</f>
        <v>48315.798315735</v>
      </c>
      <c r="L13" s="0" t="n">
        <f aca="false">L11+L12</f>
        <v>49282.1142820498</v>
      </c>
    </row>
    <row r="14" customFormat="false" ht="15" hidden="false" customHeight="false" outlineLevel="0" collapsed="false">
      <c r="A14" s="0" t="s">
        <v>104</v>
      </c>
      <c r="C14" s="4" t="n">
        <f aca="false">Assumptions!C19</f>
        <v>19</v>
      </c>
      <c r="D14" s="4" t="n">
        <f aca="false">Assumptions!D19</f>
        <v>19</v>
      </c>
      <c r="E14" s="4" t="n">
        <f aca="false">Assumptions!E19</f>
        <v>19</v>
      </c>
      <c r="F14" s="4" t="n">
        <f aca="false">Assumptions!F19</f>
        <v>19</v>
      </c>
      <c r="G14" s="4" t="n">
        <f aca="false">Assumptions!G19</f>
        <v>19</v>
      </c>
      <c r="H14" s="4" t="n">
        <f aca="false">Assumptions!H19</f>
        <v>19</v>
      </c>
      <c r="I14" s="4" t="n">
        <f aca="false">Assumptions!I19</f>
        <v>19</v>
      </c>
      <c r="J14" s="4" t="n">
        <f aca="false">Assumptions!J19</f>
        <v>19</v>
      </c>
      <c r="K14" s="4" t="n">
        <f aca="false">Assumptions!K19</f>
        <v>19</v>
      </c>
      <c r="L14" s="4" t="n">
        <f aca="false">Assumptions!L19</f>
        <v>19</v>
      </c>
    </row>
    <row r="15" customFormat="false" ht="15" hidden="false" customHeight="false" outlineLevel="0" collapsed="false">
      <c r="A15" s="0" t="s">
        <v>119</v>
      </c>
      <c r="C15" s="0" t="n">
        <f aca="false">C13-MAX(0,C13)*C14/100</f>
        <v>44940.7359</v>
      </c>
      <c r="D15" s="0" t="n">
        <f aca="false">D13-MAX(0,D13)*D14/100</f>
        <v>32447.2113198</v>
      </c>
      <c r="E15" s="0" t="n">
        <f aca="false">E13-MAX(0,E13)*E14/100</f>
        <v>33420.627659394</v>
      </c>
      <c r="F15" s="0" t="n">
        <f aca="false">F13-MAX(0,F13)*F14/100</f>
        <v>34423.2464891758</v>
      </c>
      <c r="G15" s="0" t="n">
        <f aca="false">G13-MAX(0,G13)*G14/100</f>
        <v>35455.9438838511</v>
      </c>
      <c r="H15" s="0" t="n">
        <f aca="false">H13-MAX(0,H13)*H14/100</f>
        <v>36519.6222003666</v>
      </c>
      <c r="I15" s="0" t="n">
        <f aca="false">I13-MAX(0,I13)*I14/100</f>
        <v>37432.6127553758</v>
      </c>
      <c r="J15" s="0" t="n">
        <f aca="false">J13-MAX(0,J13)*J14/100</f>
        <v>38368.4280742602</v>
      </c>
      <c r="K15" s="0" t="n">
        <f aca="false">K13-MAX(0,K13)*K14/100</f>
        <v>39135.7966357454</v>
      </c>
      <c r="L15" s="0" t="n">
        <f aca="false">L13-MAX(0,L13)*L14/100</f>
        <v>39918.5125684603</v>
      </c>
    </row>
    <row r="16" customFormat="false" ht="15" hidden="false" customHeight="false" outlineLevel="0" collapsed="false">
      <c r="A16" s="0" t="s">
        <v>120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121</v>
      </c>
      <c r="C17" s="4" t="n">
        <f aca="false">-C6*Assumptions!C18/100</f>
        <v>-34154.959284</v>
      </c>
      <c r="D17" s="4" t="n">
        <f aca="false">-D6*Assumptions!D18/100</f>
        <v>-23360.3054856</v>
      </c>
      <c r="E17" s="4" t="n">
        <f aca="false">-E6*Assumptions!E18/100</f>
        <v>-23396.6109423204</v>
      </c>
      <c r="F17" s="4" t="n">
        <f aca="false">-F6*Assumptions!F18/100</f>
        <v>-23409.5969951731</v>
      </c>
      <c r="G17" s="4" t="n">
        <f aca="false">-G6*Assumptions!G18/100</f>
        <v>-23402.3052613489</v>
      </c>
      <c r="H17" s="4" t="n">
        <f aca="false">-H6*Assumptions!H18/100</f>
        <v>-23373.5073861996</v>
      </c>
      <c r="I17" s="4" t="n">
        <f aca="false">-I6*Assumptions!I18/100</f>
        <v>-23208.70636204</v>
      </c>
      <c r="J17" s="4" t="n">
        <f aca="false">-J6*Assumptions!J18/100</f>
        <v>-23021.0568445561</v>
      </c>
      <c r="K17" s="4" t="n">
        <f aca="false">-K6*Assumptions!K18/100</f>
        <v>-23481.4779814472</v>
      </c>
      <c r="L17" s="4" t="n">
        <f aca="false">-L6*Assumptions!L18/100</f>
        <v>-23951.1075410762</v>
      </c>
    </row>
    <row r="18" customFormat="false" ht="15" hidden="false" customHeight="false" outlineLevel="0" collapsed="false">
      <c r="A18" s="0" t="s">
        <v>122</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123</v>
      </c>
      <c r="C19" s="0" t="n">
        <f aca="false">C15+C16+C17+C18</f>
        <v>10785.776616</v>
      </c>
      <c r="D19" s="0" t="n">
        <f aca="false">D15+D16+D17+D18</f>
        <v>9086.9058342</v>
      </c>
      <c r="E19" s="0" t="n">
        <f aca="false">E15+E16+E17+E18</f>
        <v>10024.0167170736</v>
      </c>
      <c r="F19" s="0" t="n">
        <f aca="false">F15+F16+F17+F18</f>
        <v>11013.6494940027</v>
      </c>
      <c r="G19" s="0" t="n">
        <f aca="false">G15+G16+G17+G18</f>
        <v>12053.6386225022</v>
      </c>
      <c r="H19" s="0" t="n">
        <f aca="false">H15+H16+H17+H18</f>
        <v>13146.1148141671</v>
      </c>
      <c r="I19" s="0" t="n">
        <f aca="false">I15+I16+I17+I18</f>
        <v>14223.9063933358</v>
      </c>
      <c r="J19" s="0" t="n">
        <f aca="false">J15+J16+J17+J18</f>
        <v>15347.3712297041</v>
      </c>
      <c r="K19" s="0" t="n">
        <f aca="false">K15+K16+K17+K18</f>
        <v>15654.3186542982</v>
      </c>
      <c r="L19" s="0" t="n">
        <f aca="false">L15+L16+L17+L18</f>
        <v>15967.4050273841</v>
      </c>
    </row>
    <row r="20" customFormat="false" ht="15" hidden="false" customHeight="false" outlineLevel="0" collapsed="false">
      <c r="A20" s="0" t="s">
        <v>124</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125</v>
      </c>
      <c r="C21" s="0" t="n">
        <f aca="false">C19*C20</f>
        <v>9673.34225650224</v>
      </c>
      <c r="D21" s="0" t="n">
        <f aca="false">D19*D20</f>
        <v>7309.14020728347</v>
      </c>
      <c r="E21" s="0" t="n">
        <f aca="false">E19*E20</f>
        <v>7231.31333591192</v>
      </c>
      <c r="F21" s="0" t="n">
        <f aca="false">F19*F20</f>
        <v>7125.76969014215</v>
      </c>
      <c r="G21" s="0" t="n">
        <f aca="false">G19*G20</f>
        <v>6994.29313536854</v>
      </c>
      <c r="H21" s="0" t="n">
        <f aca="false">H19*H20</f>
        <v>6841.4509347513</v>
      </c>
      <c r="I21" s="0" t="n">
        <f aca="false">I19*I20</f>
        <v>6638.87992635479</v>
      </c>
      <c r="J21" s="0" t="n">
        <f aca="false">J19*J20</f>
        <v>6424.43676996714</v>
      </c>
      <c r="K21" s="0" t="n">
        <f aca="false">K19*K20</f>
        <v>5877.06323351254</v>
      </c>
      <c r="L21" s="0" t="n">
        <f aca="false">L19*L20</f>
        <v>5376.32690419981</v>
      </c>
    </row>
    <row r="23" customFormat="false" ht="15" hidden="false" customHeight="false" outlineLevel="0" collapsed="false">
      <c r="A23" s="0" t="s">
        <v>101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Assumptions!$B$20</f>
        <v>11.5</v>
      </c>
    </row>
    <row r="28" customFormat="false" ht="15" hidden="false" customHeight="false" outlineLevel="0" collapsed="false">
      <c r="A28" s="0" t="s">
        <v>106</v>
      </c>
      <c r="B28" s="4" t="n">
        <f aca="false">Assumptions!$B$21</f>
        <v>2.5</v>
      </c>
    </row>
    <row r="29" customFormat="false" ht="15" hidden="false" customHeight="false" outlineLevel="0" collapsed="false">
      <c r="A29" s="0" t="s">
        <v>107</v>
      </c>
      <c r="B29" s="4" t="n">
        <f aca="false">Assumptions!$B$22</f>
        <v>11</v>
      </c>
    </row>
    <row r="30" customFormat="false" ht="15" hidden="false" customHeight="false" outlineLevel="0" collapsed="false">
      <c r="A30" s="0" t="s">
        <v>128</v>
      </c>
      <c r="B30" s="0" t="n">
        <f aca="false">SUM(C21:L21)</f>
        <v>69492.0163939939</v>
      </c>
    </row>
    <row r="31" customFormat="false" ht="15" hidden="false" customHeight="false" outlineLevel="0" collapsed="false">
      <c r="A31" s="0" t="s">
        <v>129</v>
      </c>
      <c r="B31" s="0" t="n">
        <f aca="false">L19</f>
        <v>15967.4050273841</v>
      </c>
    </row>
    <row r="32" customFormat="false" ht="15" hidden="false" customHeight="false" outlineLevel="0" collapsed="false">
      <c r="A32" s="0" t="s">
        <v>130</v>
      </c>
      <c r="B32" s="0" t="n">
        <f aca="false">IF(B27&gt;B28,B31*(1+B28/100)/((B27-B28)/100),B31*B29)</f>
        <v>181851.001700764</v>
      </c>
    </row>
    <row r="33" customFormat="false" ht="15" hidden="false" customHeight="false" outlineLevel="0" collapsed="false">
      <c r="A33" s="0" t="s">
        <v>131</v>
      </c>
      <c r="B33" s="0" t="n">
        <f aca="false">B31*B29</f>
        <v>175641.455301225</v>
      </c>
    </row>
    <row r="34" customFormat="false" ht="15" hidden="false" customHeight="false" outlineLevel="0" collapsed="false">
      <c r="A34" s="0" t="s">
        <v>132</v>
      </c>
      <c r="B34" s="0" t="n">
        <f aca="false">MAX(0,MIN(B32,B33))</f>
        <v>175641.455301225</v>
      </c>
    </row>
    <row r="35" customFormat="false" ht="15" hidden="false" customHeight="false" outlineLevel="0" collapsed="false">
      <c r="A35" s="0" t="s">
        <v>133</v>
      </c>
      <c r="B35" s="0" t="n">
        <f aca="false">B34/(1+B27/100)^L4</f>
        <v>59139.5959461979</v>
      </c>
    </row>
    <row r="36" customFormat="false" ht="15" hidden="false" customHeight="false" outlineLevel="0" collapsed="false">
      <c r="A36" s="0" t="s">
        <v>134</v>
      </c>
      <c r="B36" s="0" t="n">
        <f aca="false">B30+B35</f>
        <v>128631.612340192</v>
      </c>
    </row>
    <row r="37" customFormat="false" ht="15" hidden="false" customHeight="false" outlineLevel="0" collapsed="false">
      <c r="A37" s="0" t="s">
        <v>135</v>
      </c>
      <c r="B37" s="0" t="n">
        <f aca="false">B36+Assumptions!$B$5-Assumptions!$B$4</f>
        <v>115363.612340192</v>
      </c>
    </row>
    <row r="38" customFormat="false" ht="15" hidden="false" customHeight="false" outlineLevel="0" collapsed="false">
      <c r="A38" s="0" t="s">
        <v>136</v>
      </c>
      <c r="B38" s="0" t="n">
        <f aca="false">B37/Assumptions!$B$3*Assumptions!$B$10</f>
        <v>14.0589922028378</v>
      </c>
    </row>
    <row r="39" customFormat="false" ht="15" hidden="false" customHeight="false" outlineLevel="0" collapsed="false">
      <c r="A39" s="0" t="s">
        <v>137</v>
      </c>
      <c r="B39" s="4" t="n">
        <f aca="false">B38/Assumptions!$B$2-1</f>
        <v>-0.468669984775593</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14.0589922028378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130932.72122455</v>
      </c>
    </row>
    <row r="47" customFormat="false" ht="15" hidden="false" customHeight="false" outlineLevel="0" collapsed="false">
      <c r="A47" s="0" t="s">
        <v>142</v>
      </c>
      <c r="B47" s="0" t="n">
        <f aca="false">(SUMPRODUCT(C19:L19/(1+B45/100)^C4:L4)+B46/(1+B45/100)^L4+Assumptions!$B$5-Assumptions!$B$4)/Assumptions!$B$3*Assumptions!$B$10</f>
        <v>9.58750079872661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4</v>
      </c>
      <c r="D5" s="4" t="n">
        <f aca="false">Assumptions!D27</f>
        <v>-1</v>
      </c>
      <c r="E5" s="4" t="n">
        <f aca="false">Assumptions!E27</f>
        <v>5</v>
      </c>
      <c r="F5" s="4" t="n">
        <f aca="false">Assumptions!F27</f>
        <v>5</v>
      </c>
      <c r="G5" s="4" t="n">
        <f aca="false">Assumptions!G27</f>
        <v>4.5</v>
      </c>
      <c r="H5" s="4" t="n">
        <f aca="false">Assumptions!H27</f>
        <v>4.5</v>
      </c>
      <c r="I5" s="4" t="n">
        <f aca="false">Assumptions!I27</f>
        <v>4</v>
      </c>
      <c r="J5" s="4" t="n">
        <f aca="false">Assumptions!J27</f>
        <v>4</v>
      </c>
      <c r="K5" s="4" t="n">
        <f aca="false">Assumptions!K27</f>
        <v>3.5</v>
      </c>
      <c r="L5" s="4" t="n">
        <f aca="false">Assumptions!L27</f>
        <v>3</v>
      </c>
    </row>
    <row r="6" customFormat="false" ht="15" hidden="false" customHeight="false" outlineLevel="0" collapsed="false">
      <c r="A6" s="0" t="s">
        <v>38</v>
      </c>
      <c r="B6" s="3" t="n">
        <v>435156</v>
      </c>
      <c r="C6" s="0" t="n">
        <f aca="false">B6*(1+C5/100)</f>
        <v>452562.24</v>
      </c>
      <c r="D6" s="0" t="n">
        <f aca="false">C6*(1+D5/100)</f>
        <v>448036.6176</v>
      </c>
      <c r="E6" s="0" t="n">
        <f aca="false">D6*(1+E5/100)</f>
        <v>470438.44848</v>
      </c>
      <c r="F6" s="0" t="n">
        <f aca="false">E6*(1+F5/100)</f>
        <v>493960.370904</v>
      </c>
      <c r="G6" s="0" t="n">
        <f aca="false">F6*(1+G5/100)</f>
        <v>516188.58759468</v>
      </c>
      <c r="H6" s="0" t="n">
        <f aca="false">G6*(1+H5/100)</f>
        <v>539417.074036441</v>
      </c>
      <c r="I6" s="0" t="n">
        <f aca="false">H6*(1+I5/100)</f>
        <v>560993.756997898</v>
      </c>
      <c r="J6" s="0" t="n">
        <f aca="false">I6*(1+J5/100)</f>
        <v>583433.507277814</v>
      </c>
      <c r="K6" s="0" t="n">
        <f aca="false">J6*(1+K5/100)</f>
        <v>603853.680032538</v>
      </c>
      <c r="L6" s="0" t="n">
        <f aca="false">K6*(1+L5/100)</f>
        <v>621969.290433514</v>
      </c>
    </row>
    <row r="7" customFormat="false" ht="15" hidden="false" customHeight="false" outlineLevel="0" collapsed="false">
      <c r="A7" s="0" t="s">
        <v>99</v>
      </c>
      <c r="C7" s="4" t="n">
        <f aca="false">Assumptions!C28</f>
        <v>14</v>
      </c>
      <c r="D7" s="4" t="n">
        <f aca="false">Assumptions!D28</f>
        <v>12</v>
      </c>
      <c r="E7" s="4" t="n">
        <f aca="false">Assumptions!E28</f>
        <v>12</v>
      </c>
      <c r="F7" s="4" t="n">
        <f aca="false">Assumptions!F28</f>
        <v>12</v>
      </c>
      <c r="G7" s="4" t="n">
        <f aca="false">Assumptions!G28</f>
        <v>12</v>
      </c>
      <c r="H7" s="4" t="n">
        <f aca="false">Assumptions!H28</f>
        <v>12</v>
      </c>
      <c r="I7" s="4" t="n">
        <f aca="false">Assumptions!I28</f>
        <v>12</v>
      </c>
      <c r="J7" s="4" t="n">
        <f aca="false">Assumptions!J28</f>
        <v>12</v>
      </c>
      <c r="K7" s="4" t="n">
        <f aca="false">Assumptions!K28</f>
        <v>12</v>
      </c>
      <c r="L7" s="4" t="n">
        <f aca="false">Assumptions!L28</f>
        <v>12</v>
      </c>
    </row>
    <row r="8" customFormat="false" ht="15" hidden="false" customHeight="false" outlineLevel="0" collapsed="false">
      <c r="A8" s="0" t="s">
        <v>44</v>
      </c>
      <c r="C8" s="0" t="n">
        <f aca="false">C6*C7/100</f>
        <v>63358.7136</v>
      </c>
      <c r="D8" s="0" t="n">
        <f aca="false">D6*D7/100</f>
        <v>53764.394112</v>
      </c>
      <c r="E8" s="0" t="n">
        <f aca="false">E6*E7/100</f>
        <v>56452.6138176</v>
      </c>
      <c r="F8" s="0" t="n">
        <f aca="false">F6*F7/100</f>
        <v>59275.24450848</v>
      </c>
      <c r="G8" s="0" t="n">
        <f aca="false">G6*G7/100</f>
        <v>61942.6305113616</v>
      </c>
      <c r="H8" s="0" t="n">
        <f aca="false">H6*H7/100</f>
        <v>64730.0488843729</v>
      </c>
      <c r="I8" s="0" t="n">
        <f aca="false">I6*I7/100</f>
        <v>67319.2508397478</v>
      </c>
      <c r="J8" s="0" t="n">
        <f aca="false">J6*J7/100</f>
        <v>70012.0208733377</v>
      </c>
      <c r="K8" s="0" t="n">
        <f aca="false">K6*K7/100</f>
        <v>72462.4416039045</v>
      </c>
      <c r="L8" s="0" t="n">
        <f aca="false">L6*L7/100</f>
        <v>74636.3148520217</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63358.7136</v>
      </c>
      <c r="D11" s="0" t="n">
        <f aca="false">D8+D10+D24</f>
        <v>53764.394112</v>
      </c>
      <c r="E11" s="0" t="n">
        <f aca="false">E8+E10+E24</f>
        <v>56452.6138176</v>
      </c>
      <c r="F11" s="0" t="n">
        <f aca="false">F8+F10+F24</f>
        <v>59275.24450848</v>
      </c>
      <c r="G11" s="0" t="n">
        <f aca="false">G8+G10+G24</f>
        <v>61942.6305113616</v>
      </c>
      <c r="H11" s="0" t="n">
        <f aca="false">H8+H10+H24</f>
        <v>64730.0488843729</v>
      </c>
      <c r="I11" s="0" t="n">
        <f aca="false">I8+I10+I24</f>
        <v>67319.2508397478</v>
      </c>
      <c r="J11" s="0" t="n">
        <f aca="false">J8+J10+J24</f>
        <v>70012.0208733377</v>
      </c>
      <c r="K11" s="0" t="n">
        <f aca="false">K8+K10+K24</f>
        <v>72462.4416039045</v>
      </c>
      <c r="L11" s="0" t="n">
        <f aca="false">L8+L10+L24</f>
        <v>74636.3148520217</v>
      </c>
    </row>
    <row r="12" customFormat="false" ht="15" hidden="false" customHeight="false" outlineLevel="0" collapsed="false">
      <c r="A12" s="0" t="s">
        <v>117</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118</v>
      </c>
      <c r="C13" s="0" t="n">
        <f aca="false">C11+C12</f>
        <v>63358.7136</v>
      </c>
      <c r="D13" s="0" t="n">
        <f aca="false">D11+D12</f>
        <v>53764.394112</v>
      </c>
      <c r="E13" s="0" t="n">
        <f aca="false">E11+E12</f>
        <v>56452.6138176</v>
      </c>
      <c r="F13" s="0" t="n">
        <f aca="false">F11+F12</f>
        <v>59275.24450848</v>
      </c>
      <c r="G13" s="0" t="n">
        <f aca="false">G11+G12</f>
        <v>61942.6305113616</v>
      </c>
      <c r="H13" s="0" t="n">
        <f aca="false">H11+H12</f>
        <v>64730.0488843729</v>
      </c>
      <c r="I13" s="0" t="n">
        <f aca="false">I11+I12</f>
        <v>67319.2508397478</v>
      </c>
      <c r="J13" s="0" t="n">
        <f aca="false">J11+J12</f>
        <v>70012.0208733377</v>
      </c>
      <c r="K13" s="0" t="n">
        <f aca="false">K11+K12</f>
        <v>72462.4416039045</v>
      </c>
      <c r="L13" s="0" t="n">
        <f aca="false">L11+L12</f>
        <v>74636.3148520217</v>
      </c>
    </row>
    <row r="14" customFormat="false" ht="15" hidden="false" customHeight="false" outlineLevel="0" collapsed="false">
      <c r="A14" s="0" t="s">
        <v>104</v>
      </c>
      <c r="C14" s="4" t="n">
        <f aca="false">Assumptions!C33</f>
        <v>19</v>
      </c>
      <c r="D14" s="4" t="n">
        <f aca="false">Assumptions!D33</f>
        <v>19</v>
      </c>
      <c r="E14" s="4" t="n">
        <f aca="false">Assumptions!E33</f>
        <v>19</v>
      </c>
      <c r="F14" s="4" t="n">
        <f aca="false">Assumptions!F33</f>
        <v>19</v>
      </c>
      <c r="G14" s="4" t="n">
        <f aca="false">Assumptions!G33</f>
        <v>19</v>
      </c>
      <c r="H14" s="4" t="n">
        <f aca="false">Assumptions!H33</f>
        <v>19</v>
      </c>
      <c r="I14" s="4" t="n">
        <f aca="false">Assumptions!I33</f>
        <v>19</v>
      </c>
      <c r="J14" s="4" t="n">
        <f aca="false">Assumptions!J33</f>
        <v>19</v>
      </c>
      <c r="K14" s="4" t="n">
        <f aca="false">Assumptions!K33</f>
        <v>19</v>
      </c>
      <c r="L14" s="4" t="n">
        <f aca="false">Assumptions!L33</f>
        <v>19</v>
      </c>
    </row>
    <row r="15" customFormat="false" ht="15" hidden="false" customHeight="false" outlineLevel="0" collapsed="false">
      <c r="A15" s="0" t="s">
        <v>119</v>
      </c>
      <c r="C15" s="0" t="n">
        <f aca="false">C13-MAX(0,C13)*C14/100</f>
        <v>51320.558016</v>
      </c>
      <c r="D15" s="0" t="n">
        <f aca="false">D13-MAX(0,D13)*D14/100</f>
        <v>43549.15923072</v>
      </c>
      <c r="E15" s="0" t="n">
        <f aca="false">E13-MAX(0,E13)*E14/100</f>
        <v>45726.617192256</v>
      </c>
      <c r="F15" s="0" t="n">
        <f aca="false">F13-MAX(0,F13)*F14/100</f>
        <v>48012.9480518688</v>
      </c>
      <c r="G15" s="0" t="n">
        <f aca="false">G13-MAX(0,G13)*G14/100</f>
        <v>50173.5307142029</v>
      </c>
      <c r="H15" s="0" t="n">
        <f aca="false">H13-MAX(0,H13)*H14/100</f>
        <v>52431.339596342</v>
      </c>
      <c r="I15" s="0" t="n">
        <f aca="false">I13-MAX(0,I13)*I14/100</f>
        <v>54528.5931801957</v>
      </c>
      <c r="J15" s="0" t="n">
        <f aca="false">J13-MAX(0,J13)*J14/100</f>
        <v>56709.7369074035</v>
      </c>
      <c r="K15" s="0" t="n">
        <f aca="false">K13-MAX(0,K13)*K14/100</f>
        <v>58694.5776991627</v>
      </c>
      <c r="L15" s="0" t="n">
        <f aca="false">L13-MAX(0,L13)*L14/100</f>
        <v>60455.4150301375</v>
      </c>
    </row>
    <row r="16" customFormat="false" ht="15" hidden="false" customHeight="false" outlineLevel="0" collapsed="false">
      <c r="A16" s="0" t="s">
        <v>120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121</v>
      </c>
      <c r="C17" s="4" t="n">
        <f aca="false">-C6*Assumptions!C32/100</f>
        <v>-39001.8138432</v>
      </c>
      <c r="D17" s="4" t="n">
        <f aca="false">-D6*Assumptions!D32/100</f>
        <v>-30484.411461504</v>
      </c>
      <c r="E17" s="4" t="n">
        <f aca="false">-E6*Assumptions!E32/100</f>
        <v>-31095.981444528</v>
      </c>
      <c r="F17" s="4" t="n">
        <f aca="false">-F6*Assumptions!F32/100</f>
        <v>-31687.5577934916</v>
      </c>
      <c r="G17" s="4" t="n">
        <f aca="false">-G6*Assumptions!G32/100</f>
        <v>-32112.092034265</v>
      </c>
      <c r="H17" s="4" t="n">
        <f aca="false">-H6*Assumptions!H32/100</f>
        <v>-32505.2728814359</v>
      </c>
      <c r="I17" s="4" t="n">
        <f aca="false">-I6*Assumptions!I32/100</f>
        <v>-32717.1559081174</v>
      </c>
      <c r="J17" s="4" t="n">
        <f aca="false">-J6*Assumptions!J32/100</f>
        <v>-32322.2163031909</v>
      </c>
      <c r="K17" s="4" t="n">
        <f aca="false">-K6*Assumptions!K32/100</f>
        <v>-31696.2796649079</v>
      </c>
      <c r="L17" s="4" t="n">
        <f aca="false">-L6*Assumptions!L32/100</f>
        <v>-30227.7075150688</v>
      </c>
    </row>
    <row r="18" customFormat="false" ht="15" hidden="false" customHeight="false" outlineLevel="0" collapsed="false">
      <c r="A18" s="0" t="s">
        <v>122</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123</v>
      </c>
      <c r="C19" s="0" t="n">
        <f aca="false">C15+C16+C17+C18</f>
        <v>12318.7441728</v>
      </c>
      <c r="D19" s="0" t="n">
        <f aca="false">D15+D16+D17+D18</f>
        <v>13064.747769216</v>
      </c>
      <c r="E19" s="0" t="n">
        <f aca="false">E15+E16+E17+E18</f>
        <v>14630.635747728</v>
      </c>
      <c r="F19" s="0" t="n">
        <f aca="false">F15+F16+F17+F18</f>
        <v>16325.3902583772</v>
      </c>
      <c r="G19" s="0" t="n">
        <f aca="false">G15+G16+G17+G18</f>
        <v>18061.4386799379</v>
      </c>
      <c r="H19" s="0" t="n">
        <f aca="false">H15+H16+H17+H18</f>
        <v>19926.0667149061</v>
      </c>
      <c r="I19" s="0" t="n">
        <f aca="false">I15+I16+I17+I18</f>
        <v>21811.4372720783</v>
      </c>
      <c r="J19" s="0" t="n">
        <f aca="false">J15+J16+J17+J18</f>
        <v>24387.5206042126</v>
      </c>
      <c r="K19" s="0" t="n">
        <f aca="false">K15+K16+K17+K18</f>
        <v>26998.2980342548</v>
      </c>
      <c r="L19" s="0" t="n">
        <f aca="false">L15+L16+L17+L18</f>
        <v>30227.7075150688</v>
      </c>
    </row>
    <row r="20" customFormat="false" ht="15" hidden="false" customHeight="false" outlineLevel="0" collapsed="false">
      <c r="A20" s="0" t="s">
        <v>124</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125</v>
      </c>
      <c r="C21" s="0" t="n">
        <f aca="false">C19*C20</f>
        <v>11148.1847717647</v>
      </c>
      <c r="D21" s="0" t="n">
        <f aca="false">D19*D20</f>
        <v>10699.8200439926</v>
      </c>
      <c r="E21" s="0" t="n">
        <f aca="false">E19*E20</f>
        <v>10843.6717854551</v>
      </c>
      <c r="F21" s="0" t="n">
        <f aca="false">F19*F20</f>
        <v>10950.0085881118</v>
      </c>
      <c r="G21" s="0" t="n">
        <f aca="false">G19*G20</f>
        <v>10963.2912293985</v>
      </c>
      <c r="H21" s="0" t="n">
        <f aca="false">H19*H20</f>
        <v>10945.8101674715</v>
      </c>
      <c r="I21" s="0" t="n">
        <f aca="false">I19*I20</f>
        <v>10842.972051627</v>
      </c>
      <c r="J21" s="0" t="n">
        <f aca="false">J19*J20</f>
        <v>10971.5863412735</v>
      </c>
      <c r="K21" s="0" t="n">
        <f aca="false">K19*K20</f>
        <v>10991.9788738548</v>
      </c>
      <c r="L21" s="0" t="n">
        <f aca="false">L19*L20</f>
        <v>11137.3644424941</v>
      </c>
    </row>
    <row r="23" customFormat="false" ht="15" hidden="false" customHeight="false" outlineLevel="0" collapsed="false">
      <c r="A23" s="0" t="s">
        <v>101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Assumptions!$B$34</f>
        <v>10.5</v>
      </c>
    </row>
    <row r="28" customFormat="false" ht="15" hidden="false" customHeight="false" outlineLevel="0" collapsed="false">
      <c r="A28" s="0" t="s">
        <v>106</v>
      </c>
      <c r="B28" s="4" t="n">
        <f aca="false">Assumptions!$B$35</f>
        <v>3</v>
      </c>
    </row>
    <row r="29" customFormat="false" ht="15" hidden="false" customHeight="false" outlineLevel="0" collapsed="false">
      <c r="A29" s="0" t="s">
        <v>107</v>
      </c>
      <c r="B29" s="4" t="n">
        <f aca="false">Assumptions!$B$36</f>
        <v>13</v>
      </c>
    </row>
    <row r="30" customFormat="false" ht="15" hidden="false" customHeight="false" outlineLevel="0" collapsed="false">
      <c r="A30" s="0" t="s">
        <v>128</v>
      </c>
      <c r="B30" s="0" t="n">
        <f aca="false">SUM(C21:L21)</f>
        <v>109494.688295444</v>
      </c>
    </row>
    <row r="31" customFormat="false" ht="15" hidden="false" customHeight="false" outlineLevel="0" collapsed="false">
      <c r="A31" s="0" t="s">
        <v>129</v>
      </c>
      <c r="B31" s="0" t="n">
        <f aca="false">L19</f>
        <v>30227.7075150688</v>
      </c>
    </row>
    <row r="32" customFormat="false" ht="15" hidden="false" customHeight="false" outlineLevel="0" collapsed="false">
      <c r="A32" s="0" t="s">
        <v>130</v>
      </c>
      <c r="B32" s="0" t="n">
        <f aca="false">IF(B27&gt;B28,B31*(1+B28/100)/((B27-B28)/100),B31*B29)</f>
        <v>415127.183206944</v>
      </c>
    </row>
    <row r="33" customFormat="false" ht="15" hidden="false" customHeight="false" outlineLevel="0" collapsed="false">
      <c r="A33" s="0" t="s">
        <v>131</v>
      </c>
      <c r="B33" s="0" t="n">
        <f aca="false">B31*B29</f>
        <v>392960.197695894</v>
      </c>
    </row>
    <row r="34" customFormat="false" ht="15" hidden="false" customHeight="false" outlineLevel="0" collapsed="false">
      <c r="A34" s="0" t="s">
        <v>132</v>
      </c>
      <c r="B34" s="0" t="n">
        <f aca="false">MAX(0,MIN(B32,B33))</f>
        <v>392960.197695894</v>
      </c>
    </row>
    <row r="35" customFormat="false" ht="15" hidden="false" customHeight="false" outlineLevel="0" collapsed="false">
      <c r="A35" s="0" t="s">
        <v>133</v>
      </c>
      <c r="B35" s="0" t="n">
        <f aca="false">B34/(1+B27/100)^L4</f>
        <v>144785.737752424</v>
      </c>
    </row>
    <row r="36" customFormat="false" ht="15" hidden="false" customHeight="false" outlineLevel="0" collapsed="false">
      <c r="A36" s="0" t="s">
        <v>134</v>
      </c>
      <c r="B36" s="0" t="n">
        <f aca="false">B30+B35</f>
        <v>254280.426047867</v>
      </c>
    </row>
    <row r="37" customFormat="false" ht="15" hidden="false" customHeight="false" outlineLevel="0" collapsed="false">
      <c r="A37" s="0" t="s">
        <v>135</v>
      </c>
      <c r="B37" s="0" t="n">
        <f aca="false">B36+Assumptions!$B$5-Assumptions!$B$4</f>
        <v>241012.426047867</v>
      </c>
    </row>
    <row r="38" customFormat="false" ht="15" hidden="false" customHeight="false" outlineLevel="0" collapsed="false">
      <c r="A38" s="0" t="s">
        <v>136</v>
      </c>
      <c r="B38" s="0" t="n">
        <f aca="false">B37/Assumptions!$B$3*Assumptions!$B$10</f>
        <v>29.3714087991808</v>
      </c>
    </row>
    <row r="39" customFormat="false" ht="15" hidden="false" customHeight="false" outlineLevel="0" collapsed="false">
      <c r="A39" s="0" t="s">
        <v>137</v>
      </c>
      <c r="B39" s="4" t="n">
        <f aca="false">B38/Assumptions!$B$2-1</f>
        <v>0.110030566862462</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29.3714087991808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259454.48950434</v>
      </c>
    </row>
    <row r="47" customFormat="false" ht="15" hidden="false" customHeight="false" outlineLevel="0" collapsed="false">
      <c r="A47" s="0" t="s">
        <v>142</v>
      </c>
      <c r="B47" s="0" t="n">
        <f aca="false">(SUMPRODUCT(C19:L19/(1+B45/100)^C4:L4)+B46/(1+B45/100)^L4+Assumptions!$B$5-Assumptions!$B$4)/Assumptions!$B$3*Assumptions!$B$10</f>
        <v>16.9788127378788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6</v>
      </c>
      <c r="D5" s="4" t="n">
        <f aca="false">Assumptions!D41</f>
        <v>2</v>
      </c>
      <c r="E5" s="4" t="n">
        <f aca="false">Assumptions!E41</f>
        <v>6</v>
      </c>
      <c r="F5" s="4" t="n">
        <f aca="false">Assumptions!F41</f>
        <v>6</v>
      </c>
      <c r="G5" s="4" t="n">
        <f aca="false">Assumptions!G41</f>
        <v>5.5</v>
      </c>
      <c r="H5" s="4" t="n">
        <f aca="false">Assumptions!H41</f>
        <v>5.5</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38</v>
      </c>
      <c r="B6" s="3" t="n">
        <v>435156</v>
      </c>
      <c r="C6" s="0" t="n">
        <f aca="false">B6*(1+C5/100)</f>
        <v>461265.36</v>
      </c>
      <c r="D6" s="0" t="n">
        <f aca="false">C6*(1+D5/100)</f>
        <v>470490.6672</v>
      </c>
      <c r="E6" s="0" t="n">
        <f aca="false">D6*(1+E5/100)</f>
        <v>498720.107232</v>
      </c>
      <c r="F6" s="0" t="n">
        <f aca="false">E6*(1+F5/100)</f>
        <v>528643.31366592</v>
      </c>
      <c r="G6" s="0" t="n">
        <f aca="false">F6*(1+G5/100)</f>
        <v>557718.695917546</v>
      </c>
      <c r="H6" s="0" t="n">
        <f aca="false">G6*(1+H5/100)</f>
        <v>588393.224193011</v>
      </c>
      <c r="I6" s="0" t="n">
        <f aca="false">H6*(1+I5/100)</f>
        <v>617812.885402661</v>
      </c>
      <c r="J6" s="0" t="n">
        <f aca="false">I6*(1+J5/100)</f>
        <v>645614.465245781</v>
      </c>
      <c r="K6" s="0" t="n">
        <f aca="false">J6*(1+K5/100)</f>
        <v>671439.043855612</v>
      </c>
      <c r="L6" s="0" t="n">
        <f aca="false">K6*(1+L5/100)</f>
        <v>694939.410390559</v>
      </c>
    </row>
    <row r="7" customFormat="false" ht="15" hidden="false" customHeight="false" outlineLevel="0" collapsed="false">
      <c r="A7" s="0" t="s">
        <v>99</v>
      </c>
      <c r="C7" s="4" t="n">
        <f aca="false">Assumptions!C42</f>
        <v>14.5</v>
      </c>
      <c r="D7" s="4" t="n">
        <f aca="false">Assumptions!D42</f>
        <v>13</v>
      </c>
      <c r="E7" s="4" t="n">
        <f aca="false">Assumptions!E42</f>
        <v>13</v>
      </c>
      <c r="F7" s="4" t="n">
        <f aca="false">Assumptions!F42</f>
        <v>13</v>
      </c>
      <c r="G7" s="4" t="n">
        <f aca="false">Assumptions!G42</f>
        <v>13</v>
      </c>
      <c r="H7" s="4" t="n">
        <f aca="false">Assumptions!H42</f>
        <v>13</v>
      </c>
      <c r="I7" s="4" t="n">
        <f aca="false">Assumptions!I42</f>
        <v>13</v>
      </c>
      <c r="J7" s="4" t="n">
        <f aca="false">Assumptions!J42</f>
        <v>13</v>
      </c>
      <c r="K7" s="4" t="n">
        <f aca="false">Assumptions!K42</f>
        <v>13</v>
      </c>
      <c r="L7" s="4" t="n">
        <f aca="false">Assumptions!L42</f>
        <v>13</v>
      </c>
    </row>
    <row r="8" customFormat="false" ht="15" hidden="false" customHeight="false" outlineLevel="0" collapsed="false">
      <c r="A8" s="0" t="s">
        <v>44</v>
      </c>
      <c r="C8" s="0" t="n">
        <f aca="false">C6*C7/100</f>
        <v>66883.4772</v>
      </c>
      <c r="D8" s="0" t="n">
        <f aca="false">D6*D7/100</f>
        <v>61163.786736</v>
      </c>
      <c r="E8" s="0" t="n">
        <f aca="false">E6*E7/100</f>
        <v>64833.61394016</v>
      </c>
      <c r="F8" s="0" t="n">
        <f aca="false">F6*F7/100</f>
        <v>68723.6307765696</v>
      </c>
      <c r="G8" s="0" t="n">
        <f aca="false">G6*G7/100</f>
        <v>72503.4304692809</v>
      </c>
      <c r="H8" s="0" t="n">
        <f aca="false">H6*H7/100</f>
        <v>76491.1191450914</v>
      </c>
      <c r="I8" s="0" t="n">
        <f aca="false">I6*I7/100</f>
        <v>80315.675102346</v>
      </c>
      <c r="J8" s="0" t="n">
        <f aca="false">J6*J7/100</f>
        <v>83929.8804819515</v>
      </c>
      <c r="K8" s="0" t="n">
        <f aca="false">K6*K7/100</f>
        <v>87287.0757012296</v>
      </c>
      <c r="L8" s="0" t="n">
        <f aca="false">L6*L7/100</f>
        <v>90342.1233507726</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66883.4772</v>
      </c>
      <c r="D11" s="0" t="n">
        <f aca="false">D8+D10+D24</f>
        <v>61163.786736</v>
      </c>
      <c r="E11" s="0" t="n">
        <f aca="false">E8+E10+E24</f>
        <v>64833.61394016</v>
      </c>
      <c r="F11" s="0" t="n">
        <f aca="false">F8+F10+F24</f>
        <v>68723.6307765696</v>
      </c>
      <c r="G11" s="0" t="n">
        <f aca="false">G8+G10+G24</f>
        <v>72503.4304692809</v>
      </c>
      <c r="H11" s="0" t="n">
        <f aca="false">H8+H10+H24</f>
        <v>76491.1191450914</v>
      </c>
      <c r="I11" s="0" t="n">
        <f aca="false">I8+I10+I24</f>
        <v>80315.675102346</v>
      </c>
      <c r="J11" s="0" t="n">
        <f aca="false">J8+J10+J24</f>
        <v>83929.8804819515</v>
      </c>
      <c r="K11" s="0" t="n">
        <f aca="false">K8+K10+K24</f>
        <v>87287.0757012296</v>
      </c>
      <c r="L11" s="0" t="n">
        <f aca="false">L8+L10+L24</f>
        <v>90342.1233507726</v>
      </c>
    </row>
    <row r="12" customFormat="false" ht="15" hidden="false" customHeight="false" outlineLevel="0" collapsed="false">
      <c r="A12" s="0" t="s">
        <v>117</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118</v>
      </c>
      <c r="C13" s="0" t="n">
        <f aca="false">C11+C12</f>
        <v>66883.4772</v>
      </c>
      <c r="D13" s="0" t="n">
        <f aca="false">D11+D12</f>
        <v>61163.786736</v>
      </c>
      <c r="E13" s="0" t="n">
        <f aca="false">E11+E12</f>
        <v>64833.61394016</v>
      </c>
      <c r="F13" s="0" t="n">
        <f aca="false">F11+F12</f>
        <v>68723.6307765696</v>
      </c>
      <c r="G13" s="0" t="n">
        <f aca="false">G11+G12</f>
        <v>72503.4304692809</v>
      </c>
      <c r="H13" s="0" t="n">
        <f aca="false">H11+H12</f>
        <v>76491.1191450914</v>
      </c>
      <c r="I13" s="0" t="n">
        <f aca="false">I11+I12</f>
        <v>80315.675102346</v>
      </c>
      <c r="J13" s="0" t="n">
        <f aca="false">J11+J12</f>
        <v>83929.8804819515</v>
      </c>
      <c r="K13" s="0" t="n">
        <f aca="false">K11+K12</f>
        <v>87287.0757012296</v>
      </c>
      <c r="L13" s="0" t="n">
        <f aca="false">L11+L12</f>
        <v>90342.1233507726</v>
      </c>
    </row>
    <row r="14" customFormat="false" ht="15" hidden="false" customHeight="false" outlineLevel="0" collapsed="false">
      <c r="A14" s="0" t="s">
        <v>104</v>
      </c>
      <c r="C14" s="4" t="n">
        <f aca="false">Assumptions!C47</f>
        <v>19</v>
      </c>
      <c r="D14" s="4" t="n">
        <f aca="false">Assumptions!D47</f>
        <v>19</v>
      </c>
      <c r="E14" s="4" t="n">
        <f aca="false">Assumptions!E47</f>
        <v>19</v>
      </c>
      <c r="F14" s="4" t="n">
        <f aca="false">Assumptions!F47</f>
        <v>19</v>
      </c>
      <c r="G14" s="4" t="n">
        <f aca="false">Assumptions!G47</f>
        <v>19</v>
      </c>
      <c r="H14" s="4" t="n">
        <f aca="false">Assumptions!H47</f>
        <v>19</v>
      </c>
      <c r="I14" s="4" t="n">
        <f aca="false">Assumptions!I47</f>
        <v>19</v>
      </c>
      <c r="J14" s="4" t="n">
        <f aca="false">Assumptions!J47</f>
        <v>19</v>
      </c>
      <c r="K14" s="4" t="n">
        <f aca="false">Assumptions!K47</f>
        <v>19</v>
      </c>
      <c r="L14" s="4" t="n">
        <f aca="false">Assumptions!L47</f>
        <v>19</v>
      </c>
    </row>
    <row r="15" customFormat="false" ht="15" hidden="false" customHeight="false" outlineLevel="0" collapsed="false">
      <c r="A15" s="0" t="s">
        <v>119</v>
      </c>
      <c r="C15" s="0" t="n">
        <f aca="false">C13-MAX(0,C13)*C14/100</f>
        <v>54175.616532</v>
      </c>
      <c r="D15" s="0" t="n">
        <f aca="false">D13-MAX(0,D13)*D14/100</f>
        <v>49542.66725616</v>
      </c>
      <c r="E15" s="0" t="n">
        <f aca="false">E13-MAX(0,E13)*E14/100</f>
        <v>52515.2272915296</v>
      </c>
      <c r="F15" s="0" t="n">
        <f aca="false">F13-MAX(0,F13)*F14/100</f>
        <v>55666.1409290214</v>
      </c>
      <c r="G15" s="0" t="n">
        <f aca="false">G13-MAX(0,G13)*G14/100</f>
        <v>58727.7786801176</v>
      </c>
      <c r="H15" s="0" t="n">
        <f aca="false">H13-MAX(0,H13)*H14/100</f>
        <v>61957.806507524</v>
      </c>
      <c r="I15" s="0" t="n">
        <f aca="false">I13-MAX(0,I13)*I14/100</f>
        <v>65055.6968329002</v>
      </c>
      <c r="J15" s="0" t="n">
        <f aca="false">J13-MAX(0,J13)*J14/100</f>
        <v>67983.2031903807</v>
      </c>
      <c r="K15" s="0" t="n">
        <f aca="false">K13-MAX(0,K13)*K14/100</f>
        <v>70702.531317996</v>
      </c>
      <c r="L15" s="0" t="n">
        <f aca="false">L13-MAX(0,L13)*L14/100</f>
        <v>73177.1199141258</v>
      </c>
    </row>
    <row r="16" customFormat="false" ht="15" hidden="false" customHeight="false" outlineLevel="0" collapsed="false">
      <c r="A16" s="0" t="s">
        <v>120</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121</v>
      </c>
      <c r="C17" s="4" t="n">
        <f aca="false">-C6*Assumptions!C46/100</f>
        <v>-40632.8655624</v>
      </c>
      <c r="D17" s="4" t="n">
        <f aca="false">-D6*Assumptions!D46/100</f>
        <v>-33687.13177152</v>
      </c>
      <c r="E17" s="4" t="n">
        <f aca="false">-E6*Assumptions!E46/100</f>
        <v>-33608.7480263645</v>
      </c>
      <c r="F17" s="4" t="n">
        <f aca="false">-F6*Assumptions!F46/100</f>
        <v>-33399.6845574128</v>
      </c>
      <c r="G17" s="4" t="n">
        <f aca="false">-G6*Assumptions!G46/100</f>
        <v>-32888.6714982577</v>
      </c>
      <c r="H17" s="4" t="n">
        <f aca="false">-H6*Assumptions!H46/100</f>
        <v>-32220.4129568093</v>
      </c>
      <c r="I17" s="4" t="n">
        <f aca="false">-I6*Assumptions!I46/100</f>
        <v>-31224.2632282505</v>
      </c>
      <c r="J17" s="4" t="n">
        <f aca="false">-J6*Assumptions!J46/100</f>
        <v>-30595.6695079976</v>
      </c>
      <c r="K17" s="4" t="n">
        <f aca="false">-K6*Assumptions!K46/100</f>
        <v>-29697.7489097337</v>
      </c>
      <c r="L17" s="4" t="n">
        <f aca="false">-L6*Assumptions!L46/100</f>
        <v>-29270.8479656503</v>
      </c>
    </row>
    <row r="18" customFormat="false" ht="15" hidden="false" customHeight="false" outlineLevel="0" collapsed="false">
      <c r="A18" s="0" t="s">
        <v>122</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123</v>
      </c>
      <c r="C19" s="0" t="n">
        <f aca="false">C15+C16+C17+C18</f>
        <v>13542.7509696</v>
      </c>
      <c r="D19" s="0" t="n">
        <f aca="false">D15+D16+D17+D18</f>
        <v>15855.53548464</v>
      </c>
      <c r="E19" s="0" t="n">
        <f aca="false">E15+E16+E17+E18</f>
        <v>18906.4792651651</v>
      </c>
      <c r="F19" s="0" t="n">
        <f aca="false">F15+F16+F17+F18</f>
        <v>22266.4563716086</v>
      </c>
      <c r="G19" s="0" t="n">
        <f aca="false">G15+G16+G17+G18</f>
        <v>25839.1071818599</v>
      </c>
      <c r="H19" s="0" t="n">
        <f aca="false">H15+H16+H17+H18</f>
        <v>29737.3935507148</v>
      </c>
      <c r="I19" s="0" t="n">
        <f aca="false">I15+I16+I17+I18</f>
        <v>33831.4336046497</v>
      </c>
      <c r="J19" s="0" t="n">
        <f aca="false">J15+J16+J17+J18</f>
        <v>37387.5336823832</v>
      </c>
      <c r="K19" s="0" t="n">
        <f aca="false">K15+K16+K17+K18</f>
        <v>41004.7824082622</v>
      </c>
      <c r="L19" s="0" t="n">
        <f aca="false">L15+L16+L17+L18</f>
        <v>43906.2719484755</v>
      </c>
    </row>
    <row r="20" customFormat="false" ht="15" hidden="false" customHeight="false" outlineLevel="0" collapsed="false">
      <c r="A20" s="0" t="s">
        <v>124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125</v>
      </c>
      <c r="C21" s="0" t="n">
        <f aca="false">C19*C20</f>
        <v>12311.5917905455</v>
      </c>
      <c r="D21" s="0" t="n">
        <f aca="false">D19*D20</f>
        <v>13103.7483344132</v>
      </c>
      <c r="E21" s="0" t="n">
        <f aca="false">E19*E20</f>
        <v>14204.7177048573</v>
      </c>
      <c r="F21" s="0" t="n">
        <f aca="false">F19*F20</f>
        <v>15208.289305108</v>
      </c>
      <c r="G21" s="0" t="n">
        <f aca="false">G19*G20</f>
        <v>16044.0526180278</v>
      </c>
      <c r="H21" s="0" t="n">
        <f aca="false">H19*H20</f>
        <v>16785.9834071278</v>
      </c>
      <c r="I21" s="0" t="n">
        <f aca="false">I19*I20</f>
        <v>17360.8748056091</v>
      </c>
      <c r="J21" s="0" t="n">
        <f aca="false">J19*J20</f>
        <v>17441.5603906717</v>
      </c>
      <c r="K21" s="0" t="n">
        <f aca="false">K19*K20</f>
        <v>17390.030561226</v>
      </c>
      <c r="L21" s="0" t="n">
        <f aca="false">L19*L20</f>
        <v>16927.7685136028</v>
      </c>
    </row>
    <row r="23" customFormat="false" ht="15" hidden="false" customHeight="false" outlineLevel="0" collapsed="false">
      <c r="A23" s="0" t="s">
        <v>101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Assumptions!$B$48</f>
        <v>10</v>
      </c>
    </row>
    <row r="28" customFormat="false" ht="15" hidden="false" customHeight="false" outlineLevel="0" collapsed="false">
      <c r="A28" s="0" t="s">
        <v>106</v>
      </c>
      <c r="B28" s="4" t="n">
        <f aca="false">Assumptions!$B$49</f>
        <v>3.5</v>
      </c>
    </row>
    <row r="29" customFormat="false" ht="15" hidden="false" customHeight="false" outlineLevel="0" collapsed="false">
      <c r="A29" s="0" t="s">
        <v>107</v>
      </c>
      <c r="B29" s="4" t="n">
        <f aca="false">Assumptions!$B$50</f>
        <v>15</v>
      </c>
    </row>
    <row r="30" customFormat="false" ht="15" hidden="false" customHeight="false" outlineLevel="0" collapsed="false">
      <c r="A30" s="0" t="s">
        <v>128</v>
      </c>
      <c r="B30" s="0" t="n">
        <f aca="false">SUM(C21:L21)</f>
        <v>156778.617431189</v>
      </c>
    </row>
    <row r="31" customFormat="false" ht="15" hidden="false" customHeight="false" outlineLevel="0" collapsed="false">
      <c r="A31" s="0" t="s">
        <v>129</v>
      </c>
      <c r="B31" s="0" t="n">
        <f aca="false">L19</f>
        <v>43906.2719484755</v>
      </c>
    </row>
    <row r="32" customFormat="false" ht="15" hidden="false" customHeight="false" outlineLevel="0" collapsed="false">
      <c r="A32" s="0" t="s">
        <v>130</v>
      </c>
      <c r="B32" s="0" t="n">
        <f aca="false">IF(B27&gt;B28,B31*(1+B28/100)/((B27-B28)/100),B31*B29)</f>
        <v>699122.94564111</v>
      </c>
    </row>
    <row r="33" customFormat="false" ht="15" hidden="false" customHeight="false" outlineLevel="0" collapsed="false">
      <c r="A33" s="0" t="s">
        <v>131</v>
      </c>
      <c r="B33" s="0" t="n">
        <f aca="false">B31*B29</f>
        <v>658594.079227133</v>
      </c>
    </row>
    <row r="34" customFormat="false" ht="15" hidden="false" customHeight="false" outlineLevel="0" collapsed="false">
      <c r="A34" s="0" t="s">
        <v>132</v>
      </c>
      <c r="B34" s="0" t="n">
        <f aca="false">MAX(0,MIN(B32,B33))</f>
        <v>658594.079227133</v>
      </c>
    </row>
    <row r="35" customFormat="false" ht="15" hidden="false" customHeight="false" outlineLevel="0" collapsed="false">
      <c r="A35" s="0" t="s">
        <v>133</v>
      </c>
      <c r="B35" s="0" t="n">
        <f aca="false">B34/(1+B27/100)^L4</f>
        <v>253916.527704042</v>
      </c>
    </row>
    <row r="36" customFormat="false" ht="15" hidden="false" customHeight="false" outlineLevel="0" collapsed="false">
      <c r="A36" s="0" t="s">
        <v>134</v>
      </c>
      <c r="B36" s="0" t="n">
        <f aca="false">B30+B35</f>
        <v>410695.145135231</v>
      </c>
    </row>
    <row r="37" customFormat="false" ht="15" hidden="false" customHeight="false" outlineLevel="0" collapsed="false">
      <c r="A37" s="0" t="s">
        <v>135</v>
      </c>
      <c r="B37" s="0" t="n">
        <f aca="false">B36+Assumptions!$B$5-Assumptions!$B$4</f>
        <v>397427.145135231</v>
      </c>
    </row>
    <row r="38" customFormat="false" ht="15" hidden="false" customHeight="false" outlineLevel="0" collapsed="false">
      <c r="A38" s="0" t="s">
        <v>136</v>
      </c>
      <c r="B38" s="0" t="n">
        <f aca="false">B37/Assumptions!$B$3*Assumptions!$B$10</f>
        <v>48.4331672813412</v>
      </c>
    </row>
    <row r="39" customFormat="false" ht="15" hidden="false" customHeight="false" outlineLevel="0" collapsed="false">
      <c r="A39" s="0" t="s">
        <v>137</v>
      </c>
      <c r="B39" s="4" t="n">
        <f aca="false">B38/Assumptions!$B$2-1</f>
        <v>0.830429602469432</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48.4331672813412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395156.447536279</v>
      </c>
    </row>
    <row r="47" customFormat="false" ht="15" hidden="false" customHeight="false" outlineLevel="0" collapsed="false">
      <c r="A47" s="0" t="s">
        <v>142</v>
      </c>
      <c r="B47" s="0" t="n">
        <f aca="false">(SUMPRODUCT(C19:L19/(1+B45/100)^C4:L4)+B46/(1+B45/100)^L4+Assumptions!$B$5-Assumptions!$B$4)/Assumptions!$B$3*Assumptions!$B$10</f>
        <v>25.1641195175102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14.0589922028378</v>
      </c>
      <c r="C4" s="0" t="n">
        <f aca="false">B4/Assumptions!$B$2-1</f>
        <v>-0.468669984775593</v>
      </c>
      <c r="D4" s="4" t="n">
        <f aca="false">Assumptions!$B$24</f>
        <v>0.25</v>
      </c>
      <c r="E4" s="4" t="n">
        <f aca="false">DCF_Bear!$B$43</f>
        <v>14.0589922028378</v>
      </c>
      <c r="F4" s="4" t="n">
        <f aca="false">DCF_Bear!$B$47</f>
        <v>9.58750079872661</v>
      </c>
    </row>
    <row r="5" customFormat="false" ht="15" hidden="false" customHeight="false" outlineLevel="0" collapsed="false">
      <c r="A5" s="0" t="s">
        <v>151</v>
      </c>
      <c r="B5" s="4" t="n">
        <f aca="false">DCF_Base!$B$38</f>
        <v>29.3714087991808</v>
      </c>
      <c r="C5" s="0" t="n">
        <f aca="false">B5/Assumptions!$B$2-1</f>
        <v>0.110030566862462</v>
      </c>
      <c r="D5" s="4" t="n">
        <f aca="false">Assumptions!$B$38</f>
        <v>0.5</v>
      </c>
      <c r="E5" s="4" t="n">
        <f aca="false">DCF_Base!$B$43</f>
        <v>29.3714087991808</v>
      </c>
      <c r="F5" s="4" t="n">
        <f aca="false">DCF_Base!$B$47</f>
        <v>16.9788127378788</v>
      </c>
    </row>
    <row r="6" customFormat="false" ht="15" hidden="false" customHeight="false" outlineLevel="0" collapsed="false">
      <c r="A6" s="0" t="s">
        <v>152</v>
      </c>
      <c r="B6" s="4" t="n">
        <f aca="false">DCF_Bull!$B$38</f>
        <v>48.4331672813412</v>
      </c>
      <c r="C6" s="0" t="n">
        <f aca="false">B6/Assumptions!$B$2-1</f>
        <v>0.830429602469432</v>
      </c>
      <c r="D6" s="4" t="n">
        <f aca="false">Assumptions!$B$52</f>
        <v>0.25</v>
      </c>
      <c r="E6" s="4" t="n">
        <f aca="false">DCF_Bull!$B$43</f>
        <v>48.4331672813412</v>
      </c>
      <c r="F6" s="4" t="n">
        <f aca="false">DCF_Bull!$B$47</f>
        <v>25.1641195175102</v>
      </c>
    </row>
    <row r="8" customFormat="false" ht="15" hidden="false" customHeight="false" outlineLevel="0" collapsed="false">
      <c r="A8" s="0" t="s">
        <v>153</v>
      </c>
      <c r="B8" s="0" t="n">
        <f aca="false">SUMPRODUCT(B4:B6,D4:D6)</f>
        <v>30.3087442706351</v>
      </c>
    </row>
    <row r="9" customFormat="false" ht="15" hidden="false" customHeight="false" outlineLevel="0" collapsed="false">
      <c r="A9" s="0" t="s">
        <v>154</v>
      </c>
      <c r="B9" s="0" t="n">
        <f aca="false">SUMPRODUCT(E4:E6,D4:D6)</f>
        <v>30.3087442706351</v>
      </c>
    </row>
    <row r="10" customFormat="false" ht="15" hidden="false" customHeight="false" outlineLevel="0" collapsed="false">
      <c r="A10" s="0" t="s">
        <v>155</v>
      </c>
      <c r="B10" s="0" t="n">
        <f aca="false">1-Assumptions!$B$2/B8</f>
        <v>0.126984616593437</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17.1773114479986</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33.0104862913021</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30.5288680357256</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29.3714087991808</v>
      </c>
      <c r="C17" s="3" t="n">
        <v>10.5</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28.1035976497824</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24.3546223030375</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16.9788127378788</v>
      </c>
      <c r="C20" s="3" t="n">
        <v>15</v>
      </c>
    </row>
    <row r="22" customFormat="false" ht="15" hidden="false" customHeight="false" outlineLevel="0" collapsed="false">
      <c r="A22" s="2" t="s">
        <v>166</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34.3406884965036</v>
      </c>
      <c r="C24" s="0" t="n">
        <f aca="false">(SUMPRODUCT(DCF_Base!$C$19:$L$19/(1+$A$24/100)^DCF_Base!$C$4:$L$4)+MAX(0,MIN(IF($A$24&gt;$C$23,DCF_Base!$L$19*(1+$C$23/100)/(($A$24-$C$23)/100),DCF_Base!$L$19*DCF_Base!$B$29),DCF_Base!$L$19*DCF_Base!$B$29))/(1+$A$24/100)^DCF_Base!$L$4+Assumptions!$B$5-Assumptions!$B$4)/Assumptions!$B$3*Assumptions!$B$10</f>
        <v>34.3406884965036</v>
      </c>
      <c r="D24" s="0" t="n">
        <f aca="false">(SUMPRODUCT(DCF_Base!$C$19:$L$19/(1+$A$24/100)^DCF_Base!$C$4:$L$4)+MAX(0,MIN(IF($A$24&gt;$D$23,DCF_Base!$L$19*(1+$D$23/100)/(($A$24-$D$23)/100),DCF_Base!$L$19*DCF_Base!$B$29),DCF_Base!$L$19*DCF_Base!$B$29))/(1+$A$24/100)^DCF_Base!$L$4+Assumptions!$B$5-Assumptions!$B$4)/Assumptions!$B$3*Assumptions!$B$10</f>
        <v>34.3406884965036</v>
      </c>
      <c r="E24" s="0" t="n">
        <f aca="false">(SUMPRODUCT(DCF_Base!$C$19:$L$19/(1+$A$24/100)^DCF_Base!$C$4:$L$4)+MAX(0,MIN(IF($A$24&gt;$E$23,DCF_Base!$L$19*(1+$E$23/100)/(($A$24-$E$23)/100),DCF_Base!$L$19*DCF_Base!$B$29),DCF_Base!$L$19*DCF_Base!$B$29))/(1+$A$24/100)^DCF_Base!$L$4+Assumptions!$B$5-Assumptions!$B$4)/Assumptions!$B$3*Assumptions!$B$10</f>
        <v>34.3406884965036</v>
      </c>
      <c r="F24" s="0" t="n">
        <f aca="false">(SUMPRODUCT(DCF_Base!$C$19:$L$19/(1+$A$24/100)^DCF_Base!$C$4:$L$4)+MAX(0,MIN(IF($A$24&gt;$F$23,DCF_Base!$L$19*(1+$F$23/100)/(($A$24-$F$23)/100),DCF_Base!$L$19*DCF_Base!$B$29),DCF_Base!$L$19*DCF_Base!$B$29))/(1+$A$24/100)^DCF_Base!$L$4+Assumptions!$B$5-Assumptions!$B$4)/Assumptions!$B$3*Assumptions!$B$10</f>
        <v>34.3406884965036</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31.7409157667084</v>
      </c>
      <c r="C25" s="0" t="n">
        <f aca="false">(SUMPRODUCT(DCF_Base!$C$19:$L$19/(1+$A$25/100)^DCF_Base!$C$4:$L$4)+MAX(0,MIN(IF($A$25&gt;$C$23,DCF_Base!$L$19*(1+$C$23/100)/(($A$25-$C$23)/100),DCF_Base!$L$19*DCF_Base!$B$29),DCF_Base!$L$19*DCF_Base!$B$29))/(1+$A$25/100)^DCF_Base!$L$4+Assumptions!$B$5-Assumptions!$B$4)/Assumptions!$B$3*Assumptions!$B$10</f>
        <v>31.7409157667084</v>
      </c>
      <c r="D25" s="0" t="n">
        <f aca="false">(SUMPRODUCT(DCF_Base!$C$19:$L$19/(1+$A$25/100)^DCF_Base!$C$4:$L$4)+MAX(0,MIN(IF($A$25&gt;$D$23,DCF_Base!$L$19*(1+$D$23/100)/(($A$25-$D$23)/100),DCF_Base!$L$19*DCF_Base!$B$29),DCF_Base!$L$19*DCF_Base!$B$29))/(1+$A$25/100)^DCF_Base!$L$4+Assumptions!$B$5-Assumptions!$B$4)/Assumptions!$B$3*Assumptions!$B$10</f>
        <v>31.7409157667084</v>
      </c>
      <c r="E25" s="0" t="n">
        <f aca="false">(SUMPRODUCT(DCF_Base!$C$19:$L$19/(1+$A$25/100)^DCF_Base!$C$4:$L$4)+MAX(0,MIN(IF($A$25&gt;$E$23,DCF_Base!$L$19*(1+$E$23/100)/(($A$25-$E$23)/100),DCF_Base!$L$19*DCF_Base!$B$29),DCF_Base!$L$19*DCF_Base!$B$29))/(1+$A$25/100)^DCF_Base!$L$4+Assumptions!$B$5-Assumptions!$B$4)/Assumptions!$B$3*Assumptions!$B$10</f>
        <v>31.7409157667084</v>
      </c>
      <c r="F25" s="0" t="n">
        <f aca="false">(SUMPRODUCT(DCF_Base!$C$19:$L$19/(1+$A$25/100)^DCF_Base!$C$4:$L$4)+MAX(0,MIN(IF($A$25&gt;$F$23,DCF_Base!$L$19*(1+$F$23/100)/(($A$25-$F$23)/100),DCF_Base!$L$19*DCF_Base!$B$29),DCF_Base!$L$19*DCF_Base!$B$29))/(1+$A$25/100)^DCF_Base!$L$4+Assumptions!$B$5-Assumptions!$B$4)/Assumptions!$B$3*Assumptions!$B$10</f>
        <v>31.7409157667084</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28.0141340339328</v>
      </c>
      <c r="C26" s="0" t="n">
        <f aca="false">(SUMPRODUCT(DCF_Base!$C$19:$L$19/(1+$A$26/100)^DCF_Base!$C$4:$L$4)+MAX(0,MIN(IF($A$26&gt;$C$23,DCF_Base!$L$19*(1+$C$23/100)/(($A$26-$C$23)/100),DCF_Base!$L$19*DCF_Base!$B$29),DCF_Base!$L$19*DCF_Base!$B$29))/(1+$A$26/100)^DCF_Base!$L$4+Assumptions!$B$5-Assumptions!$B$4)/Assumptions!$B$3*Assumptions!$B$10</f>
        <v>29.1169197806968</v>
      </c>
      <c r="D26" s="0" t="n">
        <f aca="false">(SUMPRODUCT(DCF_Base!$C$19:$L$19/(1+$A$26/100)^DCF_Base!$C$4:$L$4)+MAX(0,MIN(IF($A$26&gt;$D$23,DCF_Base!$L$19*(1+$D$23/100)/(($A$26-$D$23)/100),DCF_Base!$L$19*DCF_Base!$B$29),DCF_Base!$L$19*DCF_Base!$B$29))/(1+$A$26/100)^DCF_Base!$L$4+Assumptions!$B$5-Assumptions!$B$4)/Assumptions!$B$3*Assumptions!$B$10</f>
        <v>29.3714087991808</v>
      </c>
      <c r="E26" s="0" t="n">
        <f aca="false">(SUMPRODUCT(DCF_Base!$C$19:$L$19/(1+$A$26/100)^DCF_Base!$C$4:$L$4)+MAX(0,MIN(IF($A$26&gt;$E$23,DCF_Base!$L$19*(1+$E$23/100)/(($A$26-$E$23)/100),DCF_Base!$L$19*DCF_Base!$B$29),DCF_Base!$L$19*DCF_Base!$B$29))/(1+$A$26/100)^DCF_Base!$L$4+Assumptions!$B$5-Assumptions!$B$4)/Assumptions!$B$3*Assumptions!$B$10</f>
        <v>29.3714087991808</v>
      </c>
      <c r="F26" s="0" t="n">
        <f aca="false">(SUMPRODUCT(DCF_Base!$C$19:$L$19/(1+$A$26/100)^DCF_Base!$C$4:$L$4)+MAX(0,MIN(IF($A$26&gt;$F$23,DCF_Base!$L$19*(1+$F$23/100)/(($A$26-$F$23)/100),DCF_Base!$L$19*DCF_Base!$B$29),DCF_Base!$L$19*DCF_Base!$B$29))/(1+$A$26/100)^DCF_Base!$L$4+Assumptions!$B$5-Assumptions!$B$4)/Assumptions!$B$3*Assumptions!$B$10</f>
        <v>29.3714087991808</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24.4022360792526</v>
      </c>
      <c r="C27" s="0" t="n">
        <f aca="false">(SUMPRODUCT(DCF_Base!$C$19:$L$19/(1+$A$27/100)^DCF_Base!$C$4:$L$4)+MAX(0,MIN(IF($A$27&gt;$C$23,DCF_Base!$L$19*(1+$C$23/100)/(($A$27-$C$23)/100),DCF_Base!$L$19*DCF_Base!$B$29),DCF_Base!$L$19*DCF_Base!$B$29))/(1+$A$27/100)^DCF_Base!$L$4+Assumptions!$B$5-Assumptions!$B$4)/Assumptions!$B$3*Assumptions!$B$10</f>
        <v>25.2109978938943</v>
      </c>
      <c r="D27" s="0" t="n">
        <f aca="false">(SUMPRODUCT(DCF_Base!$C$19:$L$19/(1+$A$27/100)^DCF_Base!$C$4:$L$4)+MAX(0,MIN(IF($A$27&gt;$D$23,DCF_Base!$L$19*(1+$D$23/100)/(($A$27-$D$23)/100),DCF_Base!$L$19*DCF_Base!$B$29),DCF_Base!$L$19*DCF_Base!$B$29))/(1+$A$27/100)^DCF_Base!$L$4+Assumptions!$B$5-Assumptions!$B$4)/Assumptions!$B$3*Assumptions!$B$10</f>
        <v>26.1149081573174</v>
      </c>
      <c r="E27" s="0" t="n">
        <f aca="false">(SUMPRODUCT(DCF_Base!$C$19:$L$19/(1+$A$27/100)^DCF_Base!$C$4:$L$4)+MAX(0,MIN(IF($A$27&gt;$E$23,DCF_Base!$L$19*(1+$E$23/100)/(($A$27-$E$23)/100),DCF_Base!$L$19*DCF_Base!$B$29),DCF_Base!$L$19*DCF_Base!$B$29))/(1+$A$27/100)^DCF_Base!$L$4+Assumptions!$B$5-Assumptions!$B$4)/Assumptions!$B$3*Assumptions!$B$10</f>
        <v>27.1318072036684</v>
      </c>
      <c r="F27" s="0" t="n">
        <f aca="false">(SUMPRODUCT(DCF_Base!$C$19:$L$19/(1+$A$27/100)^DCF_Base!$C$4:$L$4)+MAX(0,MIN(IF($A$27&gt;$F$23,DCF_Base!$L$19*(1+$F$23/100)/(($A$27-$F$23)/100),DCF_Base!$L$19*DCF_Base!$B$29),DCF_Base!$L$19*DCF_Base!$B$29))/(1+$A$27/100)^DCF_Base!$L$4+Assumptions!$B$5-Assumptions!$B$4)/Assumptions!$B$3*Assumptions!$B$10</f>
        <v>27.2093286556324</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21.5070001792546</v>
      </c>
      <c r="C28" s="0" t="n">
        <f aca="false">(SUMPRODUCT(DCF_Base!$C$19:$L$19/(1+$A$28/100)^DCF_Base!$C$4:$L$4)+MAX(0,MIN(IF($A$28&gt;$C$23,DCF_Base!$L$19*(1+$C$23/100)/(($A$28-$C$23)/100),DCF_Base!$L$19*DCF_Base!$B$29),DCF_Base!$L$19*DCF_Base!$B$29))/(1+$A$28/100)^DCF_Base!$L$4+Assumptions!$B$5-Assumptions!$B$4)/Assumptions!$B$3*Assumptions!$B$10</f>
        <v>22.1147132231737</v>
      </c>
      <c r="D28" s="0" t="n">
        <f aca="false">(SUMPRODUCT(DCF_Base!$C$19:$L$19/(1+$A$28/100)^DCF_Base!$C$4:$L$4)+MAX(0,MIN(IF($A$28&gt;$D$23,DCF_Base!$L$19*(1+$D$23/100)/(($A$28-$D$23)/100),DCF_Base!$L$19*DCF_Base!$B$29),DCF_Base!$L$19*DCF_Base!$B$29))/(1+$A$28/100)^DCF_Base!$L$4+Assumptions!$B$5-Assumptions!$B$4)/Assumptions!$B$3*Assumptions!$B$10</f>
        <v>22.7863960611896</v>
      </c>
      <c r="E28" s="0" t="n">
        <f aca="false">(SUMPRODUCT(DCF_Base!$C$19:$L$19/(1+$A$28/100)^DCF_Base!$C$4:$L$4)+MAX(0,MIN(IF($A$28&gt;$E$23,DCF_Base!$L$19*(1+$E$23/100)/(($A$28-$E$23)/100),DCF_Base!$L$19*DCF_Base!$B$29),DCF_Base!$L$19*DCF_Base!$B$29))/(1+$A$28/100)^DCF_Base!$L$4+Assumptions!$B$5-Assumptions!$B$4)/Assumptions!$B$3*Assumptions!$B$10</f>
        <v>23.5327103256517</v>
      </c>
      <c r="F28" s="0" t="n">
        <f aca="false">(SUMPRODUCT(DCF_Base!$C$19:$L$19/(1+$A$28/100)^DCF_Base!$C$4:$L$4)+MAX(0,MIN(IF($A$28&gt;$F$23,DCF_Base!$L$19*(1+$F$23/100)/(($A$28-$F$23)/100),DCF_Base!$L$19*DCF_Base!$B$29),DCF_Base!$L$19*DCF_Base!$B$29))/(1+$A$28/100)^DCF_Base!$L$4+Assumptions!$B$5-Assumptions!$B$4)/Assumptions!$B$3*Assumptions!$B$10</f>
        <v>24.3668262682859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2026-10-18T08:29:17Z</dcterms:created>
  <dc:creator>openpyxl</dc:creator>
  <dc:description/>
  <dc:language>en-NZ</dc:language>
  <cp:lastModifiedBy/>
  <dcterms:modified xsi:type="dcterms:W3CDTF">2026-10-18T08:29:17Z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