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<sst xmlns="http://schemas.openxmlformats.org/spreadsheetml/2006/main" count="359" uniqueCount="165">
  <si>
    <t xml:space="preserve">Ticker</t>
  </si>
  <si>
    <t xml:space="preserve">WEIR.L</t>
  </si>
  <si>
    <t xml:space="preserve">Company</t>
  </si>
  <si>
    <t xml:space="preserve">The Weir Group PLC</t>
  </si>
  <si>
    <t xml:space="preserve">Valuation date</t>
  </si>
  <si>
    <t xml:space="preserve">2026-10-10</t>
  </si>
  <si>
    <t xml:space="preserve">Current price</t>
  </si>
  <si>
    <t xml:space="preserve">Price as of</t>
  </si>
  <si>
    <t xml:space="preserve">2026-10-09T15:49:17Z regular close (LSE closing auction print)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</si>
  <si>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</si>
  <si>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</si>
  <si>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</si>
  <si>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</si>
  <si>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</si>
  <si>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GBP</t>
  </si>
  <si>
    <t xml:space="preserve">Currency (quote)</t>
  </si>
  <si>
    <t xml:space="preserve">GBp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</si>
  <si>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</si>
  <si>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</si>
  <si>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</si>
  <si>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</si>
  <si>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</si>
  <si>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2026-10-10T05:52:48Z</t>
  </si>
  <si>
    <t xml:space="preserve">Drivers file</t>
  </si>
  <si>
    <t xml:space="preserve">WEIR.L_Drivers.json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</si>
  <si>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</si>
  <si>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</si>
  <si>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</si>
  <si>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Weir is a high-quality, aftermarket-dominated mining-equipment franchise with real switching costs, but it is priced for the supercycle: the current price is ~27x trailing owner FCF and ~16x adjusted EBITDA, at a cycle high and with leverage elevated by the Micromine deal. The house model gives full credit for guided FY2026 delivery and a 24.5% mature owner EBITDA margin but refuses to capitalise a terminal multiple above what Gordon at a 9% GBP WACC allows. On that basis the weighted intrinsic value sits below the price; the gap is the price of the re-rating already embedded in the share. SBC is &lt;0.5% of revenue so the house/street band is a few pence wide.
key_risks_to_valuation: Mining capex / commodity cycle: copper, gold and iron ore drive both OE orders and, with a lag, aftermarket intensity; the bear case alone is worth roughly a third of the base value; Leverage: net debt/EBITDA 2.2x at June 2026 and ~GBP 90m/yr of net interest; a downturn before deleveraging completes squeezes equity; Integration of Micromine, Townley, Fast2Mine and ESEL under a new CEO; H1 FY2026 margin (-100bps) and cash conversion (41%) already show strain; Replicator / low-cost competition on aftermarket parts, the core of the margin structure; FX translation: a largely USD/AUD/CLP business reporting in GBP (GBP 22m PBT headwind in FY2025); the GBP WACC and terminal growth assume no persistent sterling strength; Terminal value is roughly 55-60% of EV in the base case; each 0.5pp of WACC is worth ~8-10% of value</t>
  </si>
  <si>
    <t xml:space="preserve">Data sources</t>
  </si>
  <si>
    <t xml:space="preserve">price: Yahoo Finance chart API at inputs.price_as_of (regularMarketPrice, GBp); 52-week range 2254-3580p
financials: research/WEIR.L/Reports/WEIR.L_Metrics.csv (core_metrics, FY2016-FY2025 annual plus H1 FY2019-H1 FY2026 interims, GBP millions); FY2025 annual report (adjusted EBITDA 608.2, cash tax 132.0, capex 65.2, SBC 11.7); H1 FY2026 interim report notes 7 and 15 (diluted shares 259.5m, net debt 1,448.6 incl. 154.4 leases at 30 June 2026); dcf-context component pointers
qualitative: research/WEIR.L/Reports/WEIR.L_Analysis.json (2026-10-10): FY2026 guidance, Performance Excellence programme, acquisition detail, bull/bear axes</t>
  </si>
  <si>
    <t xml:space="preserve">Scenario narrative: bear</t>
  </si>
  <si>
    <t xml:space="preserve">The cycle turns in FY2027: a global slowdown or a copper price reversal cuts OE orders hard (revenue -6% then -2%, in line with Minerals' 2015-16 experience; the 80% aftermarket cushions but does not immunise -- miners defer rebuilds and switch to replicator parts when cash is tight), owner EBITDA margin troughs at 19.5% on under-absorbed foundries and an integration hangover from four simultaneous acquisitions. Deleveraging stalls with net debt/EBITDA above 2x into the downturn and the ~GBP 90m interest bill bites. Recovery from FY2029 at 3-4% but margin only rebuilds to 22% as the new CEO consolidates rather than expands. Terminal growth 2% and a 14x cyclical cap.</t>
  </si>
  <si>
    <t xml:space="preserve">Scenario narrative: base</t>
  </si>
  <si>
    <t xml:space="preserve">Mining capex stays supportive on structural copper/critical-minerals demand and brownfield debottlenecking, and the ~80% aftermarket base compounds with the installed fleet. FY2026 lands on guidance (mid-single-digit organic growth, ~50bps adjusted margin expansion, 90-100% cash conversion after the weak 41% H1) and net debt/EBITDA returns toward 1.5x by year end. Growth decelerates from 7% to the low end of the mid-to-high single digit through-cycle target, since we are valuing near a commodity-price high. Owner EBITDA margin matures at 24.5% (adjusted op margin ~21%) as Performance Excellence savings land and Micromine/Fast2Mine software mix grows, but no credit is given for the &gt;22% that the bull case needs. New CEO Andrew Neilson executes the existing strategy without a reset.</t>
  </si>
  <si>
    <t xml:space="preserve">Scenario narrative: bull</t>
  </si>
  <si>
    <t xml:space="preserve">The critical-minerals supercycle thesis plays out: copper supply deficits drive a sustained OE project wave into FY2029, aftermarket intensity rises with declining ore grades, and Weir's share gains (Vertical Stirred Mills, WARMAN MCR2, Nexsys GET; &gt;90% mill-circuit trial win rate) hold pricing against Chinese replicators. Micromine ARR compounds &gt;25% and the equipment-agnostic software layer lifts group margin to 26% owner EBITDA (adjusted op margin ~23%) while the Townley/ESEL foundries take out cost. Faster deleveraging funds further bolt-ons. Terminal growth 3% and an 18x cap reflect a higher-quality, more software-weighted mix.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</si>
  <si>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</si>
  <si>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</si>
  <si>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</si>
  <si>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</si>
  <si>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</si>
  <si>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</si>
  <si>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</si>
  <si>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</si>
  <si>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</si>
  <si>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</si>
  <si>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</si>
  <si>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</si>
  <si>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</si>
  <si>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</si>
  <si>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</si>
  <si>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</si>
  <si>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</si>
  <si>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</si>
  <si>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</si>
  <si>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</si>
  <si>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</si>
  <si>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</si>
  <si>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</si>
  <si>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</si>
  <si>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</si>
  <si>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</si>
  <si>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</si>
  <si>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</si>
  <si>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</si>
  <si>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</si>
  <si>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</si>
  <si>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</si>
  <si>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</si>
  <si>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</si>
  <si>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</si>
  <si>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</si>
  <si>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</si>
  <si>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</si>
  <si>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</si>
  <si>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</si>
  <si>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</si>
  <si>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</si>
  <si>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</si>
  <si>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</si>
  <si>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</si>
  <si>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</si>
  <si>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</si>
  <si>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GBP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</si>
  <si>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</si>
  <si>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</si>
  <si>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</si>
  <si>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</si>
  <si>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</si>
  <si>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</si>
  <si>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</si>
  <si>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</si>
  <si>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</si>
  <si>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</si>
  <si>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</si>
  <si>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</si>
  <si>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</si>
  <si>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</si>
  <si>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</si>
  <si>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</si>
  <si>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</si>
  <si>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</si>
  <si>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</si>
  <si>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</si>
  <si>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</si>
  <si>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</si>
  <si>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</si>
  <si>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</si>
  <si>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</si>
  <si>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</si>
  <si>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WEIR.L owner-FCF component DCF: bear case (millions, GBP)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</si>
  <si>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</si>
  <si>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</si>
  <si>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</si>
  <si>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</si>
  <si>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</si>
  <si>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</si>
  <si>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</si>
  <si>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</si>
  <si>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</si>
  <si>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</si>
  <si>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</si>
  <si>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</si>
  <si>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</si>
  <si>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</si>
  <si>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</si>
  <si>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</si>
  <si>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</si>
  <si>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</si>
  <si>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</si>
  <si>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</si>
  <si>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</si>
  <si>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</si>
  <si>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</si>
  <si>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</si>
  <si>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</si>
  <si>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</si>
  <si>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</si>
  <si>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</si>
  <si>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</si>
  <si>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</si>
  <si>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WEIR.L owner-FCF component DCF: base case (millions, GBP)</t>
  </si>
  <si>
    <t xml:space="preserve">WEIR.L owner-FCF component DCF: bull case (millions, GBP)</t>
  </si>
  <si>
    <t xml:space="preserve">WEIR.L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</si>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</sst>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2642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</row>
    <row r="2" customFormat="false" ht="15" hidden="false" customHeight="false" outlineLevel="0" collapsed="false">
      <c r="A2" s="0" t="s">
        <v>64</v>
      </c>
      <c r="B2" s="0" t="n">
        <v>1844.9</v>
      </c>
      <c r="C2" s="0" t="n">
        <v>1241.7</v>
      </c>
      <c r="D2" s="0" t="n">
        <v>603.2</v>
      </c>
      <c r="E2" s="0" t="n">
        <v>32.6955</v>
      </c>
      <c r="F2" s="0" t="n">
        <v>90.3</v>
      </c>
      <c r="G2" s="0" t="n">
        <v>4.8946</v>
      </c>
      <c r="H2" s="0" t="n">
        <v>269.9</v>
      </c>
      <c r="I2" s="0" t="n">
        <v>38.3</v>
      </c>
      <c r="J2" s="0" t="n">
        <v>2.076</v>
      </c>
      <c r="K2" s="0" t="n">
        <v>0.177</v>
      </c>
      <c r="L2" s="0" t="n">
        <v>216</v>
      </c>
      <c r="M2" s="0" t="n">
        <v>65.9</v>
      </c>
      <c r="N2" s="0" t="n">
        <v>150.1</v>
      </c>
      <c r="O2" s="0" t="n">
        <v>1375.1</v>
      </c>
      <c r="P2" s="0" t="n">
        <v>3523.7</v>
      </c>
      <c r="Q2" s="0" t="n">
        <v>2140.1</v>
      </c>
      <c r="R2" s="0" t="n">
        <v>1093.1</v>
      </c>
      <c r="S2" s="0" t="n">
        <v>258.6</v>
      </c>
      <c r="U2" s="0" t="n">
        <v>4.1</v>
      </c>
      <c r="AA2" s="0" t="s">
        <v>18</v>
      </c>
      <c r="AB2" s="0" t="s">
        <v>14</v>
      </c>
    </row>
    <row r="3" customFormat="false" ht="15" hidden="false" customHeight="false" outlineLevel="0" collapsed="false">
      <c r="A3" s="0" t="s">
        <v>65</v>
      </c>
      <c r="B3" s="0" t="n">
        <v>2355.9</v>
      </c>
      <c r="C3" s="0" t="n">
        <v>1619.2</v>
      </c>
      <c r="D3" s="0" t="n">
        <v>736.7</v>
      </c>
      <c r="E3" s="0" t="n">
        <v>31.2704</v>
      </c>
      <c r="F3" s="0" t="n">
        <v>223.1</v>
      </c>
      <c r="G3" s="0" t="n">
        <v>9.4698</v>
      </c>
      <c r="H3" s="0" t="n">
        <v>350</v>
      </c>
      <c r="I3" s="0" t="n">
        <v>161.7</v>
      </c>
      <c r="J3" s="0" t="n">
        <v>6.8636</v>
      </c>
      <c r="K3" s="0" t="n">
        <v>0.731</v>
      </c>
      <c r="L3" s="0" t="n">
        <v>128.4</v>
      </c>
      <c r="M3" s="0" t="n">
        <v>85.4</v>
      </c>
      <c r="N3" s="0" t="n">
        <v>43</v>
      </c>
      <c r="O3" s="0" t="n">
        <v>1469.8</v>
      </c>
      <c r="P3" s="0" t="n">
        <v>3593.5</v>
      </c>
      <c r="Q3" s="0" t="n">
        <v>2122.4</v>
      </c>
      <c r="R3" s="0" t="n">
        <v>1127.8</v>
      </c>
      <c r="S3" s="0" t="n">
        <v>284.6</v>
      </c>
      <c r="T3" s="0" t="n">
        <v>221.3</v>
      </c>
      <c r="U3" s="0" t="n">
        <v>7</v>
      </c>
      <c r="AA3" s="0" t="s">
        <v>18</v>
      </c>
      <c r="AB3" s="0" t="s">
        <v>14</v>
      </c>
    </row>
    <row r="4" customFormat="false" ht="15" hidden="false" customHeight="false" outlineLevel="0" collapsed="false">
      <c r="A4" s="0" t="s">
        <v>66</v>
      </c>
      <c r="B4" s="0" t="n">
        <v>2449.9</v>
      </c>
      <c r="C4" s="0" t="n">
        <v>1633</v>
      </c>
      <c r="D4" s="0" t="n">
        <v>816.9</v>
      </c>
      <c r="E4" s="0" t="n">
        <v>33.3442</v>
      </c>
      <c r="F4" s="0" t="n">
        <v>124.1</v>
      </c>
      <c r="G4" s="0" t="n">
        <v>5.0655</v>
      </c>
      <c r="H4" s="0" t="n">
        <v>409.9</v>
      </c>
      <c r="I4" s="0" t="n">
        <v>18</v>
      </c>
      <c r="J4" s="0" t="n">
        <v>0.7347</v>
      </c>
      <c r="K4" s="0" t="n">
        <v>0.073</v>
      </c>
      <c r="L4" s="0" t="n">
        <v>217.9</v>
      </c>
      <c r="M4" s="0" t="n">
        <v>89.1</v>
      </c>
      <c r="N4" s="0" t="n">
        <v>128.8</v>
      </c>
      <c r="O4" s="0" t="n">
        <v>2143.6</v>
      </c>
      <c r="P4" s="0" t="n">
        <v>4744.8</v>
      </c>
      <c r="Q4" s="0" t="n">
        <v>2595.9</v>
      </c>
      <c r="R4" s="0" t="n">
        <v>1403.4</v>
      </c>
      <c r="S4" s="0" t="n">
        <v>263</v>
      </c>
      <c r="T4" s="0" t="n">
        <v>245.8</v>
      </c>
      <c r="U4" s="0" t="n">
        <v>8.6</v>
      </c>
      <c r="AA4" s="0" t="s">
        <v>18</v>
      </c>
      <c r="AB4" s="0" t="s">
        <v>14</v>
      </c>
    </row>
    <row r="5" customFormat="false" ht="15" hidden="false" customHeight="false" outlineLevel="0" collapsed="false">
      <c r="A5" s="0" t="s">
        <v>67</v>
      </c>
      <c r="B5" s="0" t="n">
        <v>2661.9</v>
      </c>
      <c r="C5" s="0" t="n">
        <v>1787.7</v>
      </c>
      <c r="D5" s="0" t="n">
        <v>874.2</v>
      </c>
      <c r="E5" s="0" t="n">
        <v>32.8412</v>
      </c>
      <c r="F5" s="0" t="n">
        <v>-322.2</v>
      </c>
      <c r="G5" s="0" t="n">
        <v>-12.1041</v>
      </c>
      <c r="H5" s="0" t="n">
        <v>414.5</v>
      </c>
      <c r="I5" s="0" t="n">
        <v>-379.9</v>
      </c>
      <c r="J5" s="0" t="n">
        <v>-14.2718</v>
      </c>
      <c r="K5" s="0" t="n">
        <v>-1.464</v>
      </c>
      <c r="L5" s="0" t="n">
        <v>263.5</v>
      </c>
      <c r="M5" s="0" t="n">
        <v>116.6</v>
      </c>
      <c r="N5" s="0" t="n">
        <v>146.9</v>
      </c>
      <c r="O5" s="0" t="n">
        <v>1512</v>
      </c>
      <c r="P5" s="0" t="n">
        <v>3852.2</v>
      </c>
      <c r="Q5" s="0" t="n">
        <v>2338.8</v>
      </c>
      <c r="R5" s="0" t="n">
        <v>1430.3</v>
      </c>
      <c r="S5" s="0" t="n">
        <v>273.8</v>
      </c>
      <c r="T5" s="0" t="n">
        <v>259.5</v>
      </c>
      <c r="U5" s="0" t="n">
        <v>12.9</v>
      </c>
      <c r="AA5" s="0" t="s">
        <v>18</v>
      </c>
      <c r="AB5" s="0" t="s">
        <v>14</v>
      </c>
    </row>
    <row r="6" customFormat="false" ht="15" hidden="false" customHeight="false" outlineLevel="0" collapsed="false">
      <c r="A6" s="0" t="s">
        <v>68</v>
      </c>
      <c r="B6" s="0" t="n">
        <v>1964.7</v>
      </c>
      <c r="C6" s="0" t="n">
        <v>1263.6</v>
      </c>
      <c r="D6" s="0" t="n">
        <v>701.1</v>
      </c>
      <c r="E6" s="0" t="n">
        <v>35.6848</v>
      </c>
      <c r="F6" s="0" t="n">
        <v>234.3</v>
      </c>
      <c r="G6" s="0" t="n">
        <v>11.9255</v>
      </c>
      <c r="I6" s="0" t="n">
        <v>-149.6</v>
      </c>
      <c r="J6" s="0" t="n">
        <v>-7.6144</v>
      </c>
      <c r="K6" s="0" t="n">
        <v>-0.576</v>
      </c>
      <c r="L6" s="0" t="n">
        <v>273.4</v>
      </c>
      <c r="M6" s="0" t="n">
        <v>78.9</v>
      </c>
      <c r="N6" s="0" t="n">
        <v>194.5</v>
      </c>
      <c r="O6" s="0" t="n">
        <v>1306.4</v>
      </c>
      <c r="P6" s="0" t="n">
        <v>3555.3</v>
      </c>
      <c r="Q6" s="0" t="n">
        <v>2237.6</v>
      </c>
      <c r="R6" s="0" t="n">
        <v>1359.1</v>
      </c>
      <c r="S6" s="0" t="n">
        <v>351.7</v>
      </c>
      <c r="T6" s="0" t="n">
        <v>261.7</v>
      </c>
      <c r="U6" s="0" t="n">
        <v>9.3</v>
      </c>
      <c r="AA6" s="0" t="s">
        <v>18</v>
      </c>
      <c r="AB6" s="0" t="s">
        <v>14</v>
      </c>
    </row>
    <row r="7" customFormat="false" ht="15" hidden="false" customHeight="false" outlineLevel="0" collapsed="false">
      <c r="A7" s="0" t="s">
        <v>69</v>
      </c>
      <c r="B7" s="0" t="n">
        <v>1933.6</v>
      </c>
      <c r="C7" s="0" t="n">
        <v>1237.2</v>
      </c>
      <c r="D7" s="0" t="n">
        <v>696.4</v>
      </c>
      <c r="E7" s="0" t="n">
        <v>36.0157</v>
      </c>
      <c r="F7" s="0" t="n">
        <v>256.6</v>
      </c>
      <c r="G7" s="0" t="n">
        <v>13.2706</v>
      </c>
      <c r="H7" s="0" t="n">
        <v>372.1</v>
      </c>
      <c r="I7" s="0" t="n">
        <v>258.5</v>
      </c>
      <c r="J7" s="0" t="n">
        <v>13.3688</v>
      </c>
      <c r="K7" s="0" t="n">
        <v>0.99</v>
      </c>
      <c r="L7" s="0" t="n">
        <v>156.1</v>
      </c>
      <c r="M7" s="0" t="n">
        <v>52.8</v>
      </c>
      <c r="N7" s="0" t="n">
        <v>103.3</v>
      </c>
      <c r="O7" s="0" t="n">
        <v>1443.5</v>
      </c>
      <c r="P7" s="0" t="n">
        <v>3495.7</v>
      </c>
      <c r="Q7" s="0" t="n">
        <v>2041.2</v>
      </c>
      <c r="R7" s="0" t="n">
        <v>1336.2</v>
      </c>
      <c r="S7" s="0" t="n">
        <v>564.4</v>
      </c>
      <c r="T7" s="0" t="n">
        <v>261</v>
      </c>
      <c r="U7" s="0" t="n">
        <v>10.9</v>
      </c>
      <c r="AA7" s="0" t="s">
        <v>18</v>
      </c>
      <c r="AB7" s="0" t="s">
        <v>14</v>
      </c>
    </row>
    <row r="8" customFormat="false" ht="15" hidden="false" customHeight="false" outlineLevel="0" collapsed="false">
      <c r="A8" s="0" t="s">
        <v>70</v>
      </c>
      <c r="B8" s="0" t="n">
        <v>2472.1</v>
      </c>
      <c r="C8" s="0" t="n">
        <v>1573.4</v>
      </c>
      <c r="D8" s="0" t="n">
        <v>898.7</v>
      </c>
      <c r="E8" s="0" t="n">
        <v>36.3537</v>
      </c>
      <c r="F8" s="0" t="n">
        <v>307.5</v>
      </c>
      <c r="G8" s="0" t="n">
        <v>12.4388</v>
      </c>
      <c r="H8" s="0" t="n">
        <v>478.9</v>
      </c>
      <c r="I8" s="0" t="n">
        <v>213.4</v>
      </c>
      <c r="J8" s="0" t="n">
        <v>8.6323</v>
      </c>
      <c r="K8" s="0" t="n">
        <v>0.82</v>
      </c>
      <c r="L8" s="0" t="n">
        <v>320.8</v>
      </c>
      <c r="M8" s="0" t="n">
        <v>62.7</v>
      </c>
      <c r="N8" s="0" t="n">
        <v>258.1</v>
      </c>
      <c r="O8" s="0" t="n">
        <v>1726.5</v>
      </c>
      <c r="P8" s="0" t="n">
        <v>4055.9</v>
      </c>
      <c r="Q8" s="0" t="n">
        <v>2318</v>
      </c>
      <c r="R8" s="0" t="n">
        <v>1488.4</v>
      </c>
      <c r="S8" s="0" t="n">
        <v>691.2</v>
      </c>
      <c r="T8" s="0" t="n">
        <v>260.3</v>
      </c>
      <c r="U8" s="0" t="n">
        <v>8</v>
      </c>
      <c r="AA8" s="0" t="s">
        <v>18</v>
      </c>
      <c r="AB8" s="0" t="s">
        <v>14</v>
      </c>
    </row>
    <row r="9" customFormat="false" ht="15" hidden="false" customHeight="false" outlineLevel="0" collapsed="false">
      <c r="A9" s="0" t="s">
        <v>71</v>
      </c>
      <c r="B9" s="0" t="n">
        <v>2636</v>
      </c>
      <c r="C9" s="0" t="n">
        <v>1641.1</v>
      </c>
      <c r="D9" s="0" t="n">
        <v>994.9</v>
      </c>
      <c r="E9" s="0" t="n">
        <v>37.7428</v>
      </c>
      <c r="F9" s="0" t="n">
        <v>368.4</v>
      </c>
      <c r="G9" s="0" t="n">
        <v>13.9757</v>
      </c>
      <c r="H9" s="0" t="n">
        <v>542.5</v>
      </c>
      <c r="I9" s="0" t="n">
        <v>227.9</v>
      </c>
      <c r="J9" s="0" t="n">
        <v>8.6457</v>
      </c>
      <c r="K9" s="0" t="n">
        <v>0.877</v>
      </c>
      <c r="L9" s="0" t="n">
        <v>394.3</v>
      </c>
      <c r="M9" s="0" t="n">
        <v>86.7</v>
      </c>
      <c r="N9" s="0" t="n">
        <v>307.6</v>
      </c>
      <c r="O9" s="0" t="n">
        <v>1689.8</v>
      </c>
      <c r="P9" s="0" t="n">
        <v>3892.7</v>
      </c>
      <c r="Q9" s="0" t="n">
        <v>2193</v>
      </c>
      <c r="R9" s="0" t="n">
        <v>1397.3</v>
      </c>
      <c r="S9" s="0" t="n">
        <v>707.2</v>
      </c>
      <c r="T9" s="0" t="n">
        <v>259.8</v>
      </c>
      <c r="U9" s="0" t="n">
        <v>7</v>
      </c>
      <c r="AA9" s="0" t="s">
        <v>18</v>
      </c>
      <c r="AB9" s="0" t="s">
        <v>14</v>
      </c>
    </row>
    <row r="10" customFormat="false" ht="15" hidden="false" customHeight="false" outlineLevel="0" collapsed="false">
      <c r="A10" s="0" t="s">
        <v>72</v>
      </c>
      <c r="B10" s="0" t="n">
        <v>2505.6</v>
      </c>
      <c r="C10" s="0" t="n">
        <v>1485.2</v>
      </c>
      <c r="D10" s="0" t="n">
        <v>1020.4</v>
      </c>
      <c r="E10" s="0" t="n">
        <v>40.7248</v>
      </c>
      <c r="F10" s="0" t="n">
        <v>391</v>
      </c>
      <c r="G10" s="0" t="n">
        <v>15.605</v>
      </c>
      <c r="H10" s="0" t="n">
        <v>561.9</v>
      </c>
      <c r="I10" s="0" t="n">
        <v>312.2</v>
      </c>
      <c r="J10" s="0" t="n">
        <v>12.4601</v>
      </c>
      <c r="K10" s="0" t="n">
        <v>1.203</v>
      </c>
      <c r="L10" s="0" t="n">
        <v>449.9</v>
      </c>
      <c r="M10" s="0" t="n">
        <v>72.5</v>
      </c>
      <c r="N10" s="0" t="n">
        <v>377.4</v>
      </c>
      <c r="O10" s="0" t="n">
        <v>1844.4</v>
      </c>
      <c r="P10" s="0" t="n">
        <v>3785</v>
      </c>
      <c r="Q10" s="0" t="n">
        <v>1931.4</v>
      </c>
      <c r="R10" s="0" t="n">
        <v>1091</v>
      </c>
      <c r="S10" s="0" t="n">
        <v>556.4</v>
      </c>
      <c r="T10" s="0" t="n">
        <v>259.5</v>
      </c>
      <c r="U10" s="0" t="n">
        <v>10.4</v>
      </c>
      <c r="AA10" s="0" t="s">
        <v>18</v>
      </c>
      <c r="AB10" s="0" t="s">
        <v>14</v>
      </c>
    </row>
    <row r="11" customFormat="false" ht="15" hidden="false" customHeight="false" outlineLevel="0" collapsed="false">
      <c r="A11" s="0" t="s">
        <v>73</v>
      </c>
      <c r="B11" s="0" t="n">
        <v>2564.5</v>
      </c>
      <c r="C11" s="0" t="n">
        <v>1503.3</v>
      </c>
      <c r="D11" s="0" t="n">
        <v>1061.2</v>
      </c>
      <c r="E11" s="0" t="n">
        <v>41.3804</v>
      </c>
      <c r="F11" s="0" t="n">
        <v>435.9</v>
      </c>
      <c r="G11" s="0" t="n">
        <v>16.9975</v>
      </c>
      <c r="H11" s="0" t="n">
        <v>608.2</v>
      </c>
      <c r="I11" s="0" t="n">
        <v>246.9</v>
      </c>
      <c r="J11" s="0" t="n">
        <v>9.6276</v>
      </c>
      <c r="K11" s="0" t="n">
        <v>0.951</v>
      </c>
      <c r="L11" s="0" t="n">
        <v>385.4</v>
      </c>
      <c r="M11" s="0" t="n">
        <v>65.2</v>
      </c>
      <c r="N11" s="0" t="n">
        <v>320.2</v>
      </c>
      <c r="O11" s="0" t="n">
        <v>1905.3</v>
      </c>
      <c r="P11" s="0" t="n">
        <v>4539.5</v>
      </c>
      <c r="Q11" s="0" t="n">
        <v>2624.4</v>
      </c>
      <c r="R11" s="0" t="n">
        <v>1782.6</v>
      </c>
      <c r="S11" s="0" t="n">
        <v>509</v>
      </c>
      <c r="T11" s="0" t="n">
        <v>259.6</v>
      </c>
      <c r="U11" s="0" t="n">
        <v>11.7</v>
      </c>
      <c r="AA11" s="0" t="s">
        <v>18</v>
      </c>
      <c r="AB1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74</v>
      </c>
      <c r="B1" s="2" t="s">
        <v>75</v>
      </c>
    </row>
    <row r="2" customFormat="false" ht="15" hidden="false" customHeight="false" outlineLevel="0" collapsed="false">
      <c r="A2" s="0" t="s">
        <v>76</v>
      </c>
      <c r="B2" s="3" t="n">
        <v>2642</v>
      </c>
    </row>
    <row r="3" customFormat="false" ht="15" hidden="false" customHeight="false" outlineLevel="0" collapsed="false">
      <c r="A3" s="0" t="s">
        <v>77</v>
      </c>
      <c r="B3" s="3" t="n">
        <v>259.5</v>
      </c>
    </row>
    <row r="4" customFormat="false" ht="15" hidden="false" customHeight="false" outlineLevel="0" collapsed="false">
      <c r="A4" s="0" t="s">
        <v>78</v>
      </c>
      <c r="B4" s="3" t="n">
        <v>1448.6</v>
      </c>
    </row>
    <row r="5" customFormat="false" ht="15" hidden="false" customHeight="false" outlineLevel="0" collapsed="false">
      <c r="A5" s="0" t="s">
        <v>79</v>
      </c>
      <c r="B5" s="3" t="n">
        <v>0</v>
      </c>
    </row>
    <row r="6" customFormat="false" ht="15" hidden="false" customHeight="false" outlineLevel="0" collapsed="false">
      <c r="A6" s="0" t="s">
        <v>80</v>
      </c>
      <c r="B6" s="3" t="n">
        <v>15</v>
      </c>
    </row>
    <row r="7" customFormat="false" ht="15" hidden="false" customHeight="false" outlineLevel="0" collapsed="false">
      <c r="A7" s="0" t="s">
        <v>81</v>
      </c>
      <c r="B7" s="3" t="n">
        <v>2564.5</v>
      </c>
    </row>
    <row r="8" customFormat="false" ht="15" hidden="false" customHeight="false" outlineLevel="0" collapsed="false">
      <c r="A8" s="0" t="s">
        <v>82</v>
      </c>
      <c r="B8" s="3" t="s">
        <v>73</v>
      </c>
    </row>
    <row r="9" customFormat="false" ht="15" hidden="false" customHeight="false" outlineLevel="0" collapsed="false">
      <c r="A9" s="0" t="s">
        <v>83</v>
      </c>
      <c r="B9" s="3" t="s">
        <v>84</v>
      </c>
    </row>
    <row r="10" customFormat="false" ht="15" hidden="false" customHeight="false" outlineLevel="0" collapsed="false">
      <c r="A10" s="0" t="s">
        <v>85</v>
      </c>
      <c r="B10" s="3" t="n">
        <v>100</v>
      </c>
    </row>
    <row r="12" customFormat="false" ht="15" hidden="false" customHeight="false" outlineLevel="0" collapsed="false">
      <c r="A12" s="2" t="s">
        <v>86</v>
      </c>
      <c r="C12" s="2" t="s">
        <v>87</v>
      </c>
      <c r="D12" s="2" t="s">
        <v>88</v>
      </c>
      <c r="E12" s="2" t="s">
        <v>89</v>
      </c>
      <c r="F12" s="2" t="s">
        <v>90</v>
      </c>
      <c r="G12" s="2" t="s">
        <v>91</v>
      </c>
      <c r="H12" s="2" t="s">
        <v>92</v>
      </c>
      <c r="I12" s="2" t="s">
        <v>93</v>
      </c>
      <c r="J12" s="2" t="s">
        <v>94</v>
      </c>
      <c r="K12" s="2" t="s">
        <v>95</v>
      </c>
      <c r="L12" s="2" t="s">
        <v>96</v>
      </c>
    </row>
    <row r="13" customFormat="false" ht="15" hidden="false" customHeight="false" outlineLevel="0" collapsed="false">
      <c r="A13" s="0" t="s">
        <v>97</v>
      </c>
      <c r="C13" s="3" t="n">
        <v>5</v>
      </c>
      <c r="D13" s="3" t="n">
        <v>-6</v>
      </c>
      <c r="E13" s="3" t="n">
        <v>-2</v>
      </c>
      <c r="F13" s="3" t="n">
        <v>3</v>
      </c>
      <c r="G13" s="3" t="n">
        <v>4</v>
      </c>
      <c r="H13" s="3" t="n">
        <v>4</v>
      </c>
      <c r="I13" s="3" t="n">
        <v>3.5</v>
      </c>
      <c r="J13" s="3" t="n">
        <v>3</v>
      </c>
      <c r="K13" s="3" t="n">
        <v>2.5</v>
      </c>
      <c r="L13" s="3" t="n">
        <v>2</v>
      </c>
    </row>
    <row r="14" customFormat="false" ht="15" hidden="false" customHeight="false" outlineLevel="0" collapsed="false">
      <c r="A14" s="0" t="s">
        <v>98</v>
      </c>
      <c r="C14" s="3" t="n">
        <v>22.5</v>
      </c>
      <c r="D14" s="3" t="n">
        <v>20</v>
      </c>
      <c r="E14" s="3" t="n">
        <v>19.5</v>
      </c>
      <c r="F14" s="3" t="n">
        <v>20.5</v>
      </c>
      <c r="G14" s="3" t="n">
        <v>21</v>
      </c>
      <c r="H14" s="3" t="n">
        <v>21.5</v>
      </c>
      <c r="I14" s="3" t="n">
        <v>22</v>
      </c>
      <c r="J14" s="3" t="n">
        <v>22</v>
      </c>
      <c r="K14" s="3" t="n">
        <v>22</v>
      </c>
      <c r="L14" s="3" t="n">
        <v>22</v>
      </c>
    </row>
    <row r="15" customFormat="false" ht="15" hidden="false" customHeight="false" outlineLevel="0" collapsed="false">
      <c r="A15" s="0" t="s">
        <v>99</v>
      </c>
      <c r="C15" s="3" t="n">
        <v>0.46</v>
      </c>
      <c r="D15" s="3" t="n">
        <v>0.5</v>
      </c>
      <c r="E15" s="3" t="n">
        <v>0.5</v>
      </c>
      <c r="F15" s="3" t="n">
        <v>0.48</v>
      </c>
      <c r="G15" s="3" t="n">
        <v>0.46</v>
      </c>
      <c r="H15" s="3" t="n">
        <v>0.44</v>
      </c>
      <c r="I15" s="3" t="n">
        <v>0.42</v>
      </c>
      <c r="J15" s="3" t="n">
        <v>0.4</v>
      </c>
      <c r="K15" s="3" t="n">
        <v>0.4</v>
      </c>
      <c r="L15" s="3" t="n">
        <v>0.4</v>
      </c>
    </row>
    <row r="16" customFormat="false" ht="15" hidden="false" customHeight="false" outlineLevel="0" collapsed="false">
      <c r="A16" s="0" t="s">
        <v>100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101</v>
      </c>
      <c r="C17" s="3" t="n">
        <v>3.5</v>
      </c>
      <c r="D17" s="3" t="n">
        <v>3.7</v>
      </c>
      <c r="E17" s="3" t="n">
        <v>3.8</v>
      </c>
      <c r="F17" s="3" t="n">
        <v>3.7</v>
      </c>
      <c r="G17" s="3" t="n">
        <v>3.6</v>
      </c>
      <c r="H17" s="3" t="n">
        <v>3.5</v>
      </c>
      <c r="I17" s="3" t="n">
        <v>3.5</v>
      </c>
      <c r="J17" s="3" t="n">
        <v>3.5</v>
      </c>
      <c r="K17" s="3" t="n">
        <v>3.5</v>
      </c>
      <c r="L17" s="3" t="n">
        <v>3.5</v>
      </c>
    </row>
    <row r="18" customFormat="false" ht="15" hidden="false" customHeight="false" outlineLevel="0" collapsed="false">
      <c r="A18" s="0" t="s">
        <v>102</v>
      </c>
      <c r="C18" s="3" t="n">
        <v>3.7</v>
      </c>
      <c r="D18" s="3" t="n">
        <v>3.4</v>
      </c>
      <c r="E18" s="3" t="n">
        <v>3.3</v>
      </c>
      <c r="F18" s="3" t="n">
        <v>3.5</v>
      </c>
      <c r="G18" s="3" t="n">
        <v>3.7</v>
      </c>
      <c r="H18" s="3" t="n">
        <v>3.7</v>
      </c>
      <c r="I18" s="3" t="n">
        <v>3.7</v>
      </c>
      <c r="J18" s="3" t="n">
        <v>3.7</v>
      </c>
      <c r="K18" s="3" t="n">
        <v>3.7</v>
      </c>
      <c r="L18" s="3" t="n">
        <v>3.7</v>
      </c>
    </row>
    <row r="19" customFormat="false" ht="15" hidden="false" customHeight="false" outlineLevel="0" collapsed="false">
      <c r="A19" s="0" t="s">
        <v>103</v>
      </c>
      <c r="C19" s="3" t="n">
        <v>26</v>
      </c>
      <c r="D19" s="3" t="n">
        <v>26</v>
      </c>
      <c r="E19" s="3" t="n">
        <v>26</v>
      </c>
      <c r="F19" s="3" t="n">
        <v>26</v>
      </c>
      <c r="G19" s="3" t="n">
        <v>26</v>
      </c>
      <c r="H19" s="3" t="n">
        <v>26</v>
      </c>
      <c r="I19" s="3" t="n">
        <v>26</v>
      </c>
      <c r="J19" s="3" t="n">
        <v>26</v>
      </c>
      <c r="K19" s="3" t="n">
        <v>26</v>
      </c>
      <c r="L19" s="3" t="n">
        <v>26</v>
      </c>
    </row>
    <row r="20" customFormat="false" ht="15" hidden="false" customHeight="false" outlineLevel="0" collapsed="false">
      <c r="A20" s="0" t="s">
        <v>104</v>
      </c>
      <c r="B20" s="3" t="n">
        <v>9</v>
      </c>
    </row>
    <row r="21" customFormat="false" ht="15" hidden="false" customHeight="false" outlineLevel="0" collapsed="false">
      <c r="A21" s="0" t="s">
        <v>105</v>
      </c>
      <c r="B21" s="3" t="n">
        <v>2</v>
      </c>
    </row>
    <row r="22" customFormat="false" ht="15" hidden="false" customHeight="false" outlineLevel="0" collapsed="false">
      <c r="A22" s="0" t="s">
        <v>106</v>
      </c>
      <c r="B22" s="3" t="n">
        <v>14</v>
      </c>
    </row>
    <row r="23" customFormat="false" ht="15" hidden="false" customHeight="false" outlineLevel="0" collapsed="false">
      <c r="A23" s="0" t="s">
        <v>107</v>
      </c>
      <c r="B23" s="3" t="n">
        <v>-20</v>
      </c>
    </row>
    <row r="24" customFormat="false" ht="15" hidden="false" customHeight="false" outlineLevel="0" collapsed="false">
      <c r="A24" s="0" t="s">
        <v>108</v>
      </c>
      <c r="B24" s="3" t="n">
        <v>0.25</v>
      </c>
    </row>
    <row r="26" customFormat="false" ht="15" hidden="false" customHeight="false" outlineLevel="0" collapsed="false">
      <c r="A26" s="2" t="s">
        <v>109</v>
      </c>
      <c r="C26" s="2" t="s">
        <v>87</v>
      </c>
      <c r="D26" s="2" t="s">
        <v>88</v>
      </c>
      <c r="E26" s="2" t="s">
        <v>89</v>
      </c>
      <c r="F26" s="2" t="s">
        <v>90</v>
      </c>
      <c r="G26" s="2" t="s">
        <v>91</v>
      </c>
      <c r="H26" s="2" t="s">
        <v>92</v>
      </c>
      <c r="I26" s="2" t="s">
        <v>93</v>
      </c>
      <c r="J26" s="2" t="s">
        <v>94</v>
      </c>
      <c r="K26" s="2" t="s">
        <v>95</v>
      </c>
      <c r="L26" s="2" t="s">
        <v>96</v>
      </c>
    </row>
    <row r="27" customFormat="false" ht="15" hidden="false" customHeight="false" outlineLevel="0" collapsed="false">
      <c r="A27" s="0" t="s">
        <v>97</v>
      </c>
      <c r="C27" s="3" t="n">
        <v>7</v>
      </c>
      <c r="D27" s="3" t="n">
        <v>6</v>
      </c>
      <c r="E27" s="3" t="n">
        <v>5.5</v>
      </c>
      <c r="F27" s="3" t="n">
        <v>5</v>
      </c>
      <c r="G27" s="3" t="n">
        <v>4.5</v>
      </c>
      <c r="H27" s="3" t="n">
        <v>4</v>
      </c>
      <c r="I27" s="3" t="n">
        <v>3.5</v>
      </c>
      <c r="J27" s="3" t="n">
        <v>3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98</v>
      </c>
      <c r="C28" s="3" t="n">
        <v>23.5</v>
      </c>
      <c r="D28" s="3" t="n">
        <v>24</v>
      </c>
      <c r="E28" s="3" t="n">
        <v>24.3</v>
      </c>
      <c r="F28" s="3" t="n">
        <v>24.5</v>
      </c>
      <c r="G28" s="3" t="n">
        <v>24.5</v>
      </c>
      <c r="H28" s="3" t="n">
        <v>24.5</v>
      </c>
      <c r="I28" s="3" t="n">
        <v>24.5</v>
      </c>
      <c r="J28" s="3" t="n">
        <v>24.5</v>
      </c>
      <c r="K28" s="3" t="n">
        <v>24.5</v>
      </c>
      <c r="L28" s="3" t="n">
        <v>24.5</v>
      </c>
    </row>
    <row r="29" customFormat="false" ht="15" hidden="false" customHeight="false" outlineLevel="0" collapsed="false">
      <c r="A29" s="0" t="s">
        <v>99</v>
      </c>
      <c r="C29" s="3" t="n">
        <v>0.46</v>
      </c>
      <c r="D29" s="3" t="n">
        <v>0.45</v>
      </c>
      <c r="E29" s="3" t="n">
        <v>0.45</v>
      </c>
      <c r="F29" s="3" t="n">
        <v>0.44</v>
      </c>
      <c r="G29" s="3" t="n">
        <v>0.43</v>
      </c>
      <c r="H29" s="3" t="n">
        <v>0.42</v>
      </c>
      <c r="I29" s="3" t="n">
        <v>0.41</v>
      </c>
      <c r="J29" s="3" t="n">
        <v>0.4</v>
      </c>
      <c r="K29" s="3" t="n">
        <v>0.4</v>
      </c>
      <c r="L29" s="3" t="n">
        <v>0.4</v>
      </c>
    </row>
    <row r="30" customFormat="false" ht="15" hidden="false" customHeight="false" outlineLevel="0" collapsed="false">
      <c r="A30" s="0" t="s">
        <v>100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101</v>
      </c>
      <c r="C31" s="3" t="n">
        <v>3.5</v>
      </c>
      <c r="D31" s="3" t="n">
        <v>3.5</v>
      </c>
      <c r="E31" s="3" t="n">
        <v>3.5</v>
      </c>
      <c r="F31" s="3" t="n">
        <v>3.5</v>
      </c>
      <c r="G31" s="3" t="n">
        <v>3.5</v>
      </c>
      <c r="H31" s="3" t="n">
        <v>3.5</v>
      </c>
      <c r="I31" s="3" t="n">
        <v>3.5</v>
      </c>
      <c r="J31" s="3" t="n">
        <v>3.5</v>
      </c>
      <c r="K31" s="3" t="n">
        <v>3.5</v>
      </c>
      <c r="L31" s="3" t="n">
        <v>3.5</v>
      </c>
    </row>
    <row r="32" customFormat="false" ht="15" hidden="false" customHeight="false" outlineLevel="0" collapsed="false">
      <c r="A32" s="0" t="s">
        <v>102</v>
      </c>
      <c r="C32" s="3" t="n">
        <v>3.7</v>
      </c>
      <c r="D32" s="3" t="n">
        <v>3.7</v>
      </c>
      <c r="E32" s="3" t="n">
        <v>3.7</v>
      </c>
      <c r="F32" s="3" t="n">
        <v>3.7</v>
      </c>
      <c r="G32" s="3" t="n">
        <v>3.7</v>
      </c>
      <c r="H32" s="3" t="n">
        <v>3.7</v>
      </c>
      <c r="I32" s="3" t="n">
        <v>3.7</v>
      </c>
      <c r="J32" s="3" t="n">
        <v>3.7</v>
      </c>
      <c r="K32" s="3" t="n">
        <v>3.7</v>
      </c>
      <c r="L32" s="3" t="n">
        <v>3.7</v>
      </c>
    </row>
    <row r="33" customFormat="false" ht="15" hidden="false" customHeight="false" outlineLevel="0" collapsed="false">
      <c r="A33" s="0" t="s">
        <v>103</v>
      </c>
      <c r="C33" s="3" t="n">
        <v>26</v>
      </c>
      <c r="D33" s="3" t="n">
        <v>26</v>
      </c>
      <c r="E33" s="3" t="n">
        <v>26</v>
      </c>
      <c r="F33" s="3" t="n">
        <v>26</v>
      </c>
      <c r="G33" s="3" t="n">
        <v>26</v>
      </c>
      <c r="H33" s="3" t="n">
        <v>26</v>
      </c>
      <c r="I33" s="3" t="n">
        <v>26</v>
      </c>
      <c r="J33" s="3" t="n">
        <v>26</v>
      </c>
      <c r="K33" s="3" t="n">
        <v>26</v>
      </c>
      <c r="L33" s="3" t="n">
        <v>26</v>
      </c>
    </row>
    <row r="34" customFormat="false" ht="15" hidden="false" customHeight="false" outlineLevel="0" collapsed="false">
      <c r="A34" s="0" t="s">
        <v>104</v>
      </c>
      <c r="B34" s="3" t="n">
        <v>9</v>
      </c>
    </row>
    <row r="35" customFormat="false" ht="15" hidden="false" customHeight="false" outlineLevel="0" collapsed="false">
      <c r="A35" s="0" t="s">
        <v>105</v>
      </c>
      <c r="B35" s="3" t="n">
        <v>2.5</v>
      </c>
    </row>
    <row r="36" customFormat="false" ht="15" hidden="false" customHeight="false" outlineLevel="0" collapsed="false">
      <c r="A36" s="0" t="s">
        <v>106</v>
      </c>
      <c r="B36" s="3" t="n">
        <v>16</v>
      </c>
    </row>
    <row r="37" customFormat="false" ht="15" hidden="false" customHeight="false" outlineLevel="0" collapsed="false">
      <c r="A37" s="0" t="s">
        <v>107</v>
      </c>
      <c r="B37" s="3" t="n">
        <v>-20</v>
      </c>
    </row>
    <row r="38" customFormat="false" ht="15" hidden="false" customHeight="false" outlineLevel="0" collapsed="false">
      <c r="A38" s="0" t="s">
        <v>108</v>
      </c>
      <c r="B38" s="3" t="n">
        <v>0.5</v>
      </c>
    </row>
    <row r="40" customFormat="false" ht="15" hidden="false" customHeight="false" outlineLevel="0" collapsed="false">
      <c r="A40" s="2" t="s">
        <v>110</v>
      </c>
      <c r="C40" s="2" t="s">
        <v>87</v>
      </c>
      <c r="D40" s="2" t="s">
        <v>88</v>
      </c>
      <c r="E40" s="2" t="s">
        <v>89</v>
      </c>
      <c r="F40" s="2" t="s">
        <v>90</v>
      </c>
      <c r="G40" s="2" t="s">
        <v>91</v>
      </c>
      <c r="H40" s="2" t="s">
        <v>92</v>
      </c>
      <c r="I40" s="2" t="s">
        <v>93</v>
      </c>
      <c r="J40" s="2" t="s">
        <v>94</v>
      </c>
      <c r="K40" s="2" t="s">
        <v>95</v>
      </c>
      <c r="L40" s="2" t="s">
        <v>96</v>
      </c>
    </row>
    <row r="41" customFormat="false" ht="15" hidden="false" customHeight="false" outlineLevel="0" collapsed="false">
      <c r="A41" s="0" t="s">
        <v>97</v>
      </c>
      <c r="C41" s="3" t="n">
        <v>8.5</v>
      </c>
      <c r="D41" s="3" t="n">
        <v>8</v>
      </c>
      <c r="E41" s="3" t="n">
        <v>7.5</v>
      </c>
      <c r="F41" s="3" t="n">
        <v>7</v>
      </c>
      <c r="G41" s="3" t="n">
        <v>6.5</v>
      </c>
      <c r="H41" s="3" t="n">
        <v>6</v>
      </c>
      <c r="I41" s="3" t="n">
        <v>5</v>
      </c>
      <c r="J41" s="3" t="n">
        <v>4</v>
      </c>
      <c r="K41" s="3" t="n">
        <v>3.5</v>
      </c>
      <c r="L41" s="3" t="n">
        <v>3</v>
      </c>
    </row>
    <row r="42" customFormat="false" ht="15" hidden="false" customHeight="false" outlineLevel="0" collapsed="false">
      <c r="A42" s="0" t="s">
        <v>98</v>
      </c>
      <c r="C42" s="3" t="n">
        <v>24</v>
      </c>
      <c r="D42" s="3" t="n">
        <v>24.8</v>
      </c>
      <c r="E42" s="3" t="n">
        <v>25.3</v>
      </c>
      <c r="F42" s="3" t="n">
        <v>25.7</v>
      </c>
      <c r="G42" s="3" t="n">
        <v>26</v>
      </c>
      <c r="H42" s="3" t="n">
        <v>26</v>
      </c>
      <c r="I42" s="3" t="n">
        <v>26</v>
      </c>
      <c r="J42" s="3" t="n">
        <v>26</v>
      </c>
      <c r="K42" s="3" t="n">
        <v>26</v>
      </c>
      <c r="L42" s="3" t="n">
        <v>26</v>
      </c>
    </row>
    <row r="43" customFormat="false" ht="15" hidden="false" customHeight="false" outlineLevel="0" collapsed="false">
      <c r="A43" s="0" t="s">
        <v>99</v>
      </c>
      <c r="C43" s="3" t="n">
        <v>0.46</v>
      </c>
      <c r="D43" s="3" t="n">
        <v>0.45</v>
      </c>
      <c r="E43" s="3" t="n">
        <v>0.45</v>
      </c>
      <c r="F43" s="3" t="n">
        <v>0.44</v>
      </c>
      <c r="G43" s="3" t="n">
        <v>0.43</v>
      </c>
      <c r="H43" s="3" t="n">
        <v>0.42</v>
      </c>
      <c r="I43" s="3" t="n">
        <v>0.41</v>
      </c>
      <c r="J43" s="3" t="n">
        <v>0.4</v>
      </c>
      <c r="K43" s="3" t="n">
        <v>0.4</v>
      </c>
      <c r="L43" s="3" t="n">
        <v>0.4</v>
      </c>
    </row>
    <row r="44" customFormat="false" ht="15" hidden="false" customHeight="false" outlineLevel="0" collapsed="false">
      <c r="A44" s="0" t="s">
        <v>100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101</v>
      </c>
      <c r="C45" s="3" t="n">
        <v>3.5</v>
      </c>
      <c r="D45" s="3" t="n">
        <v>3.5</v>
      </c>
      <c r="E45" s="3" t="n">
        <v>3.5</v>
      </c>
      <c r="F45" s="3" t="n">
        <v>3.5</v>
      </c>
      <c r="G45" s="3" t="n">
        <v>3.5</v>
      </c>
      <c r="H45" s="3" t="n">
        <v>3.5</v>
      </c>
      <c r="I45" s="3" t="n">
        <v>3.5</v>
      </c>
      <c r="J45" s="3" t="n">
        <v>3.5</v>
      </c>
      <c r="K45" s="3" t="n">
        <v>3.5</v>
      </c>
      <c r="L45" s="3" t="n">
        <v>3.5</v>
      </c>
    </row>
    <row r="46" customFormat="false" ht="15" hidden="false" customHeight="false" outlineLevel="0" collapsed="false">
      <c r="A46" s="0" t="s">
        <v>102</v>
      </c>
      <c r="C46" s="3" t="n">
        <v>3.7</v>
      </c>
      <c r="D46" s="3" t="n">
        <v>3.7</v>
      </c>
      <c r="E46" s="3" t="n">
        <v>3.7</v>
      </c>
      <c r="F46" s="3" t="n">
        <v>3.7</v>
      </c>
      <c r="G46" s="3" t="n">
        <v>3.7</v>
      </c>
      <c r="H46" s="3" t="n">
        <v>3.7</v>
      </c>
      <c r="I46" s="3" t="n">
        <v>3.7</v>
      </c>
      <c r="J46" s="3" t="n">
        <v>3.7</v>
      </c>
      <c r="K46" s="3" t="n">
        <v>3.7</v>
      </c>
      <c r="L46" s="3" t="n">
        <v>3.7</v>
      </c>
    </row>
    <row r="47" customFormat="false" ht="15" hidden="false" customHeight="false" outlineLevel="0" collapsed="false">
      <c r="A47" s="0" t="s">
        <v>103</v>
      </c>
      <c r="C47" s="3" t="n">
        <v>26</v>
      </c>
      <c r="D47" s="3" t="n">
        <v>26</v>
      </c>
      <c r="E47" s="3" t="n">
        <v>26</v>
      </c>
      <c r="F47" s="3" t="n">
        <v>26</v>
      </c>
      <c r="G47" s="3" t="n">
        <v>26</v>
      </c>
      <c r="H47" s="3" t="n">
        <v>26</v>
      </c>
      <c r="I47" s="3" t="n">
        <v>26</v>
      </c>
      <c r="J47" s="3" t="n">
        <v>26</v>
      </c>
      <c r="K47" s="3" t="n">
        <v>26</v>
      </c>
      <c r="L47" s="3" t="n">
        <v>26</v>
      </c>
    </row>
    <row r="48" customFormat="false" ht="15" hidden="false" customHeight="false" outlineLevel="0" collapsed="false">
      <c r="A48" s="0" t="s">
        <v>104</v>
      </c>
      <c r="B48" s="3" t="n">
        <v>9</v>
      </c>
    </row>
    <row r="49" customFormat="false" ht="15" hidden="false" customHeight="false" outlineLevel="0" collapsed="false">
      <c r="A49" s="0" t="s">
        <v>105</v>
      </c>
      <c r="B49" s="3" t="n">
        <v>3</v>
      </c>
    </row>
    <row r="50" customFormat="false" ht="15" hidden="false" customHeight="false" outlineLevel="0" collapsed="false">
      <c r="A50" s="0" t="s">
        <v>106</v>
      </c>
      <c r="B50" s="3" t="n">
        <v>18</v>
      </c>
    </row>
    <row r="51" customFormat="false" ht="15" hidden="false" customHeight="false" outlineLevel="0" collapsed="false">
      <c r="A51" s="0" t="s">
        <v>107</v>
      </c>
      <c r="B51" s="3" t="n">
        <v>-18</v>
      </c>
    </row>
    <row r="52" customFormat="false" ht="15" hidden="false" customHeight="false" outlineLevel="0" collapsed="false">
      <c r="A52" s="0" t="s">
        <v>108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111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Assumptions!C13</f>
        <v>5</v>
      </c>
      <c r="D5" s="4" t="n">
        <f aca="false">Assumptions!D13</f>
        <v>-6</v>
      </c>
      <c r="E5" s="4" t="n">
        <f aca="false">Assumptions!E13</f>
        <v>-2</v>
      </c>
      <c r="F5" s="4" t="n">
        <f aca="false">Assumptions!F13</f>
        <v>3</v>
      </c>
      <c r="G5" s="4" t="n">
        <f aca="false">Assumptions!G13</f>
        <v>4</v>
      </c>
      <c r="H5" s="4" t="n">
        <f aca="false">Assumptions!H13</f>
        <v>4</v>
      </c>
      <c r="I5" s="4" t="n">
        <f aca="false">Assumptions!I13</f>
        <v>3.5</v>
      </c>
      <c r="J5" s="4" t="n">
        <f aca="false">Assumptions!J13</f>
        <v>3</v>
      </c>
      <c r="K5" s="4" t="n">
        <f aca="false">Assumptions!K13</f>
        <v>2.5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38</v>
      </c>
      <c r="B6" s="3" t="n">
        <v>2564.5</v>
      </c>
      <c r="C6" s="0" t="n">
        <f aca="false">B6*(1+C5/100)</f>
        <v>2692.725</v>
      </c>
      <c r="D6" s="0" t="n">
        <f aca="false">C6*(1+D5/100)</f>
        <v>2531.1615</v>
      </c>
      <c r="E6" s="0" t="n">
        <f aca="false">D6*(1+E5/100)</f>
        <v>2480.53827</v>
      </c>
      <c r="F6" s="0" t="n">
        <f aca="false">E6*(1+F5/100)</f>
        <v>2554.9544181</v>
      </c>
      <c r="G6" s="0" t="n">
        <f aca="false">F6*(1+G5/100)</f>
        <v>2657.152594824</v>
      </c>
      <c r="H6" s="0" t="n">
        <f aca="false">G6*(1+H5/100)</f>
        <v>2763.43869861696</v>
      </c>
      <c r="I6" s="0" t="n">
        <f aca="false">H6*(1+I5/100)</f>
        <v>2860.15905306855</v>
      </c>
      <c r="J6" s="0" t="n">
        <f aca="false">I6*(1+J5/100)</f>
        <v>2945.96382466061</v>
      </c>
      <c r="K6" s="0" t="n">
        <f aca="false">J6*(1+K5/100)</f>
        <v>3019.61292027712</v>
      </c>
      <c r="L6" s="0" t="n">
        <f aca="false">K6*(1+L5/100)</f>
        <v>3080.00517868267</v>
      </c>
    </row>
    <row r="7" customFormat="false" ht="15" hidden="false" customHeight="false" outlineLevel="0" collapsed="false">
      <c r="A7" s="0" t="s">
        <v>98</v>
      </c>
      <c r="C7" s="4" t="n">
        <f aca="false">Assumptions!C14</f>
        <v>22.5</v>
      </c>
      <c r="D7" s="4" t="n">
        <f aca="false">Assumptions!D14</f>
        <v>20</v>
      </c>
      <c r="E7" s="4" t="n">
        <f aca="false">Assumptions!E14</f>
        <v>19.5</v>
      </c>
      <c r="F7" s="4" t="n">
        <f aca="false">Assumptions!F14</f>
        <v>20.5</v>
      </c>
      <c r="G7" s="4" t="n">
        <f aca="false">Assumptions!G14</f>
        <v>21</v>
      </c>
      <c r="H7" s="4" t="n">
        <f aca="false">Assumptions!H14</f>
        <v>21.5</v>
      </c>
      <c r="I7" s="4" t="n">
        <f aca="false">Assumptions!I14</f>
        <v>22</v>
      </c>
      <c r="J7" s="4" t="n">
        <f aca="false">Assumptions!J14</f>
        <v>22</v>
      </c>
      <c r="K7" s="4" t="n">
        <f aca="false">Assumptions!K14</f>
        <v>22</v>
      </c>
      <c r="L7" s="4" t="n">
        <f aca="false">Assumptions!L14</f>
        <v>22</v>
      </c>
    </row>
    <row r="8" customFormat="false" ht="15" hidden="false" customHeight="false" outlineLevel="0" collapsed="false">
      <c r="A8" s="0" t="s">
        <v>44</v>
      </c>
      <c r="C8" s="0" t="n">
        <f aca="false">C6*C7/100</f>
        <v>605.863125</v>
      </c>
      <c r="D8" s="0" t="n">
        <f aca="false">D6*D7/100</f>
        <v>506.2323</v>
      </c>
      <c r="E8" s="0" t="n">
        <f aca="false">E6*E7/100</f>
        <v>483.70496265</v>
      </c>
      <c r="F8" s="0" t="n">
        <f aca="false">F6*F7/100</f>
        <v>523.7656557105</v>
      </c>
      <c r="G8" s="0" t="n">
        <f aca="false">G6*G7/100</f>
        <v>558.00204491304</v>
      </c>
      <c r="H8" s="0" t="n">
        <f aca="false">H6*H7/100</f>
        <v>594.139320202646</v>
      </c>
      <c r="I8" s="0" t="n">
        <f aca="false">I6*I7/100</f>
        <v>629.234991675082</v>
      </c>
      <c r="J8" s="0" t="n">
        <f aca="false">J6*J7/100</f>
        <v>648.112041425334</v>
      </c>
      <c r="K8" s="0" t="n">
        <f aca="false">K6*K7/100</f>
        <v>664.314842460967</v>
      </c>
      <c r="L8" s="0" t="n">
        <f aca="false">L6*L7/100</f>
        <v>677.601139310187</v>
      </c>
    </row>
    <row r="9" customFormat="false" ht="15" hidden="false" customHeight="false" outlineLevel="0" collapsed="false">
      <c r="A9" s="0" t="s">
        <v>99</v>
      </c>
      <c r="C9" s="4" t="n">
        <f aca="false">Assumptions!C15</f>
        <v>0.46</v>
      </c>
      <c r="D9" s="4" t="n">
        <f aca="false">Assumptions!D15</f>
        <v>0.5</v>
      </c>
      <c r="E9" s="4" t="n">
        <f aca="false">Assumptions!E15</f>
        <v>0.5</v>
      </c>
      <c r="F9" s="4" t="n">
        <f aca="false">Assumptions!F15</f>
        <v>0.48</v>
      </c>
      <c r="G9" s="4" t="n">
        <f aca="false">Assumptions!G15</f>
        <v>0.46</v>
      </c>
      <c r="H9" s="4" t="n">
        <f aca="false">Assumptions!H15</f>
        <v>0.44</v>
      </c>
      <c r="I9" s="4" t="n">
        <f aca="false">Assumptions!I15</f>
        <v>0.42</v>
      </c>
      <c r="J9" s="4" t="n">
        <f aca="false">Assumptions!J15</f>
        <v>0.4</v>
      </c>
      <c r="K9" s="4" t="n">
        <f aca="false">Assumptions!K15</f>
        <v>0.4</v>
      </c>
      <c r="L9" s="4" t="n">
        <f aca="false">Assumptions!L15</f>
        <v>0.4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-12.386535</v>
      </c>
      <c r="D10" s="0" t="n">
        <f aca="false">-D6*D9/100</f>
        <v>-12.6558075</v>
      </c>
      <c r="E10" s="0" t="n">
        <f aca="false">-E6*E9/100</f>
        <v>-12.40269135</v>
      </c>
      <c r="F10" s="0" t="n">
        <f aca="false">-F6*F9/100</f>
        <v>-12.26378120688</v>
      </c>
      <c r="G10" s="0" t="n">
        <f aca="false">-G6*G9/100</f>
        <v>-12.2229019361904</v>
      </c>
      <c r="H10" s="0" t="n">
        <f aca="false">-H6*H9/100</f>
        <v>-12.1591302739146</v>
      </c>
      <c r="I10" s="0" t="n">
        <f aca="false">-I6*I9/100</f>
        <v>-12.0126680228879</v>
      </c>
      <c r="J10" s="0" t="n">
        <f aca="false">-J6*J9/100</f>
        <v>-11.7838552986424</v>
      </c>
      <c r="K10" s="0" t="n">
        <f aca="false">-K6*K9/100</f>
        <v>-12.0784516811085</v>
      </c>
      <c r="L10" s="0" t="n">
        <f aca="false">-L6*L9/100</f>
        <v>-12.3200207147307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593.47659</v>
      </c>
      <c r="D11" s="0" t="n">
        <f aca="false">D8+D10+D24</f>
        <v>493.5764925</v>
      </c>
      <c r="E11" s="0" t="n">
        <f aca="false">E8+E10+E24</f>
        <v>471.3022713</v>
      </c>
      <c r="F11" s="0" t="n">
        <f aca="false">F8+F10+F24</f>
        <v>511.50187450362</v>
      </c>
      <c r="G11" s="0" t="n">
        <f aca="false">G8+G10+G24</f>
        <v>545.77914297685</v>
      </c>
      <c r="H11" s="0" t="n">
        <f aca="false">H8+H10+H24</f>
        <v>581.980189928732</v>
      </c>
      <c r="I11" s="0" t="n">
        <f aca="false">I8+I10+I24</f>
        <v>617.222323652194</v>
      </c>
      <c r="J11" s="0" t="n">
        <f aca="false">J8+J10+J24</f>
        <v>636.328186126692</v>
      </c>
      <c r="K11" s="0" t="n">
        <f aca="false">K8+K10+K24</f>
        <v>652.236390779859</v>
      </c>
      <c r="L11" s="0" t="n">
        <f aca="false">L8+L10+L24</f>
        <v>665.281118595456</v>
      </c>
    </row>
    <row r="12" customFormat="false" ht="15" hidden="false" customHeight="false" outlineLevel="0" collapsed="false">
      <c r="A12" s="0" t="s">
        <v>116</v>
      </c>
      <c r="C12" s="4" t="n">
        <f aca="false">-C6*Assumptions!C17/100</f>
        <v>-94.245375</v>
      </c>
      <c r="D12" s="4" t="n">
        <f aca="false">-D6*Assumptions!D17/100</f>
        <v>-93.6529755</v>
      </c>
      <c r="E12" s="4" t="n">
        <f aca="false">-E6*Assumptions!E17/100</f>
        <v>-94.26045426</v>
      </c>
      <c r="F12" s="4" t="n">
        <f aca="false">-F6*Assumptions!F17/100</f>
        <v>-94.5333134697</v>
      </c>
      <c r="G12" s="4" t="n">
        <f aca="false">-G6*Assumptions!G17/100</f>
        <v>-95.657493413664</v>
      </c>
      <c r="H12" s="4" t="n">
        <f aca="false">-H6*Assumptions!H17/100</f>
        <v>-96.7203544515936</v>
      </c>
      <c r="I12" s="4" t="n">
        <f aca="false">-I6*Assumptions!I17/100</f>
        <v>-100.105566857399</v>
      </c>
      <c r="J12" s="4" t="n">
        <f aca="false">-J6*Assumptions!J17/100</f>
        <v>-103.108733863121</v>
      </c>
      <c r="K12" s="4" t="n">
        <f aca="false">-K6*Assumptions!K17/100</f>
        <v>-105.686452209699</v>
      </c>
      <c r="L12" s="4" t="n">
        <f aca="false">-L6*Assumptions!L17/100</f>
        <v>-107.800181253893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499.231215</v>
      </c>
      <c r="D13" s="0" t="n">
        <f aca="false">D11+D12</f>
        <v>399.923517</v>
      </c>
      <c r="E13" s="0" t="n">
        <f aca="false">E11+E12</f>
        <v>377.04181704</v>
      </c>
      <c r="F13" s="0" t="n">
        <f aca="false">F11+F12</f>
        <v>416.96856103392</v>
      </c>
      <c r="G13" s="0" t="n">
        <f aca="false">G11+G12</f>
        <v>450.121649563186</v>
      </c>
      <c r="H13" s="0" t="n">
        <f aca="false">H11+H12</f>
        <v>485.259835477138</v>
      </c>
      <c r="I13" s="0" t="n">
        <f aca="false">I11+I12</f>
        <v>517.116756794794</v>
      </c>
      <c r="J13" s="0" t="n">
        <f aca="false">J11+J12</f>
        <v>533.21945226357</v>
      </c>
      <c r="K13" s="0" t="n">
        <f aca="false">K11+K12</f>
        <v>546.54993857016</v>
      </c>
      <c r="L13" s="0" t="n">
        <f aca="false">L11+L12</f>
        <v>557.480937341563</v>
      </c>
    </row>
    <row r="14" customFormat="false" ht="15" hidden="false" customHeight="false" outlineLevel="0" collapsed="false">
      <c r="A14" s="0" t="s">
        <v>103</v>
      </c>
      <c r="C14" s="4" t="n">
        <f aca="false">Assumptions!C19</f>
        <v>26</v>
      </c>
      <c r="D14" s="4" t="n">
        <f aca="false">Assumptions!D19</f>
        <v>26</v>
      </c>
      <c r="E14" s="4" t="n">
        <f aca="false">Assumptions!E19</f>
        <v>26</v>
      </c>
      <c r="F14" s="4" t="n">
        <f aca="false">Assumptions!F19</f>
        <v>26</v>
      </c>
      <c r="G14" s="4" t="n">
        <f aca="false">Assumptions!G19</f>
        <v>26</v>
      </c>
      <c r="H14" s="4" t="n">
        <f aca="false">Assumptions!H19</f>
        <v>26</v>
      </c>
      <c r="I14" s="4" t="n">
        <f aca="false">Assumptions!I19</f>
        <v>26</v>
      </c>
      <c r="J14" s="4" t="n">
        <f aca="false">Assumptions!J19</f>
        <v>26</v>
      </c>
      <c r="K14" s="4" t="n">
        <f aca="false">Assumptions!K19</f>
        <v>26</v>
      </c>
      <c r="L14" s="4" t="n">
        <f aca="false">Assumptions!L19</f>
        <v>26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369.4310991</v>
      </c>
      <c r="D15" s="0" t="n">
        <f aca="false">D13-MAX(0,D13)*D14/100</f>
        <v>295.94340258</v>
      </c>
      <c r="E15" s="0" t="n">
        <f aca="false">E13-MAX(0,E13)*E14/100</f>
        <v>279.0109446096</v>
      </c>
      <c r="F15" s="0" t="n">
        <f aca="false">F13-MAX(0,F13)*F14/100</f>
        <v>308.556735165101</v>
      </c>
      <c r="G15" s="0" t="n">
        <f aca="false">G13-MAX(0,G13)*G14/100</f>
        <v>333.090020676757</v>
      </c>
      <c r="H15" s="0" t="n">
        <f aca="false">H13-MAX(0,H13)*H14/100</f>
        <v>359.092278253082</v>
      </c>
      <c r="I15" s="0" t="n">
        <f aca="false">I13-MAX(0,I13)*I14/100</f>
        <v>382.666400028148</v>
      </c>
      <c r="J15" s="0" t="n">
        <f aca="false">J13-MAX(0,J13)*J14/100</f>
        <v>394.582394675042</v>
      </c>
      <c r="K15" s="0" t="n">
        <f aca="false">K13-MAX(0,K13)*K14/100</f>
        <v>404.446954541918</v>
      </c>
      <c r="L15" s="0" t="n">
        <f aca="false">L13-MAX(0,L13)*L14/100</f>
        <v>412.535893632756</v>
      </c>
    </row>
    <row r="16" customFormat="false" ht="15" hidden="false" customHeight="false" outlineLevel="0" collapsed="false">
      <c r="A16" s="0" t="s">
        <v>119</v>
      </c>
      <c r="C16" s="0" t="n">
        <f aca="false">-C12</f>
        <v>94.245375</v>
      </c>
      <c r="D16" s="0" t="n">
        <f aca="false">-D12</f>
        <v>93.6529755</v>
      </c>
      <c r="E16" s="0" t="n">
        <f aca="false">-E12</f>
        <v>94.26045426</v>
      </c>
      <c r="F16" s="0" t="n">
        <f aca="false">-F12</f>
        <v>94.5333134697</v>
      </c>
      <c r="G16" s="0" t="n">
        <f aca="false">-G12</f>
        <v>95.657493413664</v>
      </c>
      <c r="H16" s="0" t="n">
        <f aca="false">-H12</f>
        <v>96.7203544515936</v>
      </c>
      <c r="I16" s="0" t="n">
        <f aca="false">-I12</f>
        <v>100.105566857399</v>
      </c>
      <c r="J16" s="0" t="n">
        <f aca="false">-J12</f>
        <v>103.108733863121</v>
      </c>
      <c r="K16" s="0" t="n">
        <f aca="false">-K12</f>
        <v>105.686452209699</v>
      </c>
      <c r="L16" s="0" t="n">
        <f aca="false">-L12</f>
        <v>107.800181253893</v>
      </c>
    </row>
    <row r="17" customFormat="false" ht="15" hidden="false" customHeight="false" outlineLevel="0" collapsed="false">
      <c r="A17" s="0" t="s">
        <v>120</v>
      </c>
      <c r="C17" s="4" t="n">
        <f aca="false">-C6*Assumptions!C18/100</f>
        <v>-99.630825</v>
      </c>
      <c r="D17" s="4" t="n">
        <f aca="false">-D6*Assumptions!D18/100</f>
        <v>-86.059491</v>
      </c>
      <c r="E17" s="4" t="n">
        <f aca="false">-E6*Assumptions!E18/100</f>
        <v>-81.85776291</v>
      </c>
      <c r="F17" s="4" t="n">
        <f aca="false">-F6*Assumptions!F18/100</f>
        <v>-89.4234046335</v>
      </c>
      <c r="G17" s="4" t="n">
        <f aca="false">-G6*Assumptions!G18/100</f>
        <v>-98.314646008488</v>
      </c>
      <c r="H17" s="4" t="n">
        <f aca="false">-H6*Assumptions!H18/100</f>
        <v>-102.247231848828</v>
      </c>
      <c r="I17" s="4" t="n">
        <f aca="false">-I6*Assumptions!I18/100</f>
        <v>-105.825884963536</v>
      </c>
      <c r="J17" s="4" t="n">
        <f aca="false">-J6*Assumptions!J18/100</f>
        <v>-109.000661512443</v>
      </c>
      <c r="K17" s="4" t="n">
        <f aca="false">-K6*Assumptions!K18/100</f>
        <v>-111.725678050254</v>
      </c>
      <c r="L17" s="4" t="n">
        <f aca="false">-L6*Assumptions!L18/100</f>
        <v>-113.960191611259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(C6-B6)*Assumptions!$B$23/100</f>
        <v>-25.645</v>
      </c>
      <c r="D18" s="4" t="n">
        <f aca="false">(D6-C6)*Assumptions!$B$23/100</f>
        <v>32.3127</v>
      </c>
      <c r="E18" s="4" t="n">
        <f aca="false">(E6-D6)*Assumptions!$B$23/100</f>
        <v>10.124646</v>
      </c>
      <c r="F18" s="4" t="n">
        <f aca="false">(F6-E6)*Assumptions!$B$23/100</f>
        <v>-14.88322962</v>
      </c>
      <c r="G18" s="4" t="n">
        <f aca="false">(G6-F6)*Assumptions!$B$23/100</f>
        <v>-20.4396353448</v>
      </c>
      <c r="H18" s="4" t="n">
        <f aca="false">(H6-G6)*Assumptions!$B$23/100</f>
        <v>-21.257220758592</v>
      </c>
      <c r="I18" s="4" t="n">
        <f aca="false">(I6-H6)*Assumptions!$B$23/100</f>
        <v>-19.3440708903187</v>
      </c>
      <c r="J18" s="4" t="n">
        <f aca="false">(J6-I6)*Assumptions!$B$23/100</f>
        <v>-17.1609543184113</v>
      </c>
      <c r="K18" s="4" t="n">
        <f aca="false">(K6-J6)*Assumptions!$B$23/100</f>
        <v>-14.729819123303</v>
      </c>
      <c r="L18" s="4" t="n">
        <f aca="false">(L6-K6)*Assumptions!$B$23/100</f>
        <v>-12.0784516811085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338.4006491</v>
      </c>
      <c r="D19" s="0" t="n">
        <f aca="false">D15+D16+D17+D18</f>
        <v>335.84958708</v>
      </c>
      <c r="E19" s="0" t="n">
        <f aca="false">E15+E16+E17+E18</f>
        <v>301.5382819596</v>
      </c>
      <c r="F19" s="0" t="n">
        <f aca="false">F15+F16+F17+F18</f>
        <v>298.783414381301</v>
      </c>
      <c r="G19" s="0" t="n">
        <f aca="false">G15+G16+G17+G18</f>
        <v>309.993232737133</v>
      </c>
      <c r="H19" s="0" t="n">
        <f aca="false">H15+H16+H17+H18</f>
        <v>332.308180097256</v>
      </c>
      <c r="I19" s="0" t="n">
        <f aca="false">I15+I16+I17+I18</f>
        <v>357.602011031692</v>
      </c>
      <c r="J19" s="0" t="n">
        <f aca="false">J15+J16+J17+J18</f>
        <v>371.52951270731</v>
      </c>
      <c r="K19" s="0" t="n">
        <f aca="false">K15+K16+K17+K18</f>
        <v>383.677909578061</v>
      </c>
      <c r="L19" s="0" t="n">
        <f aca="false">L15+L16+L17+L18</f>
        <v>394.297431594283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310.459311100917</v>
      </c>
      <c r="D21" s="0" t="n">
        <f aca="false">D19*D20</f>
        <v>282.677878192071</v>
      </c>
      <c r="E21" s="0" t="n">
        <f aca="false">E19*E20</f>
        <v>232.842879935198</v>
      </c>
      <c r="F21" s="0" t="n">
        <f aca="false">F19*F20</f>
        <v>211.665703395853</v>
      </c>
      <c r="G21" s="0" t="n">
        <f aca="false">G19*G20</f>
        <v>201.474331495951</v>
      </c>
      <c r="H21" s="0" t="n">
        <f aca="false">H19*H20</f>
        <v>198.144510246688</v>
      </c>
      <c r="I21" s="0" t="n">
        <f aca="false">I19*I20</f>
        <v>195.620546059173</v>
      </c>
      <c r="J21" s="0" t="n">
        <f aca="false">J19*J20</f>
        <v>186.458134331054</v>
      </c>
      <c r="K21" s="0" t="n">
        <f aca="false">K19*K20</f>
        <v>176.655967956483</v>
      </c>
      <c r="L21" s="0" t="n">
        <f aca="false">L19*L20</f>
        <v>166.555496236639</v>
      </c>
    </row>
    <row r="23" customFormat="false" ht="15" hidden="false" customHeight="false" outlineLevel="0" collapsed="false">
      <c r="A23" s="0" t="s">
        <v>100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105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106</v>
      </c>
      <c r="B29" s="4" t="n">
        <f aca="false">Assumptions!$B$22</f>
        <v>14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2162.55475895003</v>
      </c>
    </row>
    <row r="31" customFormat="false" ht="15" hidden="false" customHeight="false" outlineLevel="0" collapsed="false">
      <c r="A31" s="0" t="s">
        <v>128</v>
      </c>
      <c r="B31" s="0" t="n">
        <f aca="false">L19</f>
        <v>394.297431594283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5745.47686037383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5520.16404231996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5520.16404231996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2331.77694731294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4494.33170626297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3045.73170626297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1173.69237235567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-0.555756104331691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78.7258233916469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75.8313155557515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1233.2519634722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3093.71830943206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382.903640308283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Assumptions!C27</f>
        <v>7</v>
      </c>
      <c r="D5" s="4" t="n">
        <f aca="false">Assumptions!D27</f>
        <v>6</v>
      </c>
      <c r="E5" s="4" t="n">
        <f aca="false">Assumptions!E27</f>
        <v>5.5</v>
      </c>
      <c r="F5" s="4" t="n">
        <f aca="false">Assumptions!F27</f>
        <v>5</v>
      </c>
      <c r="G5" s="4" t="n">
        <f aca="false">Assumptions!G27</f>
        <v>4.5</v>
      </c>
      <c r="H5" s="4" t="n">
        <f aca="false">Assumptions!H27</f>
        <v>4</v>
      </c>
      <c r="I5" s="4" t="n">
        <f aca="false">Assumptions!I27</f>
        <v>3.5</v>
      </c>
      <c r="J5" s="4" t="n">
        <f aca="false">Assumptions!J27</f>
        <v>3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38</v>
      </c>
      <c r="B6" s="3" t="n">
        <v>2564.5</v>
      </c>
      <c r="C6" s="0" t="n">
        <f aca="false">B6*(1+C5/100)</f>
        <v>2744.015</v>
      </c>
      <c r="D6" s="0" t="n">
        <f aca="false">C6*(1+D5/100)</f>
        <v>2908.6559</v>
      </c>
      <c r="E6" s="0" t="n">
        <f aca="false">D6*(1+E5/100)</f>
        <v>3068.6319745</v>
      </c>
      <c r="F6" s="0" t="n">
        <f aca="false">E6*(1+F5/100)</f>
        <v>3222.063573225</v>
      </c>
      <c r="G6" s="0" t="n">
        <f aca="false">F6*(1+G5/100)</f>
        <v>3367.05643402013</v>
      </c>
      <c r="H6" s="0" t="n">
        <f aca="false">G6*(1+H5/100)</f>
        <v>3501.73869138093</v>
      </c>
      <c r="I6" s="0" t="n">
        <f aca="false">H6*(1+I5/100)</f>
        <v>3624.29954557926</v>
      </c>
      <c r="J6" s="0" t="n">
        <f aca="false">I6*(1+J5/100)</f>
        <v>3733.02853194664</v>
      </c>
      <c r="K6" s="0" t="n">
        <f aca="false">J6*(1+K5/100)</f>
        <v>3826.35424524531</v>
      </c>
      <c r="L6" s="0" t="n">
        <f aca="false">K6*(1+L5/100)</f>
        <v>3922.01310137644</v>
      </c>
    </row>
    <row r="7" customFormat="false" ht="15" hidden="false" customHeight="false" outlineLevel="0" collapsed="false">
      <c r="A7" s="0" t="s">
        <v>98</v>
      </c>
      <c r="C7" s="4" t="n">
        <f aca="false">Assumptions!C28</f>
        <v>23.5</v>
      </c>
      <c r="D7" s="4" t="n">
        <f aca="false">Assumptions!D28</f>
        <v>24</v>
      </c>
      <c r="E7" s="4" t="n">
        <f aca="false">Assumptions!E28</f>
        <v>24.3</v>
      </c>
      <c r="F7" s="4" t="n">
        <f aca="false">Assumptions!F28</f>
        <v>24.5</v>
      </c>
      <c r="G7" s="4" t="n">
        <f aca="false">Assumptions!G28</f>
        <v>24.5</v>
      </c>
      <c r="H7" s="4" t="n">
        <f aca="false">Assumptions!H28</f>
        <v>24.5</v>
      </c>
      <c r="I7" s="4" t="n">
        <f aca="false">Assumptions!I28</f>
        <v>24.5</v>
      </c>
      <c r="J7" s="4" t="n">
        <f aca="false">Assumptions!J28</f>
        <v>24.5</v>
      </c>
      <c r="K7" s="4" t="n">
        <f aca="false">Assumptions!K28</f>
        <v>24.5</v>
      </c>
      <c r="L7" s="4" t="n">
        <f aca="false">Assumptions!L28</f>
        <v>24.5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644.843525</v>
      </c>
      <c r="D8" s="0" t="n">
        <f aca="false">D6*D7/100</f>
        <v>698.077416</v>
      </c>
      <c r="E8" s="0" t="n">
        <f aca="false">E6*E7/100</f>
        <v>745.6775698035</v>
      </c>
      <c r="F8" s="0" t="n">
        <f aca="false">F6*F7/100</f>
        <v>789.405575440125</v>
      </c>
      <c r="G8" s="0" t="n">
        <f aca="false">G6*G7/100</f>
        <v>824.928826334931</v>
      </c>
      <c r="H8" s="0" t="n">
        <f aca="false">H6*H7/100</f>
        <v>857.925979388328</v>
      </c>
      <c r="I8" s="0" t="n">
        <f aca="false">I6*I7/100</f>
        <v>887.95338866692</v>
      </c>
      <c r="J8" s="0" t="n">
        <f aca="false">J6*J7/100</f>
        <v>914.591990326927</v>
      </c>
      <c r="K8" s="0" t="n">
        <f aca="false">K6*K7/100</f>
        <v>937.4567900851</v>
      </c>
      <c r="L8" s="0" t="n">
        <f aca="false">L6*L7/100</f>
        <v>960.893209837228</v>
      </c>
    </row>
    <row r="9" customFormat="false" ht="15" hidden="false" customHeight="false" outlineLevel="0" collapsed="false">
      <c r="A9" s="0" t="s">
        <v>99</v>
      </c>
      <c r="C9" s="4" t="n">
        <f aca="false">Assumptions!C29</f>
        <v>0.46</v>
      </c>
      <c r="D9" s="4" t="n">
        <f aca="false">Assumptions!D29</f>
        <v>0.45</v>
      </c>
      <c r="E9" s="4" t="n">
        <f aca="false">Assumptions!E29</f>
        <v>0.45</v>
      </c>
      <c r="F9" s="4" t="n">
        <f aca="false">Assumptions!F29</f>
        <v>0.44</v>
      </c>
      <c r="G9" s="4" t="n">
        <f aca="false">Assumptions!G29</f>
        <v>0.43</v>
      </c>
      <c r="H9" s="4" t="n">
        <f aca="false">Assumptions!H29</f>
        <v>0.42</v>
      </c>
      <c r="I9" s="4" t="n">
        <f aca="false">Assumptions!I29</f>
        <v>0.41</v>
      </c>
      <c r="J9" s="4" t="n">
        <f aca="false">Assumptions!J29</f>
        <v>0.4</v>
      </c>
      <c r="K9" s="4" t="n">
        <f aca="false">Assumptions!K29</f>
        <v>0.4</v>
      </c>
      <c r="L9" s="4" t="n">
        <f aca="false">Assumptions!L29</f>
        <v>0.4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-12.622469</v>
      </c>
      <c r="D10" s="0" t="n">
        <f aca="false">-D6*D9/100</f>
        <v>-13.08895155</v>
      </c>
      <c r="E10" s="0" t="n">
        <f aca="false">-E6*E9/100</f>
        <v>-13.80884388525</v>
      </c>
      <c r="F10" s="0" t="n">
        <f aca="false">-F6*F9/100</f>
        <v>-14.17707972219</v>
      </c>
      <c r="G10" s="0" t="n">
        <f aca="false">-G6*G9/100</f>
        <v>-14.4783426662865</v>
      </c>
      <c r="H10" s="0" t="n">
        <f aca="false">-H6*H9/100</f>
        <v>-14.7073025037999</v>
      </c>
      <c r="I10" s="0" t="n">
        <f aca="false">-I6*I9/100</f>
        <v>-14.859628136875</v>
      </c>
      <c r="J10" s="0" t="n">
        <f aca="false">-J6*J9/100</f>
        <v>-14.9321141277866</v>
      </c>
      <c r="K10" s="0" t="n">
        <f aca="false">-K6*K9/100</f>
        <v>-15.3054169809812</v>
      </c>
      <c r="L10" s="0" t="n">
        <f aca="false">-L6*L9/100</f>
        <v>-15.6880524055058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632.221056</v>
      </c>
      <c r="D11" s="0" t="n">
        <f aca="false">D8+D10+D24</f>
        <v>684.98846445</v>
      </c>
      <c r="E11" s="0" t="n">
        <f aca="false">E8+E10+E24</f>
        <v>731.86872591825</v>
      </c>
      <c r="F11" s="0" t="n">
        <f aca="false">F8+F10+F24</f>
        <v>775.228495717935</v>
      </c>
      <c r="G11" s="0" t="n">
        <f aca="false">G8+G10+G24</f>
        <v>810.450483668644</v>
      </c>
      <c r="H11" s="0" t="n">
        <f aca="false">H8+H10+H24</f>
        <v>843.218676884528</v>
      </c>
      <c r="I11" s="0" t="n">
        <f aca="false">I8+I10+I24</f>
        <v>873.093760530045</v>
      </c>
      <c r="J11" s="0" t="n">
        <f aca="false">J8+J10+J24</f>
        <v>899.659876199141</v>
      </c>
      <c r="K11" s="0" t="n">
        <f aca="false">K8+K10+K24</f>
        <v>922.151373104119</v>
      </c>
      <c r="L11" s="0" t="n">
        <f aca="false">L8+L10+L24</f>
        <v>945.205157431722</v>
      </c>
    </row>
    <row r="12" customFormat="false" ht="15" hidden="false" customHeight="false" outlineLevel="0" collapsed="false">
      <c r="A12" s="0" t="s">
        <v>116</v>
      </c>
      <c r="C12" s="4" t="n">
        <f aca="false">-C6*Assumptions!C31/100</f>
        <v>-96.040525</v>
      </c>
      <c r="D12" s="4" t="n">
        <f aca="false">-D6*Assumptions!D31/100</f>
        <v>-101.8029565</v>
      </c>
      <c r="E12" s="4" t="n">
        <f aca="false">-E6*Assumptions!E31/100</f>
        <v>-107.4021191075</v>
      </c>
      <c r="F12" s="4" t="n">
        <f aca="false">-F6*Assumptions!F31/100</f>
        <v>-112.772225062875</v>
      </c>
      <c r="G12" s="4" t="n">
        <f aca="false">-G6*Assumptions!G31/100</f>
        <v>-117.846975190704</v>
      </c>
      <c r="H12" s="4" t="n">
        <f aca="false">-H6*Assumptions!H31/100</f>
        <v>-122.560854198333</v>
      </c>
      <c r="I12" s="4" t="n">
        <f aca="false">-I6*Assumptions!I31/100</f>
        <v>-126.850484095274</v>
      </c>
      <c r="J12" s="4" t="n">
        <f aca="false">-J6*Assumptions!J31/100</f>
        <v>-130.655998618132</v>
      </c>
      <c r="K12" s="4" t="n">
        <f aca="false">-K6*Assumptions!K31/100</f>
        <v>-133.922398583586</v>
      </c>
      <c r="L12" s="4" t="n">
        <f aca="false">-L6*Assumptions!L31/100</f>
        <v>-137.270458548175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536.180531</v>
      </c>
      <c r="D13" s="0" t="n">
        <f aca="false">D11+D12</f>
        <v>583.18550795</v>
      </c>
      <c r="E13" s="0" t="n">
        <f aca="false">E11+E12</f>
        <v>624.46660681075</v>
      </c>
      <c r="F13" s="0" t="n">
        <f aca="false">F11+F12</f>
        <v>662.45627065506</v>
      </c>
      <c r="G13" s="0" t="n">
        <f aca="false">G11+G12</f>
        <v>692.60350847794</v>
      </c>
      <c r="H13" s="0" t="n">
        <f aca="false">H11+H12</f>
        <v>720.657822686196</v>
      </c>
      <c r="I13" s="0" t="n">
        <f aca="false">I11+I12</f>
        <v>746.24327643477</v>
      </c>
      <c r="J13" s="0" t="n">
        <f aca="false">J11+J12</f>
        <v>769.003877581008</v>
      </c>
      <c r="K13" s="0" t="n">
        <f aca="false">K11+K12</f>
        <v>788.228974520533</v>
      </c>
      <c r="L13" s="0" t="n">
        <f aca="false">L11+L12</f>
        <v>807.934698883546</v>
      </c>
    </row>
    <row r="14" customFormat="false" ht="15" hidden="false" customHeight="false" outlineLevel="0" collapsed="false">
      <c r="A14" s="0" t="s">
        <v>103</v>
      </c>
      <c r="C14" s="4" t="n">
        <f aca="false">Assumptions!C33</f>
        <v>26</v>
      </c>
      <c r="D14" s="4" t="n">
        <f aca="false">Assumptions!D33</f>
        <v>26</v>
      </c>
      <c r="E14" s="4" t="n">
        <f aca="false">Assumptions!E33</f>
        <v>26</v>
      </c>
      <c r="F14" s="4" t="n">
        <f aca="false">Assumptions!F33</f>
        <v>26</v>
      </c>
      <c r="G14" s="4" t="n">
        <f aca="false">Assumptions!G33</f>
        <v>26</v>
      </c>
      <c r="H14" s="4" t="n">
        <f aca="false">Assumptions!H33</f>
        <v>26</v>
      </c>
      <c r="I14" s="4" t="n">
        <f aca="false">Assumptions!I33</f>
        <v>26</v>
      </c>
      <c r="J14" s="4" t="n">
        <f aca="false">Assumptions!J33</f>
        <v>26</v>
      </c>
      <c r="K14" s="4" t="n">
        <f aca="false">Assumptions!K33</f>
        <v>26</v>
      </c>
      <c r="L14" s="4" t="n">
        <f aca="false">Assumptions!L33</f>
        <v>26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396.77359294</v>
      </c>
      <c r="D15" s="0" t="n">
        <f aca="false">D13-MAX(0,D13)*D14/100</f>
        <v>431.557275883</v>
      </c>
      <c r="E15" s="0" t="n">
        <f aca="false">E13-MAX(0,E13)*E14/100</f>
        <v>462.105289039955</v>
      </c>
      <c r="F15" s="0" t="n">
        <f aca="false">F13-MAX(0,F13)*F14/100</f>
        <v>490.217640284744</v>
      </c>
      <c r="G15" s="0" t="n">
        <f aca="false">G13-MAX(0,G13)*G14/100</f>
        <v>512.526596273676</v>
      </c>
      <c r="H15" s="0" t="n">
        <f aca="false">H13-MAX(0,H13)*H14/100</f>
        <v>533.286788787785</v>
      </c>
      <c r="I15" s="0" t="n">
        <f aca="false">I13-MAX(0,I13)*I14/100</f>
        <v>552.22002456173</v>
      </c>
      <c r="J15" s="0" t="n">
        <f aca="false">J13-MAX(0,J13)*J14/100</f>
        <v>569.062869409946</v>
      </c>
      <c r="K15" s="0" t="n">
        <f aca="false">K13-MAX(0,K13)*K14/100</f>
        <v>583.289441145195</v>
      </c>
      <c r="L15" s="0" t="n">
        <f aca="false">L13-MAX(0,L13)*L14/100</f>
        <v>597.871677173824</v>
      </c>
    </row>
    <row r="16" customFormat="false" ht="15" hidden="false" customHeight="false" outlineLevel="0" collapsed="false">
      <c r="A16" s="0" t="s">
        <v>119</v>
      </c>
      <c r="C16" s="0" t="n">
        <f aca="false">-C12</f>
        <v>96.040525</v>
      </c>
      <c r="D16" s="0" t="n">
        <f aca="false">-D12</f>
        <v>101.8029565</v>
      </c>
      <c r="E16" s="0" t="n">
        <f aca="false">-E12</f>
        <v>107.4021191075</v>
      </c>
      <c r="F16" s="0" t="n">
        <f aca="false">-F12</f>
        <v>112.772225062875</v>
      </c>
      <c r="G16" s="0" t="n">
        <f aca="false">-G12</f>
        <v>117.846975190704</v>
      </c>
      <c r="H16" s="0" t="n">
        <f aca="false">-H12</f>
        <v>122.560854198333</v>
      </c>
      <c r="I16" s="0" t="n">
        <f aca="false">-I12</f>
        <v>126.850484095274</v>
      </c>
      <c r="J16" s="0" t="n">
        <f aca="false">-J12</f>
        <v>130.655998618132</v>
      </c>
      <c r="K16" s="0" t="n">
        <f aca="false">-K12</f>
        <v>133.922398583586</v>
      </c>
      <c r="L16" s="0" t="n">
        <f aca="false">-L12</f>
        <v>137.270458548175</v>
      </c>
    </row>
    <row r="17" customFormat="false" ht="15" hidden="false" customHeight="false" outlineLevel="0" collapsed="false">
      <c r="A17" s="0" t="s">
        <v>120</v>
      </c>
      <c r="C17" s="4" t="n">
        <f aca="false">-C6*Assumptions!C32/100</f>
        <v>-101.528555</v>
      </c>
      <c r="D17" s="4" t="n">
        <f aca="false">-D6*Assumptions!D32/100</f>
        <v>-107.6202683</v>
      </c>
      <c r="E17" s="4" t="n">
        <f aca="false">-E6*Assumptions!E32/100</f>
        <v>-113.5393830565</v>
      </c>
      <c r="F17" s="4" t="n">
        <f aca="false">-F6*Assumptions!F32/100</f>
        <v>-119.216352209325</v>
      </c>
      <c r="G17" s="4" t="n">
        <f aca="false">-G6*Assumptions!G32/100</f>
        <v>-124.581088058745</v>
      </c>
      <c r="H17" s="4" t="n">
        <f aca="false">-H6*Assumptions!H32/100</f>
        <v>-129.564331581094</v>
      </c>
      <c r="I17" s="4" t="n">
        <f aca="false">-I6*Assumptions!I32/100</f>
        <v>-134.099083186433</v>
      </c>
      <c r="J17" s="4" t="n">
        <f aca="false">-J6*Assumptions!J32/100</f>
        <v>-138.122055682026</v>
      </c>
      <c r="K17" s="4" t="n">
        <f aca="false">-K6*Assumptions!K32/100</f>
        <v>-141.575107074076</v>
      </c>
      <c r="L17" s="4" t="n">
        <f aca="false">-L6*Assumptions!L32/100</f>
        <v>-145.114484750928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(C6-B6)*Assumptions!$B$37/100</f>
        <v>-35.9030000000001</v>
      </c>
      <c r="D18" s="4" t="n">
        <f aca="false">(D6-C6)*Assumptions!$B$37/100</f>
        <v>-32.9281800000001</v>
      </c>
      <c r="E18" s="4" t="n">
        <f aca="false">(E6-D6)*Assumptions!$B$37/100</f>
        <v>-31.9952149</v>
      </c>
      <c r="F18" s="4" t="n">
        <f aca="false">(F6-E6)*Assumptions!$B$37/100</f>
        <v>-30.686319745</v>
      </c>
      <c r="G18" s="4" t="n">
        <f aca="false">(G6-F6)*Assumptions!$B$37/100</f>
        <v>-28.9985721590249</v>
      </c>
      <c r="H18" s="4" t="n">
        <f aca="false">(H6-G6)*Assumptions!$B$37/100</f>
        <v>-26.936451472161</v>
      </c>
      <c r="I18" s="4" t="n">
        <f aca="false">(I6-H6)*Assumptions!$B$37/100</f>
        <v>-24.5121708396665</v>
      </c>
      <c r="J18" s="4" t="n">
        <f aca="false">(J6-I6)*Assumptions!$B$37/100</f>
        <v>-21.7457972734756</v>
      </c>
      <c r="K18" s="4" t="n">
        <f aca="false">(K6-J6)*Assumptions!$B$37/100</f>
        <v>-18.6651426597331</v>
      </c>
      <c r="L18" s="4" t="n">
        <f aca="false">(L6-K6)*Assumptions!$B$37/100</f>
        <v>-19.1317712262265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355.38256294</v>
      </c>
      <c r="D19" s="0" t="n">
        <f aca="false">D15+D16+D17+D18</f>
        <v>392.811784083</v>
      </c>
      <c r="E19" s="0" t="n">
        <f aca="false">E15+E16+E17+E18</f>
        <v>423.972810190955</v>
      </c>
      <c r="F19" s="0" t="n">
        <f aca="false">F15+F16+F17+F18</f>
        <v>453.087193393294</v>
      </c>
      <c r="G19" s="0" t="n">
        <f aca="false">G15+G16+G17+G18</f>
        <v>476.79391124661</v>
      </c>
      <c r="H19" s="0" t="n">
        <f aca="false">H15+H16+H17+H18</f>
        <v>499.346859932862</v>
      </c>
      <c r="I19" s="0" t="n">
        <f aca="false">I15+I16+I17+I18</f>
        <v>520.459254630905</v>
      </c>
      <c r="J19" s="0" t="n">
        <f aca="false">J15+J16+J17+J18</f>
        <v>539.851015072577</v>
      </c>
      <c r="K19" s="0" t="n">
        <f aca="false">K15+K16+K17+K18</f>
        <v>556.971589994971</v>
      </c>
      <c r="L19" s="0" t="n">
        <f aca="false">L15+L16+L17+L18</f>
        <v>570.895879744845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326.039048568807</v>
      </c>
      <c r="D21" s="0" t="n">
        <f aca="false">D19*D20</f>
        <v>330.621819782005</v>
      </c>
      <c r="E21" s="0" t="n">
        <f aca="false">E19*E20</f>
        <v>327.384800024521</v>
      </c>
      <c r="F21" s="0" t="n">
        <f aca="false">F19*F20</f>
        <v>320.978390610582</v>
      </c>
      <c r="G21" s="0" t="n">
        <f aca="false">G19*G20</f>
        <v>309.88332771512</v>
      </c>
      <c r="H21" s="0" t="n">
        <f aca="false">H19*H20</f>
        <v>297.744217357698</v>
      </c>
      <c r="I21" s="0" t="n">
        <f aca="false">I19*I20</f>
        <v>284.709035328733</v>
      </c>
      <c r="J21" s="0" t="n">
        <f aca="false">J19*J20</f>
        <v>270.933020512042</v>
      </c>
      <c r="K21" s="0" t="n">
        <f aca="false">K19*K20</f>
        <v>256.445192435048</v>
      </c>
      <c r="L21" s="0" t="n">
        <f aca="false">L19*L20</f>
        <v>241.152589216444</v>
      </c>
    </row>
    <row r="23" customFormat="false" ht="15" hidden="false" customHeight="false" outlineLevel="0" collapsed="false">
      <c r="A23" s="0" t="s">
        <v>100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105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106</v>
      </c>
      <c r="B29" s="4" t="n">
        <f aca="false">Assumptions!$B$36</f>
        <v>16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2965.891441551</v>
      </c>
    </row>
    <row r="31" customFormat="false" ht="15" hidden="false" customHeight="false" outlineLevel="0" collapsed="false">
      <c r="A31" s="0" t="s">
        <v>128</v>
      </c>
      <c r="B31" s="0" t="n">
        <f aca="false">L19</f>
        <v>570.895879744845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9002.58887289948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9134.33407591752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9002.58887289948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3802.79082995162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6768.68227150262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5320.08227150262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2050.12804296825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-0.224024207809139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90.779222584646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104.499583801728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2125.37999147938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4681.34621390773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761.828121951672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Assumptions!C41</f>
        <v>8.5</v>
      </c>
      <c r="D5" s="4" t="n">
        <f aca="false">Assumptions!D41</f>
        <v>8</v>
      </c>
      <c r="E5" s="4" t="n">
        <f aca="false">Assumptions!E41</f>
        <v>7.5</v>
      </c>
      <c r="F5" s="4" t="n">
        <f aca="false">Assumptions!F41</f>
        <v>7</v>
      </c>
      <c r="G5" s="4" t="n">
        <f aca="false">Assumptions!G41</f>
        <v>6.5</v>
      </c>
      <c r="H5" s="4" t="n">
        <f aca="false">Assumptions!H41</f>
        <v>6</v>
      </c>
      <c r="I5" s="4" t="n">
        <f aca="false">Assumptions!I41</f>
        <v>5</v>
      </c>
      <c r="J5" s="4" t="n">
        <f aca="false">Assumptions!J41</f>
        <v>4</v>
      </c>
      <c r="K5" s="4" t="n">
        <f aca="false">Assumptions!K41</f>
        <v>3.5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38</v>
      </c>
      <c r="B6" s="3" t="n">
        <v>2564.5</v>
      </c>
      <c r="C6" s="0" t="n">
        <f aca="false">B6*(1+C5/100)</f>
        <v>2782.4825</v>
      </c>
      <c r="D6" s="0" t="n">
        <f aca="false">C6*(1+D5/100)</f>
        <v>3005.0811</v>
      </c>
      <c r="E6" s="0" t="n">
        <f aca="false">D6*(1+E5/100)</f>
        <v>3230.4621825</v>
      </c>
      <c r="F6" s="0" t="n">
        <f aca="false">E6*(1+F5/100)</f>
        <v>3456.594535275</v>
      </c>
      <c r="G6" s="0" t="n">
        <f aca="false">F6*(1+G5/100)</f>
        <v>3681.27318006788</v>
      </c>
      <c r="H6" s="0" t="n">
        <f aca="false">G6*(1+H5/100)</f>
        <v>3902.14957087195</v>
      </c>
      <c r="I6" s="0" t="n">
        <f aca="false">H6*(1+I5/100)</f>
        <v>4097.25704941555</v>
      </c>
      <c r="J6" s="0" t="n">
        <f aca="false">I6*(1+J5/100)</f>
        <v>4261.14733139217</v>
      </c>
      <c r="K6" s="0" t="n">
        <f aca="false">J6*(1+K5/100)</f>
        <v>4410.28748799089</v>
      </c>
      <c r="L6" s="0" t="n">
        <f aca="false">K6*(1+L5/100)</f>
        <v>4542.59611263062</v>
      </c>
    </row>
    <row r="7" customFormat="false" ht="15" hidden="false" customHeight="false" outlineLevel="0" collapsed="false">
      <c r="A7" s="0" t="s">
        <v>98</v>
      </c>
      <c r="C7" s="4" t="n">
        <f aca="false">Assumptions!C42</f>
        <v>24</v>
      </c>
      <c r="D7" s="4" t="n">
        <f aca="false">Assumptions!D42</f>
        <v>24.8</v>
      </c>
      <c r="E7" s="4" t="n">
        <f aca="false">Assumptions!E42</f>
        <v>25.3</v>
      </c>
      <c r="F7" s="4" t="n">
        <f aca="false">Assumptions!F42</f>
        <v>25.7</v>
      </c>
      <c r="G7" s="4" t="n">
        <f aca="false">Assumptions!G42</f>
        <v>26</v>
      </c>
      <c r="H7" s="4" t="n">
        <f aca="false">Assumptions!H42</f>
        <v>26</v>
      </c>
      <c r="I7" s="4" t="n">
        <f aca="false">Assumptions!I42</f>
        <v>26</v>
      </c>
      <c r="J7" s="4" t="n">
        <f aca="false">Assumptions!J42</f>
        <v>26</v>
      </c>
      <c r="K7" s="4" t="n">
        <f aca="false">Assumptions!K42</f>
        <v>26</v>
      </c>
      <c r="L7" s="4" t="n">
        <f aca="false">Assumptions!L42</f>
        <v>26</v>
      </c>
    </row>
    <row r="8" customFormat="false" ht="15" hidden="false" customHeight="false" outlineLevel="0" collapsed="false">
      <c r="A8" s="0" t="s">
        <v>44</v>
      </c>
      <c r="C8" s="0" t="n">
        <f aca="false">C6*C7/100</f>
        <v>667.7958</v>
      </c>
      <c r="D8" s="0" t="n">
        <f aca="false">D6*D7/100</f>
        <v>745.2601128</v>
      </c>
      <c r="E8" s="0" t="n">
        <f aca="false">E6*E7/100</f>
        <v>817.3069321725</v>
      </c>
      <c r="F8" s="0" t="n">
        <f aca="false">F6*F7/100</f>
        <v>888.344795565675</v>
      </c>
      <c r="G8" s="0" t="n">
        <f aca="false">G6*G7/100</f>
        <v>957.131026817648</v>
      </c>
      <c r="H8" s="0" t="n">
        <f aca="false">H6*H7/100</f>
        <v>1014.55888842671</v>
      </c>
      <c r="I8" s="0" t="n">
        <f aca="false">I6*I7/100</f>
        <v>1065.28683284804</v>
      </c>
      <c r="J8" s="0" t="n">
        <f aca="false">J6*J7/100</f>
        <v>1107.89830616196</v>
      </c>
      <c r="K8" s="0" t="n">
        <f aca="false">K6*K7/100</f>
        <v>1146.67474687763</v>
      </c>
      <c r="L8" s="0" t="n">
        <f aca="false">L6*L7/100</f>
        <v>1181.07498928396</v>
      </c>
    </row>
    <row r="9" customFormat="false" ht="15" hidden="false" customHeight="false" outlineLevel="0" collapsed="false">
      <c r="A9" s="0" t="s">
        <v>99</v>
      </c>
      <c r="C9" s="4" t="n">
        <f aca="false">Assumptions!C43</f>
        <v>0.46</v>
      </c>
      <c r="D9" s="4" t="n">
        <f aca="false">Assumptions!D43</f>
        <v>0.45</v>
      </c>
      <c r="E9" s="4" t="n">
        <f aca="false">Assumptions!E43</f>
        <v>0.45</v>
      </c>
      <c r="F9" s="4" t="n">
        <f aca="false">Assumptions!F43</f>
        <v>0.44</v>
      </c>
      <c r="G9" s="4" t="n">
        <f aca="false">Assumptions!G43</f>
        <v>0.43</v>
      </c>
      <c r="H9" s="4" t="n">
        <f aca="false">Assumptions!H43</f>
        <v>0.42</v>
      </c>
      <c r="I9" s="4" t="n">
        <f aca="false">Assumptions!I43</f>
        <v>0.41</v>
      </c>
      <c r="J9" s="4" t="n">
        <f aca="false">Assumptions!J43</f>
        <v>0.4</v>
      </c>
      <c r="K9" s="4" t="n">
        <f aca="false">Assumptions!K43</f>
        <v>0.4</v>
      </c>
      <c r="L9" s="4" t="n">
        <f aca="false">Assumptions!L43</f>
        <v>0.4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-12.7994195</v>
      </c>
      <c r="D10" s="0" t="n">
        <f aca="false">-D6*D9/100</f>
        <v>-13.52286495</v>
      </c>
      <c r="E10" s="0" t="n">
        <f aca="false">-E6*E9/100</f>
        <v>-14.53707982125</v>
      </c>
      <c r="F10" s="0" t="n">
        <f aca="false">-F6*F9/100</f>
        <v>-15.20901595521</v>
      </c>
      <c r="G10" s="0" t="n">
        <f aca="false">-G6*G9/100</f>
        <v>-15.8294746742919</v>
      </c>
      <c r="H10" s="0" t="n">
        <f aca="false">-H6*H9/100</f>
        <v>-16.3890281976622</v>
      </c>
      <c r="I10" s="0" t="n">
        <f aca="false">-I6*I9/100</f>
        <v>-16.7987539026037</v>
      </c>
      <c r="J10" s="0" t="n">
        <f aca="false">-J6*J9/100</f>
        <v>-17.0445893255687</v>
      </c>
      <c r="K10" s="0" t="n">
        <f aca="false">-K6*K9/100</f>
        <v>-17.6411499519636</v>
      </c>
      <c r="L10" s="0" t="n">
        <f aca="false">-L6*L9/100</f>
        <v>-18.1703844505225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654.9963805</v>
      </c>
      <c r="D11" s="0" t="n">
        <f aca="false">D8+D10+D24</f>
        <v>731.73724785</v>
      </c>
      <c r="E11" s="0" t="n">
        <f aca="false">E8+E10+E24</f>
        <v>802.76985235125</v>
      </c>
      <c r="F11" s="0" t="n">
        <f aca="false">F8+F10+F24</f>
        <v>873.135779610465</v>
      </c>
      <c r="G11" s="0" t="n">
        <f aca="false">G8+G10+G24</f>
        <v>941.301552143356</v>
      </c>
      <c r="H11" s="0" t="n">
        <f aca="false">H8+H10+H24</f>
        <v>998.169860229044</v>
      </c>
      <c r="I11" s="0" t="n">
        <f aca="false">I8+I10+I24</f>
        <v>1048.48807894544</v>
      </c>
      <c r="J11" s="0" t="n">
        <f aca="false">J8+J10+J24</f>
        <v>1090.85371683639</v>
      </c>
      <c r="K11" s="0" t="n">
        <f aca="false">K8+K10+K24</f>
        <v>1129.03359692567</v>
      </c>
      <c r="L11" s="0" t="n">
        <f aca="false">L8+L10+L24</f>
        <v>1162.90460483344</v>
      </c>
    </row>
    <row r="12" customFormat="false" ht="15" hidden="false" customHeight="false" outlineLevel="0" collapsed="false">
      <c r="A12" s="0" t="s">
        <v>116</v>
      </c>
      <c r="C12" s="4" t="n">
        <f aca="false">-C6*Assumptions!C45/100</f>
        <v>-97.3868875</v>
      </c>
      <c r="D12" s="4" t="n">
        <f aca="false">-D6*Assumptions!D45/100</f>
        <v>-105.1778385</v>
      </c>
      <c r="E12" s="4" t="n">
        <f aca="false">-E6*Assumptions!E45/100</f>
        <v>-113.0661763875</v>
      </c>
      <c r="F12" s="4" t="n">
        <f aca="false">-F6*Assumptions!F45/100</f>
        <v>-120.980808734625</v>
      </c>
      <c r="G12" s="4" t="n">
        <f aca="false">-G6*Assumptions!G45/100</f>
        <v>-128.844561302376</v>
      </c>
      <c r="H12" s="4" t="n">
        <f aca="false">-H6*Assumptions!H45/100</f>
        <v>-136.575234980518</v>
      </c>
      <c r="I12" s="4" t="n">
        <f aca="false">-I6*Assumptions!I45/100</f>
        <v>-143.403996729544</v>
      </c>
      <c r="J12" s="4" t="n">
        <f aca="false">-J6*Assumptions!J45/100</f>
        <v>-149.140156598726</v>
      </c>
      <c r="K12" s="4" t="n">
        <f aca="false">-K6*Assumptions!K45/100</f>
        <v>-154.360062079681</v>
      </c>
      <c r="L12" s="4" t="n">
        <f aca="false">-L6*Assumptions!L45/100</f>
        <v>-158.990863942072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557.609493</v>
      </c>
      <c r="D13" s="0" t="n">
        <f aca="false">D11+D12</f>
        <v>626.55940935</v>
      </c>
      <c r="E13" s="0" t="n">
        <f aca="false">E11+E12</f>
        <v>689.70367596375</v>
      </c>
      <c r="F13" s="0" t="n">
        <f aca="false">F11+F12</f>
        <v>752.15497087584</v>
      </c>
      <c r="G13" s="0" t="n">
        <f aca="false">G11+G12</f>
        <v>812.45699084098</v>
      </c>
      <c r="H13" s="0" t="n">
        <f aca="false">H11+H12</f>
        <v>861.594625248526</v>
      </c>
      <c r="I13" s="0" t="n">
        <f aca="false">I11+I12</f>
        <v>905.084082215894</v>
      </c>
      <c r="J13" s="0" t="n">
        <f aca="false">J11+J12</f>
        <v>941.713560237669</v>
      </c>
      <c r="K13" s="0" t="n">
        <f aca="false">K11+K12</f>
        <v>974.673534845987</v>
      </c>
      <c r="L13" s="0" t="n">
        <f aca="false">L11+L12</f>
        <v>1003.91374089137</v>
      </c>
    </row>
    <row r="14" customFormat="false" ht="15" hidden="false" customHeight="false" outlineLevel="0" collapsed="false">
      <c r="A14" s="0" t="s">
        <v>103</v>
      </c>
      <c r="C14" s="4" t="n">
        <f aca="false">Assumptions!C47</f>
        <v>26</v>
      </c>
      <c r="D14" s="4" t="n">
        <f aca="false">Assumptions!D47</f>
        <v>26</v>
      </c>
      <c r="E14" s="4" t="n">
        <f aca="false">Assumptions!E47</f>
        <v>26</v>
      </c>
      <c r="F14" s="4" t="n">
        <f aca="false">Assumptions!F47</f>
        <v>26</v>
      </c>
      <c r="G14" s="4" t="n">
        <f aca="false">Assumptions!G47</f>
        <v>26</v>
      </c>
      <c r="H14" s="4" t="n">
        <f aca="false">Assumptions!H47</f>
        <v>26</v>
      </c>
      <c r="I14" s="4" t="n">
        <f aca="false">Assumptions!I47</f>
        <v>26</v>
      </c>
      <c r="J14" s="4" t="n">
        <f aca="false">Assumptions!J47</f>
        <v>26</v>
      </c>
      <c r="K14" s="4" t="n">
        <f aca="false">Assumptions!K47</f>
        <v>26</v>
      </c>
      <c r="L14" s="4" t="n">
        <f aca="false">Assumptions!L47</f>
        <v>26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412.63102482</v>
      </c>
      <c r="D15" s="0" t="n">
        <f aca="false">D13-MAX(0,D13)*D14/100</f>
        <v>463.653962919</v>
      </c>
      <c r="E15" s="0" t="n">
        <f aca="false">E13-MAX(0,E13)*E14/100</f>
        <v>510.380720213175</v>
      </c>
      <c r="F15" s="0" t="n">
        <f aca="false">F13-MAX(0,F13)*F14/100</f>
        <v>556.594678448122</v>
      </c>
      <c r="G15" s="0" t="n">
        <f aca="false">G13-MAX(0,G13)*G14/100</f>
        <v>601.218173222325</v>
      </c>
      <c r="H15" s="0" t="n">
        <f aca="false">H13-MAX(0,H13)*H14/100</f>
        <v>637.580022683909</v>
      </c>
      <c r="I15" s="0" t="n">
        <f aca="false">I13-MAX(0,I13)*I14/100</f>
        <v>669.762220839762</v>
      </c>
      <c r="J15" s="0" t="n">
        <f aca="false">J13-MAX(0,J13)*J14/100</f>
        <v>696.868034575875</v>
      </c>
      <c r="K15" s="0" t="n">
        <f aca="false">K13-MAX(0,K13)*K14/100</f>
        <v>721.258415786031</v>
      </c>
      <c r="L15" s="0" t="n">
        <f aca="false">L13-MAX(0,L13)*L14/100</f>
        <v>742.896168259611</v>
      </c>
    </row>
    <row r="16" customFormat="false" ht="15" hidden="false" customHeight="false" outlineLevel="0" collapsed="false">
      <c r="A16" s="0" t="s">
        <v>119</v>
      </c>
      <c r="C16" s="0" t="n">
        <f aca="false">-C12</f>
        <v>97.3868875</v>
      </c>
      <c r="D16" s="0" t="n">
        <f aca="false">-D12</f>
        <v>105.1778385</v>
      </c>
      <c r="E16" s="0" t="n">
        <f aca="false">-E12</f>
        <v>113.0661763875</v>
      </c>
      <c r="F16" s="0" t="n">
        <f aca="false">-F12</f>
        <v>120.980808734625</v>
      </c>
      <c r="G16" s="0" t="n">
        <f aca="false">-G12</f>
        <v>128.844561302376</v>
      </c>
      <c r="H16" s="0" t="n">
        <f aca="false">-H12</f>
        <v>136.575234980518</v>
      </c>
      <c r="I16" s="0" t="n">
        <f aca="false">-I12</f>
        <v>143.403996729544</v>
      </c>
      <c r="J16" s="0" t="n">
        <f aca="false">-J12</f>
        <v>149.140156598726</v>
      </c>
      <c r="K16" s="0" t="n">
        <f aca="false">-K12</f>
        <v>154.360062079681</v>
      </c>
      <c r="L16" s="0" t="n">
        <f aca="false">-L12</f>
        <v>158.990863942072</v>
      </c>
    </row>
    <row r="17" customFormat="false" ht="15" hidden="false" customHeight="false" outlineLevel="0" collapsed="false">
      <c r="A17" s="0" t="s">
        <v>120</v>
      </c>
      <c r="C17" s="4" t="n">
        <f aca="false">-C6*Assumptions!C46/100</f>
        <v>-102.9518525</v>
      </c>
      <c r="D17" s="4" t="n">
        <f aca="false">-D6*Assumptions!D46/100</f>
        <v>-111.1880007</v>
      </c>
      <c r="E17" s="4" t="n">
        <f aca="false">-E6*Assumptions!E46/100</f>
        <v>-119.5271007525</v>
      </c>
      <c r="F17" s="4" t="n">
        <f aca="false">-F6*Assumptions!F46/100</f>
        <v>-127.893997805175</v>
      </c>
      <c r="G17" s="4" t="n">
        <f aca="false">-G6*Assumptions!G46/100</f>
        <v>-136.207107662511</v>
      </c>
      <c r="H17" s="4" t="n">
        <f aca="false">-H6*Assumptions!H46/100</f>
        <v>-144.379534122262</v>
      </c>
      <c r="I17" s="4" t="n">
        <f aca="false">-I6*Assumptions!I46/100</f>
        <v>-151.598510828375</v>
      </c>
      <c r="J17" s="4" t="n">
        <f aca="false">-J6*Assumptions!J46/100</f>
        <v>-157.66245126151</v>
      </c>
      <c r="K17" s="4" t="n">
        <f aca="false">-K6*Assumptions!K46/100</f>
        <v>-163.180637055663</v>
      </c>
      <c r="L17" s="4" t="n">
        <f aca="false">-L6*Assumptions!L46/100</f>
        <v>-168.076056167333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(C6-B6)*Assumptions!$B$51/100</f>
        <v>-39.23685</v>
      </c>
      <c r="D18" s="4" t="n">
        <f aca="false">(D6-C6)*Assumptions!$B$51/100</f>
        <v>-40.067748</v>
      </c>
      <c r="E18" s="4" t="n">
        <f aca="false">(E6-D6)*Assumptions!$B$51/100</f>
        <v>-40.56859485</v>
      </c>
      <c r="F18" s="4" t="n">
        <f aca="false">(F6-E6)*Assumptions!$B$51/100</f>
        <v>-40.7038234995</v>
      </c>
      <c r="G18" s="4" t="n">
        <f aca="false">(G6-F6)*Assumptions!$B$51/100</f>
        <v>-40.4421560627175</v>
      </c>
      <c r="H18" s="4" t="n">
        <f aca="false">(H6-G6)*Assumptions!$B$51/100</f>
        <v>-39.7577503447331</v>
      </c>
      <c r="I18" s="4" t="n">
        <f aca="false">(I6-H6)*Assumptions!$B$51/100</f>
        <v>-35.1193461378475</v>
      </c>
      <c r="J18" s="4" t="n">
        <f aca="false">(J6-I6)*Assumptions!$B$51/100</f>
        <v>-29.5002507557919</v>
      </c>
      <c r="K18" s="4" t="n">
        <f aca="false">(K6-J6)*Assumptions!$B$51/100</f>
        <v>-26.8452281877706</v>
      </c>
      <c r="L18" s="4" t="n">
        <f aca="false">(L6-K6)*Assumptions!$B$51/100</f>
        <v>-23.8155524351509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367.82920982</v>
      </c>
      <c r="D19" s="0" t="n">
        <f aca="false">D15+D16+D17+D18</f>
        <v>417.576052719</v>
      </c>
      <c r="E19" s="0" t="n">
        <f aca="false">E15+E16+E17+E18</f>
        <v>463.351200998175</v>
      </c>
      <c r="F19" s="0" t="n">
        <f aca="false">F15+F16+F17+F18</f>
        <v>508.977665878072</v>
      </c>
      <c r="G19" s="0" t="n">
        <f aca="false">G15+G16+G17+G18</f>
        <v>553.413470799472</v>
      </c>
      <c r="H19" s="0" t="n">
        <f aca="false">H15+H16+H17+H18</f>
        <v>590.017973197432</v>
      </c>
      <c r="I19" s="0" t="n">
        <f aca="false">I15+I16+I17+I18</f>
        <v>626.448360603083</v>
      </c>
      <c r="J19" s="0" t="n">
        <f aca="false">J15+J16+J17+J18</f>
        <v>658.845489157299</v>
      </c>
      <c r="K19" s="0" t="n">
        <f aca="false">K15+K16+K17+K18</f>
        <v>685.592612622278</v>
      </c>
      <c r="L19" s="0" t="n">
        <f aca="false">L15+L16+L17+L18</f>
        <v>709.995423599199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337.45799066055</v>
      </c>
      <c r="D21" s="0" t="n">
        <f aca="false">D19*D20</f>
        <v>351.465409240805</v>
      </c>
      <c r="E21" s="0" t="n">
        <f aca="false">E19*E20</f>
        <v>357.792142877244</v>
      </c>
      <c r="F21" s="0" t="n">
        <f aca="false">F19*F20</f>
        <v>360.572610377144</v>
      </c>
      <c r="G21" s="0" t="n">
        <f aca="false">G19*G20</f>
        <v>359.68078427288</v>
      </c>
      <c r="H21" s="0" t="n">
        <f aca="false">H19*H20</f>
        <v>351.808439689126</v>
      </c>
      <c r="I21" s="0" t="n">
        <f aca="false">I19*I20</f>
        <v>342.688705875842</v>
      </c>
      <c r="J21" s="0" t="n">
        <f aca="false">J19*J20</f>
        <v>330.652334522558</v>
      </c>
      <c r="K21" s="0" t="n">
        <f aca="false">K19*K20</f>
        <v>315.665884282455</v>
      </c>
      <c r="L21" s="0" t="n">
        <f aca="false">L19*L20</f>
        <v>299.909739774784</v>
      </c>
    </row>
    <row r="23" customFormat="false" ht="15" hidden="false" customHeight="false" outlineLevel="0" collapsed="false">
      <c r="A23" s="0" t="s">
        <v>100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105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106</v>
      </c>
      <c r="B29" s="4" t="n">
        <f aca="false">Assumptions!$B$50</f>
        <v>18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3407.69404157339</v>
      </c>
    </row>
    <row r="31" customFormat="false" ht="15" hidden="false" customHeight="false" outlineLevel="0" collapsed="false">
      <c r="A31" s="0" t="s">
        <v>128</v>
      </c>
      <c r="B31" s="0" t="n">
        <f aca="false">L19</f>
        <v>709.995423599199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12188.2547717863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12779.9176247856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12188.2547717863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5148.45053280046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8556.14457437385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7107.54457437385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2738.93817894946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0.0366912108060031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98.726009801415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131.760462667843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2827.75762884127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6094.12738589313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1017.54955911331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2" t="s">
        <v>145</v>
      </c>
      <c r="B3" s="2" t="s">
        <v>146</v>
      </c>
      <c r="C3" s="2" t="s">
        <v>136</v>
      </c>
      <c r="D3" s="2" t="s">
        <v>147</v>
      </c>
      <c r="E3" s="2" t="s">
        <v>139</v>
      </c>
      <c r="F3" s="2" t="s">
        <v>148</v>
      </c>
    </row>
    <row r="4" customFormat="false" ht="15" hidden="false" customHeight="false" outlineLevel="0" collapsed="false">
      <c r="A4" s="0" t="s">
        <v>149</v>
      </c>
      <c r="B4" s="4" t="n">
        <f aca="false">DCF_Bear!$B$38</f>
        <v>1173.69237235567</v>
      </c>
      <c r="C4" s="0" t="n">
        <f aca="false">B4/Assumptions!$B$2-1</f>
        <v>-0.555756104331691</v>
      </c>
      <c r="D4" s="4" t="n">
        <f aca="false">Assumptions!$B$24</f>
        <v>0.25</v>
      </c>
      <c r="E4" s="4" t="n">
        <f aca="false">DCF_Bear!$B$43</f>
        <v>1233.2519634722</v>
      </c>
      <c r="F4" s="4" t="n">
        <f aca="false">DCF_Bear!$B$47</f>
        <v>382.903640308283</v>
      </c>
    </row>
    <row r="5" customFormat="false" ht="15" hidden="false" customHeight="false" outlineLevel="0" collapsed="false">
      <c r="A5" s="0" t="s">
        <v>150</v>
      </c>
      <c r="B5" s="4" t="n">
        <f aca="false">DCF_Base!$B$38</f>
        <v>2050.12804296825</v>
      </c>
      <c r="C5" s="0" t="n">
        <f aca="false">B5/Assumptions!$B$2-1</f>
        <v>-0.224024207809139</v>
      </c>
      <c r="D5" s="4" t="n">
        <f aca="false">Assumptions!$B$38</f>
        <v>0.5</v>
      </c>
      <c r="E5" s="4" t="n">
        <f aca="false">DCF_Base!$B$43</f>
        <v>2125.37999147938</v>
      </c>
      <c r="F5" s="4" t="n">
        <f aca="false">DCF_Base!$B$47</f>
        <v>761.828121951672</v>
      </c>
    </row>
    <row r="6" customFormat="false" ht="15" hidden="false" customHeight="false" outlineLevel="0" collapsed="false">
      <c r="A6" s="0" t="s">
        <v>151</v>
      </c>
      <c r="B6" s="4" t="n">
        <f aca="false">DCF_Bull!$B$38</f>
        <v>2738.93817894946</v>
      </c>
      <c r="C6" s="0" t="n">
        <f aca="false">B6/Assumptions!$B$2-1</f>
        <v>0.0366912108060031</v>
      </c>
      <c r="D6" s="4" t="n">
        <f aca="false">Assumptions!$B$52</f>
        <v>0.25</v>
      </c>
      <c r="E6" s="4" t="n">
        <f aca="false">DCF_Bull!$B$43</f>
        <v>2827.75762884127</v>
      </c>
      <c r="F6" s="4" t="n">
        <f aca="false">DCF_Bull!$B$47</f>
        <v>1017.54955911331</v>
      </c>
    </row>
    <row r="8" customFormat="false" ht="15" hidden="false" customHeight="false" outlineLevel="0" collapsed="false">
      <c r="A8" s="0" t="s">
        <v>152</v>
      </c>
      <c r="B8" s="0" t="n">
        <f aca="false">SUMPRODUCT(B4:B6,D4:D6)</f>
        <v>2003.22165931041</v>
      </c>
    </row>
    <row r="9" customFormat="false" ht="15" hidden="false" customHeight="false" outlineLevel="0" collapsed="false">
      <c r="A9" s="0" t="s">
        <v>153</v>
      </c>
      <c r="B9" s="0" t="n">
        <f aca="false">SUMPRODUCT(E4:E6,D4:D6)</f>
        <v>2077.94239381806</v>
      </c>
    </row>
    <row r="10" customFormat="false" ht="15" hidden="false" customHeight="false" outlineLevel="0" collapsed="false">
      <c r="A10" s="0" t="s">
        <v>154</v>
      </c>
      <c r="B10" s="0" t="n">
        <f aca="false">1-Assumptions!$B$2/B8</f>
        <v>-0.31887551620697</v>
      </c>
    </row>
    <row r="11" customFormat="false" ht="15" hidden="false" customHeight="false" outlineLevel="0" collapsed="false">
      <c r="A11" s="0" t="s">
        <v>155</v>
      </c>
      <c r="B11" s="0" t="n">
        <f aca="false">IF(ABS(B9-B8)&gt;0.01*ABS(B8),(Assumptions!$B$2-B8)/(B9-B8)*100,"n/a")</f>
        <v>854.88766257269</v>
      </c>
    </row>
    <row r="12" customFormat="false" ht="15" hidden="false" customHeight="false" outlineLevel="0" collapsed="false">
      <c r="A12" s="0" t="s">
        <v>156</v>
      </c>
      <c r="B12" s="0" t="n">
        <f aca="false">SUMPRODUCT(F4:F6,D4:D6)</f>
        <v>731.027360831233</v>
      </c>
    </row>
    <row r="14" customFormat="false" ht="15" hidden="false" customHeight="false" outlineLevel="0" collapsed="false">
      <c r="A14" s="2" t="s">
        <v>157</v>
      </c>
      <c r="C14" s="0" t="s">
        <v>158</v>
      </c>
    </row>
    <row r="15" customFormat="false" ht="15" hidden="false" customHeight="false" outlineLevel="0" collapsed="false">
      <c r="A15" s="0" t="s">
        <v>159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2050.12804296825</v>
      </c>
      <c r="C15" s="3" t="n">
        <v>9</v>
      </c>
    </row>
    <row r="16" customFormat="false" ht="15" hidden="false" customHeight="false" outlineLevel="0" collapsed="false">
      <c r="A16" s="0" t="s">
        <v>160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1691.08857603193</v>
      </c>
      <c r="C16" s="3" t="n">
        <v>10</v>
      </c>
    </row>
    <row r="17" customFormat="false" ht="15" hidden="false" customHeight="false" outlineLevel="0" collapsed="false">
      <c r="A17" s="0" t="s">
        <v>161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1416.97933381019</v>
      </c>
      <c r="C17" s="3" t="n">
        <v>11</v>
      </c>
    </row>
    <row r="18" customFormat="false" ht="15" hidden="false" customHeight="false" outlineLevel="0" collapsed="false">
      <c r="A18" s="0" t="s">
        <v>162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1200.95582782827</v>
      </c>
      <c r="C18" s="3" t="n">
        <v>12</v>
      </c>
    </row>
    <row r="19" customFormat="false" ht="15" hidden="false" customHeight="false" outlineLevel="0" collapsed="false">
      <c r="A19" s="0" t="s">
        <v>163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761.828121951672</v>
      </c>
      <c r="C19" s="3" t="n">
        <v>15</v>
      </c>
    </row>
    <row r="21" customFormat="false" ht="15" hidden="false" customHeight="false" outlineLevel="0" collapsed="false">
      <c r="A21" s="2" t="s">
        <v>164</v>
      </c>
    </row>
    <row r="22" customFormat="false" ht="15" hidden="false" customHeight="false" outlineLevel="0" collapsed="false">
      <c r="B22" s="3" t="n">
        <v>1.5</v>
      </c>
      <c r="C22" s="3" t="n">
        <v>2</v>
      </c>
      <c r="D22" s="3" t="n">
        <v>2.5</v>
      </c>
      <c r="E22" s="3" t="n">
        <v>3</v>
      </c>
      <c r="F22" s="3" t="n">
        <v>3.5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2491.70569360442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2491.70569360442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2491.70569360442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2491.70569360442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2491.70569360442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2232.62557289334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2271.81858517616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2271.81858517616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2271.81858517616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2271.81858517616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1842.34674975474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1938.81663588958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2050.12804296825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2071.57335992836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2071.57335992836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1544.73437575934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1613.33790713712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1691.08857603193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1779.94648334029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1882.47483792686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1310.47428239309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1360.76833445117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1416.97933381019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1480.21670808909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1551.88573227184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2026-10-10T05:52:48Z</dcterms:created>
  <dc:creator>openpyxl</dc:creator>
  <dc:description/>
  <dc:language>en-NZ</dc:language>
  <cp:lastModifiedBy/>
  <dcterms:modified xsi:type="dcterms:W3CDTF">2026-10-10T05:52:48Z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