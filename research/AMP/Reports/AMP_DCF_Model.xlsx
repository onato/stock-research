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<sst xmlns="http://schemas.openxmlformats.org/spreadsheetml/2006/main" count="390" uniqueCount="176">
  <si>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</si>
  <si>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AMP</t>
  </si>
  <si>
    <t xml:space="preserve">Company</t>
  </si>
  <si>
    <t xml:space="preserve">Ameriprise Financial,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</si>
  <si>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</si>
  <si>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</si>
  <si>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</si>
  <si>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</si>
  <si>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 (Yahoo Finance chart API)</t>
  </si>
  <si>
    <t xml:space="preserve">Balance sheet date</t>
  </si>
  <si>
    <t xml:space="preserve">2026-06-30</t>
  </si>
  <si>
    <t xml:space="preserve">Model</t>
  </si>
  <si>
    <t xml:space="preserve">Diversified financial (wealth/asset management + insurance) FCFE capitalisation at cost of equity (engine route; net income after growth-capital retention, net debt zero)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</si>
  <si>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</si>
  <si>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</si>
  <si>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</si>
  <si>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</si>
  <si>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</si>
  <si>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</si>
  <si>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</si>
  <si>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</si>
  <si>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2026-09-25T09:59:30Z</t>
  </si>
  <si>
    <t xml:space="preserve">Drivers file</t>
  </si>
  <si>
    <t xml:space="preserve">AMP_Drivers.json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</si>
  <si>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</si>
  <si>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</si>
  <si>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</si>
  <si>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AMP is a capital-light, fee-based financial (wealth management, asset management, insurance/annuities) that distributes the large majority of its earnings rather than retaining them in book value -- shares outstanding have fallen 47% over ten years while book value has been roughly flat, so a BVPS-compounding model would be measuring the wrong thing. The flow that matters is net income after the (small) capital AMP needs to retain to fund organic growth at its ~50% return on equity, discounted at a 9.7% USD cost of equity, with net debt held at zero because the balance sheet's investable assets are client, policyholder and third-party AUM, not a shareholder cash pile. This is the FCFE-at-cost-of-equity answer, the same construction used for NAB.AX, IAG.AX and MQG.AX.
key_risks_to_valuation: Equity-market beta: the large majority of AWM and Asset Management revenue is asset-based (wrap fees, AUM management fees); a sustained market drawdown directly cuts both segment revenues and reported AUM/AUA growth simultaneously with the flow pressures already present; Advisor attrition: the 'extremely aggressive'/'irrational' recruiting environment already cost AMP an $8.1bn advisor team in 2026; sustained attrition of productive advisors is a direct threat to the AWM growth engine the base case assumes continues; Institutional-channel concentration: the Comerica-to-Huntington transition (guided complete by Q3-26/early-27) is the single largest swing factor in year-1 growth; a slipped timeline or a lost future institutional relationship (as Comerica was, following its acquisition by Fifth Third) directly moves the base case; Asset-management net outflows: Columbia Threadneedle's persistent ~$6.5bn/quarter outflows are a structural headwind the model assumes continues rather than reverses; a bull-case reversal is the single largest driver of the bull/base gap; Variable-annuity and rate sensitivity: RPS pretax earnings already fell ~9% in H1-2026 on cumulative VA outflows; a sustained rate-cutting cycle compresses spread income further; Share count basis: the engine holds shares flat and compounds value through retained earnings rather than modelling the actual buyback-driven share count decline; this is a modelling convention (see inputs.share_count_basis), not a forecast that buybacks stop</t>
  </si>
  <si>
    <t xml:space="preserve">Data sources</t>
  </si>
  <si>
    <t xml:space="preserve">price: Yahoo Finance chart API at inputs.price_as_of; 52-week range 422.37-572.56.
financials: AMP_Metrics.csv (core_metrics, USD millions, SEC XBRL-derived, FY2006-FY2025 annual + quarterly/half-year) exported from AMP.duckdb; kpis table for buybacks, cash_taxes, interest_income; SEC XBRL companyconcept/companyfacts API (CIK 0000820027) for Revenues, NetIncomeLoss, IncomeLossFromContinuingOperationsBeforeIncomeTaxesExtraordinaryItemsNoncontrollingInterest, IncomeTaxExpenseBenefit, StockholdersEquity, WeightedAverageNumberOfDilutedSharesOutstanding, EntityCommonStockSharesOutstanding, PaymentsOfDividends -- pulled directly since AMP is a US filer with no PDF/Extracted text corpus (SEC filings are iXBRL, parsed via the XBRL pipeline per CLAUDE.md).
qualitative: AMP_Analysis.json (2026-09-25): business model and segment revenue mix, competitive position and moat factors, growth drivers, business/financial/regulatory/macro risks, recent developments (Q2 2026 earnings, Huntington/Comerica transition, advisor attrition), FY2026 guidance.</t>
  </si>
  <si>
    <t xml:space="preserve">Scenario narrative: bear</t>
  </si>
  <si>
    <t xml:space="preserve">The advisor-recruiting war claims more large teams than it wins, the Comerica-Huntington transition slips, Columbia Threadneedle outflows widen against passive competition, and a broad equity-market correction cuts AUM-linked fee revenue precisely when RPS spread income is also squeezed by falling rates. Revenue stalls at 0-2% growth for several years and pretax margin compresses to ~20-21% before stabilising; the company keeps distributing the large majority of a much smaller earnings base rather than cutting the payout, but the earnings base itself is impaired.</t>
  </si>
  <si>
    <t xml:space="preserve">Scenario narrative: base</t>
  </si>
  <si>
    <t xml:space="preserve">AMP compounds revenue at 7% fading to 3.5%, as the Huntington Bank onboarding (260 advisors, ~$28bn assets) more than offsets the Comerica wind-down and record wrap-asset growth (+19% YoY) and advisor productivity (+12% YoY) continue, while organic net inflows keep decelerating and Columbia Threadneedle keeps bleeding ~$6.5bn/quarter in outflows even as AUM grows on market appreciation. Pretax margin holds near 25.5-26.5% and the business distributes ~90% of net income as dividends and buybacks (capital retained only to fund the growth a 50% ROE requires). At a 9.7% cost of equity the franchise is worth materially less than the price the market pays for a business compounding EPS at low-double-digits through buybacks alone.</t>
  </si>
  <si>
    <t xml:space="preserve">Scenario narrative: bull</t>
  </si>
  <si>
    <t xml:space="preserve">Huntington overshoots, further institutional wins follow, the advisor-recruiting war becomes a moat rather than a threat as AI tools widen AMP's productivity lead, Columbia Threadneedle turns net-inflow positive, and a sustained equity bull market lifts AUM/AUA broadly. Revenue grows 10% fading to a 5% terminal rate and pretax margin expands to 28%, with ROE near 53%. Even this case may not close the full gap to market price at a 9.7% cost of equity if the market is capitalising the buyback-driven EPS growth at a materially lower implied return.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</si>
  <si>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</si>
  <si>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</si>
  <si>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</si>
  <si>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</si>
  <si>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</si>
  <si>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</si>
  <si>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</si>
  <si>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</si>
  <si>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</si>
  <si>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</si>
  <si>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</si>
  <si>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</si>
  <si>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</si>
  <si>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</si>
  <si>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</si>
  <si>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</si>
  <si>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</si>
  <si>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</si>
  <si>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</si>
  <si>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</si>
  <si>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</si>
  <si>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</si>
  <si>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</si>
  <si>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</si>
  <si>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</si>
  <si>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</si>
  <si>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</si>
  <si>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</si>
  <si>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</si>
  <si>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</si>
  <si>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</si>
  <si>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</si>
  <si>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</si>
  <si>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</si>
  <si>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</si>
  <si>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</si>
  <si>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</si>
  <si>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</si>
  <si>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</si>
  <si>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</si>
  <si>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</si>
  <si>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</si>
  <si>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</si>
  <si>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</si>
  <si>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</si>
  <si>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</si>
  <si>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</si>
  <si>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</si>
  <si>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</si>
  <si>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</si>
  <si>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</si>
  <si>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</si>
  <si>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</si>
  <si>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</si>
  <si>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</si>
  <si>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</si>
  <si>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through Q2-2026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</si>
  <si>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</si>
  <si>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</si>
  <si>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</si>
  <si>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</si>
  <si>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through Q2-2027</t>
  </si>
  <si>
    <t xml:space="preserve">TTM through Q2-2028</t>
  </si>
  <si>
    <t xml:space="preserve">TTM through Q2-2029</t>
  </si>
  <si>
    <t xml:space="preserve">TTM through Q2-2030</t>
  </si>
  <si>
    <t xml:space="preserve">TTM through Q2-2031</t>
  </si>
  <si>
    <t xml:space="preserve">TTM through Q2-2032</t>
  </si>
  <si>
    <t xml:space="preserve">TTM through Q2-2033</t>
  </si>
  <si>
    <t xml:space="preserve">TTM through Q2-2034</t>
  </si>
  <si>
    <t xml:space="preserve">TTM through Q2-2035</t>
  </si>
  <si>
    <t xml:space="preserve">TTM through Q2-2036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</si>
  <si>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</si>
  <si>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</si>
  <si>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</si>
  <si>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</si>
  <si>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</si>
  <si>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</si>
  <si>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</si>
  <si>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</si>
  <si>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</si>
  <si>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</si>
  <si>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</si>
  <si>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</si>
  <si>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</si>
  <si>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</si>
  <si>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AMP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</si>
  <si>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</si>
  <si>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</si>
  <si>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</si>
  <si>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</si>
  <si>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</si>
  <si>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</si>
  <si>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</si>
  <si>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</si>
  <si>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</si>
  <si>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</si>
  <si>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</si>
  <si>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</si>
  <si>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</si>
  <si>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</si>
  <si>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</si>
  <si>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</si>
  <si>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</si>
  <si>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</si>
  <si>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</si>
  <si>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</si>
  <si>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</si>
  <si>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</si>
  <si>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</si>
  <si>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</si>
  <si>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</si>
  <si>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</si>
  <si>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</si>
  <si>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</si>
  <si>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</si>
  <si>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</si>
  <si>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AMP owner-FCF component DCF: base case (millions, USD)</t>
  </si>
  <si>
    <t xml:space="preserve">AMP owner-FCF component DCF: bull case (millions, USD)</t>
  </si>
  <si>
    <t xml:space="preserve">AMP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</si>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</sst>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485.15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8356</v>
      </c>
      <c r="S2" s="0" t="n">
        <v>2760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8755</v>
      </c>
      <c r="I3" s="0" t="n">
        <v>814</v>
      </c>
      <c r="J3" s="0" t="n">
        <v>9.29754426042262</v>
      </c>
      <c r="K3" s="0" t="n">
        <v>3.39</v>
      </c>
      <c r="L3" s="0" t="n">
        <v>766</v>
      </c>
      <c r="O3" s="0" t="n">
        <v>8180</v>
      </c>
      <c r="S3" s="0" t="n">
        <v>3836</v>
      </c>
      <c r="T3" s="0" t="n">
        <v>239.9</v>
      </c>
      <c r="U3" s="0" t="n">
        <v>143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7097</v>
      </c>
      <c r="I4" s="0" t="n">
        <v>-36</v>
      </c>
      <c r="J4" s="0" t="n">
        <v>-0.507256587290404</v>
      </c>
      <c r="K4" s="0" t="n">
        <v>-0.16</v>
      </c>
      <c r="L4" s="0" t="n">
        <v>2061</v>
      </c>
      <c r="O4" s="0" t="n">
        <v>6463</v>
      </c>
      <c r="P4" s="0" t="n">
        <v>95577</v>
      </c>
      <c r="Q4" s="0" t="n">
        <v>89110</v>
      </c>
      <c r="R4" s="0" t="n">
        <v>2027</v>
      </c>
      <c r="S4" s="0" t="n">
        <v>6228</v>
      </c>
      <c r="T4" s="0" t="n">
        <v>224.9</v>
      </c>
      <c r="U4" s="0" t="n">
        <v>148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7538</v>
      </c>
      <c r="I5" s="0" t="n">
        <v>737</v>
      </c>
      <c r="J5" s="0" t="n">
        <v>9.77712921199257</v>
      </c>
      <c r="K5" s="0" t="n">
        <v>2.95</v>
      </c>
      <c r="L5" s="0" t="n">
        <v>-1318</v>
      </c>
      <c r="O5" s="0" t="n">
        <v>8600</v>
      </c>
      <c r="P5" s="0" t="n">
        <v>113770</v>
      </c>
      <c r="Q5" s="0" t="n">
        <v>103898</v>
      </c>
      <c r="R5" s="0" t="n">
        <v>2249</v>
      </c>
      <c r="S5" s="0" t="n">
        <v>3097</v>
      </c>
      <c r="T5" s="0" t="n">
        <v>244.4</v>
      </c>
      <c r="U5" s="0" t="n">
        <v>182</v>
      </c>
      <c r="V5" s="0" t="n">
        <v>0.68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9582</v>
      </c>
      <c r="I6" s="0" t="n">
        <v>1152</v>
      </c>
      <c r="J6" s="0" t="n">
        <v>12.0225422667502</v>
      </c>
      <c r="K6" s="0" t="n">
        <v>3.77</v>
      </c>
      <c r="L6" s="0" t="n">
        <v>1847</v>
      </c>
      <c r="O6" s="0" t="n">
        <v>9950</v>
      </c>
      <c r="P6" s="0" t="n">
        <v>131214</v>
      </c>
      <c r="Q6" s="0" t="n">
        <v>119929</v>
      </c>
      <c r="S6" s="0" t="n">
        <v>2861</v>
      </c>
      <c r="T6" s="0" t="n">
        <v>262.3</v>
      </c>
      <c r="U6" s="0" t="n">
        <v>158</v>
      </c>
      <c r="V6" s="0" t="n">
        <v>0.71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10239</v>
      </c>
      <c r="I7" s="0" t="n">
        <v>1010</v>
      </c>
      <c r="J7" s="0" t="n">
        <v>9.86424455513234</v>
      </c>
      <c r="K7" s="0" t="n">
        <v>4.53</v>
      </c>
      <c r="L7" s="0" t="n">
        <v>2178</v>
      </c>
      <c r="O7" s="0" t="n">
        <v>9694</v>
      </c>
      <c r="P7" s="0" t="n">
        <v>132307</v>
      </c>
      <c r="Q7" s="0" t="n">
        <v>122613</v>
      </c>
      <c r="S7" s="0" t="n">
        <v>2781</v>
      </c>
      <c r="T7" s="0" t="n">
        <v>246.3</v>
      </c>
      <c r="U7" s="0" t="n">
        <v>145</v>
      </c>
      <c r="V7" s="0" t="n">
        <v>1.15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10259</v>
      </c>
      <c r="I8" s="0" t="n">
        <v>1029</v>
      </c>
      <c r="J8" s="0" t="n">
        <v>10.0302173701141</v>
      </c>
      <c r="K8" s="0" t="n">
        <v>4.62</v>
      </c>
      <c r="L8" s="0" t="n">
        <v>1505</v>
      </c>
      <c r="O8" s="0" t="n">
        <v>9712</v>
      </c>
      <c r="P8" s="0" t="n">
        <v>134729</v>
      </c>
      <c r="Q8" s="0" t="n">
        <v>125017</v>
      </c>
      <c r="S8" s="0" t="n">
        <v>2371</v>
      </c>
      <c r="T8" s="0" t="n">
        <v>222.8</v>
      </c>
      <c r="U8" s="0" t="n">
        <v>134</v>
      </c>
      <c r="V8" s="0" t="n">
        <v>1.15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11230</v>
      </c>
      <c r="I9" s="0" t="n">
        <v>1334</v>
      </c>
      <c r="J9" s="0" t="n">
        <v>11.8788958147818</v>
      </c>
      <c r="K9" s="0" t="n">
        <v>6.44</v>
      </c>
      <c r="L9" s="0" t="n">
        <v>1364</v>
      </c>
      <c r="O9" s="0" t="n">
        <v>9206</v>
      </c>
      <c r="P9" s="0" t="n">
        <v>144576</v>
      </c>
      <c r="Q9" s="0" t="n">
        <v>135344</v>
      </c>
      <c r="S9" s="0" t="n">
        <v>2632</v>
      </c>
      <c r="T9" s="0" t="n">
        <v>207.1</v>
      </c>
      <c r="U9" s="0" t="n">
        <v>143</v>
      </c>
      <c r="V9" s="0" t="n">
        <v>2.01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12296</v>
      </c>
      <c r="I10" s="0" t="n">
        <v>1619</v>
      </c>
      <c r="J10" s="0" t="n">
        <v>13.1668835393624</v>
      </c>
      <c r="K10" s="0" t="n">
        <v>8.3</v>
      </c>
      <c r="L10" s="0" t="n">
        <v>2399</v>
      </c>
      <c r="O10" s="0" t="n">
        <v>9279</v>
      </c>
      <c r="P10" s="0" t="n">
        <v>148810</v>
      </c>
      <c r="Q10" s="0" t="n">
        <v>139505</v>
      </c>
      <c r="S10" s="0" t="n">
        <v>2638</v>
      </c>
      <c r="T10" s="0" t="n">
        <v>195</v>
      </c>
      <c r="U10" s="0" t="n">
        <v>130</v>
      </c>
      <c r="V10" s="0" t="n">
        <v>2.26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12200</v>
      </c>
      <c r="I11" s="0" t="n">
        <v>1562</v>
      </c>
      <c r="J11" s="0" t="n">
        <v>12.8032786885246</v>
      </c>
      <c r="K11" s="0" t="n">
        <v>8.48</v>
      </c>
      <c r="L11" s="0" t="n">
        <v>2691</v>
      </c>
      <c r="O11" s="0" t="n">
        <v>8379</v>
      </c>
      <c r="P11" s="0" t="n">
        <v>145339</v>
      </c>
      <c r="Q11" s="0" t="n">
        <v>136960</v>
      </c>
      <c r="S11" s="0" t="n">
        <v>2357</v>
      </c>
      <c r="T11" s="0" t="n">
        <v>184.2</v>
      </c>
      <c r="U11" s="0" t="n">
        <v>145</v>
      </c>
      <c r="V11" s="0" t="n">
        <v>2.59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11839</v>
      </c>
      <c r="I12" s="0" t="n">
        <v>1313</v>
      </c>
      <c r="J12" s="0" t="n">
        <v>11.0904637215981</v>
      </c>
      <c r="K12" s="0" t="n">
        <v>7.81</v>
      </c>
      <c r="L12" s="0" t="n">
        <v>2331</v>
      </c>
      <c r="O12" s="0" t="n">
        <v>6289</v>
      </c>
      <c r="P12" s="0" t="n">
        <v>139821</v>
      </c>
      <c r="Q12" s="0" t="n">
        <v>133529</v>
      </c>
      <c r="S12" s="0" t="n">
        <v>2318</v>
      </c>
      <c r="T12" s="0" t="n">
        <v>168.2</v>
      </c>
      <c r="U12" s="0" t="n">
        <v>134</v>
      </c>
      <c r="V12" s="0" t="n">
        <v>2.92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12180</v>
      </c>
      <c r="I13" s="0" t="n">
        <v>1480</v>
      </c>
      <c r="J13" s="0" t="n">
        <v>12.1510673234811</v>
      </c>
      <c r="K13" s="0" t="n">
        <v>9.44</v>
      </c>
      <c r="L13" s="0" t="n">
        <v>1523</v>
      </c>
      <c r="O13" s="0" t="n">
        <v>5995</v>
      </c>
      <c r="P13" s="0" t="n">
        <v>147480</v>
      </c>
      <c r="Q13" s="0" t="n">
        <v>141485</v>
      </c>
      <c r="T13" s="0" t="n">
        <v>156.7</v>
      </c>
      <c r="U13" s="0" t="n">
        <v>121</v>
      </c>
      <c r="V13" s="0" t="n">
        <v>3.24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12924</v>
      </c>
      <c r="I14" s="0" t="n">
        <v>2098</v>
      </c>
      <c r="J14" s="0" t="n">
        <v>16.2333642835036</v>
      </c>
      <c r="K14" s="0" t="n">
        <v>14.2</v>
      </c>
      <c r="L14" s="0" t="n">
        <v>2597</v>
      </c>
      <c r="O14" s="0" t="n">
        <v>5588</v>
      </c>
      <c r="P14" s="0" t="n">
        <v>137216</v>
      </c>
      <c r="Q14" s="0" t="n">
        <v>131628</v>
      </c>
      <c r="T14" s="0" t="n">
        <v>147.7</v>
      </c>
      <c r="U14" s="0" t="n">
        <v>144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13103</v>
      </c>
      <c r="I15" s="0" t="n">
        <v>1893</v>
      </c>
      <c r="J15" s="0" t="n">
        <v>14.447073189346</v>
      </c>
      <c r="K15" s="0" t="n">
        <v>13.92</v>
      </c>
      <c r="L15" s="0" t="n">
        <v>2341</v>
      </c>
      <c r="O15" s="0" t="n">
        <v>5911</v>
      </c>
      <c r="P15" s="0" t="n">
        <v>151828</v>
      </c>
      <c r="Q15" s="0" t="n">
        <v>146099</v>
      </c>
      <c r="T15" s="0" t="n">
        <v>136</v>
      </c>
      <c r="U15" s="0" t="n">
        <v>135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11958</v>
      </c>
      <c r="I16" s="0" t="n">
        <v>1534</v>
      </c>
      <c r="J16" s="0" t="n">
        <v>12.8282321458438</v>
      </c>
      <c r="K16" s="0" t="n">
        <v>12.2</v>
      </c>
      <c r="L16" s="0" t="n">
        <v>4623</v>
      </c>
      <c r="O16" s="0" t="n">
        <v>6131</v>
      </c>
      <c r="P16" s="0" t="n">
        <v>165883</v>
      </c>
      <c r="Q16" s="0" t="n">
        <v>160016</v>
      </c>
      <c r="T16" s="0" t="n">
        <v>125.7</v>
      </c>
      <c r="U16" s="0" t="n">
        <v>146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13389</v>
      </c>
      <c r="I17" s="0" t="n">
        <v>3417</v>
      </c>
      <c r="J17" s="0" t="n">
        <v>25.5209500336097</v>
      </c>
      <c r="K17" s="0" t="n">
        <v>28.48</v>
      </c>
      <c r="L17" s="0" t="n">
        <v>3325</v>
      </c>
      <c r="O17" s="0" t="n">
        <v>4837</v>
      </c>
      <c r="P17" s="0" t="n">
        <v>177735</v>
      </c>
      <c r="Q17" s="0" t="n">
        <v>172898</v>
      </c>
      <c r="T17" s="0" t="n">
        <v>120</v>
      </c>
      <c r="U17" s="0" t="n">
        <v>152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14334</v>
      </c>
      <c r="I18" s="0" t="n">
        <v>3149</v>
      </c>
      <c r="J18" s="0" t="n">
        <v>21.9687456397377</v>
      </c>
      <c r="K18" s="0" t="n">
        <v>27.7</v>
      </c>
      <c r="L18" s="0" t="n">
        <v>4407</v>
      </c>
      <c r="O18" s="0" t="n">
        <v>3803</v>
      </c>
      <c r="P18" s="0" t="n">
        <v>158852</v>
      </c>
      <c r="Q18" s="0" t="n">
        <v>155049</v>
      </c>
      <c r="T18" s="0" t="n">
        <v>113.7</v>
      </c>
      <c r="U18" s="0" t="n">
        <v>170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16096</v>
      </c>
      <c r="I19" s="0" t="n">
        <v>2556</v>
      </c>
      <c r="J19" s="0" t="n">
        <v>15.8797216699801</v>
      </c>
      <c r="K19" s="0" t="n">
        <v>23.71</v>
      </c>
      <c r="L19" s="0" t="n">
        <v>4685</v>
      </c>
      <c r="O19" s="0" t="n">
        <v>4729</v>
      </c>
      <c r="P19" s="0" t="n">
        <v>175191</v>
      </c>
      <c r="Q19" s="0" t="n">
        <v>170462</v>
      </c>
      <c r="T19" s="0" t="n">
        <v>107.8</v>
      </c>
      <c r="U19" s="0" t="n">
        <v>187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17926</v>
      </c>
      <c r="I20" s="0" t="n">
        <v>3401</v>
      </c>
      <c r="J20" s="0" t="n">
        <v>18.9724422626353</v>
      </c>
      <c r="K20" s="0" t="n">
        <v>33.05</v>
      </c>
      <c r="L20" s="0" t="n">
        <v>6595</v>
      </c>
      <c r="O20" s="0" t="n">
        <v>5228</v>
      </c>
      <c r="P20" s="0" t="n">
        <v>181403</v>
      </c>
      <c r="Q20" s="0" t="n">
        <v>176175</v>
      </c>
      <c r="T20" s="0" t="n">
        <v>102.9</v>
      </c>
      <c r="U20" s="0" t="n">
        <v>193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18911</v>
      </c>
      <c r="I21" s="0" t="n">
        <v>3563</v>
      </c>
      <c r="J21" s="0" t="n">
        <v>18.840886256676</v>
      </c>
      <c r="K21" s="0" t="n">
        <v>36.28</v>
      </c>
      <c r="L21" s="0" t="n">
        <v>8323</v>
      </c>
      <c r="O21" s="0" t="n">
        <v>6549</v>
      </c>
      <c r="P21" s="0" t="n">
        <v>190904</v>
      </c>
      <c r="Q21" s="0" t="n">
        <v>184355</v>
      </c>
      <c r="T21" s="0" t="n">
        <v>98.2</v>
      </c>
      <c r="U21" s="0" t="n">
        <v>206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485.15</v>
      </c>
    </row>
    <row r="3" customFormat="false" ht="15" hidden="false" customHeight="false" outlineLevel="0" collapsed="false">
      <c r="A3" s="0" t="s">
        <v>86</v>
      </c>
      <c r="B3" s="3" t="n">
        <v>92.9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19839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</v>
      </c>
      <c r="D13" s="3" t="n">
        <v>0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22.1</v>
      </c>
      <c r="D14" s="3" t="n">
        <v>20.6</v>
      </c>
      <c r="E14" s="3" t="n">
        <v>20.6</v>
      </c>
      <c r="F14" s="3" t="n">
        <v>21.1</v>
      </c>
      <c r="G14" s="3" t="n">
        <v>21.6</v>
      </c>
      <c r="H14" s="3" t="n">
        <v>22.1</v>
      </c>
      <c r="I14" s="3" t="n">
        <v>22.1</v>
      </c>
      <c r="J14" s="3" t="n">
        <v>22.1</v>
      </c>
      <c r="K14" s="3" t="n">
        <v>22.1</v>
      </c>
      <c r="L14" s="3" t="n">
        <v>22.1</v>
      </c>
    </row>
    <row r="15" customFormat="false" ht="15" hidden="false" customHeight="false" outlineLevel="0" collapsed="false">
      <c r="A15" s="0" t="s">
        <v>109</v>
      </c>
      <c r="C15" s="3" t="n">
        <v>1.09</v>
      </c>
      <c r="D15" s="3" t="n">
        <v>1.09</v>
      </c>
      <c r="E15" s="3" t="n">
        <v>1.09</v>
      </c>
      <c r="F15" s="3" t="n">
        <v>1.09</v>
      </c>
      <c r="G15" s="3" t="n">
        <v>1.09</v>
      </c>
      <c r="H15" s="3" t="n">
        <v>1.09</v>
      </c>
      <c r="I15" s="3" t="n">
        <v>1.09</v>
      </c>
      <c r="J15" s="3" t="n">
        <v>1.09</v>
      </c>
      <c r="K15" s="3" t="n">
        <v>1.09</v>
      </c>
      <c r="L15" s="3" t="n">
        <v>1.09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0.37</v>
      </c>
      <c r="D18" s="3" t="n">
        <v>0</v>
      </c>
      <c r="E18" s="3" t="n">
        <v>0.35</v>
      </c>
      <c r="F18" s="3" t="n">
        <v>0.71</v>
      </c>
      <c r="G18" s="3" t="n">
        <v>0.73</v>
      </c>
      <c r="H18" s="3" t="n">
        <v>0.74</v>
      </c>
      <c r="I18" s="3" t="n">
        <v>0.74</v>
      </c>
      <c r="J18" s="3" t="n">
        <v>0.74</v>
      </c>
      <c r="K18" s="3" t="n">
        <v>0.74</v>
      </c>
      <c r="L18" s="3" t="n">
        <v>0.74</v>
      </c>
    </row>
    <row r="19" customFormat="false" ht="15" hidden="false" customHeight="false" outlineLevel="0" collapsed="false">
      <c r="A19" s="0" t="s">
        <v>113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114</v>
      </c>
      <c r="B20" s="3" t="n">
        <v>9.7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13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0.3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7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3.5</v>
      </c>
      <c r="L27" s="3" t="n">
        <v>3.5</v>
      </c>
    </row>
    <row r="28" customFormat="false" ht="15" hidden="false" customHeight="false" outlineLevel="0" collapsed="false">
      <c r="A28" s="0" t="s">
        <v>108</v>
      </c>
      <c r="C28" s="3" t="n">
        <v>26.55</v>
      </c>
      <c r="D28" s="3" t="n">
        <v>26.3</v>
      </c>
      <c r="E28" s="3" t="n">
        <v>26.4</v>
      </c>
      <c r="F28" s="3" t="n">
        <v>26.5</v>
      </c>
      <c r="G28" s="3" t="n">
        <v>26.6</v>
      </c>
      <c r="H28" s="3" t="n">
        <v>26.6</v>
      </c>
      <c r="I28" s="3" t="n">
        <v>26.6</v>
      </c>
      <c r="J28" s="3" t="n">
        <v>26.6</v>
      </c>
      <c r="K28" s="3" t="n">
        <v>26.6</v>
      </c>
      <c r="L28" s="3" t="n">
        <v>26.6</v>
      </c>
    </row>
    <row r="29" customFormat="false" ht="15" hidden="false" customHeight="false" outlineLevel="0" collapsed="false">
      <c r="A29" s="0" t="s">
        <v>109</v>
      </c>
      <c r="C29" s="3" t="n">
        <v>1.09</v>
      </c>
      <c r="D29" s="3" t="n">
        <v>1.09</v>
      </c>
      <c r="E29" s="3" t="n">
        <v>1.09</v>
      </c>
      <c r="F29" s="3" t="n">
        <v>1.09</v>
      </c>
      <c r="G29" s="3" t="n">
        <v>1.09</v>
      </c>
      <c r="H29" s="3" t="n">
        <v>1.09</v>
      </c>
      <c r="I29" s="3" t="n">
        <v>1.09</v>
      </c>
      <c r="J29" s="3" t="n">
        <v>1.09</v>
      </c>
      <c r="K29" s="3" t="n">
        <v>1.09</v>
      </c>
      <c r="L29" s="3" t="n">
        <v>1.09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2.73</v>
      </c>
      <c r="D32" s="3" t="n">
        <v>2.36</v>
      </c>
      <c r="E32" s="3" t="n">
        <v>2.17</v>
      </c>
      <c r="F32" s="3" t="n">
        <v>1.98</v>
      </c>
      <c r="G32" s="3" t="n">
        <v>1.78</v>
      </c>
      <c r="H32" s="3" t="n">
        <v>1.58</v>
      </c>
      <c r="I32" s="3" t="n">
        <v>1.58</v>
      </c>
      <c r="J32" s="3" t="n">
        <v>1.39</v>
      </c>
      <c r="K32" s="3" t="n">
        <v>1.39</v>
      </c>
      <c r="L32" s="3" t="n">
        <v>1.39</v>
      </c>
    </row>
    <row r="33" customFormat="false" ht="15" hidden="false" customHeight="false" outlineLevel="0" collapsed="false">
      <c r="A33" s="0" t="s">
        <v>113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114</v>
      </c>
      <c r="B34" s="3" t="n">
        <v>9.7</v>
      </c>
    </row>
    <row r="35" customFormat="false" ht="15" hidden="false" customHeight="false" outlineLevel="0" collapsed="false">
      <c r="A35" s="0" t="s">
        <v>115</v>
      </c>
      <c r="B35" s="3" t="n">
        <v>3.5</v>
      </c>
    </row>
    <row r="36" customFormat="false" ht="15" hidden="false" customHeight="false" outlineLevel="0" collapsed="false">
      <c r="A36" s="0" t="s">
        <v>116</v>
      </c>
      <c r="B36" s="3" t="n">
        <v>17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10</v>
      </c>
      <c r="D41" s="3" t="n">
        <v>9</v>
      </c>
      <c r="E41" s="3" t="n">
        <v>8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5</v>
      </c>
      <c r="L41" s="3" t="n">
        <v>5</v>
      </c>
    </row>
    <row r="42" customFormat="false" ht="15" hidden="false" customHeight="false" outlineLevel="0" collapsed="false">
      <c r="A42" s="0" t="s">
        <v>108</v>
      </c>
      <c r="C42" s="3" t="n">
        <v>27.6</v>
      </c>
      <c r="D42" s="3" t="n">
        <v>28.1</v>
      </c>
      <c r="E42" s="3" t="n">
        <v>28.6</v>
      </c>
      <c r="F42" s="3" t="n">
        <v>29.1</v>
      </c>
      <c r="G42" s="3" t="n">
        <v>29.1</v>
      </c>
      <c r="H42" s="3" t="n">
        <v>29.1</v>
      </c>
      <c r="I42" s="3" t="n">
        <v>29.1</v>
      </c>
      <c r="J42" s="3" t="n">
        <v>29.1</v>
      </c>
      <c r="K42" s="3" t="n">
        <v>29.1</v>
      </c>
      <c r="L42" s="3" t="n">
        <v>29.1</v>
      </c>
    </row>
    <row r="43" customFormat="false" ht="15" hidden="false" customHeight="false" outlineLevel="0" collapsed="false">
      <c r="A43" s="0" t="s">
        <v>109</v>
      </c>
      <c r="C43" s="3" t="n">
        <v>1.09</v>
      </c>
      <c r="D43" s="3" t="n">
        <v>1.09</v>
      </c>
      <c r="E43" s="3" t="n">
        <v>1.09</v>
      </c>
      <c r="F43" s="3" t="n">
        <v>1.09</v>
      </c>
      <c r="G43" s="3" t="n">
        <v>1.09</v>
      </c>
      <c r="H43" s="3" t="n">
        <v>1.09</v>
      </c>
      <c r="I43" s="3" t="n">
        <v>1.09</v>
      </c>
      <c r="J43" s="3" t="n">
        <v>1.09</v>
      </c>
      <c r="K43" s="3" t="n">
        <v>1.09</v>
      </c>
      <c r="L43" s="3" t="n">
        <v>1.09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3.9</v>
      </c>
      <c r="D46" s="3" t="n">
        <v>3.58</v>
      </c>
      <c r="E46" s="3" t="n">
        <v>3.24</v>
      </c>
      <c r="F46" s="3" t="n">
        <v>2.88</v>
      </c>
      <c r="G46" s="3" t="n">
        <v>2.68</v>
      </c>
      <c r="H46" s="3" t="n">
        <v>2.47</v>
      </c>
      <c r="I46" s="3" t="n">
        <v>2.27</v>
      </c>
      <c r="J46" s="3" t="n">
        <v>2.06</v>
      </c>
      <c r="K46" s="3" t="n">
        <v>2.06</v>
      </c>
      <c r="L46" s="3" t="n">
        <v>2.06</v>
      </c>
    </row>
    <row r="47" customFormat="false" ht="15" hidden="false" customHeight="false" outlineLevel="0" collapsed="false">
      <c r="A47" s="0" t="s">
        <v>113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114</v>
      </c>
      <c r="B48" s="3" t="n">
        <v>9.7</v>
      </c>
    </row>
    <row r="49" customFormat="false" ht="15" hidden="false" customHeight="false" outlineLevel="0" collapsed="false">
      <c r="A49" s="0" t="s">
        <v>115</v>
      </c>
      <c r="B49" s="3" t="n">
        <v>5</v>
      </c>
    </row>
    <row r="50" customFormat="false" ht="15" hidden="false" customHeight="false" outlineLevel="0" collapsed="false">
      <c r="A50" s="0" t="s">
        <v>116</v>
      </c>
      <c r="B50" s="3" t="n">
        <v>19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19839</v>
      </c>
      <c r="C6" s="0" t="n">
        <f aca="false">B6*(1+C5/100)</f>
        <v>20037.39</v>
      </c>
      <c r="D6" s="0" t="n">
        <f aca="false">C6*(1+D5/100)</f>
        <v>20037.39</v>
      </c>
      <c r="E6" s="0" t="n">
        <f aca="false">D6*(1+E5/100)</f>
        <v>20237.7639</v>
      </c>
      <c r="F6" s="0" t="n">
        <f aca="false">E6*(1+F5/100)</f>
        <v>20642.519178</v>
      </c>
      <c r="G6" s="0" t="n">
        <f aca="false">F6*(1+G5/100)</f>
        <v>21055.36956156</v>
      </c>
      <c r="H6" s="0" t="n">
        <f aca="false">G6*(1+H5/100)</f>
        <v>21476.4769527912</v>
      </c>
      <c r="I6" s="0" t="n">
        <f aca="false">H6*(1+I5/100)</f>
        <v>21906.006491847</v>
      </c>
      <c r="J6" s="0" t="n">
        <f aca="false">I6*(1+J5/100)</f>
        <v>22344.126621684</v>
      </c>
      <c r="K6" s="0" t="n">
        <f aca="false">J6*(1+K5/100)</f>
        <v>22791.0091541176</v>
      </c>
      <c r="L6" s="0" t="n">
        <f aca="false">K6*(1+L5/100)</f>
        <v>23246.8293372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22.1</v>
      </c>
      <c r="D7" s="4" t="n">
        <f aca="false">Assumptions!D14</f>
        <v>20.6</v>
      </c>
      <c r="E7" s="4" t="n">
        <f aca="false">Assumptions!E14</f>
        <v>20.6</v>
      </c>
      <c r="F7" s="4" t="n">
        <f aca="false">Assumptions!F14</f>
        <v>21.1</v>
      </c>
      <c r="G7" s="4" t="n">
        <f aca="false">Assumptions!G14</f>
        <v>21.6</v>
      </c>
      <c r="H7" s="4" t="n">
        <f aca="false">Assumptions!H14</f>
        <v>22.1</v>
      </c>
      <c r="I7" s="4" t="n">
        <f aca="false">Assumptions!I14</f>
        <v>22.1</v>
      </c>
      <c r="J7" s="4" t="n">
        <f aca="false">Assumptions!J14</f>
        <v>22.1</v>
      </c>
      <c r="K7" s="4" t="n">
        <f aca="false">Assumptions!K14</f>
        <v>22.1</v>
      </c>
      <c r="L7" s="4" t="n">
        <f aca="false">Assumptions!L14</f>
        <v>22.1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4428.26319</v>
      </c>
      <c r="D8" s="0" t="n">
        <f aca="false">D6*D7/100</f>
        <v>4127.70234</v>
      </c>
      <c r="E8" s="0" t="n">
        <f aca="false">E6*E7/100</f>
        <v>4168.9793634</v>
      </c>
      <c r="F8" s="0" t="n">
        <f aca="false">F6*F7/100</f>
        <v>4355.571546558</v>
      </c>
      <c r="G8" s="0" t="n">
        <f aca="false">G6*G7/100</f>
        <v>4547.95982529696</v>
      </c>
      <c r="H8" s="0" t="n">
        <f aca="false">H6*H7/100</f>
        <v>4746.30140656686</v>
      </c>
      <c r="I8" s="0" t="n">
        <f aca="false">I6*I7/100</f>
        <v>4841.22743469819</v>
      </c>
      <c r="J8" s="0" t="n">
        <f aca="false">J6*J7/100</f>
        <v>4938.05198339216</v>
      </c>
      <c r="K8" s="0" t="n">
        <f aca="false">K6*K7/100</f>
        <v>5036.81302306</v>
      </c>
      <c r="L8" s="0" t="n">
        <f aca="false">L6*L7/100</f>
        <v>5137.5492835212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1.09</v>
      </c>
      <c r="D9" s="4" t="n">
        <f aca="false">Assumptions!D15</f>
        <v>1.09</v>
      </c>
      <c r="E9" s="4" t="n">
        <f aca="false">Assumptions!E15</f>
        <v>1.09</v>
      </c>
      <c r="F9" s="4" t="n">
        <f aca="false">Assumptions!F15</f>
        <v>1.09</v>
      </c>
      <c r="G9" s="4" t="n">
        <f aca="false">Assumptions!G15</f>
        <v>1.09</v>
      </c>
      <c r="H9" s="4" t="n">
        <f aca="false">Assumptions!H15</f>
        <v>1.09</v>
      </c>
      <c r="I9" s="4" t="n">
        <f aca="false">Assumptions!I15</f>
        <v>1.09</v>
      </c>
      <c r="J9" s="4" t="n">
        <f aca="false">Assumptions!J15</f>
        <v>1.09</v>
      </c>
      <c r="K9" s="4" t="n">
        <f aca="false">Assumptions!K15</f>
        <v>1.09</v>
      </c>
      <c r="L9" s="4" t="n">
        <f aca="false">Assumptions!L15</f>
        <v>1.09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-218.407551</v>
      </c>
      <c r="D10" s="0" t="n">
        <f aca="false">-D6*D9/100</f>
        <v>-218.407551</v>
      </c>
      <c r="E10" s="0" t="n">
        <f aca="false">-E6*E9/100</f>
        <v>-220.59162651</v>
      </c>
      <c r="F10" s="0" t="n">
        <f aca="false">-F6*F9/100</f>
        <v>-225.0034590402</v>
      </c>
      <c r="G10" s="0" t="n">
        <f aca="false">-G6*G9/100</f>
        <v>-229.503528221004</v>
      </c>
      <c r="H10" s="0" t="n">
        <f aca="false">-H6*H9/100</f>
        <v>-234.093598785424</v>
      </c>
      <c r="I10" s="0" t="n">
        <f aca="false">-I6*I9/100</f>
        <v>-238.775470761133</v>
      </c>
      <c r="J10" s="0" t="n">
        <f aca="false">-J6*J9/100</f>
        <v>-243.550980176355</v>
      </c>
      <c r="K10" s="0" t="n">
        <f aca="false">-K6*K9/100</f>
        <v>-248.421999779882</v>
      </c>
      <c r="L10" s="0" t="n">
        <f aca="false">-L6*L9/100</f>
        <v>-253.39043977548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4209.855639</v>
      </c>
      <c r="D11" s="0" t="n">
        <f aca="false">D8+D10+D24</f>
        <v>3909.294789</v>
      </c>
      <c r="E11" s="0" t="n">
        <f aca="false">E8+E10+E24</f>
        <v>3948.38773689</v>
      </c>
      <c r="F11" s="0" t="n">
        <f aca="false">F8+F10+F24</f>
        <v>4130.5680875178</v>
      </c>
      <c r="G11" s="0" t="n">
        <f aca="false">G8+G10+G24</f>
        <v>4318.45629707596</v>
      </c>
      <c r="H11" s="0" t="n">
        <f aca="false">H8+H10+H24</f>
        <v>4512.20780778143</v>
      </c>
      <c r="I11" s="0" t="n">
        <f aca="false">I8+I10+I24</f>
        <v>4602.45196393706</v>
      </c>
      <c r="J11" s="0" t="n">
        <f aca="false">J8+J10+J24</f>
        <v>4694.5010032158</v>
      </c>
      <c r="K11" s="0" t="n">
        <f aca="false">K8+K10+K24</f>
        <v>4788.39102328012</v>
      </c>
      <c r="L11" s="0" t="n">
        <f aca="false">L8+L10+L24</f>
        <v>4884.15884374572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4209.855639</v>
      </c>
      <c r="D13" s="0" t="n">
        <f aca="false">D11+D12</f>
        <v>3909.294789</v>
      </c>
      <c r="E13" s="0" t="n">
        <f aca="false">E11+E12</f>
        <v>3948.38773689</v>
      </c>
      <c r="F13" s="0" t="n">
        <f aca="false">F11+F12</f>
        <v>4130.5680875178</v>
      </c>
      <c r="G13" s="0" t="n">
        <f aca="false">G11+G12</f>
        <v>4318.45629707596</v>
      </c>
      <c r="H13" s="0" t="n">
        <f aca="false">H11+H12</f>
        <v>4512.20780778143</v>
      </c>
      <c r="I13" s="0" t="n">
        <f aca="false">I11+I12</f>
        <v>4602.45196393706</v>
      </c>
      <c r="J13" s="0" t="n">
        <f aca="false">J11+J12</f>
        <v>4694.5010032158</v>
      </c>
      <c r="K13" s="0" t="n">
        <f aca="false">K11+K12</f>
        <v>4788.39102328012</v>
      </c>
      <c r="L13" s="0" t="n">
        <f aca="false">L11+L12</f>
        <v>4884.15884374572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3283.68739842</v>
      </c>
      <c r="D15" s="0" t="n">
        <f aca="false">D13-MAX(0,D13)*D14/100</f>
        <v>3049.24993542</v>
      </c>
      <c r="E15" s="0" t="n">
        <f aca="false">E13-MAX(0,E13)*E14/100</f>
        <v>3079.7424347742</v>
      </c>
      <c r="F15" s="0" t="n">
        <f aca="false">F13-MAX(0,F13)*F14/100</f>
        <v>3221.84310826388</v>
      </c>
      <c r="G15" s="0" t="n">
        <f aca="false">G13-MAX(0,G13)*G14/100</f>
        <v>3368.39591171925</v>
      </c>
      <c r="H15" s="0" t="n">
        <f aca="false">H13-MAX(0,H13)*H14/100</f>
        <v>3519.52209006952</v>
      </c>
      <c r="I15" s="0" t="n">
        <f aca="false">I13-MAX(0,I13)*I14/100</f>
        <v>3589.91253187091</v>
      </c>
      <c r="J15" s="0" t="n">
        <f aca="false">J13-MAX(0,J13)*J14/100</f>
        <v>3661.71078250833</v>
      </c>
      <c r="K15" s="0" t="n">
        <f aca="false">K13-MAX(0,K13)*K14/100</f>
        <v>3734.94499815849</v>
      </c>
      <c r="L15" s="0" t="n">
        <f aca="false">L13-MAX(0,L13)*L14/100</f>
        <v>3809.64389812166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-74.138343</v>
      </c>
      <c r="D17" s="4" t="n">
        <f aca="false">-D6*Assumptions!D18/100</f>
        <v>-0</v>
      </c>
      <c r="E17" s="4" t="n">
        <f aca="false">-E6*Assumptions!E18/100</f>
        <v>-70.83217365</v>
      </c>
      <c r="F17" s="4" t="n">
        <f aca="false">-F6*Assumptions!F18/100</f>
        <v>-146.5618861638</v>
      </c>
      <c r="G17" s="4" t="n">
        <f aca="false">-G6*Assumptions!G18/100</f>
        <v>-153.704197799388</v>
      </c>
      <c r="H17" s="4" t="n">
        <f aca="false">-H6*Assumptions!H18/100</f>
        <v>-158.925929450655</v>
      </c>
      <c r="I17" s="4" t="n">
        <f aca="false">-I6*Assumptions!I18/100</f>
        <v>-162.104448039668</v>
      </c>
      <c r="J17" s="4" t="n">
        <f aca="false">-J6*Assumptions!J18/100</f>
        <v>-165.346537000461</v>
      </c>
      <c r="K17" s="4" t="n">
        <f aca="false">-K6*Assumptions!K18/100</f>
        <v>-168.653467740471</v>
      </c>
      <c r="L17" s="4" t="n">
        <f aca="false">-L6*Assumptions!L18/100</f>
        <v>-172.02653709528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3209.54905542</v>
      </c>
      <c r="D19" s="0" t="n">
        <f aca="false">D15+D16+D17+D18</f>
        <v>3049.24993542</v>
      </c>
      <c r="E19" s="0" t="n">
        <f aca="false">E15+E16+E17+E18</f>
        <v>3008.9102611242</v>
      </c>
      <c r="F19" s="0" t="n">
        <f aca="false">F15+F16+F17+F18</f>
        <v>3075.28122210008</v>
      </c>
      <c r="G19" s="0" t="n">
        <f aca="false">G15+G16+G17+G18</f>
        <v>3214.69171391986</v>
      </c>
      <c r="H19" s="0" t="n">
        <f aca="false">H15+H16+H17+H18</f>
        <v>3360.59616061886</v>
      </c>
      <c r="I19" s="0" t="n">
        <f aca="false">I15+I16+I17+I18</f>
        <v>3427.80808383124</v>
      </c>
      <c r="J19" s="0" t="n">
        <f aca="false">J15+J16+J17+J18</f>
        <v>3496.36424550786</v>
      </c>
      <c r="K19" s="0" t="n">
        <f aca="false">K15+K16+K17+K18</f>
        <v>3566.29153041802</v>
      </c>
      <c r="L19" s="0" t="n">
        <f aca="false">L15+L16+L17+L18</f>
        <v>3637.61736102638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0.911577028258888</v>
      </c>
      <c r="D20" s="0" t="n">
        <f aca="false">1/(1+$B$27/100)^D4</f>
        <v>0.830972678449305</v>
      </c>
      <c r="E20" s="0" t="n">
        <f aca="false">1/(1+$B$27/100)^E4</f>
        <v>0.757495604785146</v>
      </c>
      <c r="F20" s="0" t="n">
        <f aca="false">1/(1+$B$27/100)^F4</f>
        <v>0.690515592329213</v>
      </c>
      <c r="G20" s="0" t="n">
        <f aca="false">1/(1+$B$27/100)^G4</f>
        <v>0.629458151621889</v>
      </c>
      <c r="H20" s="0" t="n">
        <f aca="false">1/(1+$B$27/100)^H4</f>
        <v>0.573799591268814</v>
      </c>
      <c r="I20" s="0" t="n">
        <f aca="false">1/(1+$B$27/100)^I4</f>
        <v>0.52306252622499</v>
      </c>
      <c r="J20" s="0" t="n">
        <f aca="false">1/(1+$B$27/100)^J4</f>
        <v>0.476811783249763</v>
      </c>
      <c r="K20" s="0" t="n">
        <f aca="false">1/(1+$B$27/100)^K4</f>
        <v>0.43465066841364</v>
      </c>
      <c r="L20" s="0" t="n">
        <f aca="false">1/(1+$B$27/100)^L4</f>
        <v>0.396217564643245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2925.75118999088</v>
      </c>
      <c r="D21" s="0" t="n">
        <f aca="false">D19*D20</f>
        <v>2533.84338609733</v>
      </c>
      <c r="E21" s="0" t="n">
        <f aca="false">E19*E20</f>
        <v>2279.23629799451</v>
      </c>
      <c r="F21" s="0" t="n">
        <f aca="false">F19*F20</f>
        <v>2123.52963465734</v>
      </c>
      <c r="G21" s="0" t="n">
        <f aca="false">G19*G20</f>
        <v>2023.5139042782</v>
      </c>
      <c r="H21" s="0" t="n">
        <f aca="false">H19*H20</f>
        <v>1928.30870338265</v>
      </c>
      <c r="I21" s="0" t="n">
        <f aca="false">I19*I20</f>
        <v>1792.95795574321</v>
      </c>
      <c r="J21" s="0" t="n">
        <f aca="false">J19*J20</f>
        <v>1667.10767079132</v>
      </c>
      <c r="K21" s="0" t="n">
        <f aca="false">K19*K20</f>
        <v>1550.0909974541</v>
      </c>
      <c r="L21" s="0" t="n">
        <f aca="false">L19*L20</f>
        <v>1441.28789188986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9.7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20265.6276322794</v>
      </c>
    </row>
    <row r="31" customFormat="false" ht="15" hidden="false" customHeight="false" outlineLevel="0" collapsed="false">
      <c r="A31" s="0" t="s">
        <v>138</v>
      </c>
      <c r="B31" s="0" t="n">
        <f aca="false">L19</f>
        <v>3637.61736102638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48186.6195876222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47289.025693343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47289.025693343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18736.7425945682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39002.3702268476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39002.3702268476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419.831757016659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-0.134635149919285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1431.23428554501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1329.94412741242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449.553806671744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28541.3054480531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250.634541530636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19839</v>
      </c>
      <c r="C6" s="0" t="n">
        <f aca="false">B6*(1+C5/100)</f>
        <v>21227.73</v>
      </c>
      <c r="D6" s="0" t="n">
        <f aca="false">C6*(1+D5/100)</f>
        <v>22501.3938</v>
      </c>
      <c r="E6" s="0" t="n">
        <f aca="false">D6*(1+E5/100)</f>
        <v>23738.970459</v>
      </c>
      <c r="F6" s="0" t="n">
        <f aca="false">E6*(1+F5/100)</f>
        <v>24925.91898195</v>
      </c>
      <c r="G6" s="0" t="n">
        <f aca="false">F6*(1+G5/100)</f>
        <v>26047.5853361378</v>
      </c>
      <c r="H6" s="0" t="n">
        <f aca="false">G6*(1+H5/100)</f>
        <v>27089.4887495833</v>
      </c>
      <c r="I6" s="0" t="n">
        <f aca="false">H6*(1+I5/100)</f>
        <v>28173.0682995666</v>
      </c>
      <c r="J6" s="0" t="n">
        <f aca="false">I6*(1+J5/100)</f>
        <v>29159.1256900514</v>
      </c>
      <c r="K6" s="0" t="n">
        <f aca="false">J6*(1+K5/100)</f>
        <v>30179.6950892032</v>
      </c>
      <c r="L6" s="0" t="n">
        <f aca="false">K6*(1+L5/100)</f>
        <v>31235.9844173253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26.55</v>
      </c>
      <c r="D7" s="4" t="n">
        <f aca="false">Assumptions!D28</f>
        <v>26.3</v>
      </c>
      <c r="E7" s="4" t="n">
        <f aca="false">Assumptions!E28</f>
        <v>26.4</v>
      </c>
      <c r="F7" s="4" t="n">
        <f aca="false">Assumptions!F28</f>
        <v>26.5</v>
      </c>
      <c r="G7" s="4" t="n">
        <f aca="false">Assumptions!G28</f>
        <v>26.6</v>
      </c>
      <c r="H7" s="4" t="n">
        <f aca="false">Assumptions!H28</f>
        <v>26.6</v>
      </c>
      <c r="I7" s="4" t="n">
        <f aca="false">Assumptions!I28</f>
        <v>26.6</v>
      </c>
      <c r="J7" s="4" t="n">
        <f aca="false">Assumptions!J28</f>
        <v>26.6</v>
      </c>
      <c r="K7" s="4" t="n">
        <f aca="false">Assumptions!K28</f>
        <v>26.6</v>
      </c>
      <c r="L7" s="4" t="n">
        <f aca="false">Assumptions!L28</f>
        <v>26.6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5635.962315</v>
      </c>
      <c r="D8" s="0" t="n">
        <f aca="false">D6*D7/100</f>
        <v>5917.8665694</v>
      </c>
      <c r="E8" s="0" t="n">
        <f aca="false">E6*E7/100</f>
        <v>6267.088201176</v>
      </c>
      <c r="F8" s="0" t="n">
        <f aca="false">F6*F7/100</f>
        <v>6605.36853021675</v>
      </c>
      <c r="G8" s="0" t="n">
        <f aca="false">G6*G7/100</f>
        <v>6928.65769941264</v>
      </c>
      <c r="H8" s="0" t="n">
        <f aca="false">H6*H7/100</f>
        <v>7205.80400738915</v>
      </c>
      <c r="I8" s="0" t="n">
        <f aca="false">I6*I7/100</f>
        <v>7494.03616768471</v>
      </c>
      <c r="J8" s="0" t="n">
        <f aca="false">J6*J7/100</f>
        <v>7756.32743355368</v>
      </c>
      <c r="K8" s="0" t="n">
        <f aca="false">K6*K7/100</f>
        <v>8027.79889372806</v>
      </c>
      <c r="L8" s="0" t="n">
        <f aca="false">L6*L7/100</f>
        <v>8308.77185500854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1.09</v>
      </c>
      <c r="D9" s="4" t="n">
        <f aca="false">Assumptions!D29</f>
        <v>1.09</v>
      </c>
      <c r="E9" s="4" t="n">
        <f aca="false">Assumptions!E29</f>
        <v>1.09</v>
      </c>
      <c r="F9" s="4" t="n">
        <f aca="false">Assumptions!F29</f>
        <v>1.09</v>
      </c>
      <c r="G9" s="4" t="n">
        <f aca="false">Assumptions!G29</f>
        <v>1.09</v>
      </c>
      <c r="H9" s="4" t="n">
        <f aca="false">Assumptions!H29</f>
        <v>1.09</v>
      </c>
      <c r="I9" s="4" t="n">
        <f aca="false">Assumptions!I29</f>
        <v>1.09</v>
      </c>
      <c r="J9" s="4" t="n">
        <f aca="false">Assumptions!J29</f>
        <v>1.09</v>
      </c>
      <c r="K9" s="4" t="n">
        <f aca="false">Assumptions!K29</f>
        <v>1.09</v>
      </c>
      <c r="L9" s="4" t="n">
        <f aca="false">Assumptions!L29</f>
        <v>1.09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-231.382257</v>
      </c>
      <c r="D10" s="0" t="n">
        <f aca="false">-D6*D9/100</f>
        <v>-245.26519242</v>
      </c>
      <c r="E10" s="0" t="n">
        <f aca="false">-E6*E9/100</f>
        <v>-258.7547780031</v>
      </c>
      <c r="F10" s="0" t="n">
        <f aca="false">-F6*F9/100</f>
        <v>-271.692516903255</v>
      </c>
      <c r="G10" s="0" t="n">
        <f aca="false">-G6*G9/100</f>
        <v>-283.918680163902</v>
      </c>
      <c r="H10" s="0" t="n">
        <f aca="false">-H6*H9/100</f>
        <v>-295.275427370458</v>
      </c>
      <c r="I10" s="0" t="n">
        <f aca="false">-I6*I9/100</f>
        <v>-307.086444465276</v>
      </c>
      <c r="J10" s="0" t="n">
        <f aca="false">-J6*J9/100</f>
        <v>-317.834470021561</v>
      </c>
      <c r="K10" s="0" t="n">
        <f aca="false">-K6*K9/100</f>
        <v>-328.958676472315</v>
      </c>
      <c r="L10" s="0" t="n">
        <f aca="false">-L6*L9/100</f>
        <v>-340.472230148846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5404.580058</v>
      </c>
      <c r="D11" s="0" t="n">
        <f aca="false">D8+D10+D24</f>
        <v>5672.60137698</v>
      </c>
      <c r="E11" s="0" t="n">
        <f aca="false">E8+E10+E24</f>
        <v>6008.3334231729</v>
      </c>
      <c r="F11" s="0" t="n">
        <f aca="false">F8+F10+F24</f>
        <v>6333.6760133135</v>
      </c>
      <c r="G11" s="0" t="n">
        <f aca="false">G8+G10+G24</f>
        <v>6644.73901924874</v>
      </c>
      <c r="H11" s="0" t="n">
        <f aca="false">H8+H10+H24</f>
        <v>6910.52858001869</v>
      </c>
      <c r="I11" s="0" t="n">
        <f aca="false">I8+I10+I24</f>
        <v>7186.94972321944</v>
      </c>
      <c r="J11" s="0" t="n">
        <f aca="false">J8+J10+J24</f>
        <v>7438.49296353212</v>
      </c>
      <c r="K11" s="0" t="n">
        <f aca="false">K8+K10+K24</f>
        <v>7698.84021725574</v>
      </c>
      <c r="L11" s="0" t="n">
        <f aca="false">L8+L10+L24</f>
        <v>7968.29962485969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5404.580058</v>
      </c>
      <c r="D13" s="0" t="n">
        <f aca="false">D11+D12</f>
        <v>5672.60137698</v>
      </c>
      <c r="E13" s="0" t="n">
        <f aca="false">E11+E12</f>
        <v>6008.3334231729</v>
      </c>
      <c r="F13" s="0" t="n">
        <f aca="false">F11+F12</f>
        <v>6333.6760133135</v>
      </c>
      <c r="G13" s="0" t="n">
        <f aca="false">G11+G12</f>
        <v>6644.73901924874</v>
      </c>
      <c r="H13" s="0" t="n">
        <f aca="false">H11+H12</f>
        <v>6910.52858001869</v>
      </c>
      <c r="I13" s="0" t="n">
        <f aca="false">I11+I12</f>
        <v>7186.94972321944</v>
      </c>
      <c r="J13" s="0" t="n">
        <f aca="false">J11+J12</f>
        <v>7438.49296353212</v>
      </c>
      <c r="K13" s="0" t="n">
        <f aca="false">K11+K12</f>
        <v>7698.84021725574</v>
      </c>
      <c r="L13" s="0" t="n">
        <f aca="false">L11+L12</f>
        <v>7968.29962485969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4215.57244524</v>
      </c>
      <c r="D15" s="0" t="n">
        <f aca="false">D13-MAX(0,D13)*D14/100</f>
        <v>4424.6290740444</v>
      </c>
      <c r="E15" s="0" t="n">
        <f aca="false">E13-MAX(0,E13)*E14/100</f>
        <v>4686.50007007486</v>
      </c>
      <c r="F15" s="0" t="n">
        <f aca="false">F13-MAX(0,F13)*F14/100</f>
        <v>4940.26729038453</v>
      </c>
      <c r="G15" s="0" t="n">
        <f aca="false">G13-MAX(0,G13)*G14/100</f>
        <v>5182.89643501402</v>
      </c>
      <c r="H15" s="0" t="n">
        <f aca="false">H13-MAX(0,H13)*H14/100</f>
        <v>5390.21229241458</v>
      </c>
      <c r="I15" s="0" t="n">
        <f aca="false">I13-MAX(0,I13)*I14/100</f>
        <v>5605.82078411116</v>
      </c>
      <c r="J15" s="0" t="n">
        <f aca="false">J13-MAX(0,J13)*J14/100</f>
        <v>5802.02451155505</v>
      </c>
      <c r="K15" s="0" t="n">
        <f aca="false">K13-MAX(0,K13)*K14/100</f>
        <v>6005.09536945948</v>
      </c>
      <c r="L15" s="0" t="n">
        <f aca="false">L13-MAX(0,L13)*L14/100</f>
        <v>6215.27370739056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-579.517029</v>
      </c>
      <c r="D17" s="4" t="n">
        <f aca="false">-D6*Assumptions!D32/100</f>
        <v>-531.03289368</v>
      </c>
      <c r="E17" s="4" t="n">
        <f aca="false">-E6*Assumptions!E32/100</f>
        <v>-515.1356589603</v>
      </c>
      <c r="F17" s="4" t="n">
        <f aca="false">-F6*Assumptions!F32/100</f>
        <v>-493.53319584261</v>
      </c>
      <c r="G17" s="4" t="n">
        <f aca="false">-G6*Assumptions!G32/100</f>
        <v>-463.647018983252</v>
      </c>
      <c r="H17" s="4" t="n">
        <f aca="false">-H6*Assumptions!H32/100</f>
        <v>-428.013922243416</v>
      </c>
      <c r="I17" s="4" t="n">
        <f aca="false">-I6*Assumptions!I32/100</f>
        <v>-445.134479133152</v>
      </c>
      <c r="J17" s="4" t="n">
        <f aca="false">-J6*Assumptions!J32/100</f>
        <v>-405.311847091715</v>
      </c>
      <c r="K17" s="4" t="n">
        <f aca="false">-K6*Assumptions!K32/100</f>
        <v>-419.497761739925</v>
      </c>
      <c r="L17" s="4" t="n">
        <f aca="false">-L6*Assumptions!L32/100</f>
        <v>-434.180183400822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3636.05541624</v>
      </c>
      <c r="D19" s="0" t="n">
        <f aca="false">D15+D16+D17+D18</f>
        <v>3893.5961803644</v>
      </c>
      <c r="E19" s="0" t="n">
        <f aca="false">E15+E16+E17+E18</f>
        <v>4171.36441111456</v>
      </c>
      <c r="F19" s="0" t="n">
        <f aca="false">F15+F16+F17+F18</f>
        <v>4446.73409454192</v>
      </c>
      <c r="G19" s="0" t="n">
        <f aca="false">G15+G16+G17+G18</f>
        <v>4719.24941603077</v>
      </c>
      <c r="H19" s="0" t="n">
        <f aca="false">H15+H16+H17+H18</f>
        <v>4962.19837017116</v>
      </c>
      <c r="I19" s="0" t="n">
        <f aca="false">I15+I16+I17+I18</f>
        <v>5160.68630497801</v>
      </c>
      <c r="J19" s="0" t="n">
        <f aca="false">J15+J16+J17+J18</f>
        <v>5396.71266446334</v>
      </c>
      <c r="K19" s="0" t="n">
        <f aca="false">K15+K16+K17+K18</f>
        <v>5585.59760771956</v>
      </c>
      <c r="L19" s="0" t="n">
        <f aca="false">L15+L16+L17+L18</f>
        <v>5781.09352398974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0.911577028258888</v>
      </c>
      <c r="D20" s="0" t="n">
        <f aca="false">1/(1+$B$27/100)^D4</f>
        <v>0.830972678449305</v>
      </c>
      <c r="E20" s="0" t="n">
        <f aca="false">1/(1+$B$27/100)^E4</f>
        <v>0.757495604785146</v>
      </c>
      <c r="F20" s="0" t="n">
        <f aca="false">1/(1+$B$27/100)^F4</f>
        <v>0.690515592329213</v>
      </c>
      <c r="G20" s="0" t="n">
        <f aca="false">1/(1+$B$27/100)^G4</f>
        <v>0.629458151621889</v>
      </c>
      <c r="H20" s="0" t="n">
        <f aca="false">1/(1+$B$27/100)^H4</f>
        <v>0.573799591268814</v>
      </c>
      <c r="I20" s="0" t="n">
        <f aca="false">1/(1+$B$27/100)^I4</f>
        <v>0.52306252622499</v>
      </c>
      <c r="J20" s="0" t="n">
        <f aca="false">1/(1+$B$27/100)^J4</f>
        <v>0.476811783249763</v>
      </c>
      <c r="K20" s="0" t="n">
        <f aca="false">1/(1+$B$27/100)^K4</f>
        <v>0.43465066841364</v>
      </c>
      <c r="L20" s="0" t="n">
        <f aca="false">1/(1+$B$27/100)^L4</f>
        <v>0.396217564643245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3314.54459092069</v>
      </c>
      <c r="D21" s="0" t="n">
        <f aca="false">D19*D20</f>
        <v>3235.47204679739</v>
      </c>
      <c r="E21" s="0" t="n">
        <f aca="false">E19*E20</f>
        <v>3159.79020737646</v>
      </c>
      <c r="F21" s="0" t="n">
        <f aca="false">F19*F20</f>
        <v>3070.53922722312</v>
      </c>
      <c r="G21" s="0" t="n">
        <f aca="false">G19*G20</f>
        <v>2970.57001445741</v>
      </c>
      <c r="H21" s="0" t="n">
        <f aca="false">H19*H20</f>
        <v>2847.30739659899</v>
      </c>
      <c r="I21" s="0" t="n">
        <f aca="false">I19*I20</f>
        <v>2699.36161573651</v>
      </c>
      <c r="J21" s="0" t="n">
        <f aca="false">J19*J20</f>
        <v>2573.21618922935</v>
      </c>
      <c r="K21" s="0" t="n">
        <f aca="false">K19*K20</f>
        <v>2427.78373368493</v>
      </c>
      <c r="L21" s="0" t="n">
        <f aca="false">L19*L20</f>
        <v>2290.57079705005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9.7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28589.1558190749</v>
      </c>
    </row>
    <row r="31" customFormat="false" ht="15" hidden="false" customHeight="false" outlineLevel="0" collapsed="false">
      <c r="A31" s="0" t="s">
        <v>138</v>
      </c>
      <c r="B31" s="0" t="n">
        <f aca="false">L19</f>
        <v>5781.09352398974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96506.9644730545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98278.5899078256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96506.9644730545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38237.7544346259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66826.9102537008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66826.9102537008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719.342413925735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0.482721661188776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1736.54461587075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2251.97767069788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762.275915395795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52029.8417159076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381.751547344595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10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5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19839</v>
      </c>
      <c r="C6" s="0" t="n">
        <f aca="false">B6*(1+C5/100)</f>
        <v>21822.9</v>
      </c>
      <c r="D6" s="0" t="n">
        <f aca="false">C6*(1+D5/100)</f>
        <v>23786.961</v>
      </c>
      <c r="E6" s="0" t="n">
        <f aca="false">D6*(1+E5/100)</f>
        <v>25689.91788</v>
      </c>
      <c r="F6" s="0" t="n">
        <f aca="false">E6*(1+F5/100)</f>
        <v>27488.2121316</v>
      </c>
      <c r="G6" s="0" t="n">
        <f aca="false">F6*(1+G5/100)</f>
        <v>29274.945920154</v>
      </c>
      <c r="H6" s="0" t="n">
        <f aca="false">G6*(1+H5/100)</f>
        <v>31031.4426753632</v>
      </c>
      <c r="I6" s="0" t="n">
        <f aca="false">H6*(1+I5/100)</f>
        <v>32738.1720225082</v>
      </c>
      <c r="J6" s="0" t="n">
        <f aca="false">I6*(1+J5/100)</f>
        <v>34375.0806236336</v>
      </c>
      <c r="K6" s="0" t="n">
        <f aca="false">J6*(1+K5/100)</f>
        <v>36093.8346548153</v>
      </c>
      <c r="L6" s="0" t="n">
        <f aca="false">K6*(1+L5/100)</f>
        <v>37898.5263875561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27.6</v>
      </c>
      <c r="D7" s="4" t="n">
        <f aca="false">Assumptions!D42</f>
        <v>28.1</v>
      </c>
      <c r="E7" s="4" t="n">
        <f aca="false">Assumptions!E42</f>
        <v>28.6</v>
      </c>
      <c r="F7" s="4" t="n">
        <f aca="false">Assumptions!F42</f>
        <v>29.1</v>
      </c>
      <c r="G7" s="4" t="n">
        <f aca="false">Assumptions!G42</f>
        <v>29.1</v>
      </c>
      <c r="H7" s="4" t="n">
        <f aca="false">Assumptions!H42</f>
        <v>29.1</v>
      </c>
      <c r="I7" s="4" t="n">
        <f aca="false">Assumptions!I42</f>
        <v>29.1</v>
      </c>
      <c r="J7" s="4" t="n">
        <f aca="false">Assumptions!J42</f>
        <v>29.1</v>
      </c>
      <c r="K7" s="4" t="n">
        <f aca="false">Assumptions!K42</f>
        <v>29.1</v>
      </c>
      <c r="L7" s="4" t="n">
        <f aca="false">Assumptions!L42</f>
        <v>29.1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6023.1204</v>
      </c>
      <c r="D8" s="0" t="n">
        <f aca="false">D6*D7/100</f>
        <v>6684.136041</v>
      </c>
      <c r="E8" s="0" t="n">
        <f aca="false">E6*E7/100</f>
        <v>7347.31651368</v>
      </c>
      <c r="F8" s="0" t="n">
        <f aca="false">F6*F7/100</f>
        <v>7999.0697302956</v>
      </c>
      <c r="G8" s="0" t="n">
        <f aca="false">G6*G7/100</f>
        <v>8519.00926276482</v>
      </c>
      <c r="H8" s="0" t="n">
        <f aca="false">H6*H7/100</f>
        <v>9030.14981853071</v>
      </c>
      <c r="I8" s="0" t="n">
        <f aca="false">I6*I7/100</f>
        <v>9526.80805854989</v>
      </c>
      <c r="J8" s="0" t="n">
        <f aca="false">J6*J7/100</f>
        <v>10003.1484614774</v>
      </c>
      <c r="K8" s="0" t="n">
        <f aca="false">K6*K7/100</f>
        <v>10503.3058845513</v>
      </c>
      <c r="L8" s="0" t="n">
        <f aca="false">L6*L7/100</f>
        <v>11028.4711787788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1.09</v>
      </c>
      <c r="D9" s="4" t="n">
        <f aca="false">Assumptions!D43</f>
        <v>1.09</v>
      </c>
      <c r="E9" s="4" t="n">
        <f aca="false">Assumptions!E43</f>
        <v>1.09</v>
      </c>
      <c r="F9" s="4" t="n">
        <f aca="false">Assumptions!F43</f>
        <v>1.09</v>
      </c>
      <c r="G9" s="4" t="n">
        <f aca="false">Assumptions!G43</f>
        <v>1.09</v>
      </c>
      <c r="H9" s="4" t="n">
        <f aca="false">Assumptions!H43</f>
        <v>1.09</v>
      </c>
      <c r="I9" s="4" t="n">
        <f aca="false">Assumptions!I43</f>
        <v>1.09</v>
      </c>
      <c r="J9" s="4" t="n">
        <f aca="false">Assumptions!J43</f>
        <v>1.09</v>
      </c>
      <c r="K9" s="4" t="n">
        <f aca="false">Assumptions!K43</f>
        <v>1.09</v>
      </c>
      <c r="L9" s="4" t="n">
        <f aca="false">Assumptions!L43</f>
        <v>1.09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-237.86961</v>
      </c>
      <c r="D10" s="0" t="n">
        <f aca="false">-D6*D9/100</f>
        <v>-259.2778749</v>
      </c>
      <c r="E10" s="0" t="n">
        <f aca="false">-E6*E9/100</f>
        <v>-280.020104892</v>
      </c>
      <c r="F10" s="0" t="n">
        <f aca="false">-F6*F9/100</f>
        <v>-299.62151223444</v>
      </c>
      <c r="G10" s="0" t="n">
        <f aca="false">-G6*G9/100</f>
        <v>-319.096910529679</v>
      </c>
      <c r="H10" s="0" t="n">
        <f aca="false">-H6*H9/100</f>
        <v>-338.242725161459</v>
      </c>
      <c r="I10" s="0" t="n">
        <f aca="false">-I6*I9/100</f>
        <v>-356.84607504534</v>
      </c>
      <c r="J10" s="0" t="n">
        <f aca="false">-J6*J9/100</f>
        <v>-374.688378797607</v>
      </c>
      <c r="K10" s="0" t="n">
        <f aca="false">-K6*K9/100</f>
        <v>-393.422797737487</v>
      </c>
      <c r="L10" s="0" t="n">
        <f aca="false">-L6*L9/100</f>
        <v>-413.093937624361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5785.25079</v>
      </c>
      <c r="D11" s="0" t="n">
        <f aca="false">D8+D10+D24</f>
        <v>6424.8581661</v>
      </c>
      <c r="E11" s="0" t="n">
        <f aca="false">E8+E10+E24</f>
        <v>7067.296408788</v>
      </c>
      <c r="F11" s="0" t="n">
        <f aca="false">F8+F10+F24</f>
        <v>7699.44821806116</v>
      </c>
      <c r="G11" s="0" t="n">
        <f aca="false">G8+G10+G24</f>
        <v>8199.91235223514</v>
      </c>
      <c r="H11" s="0" t="n">
        <f aca="false">H8+H10+H24</f>
        <v>8691.90709336925</v>
      </c>
      <c r="I11" s="0" t="n">
        <f aca="false">I8+I10+I24</f>
        <v>9169.96198350455</v>
      </c>
      <c r="J11" s="0" t="n">
        <f aca="false">J8+J10+J24</f>
        <v>9628.46008267978</v>
      </c>
      <c r="K11" s="0" t="n">
        <f aca="false">K8+K10+K24</f>
        <v>10109.8830868138</v>
      </c>
      <c r="L11" s="0" t="n">
        <f aca="false">L8+L10+L24</f>
        <v>10615.3772411545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5785.25079</v>
      </c>
      <c r="D13" s="0" t="n">
        <f aca="false">D11+D12</f>
        <v>6424.8581661</v>
      </c>
      <c r="E13" s="0" t="n">
        <f aca="false">E11+E12</f>
        <v>7067.296408788</v>
      </c>
      <c r="F13" s="0" t="n">
        <f aca="false">F11+F12</f>
        <v>7699.44821806116</v>
      </c>
      <c r="G13" s="0" t="n">
        <f aca="false">G11+G12</f>
        <v>8199.91235223514</v>
      </c>
      <c r="H13" s="0" t="n">
        <f aca="false">H11+H12</f>
        <v>8691.90709336925</v>
      </c>
      <c r="I13" s="0" t="n">
        <f aca="false">I11+I12</f>
        <v>9169.96198350455</v>
      </c>
      <c r="J13" s="0" t="n">
        <f aca="false">J11+J12</f>
        <v>9628.46008267978</v>
      </c>
      <c r="K13" s="0" t="n">
        <f aca="false">K11+K12</f>
        <v>10109.8830868138</v>
      </c>
      <c r="L13" s="0" t="n">
        <f aca="false">L11+L12</f>
        <v>10615.3772411545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4512.4956162</v>
      </c>
      <c r="D15" s="0" t="n">
        <f aca="false">D13-MAX(0,D13)*D14/100</f>
        <v>5011.389369558</v>
      </c>
      <c r="E15" s="0" t="n">
        <f aca="false">E13-MAX(0,E13)*E14/100</f>
        <v>5512.49119885464</v>
      </c>
      <c r="F15" s="0" t="n">
        <f aca="false">F13-MAX(0,F13)*F14/100</f>
        <v>6005.56961008771</v>
      </c>
      <c r="G15" s="0" t="n">
        <f aca="false">G13-MAX(0,G13)*G14/100</f>
        <v>6395.93163474341</v>
      </c>
      <c r="H15" s="0" t="n">
        <f aca="false">H13-MAX(0,H13)*H14/100</f>
        <v>6779.68753282801</v>
      </c>
      <c r="I15" s="0" t="n">
        <f aca="false">I13-MAX(0,I13)*I14/100</f>
        <v>7152.57034713355</v>
      </c>
      <c r="J15" s="0" t="n">
        <f aca="false">J13-MAX(0,J13)*J14/100</f>
        <v>7510.19886449023</v>
      </c>
      <c r="K15" s="0" t="n">
        <f aca="false">K13-MAX(0,K13)*K14/100</f>
        <v>7885.70880771474</v>
      </c>
      <c r="L15" s="0" t="n">
        <f aca="false">L13-MAX(0,L13)*L14/100</f>
        <v>8279.99424810048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-851.0931</v>
      </c>
      <c r="D17" s="4" t="n">
        <f aca="false">-D6*Assumptions!D46/100</f>
        <v>-851.5732038</v>
      </c>
      <c r="E17" s="4" t="n">
        <f aca="false">-E6*Assumptions!E46/100</f>
        <v>-832.353339312</v>
      </c>
      <c r="F17" s="4" t="n">
        <f aca="false">-F6*Assumptions!F46/100</f>
        <v>-791.66050939008</v>
      </c>
      <c r="G17" s="4" t="n">
        <f aca="false">-G6*Assumptions!G46/100</f>
        <v>-784.568550660127</v>
      </c>
      <c r="H17" s="4" t="n">
        <f aca="false">-H6*Assumptions!H46/100</f>
        <v>-766.476634081472</v>
      </c>
      <c r="I17" s="4" t="n">
        <f aca="false">-I6*Assumptions!I46/100</f>
        <v>-743.156504910937</v>
      </c>
      <c r="J17" s="4" t="n">
        <f aca="false">-J6*Assumptions!J46/100</f>
        <v>-708.126660846853</v>
      </c>
      <c r="K17" s="4" t="n">
        <f aca="false">-K6*Assumptions!K46/100</f>
        <v>-743.532993889196</v>
      </c>
      <c r="L17" s="4" t="n">
        <f aca="false">-L6*Assumptions!L46/100</f>
        <v>-780.709643583655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3661.4025162</v>
      </c>
      <c r="D19" s="0" t="n">
        <f aca="false">D15+D16+D17+D18</f>
        <v>4159.816165758</v>
      </c>
      <c r="E19" s="0" t="n">
        <f aca="false">E15+E16+E17+E18</f>
        <v>4680.13785954264</v>
      </c>
      <c r="F19" s="0" t="n">
        <f aca="false">F15+F16+F17+F18</f>
        <v>5213.90910069763</v>
      </c>
      <c r="G19" s="0" t="n">
        <f aca="false">G15+G16+G17+G18</f>
        <v>5611.36308408328</v>
      </c>
      <c r="H19" s="0" t="n">
        <f aca="false">H15+H16+H17+H18</f>
        <v>6013.21089874654</v>
      </c>
      <c r="I19" s="0" t="n">
        <f aca="false">I15+I16+I17+I18</f>
        <v>6409.41384222262</v>
      </c>
      <c r="J19" s="0" t="n">
        <f aca="false">J15+J16+J17+J18</f>
        <v>6802.07220364338</v>
      </c>
      <c r="K19" s="0" t="n">
        <f aca="false">K15+K16+K17+K18</f>
        <v>7142.17581382555</v>
      </c>
      <c r="L19" s="0" t="n">
        <f aca="false">L15+L16+L17+L18</f>
        <v>7499.28460451682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0.911577028258888</v>
      </c>
      <c r="D20" s="0" t="n">
        <f aca="false">1/(1+$B$27/100)^D4</f>
        <v>0.830972678449305</v>
      </c>
      <c r="E20" s="0" t="n">
        <f aca="false">1/(1+$B$27/100)^E4</f>
        <v>0.757495604785146</v>
      </c>
      <c r="F20" s="0" t="n">
        <f aca="false">1/(1+$B$27/100)^F4</f>
        <v>0.690515592329213</v>
      </c>
      <c r="G20" s="0" t="n">
        <f aca="false">1/(1+$B$27/100)^G4</f>
        <v>0.629458151621889</v>
      </c>
      <c r="H20" s="0" t="n">
        <f aca="false">1/(1+$B$27/100)^H4</f>
        <v>0.573799591268814</v>
      </c>
      <c r="I20" s="0" t="n">
        <f aca="false">1/(1+$B$27/100)^I4</f>
        <v>0.52306252622499</v>
      </c>
      <c r="J20" s="0" t="n">
        <f aca="false">1/(1+$B$27/100)^J4</f>
        <v>0.476811783249763</v>
      </c>
      <c r="K20" s="0" t="n">
        <f aca="false">1/(1+$B$27/100)^K4</f>
        <v>0.43465066841364</v>
      </c>
      <c r="L20" s="0" t="n">
        <f aca="false">1/(1+$B$27/100)^L4</f>
        <v>0.396217564643245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3337.65042497721</v>
      </c>
      <c r="D21" s="0" t="n">
        <f aca="false">D19*D20</f>
        <v>3456.69358111665</v>
      </c>
      <c r="E21" s="0" t="n">
        <f aca="false">E19*E20</f>
        <v>3545.18385839211</v>
      </c>
      <c r="F21" s="0" t="n">
        <f aca="false">F19*F20</f>
        <v>3600.28553101889</v>
      </c>
      <c r="G21" s="0" t="n">
        <f aca="false">G19*G20</f>
        <v>3532.11823498637</v>
      </c>
      <c r="H21" s="0" t="n">
        <f aca="false">H19*H20</f>
        <v>3450.37795591395</v>
      </c>
      <c r="I21" s="0" t="n">
        <f aca="false">I19*I20</f>
        <v>3352.52419593438</v>
      </c>
      <c r="J21" s="0" t="n">
        <f aca="false">J19*J20</f>
        <v>3243.30817721285</v>
      </c>
      <c r="K21" s="0" t="n">
        <f aca="false">K19*K20</f>
        <v>3104.35149140701</v>
      </c>
      <c r="L21" s="0" t="n">
        <f aca="false">L19*L20</f>
        <v>2971.34828256824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9.7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19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33593.8417335276</v>
      </c>
    </row>
    <row r="31" customFormat="false" ht="15" hidden="false" customHeight="false" outlineLevel="0" collapsed="false">
      <c r="A31" s="0" t="s">
        <v>138</v>
      </c>
      <c r="B31" s="0" t="n">
        <f aca="false">L19</f>
        <v>7499.28460451682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167537.209249844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142486.40748582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142486.40748582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56455.6173687966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90049.4591023242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90049.4591023242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969.316029088527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0.997971821268737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1946.22351548938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3656.57080066242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1029.62597867036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78742.4883474267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492.552681836499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419.831757016659</v>
      </c>
      <c r="C4" s="0" t="n">
        <f aca="false">B4/Assumptions!$B$2-1</f>
        <v>-0.134635149919285</v>
      </c>
      <c r="D4" s="4" t="n">
        <f aca="false">Assumptions!$B$24</f>
        <v>0.3</v>
      </c>
      <c r="E4" s="4" t="n">
        <f aca="false">DCF_Bear!$B$43</f>
        <v>449.553806671744</v>
      </c>
      <c r="F4" s="4" t="n">
        <f aca="false">DCF_Bear!$B$47</f>
        <v>250.634541530636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719.342413925735</v>
      </c>
      <c r="C5" s="0" t="n">
        <f aca="false">B5/Assumptions!$B$2-1</f>
        <v>0.482721661188776</v>
      </c>
      <c r="D5" s="4" t="n">
        <f aca="false">Assumptions!$B$38</f>
        <v>0.5</v>
      </c>
      <c r="E5" s="4" t="n">
        <f aca="false">DCF_Base!$B$43</f>
        <v>762.275915395795</v>
      </c>
      <c r="F5" s="4" t="n">
        <f aca="false">DCF_Base!$B$47</f>
        <v>381.751547344595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969.316029088527</v>
      </c>
      <c r="C6" s="0" t="n">
        <f aca="false">B6/Assumptions!$B$2-1</f>
        <v>0.997971821268737</v>
      </c>
      <c r="D6" s="4" t="n">
        <f aca="false">Assumptions!$B$52</f>
        <v>0.2</v>
      </c>
      <c r="E6" s="4" t="n">
        <f aca="false">DCF_Bull!$B$43</f>
        <v>1029.62597867036</v>
      </c>
      <c r="F6" s="4" t="n">
        <f aca="false">DCF_Bull!$B$47</f>
        <v>492.552681836499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679.483939885571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721.929295433492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0.286002256239195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-457.845004187007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364.576672498788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765.009842352342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719.342413925735</v>
      </c>
      <c r="C16" s="3" t="n">
        <v>9.7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685.465524026999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592.171619203456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520.901553677951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381.751547344595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2.5</v>
      </c>
      <c r="C23" s="3" t="n">
        <v>3</v>
      </c>
      <c r="D23" s="3" t="n">
        <v>3.5</v>
      </c>
      <c r="E23" s="3" t="n">
        <v>4</v>
      </c>
      <c r="F23" s="3" t="n">
        <v>4.5</v>
      </c>
    </row>
    <row r="24" customFormat="false" ht="15" hidden="false" customHeight="false" outlineLevel="0" collapsed="false">
      <c r="A24" s="3" t="n">
        <v>7.7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842.729356586905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842.729356586905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842.729356586905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842.729356586905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842.729356586905</v>
      </c>
    </row>
    <row r="25" customFormat="false" ht="15" hidden="false" customHeight="false" outlineLevel="0" collapsed="false">
      <c r="A25" s="3" t="n">
        <v>8.7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769.477156382576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782.115936223725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782.115936223725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782.115936223725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782.115936223725</v>
      </c>
    </row>
    <row r="26" customFormat="false" ht="15" hidden="false" customHeight="false" outlineLevel="0" collapsed="false">
      <c r="A26" s="3" t="n">
        <v>9.7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658.751089276058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686.785881278147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719.342413925735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726.898378567554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726.898378567554</v>
      </c>
    </row>
    <row r="27" customFormat="false" ht="15" hidden="false" customHeight="false" outlineLevel="0" collapsed="false">
      <c r="A27" s="3" t="n">
        <v>10.7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575.209413807174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594.948685290421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617.429522257454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643.265708025535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673.269020530404</v>
      </c>
    </row>
    <row r="28" customFormat="false" ht="15" hidden="false" customHeight="false" outlineLevel="0" collapsed="false">
      <c r="A28" s="3" t="n">
        <v>11.7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509.976832926369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524.337633378853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540.449750959689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558.654351343231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579.387368446709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2026-09-25T09:59:30Z</dcterms:created>
  <dc:creator>openpyxl</dc:creator>
  <dc:description/>
  <dc:language>en-NZ</dc:language>
  <cp:lastModifiedBy/>
  <dcterms:modified xsi:type="dcterms:W3CDTF">2026-09-25T09:59:30Z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