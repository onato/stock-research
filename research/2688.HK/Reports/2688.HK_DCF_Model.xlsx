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<sst xmlns="http://schemas.openxmlformats.org/spreadsheetml/2006/main" count="357" uniqueCount="167">
  <si>
    <t xml:space="preserve">Ticker</t>
  </si>
  <si>
    <t xml:space="preserve">2688.HK</t>
  </si>
  <si>
    <t xml:space="preserve">Company</t>
  </si>
  <si>
    <t xml:space="preserve">ENN Energy Holdings Limited</t>
  </si>
  <si>
    <t xml:space="preserve">Valuation date</t>
  </si>
  <si>
    <t xml:space="preserve">2026-10-22</t>
  </si>
  <si>
    <t xml:space="preserve">Current price</t>
  </si>
  <si>
    <t xml:space="preserve">Price as of</t>
  </si>
  <si>
    <t xml:space="preserve">2026-10-22T03:58:47Z (Yahoo chart API, intraday HK session; 52-week range 40.38-73.80)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</si>
  <si>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</si>
  <si>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</si>
  <si>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</si>
  <si>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</si>
  <si>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</si>
  <si>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</si>
  <si>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</si>
  <si>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</si>
  <si>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</si>
  <si>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</si>
  <si>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</si>
  <si>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</si>
  <si>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</si>
  <si>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2026-10-22T04:39:37Z</t>
  </si>
  <si>
    <t xml:space="preserve">Drivers file</t>
  </si>
  <si>
    <t xml:space="preserve">2688.HK_Drivers.json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</si>
  <si>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</si>
  <si>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</si>
  <si>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</si>
  <si>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ENN Energy is valued as a mature, concession-protected cash-flow stream in RMB at a CNY-built 7.5% WACC, with the thin owner-FCF margin (capex 2x D&amp;A) explicitly normalising over ten years rather than being carried forward. The three scenarios are organised around this company's real axes: the pace of residential gas-price pass-through versus wholesale cost volatility, the structural decline of connection fees under China's property downturn, whether the integrated-energy capex sink earns a return, and what the controlling shareholder does with its ~35% stake after the privatisation scheme lapsed on 12 June 2026. Risk is charged once, in the flows and weights; the same WACC applies to every scenario. Associates/JVs, NCI, financial assets and the June-30 dividend payable are bridged at 30 June 2026 values so that every income stream stripped from EBITDA has its matching asset.
key_risks_to_valuation: Regulatory pass-through: 25% of residential volume still unrepriced; municipal tariff hearings are slow and politically sensitive, and a wholesale LNG/oil spike reopens the margin lag; Connection-fee decline: construction/installation revenue -17.9% FY2025 and -26.7% H1 2026 as new residential hookups fall with China's property market; Capex normalisation is the main value driver: if capex stays at 2x D&amp;A (integrated energy, PV, storage) owner FCF stays near 3% of revenue and the base case is overstated; Parent overhang: ENN Natural Gas holds ~35% after the scheme lapsed and is barred from a new general offer until ~June 2027; a low-ball renewed offer or indefinite stake-building caps the minority's exit; Currency: flows are RMB, quote is HKD; a weaker RMB lowers the HKD value one-for-one, and 61.5% of USD1.04bn debt is unhedged; Bridge judgments: associates/JVs (+RMB9.7bn) and NCI (-RMB9.2bn) are valued at 10x earnings; moving both to book would add ~RMB4.3bn (~HK$4.5/share); the stripped dividend income's FVTPL assets (RMB4.0bn) are at carrying fair value</t>
  </si>
  <si>
    <t xml:space="preserve">Data sources</t>
  </si>
  <si>
    <t xml:space="preserve">price: Yahoo Finance chart API at inputs.price_as_of (intraday HK session print; replace at regular close); 52-week range 40.38-73.80 HKD
fx: Yahoo Finance CNYHKD=X at inputs.price_as_of
financials: 2688.HK_Metrics.csv (FY2018-FY2025, H1 2024-H1 2026, RMB millions, from core_metrics); FY2025 Annual Report consolidated income statement, cash-flow statement and notes 9, 20, 21; H1 2026 Interim Report condensed statements, net-debt table and note 3 (shares in issue)
qualitative: 2688.HK_Analysis.json (2026-10-22): business model, pass-through progress, scheme lapse and parent accumulation, segment trends</t>
  </si>
  <si>
    <t xml:space="preserve">Scenario narrative: bear</t>
  </si>
  <si>
    <t xml:space="preserve">Pass-through stalls into an LNG price spike; property downturn erases the connection-fee pool; integrated energy stays a capex sink; working capital unwinds; EBITDA margin 9.5%, growth 1-1.5%, capex 1.5x D&amp;A. Parent sits at 35% without bidding.</t>
  </si>
  <si>
    <t xml:space="preserve">Scenario narrative: base</t>
  </si>
  <si>
    <t xml:space="preserve">Mature concession utility: low-single-digit volume growth, gradual residential pass-through completion lifting EBITDA margin from 10.6% to 11.0%, connection fees in structural decline, capex normalising from 2.0x to 1.4x D&amp;A. Owner-FCF margin rises from ~2.9% to ~4%. Parent's ~35% stake is an overhang, not a catalyst, until the Takeovers Code restriction expires ~June 2027.</t>
  </si>
  <si>
    <t xml:space="preserve">Scenario narrative: bull</t>
  </si>
  <si>
    <t xml:space="preserve">Pass-through completes and tariff reform holds; policy-driven volume growth of 4%; electricity-centric integrated energy and smart home become margin contributors; EBITDA margin 11.8%, capex 1.35x D&amp;A. A renewed, cash-heavier parent offer after June 2027 is the unmodelled upside.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</si>
  <si>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</si>
  <si>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</si>
  <si>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</si>
  <si>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</si>
  <si>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</si>
  <si>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</si>
  <si>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</si>
  <si>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</si>
  <si>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</si>
  <si>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</si>
  <si>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</si>
  <si>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</si>
  <si>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</si>
  <si>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</si>
  <si>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</si>
  <si>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</si>
  <si>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</si>
  <si>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</si>
  <si>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</si>
  <si>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</si>
  <si>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</si>
  <si>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</si>
  <si>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</si>
  <si>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</si>
  <si>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</si>
  <si>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</si>
  <si>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</si>
  <si>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CashGeneratedFromOperations</t>
  </si>
  <si>
    <t xml:space="preserve">DividendsPaidToNCI</t>
  </si>
  <si>
    <t xml:space="preserve">ProfitIncludingNCI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</si>
  <si>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</si>
  <si>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</si>
  <si>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</si>
  <si>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</si>
  <si>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</si>
  <si>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</si>
  <si>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</si>
  <si>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</si>
  <si>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</si>
  <si>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</si>
  <si>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</si>
  <si>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</si>
  <si>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</si>
  <si>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</si>
  <si>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</si>
  <si>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</si>
  <si>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</si>
  <si>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</si>
  <si>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</si>
  <si>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</si>
  <si>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</si>
  <si>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</si>
  <si>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</si>
  <si>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</si>
  <si>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</si>
  <si>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</si>
  <si>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</si>
  <si>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</si>
  <si>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</si>
  <si>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</si>
  <si>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</si>
  <si>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</si>
  <si>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</si>
  <si>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</si>
  <si>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</si>
  <si>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</si>
  <si>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</si>
  <si>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</si>
  <si>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</si>
  <si>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</si>
  <si>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</si>
  <si>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</si>
  <si>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</si>
  <si>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</si>
  <si>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</si>
  <si>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2688.HK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</si>
  <si>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</si>
  <si>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</si>
  <si>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</si>
  <si>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</si>
  <si>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</si>
  <si>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</si>
  <si>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</si>
  <si>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</si>
  <si>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</si>
  <si>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</si>
  <si>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</si>
  <si>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</si>
  <si>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</si>
  <si>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</si>
  <si>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</si>
  <si>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</si>
  <si>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</si>
  <si>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</si>
  <si>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</si>
  <si>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</si>
  <si>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</si>
  <si>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</si>
  <si>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</si>
  <si>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</si>
  <si>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</si>
  <si>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</si>
  <si>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</si>
  <si>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</si>
  <si>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</si>
  <si>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</si>
  <si>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2688.HK owner-FCF component DCF: base case (millions, CNY)</t>
  </si>
  <si>
    <t xml:space="preserve">2688.HK owner-FCF component DCF: bull case (millions, CNY)</t>
  </si>
  <si>
    <t xml:space="preserve">2688.HK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</si>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</sst>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48.48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</row>
    <row r="2" customFormat="false" ht="15" hidden="false" customHeight="false" outlineLevel="0" collapsed="false">
      <c r="A2" s="0" t="s">
        <v>67</v>
      </c>
      <c r="B2" s="0" t="n">
        <v>60698</v>
      </c>
      <c r="C2" s="0" t="n">
        <v>51188</v>
      </c>
      <c r="D2" s="0" t="n">
        <v>9510</v>
      </c>
      <c r="E2" s="0" t="n">
        <v>15.7</v>
      </c>
      <c r="I2" s="0" t="n">
        <v>2818</v>
      </c>
      <c r="J2" s="0" t="n">
        <v>4.6</v>
      </c>
      <c r="K2" s="0" t="n">
        <v>2.56</v>
      </c>
      <c r="L2" s="0" t="n">
        <v>8294</v>
      </c>
      <c r="M2" s="0" t="n">
        <v>5991</v>
      </c>
      <c r="N2" s="0" t="n">
        <v>2303</v>
      </c>
      <c r="O2" s="0" t="n">
        <v>21385</v>
      </c>
      <c r="P2" s="0" t="n">
        <v>73914</v>
      </c>
      <c r="R2" s="0" t="n">
        <v>20249</v>
      </c>
      <c r="S2" s="0" t="n">
        <v>7923</v>
      </c>
      <c r="T2" s="0" t="n">
        <v>1099.64</v>
      </c>
      <c r="U2" s="0" t="n">
        <v>19</v>
      </c>
      <c r="AA2" s="0" t="s">
        <v>18</v>
      </c>
      <c r="AB2" s="0" t="s">
        <v>14</v>
      </c>
      <c r="AC2" s="0" t="n">
        <v>10246</v>
      </c>
      <c r="AD2" s="0" t="n">
        <v>537</v>
      </c>
      <c r="AE2" s="0" t="n">
        <v>3818</v>
      </c>
    </row>
    <row r="3" customFormat="false" ht="15" hidden="false" customHeight="false" outlineLevel="0" collapsed="false">
      <c r="A3" s="0" t="s">
        <v>68</v>
      </c>
      <c r="B3" s="0" t="n">
        <v>70183</v>
      </c>
      <c r="C3" s="0" t="n">
        <v>58918</v>
      </c>
      <c r="D3" s="0" t="n">
        <v>11265</v>
      </c>
      <c r="E3" s="0" t="n">
        <v>16.1</v>
      </c>
      <c r="I3" s="0" t="n">
        <v>5670</v>
      </c>
      <c r="J3" s="0" t="n">
        <v>8.1</v>
      </c>
      <c r="K3" s="0" t="n">
        <v>5.04</v>
      </c>
      <c r="L3" s="0" t="n">
        <v>11690</v>
      </c>
      <c r="M3" s="0" t="n">
        <v>7185</v>
      </c>
      <c r="N3" s="0" t="n">
        <v>4505</v>
      </c>
      <c r="O3" s="0" t="n">
        <v>25868</v>
      </c>
      <c r="P3" s="0" t="n">
        <v>81245</v>
      </c>
      <c r="R3" s="0" t="n">
        <v>19145</v>
      </c>
      <c r="S3" s="0" t="n">
        <v>7373</v>
      </c>
      <c r="T3" s="0" t="n">
        <v>1122.97</v>
      </c>
      <c r="U3" s="0" t="n">
        <v>74</v>
      </c>
      <c r="AA3" s="0" t="s">
        <v>18</v>
      </c>
      <c r="AB3" s="0" t="s">
        <v>14</v>
      </c>
      <c r="AC3" s="0" t="n">
        <v>13145</v>
      </c>
      <c r="AD3" s="0" t="n">
        <v>559</v>
      </c>
      <c r="AE3" s="0" t="n">
        <v>6861</v>
      </c>
    </row>
    <row r="4" customFormat="false" ht="15" hidden="false" customHeight="false" outlineLevel="0" collapsed="false">
      <c r="A4" s="0" t="s">
        <v>69</v>
      </c>
      <c r="B4" s="0" t="n">
        <v>71617</v>
      </c>
      <c r="C4" s="0" t="n">
        <v>59285</v>
      </c>
      <c r="D4" s="0" t="n">
        <v>12332</v>
      </c>
      <c r="E4" s="0" t="n">
        <v>17.2</v>
      </c>
      <c r="I4" s="0" t="n">
        <v>6278</v>
      </c>
      <c r="J4" s="0" t="n">
        <v>8.8</v>
      </c>
      <c r="K4" s="0" t="n">
        <v>5.57</v>
      </c>
      <c r="L4" s="0" t="n">
        <v>9696</v>
      </c>
      <c r="M4" s="0" t="n">
        <v>5576</v>
      </c>
      <c r="N4" s="0" t="n">
        <v>4120</v>
      </c>
      <c r="O4" s="0" t="n">
        <v>30561</v>
      </c>
      <c r="P4" s="0" t="n">
        <v>90043</v>
      </c>
      <c r="R4" s="0" t="n">
        <v>19684</v>
      </c>
      <c r="S4" s="0" t="n">
        <v>8630</v>
      </c>
      <c r="T4" s="0" t="n">
        <v>1123.47</v>
      </c>
      <c r="U4" s="0" t="n">
        <v>70</v>
      </c>
      <c r="AA4" s="0" t="s">
        <v>18</v>
      </c>
      <c r="AB4" s="0" t="s">
        <v>14</v>
      </c>
      <c r="AC4" s="0" t="n">
        <v>11405</v>
      </c>
      <c r="AD4" s="0" t="n">
        <v>589</v>
      </c>
      <c r="AE4" s="0" t="n">
        <v>7331</v>
      </c>
    </row>
    <row r="5" customFormat="false" ht="15" hidden="false" customHeight="false" outlineLevel="0" collapsed="false">
      <c r="A5" s="0" t="s">
        <v>70</v>
      </c>
      <c r="B5" s="0" t="n">
        <v>93113</v>
      </c>
      <c r="C5" s="0" t="n">
        <v>79057</v>
      </c>
      <c r="D5" s="0" t="n">
        <v>14056</v>
      </c>
      <c r="E5" s="0" t="n">
        <v>15.1</v>
      </c>
      <c r="I5" s="0" t="n">
        <v>7755</v>
      </c>
      <c r="J5" s="0" t="n">
        <v>8.3</v>
      </c>
      <c r="K5" s="0" t="n">
        <v>6.86</v>
      </c>
      <c r="L5" s="0" t="n">
        <v>10466</v>
      </c>
      <c r="M5" s="0" t="n">
        <v>6290</v>
      </c>
      <c r="N5" s="0" t="n">
        <v>4176</v>
      </c>
      <c r="O5" s="0" t="n">
        <v>35777</v>
      </c>
      <c r="P5" s="0" t="n">
        <v>99988</v>
      </c>
      <c r="R5" s="0" t="n">
        <v>19890</v>
      </c>
      <c r="S5" s="0" t="n">
        <v>8684</v>
      </c>
      <c r="T5" s="0" t="n">
        <v>1126.61</v>
      </c>
      <c r="U5" s="0" t="n">
        <v>49</v>
      </c>
      <c r="AA5" s="0" t="s">
        <v>18</v>
      </c>
      <c r="AB5" s="0" t="s">
        <v>14</v>
      </c>
      <c r="AC5" s="0" t="n">
        <v>12639</v>
      </c>
      <c r="AD5" s="0" t="n">
        <v>747</v>
      </c>
      <c r="AE5" s="0" t="n">
        <v>8995</v>
      </c>
    </row>
    <row r="6" customFormat="false" ht="15" hidden="false" customHeight="false" outlineLevel="0" collapsed="false">
      <c r="A6" s="0" t="s">
        <v>71</v>
      </c>
      <c r="B6" s="0" t="n">
        <v>110051</v>
      </c>
      <c r="C6" s="0" t="n">
        <v>94295</v>
      </c>
      <c r="D6" s="0" t="n">
        <v>15756</v>
      </c>
      <c r="E6" s="0" t="n">
        <v>14.3</v>
      </c>
      <c r="I6" s="0" t="n">
        <v>5865</v>
      </c>
      <c r="J6" s="0" t="n">
        <v>5.3</v>
      </c>
      <c r="K6" s="0" t="n">
        <v>5.19</v>
      </c>
      <c r="L6" s="0" t="n">
        <v>10102</v>
      </c>
      <c r="M6" s="0" t="n">
        <v>6736</v>
      </c>
      <c r="N6" s="0" t="n">
        <v>3366</v>
      </c>
      <c r="O6" s="0" t="n">
        <v>39034</v>
      </c>
      <c r="P6" s="0" t="n">
        <v>102351</v>
      </c>
      <c r="R6" s="0" t="n">
        <v>19792</v>
      </c>
      <c r="S6" s="0" t="n">
        <v>8056</v>
      </c>
      <c r="T6" s="0" t="n">
        <v>1127.72</v>
      </c>
      <c r="U6" s="0" t="n">
        <v>21</v>
      </c>
      <c r="AA6" s="0" t="s">
        <v>18</v>
      </c>
      <c r="AB6" s="0" t="s">
        <v>14</v>
      </c>
      <c r="AC6" s="0" t="n">
        <v>12053</v>
      </c>
      <c r="AD6" s="0" t="n">
        <v>665</v>
      </c>
      <c r="AE6" s="0" t="n">
        <v>6664</v>
      </c>
    </row>
    <row r="7" customFormat="false" ht="15" hidden="false" customHeight="false" outlineLevel="0" collapsed="false">
      <c r="A7" s="0" t="s">
        <v>72</v>
      </c>
      <c r="B7" s="0" t="n">
        <v>113858</v>
      </c>
      <c r="C7" s="0" t="n">
        <v>99520</v>
      </c>
      <c r="D7" s="0" t="n">
        <v>14338</v>
      </c>
      <c r="E7" s="0" t="n">
        <v>12.6</v>
      </c>
      <c r="I7" s="0" t="n">
        <v>6816</v>
      </c>
      <c r="J7" s="0" t="n">
        <v>6</v>
      </c>
      <c r="K7" s="0" t="n">
        <v>6.04</v>
      </c>
      <c r="L7" s="0" t="n">
        <v>9612</v>
      </c>
      <c r="M7" s="0" t="n">
        <v>6769</v>
      </c>
      <c r="N7" s="0" t="n">
        <v>2843</v>
      </c>
      <c r="O7" s="0" t="n">
        <v>42660</v>
      </c>
      <c r="P7" s="0" t="n">
        <v>103131</v>
      </c>
      <c r="R7" s="0" t="n">
        <v>21923</v>
      </c>
      <c r="S7" s="0" t="n">
        <v>9689</v>
      </c>
      <c r="T7" s="0" t="n">
        <v>1127.62</v>
      </c>
      <c r="U7" s="0" t="n">
        <v>9</v>
      </c>
      <c r="AA7" s="0" t="s">
        <v>18</v>
      </c>
      <c r="AB7" s="0" t="s">
        <v>14</v>
      </c>
      <c r="AC7" s="0" t="n">
        <v>12128</v>
      </c>
      <c r="AD7" s="0" t="n">
        <v>879</v>
      </c>
      <c r="AE7" s="0" t="n">
        <v>7732</v>
      </c>
    </row>
    <row r="8" customFormat="false" ht="15" hidden="false" customHeight="false" outlineLevel="0" collapsed="false">
      <c r="A8" s="0" t="s">
        <v>73</v>
      </c>
      <c r="B8" s="0" t="n">
        <v>109853</v>
      </c>
      <c r="C8" s="0" t="n">
        <v>96448</v>
      </c>
      <c r="D8" s="0" t="n">
        <v>13405</v>
      </c>
      <c r="E8" s="0" t="n">
        <v>12.2</v>
      </c>
      <c r="I8" s="0" t="n">
        <v>5987</v>
      </c>
      <c r="J8" s="0" t="n">
        <v>5.5</v>
      </c>
      <c r="K8" s="0" t="n">
        <v>5.35</v>
      </c>
      <c r="L8" s="0" t="n">
        <v>10294</v>
      </c>
      <c r="M8" s="0" t="n">
        <v>6686</v>
      </c>
      <c r="N8" s="0" t="n">
        <v>3608</v>
      </c>
      <c r="O8" s="0" t="n">
        <v>45101</v>
      </c>
      <c r="P8" s="0" t="n">
        <v>103220</v>
      </c>
      <c r="R8" s="0" t="n">
        <v>19532</v>
      </c>
      <c r="S8" s="0" t="n">
        <v>7693</v>
      </c>
      <c r="T8" s="0" t="n">
        <v>1119.06</v>
      </c>
      <c r="AA8" s="0" t="s">
        <v>18</v>
      </c>
      <c r="AB8" s="0" t="s">
        <v>14</v>
      </c>
      <c r="AC8" s="0" t="n">
        <v>12647</v>
      </c>
      <c r="AD8" s="0" t="n">
        <v>709</v>
      </c>
      <c r="AE8" s="0" t="n">
        <v>6876</v>
      </c>
    </row>
    <row r="9" customFormat="false" ht="15" hidden="false" customHeight="false" outlineLevel="0" collapsed="false">
      <c r="A9" s="0" t="s">
        <v>74</v>
      </c>
      <c r="B9" s="0" t="n">
        <v>111905</v>
      </c>
      <c r="C9" s="0" t="n">
        <v>98613</v>
      </c>
      <c r="D9" s="0" t="n">
        <v>13292</v>
      </c>
      <c r="E9" s="0" t="n">
        <v>11.9</v>
      </c>
      <c r="I9" s="0" t="n">
        <v>5904</v>
      </c>
      <c r="J9" s="0" t="n">
        <v>5.3</v>
      </c>
      <c r="K9" s="0" t="n">
        <v>5.31</v>
      </c>
      <c r="L9" s="0" t="n">
        <v>10433</v>
      </c>
      <c r="M9" s="0" t="n">
        <v>7051</v>
      </c>
      <c r="N9" s="0" t="n">
        <v>3382</v>
      </c>
      <c r="O9" s="0" t="n">
        <v>47825</v>
      </c>
      <c r="P9" s="0" t="n">
        <v>106018</v>
      </c>
      <c r="R9" s="0" t="n">
        <v>19141</v>
      </c>
      <c r="S9" s="0" t="n">
        <v>8064</v>
      </c>
      <c r="T9" s="0" t="n">
        <v>1111.32</v>
      </c>
      <c r="AA9" s="0" t="s">
        <v>18</v>
      </c>
      <c r="AB9" s="0" t="s">
        <v>14</v>
      </c>
      <c r="AC9" s="0" t="n">
        <v>12569</v>
      </c>
      <c r="AD9" s="0" t="n">
        <v>798</v>
      </c>
      <c r="AE9" s="0" t="n">
        <v>6823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48.48</v>
      </c>
    </row>
    <row r="3" customFormat="false" ht="15" hidden="false" customHeight="false" outlineLevel="0" collapsed="false">
      <c r="A3" s="0" t="s">
        <v>78</v>
      </c>
      <c r="B3" s="3" t="n">
        <v>1131.84</v>
      </c>
    </row>
    <row r="4" customFormat="false" ht="15" hidden="false" customHeight="false" outlineLevel="0" collapsed="false">
      <c r="A4" s="0" t="s">
        <v>79</v>
      </c>
      <c r="B4" s="3" t="n">
        <v>10390</v>
      </c>
    </row>
    <row r="5" customFormat="false" ht="15" hidden="false" customHeight="false" outlineLevel="0" collapsed="false">
      <c r="A5" s="0" t="s">
        <v>80</v>
      </c>
      <c r="B5" s="3" t="n">
        <v>2199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111905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1.175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1.5</v>
      </c>
      <c r="D13" s="3" t="n">
        <v>1</v>
      </c>
      <c r="E13" s="3" t="n">
        <v>1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99</v>
      </c>
      <c r="C14" s="3" t="n">
        <v>10.4</v>
      </c>
      <c r="D14" s="3" t="n">
        <v>10.2</v>
      </c>
      <c r="E14" s="3" t="n">
        <v>10</v>
      </c>
      <c r="F14" s="3" t="n">
        <v>9.8</v>
      </c>
      <c r="G14" s="3" t="n">
        <v>9.6</v>
      </c>
      <c r="H14" s="3" t="n">
        <v>9.5</v>
      </c>
      <c r="I14" s="3" t="n">
        <v>9.5</v>
      </c>
      <c r="J14" s="3" t="n">
        <v>9.5</v>
      </c>
      <c r="K14" s="3" t="n">
        <v>9.5</v>
      </c>
      <c r="L14" s="3" t="n">
        <v>9.5</v>
      </c>
    </row>
    <row r="15" customFormat="false" ht="15" hidden="false" customHeight="false" outlineLevel="0" collapsed="false">
      <c r="A15" s="0" t="s">
        <v>100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101</v>
      </c>
      <c r="C16" s="3" t="n">
        <v>0.2</v>
      </c>
      <c r="D16" s="3" t="n">
        <v>0.2</v>
      </c>
      <c r="E16" s="3" t="n">
        <v>0.2</v>
      </c>
      <c r="F16" s="3" t="n">
        <v>0.2</v>
      </c>
      <c r="G16" s="3" t="n">
        <v>0.2</v>
      </c>
      <c r="H16" s="3" t="n">
        <v>0.2</v>
      </c>
      <c r="I16" s="3" t="n">
        <v>0.2</v>
      </c>
      <c r="J16" s="3" t="n">
        <v>0.2</v>
      </c>
      <c r="K16" s="3" t="n">
        <v>0.2</v>
      </c>
      <c r="L16" s="3" t="n">
        <v>0.2</v>
      </c>
    </row>
    <row r="17" customFormat="false" ht="15" hidden="false" customHeight="false" outlineLevel="0" collapsed="false">
      <c r="A17" s="0" t="s">
        <v>102</v>
      </c>
      <c r="C17" s="3" t="n">
        <v>3</v>
      </c>
      <c r="D17" s="3" t="n">
        <v>3.1</v>
      </c>
      <c r="E17" s="3" t="n">
        <v>3.2</v>
      </c>
      <c r="F17" s="3" t="n">
        <v>3.3</v>
      </c>
      <c r="G17" s="3" t="n">
        <v>3.4</v>
      </c>
      <c r="H17" s="3" t="n">
        <v>3.4</v>
      </c>
      <c r="I17" s="3" t="n">
        <v>3.4</v>
      </c>
      <c r="J17" s="3" t="n">
        <v>3.4</v>
      </c>
      <c r="K17" s="3" t="n">
        <v>3.4</v>
      </c>
      <c r="L17" s="3" t="n">
        <v>3.4</v>
      </c>
    </row>
    <row r="18" customFormat="false" ht="15" hidden="false" customHeight="false" outlineLevel="0" collapsed="false">
      <c r="A18" s="0" t="s">
        <v>103</v>
      </c>
      <c r="C18" s="3" t="n">
        <v>6</v>
      </c>
      <c r="D18" s="3" t="n">
        <v>5.9</v>
      </c>
      <c r="E18" s="3" t="n">
        <v>5.8</v>
      </c>
      <c r="F18" s="3" t="n">
        <v>5.7</v>
      </c>
      <c r="G18" s="3" t="n">
        <v>5.6</v>
      </c>
      <c r="H18" s="3" t="n">
        <v>5.5</v>
      </c>
      <c r="I18" s="3" t="n">
        <v>5.4</v>
      </c>
      <c r="J18" s="3" t="n">
        <v>5.3</v>
      </c>
      <c r="K18" s="3" t="n">
        <v>5.2</v>
      </c>
      <c r="L18" s="3" t="n">
        <v>5.2</v>
      </c>
    </row>
    <row r="19" customFormat="false" ht="15" hidden="false" customHeight="false" outlineLevel="0" collapsed="false">
      <c r="A19" s="0" t="s">
        <v>104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105</v>
      </c>
      <c r="B20" s="3" t="n">
        <v>7.5</v>
      </c>
    </row>
    <row r="21" customFormat="false" ht="15" hidden="false" customHeight="false" outlineLevel="0" collapsed="false">
      <c r="A21" s="0" t="s">
        <v>106</v>
      </c>
      <c r="B21" s="3" t="n">
        <v>1.5</v>
      </c>
    </row>
    <row r="22" customFormat="false" ht="15" hidden="false" customHeight="false" outlineLevel="0" collapsed="false">
      <c r="A22" s="0" t="s">
        <v>107</v>
      </c>
      <c r="B22" s="3" t="n">
        <v>12</v>
      </c>
    </row>
    <row r="23" customFormat="false" ht="15" hidden="false" customHeight="false" outlineLevel="0" collapsed="false">
      <c r="A23" s="0" t="s">
        <v>108</v>
      </c>
      <c r="B23" s="3" t="n">
        <v>-5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2.5</v>
      </c>
      <c r="D27" s="3" t="n">
        <v>3</v>
      </c>
      <c r="E27" s="3" t="n">
        <v>3</v>
      </c>
      <c r="F27" s="3" t="n">
        <v>3</v>
      </c>
      <c r="G27" s="3" t="n">
        <v>2.5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10.6</v>
      </c>
      <c r="D28" s="3" t="n">
        <v>10.7</v>
      </c>
      <c r="E28" s="3" t="n">
        <v>10.8</v>
      </c>
      <c r="F28" s="3" t="n">
        <v>10.9</v>
      </c>
      <c r="G28" s="3" t="n">
        <v>11</v>
      </c>
      <c r="H28" s="3" t="n">
        <v>11</v>
      </c>
      <c r="I28" s="3" t="n">
        <v>11</v>
      </c>
      <c r="J28" s="3" t="n">
        <v>11</v>
      </c>
      <c r="K28" s="3" t="n">
        <v>11</v>
      </c>
      <c r="L28" s="3" t="n">
        <v>11</v>
      </c>
    </row>
    <row r="29" customFormat="false" ht="15" hidden="false" customHeight="false" outlineLevel="0" collapsed="false">
      <c r="A29" s="0" t="s">
        <v>100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101</v>
      </c>
      <c r="C30" s="3" t="n">
        <v>0.2</v>
      </c>
      <c r="D30" s="3" t="n">
        <v>0.2</v>
      </c>
      <c r="E30" s="3" t="n">
        <v>0.2</v>
      </c>
      <c r="F30" s="3" t="n">
        <v>0.2</v>
      </c>
      <c r="G30" s="3" t="n">
        <v>0.2</v>
      </c>
      <c r="H30" s="3" t="n">
        <v>0.2</v>
      </c>
      <c r="I30" s="3" t="n">
        <v>0.2</v>
      </c>
      <c r="J30" s="3" t="n">
        <v>0.2</v>
      </c>
      <c r="K30" s="3" t="n">
        <v>0.2</v>
      </c>
      <c r="L30" s="3" t="n">
        <v>0.2</v>
      </c>
    </row>
    <row r="31" customFormat="false" ht="15" hidden="false" customHeight="false" outlineLevel="0" collapsed="false">
      <c r="A31" s="0" t="s">
        <v>102</v>
      </c>
      <c r="C31" s="3" t="n">
        <v>3</v>
      </c>
      <c r="D31" s="3" t="n">
        <v>3.05</v>
      </c>
      <c r="E31" s="3" t="n">
        <v>3.1</v>
      </c>
      <c r="F31" s="3" t="n">
        <v>3.15</v>
      </c>
      <c r="G31" s="3" t="n">
        <v>3.2</v>
      </c>
      <c r="H31" s="3" t="n">
        <v>3.25</v>
      </c>
      <c r="I31" s="3" t="n">
        <v>3.3</v>
      </c>
      <c r="J31" s="3" t="n">
        <v>3.35</v>
      </c>
      <c r="K31" s="3" t="n">
        <v>3.4</v>
      </c>
      <c r="L31" s="3" t="n">
        <v>3.4</v>
      </c>
    </row>
    <row r="32" customFormat="false" ht="15" hidden="false" customHeight="false" outlineLevel="0" collapsed="false">
      <c r="A32" s="0" t="s">
        <v>103</v>
      </c>
      <c r="C32" s="3" t="n">
        <v>6</v>
      </c>
      <c r="D32" s="3" t="n">
        <v>5.8</v>
      </c>
      <c r="E32" s="3" t="n">
        <v>5.6</v>
      </c>
      <c r="F32" s="3" t="n">
        <v>5.4</v>
      </c>
      <c r="G32" s="3" t="n">
        <v>5.2</v>
      </c>
      <c r="H32" s="3" t="n">
        <v>5</v>
      </c>
      <c r="I32" s="3" t="n">
        <v>4.9</v>
      </c>
      <c r="J32" s="3" t="n">
        <v>4.8</v>
      </c>
      <c r="K32" s="3" t="n">
        <v>4.8</v>
      </c>
      <c r="L32" s="3" t="n">
        <v>4.8</v>
      </c>
    </row>
    <row r="33" customFormat="false" ht="15" hidden="false" customHeight="false" outlineLevel="0" collapsed="false">
      <c r="A33" s="0" t="s">
        <v>104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105</v>
      </c>
      <c r="B34" s="3" t="n">
        <v>7.5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15</v>
      </c>
    </row>
    <row r="37" customFormat="false" ht="15" hidden="false" customHeight="false" outlineLevel="0" collapsed="false">
      <c r="A37" s="0" t="s">
        <v>108</v>
      </c>
      <c r="B37" s="3" t="n">
        <v>0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3.5</v>
      </c>
      <c r="D41" s="3" t="n">
        <v>4</v>
      </c>
      <c r="E41" s="3" t="n">
        <v>4</v>
      </c>
      <c r="F41" s="3" t="n">
        <v>4</v>
      </c>
      <c r="G41" s="3" t="n">
        <v>3.5</v>
      </c>
      <c r="H41" s="3" t="n">
        <v>3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10.8</v>
      </c>
      <c r="D42" s="3" t="n">
        <v>11</v>
      </c>
      <c r="E42" s="3" t="n">
        <v>11.2</v>
      </c>
      <c r="F42" s="3" t="n">
        <v>11.4</v>
      </c>
      <c r="G42" s="3" t="n">
        <v>11.6</v>
      </c>
      <c r="H42" s="3" t="n">
        <v>11.8</v>
      </c>
      <c r="I42" s="3" t="n">
        <v>11.8</v>
      </c>
      <c r="J42" s="3" t="n">
        <v>11.8</v>
      </c>
      <c r="K42" s="3" t="n">
        <v>11.8</v>
      </c>
      <c r="L42" s="3" t="n">
        <v>11.8</v>
      </c>
    </row>
    <row r="43" customFormat="false" ht="15" hidden="false" customHeight="false" outlineLevel="0" collapsed="false">
      <c r="A43" s="0" t="s">
        <v>100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101</v>
      </c>
      <c r="C44" s="3" t="n">
        <v>0.2</v>
      </c>
      <c r="D44" s="3" t="n">
        <v>0.2</v>
      </c>
      <c r="E44" s="3" t="n">
        <v>0.2</v>
      </c>
      <c r="F44" s="3" t="n">
        <v>0.2</v>
      </c>
      <c r="G44" s="3" t="n">
        <v>0.2</v>
      </c>
      <c r="H44" s="3" t="n">
        <v>0.2</v>
      </c>
      <c r="I44" s="3" t="n">
        <v>0.2</v>
      </c>
      <c r="J44" s="3" t="n">
        <v>0.2</v>
      </c>
      <c r="K44" s="3" t="n">
        <v>0.2</v>
      </c>
      <c r="L44" s="3" t="n">
        <v>0.2</v>
      </c>
    </row>
    <row r="45" customFormat="false" ht="15" hidden="false" customHeight="false" outlineLevel="0" collapsed="false">
      <c r="A45" s="0" t="s">
        <v>102</v>
      </c>
      <c r="C45" s="3" t="n">
        <v>3</v>
      </c>
      <c r="D45" s="3" t="n">
        <v>3.05</v>
      </c>
      <c r="E45" s="3" t="n">
        <v>3.1</v>
      </c>
      <c r="F45" s="3" t="n">
        <v>3.15</v>
      </c>
      <c r="G45" s="3" t="n">
        <v>3.2</v>
      </c>
      <c r="H45" s="3" t="n">
        <v>3.2</v>
      </c>
      <c r="I45" s="3" t="n">
        <v>3.25</v>
      </c>
      <c r="J45" s="3" t="n">
        <v>3.3</v>
      </c>
      <c r="K45" s="3" t="n">
        <v>3.3</v>
      </c>
      <c r="L45" s="3" t="n">
        <v>3.3</v>
      </c>
    </row>
    <row r="46" customFormat="false" ht="15" hidden="false" customHeight="false" outlineLevel="0" collapsed="false">
      <c r="A46" s="0" t="s">
        <v>103</v>
      </c>
      <c r="C46" s="3" t="n">
        <v>6</v>
      </c>
      <c r="D46" s="3" t="n">
        <v>5.7</v>
      </c>
      <c r="E46" s="3" t="n">
        <v>5.4</v>
      </c>
      <c r="F46" s="3" t="n">
        <v>5.1</v>
      </c>
      <c r="G46" s="3" t="n">
        <v>4.9</v>
      </c>
      <c r="H46" s="3" t="n">
        <v>4.7</v>
      </c>
      <c r="I46" s="3" t="n">
        <v>4.6</v>
      </c>
      <c r="J46" s="3" t="n">
        <v>4.5</v>
      </c>
      <c r="K46" s="3" t="n">
        <v>4.5</v>
      </c>
      <c r="L46" s="3" t="n">
        <v>4.5</v>
      </c>
    </row>
    <row r="47" customFormat="false" ht="15" hidden="false" customHeight="false" outlineLevel="0" collapsed="false">
      <c r="A47" s="0" t="s">
        <v>104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105</v>
      </c>
      <c r="B48" s="3" t="n">
        <v>7.5</v>
      </c>
    </row>
    <row r="49" customFormat="false" ht="15" hidden="false" customHeight="false" outlineLevel="0" collapsed="false">
      <c r="A49" s="0" t="s">
        <v>106</v>
      </c>
      <c r="B49" s="3" t="n">
        <v>3</v>
      </c>
    </row>
    <row r="50" customFormat="false" ht="15" hidden="false" customHeight="false" outlineLevel="0" collapsed="false">
      <c r="A50" s="0" t="s">
        <v>107</v>
      </c>
      <c r="B50" s="3" t="n">
        <v>15</v>
      </c>
    </row>
    <row r="51" customFormat="false" ht="15" hidden="false" customHeight="false" outlineLevel="0" collapsed="false">
      <c r="A51" s="0" t="s">
        <v>108</v>
      </c>
      <c r="B51" s="3" t="n">
        <v>5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1.5</v>
      </c>
      <c r="D5" s="4" t="n">
        <f aca="false">Assumptions!D13</f>
        <v>1</v>
      </c>
      <c r="E5" s="4" t="n">
        <f aca="false">Assumptions!E13</f>
        <v>1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111905</v>
      </c>
      <c r="C6" s="0" t="n">
        <f aca="false">B6*(1+C5/100)</f>
        <v>113583.575</v>
      </c>
      <c r="D6" s="0" t="n">
        <f aca="false">C6*(1+D5/100)</f>
        <v>114719.41075</v>
      </c>
      <c r="E6" s="0" t="n">
        <f aca="false">D6*(1+E5/100)</f>
        <v>115866.6048575</v>
      </c>
      <c r="F6" s="0" t="n">
        <f aca="false">E6*(1+F5/100)</f>
        <v>117604.603930362</v>
      </c>
      <c r="G6" s="0" t="n">
        <f aca="false">F6*(1+G5/100)</f>
        <v>119368.672989318</v>
      </c>
      <c r="H6" s="0" t="n">
        <f aca="false">G6*(1+H5/100)</f>
        <v>121159.203084158</v>
      </c>
      <c r="I6" s="0" t="n">
        <f aca="false">H6*(1+I5/100)</f>
        <v>122976.59113042</v>
      </c>
      <c r="J6" s="0" t="n">
        <f aca="false">I6*(1+J5/100)</f>
        <v>124821.239997376</v>
      </c>
      <c r="K6" s="0" t="n">
        <f aca="false">J6*(1+K5/100)</f>
        <v>126693.558597337</v>
      </c>
      <c r="L6" s="0" t="n">
        <f aca="false">K6*(1+L5/100)</f>
        <v>128593.961976297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10.4</v>
      </c>
      <c r="D7" s="4" t="n">
        <f aca="false">Assumptions!D14</f>
        <v>10.2</v>
      </c>
      <c r="E7" s="4" t="n">
        <f aca="false">Assumptions!E14</f>
        <v>10</v>
      </c>
      <c r="F7" s="4" t="n">
        <f aca="false">Assumptions!F14</f>
        <v>9.8</v>
      </c>
      <c r="G7" s="4" t="n">
        <f aca="false">Assumptions!G14</f>
        <v>9.6</v>
      </c>
      <c r="H7" s="4" t="n">
        <f aca="false">Assumptions!H14</f>
        <v>9.5</v>
      </c>
      <c r="I7" s="4" t="n">
        <f aca="false">Assumptions!I14</f>
        <v>9.5</v>
      </c>
      <c r="J7" s="4" t="n">
        <f aca="false">Assumptions!J14</f>
        <v>9.5</v>
      </c>
      <c r="K7" s="4" t="n">
        <f aca="false">Assumptions!K14</f>
        <v>9.5</v>
      </c>
      <c r="L7" s="4" t="n">
        <f aca="false">Assumptions!L14</f>
        <v>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11812.6918</v>
      </c>
      <c r="D8" s="0" t="n">
        <f aca="false">D6*D7/100</f>
        <v>11701.3798965</v>
      </c>
      <c r="E8" s="0" t="n">
        <f aca="false">E6*E7/100</f>
        <v>11586.66048575</v>
      </c>
      <c r="F8" s="0" t="n">
        <f aca="false">F6*F7/100</f>
        <v>11525.2511851755</v>
      </c>
      <c r="G8" s="0" t="n">
        <f aca="false">G6*G7/100</f>
        <v>11459.3926069745</v>
      </c>
      <c r="H8" s="0" t="n">
        <f aca="false">H6*H7/100</f>
        <v>11510.124292995</v>
      </c>
      <c r="I8" s="0" t="n">
        <f aca="false">I6*I7/100</f>
        <v>11682.7761573899</v>
      </c>
      <c r="J8" s="0" t="n">
        <f aca="false">J6*J7/100</f>
        <v>11858.0177997507</v>
      </c>
      <c r="K8" s="0" t="n">
        <f aca="false">K6*K7/100</f>
        <v>12035.888066747</v>
      </c>
      <c r="L8" s="0" t="n">
        <f aca="false">L6*L7/100</f>
        <v>12216.4263877482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11585.52465</v>
      </c>
      <c r="D11" s="0" t="n">
        <f aca="false">D8+D10+D24</f>
        <v>11471.941075</v>
      </c>
      <c r="E11" s="0" t="n">
        <f aca="false">E8+E10+E24</f>
        <v>11354.927276035</v>
      </c>
      <c r="F11" s="0" t="n">
        <f aca="false">F8+F10+F24</f>
        <v>11290.0419773148</v>
      </c>
      <c r="G11" s="0" t="n">
        <f aca="false">G8+G10+G24</f>
        <v>11220.6552609959</v>
      </c>
      <c r="H11" s="0" t="n">
        <f aca="false">H8+H10+H24</f>
        <v>11267.8058868267</v>
      </c>
      <c r="I11" s="0" t="n">
        <f aca="false">I8+I10+I24</f>
        <v>11436.8229751291</v>
      </c>
      <c r="J11" s="0" t="n">
        <f aca="false">J8+J10+J24</f>
        <v>11608.375319756</v>
      </c>
      <c r="K11" s="0" t="n">
        <f aca="false">K8+K10+K24</f>
        <v>11782.5009495523</v>
      </c>
      <c r="L11" s="0" t="n">
        <f aca="false">L8+L10+L24</f>
        <v>11959.2384637956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-3407.50725</v>
      </c>
      <c r="D12" s="4" t="n">
        <f aca="false">-D6*Assumptions!D17/100</f>
        <v>-3556.30173325</v>
      </c>
      <c r="E12" s="4" t="n">
        <f aca="false">-E6*Assumptions!E17/100</f>
        <v>-3707.73135544</v>
      </c>
      <c r="F12" s="4" t="n">
        <f aca="false">-F6*Assumptions!F17/100</f>
        <v>-3880.95192970196</v>
      </c>
      <c r="G12" s="4" t="n">
        <f aca="false">-G6*Assumptions!G17/100</f>
        <v>-4058.53488163681</v>
      </c>
      <c r="H12" s="4" t="n">
        <f aca="false">-H6*Assumptions!H17/100</f>
        <v>-4119.41290486136</v>
      </c>
      <c r="I12" s="4" t="n">
        <f aca="false">-I6*Assumptions!I17/100</f>
        <v>-4181.20409843428</v>
      </c>
      <c r="J12" s="4" t="n">
        <f aca="false">-J6*Assumptions!J17/100</f>
        <v>-4243.92215991079</v>
      </c>
      <c r="K12" s="4" t="n">
        <f aca="false">-K6*Assumptions!K17/100</f>
        <v>-4307.58099230946</v>
      </c>
      <c r="L12" s="4" t="n">
        <f aca="false">-L6*Assumptions!L17/100</f>
        <v>-4372.1947071941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8178.0174</v>
      </c>
      <c r="D13" s="0" t="n">
        <f aca="false">D11+D12</f>
        <v>7915.63934175</v>
      </c>
      <c r="E13" s="0" t="n">
        <f aca="false">E11+E12</f>
        <v>7647.195920595</v>
      </c>
      <c r="F13" s="0" t="n">
        <f aca="false">F11+F12</f>
        <v>7409.09004761284</v>
      </c>
      <c r="G13" s="0" t="n">
        <f aca="false">G11+G12</f>
        <v>7162.12037935908</v>
      </c>
      <c r="H13" s="0" t="n">
        <f aca="false">H11+H12</f>
        <v>7148.3929819653</v>
      </c>
      <c r="I13" s="0" t="n">
        <f aca="false">I11+I12</f>
        <v>7255.61887669478</v>
      </c>
      <c r="J13" s="0" t="n">
        <f aca="false">J11+J12</f>
        <v>7364.4531598452</v>
      </c>
      <c r="K13" s="0" t="n">
        <f aca="false">K11+K12</f>
        <v>7474.91995724288</v>
      </c>
      <c r="L13" s="0" t="n">
        <f aca="false">L11+L12</f>
        <v>7587.04375660152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6133.51305</v>
      </c>
      <c r="D15" s="0" t="n">
        <f aca="false">D13-MAX(0,D13)*D14/100</f>
        <v>5936.7295063125</v>
      </c>
      <c r="E15" s="0" t="n">
        <f aca="false">E13-MAX(0,E13)*E14/100</f>
        <v>5735.39694044625</v>
      </c>
      <c r="F15" s="0" t="n">
        <f aca="false">F13-MAX(0,F13)*F14/100</f>
        <v>5556.81753570963</v>
      </c>
      <c r="G15" s="0" t="n">
        <f aca="false">G13-MAX(0,G13)*G14/100</f>
        <v>5371.59028451931</v>
      </c>
      <c r="H15" s="0" t="n">
        <f aca="false">H13-MAX(0,H13)*H14/100</f>
        <v>5361.29473647398</v>
      </c>
      <c r="I15" s="0" t="n">
        <f aca="false">I13-MAX(0,I13)*I14/100</f>
        <v>5441.71415752108</v>
      </c>
      <c r="J15" s="0" t="n">
        <f aca="false">J13-MAX(0,J13)*J14/100</f>
        <v>5523.3398698839</v>
      </c>
      <c r="K15" s="0" t="n">
        <f aca="false">K13-MAX(0,K13)*K14/100</f>
        <v>5606.18996793216</v>
      </c>
      <c r="L15" s="0" t="n">
        <f aca="false">L13-MAX(0,L13)*L14/100</f>
        <v>5690.28281745114</v>
      </c>
    </row>
    <row r="16" customFormat="false" ht="15" hidden="false" customHeight="false" outlineLevel="0" collapsed="false">
      <c r="A16" s="0" t="s">
        <v>120</v>
      </c>
      <c r="C16" s="0" t="n">
        <f aca="false">-C12</f>
        <v>3407.50725</v>
      </c>
      <c r="D16" s="0" t="n">
        <f aca="false">-D12</f>
        <v>3556.30173325</v>
      </c>
      <c r="E16" s="0" t="n">
        <f aca="false">-E12</f>
        <v>3707.73135544</v>
      </c>
      <c r="F16" s="0" t="n">
        <f aca="false">-F12</f>
        <v>3880.95192970196</v>
      </c>
      <c r="G16" s="0" t="n">
        <f aca="false">-G12</f>
        <v>4058.53488163681</v>
      </c>
      <c r="H16" s="0" t="n">
        <f aca="false">-H12</f>
        <v>4119.41290486136</v>
      </c>
      <c r="I16" s="0" t="n">
        <f aca="false">-I12</f>
        <v>4181.20409843428</v>
      </c>
      <c r="J16" s="0" t="n">
        <f aca="false">-J12</f>
        <v>4243.92215991079</v>
      </c>
      <c r="K16" s="0" t="n">
        <f aca="false">-K12</f>
        <v>4307.58099230946</v>
      </c>
      <c r="L16" s="0" t="n">
        <f aca="false">-L12</f>
        <v>4372.1947071941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-6815.0145</v>
      </c>
      <c r="D17" s="4" t="n">
        <f aca="false">-D6*Assumptions!D18/100</f>
        <v>-6768.44523425</v>
      </c>
      <c r="E17" s="4" t="n">
        <f aca="false">-E6*Assumptions!E18/100</f>
        <v>-6720.263081735</v>
      </c>
      <c r="F17" s="4" t="n">
        <f aca="false">-F6*Assumptions!F18/100</f>
        <v>-6703.46242403066</v>
      </c>
      <c r="G17" s="4" t="n">
        <f aca="false">-G6*Assumptions!G18/100</f>
        <v>-6684.6456874018</v>
      </c>
      <c r="H17" s="4" t="n">
        <f aca="false">-H6*Assumptions!H18/100</f>
        <v>-6663.75616962867</v>
      </c>
      <c r="I17" s="4" t="n">
        <f aca="false">-I6*Assumptions!I18/100</f>
        <v>-6640.73592104268</v>
      </c>
      <c r="J17" s="4" t="n">
        <f aca="false">-J6*Assumptions!J18/100</f>
        <v>-6615.52571986094</v>
      </c>
      <c r="K17" s="4" t="n">
        <f aca="false">-K6*Assumptions!K18/100</f>
        <v>-6588.06504706152</v>
      </c>
      <c r="L17" s="4" t="n">
        <f aca="false">-L6*Assumptions!L18/100</f>
        <v>-6686.88602276744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-83.9287499999991</v>
      </c>
      <c r="D18" s="4" t="n">
        <f aca="false">(D6-C6)*Assumptions!$B$23/100</f>
        <v>-56.7917874999999</v>
      </c>
      <c r="E18" s="4" t="n">
        <f aca="false">(E6-D6)*Assumptions!$B$23/100</f>
        <v>-57.3597053750003</v>
      </c>
      <c r="F18" s="4" t="n">
        <f aca="false">(F6-E6)*Assumptions!$B$23/100</f>
        <v>-86.8999536431242</v>
      </c>
      <c r="G18" s="4" t="n">
        <f aca="false">(G6-F6)*Assumptions!$B$23/100</f>
        <v>-88.2034529477714</v>
      </c>
      <c r="H18" s="4" t="n">
        <f aca="false">(H6-G6)*Assumptions!$B$23/100</f>
        <v>-89.5265047419882</v>
      </c>
      <c r="I18" s="4" t="n">
        <f aca="false">(I6-H6)*Assumptions!$B$23/100</f>
        <v>-90.8694023131175</v>
      </c>
      <c r="J18" s="4" t="n">
        <f aca="false">(J6-I6)*Assumptions!$B$23/100</f>
        <v>-92.2324433478141</v>
      </c>
      <c r="K18" s="4" t="n">
        <f aca="false">(K6-J6)*Assumptions!$B$23/100</f>
        <v>-93.6159299980318</v>
      </c>
      <c r="L18" s="4" t="n">
        <f aca="false">(L6-K6)*Assumptions!$B$23/100</f>
        <v>-95.0201689480018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2642.07705</v>
      </c>
      <c r="D19" s="0" t="n">
        <f aca="false">D15+D16+D17+D18</f>
        <v>2667.7942178125</v>
      </c>
      <c r="E19" s="0" t="n">
        <f aca="false">E15+E16+E17+E18</f>
        <v>2665.50550877625</v>
      </c>
      <c r="F19" s="0" t="n">
        <f aca="false">F15+F16+F17+F18</f>
        <v>2647.4070877378</v>
      </c>
      <c r="G19" s="0" t="n">
        <f aca="false">G15+G16+G17+G18</f>
        <v>2657.27602580654</v>
      </c>
      <c r="H19" s="0" t="n">
        <f aca="false">H15+H16+H17+H18</f>
        <v>2727.42496696468</v>
      </c>
      <c r="I19" s="0" t="n">
        <f aca="false">I15+I16+I17+I18</f>
        <v>2891.31293259957</v>
      </c>
      <c r="J19" s="0" t="n">
        <f aca="false">J15+J16+J17+J18</f>
        <v>3059.50386658594</v>
      </c>
      <c r="K19" s="0" t="n">
        <f aca="false">K15+K16+K17+K18</f>
        <v>3232.08998318206</v>
      </c>
      <c r="L19" s="0" t="n">
        <f aca="false">L15+L16+L17+L18</f>
        <v>3280.57133292979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2457.74609302326</v>
      </c>
      <c r="D21" s="0" t="n">
        <f aca="false">D19*D20</f>
        <v>2308.52933937263</v>
      </c>
      <c r="E21" s="0" t="n">
        <f aca="false">E19*E20</f>
        <v>2145.62683237552</v>
      </c>
      <c r="F21" s="0" t="n">
        <f aca="false">F19*F20</f>
        <v>1982.3798298318</v>
      </c>
      <c r="G21" s="0" t="n">
        <f aca="false">G19*G20</f>
        <v>1850.94855431256</v>
      </c>
      <c r="H21" s="0" t="n">
        <f aca="false">H19*H20</f>
        <v>1767.2664230944</v>
      </c>
      <c r="I21" s="0" t="n">
        <f aca="false">I19*I20</f>
        <v>1742.75304015382</v>
      </c>
      <c r="J21" s="0" t="n">
        <f aca="false">J19*J20</f>
        <v>1715.47065107042</v>
      </c>
      <c r="K21" s="0" t="n">
        <f aca="false">K19*K20</f>
        <v>1685.80471823121</v>
      </c>
      <c r="L21" s="0" t="n">
        <f aca="false">L19*L20</f>
        <v>1591.71329209738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0.2</v>
      </c>
      <c r="D23" s="4" t="n">
        <f aca="false">Assumptions!D16</f>
        <v>0.2</v>
      </c>
      <c r="E23" s="4" t="n">
        <f aca="false">Assumptions!E16</f>
        <v>0.2</v>
      </c>
      <c r="F23" s="4" t="n">
        <f aca="false">Assumptions!F16</f>
        <v>0.2</v>
      </c>
      <c r="G23" s="4" t="n">
        <f aca="false">Assumptions!G16</f>
        <v>0.2</v>
      </c>
      <c r="H23" s="4" t="n">
        <f aca="false">Assumptions!H16</f>
        <v>0.2</v>
      </c>
      <c r="I23" s="4" t="n">
        <f aca="false">Assumptions!I16</f>
        <v>0.2</v>
      </c>
      <c r="J23" s="4" t="n">
        <f aca="false">Assumptions!J16</f>
        <v>0.2</v>
      </c>
      <c r="K23" s="4" t="n">
        <f aca="false">Assumptions!K16</f>
        <v>0.2</v>
      </c>
      <c r="L23" s="4" t="n">
        <f aca="false">Assumptions!L16</f>
        <v>0.2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-227.16715</v>
      </c>
      <c r="D24" s="0" t="n">
        <f aca="false">-D6*D23/100</f>
        <v>-229.4388215</v>
      </c>
      <c r="E24" s="0" t="n">
        <f aca="false">-E6*E23/100</f>
        <v>-231.733209715</v>
      </c>
      <c r="F24" s="0" t="n">
        <f aca="false">-F6*F23/100</f>
        <v>-235.209207860725</v>
      </c>
      <c r="G24" s="0" t="n">
        <f aca="false">-G6*G23/100</f>
        <v>-238.737345978636</v>
      </c>
      <c r="H24" s="0" t="n">
        <f aca="false">-H6*H23/100</f>
        <v>-242.318406168315</v>
      </c>
      <c r="I24" s="0" t="n">
        <f aca="false">-I6*I23/100</f>
        <v>-245.95318226084</v>
      </c>
      <c r="J24" s="0" t="n">
        <f aca="false">-J6*J23/100</f>
        <v>-249.642479994753</v>
      </c>
      <c r="K24" s="0" t="n">
        <f aca="false">-K6*K23/100</f>
        <v>-253.387117194674</v>
      </c>
      <c r="L24" s="0" t="n">
        <f aca="false">-L6*L23/100</f>
        <v>-257.187923952594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19248.238773563</v>
      </c>
    </row>
    <row r="31" customFormat="false" ht="15" hidden="false" customHeight="false" outlineLevel="0" collapsed="false">
      <c r="A31" s="0" t="s">
        <v>129</v>
      </c>
      <c r="B31" s="0" t="n">
        <f aca="false">L19</f>
        <v>3280.57133292979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55496.3317153957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39366.8559951575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39366.8559951575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19100.5595051685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38348.7982787315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30157.7982787315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31.3077934845115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-0.35421218060001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31.3077934845115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24665.0363179536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12.2539562959206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2.5</v>
      </c>
      <c r="D5" s="4" t="n">
        <f aca="false">Assumptions!D27</f>
        <v>3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111905</v>
      </c>
      <c r="C6" s="0" t="n">
        <f aca="false">B6*(1+C5/100)</f>
        <v>114702.625</v>
      </c>
      <c r="D6" s="0" t="n">
        <f aca="false">C6*(1+D5/100)</f>
        <v>118143.70375</v>
      </c>
      <c r="E6" s="0" t="n">
        <f aca="false">D6*(1+E5/100)</f>
        <v>121688.0148625</v>
      </c>
      <c r="F6" s="0" t="n">
        <f aca="false">E6*(1+F5/100)</f>
        <v>125338.655308375</v>
      </c>
      <c r="G6" s="0" t="n">
        <f aca="false">F6*(1+G5/100)</f>
        <v>128472.121691084</v>
      </c>
      <c r="H6" s="0" t="n">
        <f aca="false">G6*(1+H5/100)</f>
        <v>131683.924733361</v>
      </c>
      <c r="I6" s="0" t="n">
        <f aca="false">H6*(1+I5/100)</f>
        <v>134976.022851695</v>
      </c>
      <c r="J6" s="0" t="n">
        <f aca="false">I6*(1+J5/100)</f>
        <v>138350.423422988</v>
      </c>
      <c r="K6" s="0" t="n">
        <f aca="false">J6*(1+K5/100)</f>
        <v>141809.184008563</v>
      </c>
      <c r="L6" s="0" t="n">
        <f aca="false">K6*(1+L5/100)</f>
        <v>145354.413608777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10.6</v>
      </c>
      <c r="D7" s="4" t="n">
        <f aca="false">Assumptions!D28</f>
        <v>10.7</v>
      </c>
      <c r="E7" s="4" t="n">
        <f aca="false">Assumptions!E28</f>
        <v>10.8</v>
      </c>
      <c r="F7" s="4" t="n">
        <f aca="false">Assumptions!F28</f>
        <v>10.9</v>
      </c>
      <c r="G7" s="4" t="n">
        <f aca="false">Assumptions!G28</f>
        <v>11</v>
      </c>
      <c r="H7" s="4" t="n">
        <f aca="false">Assumptions!H28</f>
        <v>11</v>
      </c>
      <c r="I7" s="4" t="n">
        <f aca="false">Assumptions!I28</f>
        <v>11</v>
      </c>
      <c r="J7" s="4" t="n">
        <f aca="false">Assumptions!J28</f>
        <v>11</v>
      </c>
      <c r="K7" s="4" t="n">
        <f aca="false">Assumptions!K28</f>
        <v>11</v>
      </c>
      <c r="L7" s="4" t="n">
        <f aca="false">Assumptions!L28</f>
        <v>11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12158.47825</v>
      </c>
      <c r="D8" s="0" t="n">
        <f aca="false">D6*D7/100</f>
        <v>12641.37630125</v>
      </c>
      <c r="E8" s="0" t="n">
        <f aca="false">E6*E7/100</f>
        <v>13142.30560515</v>
      </c>
      <c r="F8" s="0" t="n">
        <f aca="false">F6*F7/100</f>
        <v>13661.9134286129</v>
      </c>
      <c r="G8" s="0" t="n">
        <f aca="false">G6*G7/100</f>
        <v>14131.9333860193</v>
      </c>
      <c r="H8" s="0" t="n">
        <f aca="false">H6*H7/100</f>
        <v>14485.2317206698</v>
      </c>
      <c r="I8" s="0" t="n">
        <f aca="false">I6*I7/100</f>
        <v>14847.3625136865</v>
      </c>
      <c r="J8" s="0" t="n">
        <f aca="false">J6*J7/100</f>
        <v>15218.5465765287</v>
      </c>
      <c r="K8" s="0" t="n">
        <f aca="false">K6*K7/100</f>
        <v>15599.0102409419</v>
      </c>
      <c r="L8" s="0" t="n">
        <f aca="false">L6*L7/100</f>
        <v>15988.9854969654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11929.073</v>
      </c>
      <c r="D11" s="0" t="n">
        <f aca="false">D8+D10+D24</f>
        <v>12405.08889375</v>
      </c>
      <c r="E11" s="0" t="n">
        <f aca="false">E8+E10+E24</f>
        <v>12898.929575425</v>
      </c>
      <c r="F11" s="0" t="n">
        <f aca="false">F8+F10+F24</f>
        <v>13411.2361179961</v>
      </c>
      <c r="G11" s="0" t="n">
        <f aca="false">G8+G10+G24</f>
        <v>13874.9891426371</v>
      </c>
      <c r="H11" s="0" t="n">
        <f aca="false">H8+H10+H24</f>
        <v>14221.863871203</v>
      </c>
      <c r="I11" s="0" t="n">
        <f aca="false">I8+I10+I24</f>
        <v>14577.4104679831</v>
      </c>
      <c r="J11" s="0" t="n">
        <f aca="false">J8+J10+J24</f>
        <v>14941.8457296827</v>
      </c>
      <c r="K11" s="0" t="n">
        <f aca="false">K8+K10+K24</f>
        <v>15315.3918729248</v>
      </c>
      <c r="L11" s="0" t="n">
        <f aca="false">L8+L10+L24</f>
        <v>15698.2766697479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-3441.07875</v>
      </c>
      <c r="D12" s="4" t="n">
        <f aca="false">-D6*Assumptions!D31/100</f>
        <v>-3603.382964375</v>
      </c>
      <c r="E12" s="4" t="n">
        <f aca="false">-E6*Assumptions!E31/100</f>
        <v>-3772.3284607375</v>
      </c>
      <c r="F12" s="4" t="n">
        <f aca="false">-F6*Assumptions!F31/100</f>
        <v>-3948.16764221381</v>
      </c>
      <c r="G12" s="4" t="n">
        <f aca="false">-G6*Assumptions!G31/100</f>
        <v>-4111.1078941147</v>
      </c>
      <c r="H12" s="4" t="n">
        <f aca="false">-H6*Assumptions!H31/100</f>
        <v>-4279.72755383425</v>
      </c>
      <c r="I12" s="4" t="n">
        <f aca="false">-I6*Assumptions!I31/100</f>
        <v>-4454.20875410595</v>
      </c>
      <c r="J12" s="4" t="n">
        <f aca="false">-J6*Assumptions!J31/100</f>
        <v>-4634.73918467009</v>
      </c>
      <c r="K12" s="4" t="n">
        <f aca="false">-K6*Assumptions!K31/100</f>
        <v>-4821.51225629113</v>
      </c>
      <c r="L12" s="4" t="n">
        <f aca="false">-L6*Assumptions!L31/100</f>
        <v>-4942.05006269841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8487.99425</v>
      </c>
      <c r="D13" s="0" t="n">
        <f aca="false">D11+D12</f>
        <v>8801.705929375</v>
      </c>
      <c r="E13" s="0" t="n">
        <f aca="false">E11+E12</f>
        <v>9126.6011146875</v>
      </c>
      <c r="F13" s="0" t="n">
        <f aca="false">F11+F12</f>
        <v>9463.06847578232</v>
      </c>
      <c r="G13" s="0" t="n">
        <f aca="false">G11+G12</f>
        <v>9763.88124852241</v>
      </c>
      <c r="H13" s="0" t="n">
        <f aca="false">H11+H12</f>
        <v>9942.13631736879</v>
      </c>
      <c r="I13" s="0" t="n">
        <f aca="false">I11+I12</f>
        <v>10123.2017138772</v>
      </c>
      <c r="J13" s="0" t="n">
        <f aca="false">J11+J12</f>
        <v>10307.1065450126</v>
      </c>
      <c r="K13" s="0" t="n">
        <f aca="false">K11+K12</f>
        <v>10493.8796166336</v>
      </c>
      <c r="L13" s="0" t="n">
        <f aca="false">L11+L12</f>
        <v>10756.2266070495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6365.9956875</v>
      </c>
      <c r="D15" s="0" t="n">
        <f aca="false">D13-MAX(0,D13)*D14/100</f>
        <v>6601.27944703125</v>
      </c>
      <c r="E15" s="0" t="n">
        <f aca="false">E13-MAX(0,E13)*E14/100</f>
        <v>6844.95083601563</v>
      </c>
      <c r="F15" s="0" t="n">
        <f aca="false">F13-MAX(0,F13)*F14/100</f>
        <v>7097.30135683674</v>
      </c>
      <c r="G15" s="0" t="n">
        <f aca="false">G13-MAX(0,G13)*G14/100</f>
        <v>7322.91093639181</v>
      </c>
      <c r="H15" s="0" t="n">
        <f aca="false">H13-MAX(0,H13)*H14/100</f>
        <v>7456.60223802659</v>
      </c>
      <c r="I15" s="0" t="n">
        <f aca="false">I13-MAX(0,I13)*I14/100</f>
        <v>7592.40128540787</v>
      </c>
      <c r="J15" s="0" t="n">
        <f aca="false">J13-MAX(0,J13)*J14/100</f>
        <v>7730.32990875945</v>
      </c>
      <c r="K15" s="0" t="n">
        <f aca="false">K13-MAX(0,K13)*K14/100</f>
        <v>7870.40971247522</v>
      </c>
      <c r="L15" s="0" t="n">
        <f aca="false">L13-MAX(0,L13)*L14/100</f>
        <v>8067.1699552871</v>
      </c>
    </row>
    <row r="16" customFormat="false" ht="15" hidden="false" customHeight="false" outlineLevel="0" collapsed="false">
      <c r="A16" s="0" t="s">
        <v>120</v>
      </c>
      <c r="C16" s="0" t="n">
        <f aca="false">-C12</f>
        <v>3441.07875</v>
      </c>
      <c r="D16" s="0" t="n">
        <f aca="false">-D12</f>
        <v>3603.382964375</v>
      </c>
      <c r="E16" s="0" t="n">
        <f aca="false">-E12</f>
        <v>3772.3284607375</v>
      </c>
      <c r="F16" s="0" t="n">
        <f aca="false">-F12</f>
        <v>3948.16764221381</v>
      </c>
      <c r="G16" s="0" t="n">
        <f aca="false">-G12</f>
        <v>4111.1078941147</v>
      </c>
      <c r="H16" s="0" t="n">
        <f aca="false">-H12</f>
        <v>4279.72755383425</v>
      </c>
      <c r="I16" s="0" t="n">
        <f aca="false">-I12</f>
        <v>4454.20875410595</v>
      </c>
      <c r="J16" s="0" t="n">
        <f aca="false">-J12</f>
        <v>4634.73918467009</v>
      </c>
      <c r="K16" s="0" t="n">
        <f aca="false">-K12</f>
        <v>4821.51225629113</v>
      </c>
      <c r="L16" s="0" t="n">
        <f aca="false">-L12</f>
        <v>4942.05006269841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-6882.1575</v>
      </c>
      <c r="D17" s="4" t="n">
        <f aca="false">-D6*Assumptions!D32/100</f>
        <v>-6852.3348175</v>
      </c>
      <c r="E17" s="4" t="n">
        <f aca="false">-E6*Assumptions!E32/100</f>
        <v>-6814.5288323</v>
      </c>
      <c r="F17" s="4" t="n">
        <f aca="false">-F6*Assumptions!F32/100</f>
        <v>-6768.28738665225</v>
      </c>
      <c r="G17" s="4" t="n">
        <f aca="false">-G6*Assumptions!G32/100</f>
        <v>-6680.55032793639</v>
      </c>
      <c r="H17" s="4" t="n">
        <f aca="false">-H6*Assumptions!H32/100</f>
        <v>-6584.19623666807</v>
      </c>
      <c r="I17" s="4" t="n">
        <f aca="false">-I6*Assumptions!I32/100</f>
        <v>-6613.82511973308</v>
      </c>
      <c r="J17" s="4" t="n">
        <f aca="false">-J6*Assumptions!J32/100</f>
        <v>-6640.82032430342</v>
      </c>
      <c r="K17" s="4" t="n">
        <f aca="false">-K6*Assumptions!K32/100</f>
        <v>-6806.840832411</v>
      </c>
      <c r="L17" s="4" t="n">
        <f aca="false">-L6*Assumptions!L32/100</f>
        <v>-6977.01185322128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2924.9169375</v>
      </c>
      <c r="D19" s="0" t="n">
        <f aca="false">D15+D16+D17+D18</f>
        <v>3352.32759390625</v>
      </c>
      <c r="E19" s="0" t="n">
        <f aca="false">E15+E16+E17+E18</f>
        <v>3802.75046445313</v>
      </c>
      <c r="F19" s="0" t="n">
        <f aca="false">F15+F16+F17+F18</f>
        <v>4277.1816123983</v>
      </c>
      <c r="G19" s="0" t="n">
        <f aca="false">G15+G16+G17+G18</f>
        <v>4753.46850257012</v>
      </c>
      <c r="H19" s="0" t="n">
        <f aca="false">H15+H16+H17+H18</f>
        <v>5152.13355519277</v>
      </c>
      <c r="I19" s="0" t="n">
        <f aca="false">I15+I16+I17+I18</f>
        <v>5432.78491978074</v>
      </c>
      <c r="J19" s="0" t="n">
        <f aca="false">J15+J16+J17+J18</f>
        <v>5724.24876912613</v>
      </c>
      <c r="K19" s="0" t="n">
        <f aca="false">K15+K16+K17+K18</f>
        <v>5885.08113635535</v>
      </c>
      <c r="L19" s="0" t="n">
        <f aca="false">L15+L16+L17+L18</f>
        <v>6032.20816476423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2720.85296511628</v>
      </c>
      <c r="D21" s="0" t="n">
        <f aca="false">D19*D20</f>
        <v>2900.87839386155</v>
      </c>
      <c r="E21" s="0" t="n">
        <f aca="false">E19*E20</f>
        <v>3061.0641795691</v>
      </c>
      <c r="F21" s="0" t="n">
        <f aca="false">F19*F20</f>
        <v>3202.75585731362</v>
      </c>
      <c r="G21" s="0" t="n">
        <f aca="false">G19*G20</f>
        <v>3311.0695190696</v>
      </c>
      <c r="H21" s="0" t="n">
        <f aca="false">H19*H20</f>
        <v>3338.38428175834</v>
      </c>
      <c r="I21" s="0" t="n">
        <f aca="false">I19*I20</f>
        <v>3274.63773592196</v>
      </c>
      <c r="J21" s="0" t="n">
        <f aca="false">J19*J20</f>
        <v>3209.59906934832</v>
      </c>
      <c r="K21" s="0" t="n">
        <f aca="false">K19*K20</f>
        <v>3069.56105754018</v>
      </c>
      <c r="L21" s="0" t="n">
        <f aca="false">L19*L20</f>
        <v>2926.79077579412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0.2</v>
      </c>
      <c r="D23" s="4" t="n">
        <f aca="false">Assumptions!D30</f>
        <v>0.2</v>
      </c>
      <c r="E23" s="4" t="n">
        <f aca="false">Assumptions!E30</f>
        <v>0.2</v>
      </c>
      <c r="F23" s="4" t="n">
        <f aca="false">Assumptions!F30</f>
        <v>0.2</v>
      </c>
      <c r="G23" s="4" t="n">
        <f aca="false">Assumptions!G30</f>
        <v>0.2</v>
      </c>
      <c r="H23" s="4" t="n">
        <f aca="false">Assumptions!H30</f>
        <v>0.2</v>
      </c>
      <c r="I23" s="4" t="n">
        <f aca="false">Assumptions!I30</f>
        <v>0.2</v>
      </c>
      <c r="J23" s="4" t="n">
        <f aca="false">Assumptions!J30</f>
        <v>0.2</v>
      </c>
      <c r="K23" s="4" t="n">
        <f aca="false">Assumptions!K30</f>
        <v>0.2</v>
      </c>
      <c r="L23" s="4" t="n">
        <f aca="false">Assumptions!L30</f>
        <v>0.2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-229.40525</v>
      </c>
      <c r="D24" s="0" t="n">
        <f aca="false">-D6*D23/100</f>
        <v>-236.2874075</v>
      </c>
      <c r="E24" s="0" t="n">
        <f aca="false">-E6*E23/100</f>
        <v>-243.376029725</v>
      </c>
      <c r="F24" s="0" t="n">
        <f aca="false">-F6*F23/100</f>
        <v>-250.67731061675</v>
      </c>
      <c r="G24" s="0" t="n">
        <f aca="false">-G6*G23/100</f>
        <v>-256.944243382169</v>
      </c>
      <c r="H24" s="0" t="n">
        <f aca="false">-H6*H23/100</f>
        <v>-263.367849466723</v>
      </c>
      <c r="I24" s="0" t="n">
        <f aca="false">-I6*I23/100</f>
        <v>-269.952045703391</v>
      </c>
      <c r="J24" s="0" t="n">
        <f aca="false">-J6*J23/100</f>
        <v>-276.700846845976</v>
      </c>
      <c r="K24" s="0" t="n">
        <f aca="false">-K6*K23/100</f>
        <v>-283.618368017125</v>
      </c>
      <c r="L24" s="0" t="n">
        <f aca="false">-L6*L23/100</f>
        <v>-290.708827217553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31015.5938352931</v>
      </c>
    </row>
    <row r="31" customFormat="false" ht="15" hidden="false" customHeight="false" outlineLevel="0" collapsed="false">
      <c r="A31" s="0" t="s">
        <v>129</v>
      </c>
      <c r="B31" s="0" t="n">
        <f aca="false">L19</f>
        <v>6032.20816476423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123660.267377667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90483.1224714634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90483.1224714634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43901.8616369119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74917.4554722049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66726.4554722049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69.2709085911797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0.428855375230604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69.2709085911797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49464.1069510667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26.7093176479558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3.5</v>
      </c>
      <c r="D5" s="4" t="n">
        <f aca="false">Assumptions!D41</f>
        <v>4</v>
      </c>
      <c r="E5" s="4" t="n">
        <f aca="false">Assumptions!E41</f>
        <v>4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111905</v>
      </c>
      <c r="C6" s="0" t="n">
        <f aca="false">B6*(1+C5/100)</f>
        <v>115821.675</v>
      </c>
      <c r="D6" s="0" t="n">
        <f aca="false">C6*(1+D5/100)</f>
        <v>120454.542</v>
      </c>
      <c r="E6" s="0" t="n">
        <f aca="false">D6*(1+E5/100)</f>
        <v>125272.72368</v>
      </c>
      <c r="F6" s="0" t="n">
        <f aca="false">E6*(1+F5/100)</f>
        <v>130283.6326272</v>
      </c>
      <c r="G6" s="0" t="n">
        <f aca="false">F6*(1+G5/100)</f>
        <v>134843.559769152</v>
      </c>
      <c r="H6" s="0" t="n">
        <f aca="false">G6*(1+H5/100)</f>
        <v>138888.866562227</v>
      </c>
      <c r="I6" s="0" t="n">
        <f aca="false">H6*(1+I5/100)</f>
        <v>143055.532559093</v>
      </c>
      <c r="J6" s="0" t="n">
        <f aca="false">I6*(1+J5/100)</f>
        <v>147347.198535866</v>
      </c>
      <c r="K6" s="0" t="n">
        <f aca="false">J6*(1+K5/100)</f>
        <v>151767.614491942</v>
      </c>
      <c r="L6" s="0" t="n">
        <f aca="false">K6*(1+L5/100)</f>
        <v>156320.6429267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10.8</v>
      </c>
      <c r="D7" s="4" t="n">
        <f aca="false">Assumptions!D42</f>
        <v>11</v>
      </c>
      <c r="E7" s="4" t="n">
        <f aca="false">Assumptions!E42</f>
        <v>11.2</v>
      </c>
      <c r="F7" s="4" t="n">
        <f aca="false">Assumptions!F42</f>
        <v>11.4</v>
      </c>
      <c r="G7" s="4" t="n">
        <f aca="false">Assumptions!G42</f>
        <v>11.6</v>
      </c>
      <c r="H7" s="4" t="n">
        <f aca="false">Assumptions!H42</f>
        <v>11.8</v>
      </c>
      <c r="I7" s="4" t="n">
        <f aca="false">Assumptions!I42</f>
        <v>11.8</v>
      </c>
      <c r="J7" s="4" t="n">
        <f aca="false">Assumptions!J42</f>
        <v>11.8</v>
      </c>
      <c r="K7" s="4" t="n">
        <f aca="false">Assumptions!K42</f>
        <v>11.8</v>
      </c>
      <c r="L7" s="4" t="n">
        <f aca="false">Assumptions!L42</f>
        <v>11.8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12508.7409</v>
      </c>
      <c r="D8" s="0" t="n">
        <f aca="false">D6*D7/100</f>
        <v>13249.99962</v>
      </c>
      <c r="E8" s="0" t="n">
        <f aca="false">E6*E7/100</f>
        <v>14030.54505216</v>
      </c>
      <c r="F8" s="0" t="n">
        <f aca="false">F6*F7/100</f>
        <v>14852.3341195008</v>
      </c>
      <c r="G8" s="0" t="n">
        <f aca="false">G6*G7/100</f>
        <v>15641.8529332216</v>
      </c>
      <c r="H8" s="0" t="n">
        <f aca="false">H6*H7/100</f>
        <v>16388.8862543427</v>
      </c>
      <c r="I8" s="0" t="n">
        <f aca="false">I6*I7/100</f>
        <v>16880.552841973</v>
      </c>
      <c r="J8" s="0" t="n">
        <f aca="false">J6*J7/100</f>
        <v>17386.9694272322</v>
      </c>
      <c r="K8" s="0" t="n">
        <f aca="false">K6*K7/100</f>
        <v>17908.5785100492</v>
      </c>
      <c r="L8" s="0" t="n">
        <f aca="false">L6*L7/100</f>
        <v>18445.8358653507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12277.09755</v>
      </c>
      <c r="D11" s="0" t="n">
        <f aca="false">D8+D10+D24</f>
        <v>13009.090536</v>
      </c>
      <c r="E11" s="0" t="n">
        <f aca="false">E8+E10+E24</f>
        <v>13779.9996048</v>
      </c>
      <c r="F11" s="0" t="n">
        <f aca="false">F8+F10+F24</f>
        <v>14591.7668542464</v>
      </c>
      <c r="G11" s="0" t="n">
        <f aca="false">G8+G10+G24</f>
        <v>15372.1658136833</v>
      </c>
      <c r="H11" s="0" t="n">
        <f aca="false">H8+H10+H24</f>
        <v>16111.1085212183</v>
      </c>
      <c r="I11" s="0" t="n">
        <f aca="false">I8+I10+I24</f>
        <v>16594.4417768548</v>
      </c>
      <c r="J11" s="0" t="n">
        <f aca="false">J8+J10+J24</f>
        <v>17092.2750301605</v>
      </c>
      <c r="K11" s="0" t="n">
        <f aca="false">K8+K10+K24</f>
        <v>17605.0432810653</v>
      </c>
      <c r="L11" s="0" t="n">
        <f aca="false">L8+L10+L24</f>
        <v>18133.1945794973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-3474.65025</v>
      </c>
      <c r="D12" s="4" t="n">
        <f aca="false">-D6*Assumptions!D45/100</f>
        <v>-3673.863531</v>
      </c>
      <c r="E12" s="4" t="n">
        <f aca="false">-E6*Assumptions!E45/100</f>
        <v>-3883.45443408</v>
      </c>
      <c r="F12" s="4" t="n">
        <f aca="false">-F6*Assumptions!F45/100</f>
        <v>-4103.9344277568</v>
      </c>
      <c r="G12" s="4" t="n">
        <f aca="false">-G6*Assumptions!G45/100</f>
        <v>-4314.99391261286</v>
      </c>
      <c r="H12" s="4" t="n">
        <f aca="false">-H6*Assumptions!H45/100</f>
        <v>-4444.44372999125</v>
      </c>
      <c r="I12" s="4" t="n">
        <f aca="false">-I6*Assumptions!I45/100</f>
        <v>-4649.30480817053</v>
      </c>
      <c r="J12" s="4" t="n">
        <f aca="false">-J6*Assumptions!J45/100</f>
        <v>-4862.45755168358</v>
      </c>
      <c r="K12" s="4" t="n">
        <f aca="false">-K6*Assumptions!K45/100</f>
        <v>-5008.33127823409</v>
      </c>
      <c r="L12" s="4" t="n">
        <f aca="false">-L6*Assumptions!L45/100</f>
        <v>-5158.58121658112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8802.4473</v>
      </c>
      <c r="D13" s="0" t="n">
        <f aca="false">D11+D12</f>
        <v>9335.227005</v>
      </c>
      <c r="E13" s="0" t="n">
        <f aca="false">E11+E12</f>
        <v>9896.54517072</v>
      </c>
      <c r="F13" s="0" t="n">
        <f aca="false">F11+F12</f>
        <v>10487.8324264896</v>
      </c>
      <c r="G13" s="0" t="n">
        <f aca="false">G11+G12</f>
        <v>11057.1719010705</v>
      </c>
      <c r="H13" s="0" t="n">
        <f aca="false">H11+H12</f>
        <v>11666.664791227</v>
      </c>
      <c r="I13" s="0" t="n">
        <f aca="false">I11+I12</f>
        <v>11945.1369686843</v>
      </c>
      <c r="J13" s="0" t="n">
        <f aca="false">J11+J12</f>
        <v>12229.8174784769</v>
      </c>
      <c r="K13" s="0" t="n">
        <f aca="false">K11+K12</f>
        <v>12596.7120028312</v>
      </c>
      <c r="L13" s="0" t="n">
        <f aca="false">L11+L12</f>
        <v>12974.6133629161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6601.835475</v>
      </c>
      <c r="D15" s="0" t="n">
        <f aca="false">D13-MAX(0,D13)*D14/100</f>
        <v>7001.42025375</v>
      </c>
      <c r="E15" s="0" t="n">
        <f aca="false">E13-MAX(0,E13)*E14/100</f>
        <v>7422.40887804</v>
      </c>
      <c r="F15" s="0" t="n">
        <f aca="false">F13-MAX(0,F13)*F14/100</f>
        <v>7865.8743198672</v>
      </c>
      <c r="G15" s="0" t="n">
        <f aca="false">G13-MAX(0,G13)*G14/100</f>
        <v>8292.87892580285</v>
      </c>
      <c r="H15" s="0" t="n">
        <f aca="false">H13-MAX(0,H13)*H14/100</f>
        <v>8749.99859342027</v>
      </c>
      <c r="I15" s="0" t="n">
        <f aca="false">I13-MAX(0,I13)*I14/100</f>
        <v>8958.85272651322</v>
      </c>
      <c r="J15" s="0" t="n">
        <f aca="false">J13-MAX(0,J13)*J14/100</f>
        <v>9172.36310885767</v>
      </c>
      <c r="K15" s="0" t="n">
        <f aca="false">K13-MAX(0,K13)*K14/100</f>
        <v>9447.5340021234</v>
      </c>
      <c r="L15" s="0" t="n">
        <f aca="false">L13-MAX(0,L13)*L14/100</f>
        <v>9730.9600221871</v>
      </c>
    </row>
    <row r="16" customFormat="false" ht="15" hidden="false" customHeight="false" outlineLevel="0" collapsed="false">
      <c r="A16" s="0" t="s">
        <v>120</v>
      </c>
      <c r="C16" s="0" t="n">
        <f aca="false">-C12</f>
        <v>3474.65025</v>
      </c>
      <c r="D16" s="0" t="n">
        <f aca="false">-D12</f>
        <v>3673.863531</v>
      </c>
      <c r="E16" s="0" t="n">
        <f aca="false">-E12</f>
        <v>3883.45443408</v>
      </c>
      <c r="F16" s="0" t="n">
        <f aca="false">-F12</f>
        <v>4103.9344277568</v>
      </c>
      <c r="G16" s="0" t="n">
        <f aca="false">-G12</f>
        <v>4314.99391261286</v>
      </c>
      <c r="H16" s="0" t="n">
        <f aca="false">-H12</f>
        <v>4444.44372999125</v>
      </c>
      <c r="I16" s="0" t="n">
        <f aca="false">-I12</f>
        <v>4649.30480817053</v>
      </c>
      <c r="J16" s="0" t="n">
        <f aca="false">-J12</f>
        <v>4862.45755168358</v>
      </c>
      <c r="K16" s="0" t="n">
        <f aca="false">-K12</f>
        <v>5008.33127823409</v>
      </c>
      <c r="L16" s="0" t="n">
        <f aca="false">-L12</f>
        <v>5158.58121658112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-6949.3005</v>
      </c>
      <c r="D17" s="4" t="n">
        <f aca="false">-D6*Assumptions!D46/100</f>
        <v>-6865.908894</v>
      </c>
      <c r="E17" s="4" t="n">
        <f aca="false">-E6*Assumptions!E46/100</f>
        <v>-6764.72707872</v>
      </c>
      <c r="F17" s="4" t="n">
        <f aca="false">-F6*Assumptions!F46/100</f>
        <v>-6644.4652639872</v>
      </c>
      <c r="G17" s="4" t="n">
        <f aca="false">-G6*Assumptions!G46/100</f>
        <v>-6607.33442868845</v>
      </c>
      <c r="H17" s="4" t="n">
        <f aca="false">-H6*Assumptions!H46/100</f>
        <v>-6527.77672842465</v>
      </c>
      <c r="I17" s="4" t="n">
        <f aca="false">-I6*Assumptions!I46/100</f>
        <v>-6580.55449771829</v>
      </c>
      <c r="J17" s="4" t="n">
        <f aca="false">-J6*Assumptions!J46/100</f>
        <v>-6630.62393411398</v>
      </c>
      <c r="K17" s="4" t="n">
        <f aca="false">-K6*Assumptions!K46/100</f>
        <v>-6829.5426521374</v>
      </c>
      <c r="L17" s="4" t="n">
        <f aca="false">-L6*Assumptions!L46/100</f>
        <v>-7034.42893170152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195.833749999999</v>
      </c>
      <c r="D18" s="4" t="n">
        <f aca="false">(D6-C6)*Assumptions!$B$51/100</f>
        <v>231.64335</v>
      </c>
      <c r="E18" s="4" t="n">
        <f aca="false">(E6-D6)*Assumptions!$B$51/100</f>
        <v>240.909084</v>
      </c>
      <c r="F18" s="4" t="n">
        <f aca="false">(F6-E6)*Assumptions!$B$51/100</f>
        <v>250.54544736</v>
      </c>
      <c r="G18" s="4" t="n">
        <f aca="false">(G6-F6)*Assumptions!$B$51/100</f>
        <v>227.9963570976</v>
      </c>
      <c r="H18" s="4" t="n">
        <f aca="false">(H6-G6)*Assumptions!$B$51/100</f>
        <v>202.265339653728</v>
      </c>
      <c r="I18" s="4" t="n">
        <f aca="false">(I6-H6)*Assumptions!$B$51/100</f>
        <v>208.33329984334</v>
      </c>
      <c r="J18" s="4" t="n">
        <f aca="false">(J6-I6)*Assumptions!$B$51/100</f>
        <v>214.583298838641</v>
      </c>
      <c r="K18" s="4" t="n">
        <f aca="false">(K6-J6)*Assumptions!$B$51/100</f>
        <v>221.0207978038</v>
      </c>
      <c r="L18" s="4" t="n">
        <f aca="false">(L6-K6)*Assumptions!$B$51/100</f>
        <v>227.651421737914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3323.018975</v>
      </c>
      <c r="D19" s="0" t="n">
        <f aca="false">D15+D16+D17+D18</f>
        <v>4041.01824075</v>
      </c>
      <c r="E19" s="0" t="n">
        <f aca="false">E15+E16+E17+E18</f>
        <v>4782.0453174</v>
      </c>
      <c r="F19" s="0" t="n">
        <f aca="false">F15+F16+F17+F18</f>
        <v>5575.8889309968</v>
      </c>
      <c r="G19" s="0" t="n">
        <f aca="false">G15+G16+G17+G18</f>
        <v>6228.53476682486</v>
      </c>
      <c r="H19" s="0" t="n">
        <f aca="false">H15+H16+H17+H18</f>
        <v>6868.9309346406</v>
      </c>
      <c r="I19" s="0" t="n">
        <f aca="false">I15+I16+I17+I18</f>
        <v>7235.9363368088</v>
      </c>
      <c r="J19" s="0" t="n">
        <f aca="false">J15+J16+J17+J18</f>
        <v>7618.78002526592</v>
      </c>
      <c r="K19" s="0" t="n">
        <f aca="false">K15+K16+K17+K18</f>
        <v>7847.34342602389</v>
      </c>
      <c r="L19" s="0" t="n">
        <f aca="false">L15+L16+L17+L18</f>
        <v>8082.76372880461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3091.18044186046</v>
      </c>
      <c r="D21" s="0" t="n">
        <f aca="false">D19*D20</f>
        <v>3496.82487030827</v>
      </c>
      <c r="E21" s="0" t="n">
        <f aca="false">E19*E20</f>
        <v>3849.35792211504</v>
      </c>
      <c r="F21" s="0" t="n">
        <f aca="false">F19*F20</f>
        <v>4175.22858550463</v>
      </c>
      <c r="G21" s="0" t="n">
        <f aca="false">G19*G20</f>
        <v>4338.53965872468</v>
      </c>
      <c r="H21" s="0" t="n">
        <f aca="false">H19*H20</f>
        <v>4450.80291864248</v>
      </c>
      <c r="I21" s="0" t="n">
        <f aca="false">I19*I20</f>
        <v>4361.49608959658</v>
      </c>
      <c r="J21" s="0" t="n">
        <f aca="false">J19*J20</f>
        <v>4271.86697589947</v>
      </c>
      <c r="K21" s="0" t="n">
        <f aca="false">K19*K20</f>
        <v>4093.04463737345</v>
      </c>
      <c r="L21" s="0" t="n">
        <f aca="false">L19*L20</f>
        <v>3921.7078851113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0.2</v>
      </c>
      <c r="D23" s="4" t="n">
        <f aca="false">Assumptions!D44</f>
        <v>0.2</v>
      </c>
      <c r="E23" s="4" t="n">
        <f aca="false">Assumptions!E44</f>
        <v>0.2</v>
      </c>
      <c r="F23" s="4" t="n">
        <f aca="false">Assumptions!F44</f>
        <v>0.2</v>
      </c>
      <c r="G23" s="4" t="n">
        <f aca="false">Assumptions!G44</f>
        <v>0.2</v>
      </c>
      <c r="H23" s="4" t="n">
        <f aca="false">Assumptions!H44</f>
        <v>0.2</v>
      </c>
      <c r="I23" s="4" t="n">
        <f aca="false">Assumptions!I44</f>
        <v>0.2</v>
      </c>
      <c r="J23" s="4" t="n">
        <f aca="false">Assumptions!J44</f>
        <v>0.2</v>
      </c>
      <c r="K23" s="4" t="n">
        <f aca="false">Assumptions!K44</f>
        <v>0.2</v>
      </c>
      <c r="L23" s="4" t="n">
        <f aca="false">Assumptions!L44</f>
        <v>0.2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-231.64335</v>
      </c>
      <c r="D24" s="0" t="n">
        <f aca="false">-D6*D23/100</f>
        <v>-240.909084</v>
      </c>
      <c r="E24" s="0" t="n">
        <f aca="false">-E6*E23/100</f>
        <v>-250.54544736</v>
      </c>
      <c r="F24" s="0" t="n">
        <f aca="false">-F6*F23/100</f>
        <v>-260.5672652544</v>
      </c>
      <c r="G24" s="0" t="n">
        <f aca="false">-G6*G23/100</f>
        <v>-269.687119538304</v>
      </c>
      <c r="H24" s="0" t="n">
        <f aca="false">-H6*H23/100</f>
        <v>-277.777733124453</v>
      </c>
      <c r="I24" s="0" t="n">
        <f aca="false">-I6*I23/100</f>
        <v>-286.111065118187</v>
      </c>
      <c r="J24" s="0" t="n">
        <f aca="false">-J6*J23/100</f>
        <v>-294.694397071732</v>
      </c>
      <c r="K24" s="0" t="n">
        <f aca="false">-K6*K23/100</f>
        <v>-303.535228983884</v>
      </c>
      <c r="L24" s="0" t="n">
        <f aca="false">-L6*L23/100</f>
        <v>-312.641285853401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40050.0499851364</v>
      </c>
    </row>
    <row r="31" customFormat="false" ht="15" hidden="false" customHeight="false" outlineLevel="0" collapsed="false">
      <c r="A31" s="0" t="s">
        <v>129</v>
      </c>
      <c r="B31" s="0" t="n">
        <f aca="false">L19</f>
        <v>8082.76372880461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185005.48090375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121241.455932069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121241.455932069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58825.6182766695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98875.6682618059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90684.6682618059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94.1427102838051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0.941887588362316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94.1427102838051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69377.0553389063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38.1422629952841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31.3077934845115</v>
      </c>
      <c r="C4" s="0" t="n">
        <f aca="false">B4/Assumptions!$B$2-1</f>
        <v>-0.35421218060001</v>
      </c>
      <c r="D4" s="4" t="n">
        <f aca="false">Assumptions!$B$24</f>
        <v>0.25</v>
      </c>
      <c r="E4" s="4" t="n">
        <f aca="false">DCF_Bear!$B$43</f>
        <v>31.3077934845115</v>
      </c>
      <c r="F4" s="4" t="n">
        <f aca="false">DCF_Bear!$B$47</f>
        <v>12.2539562959206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69.2709085911797</v>
      </c>
      <c r="C5" s="0" t="n">
        <f aca="false">B5/Assumptions!$B$2-1</f>
        <v>0.428855375230604</v>
      </c>
      <c r="D5" s="4" t="n">
        <f aca="false">Assumptions!$B$38</f>
        <v>0.5</v>
      </c>
      <c r="E5" s="4" t="n">
        <f aca="false">DCF_Base!$B$43</f>
        <v>69.2709085911797</v>
      </c>
      <c r="F5" s="4" t="n">
        <f aca="false">DCF_Base!$B$47</f>
        <v>26.7093176479558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94.1427102838051</v>
      </c>
      <c r="C6" s="0" t="n">
        <f aca="false">B6/Assumptions!$B$2-1</f>
        <v>0.941887588362316</v>
      </c>
      <c r="D6" s="4" t="n">
        <f aca="false">Assumptions!$B$52</f>
        <v>0.25</v>
      </c>
      <c r="E6" s="4" t="n">
        <f aca="false">DCF_Bull!$B$43</f>
        <v>94.1427102838051</v>
      </c>
      <c r="F6" s="4" t="n">
        <f aca="false">DCF_Bull!$B$47</f>
        <v>38.1422629952841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65.998080237669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65.998080237669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0.26543317888314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25.953713646779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69.2709085911797</v>
      </c>
      <c r="C15" s="3" t="n">
        <v>7.5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61.0063387558851</v>
      </c>
      <c r="C16" s="3" t="n">
        <v>9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52.883315606421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45.1406222007283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39.0490524082135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26.7093176479558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82.2828744061259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82.2828744061259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82.2828744061259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82.2828744061259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82.2828744061259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75.4662346861891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75.4662346861891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75.4662346861891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75.4662346861891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75.4662346861891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69.2709085911797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69.2709085911797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69.2709085911797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69.2709085911797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69.2709085911797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62.2487394653239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63.6335863905945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63.6335863905945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63.6335863905945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63.6335863905945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52.6545344723718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54.9603301990784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57.5955253153146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58.4979893962174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58.4979893962174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2026-10-22T04:39:37Z</dcterms:created>
  <dc:creator>openpyxl</dc:creator>
  <dc:description/>
  <dc:language>en-NZ</dc:language>
  <cp:lastModifiedBy/>
  <dcterms:modified xsi:type="dcterms:W3CDTF">2026-10-22T04:39:37Z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