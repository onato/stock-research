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<sst xmlns="http://schemas.openxmlformats.org/spreadsheetml/2006/main" count="375" uniqueCount="184">
  <si>
    <t xml:space="preserve">Ticker</t>
  </si>
  <si>
    <t xml:space="preserve">6818.HK</t>
  </si>
  <si>
    <t xml:space="preserve">Company</t>
  </si>
  <si>
    <t xml:space="preserve">China Everbright Bank Company Limited</t>
  </si>
  <si>
    <t xml:space="preserve">Valuation date</t>
  </si>
  <si>
    <t xml:space="preserve">2026-10-24</t>
  </si>
  <si>
    <t xml:space="preserve">Current price</t>
  </si>
  <si>
    <t xml:space="preserve">Price as of</t>
  </si>
  <si>
    <t xml:space="preserve">2026-10-23T08:08:08Z HKEX regular close (Friday); valuation dated Saturday 2026-10-24. Price sits at the bottom of the 52-week range.</t>
  </si>
  <si>
    <t xml:space="preserve">Balance sheet date</t>
  </si>
  <si>
    <t xml:space="preserve">2026-06-30</t>
  </si>
  <si>
    <t xml:space="preserve">Model</t>
  </si>
  <si>
    <t xml:space="preserve">Bank FCFE at cost of equity (engine route), net debt zero, CET1 retention on risk-weighted-asset growth, preference-share and perpetual-bond distributions and NCI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</si>
  <si>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</si>
  <si>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</si>
  <si>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</si>
  <si>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</si>
  <si>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</si>
  <si>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</si>
  <si>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</si>
  <si>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</si>
  <si>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</si>
  <si>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2026-10-23T16:09:00Z</t>
  </si>
  <si>
    <t xml:space="preserve">Drivers file</t>
  </si>
  <si>
    <t xml:space="preserve">6818.HK_Drivers.json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</si>
  <si>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</si>
  <si>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</si>
  <si>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</si>
  <si>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China Everbright Bank that flow is net profit to ordinary shareholders (after tax, NCI and preference/perpetual-bond distributions) less the equity retained to hold CET1 at ~9.65% on growing risk-weighted assets. The bank earns ~6-7% on ordinary equity against an 11% cost of equity, so it is fairly worth well under book (base ~0.4x); the H share at 0.26x book, ~3.9x earnings and a ~7.8% dividend yield already discounts most of the bear case, which is why the weighted value sits above the price despite a bear-heavy weighting. The dominant near-term risk is asset quality: whether the H1 2026 NPL and coverage break is a one-off reclassification of legacy Stage-3 assets or the start of a provisioning cycle that forces a capital rebuild. Net debt is zero by construction; deposits are operating funding.
key_risks_to_valuation: Asset quality: NPL 1.44% (from 1.27%) and coverage 150% (from 174%) at H1 2026; a ~RMB20bn gap between reported NPLs and Stage-3 credit-impaired assets in the FY2025 accounts (Caixin, July 2026). If provisioned through the P&amp;L, the bear margin path applies.; Capital: CET1 9.67% vs a ~8.0% D-SIB floor; a regulator-driven rebuild to 10% while RWA grows absorbs all distributable profit for two years. A discounted A+H rights issue or state recapitalisation would dilute H-share value; the flat share count does not model it.; NIM: 2.29% (FY2020) to 1.40% (FY2025); the H1 2026 +2bp stabilisation depends on deposit costs falling faster than loan yields (3.37%, -32bp YoY); further LPR cuts without deposit repricing take the bear revenue path.; Earnings quality: other non-interest income (trading, investment-securities and derecognition gains, ~10% of income) roughly halved in H1 2026 and swings PBT by a fifth; card fees falling.; Governance and transparency: the bad-loan disclosure controversy and a JPMorgan Sell rating (target HKD2.60, July 2026) at a price near the 52-week low; state-directed lending under the 'five target areas' and Everbright Group control (no buyback lever).; Currency and listing: RMB flows against an HKD quote (a 10% RMB move is a 10% move in HKD value); H shares trade at a ~34% discount to the A shares; 10% dividend withholding for H-share holders is not modelled.</t>
  </si>
  <si>
    <t xml:space="preserve">Data sources</t>
  </si>
  <si>
    <t xml:space="preserve">price: Yahoo Finance chart API (6818.HK, HKD) at inputs.price_as_of; 52-week range 2.585-3.88. FX CNYHKD=X, USDCNY=X, USDHKD=X and the A share 601818.SS from the same API on 2026-10-23.
financials: 6818.HK_Metrics.csv / metrics_normalized (FY2017-FY2025, H1/Q interims through H1 2026, RMB millions) and kpis (NIM, NPL, coverage, ROE, CET1, dividends, credit impairment). FY2025 annual report: key data (lines 578-600), capital adequacy table (lines 718-736), income statement (lines 7620-7650), EPS note with ordinary profit 34,179 and other-equity-instrument distributions 4,647 (lines 9646-9664; preference 2,807 + perpetual 1,840 at line 640), P3 preference redemption (lines 5343-5366), dividend RMB1.75/10 shares (lines 43-44, 4264-4268). H1 2026 interim: key data (lines 255-290, asset quality 310-313), capital table (lines 363-381), income statement (lines 3800-3825), EPS note (lines 4438-4472), interim dividend RMB0.81/10 shares = 4,786m (lines 2705-2713), other equity instruments 104,947 (line 1087).
qualitative: 6818.HK_Analysis.json (2026-10-24): guidance (no numeric FY2026 targets; NIM stabilisation; new-NPL control; capital above SIB requirements), recent developments (H1 2026 results, July 2026 bad-loan rumour and denial, JPMorgan Sell / HSBC Hold), bull/bear cases.</t>
  </si>
  <si>
    <t xml:space="preserve">Scenario narrative: bear</t>
  </si>
  <si>
    <t xml:space="preserve">The RMB20bn Stage-3 gap is provisioned and coverage rebuilt while NIM compresses to ~1.3%; revenue falls again; CET1 is rebuilt to 10% by FY2030, so FCFE is ~0 for FY2027-28. Dividend cut or a discounted rights issue; terminal ROE ~4.5%.</t>
  </si>
  <si>
    <t xml:space="preserve">Scenario narrative: base</t>
  </si>
  <si>
    <t xml:space="preserve">Two years of elevated provisioning as legacy Stage-3 assets are recognised (margin 34-35%), then recovery to 37%; NIM flat at ~1.4%, operating income grows 1.5-3%, RWA growth held at 3-4% so CET1 stays at 9.65% without a raise. FCFE rises from ~RMB12bn to ~RMB24bn; terminal ROE ~5.9%, terminal P/B ~0.42x.</t>
  </si>
  <si>
    <t xml:space="preserve">Scenario narrative: bull</t>
  </si>
  <si>
    <t xml:space="preserve">The NPL rise was a reclassification: credit cost normalises to ~0.9%, NIM recovers 5-10bp, fees and trading gains grow, margin 40%, RWA growth 4-5%. FCFE ~RMB14bn rising to ~RMB27bn; terminal ROE ~7%.</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</si>
  <si>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</si>
  <si>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</si>
  <si>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</si>
  <si>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</si>
  <si>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</si>
  <si>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</si>
  <si>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</si>
  <si>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</si>
  <si>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</si>
  <si>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</si>
  <si>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</si>
  <si>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</si>
  <si>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</si>
  <si>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</si>
  <si>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</si>
  <si>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</si>
  <si>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</si>
  <si>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</si>
  <si>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</si>
  <si>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</si>
  <si>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</si>
  <si>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</si>
  <si>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</si>
  <si>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</si>
  <si>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</si>
  <si>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</si>
  <si>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</si>
  <si>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AllowanceCoverageRatio</t>
  </si>
  <si>
    <t xml:space="preserve">BookValuePerShare</t>
  </si>
  <si>
    <t xml:space="preserve">CET1Ratio</t>
  </si>
  <si>
    <t xml:space="preserve">CostToIncomeRatio</t>
  </si>
  <si>
    <t xml:space="preserve">CreditImpairmentCharge</t>
  </si>
  <si>
    <t xml:space="preserve">CustomerDeposits</t>
  </si>
  <si>
    <t xml:space="preserve">NIM</t>
  </si>
  <si>
    <t xml:space="preserve">NPLRatio</t>
  </si>
  <si>
    <t xml:space="preserve">NetFeeAndCommissionIncome</t>
  </si>
  <si>
    <t xml:space="preserve">NetIncomeInclNCI</t>
  </si>
  <si>
    <t xml:space="preserve">NetInterestIncome</t>
  </si>
  <si>
    <t xml:space="preserve">NetLoansAndAdvances</t>
  </si>
  <si>
    <t xml:space="preserve">OperatingExpenses</t>
  </si>
  <si>
    <t xml:space="preserve">OtherEquityInstruments</t>
  </si>
  <si>
    <t xml:space="preserve">ROAA</t>
  </si>
  <si>
    <t xml:space="preserve">ROE</t>
  </si>
  <si>
    <t xml:space="preserve">Tier1Ratio</t>
  </si>
  <si>
    <t xml:space="preserve">TotalCapitalRatio</t>
  </si>
  <si>
    <t xml:space="preserve">TotalEquityInclNCI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</si>
  <si>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</si>
  <si>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</si>
  <si>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</si>
  <si>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</si>
  <si>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</si>
  <si>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</si>
  <si>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</si>
  <si>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</si>
  <si>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</si>
  <si>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</si>
  <si>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</si>
  <si>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</si>
  <si>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</si>
  <si>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</si>
  <si>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</si>
  <si>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</si>
  <si>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</si>
  <si>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</si>
  <si>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</si>
  <si>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</si>
  <si>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</si>
  <si>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</si>
  <si>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</si>
  <si>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</si>
  <si>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</si>
  <si>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</si>
  <si>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</si>
  <si>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</si>
  <si>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</si>
  <si>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</si>
  <si>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</si>
  <si>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</si>
  <si>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</si>
  <si>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</si>
  <si>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</si>
  <si>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</si>
  <si>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</si>
  <si>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</si>
  <si>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</si>
  <si>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</si>
  <si>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</si>
  <si>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</si>
  <si>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</si>
  <si>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</si>
  <si>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</si>
  <si>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</si>
  <si>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</si>
  <si>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6818.HK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</si>
  <si>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</si>
  <si>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</si>
  <si>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</si>
  <si>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</si>
  <si>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</si>
  <si>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</si>
  <si>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</si>
  <si>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</si>
  <si>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</si>
  <si>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</si>
  <si>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</si>
  <si>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</si>
  <si>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</si>
  <si>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</si>
  <si>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</si>
  <si>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</si>
  <si>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</si>
  <si>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</si>
  <si>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</si>
  <si>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</si>
  <si>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</si>
  <si>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</si>
  <si>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</si>
  <si>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</si>
  <si>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</si>
  <si>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</si>
  <si>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</si>
  <si>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</si>
  <si>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</si>
  <si>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</si>
  <si>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6818.HK owner-FCF component DCF: base case (millions, CNY)</t>
  </si>
  <si>
    <t xml:space="preserve">6818.HK owner-FCF component DCF: bull case (millions, CNY)</t>
  </si>
  <si>
    <t xml:space="preserve">6818.HK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</si>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</sst>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c r="AR1" s="2" t="s">
        <v>79</v>
      </c>
      <c r="AS1" s="2" t="s">
        <v>80</v>
      </c>
      <c r="AT1" s="2" t="s">
        <v>81</v>
      </c>
      <c r="AU1" s="2" t="s">
        <v>82</v>
      </c>
    </row>
    <row r="2" customFormat="false" ht="15" hidden="false" customHeight="false" outlineLevel="0" collapsed="false">
      <c r="A2" s="0" t="s">
        <v>83</v>
      </c>
      <c r="B2" s="0" t="n">
        <v>92018</v>
      </c>
      <c r="F2" s="0" t="n">
        <v>40646</v>
      </c>
      <c r="G2" s="0" t="n">
        <v>44.2</v>
      </c>
      <c r="I2" s="0" t="n">
        <v>31545</v>
      </c>
      <c r="J2" s="0" t="n">
        <v>34.3</v>
      </c>
      <c r="K2" s="0" t="n">
        <v>0.59</v>
      </c>
      <c r="L2" s="0" t="n">
        <v>-142721</v>
      </c>
      <c r="O2" s="0" t="n">
        <v>304760</v>
      </c>
      <c r="P2" s="0" t="n">
        <v>4088243</v>
      </c>
      <c r="Q2" s="0" t="n">
        <v>3782807</v>
      </c>
      <c r="S2" s="0" t="n">
        <v>147923</v>
      </c>
      <c r="T2" s="0" t="n">
        <v>52489</v>
      </c>
      <c r="AA2" s="0" t="s">
        <v>18</v>
      </c>
      <c r="AB2" s="0" t="s">
        <v>14</v>
      </c>
      <c r="AG2" s="0" t="n">
        <v>20570</v>
      </c>
      <c r="AH2" s="0" t="n">
        <v>2272665</v>
      </c>
      <c r="AK2" s="0" t="n">
        <v>30774</v>
      </c>
      <c r="AL2" s="0" t="n">
        <v>31611</v>
      </c>
      <c r="AM2" s="0" t="n">
        <v>60950</v>
      </c>
      <c r="AN2" s="0" t="n">
        <v>1980818</v>
      </c>
      <c r="AO2" s="0" t="n">
        <v>30802</v>
      </c>
      <c r="AP2" s="0" t="n">
        <v>35108</v>
      </c>
      <c r="AU2" s="0" t="n">
        <v>305436</v>
      </c>
    </row>
    <row r="3" customFormat="false" ht="15" hidden="false" customHeight="false" outlineLevel="0" collapsed="false">
      <c r="A3" s="0" t="s">
        <v>84</v>
      </c>
      <c r="B3" s="0" t="n">
        <v>110386</v>
      </c>
      <c r="F3" s="0" t="n">
        <v>40852</v>
      </c>
      <c r="G3" s="0" t="n">
        <v>37</v>
      </c>
      <c r="I3" s="0" t="n">
        <v>33659</v>
      </c>
      <c r="J3" s="0" t="n">
        <v>30.5</v>
      </c>
      <c r="K3" s="0" t="n">
        <v>0.55</v>
      </c>
      <c r="L3" s="0" t="n">
        <v>19514</v>
      </c>
      <c r="O3" s="0" t="n">
        <v>321488</v>
      </c>
      <c r="P3" s="0" t="n">
        <v>4357332</v>
      </c>
      <c r="Q3" s="0" t="n">
        <v>4034859</v>
      </c>
      <c r="S3" s="0" t="n">
        <v>187680</v>
      </c>
      <c r="T3" s="0" t="n">
        <v>52489</v>
      </c>
      <c r="AA3" s="0" t="s">
        <v>18</v>
      </c>
      <c r="AB3" s="0" t="s">
        <v>14</v>
      </c>
      <c r="AG3" s="0" t="n">
        <v>35744</v>
      </c>
      <c r="AH3" s="0" t="n">
        <v>2571961</v>
      </c>
      <c r="AK3" s="0" t="n">
        <v>19773</v>
      </c>
      <c r="AL3" s="0" t="n">
        <v>33721</v>
      </c>
      <c r="AM3" s="0" t="n">
        <v>78164</v>
      </c>
      <c r="AN3" s="0" t="n">
        <v>2361278</v>
      </c>
      <c r="AO3" s="0" t="n">
        <v>33706</v>
      </c>
      <c r="AP3" s="0" t="n">
        <v>35108</v>
      </c>
      <c r="AU3" s="0" t="n">
        <v>322473</v>
      </c>
    </row>
    <row r="4" customFormat="false" ht="15" hidden="false" customHeight="false" outlineLevel="0" collapsed="false">
      <c r="A4" s="0" t="s">
        <v>85</v>
      </c>
      <c r="B4" s="0" t="n">
        <v>132939</v>
      </c>
      <c r="F4" s="0" t="n">
        <v>45163</v>
      </c>
      <c r="G4" s="0" t="n">
        <v>34</v>
      </c>
      <c r="I4" s="0" t="n">
        <v>37354</v>
      </c>
      <c r="J4" s="0" t="n">
        <v>28.1</v>
      </c>
      <c r="K4" s="0" t="n">
        <v>0.62</v>
      </c>
      <c r="L4" s="0" t="n">
        <v>65100</v>
      </c>
      <c r="O4" s="0" t="n">
        <v>384982</v>
      </c>
      <c r="P4" s="0" t="n">
        <v>4733431</v>
      </c>
      <c r="Q4" s="0" t="n">
        <v>4347377</v>
      </c>
      <c r="S4" s="0" t="n">
        <v>117499</v>
      </c>
      <c r="T4" s="0" t="n">
        <v>52489</v>
      </c>
      <c r="AA4" s="0" t="s">
        <v>18</v>
      </c>
      <c r="AB4" s="0" t="s">
        <v>14</v>
      </c>
      <c r="AG4" s="0" t="n">
        <v>48965</v>
      </c>
      <c r="AH4" s="0" t="n">
        <v>3017888</v>
      </c>
      <c r="AK4" s="0" t="n">
        <v>23169</v>
      </c>
      <c r="AL4" s="0" t="n">
        <v>37441</v>
      </c>
      <c r="AM4" s="0" t="n">
        <v>101918</v>
      </c>
      <c r="AN4" s="0" t="n">
        <v>2644136</v>
      </c>
      <c r="AO4" s="0" t="n">
        <v>38429</v>
      </c>
      <c r="AP4" s="0" t="n">
        <v>70067</v>
      </c>
      <c r="AU4" s="0" t="n">
        <v>386054</v>
      </c>
    </row>
    <row r="5" customFormat="false" ht="15" hidden="false" customHeight="false" outlineLevel="0" collapsed="false">
      <c r="A5" s="0" t="s">
        <v>86</v>
      </c>
      <c r="B5" s="0" t="n">
        <v>142798</v>
      </c>
      <c r="F5" s="0" t="n">
        <v>45531</v>
      </c>
      <c r="G5" s="0" t="n">
        <v>31.9</v>
      </c>
      <c r="I5" s="0" t="n">
        <v>37835</v>
      </c>
      <c r="J5" s="0" t="n">
        <v>26.5</v>
      </c>
      <c r="K5" s="0" t="n">
        <v>0.61</v>
      </c>
      <c r="L5" s="0" t="n">
        <v>117169</v>
      </c>
      <c r="O5" s="0" t="n">
        <v>453470</v>
      </c>
      <c r="P5" s="0" t="n">
        <v>5368163</v>
      </c>
      <c r="Q5" s="0" t="n">
        <v>4913123</v>
      </c>
      <c r="S5" s="0" t="n">
        <v>145076</v>
      </c>
      <c r="T5" s="0" t="n">
        <v>54032</v>
      </c>
      <c r="AA5" s="0" t="s">
        <v>18</v>
      </c>
      <c r="AB5" s="0" t="s">
        <v>14</v>
      </c>
      <c r="AG5" s="0" t="n">
        <v>56733</v>
      </c>
      <c r="AH5" s="0" t="n">
        <v>3480642</v>
      </c>
      <c r="AI5" s="0" t="n">
        <v>2.29</v>
      </c>
      <c r="AK5" s="0" t="n">
        <v>24409</v>
      </c>
      <c r="AL5" s="0" t="n">
        <v>37928</v>
      </c>
      <c r="AM5" s="0" t="n">
        <v>110697</v>
      </c>
      <c r="AN5" s="0" t="n">
        <v>2942435</v>
      </c>
      <c r="AO5" s="0" t="n">
        <v>40335</v>
      </c>
      <c r="AP5" s="0" t="n">
        <v>109062</v>
      </c>
      <c r="AU5" s="0" t="n">
        <v>455040</v>
      </c>
    </row>
    <row r="6" customFormat="false" ht="15" hidden="false" customHeight="false" outlineLevel="0" collapsed="false">
      <c r="A6" s="0" t="s">
        <v>87</v>
      </c>
      <c r="B6" s="0" t="n">
        <v>153366</v>
      </c>
      <c r="F6" s="0" t="n">
        <v>53031</v>
      </c>
      <c r="G6" s="0" t="n">
        <v>34.6</v>
      </c>
      <c r="I6" s="0" t="n">
        <v>43407</v>
      </c>
      <c r="J6" s="0" t="n">
        <v>28.3</v>
      </c>
      <c r="K6" s="0" t="n">
        <v>0.65</v>
      </c>
      <c r="L6" s="0" t="n">
        <v>-112242</v>
      </c>
      <c r="O6" s="0" t="n">
        <v>482489</v>
      </c>
      <c r="P6" s="0" t="n">
        <v>5902069</v>
      </c>
      <c r="Q6" s="0" t="n">
        <v>5417703</v>
      </c>
      <c r="S6" s="0" t="n">
        <v>222583</v>
      </c>
      <c r="T6" s="0" t="n">
        <v>54032</v>
      </c>
      <c r="AA6" s="0" t="s">
        <v>18</v>
      </c>
      <c r="AB6" s="0" t="s">
        <v>14</v>
      </c>
      <c r="AC6" s="0" t="n">
        <v>187.02</v>
      </c>
      <c r="AD6" s="0" t="n">
        <v>6.99</v>
      </c>
      <c r="AE6" s="0" t="n">
        <v>8.91</v>
      </c>
      <c r="AF6" s="0" t="n">
        <v>28.64</v>
      </c>
      <c r="AG6" s="0" t="n">
        <v>54772</v>
      </c>
      <c r="AH6" s="0" t="n">
        <v>3675743</v>
      </c>
      <c r="AI6" s="0" t="n">
        <v>2.16</v>
      </c>
      <c r="AJ6" s="0" t="n">
        <v>1.25</v>
      </c>
      <c r="AK6" s="0" t="n">
        <v>27314</v>
      </c>
      <c r="AL6" s="0" t="n">
        <v>43639</v>
      </c>
      <c r="AM6" s="0" t="n">
        <v>112155</v>
      </c>
      <c r="AN6" s="0" t="n">
        <v>3239396</v>
      </c>
      <c r="AO6" s="0" t="n">
        <v>45540</v>
      </c>
      <c r="AP6" s="0" t="n">
        <v>109062</v>
      </c>
      <c r="AQ6" s="0" t="n">
        <v>0.77</v>
      </c>
      <c r="AR6" s="0" t="n">
        <v>10.64</v>
      </c>
      <c r="AS6" s="0" t="n">
        <v>11.41</v>
      </c>
      <c r="AT6" s="0" t="n">
        <v>13.37</v>
      </c>
      <c r="AU6" s="0" t="n">
        <v>484366</v>
      </c>
    </row>
    <row r="7" customFormat="false" ht="15" hidden="false" customHeight="false" outlineLevel="0" collapsed="false">
      <c r="A7" s="0" t="s">
        <v>88</v>
      </c>
      <c r="B7" s="0" t="n">
        <v>151865</v>
      </c>
      <c r="F7" s="0" t="n">
        <v>56029</v>
      </c>
      <c r="G7" s="0" t="n">
        <v>36.9</v>
      </c>
      <c r="I7" s="0" t="n">
        <v>44807</v>
      </c>
      <c r="J7" s="0" t="n">
        <v>29.5</v>
      </c>
      <c r="K7" s="0" t="n">
        <v>0.67</v>
      </c>
      <c r="L7" s="0" t="n">
        <v>-56398</v>
      </c>
      <c r="O7" s="0" t="n">
        <v>507883</v>
      </c>
      <c r="P7" s="0" t="n">
        <v>6300510</v>
      </c>
      <c r="Q7" s="0" t="n">
        <v>5790497</v>
      </c>
      <c r="S7" s="0" t="n">
        <v>136664</v>
      </c>
      <c r="T7" s="0" t="n">
        <v>54032</v>
      </c>
      <c r="AA7" s="0" t="s">
        <v>18</v>
      </c>
      <c r="AB7" s="0" t="s">
        <v>14</v>
      </c>
      <c r="AC7" s="0" t="n">
        <v>187.93</v>
      </c>
      <c r="AD7" s="0" t="n">
        <v>7.46</v>
      </c>
      <c r="AF7" s="0" t="n">
        <v>28.62</v>
      </c>
      <c r="AG7" s="0" t="n">
        <v>50600</v>
      </c>
      <c r="AH7" s="0" t="n">
        <v>3917168</v>
      </c>
      <c r="AI7" s="0" t="n">
        <v>2.01</v>
      </c>
      <c r="AJ7" s="0" t="n">
        <v>1.25</v>
      </c>
      <c r="AK7" s="0" t="n">
        <v>26744</v>
      </c>
      <c r="AL7" s="0" t="n">
        <v>45040</v>
      </c>
      <c r="AM7" s="0" t="n">
        <v>113655</v>
      </c>
      <c r="AN7" s="0" t="n">
        <v>3499351</v>
      </c>
      <c r="AO7" s="0" t="n">
        <v>45227</v>
      </c>
      <c r="AP7" s="0" t="n">
        <v>109062</v>
      </c>
      <c r="AQ7" s="0" t="n">
        <v>0.74</v>
      </c>
      <c r="AR7" s="0" t="n">
        <v>10.27</v>
      </c>
      <c r="AU7" s="0" t="n">
        <v>510013</v>
      </c>
    </row>
    <row r="8" customFormat="false" ht="15" hidden="false" customHeight="false" outlineLevel="0" collapsed="false">
      <c r="A8" s="0" t="s">
        <v>89</v>
      </c>
      <c r="B8" s="0" t="n">
        <v>145735</v>
      </c>
      <c r="F8" s="0" t="n">
        <v>49721</v>
      </c>
      <c r="G8" s="0" t="n">
        <v>34.1</v>
      </c>
      <c r="I8" s="0" t="n">
        <v>40792</v>
      </c>
      <c r="J8" s="0" t="n">
        <v>28</v>
      </c>
      <c r="K8" s="0" t="n">
        <v>0.61</v>
      </c>
      <c r="L8" s="0" t="n">
        <v>-3614</v>
      </c>
      <c r="O8" s="0" t="n">
        <v>552391</v>
      </c>
      <c r="P8" s="0" t="n">
        <v>6772796</v>
      </c>
      <c r="Q8" s="0" t="n">
        <v>6218011</v>
      </c>
      <c r="S8" s="0" t="n">
        <v>123902</v>
      </c>
      <c r="T8" s="0" t="n">
        <v>59086</v>
      </c>
      <c r="AA8" s="0" t="s">
        <v>18</v>
      </c>
      <c r="AB8" s="0" t="s">
        <v>14</v>
      </c>
      <c r="AC8" s="0" t="n">
        <v>181.27</v>
      </c>
      <c r="AD8" s="0" t="n">
        <v>7.57</v>
      </c>
      <c r="AF8" s="0" t="n">
        <v>28.95</v>
      </c>
      <c r="AG8" s="0" t="n">
        <v>52075</v>
      </c>
      <c r="AH8" s="0" t="n">
        <v>4094528</v>
      </c>
      <c r="AI8" s="0" t="n">
        <v>1.74</v>
      </c>
      <c r="AJ8" s="0" t="n">
        <v>1.25</v>
      </c>
      <c r="AK8" s="0" t="n">
        <v>23698</v>
      </c>
      <c r="AL8" s="0" t="n">
        <v>41076</v>
      </c>
      <c r="AM8" s="0" t="n">
        <v>107480</v>
      </c>
      <c r="AN8" s="0" t="n">
        <v>3712925</v>
      </c>
      <c r="AO8" s="0" t="n">
        <v>43909</v>
      </c>
      <c r="AP8" s="0" t="n">
        <v>104899</v>
      </c>
      <c r="AQ8" s="0" t="n">
        <v>0.63</v>
      </c>
      <c r="AR8" s="0" t="n">
        <v>8.38</v>
      </c>
      <c r="AU8" s="0" t="n">
        <v>554785</v>
      </c>
    </row>
    <row r="9" customFormat="false" ht="15" hidden="false" customHeight="false" outlineLevel="0" collapsed="false">
      <c r="A9" s="0" t="s">
        <v>90</v>
      </c>
      <c r="B9" s="0" t="n">
        <v>135595</v>
      </c>
      <c r="F9" s="0" t="n">
        <v>51461</v>
      </c>
      <c r="G9" s="0" t="n">
        <v>38</v>
      </c>
      <c r="I9" s="0" t="n">
        <v>41696</v>
      </c>
      <c r="J9" s="0" t="n">
        <v>30.8</v>
      </c>
      <c r="K9" s="0" t="n">
        <v>0.62</v>
      </c>
      <c r="L9" s="0" t="n">
        <v>-204802</v>
      </c>
      <c r="O9" s="0" t="n">
        <v>587700</v>
      </c>
      <c r="P9" s="0" t="n">
        <v>6959021</v>
      </c>
      <c r="Q9" s="0" t="n">
        <v>6368790</v>
      </c>
      <c r="S9" s="0" t="n">
        <v>128057</v>
      </c>
      <c r="T9" s="0" t="n">
        <v>59086</v>
      </c>
      <c r="AA9" s="0" t="s">
        <v>18</v>
      </c>
      <c r="AB9" s="0" t="s">
        <v>14</v>
      </c>
      <c r="AC9" s="0" t="n">
        <v>180.59</v>
      </c>
      <c r="AD9" s="0" t="n">
        <v>8.17</v>
      </c>
      <c r="AF9" s="0" t="n">
        <v>30.91</v>
      </c>
      <c r="AG9" s="0" t="n">
        <v>40522</v>
      </c>
      <c r="AH9" s="0" t="n">
        <v>4035687</v>
      </c>
      <c r="AI9" s="0" t="n">
        <v>1.54</v>
      </c>
      <c r="AJ9" s="0" t="n">
        <v>1.25</v>
      </c>
      <c r="AK9" s="0" t="n">
        <v>19071</v>
      </c>
      <c r="AL9" s="0" t="n">
        <v>41911</v>
      </c>
      <c r="AM9" s="0" t="n">
        <v>96666</v>
      </c>
      <c r="AN9" s="0" t="n">
        <v>3857693</v>
      </c>
      <c r="AO9" s="0" t="n">
        <v>43569</v>
      </c>
      <c r="AP9" s="0" t="n">
        <v>104899</v>
      </c>
      <c r="AQ9" s="0" t="n">
        <v>0.61</v>
      </c>
      <c r="AR9" s="0" t="n">
        <v>7.93</v>
      </c>
      <c r="AU9" s="0" t="n">
        <v>590231</v>
      </c>
    </row>
    <row r="10" customFormat="false" ht="15" hidden="false" customHeight="false" outlineLevel="0" collapsed="false">
      <c r="A10" s="0" t="s">
        <v>91</v>
      </c>
      <c r="B10" s="0" t="n">
        <v>126460</v>
      </c>
      <c r="F10" s="0" t="n">
        <v>49687</v>
      </c>
      <c r="G10" s="0" t="n">
        <v>39.3</v>
      </c>
      <c r="I10" s="0" t="n">
        <v>38826</v>
      </c>
      <c r="J10" s="0" t="n">
        <v>30.7</v>
      </c>
      <c r="K10" s="0" t="n">
        <v>0.58</v>
      </c>
      <c r="L10" s="0" t="n">
        <v>162907</v>
      </c>
      <c r="O10" s="0" t="n">
        <v>604800</v>
      </c>
      <c r="P10" s="0" t="n">
        <v>7165319</v>
      </c>
      <c r="Q10" s="0" t="n">
        <v>6557877</v>
      </c>
      <c r="S10" s="0" t="n">
        <v>239212</v>
      </c>
      <c r="T10" s="0" t="n">
        <v>59086</v>
      </c>
      <c r="AA10" s="0" t="s">
        <v>18</v>
      </c>
      <c r="AB10" s="0" t="s">
        <v>14</v>
      </c>
      <c r="AC10" s="0" t="n">
        <v>174.14</v>
      </c>
      <c r="AD10" s="0" t="n">
        <v>8.46</v>
      </c>
      <c r="AF10" s="0" t="n">
        <v>30.67</v>
      </c>
      <c r="AG10" s="0" t="n">
        <v>36426</v>
      </c>
      <c r="AH10" s="0" t="n">
        <v>4102458</v>
      </c>
      <c r="AI10" s="0" t="n">
        <v>1.4</v>
      </c>
      <c r="AJ10" s="0" t="n">
        <v>1.27</v>
      </c>
      <c r="AK10" s="0" t="n">
        <v>20252</v>
      </c>
      <c r="AL10" s="0" t="n">
        <v>39141</v>
      </c>
      <c r="AM10" s="0" t="n">
        <v>92101</v>
      </c>
      <c r="AN10" s="0" t="n">
        <v>3911379</v>
      </c>
      <c r="AO10" s="0" t="n">
        <v>40342</v>
      </c>
      <c r="AP10" s="0" t="n">
        <v>104906</v>
      </c>
      <c r="AQ10" s="0" t="n">
        <v>0.55</v>
      </c>
      <c r="AR10" s="0" t="n">
        <v>7</v>
      </c>
      <c r="AU10" s="0" t="n">
        <v>607442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92</v>
      </c>
      <c r="B1" s="2" t="s">
        <v>93</v>
      </c>
    </row>
    <row r="2" customFormat="false" ht="15" hidden="false" customHeight="false" outlineLevel="0" collapsed="false">
      <c r="A2" s="0" t="s">
        <v>94</v>
      </c>
      <c r="B2" s="3" t="n">
        <v>2.62</v>
      </c>
    </row>
    <row r="3" customFormat="false" ht="15" hidden="false" customHeight="false" outlineLevel="0" collapsed="false">
      <c r="A3" s="0" t="s">
        <v>95</v>
      </c>
      <c r="B3" s="3" t="n">
        <v>59086</v>
      </c>
    </row>
    <row r="4" customFormat="false" ht="15" hidden="false" customHeight="false" outlineLevel="0" collapsed="false">
      <c r="A4" s="0" t="s">
        <v>96</v>
      </c>
      <c r="B4" s="3" t="n">
        <v>0</v>
      </c>
    </row>
    <row r="5" customFormat="false" ht="15" hidden="false" customHeight="false" outlineLevel="0" collapsed="false">
      <c r="A5" s="0" t="s">
        <v>97</v>
      </c>
      <c r="B5" s="3" t="n">
        <v>0</v>
      </c>
    </row>
    <row r="6" customFormat="false" ht="15" hidden="false" customHeight="false" outlineLevel="0" collapsed="false">
      <c r="A6" s="0" t="s">
        <v>98</v>
      </c>
      <c r="B6" s="3" t="n">
        <v>15</v>
      </c>
    </row>
    <row r="7" customFormat="false" ht="15" hidden="false" customHeight="false" outlineLevel="0" collapsed="false">
      <c r="A7" s="0" t="s">
        <v>99</v>
      </c>
      <c r="B7" s="3" t="n">
        <v>122700</v>
      </c>
    </row>
    <row r="8" customFormat="false" ht="15" hidden="false" customHeight="false" outlineLevel="0" collapsed="false">
      <c r="A8" s="0" t="s">
        <v>100</v>
      </c>
      <c r="B8" s="3" t="s">
        <v>101</v>
      </c>
    </row>
    <row r="9" customFormat="false" ht="15" hidden="false" customHeight="false" outlineLevel="0" collapsed="false">
      <c r="A9" s="0" t="s">
        <v>102</v>
      </c>
      <c r="B9" s="3" t="s">
        <v>103</v>
      </c>
    </row>
    <row r="10" customFormat="false" ht="15" hidden="false" customHeight="false" outlineLevel="0" collapsed="false">
      <c r="A10" s="0" t="s">
        <v>104</v>
      </c>
      <c r="B10" s="3" t="n">
        <v>1.1746</v>
      </c>
    </row>
    <row r="12" customFormat="false" ht="15" hidden="false" customHeight="false" outlineLevel="0" collapsed="false">
      <c r="A12" s="2" t="s">
        <v>105</v>
      </c>
      <c r="C12" s="2" t="s">
        <v>106</v>
      </c>
      <c r="D12" s="2" t="s">
        <v>107</v>
      </c>
      <c r="E12" s="2" t="s">
        <v>108</v>
      </c>
      <c r="F12" s="2" t="s">
        <v>109</v>
      </c>
      <c r="G12" s="2" t="s">
        <v>110</v>
      </c>
      <c r="H12" s="2" t="s">
        <v>111</v>
      </c>
      <c r="I12" s="2" t="s">
        <v>112</v>
      </c>
      <c r="J12" s="2" t="s">
        <v>113</v>
      </c>
      <c r="K12" s="2" t="s">
        <v>114</v>
      </c>
      <c r="L12" s="2" t="s">
        <v>115</v>
      </c>
    </row>
    <row r="13" customFormat="false" ht="15" hidden="false" customHeight="false" outlineLevel="0" collapsed="false">
      <c r="A13" s="0" t="s">
        <v>116</v>
      </c>
      <c r="C13" s="3" t="n">
        <v>-1</v>
      </c>
      <c r="D13" s="3" t="n">
        <v>0</v>
      </c>
      <c r="E13" s="3" t="n">
        <v>1</v>
      </c>
      <c r="F13" s="3" t="n">
        <v>1.5</v>
      </c>
      <c r="G13" s="3" t="n">
        <v>2</v>
      </c>
      <c r="H13" s="3" t="n">
        <v>2</v>
      </c>
      <c r="I13" s="3" t="n">
        <v>2</v>
      </c>
      <c r="J13" s="3" t="n">
        <v>2</v>
      </c>
      <c r="K13" s="3" t="n">
        <v>2</v>
      </c>
      <c r="L13" s="3" t="n">
        <v>2</v>
      </c>
    </row>
    <row r="14" customFormat="false" ht="15" hidden="false" customHeight="false" outlineLevel="0" collapsed="false">
      <c r="A14" s="0" t="s">
        <v>117</v>
      </c>
      <c r="C14" s="3" t="n">
        <v>28</v>
      </c>
      <c r="D14" s="3" t="n">
        <v>26</v>
      </c>
      <c r="E14" s="3" t="n">
        <v>28</v>
      </c>
      <c r="F14" s="3" t="n">
        <v>30</v>
      </c>
      <c r="G14" s="3" t="n">
        <v>31</v>
      </c>
      <c r="H14" s="3" t="n">
        <v>32</v>
      </c>
      <c r="I14" s="3" t="n">
        <v>32</v>
      </c>
      <c r="J14" s="3" t="n">
        <v>32</v>
      </c>
      <c r="K14" s="3" t="n">
        <v>32</v>
      </c>
      <c r="L14" s="3" t="n">
        <v>32</v>
      </c>
    </row>
    <row r="15" customFormat="false" ht="15" hidden="false" customHeight="false" outlineLevel="0" collapsed="false">
      <c r="A15" s="0" t="s">
        <v>118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120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121</v>
      </c>
      <c r="C18" s="3" t="n">
        <v>19.2</v>
      </c>
      <c r="D18" s="3" t="n">
        <v>17.81</v>
      </c>
      <c r="E18" s="3" t="n">
        <v>18.3</v>
      </c>
      <c r="F18" s="3" t="n">
        <v>13.98</v>
      </c>
      <c r="G18" s="3" t="n">
        <v>11.71</v>
      </c>
      <c r="H18" s="3" t="n">
        <v>11.76</v>
      </c>
      <c r="I18" s="3" t="n">
        <v>9.46</v>
      </c>
      <c r="J18" s="3" t="n">
        <v>9.46</v>
      </c>
      <c r="K18" s="3" t="n">
        <v>9.46</v>
      </c>
      <c r="L18" s="3" t="n">
        <v>9.46</v>
      </c>
    </row>
    <row r="19" customFormat="false" ht="15" hidden="false" customHeight="false" outlineLevel="0" collapsed="false">
      <c r="A19" s="0" t="s">
        <v>122</v>
      </c>
      <c r="C19" s="3" t="n">
        <v>33</v>
      </c>
      <c r="D19" s="3" t="n">
        <v>33</v>
      </c>
      <c r="E19" s="3" t="n">
        <v>33</v>
      </c>
      <c r="F19" s="3" t="n">
        <v>33</v>
      </c>
      <c r="G19" s="3" t="n">
        <v>33</v>
      </c>
      <c r="H19" s="3" t="n">
        <v>33</v>
      </c>
      <c r="I19" s="3" t="n">
        <v>33</v>
      </c>
      <c r="J19" s="3" t="n">
        <v>33</v>
      </c>
      <c r="K19" s="3" t="n">
        <v>33</v>
      </c>
      <c r="L19" s="3" t="n">
        <v>33</v>
      </c>
    </row>
    <row r="20" customFormat="false" ht="15" hidden="false" customHeight="false" outlineLevel="0" collapsed="false">
      <c r="A20" s="0" t="s">
        <v>123</v>
      </c>
      <c r="B20" s="3" t="n">
        <v>11</v>
      </c>
    </row>
    <row r="21" customFormat="false" ht="15" hidden="false" customHeight="false" outlineLevel="0" collapsed="false">
      <c r="A21" s="0" t="s">
        <v>124</v>
      </c>
      <c r="B21" s="3" t="n">
        <v>2</v>
      </c>
    </row>
    <row r="22" customFormat="false" ht="15" hidden="false" customHeight="false" outlineLevel="0" collapsed="false">
      <c r="A22" s="0" t="s">
        <v>125</v>
      </c>
      <c r="B22" s="3" t="n">
        <v>18</v>
      </c>
    </row>
    <row r="23" customFormat="false" ht="15" hidden="false" customHeight="false" outlineLevel="0" collapsed="false">
      <c r="A23" s="0" t="s">
        <v>126</v>
      </c>
      <c r="B23" s="3" t="n">
        <v>0</v>
      </c>
    </row>
    <row r="24" customFormat="false" ht="15" hidden="false" customHeight="false" outlineLevel="0" collapsed="false">
      <c r="A24" s="0" t="s">
        <v>127</v>
      </c>
      <c r="B24" s="3" t="n">
        <v>0.4</v>
      </c>
    </row>
    <row r="26" customFormat="false" ht="15" hidden="false" customHeight="false" outlineLevel="0" collapsed="false">
      <c r="A26" s="2" t="s">
        <v>128</v>
      </c>
      <c r="C26" s="2" t="s">
        <v>106</v>
      </c>
      <c r="D26" s="2" t="s">
        <v>107</v>
      </c>
      <c r="E26" s="2" t="s">
        <v>108</v>
      </c>
      <c r="F26" s="2" t="s">
        <v>109</v>
      </c>
      <c r="G26" s="2" t="s">
        <v>110</v>
      </c>
      <c r="H26" s="2" t="s">
        <v>111</v>
      </c>
      <c r="I26" s="2" t="s">
        <v>112</v>
      </c>
      <c r="J26" s="2" t="s">
        <v>113</v>
      </c>
      <c r="K26" s="2" t="s">
        <v>114</v>
      </c>
      <c r="L26" s="2" t="s">
        <v>115</v>
      </c>
    </row>
    <row r="27" customFormat="false" ht="15" hidden="false" customHeight="false" outlineLevel="0" collapsed="false">
      <c r="A27" s="0" t="s">
        <v>116</v>
      </c>
      <c r="C27" s="3" t="n">
        <v>1.5</v>
      </c>
      <c r="D27" s="3" t="n">
        <v>2.5</v>
      </c>
      <c r="E27" s="3" t="n">
        <v>3</v>
      </c>
      <c r="F27" s="3" t="n">
        <v>3</v>
      </c>
      <c r="G27" s="3" t="n">
        <v>3</v>
      </c>
      <c r="H27" s="3" t="n">
        <v>3</v>
      </c>
      <c r="I27" s="3" t="n">
        <v>3</v>
      </c>
      <c r="J27" s="3" t="n">
        <v>3</v>
      </c>
      <c r="K27" s="3" t="n">
        <v>3</v>
      </c>
      <c r="L27" s="3" t="n">
        <v>3</v>
      </c>
    </row>
    <row r="28" customFormat="false" ht="15" hidden="false" customHeight="false" outlineLevel="0" collapsed="false">
      <c r="A28" s="0" t="s">
        <v>117</v>
      </c>
      <c r="C28" s="3" t="n">
        <v>34</v>
      </c>
      <c r="D28" s="3" t="n">
        <v>35</v>
      </c>
      <c r="E28" s="3" t="n">
        <v>36</v>
      </c>
      <c r="F28" s="3" t="n">
        <v>36.5</v>
      </c>
      <c r="G28" s="3" t="n">
        <v>37</v>
      </c>
      <c r="H28" s="3" t="n">
        <v>37</v>
      </c>
      <c r="I28" s="3" t="n">
        <v>37</v>
      </c>
      <c r="J28" s="3" t="n">
        <v>37</v>
      </c>
      <c r="K28" s="3" t="n">
        <v>37</v>
      </c>
      <c r="L28" s="3" t="n">
        <v>37</v>
      </c>
    </row>
    <row r="29" customFormat="false" ht="15" hidden="false" customHeight="false" outlineLevel="0" collapsed="false">
      <c r="A29" s="0" t="s">
        <v>118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120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121</v>
      </c>
      <c r="C32" s="3" t="n">
        <v>16.38</v>
      </c>
      <c r="D32" s="3" t="n">
        <v>16.62</v>
      </c>
      <c r="E32" s="3" t="n">
        <v>14.68</v>
      </c>
      <c r="F32" s="3" t="n">
        <v>14.75</v>
      </c>
      <c r="G32" s="3" t="n">
        <v>12.71</v>
      </c>
      <c r="H32" s="3" t="n">
        <v>12.71</v>
      </c>
      <c r="I32" s="3" t="n">
        <v>12.71</v>
      </c>
      <c r="J32" s="3" t="n">
        <v>10.59</v>
      </c>
      <c r="K32" s="3" t="n">
        <v>10.54</v>
      </c>
      <c r="L32" s="3" t="n">
        <v>10.49</v>
      </c>
    </row>
    <row r="33" customFormat="false" ht="15" hidden="false" customHeight="false" outlineLevel="0" collapsed="false">
      <c r="A33" s="0" t="s">
        <v>122</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123</v>
      </c>
      <c r="B34" s="3" t="n">
        <v>11</v>
      </c>
    </row>
    <row r="35" customFormat="false" ht="15" hidden="false" customHeight="false" outlineLevel="0" collapsed="false">
      <c r="A35" s="0" t="s">
        <v>124</v>
      </c>
      <c r="B35" s="3" t="n">
        <v>2.5</v>
      </c>
    </row>
    <row r="36" customFormat="false" ht="15" hidden="false" customHeight="false" outlineLevel="0" collapsed="false">
      <c r="A36" s="0" t="s">
        <v>125</v>
      </c>
      <c r="B36" s="3" t="n">
        <v>18</v>
      </c>
    </row>
    <row r="37" customFormat="false" ht="15" hidden="false" customHeight="false" outlineLevel="0" collapsed="false">
      <c r="A37" s="0" t="s">
        <v>126</v>
      </c>
      <c r="B37" s="3" t="n">
        <v>0</v>
      </c>
    </row>
    <row r="38" customFormat="false" ht="15" hidden="false" customHeight="false" outlineLevel="0" collapsed="false">
      <c r="A38" s="0" t="s">
        <v>127</v>
      </c>
      <c r="B38" s="3" t="n">
        <v>0.45</v>
      </c>
    </row>
    <row r="40" customFormat="false" ht="15" hidden="false" customHeight="false" outlineLevel="0" collapsed="false">
      <c r="A40" s="2" t="s">
        <v>129</v>
      </c>
      <c r="C40" s="2" t="s">
        <v>106</v>
      </c>
      <c r="D40" s="2" t="s">
        <v>107</v>
      </c>
      <c r="E40" s="2" t="s">
        <v>108</v>
      </c>
      <c r="F40" s="2" t="s">
        <v>109</v>
      </c>
      <c r="G40" s="2" t="s">
        <v>110</v>
      </c>
      <c r="H40" s="2" t="s">
        <v>111</v>
      </c>
      <c r="I40" s="2" t="s">
        <v>112</v>
      </c>
      <c r="J40" s="2" t="s">
        <v>113</v>
      </c>
      <c r="K40" s="2" t="s">
        <v>114</v>
      </c>
      <c r="L40" s="2" t="s">
        <v>115</v>
      </c>
    </row>
    <row r="41" customFormat="false" ht="15" hidden="false" customHeight="false" outlineLevel="0" collapsed="false">
      <c r="A41" s="0" t="s">
        <v>116</v>
      </c>
      <c r="C41" s="3" t="n">
        <v>3</v>
      </c>
      <c r="D41" s="3" t="n">
        <v>4</v>
      </c>
      <c r="E41" s="3" t="n">
        <v>4</v>
      </c>
      <c r="F41" s="3" t="n">
        <v>4</v>
      </c>
      <c r="G41" s="3" t="n">
        <v>3.5</v>
      </c>
      <c r="H41" s="3" t="n">
        <v>3.5</v>
      </c>
      <c r="I41" s="3" t="n">
        <v>3.5</v>
      </c>
      <c r="J41" s="3" t="n">
        <v>3.5</v>
      </c>
      <c r="K41" s="3" t="n">
        <v>3.5</v>
      </c>
      <c r="L41" s="3" t="n">
        <v>3.5</v>
      </c>
    </row>
    <row r="42" customFormat="false" ht="15" hidden="false" customHeight="false" outlineLevel="0" collapsed="false">
      <c r="A42" s="0" t="s">
        <v>117</v>
      </c>
      <c r="C42" s="3" t="n">
        <v>36</v>
      </c>
      <c r="D42" s="3" t="n">
        <v>38</v>
      </c>
      <c r="E42" s="3" t="n">
        <v>39</v>
      </c>
      <c r="F42" s="3" t="n">
        <v>39.5</v>
      </c>
      <c r="G42" s="3" t="n">
        <v>40</v>
      </c>
      <c r="H42" s="3" t="n">
        <v>40</v>
      </c>
      <c r="I42" s="3" t="n">
        <v>40</v>
      </c>
      <c r="J42" s="3" t="n">
        <v>40</v>
      </c>
      <c r="K42" s="3" t="n">
        <v>40</v>
      </c>
      <c r="L42" s="3" t="n">
        <v>40</v>
      </c>
    </row>
    <row r="43" customFormat="false" ht="15" hidden="false" customHeight="false" outlineLevel="0" collapsed="false">
      <c r="A43" s="0" t="s">
        <v>118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120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121</v>
      </c>
      <c r="C46" s="3" t="n">
        <v>20.18</v>
      </c>
      <c r="D46" s="3" t="n">
        <v>20.37</v>
      </c>
      <c r="E46" s="3" t="n">
        <v>18.51</v>
      </c>
      <c r="F46" s="3" t="n">
        <v>18.6</v>
      </c>
      <c r="G46" s="3" t="n">
        <v>16.69</v>
      </c>
      <c r="H46" s="3" t="n">
        <v>16.77</v>
      </c>
      <c r="I46" s="3" t="n">
        <v>14.75</v>
      </c>
      <c r="J46" s="3" t="n">
        <v>14.75</v>
      </c>
      <c r="K46" s="3" t="n">
        <v>12.64</v>
      </c>
      <c r="L46" s="3" t="n">
        <v>12.58</v>
      </c>
    </row>
    <row r="47" customFormat="false" ht="15" hidden="false" customHeight="false" outlineLevel="0" collapsed="false">
      <c r="A47" s="0" t="s">
        <v>122</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123</v>
      </c>
      <c r="B48" s="3" t="n">
        <v>11</v>
      </c>
    </row>
    <row r="49" customFormat="false" ht="15" hidden="false" customHeight="false" outlineLevel="0" collapsed="false">
      <c r="A49" s="0" t="s">
        <v>124</v>
      </c>
      <c r="B49" s="3" t="n">
        <v>3</v>
      </c>
    </row>
    <row r="50" customFormat="false" ht="15" hidden="false" customHeight="false" outlineLevel="0" collapsed="false">
      <c r="A50" s="0" t="s">
        <v>125</v>
      </c>
      <c r="B50" s="3" t="n">
        <v>18</v>
      </c>
    </row>
    <row r="51" customFormat="false" ht="15" hidden="false" customHeight="false" outlineLevel="0" collapsed="false">
      <c r="A51" s="0" t="s">
        <v>126</v>
      </c>
      <c r="B51" s="3" t="n">
        <v>0</v>
      </c>
    </row>
    <row r="52" customFormat="false" ht="15" hidden="false" customHeight="false" outlineLevel="0" collapsed="false">
      <c r="A52" s="0" t="s">
        <v>127</v>
      </c>
      <c r="B52" s="3" t="n">
        <v>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130</v>
      </c>
    </row>
    <row r="3" customFormat="false" ht="15" hidden="false" customHeight="false" outlineLevel="0" collapsed="false">
      <c r="A3" s="0" t="s">
        <v>131</v>
      </c>
      <c r="B3" s="0" t="s">
        <v>101</v>
      </c>
      <c r="C3" s="2" t="s">
        <v>106</v>
      </c>
      <c r="D3" s="2" t="s">
        <v>107</v>
      </c>
      <c r="E3" s="2" t="s">
        <v>108</v>
      </c>
      <c r="F3" s="2" t="s">
        <v>109</v>
      </c>
      <c r="G3" s="2" t="s">
        <v>110</v>
      </c>
      <c r="H3" s="2" t="s">
        <v>111</v>
      </c>
      <c r="I3" s="2" t="s">
        <v>112</v>
      </c>
      <c r="J3" s="2" t="s">
        <v>113</v>
      </c>
      <c r="K3" s="2" t="s">
        <v>114</v>
      </c>
      <c r="L3" s="2" t="s">
        <v>115</v>
      </c>
    </row>
    <row r="4" customFormat="false" ht="15" hidden="false" customHeight="false" outlineLevel="0" collapsed="false">
      <c r="A4" s="0" t="s">
        <v>132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116</v>
      </c>
      <c r="C5" s="4" t="n">
        <f aca="false">Assumptions!C13</f>
        <v>-1</v>
      </c>
      <c r="D5" s="4" t="n">
        <f aca="false">Assumptions!D13</f>
        <v>0</v>
      </c>
      <c r="E5" s="4" t="n">
        <f aca="false">Assumptions!E13</f>
        <v>1</v>
      </c>
      <c r="F5" s="4" t="n">
        <f aca="false">Assumptions!F13</f>
        <v>1.5</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122700</v>
      </c>
      <c r="C6" s="0" t="n">
        <f aca="false">B6*(1+C5/100)</f>
        <v>121473</v>
      </c>
      <c r="D6" s="0" t="n">
        <f aca="false">C6*(1+D5/100)</f>
        <v>121473</v>
      </c>
      <c r="E6" s="0" t="n">
        <f aca="false">D6*(1+E5/100)</f>
        <v>122687.73</v>
      </c>
      <c r="F6" s="0" t="n">
        <f aca="false">E6*(1+F5/100)</f>
        <v>124528.04595</v>
      </c>
      <c r="G6" s="0" t="n">
        <f aca="false">F6*(1+G5/100)</f>
        <v>127018.606869</v>
      </c>
      <c r="H6" s="0" t="n">
        <f aca="false">G6*(1+H5/100)</f>
        <v>129558.97900638</v>
      </c>
      <c r="I6" s="0" t="n">
        <f aca="false">H6*(1+I5/100)</f>
        <v>132150.158586508</v>
      </c>
      <c r="J6" s="0" t="n">
        <f aca="false">I6*(1+J5/100)</f>
        <v>134793.161758238</v>
      </c>
      <c r="K6" s="0" t="n">
        <f aca="false">J6*(1+K5/100)</f>
        <v>137489.024993402</v>
      </c>
      <c r="L6" s="0" t="n">
        <f aca="false">K6*(1+L5/100)</f>
        <v>140238.805493271</v>
      </c>
    </row>
    <row r="7" customFormat="false" ht="15" hidden="false" customHeight="false" outlineLevel="0" collapsed="false">
      <c r="A7" s="0" t="s">
        <v>117</v>
      </c>
      <c r="C7" s="4" t="n">
        <f aca="false">Assumptions!C14</f>
        <v>28</v>
      </c>
      <c r="D7" s="4" t="n">
        <f aca="false">Assumptions!D14</f>
        <v>26</v>
      </c>
      <c r="E7" s="4" t="n">
        <f aca="false">Assumptions!E14</f>
        <v>28</v>
      </c>
      <c r="F7" s="4" t="n">
        <f aca="false">Assumptions!F14</f>
        <v>30</v>
      </c>
      <c r="G7" s="4" t="n">
        <f aca="false">Assumptions!G14</f>
        <v>31</v>
      </c>
      <c r="H7" s="4" t="n">
        <f aca="false">Assumptions!H14</f>
        <v>32</v>
      </c>
      <c r="I7" s="4" t="n">
        <f aca="false">Assumptions!I14</f>
        <v>32</v>
      </c>
      <c r="J7" s="4" t="n">
        <f aca="false">Assumptions!J14</f>
        <v>32</v>
      </c>
      <c r="K7" s="4" t="n">
        <f aca="false">Assumptions!K14</f>
        <v>32</v>
      </c>
      <c r="L7" s="4" t="n">
        <f aca="false">Assumptions!L14</f>
        <v>32</v>
      </c>
    </row>
    <row r="8" customFormat="false" ht="15" hidden="false" customHeight="false" outlineLevel="0" collapsed="false">
      <c r="A8" s="0" t="s">
        <v>44</v>
      </c>
      <c r="C8" s="0" t="n">
        <f aca="false">C6*C7/100</f>
        <v>34012.44</v>
      </c>
      <c r="D8" s="0" t="n">
        <f aca="false">D6*D7/100</f>
        <v>31582.98</v>
      </c>
      <c r="E8" s="0" t="n">
        <f aca="false">E6*E7/100</f>
        <v>34352.5644</v>
      </c>
      <c r="F8" s="0" t="n">
        <f aca="false">F6*F7/100</f>
        <v>37358.413785</v>
      </c>
      <c r="G8" s="0" t="n">
        <f aca="false">G6*G7/100</f>
        <v>39375.76812939</v>
      </c>
      <c r="H8" s="0" t="n">
        <f aca="false">H6*H7/100</f>
        <v>41458.8732820416</v>
      </c>
      <c r="I8" s="0" t="n">
        <f aca="false">I6*I7/100</f>
        <v>42288.0507476824</v>
      </c>
      <c r="J8" s="0" t="n">
        <f aca="false">J6*J7/100</f>
        <v>43133.8117626361</v>
      </c>
      <c r="K8" s="0" t="n">
        <f aca="false">K6*K7/100</f>
        <v>43996.4879978888</v>
      </c>
      <c r="L8" s="0" t="n">
        <f aca="false">L6*L7/100</f>
        <v>44876.4177578466</v>
      </c>
    </row>
    <row r="9" customFormat="false" ht="15" hidden="false" customHeight="false" outlineLevel="0" collapsed="false">
      <c r="A9" s="0" t="s">
        <v>118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134</v>
      </c>
      <c r="C11" s="0" t="n">
        <f aca="false">C8+C10+C24</f>
        <v>34012.44</v>
      </c>
      <c r="D11" s="0" t="n">
        <f aca="false">D8+D10+D24</f>
        <v>31582.98</v>
      </c>
      <c r="E11" s="0" t="n">
        <f aca="false">E8+E10+E24</f>
        <v>34352.5644</v>
      </c>
      <c r="F11" s="0" t="n">
        <f aca="false">F8+F10+F24</f>
        <v>37358.413785</v>
      </c>
      <c r="G11" s="0" t="n">
        <f aca="false">G8+G10+G24</f>
        <v>39375.76812939</v>
      </c>
      <c r="H11" s="0" t="n">
        <f aca="false">H8+H10+H24</f>
        <v>41458.8732820416</v>
      </c>
      <c r="I11" s="0" t="n">
        <f aca="false">I8+I10+I24</f>
        <v>42288.0507476824</v>
      </c>
      <c r="J11" s="0" t="n">
        <f aca="false">J8+J10+J24</f>
        <v>43133.8117626361</v>
      </c>
      <c r="K11" s="0" t="n">
        <f aca="false">K8+K10+K24</f>
        <v>43996.4879978888</v>
      </c>
      <c r="L11" s="0" t="n">
        <f aca="false">L8+L10+L24</f>
        <v>44876.4177578466</v>
      </c>
    </row>
    <row r="12" customFormat="false" ht="15" hidden="false" customHeight="false" outlineLevel="0" collapsed="false">
      <c r="A12" s="0" t="s">
        <v>135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136</v>
      </c>
      <c r="C13" s="0" t="n">
        <f aca="false">C11+C12</f>
        <v>34012.44</v>
      </c>
      <c r="D13" s="0" t="n">
        <f aca="false">D11+D12</f>
        <v>31582.98</v>
      </c>
      <c r="E13" s="0" t="n">
        <f aca="false">E11+E12</f>
        <v>34352.5644</v>
      </c>
      <c r="F13" s="0" t="n">
        <f aca="false">F11+F12</f>
        <v>37358.413785</v>
      </c>
      <c r="G13" s="0" t="n">
        <f aca="false">G11+G12</f>
        <v>39375.76812939</v>
      </c>
      <c r="H13" s="0" t="n">
        <f aca="false">H11+H12</f>
        <v>41458.8732820416</v>
      </c>
      <c r="I13" s="0" t="n">
        <f aca="false">I11+I12</f>
        <v>42288.0507476824</v>
      </c>
      <c r="J13" s="0" t="n">
        <f aca="false">J11+J12</f>
        <v>43133.8117626361</v>
      </c>
      <c r="K13" s="0" t="n">
        <f aca="false">K11+K12</f>
        <v>43996.4879978888</v>
      </c>
      <c r="L13" s="0" t="n">
        <f aca="false">L11+L12</f>
        <v>44876.4177578466</v>
      </c>
    </row>
    <row r="14" customFormat="false" ht="15" hidden="false" customHeight="false" outlineLevel="0" collapsed="false">
      <c r="A14" s="0" t="s">
        <v>122</v>
      </c>
      <c r="C14" s="4" t="n">
        <f aca="false">Assumptions!C19</f>
        <v>33</v>
      </c>
      <c r="D14" s="4" t="n">
        <f aca="false">Assumptions!D19</f>
        <v>33</v>
      </c>
      <c r="E14" s="4" t="n">
        <f aca="false">Assumptions!E19</f>
        <v>33</v>
      </c>
      <c r="F14" s="4" t="n">
        <f aca="false">Assumptions!F19</f>
        <v>33</v>
      </c>
      <c r="G14" s="4" t="n">
        <f aca="false">Assumptions!G19</f>
        <v>33</v>
      </c>
      <c r="H14" s="4" t="n">
        <f aca="false">Assumptions!H19</f>
        <v>33</v>
      </c>
      <c r="I14" s="4" t="n">
        <f aca="false">Assumptions!I19</f>
        <v>33</v>
      </c>
      <c r="J14" s="4" t="n">
        <f aca="false">Assumptions!J19</f>
        <v>33</v>
      </c>
      <c r="K14" s="4" t="n">
        <f aca="false">Assumptions!K19</f>
        <v>33</v>
      </c>
      <c r="L14" s="4" t="n">
        <f aca="false">Assumptions!L19</f>
        <v>33</v>
      </c>
    </row>
    <row r="15" customFormat="false" ht="15" hidden="false" customHeight="false" outlineLevel="0" collapsed="false">
      <c r="A15" s="0" t="s">
        <v>137</v>
      </c>
      <c r="C15" s="0" t="n">
        <f aca="false">C13-MAX(0,C13)*C14/100</f>
        <v>22788.3348</v>
      </c>
      <c r="D15" s="0" t="n">
        <f aca="false">D13-MAX(0,D13)*D14/100</f>
        <v>21160.5966</v>
      </c>
      <c r="E15" s="0" t="n">
        <f aca="false">E13-MAX(0,E13)*E14/100</f>
        <v>23016.218148</v>
      </c>
      <c r="F15" s="0" t="n">
        <f aca="false">F13-MAX(0,F13)*F14/100</f>
        <v>25030.13723595</v>
      </c>
      <c r="G15" s="0" t="n">
        <f aca="false">G13-MAX(0,G13)*G14/100</f>
        <v>26381.7646466913</v>
      </c>
      <c r="H15" s="0" t="n">
        <f aca="false">H13-MAX(0,H13)*H14/100</f>
        <v>27777.4450989679</v>
      </c>
      <c r="I15" s="0" t="n">
        <f aca="false">I13-MAX(0,I13)*I14/100</f>
        <v>28332.9940009472</v>
      </c>
      <c r="J15" s="0" t="n">
        <f aca="false">J13-MAX(0,J13)*J14/100</f>
        <v>28899.6538809662</v>
      </c>
      <c r="K15" s="0" t="n">
        <f aca="false">K13-MAX(0,K13)*K14/100</f>
        <v>29477.6469585855</v>
      </c>
      <c r="L15" s="0" t="n">
        <f aca="false">L13-MAX(0,L13)*L14/100</f>
        <v>30067.1998977572</v>
      </c>
    </row>
    <row r="16" customFormat="false" ht="15" hidden="false" customHeight="false" outlineLevel="0" collapsed="false">
      <c r="A16" s="0" t="s">
        <v>138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139</v>
      </c>
      <c r="C17" s="4" t="n">
        <f aca="false">-C6*Assumptions!C18/100</f>
        <v>-23322.816</v>
      </c>
      <c r="D17" s="4" t="n">
        <f aca="false">-D6*Assumptions!D18/100</f>
        <v>-21634.3413</v>
      </c>
      <c r="E17" s="4" t="n">
        <f aca="false">-E6*Assumptions!E18/100</f>
        <v>-22451.85459</v>
      </c>
      <c r="F17" s="4" t="n">
        <f aca="false">-F6*Assumptions!F18/100</f>
        <v>-17409.02082381</v>
      </c>
      <c r="G17" s="4" t="n">
        <f aca="false">-G6*Assumptions!G18/100</f>
        <v>-14873.8788643599</v>
      </c>
      <c r="H17" s="4" t="n">
        <f aca="false">-H6*Assumptions!H18/100</f>
        <v>-15236.1359311503</v>
      </c>
      <c r="I17" s="4" t="n">
        <f aca="false">-I6*Assumptions!I18/100</f>
        <v>-12501.4050022836</v>
      </c>
      <c r="J17" s="4" t="n">
        <f aca="false">-J6*Assumptions!J18/100</f>
        <v>-12751.4331023293</v>
      </c>
      <c r="K17" s="4" t="n">
        <f aca="false">-K6*Assumptions!K18/100</f>
        <v>-13006.4617643759</v>
      </c>
      <c r="L17" s="4" t="n">
        <f aca="false">-L6*Assumptions!L18/100</f>
        <v>-13266.5909996634</v>
      </c>
    </row>
    <row r="18" customFormat="false" ht="15" hidden="false" customHeight="false" outlineLevel="0" collapsed="false">
      <c r="A18" s="0" t="s">
        <v>140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141</v>
      </c>
      <c r="C19" s="0" t="n">
        <f aca="false">C15+C16+C17+C18</f>
        <v>-534.481199999998</v>
      </c>
      <c r="D19" s="0" t="n">
        <f aca="false">D15+D16+D17+D18</f>
        <v>-473.744699999999</v>
      </c>
      <c r="E19" s="0" t="n">
        <f aca="false">E15+E16+E17+E18</f>
        <v>564.363558000001</v>
      </c>
      <c r="F19" s="0" t="n">
        <f aca="false">F15+F16+F17+F18</f>
        <v>7621.11641214</v>
      </c>
      <c r="G19" s="0" t="n">
        <f aca="false">G15+G16+G17+G18</f>
        <v>11507.8857823314</v>
      </c>
      <c r="H19" s="0" t="n">
        <f aca="false">H15+H16+H17+H18</f>
        <v>12541.3091678176</v>
      </c>
      <c r="I19" s="0" t="n">
        <f aca="false">I15+I16+I17+I18</f>
        <v>15831.5889986636</v>
      </c>
      <c r="J19" s="0" t="n">
        <f aca="false">J15+J16+J17+J18</f>
        <v>16148.2207786369</v>
      </c>
      <c r="K19" s="0" t="n">
        <f aca="false">K15+K16+K17+K18</f>
        <v>16471.1851942096</v>
      </c>
      <c r="L19" s="0" t="n">
        <f aca="false">L15+L16+L17+L18</f>
        <v>16800.6088980938</v>
      </c>
    </row>
    <row r="20" customFormat="false" ht="15" hidden="false" customHeight="false" outlineLevel="0" collapsed="false">
      <c r="A20" s="0" t="s">
        <v>142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143</v>
      </c>
      <c r="C21" s="0" t="n">
        <f aca="false">C19*C20</f>
        <v>-481.514594594593</v>
      </c>
      <c r="D21" s="0" t="n">
        <f aca="false">D19*D20</f>
        <v>-384.501826150474</v>
      </c>
      <c r="E21" s="0" t="n">
        <f aca="false">E19*E20</f>
        <v>412.65776952994</v>
      </c>
      <c r="F21" s="0" t="n">
        <f aca="false">F19*F20</f>
        <v>5020.26543824143</v>
      </c>
      <c r="G21" s="0" t="n">
        <f aca="false">G19*G20</f>
        <v>6829.37010067077</v>
      </c>
      <c r="H21" s="0" t="n">
        <f aca="false">H19*H20</f>
        <v>6705.09601913002</v>
      </c>
      <c r="I21" s="0" t="n">
        <f aca="false">I19*I20</f>
        <v>7625.41799897263</v>
      </c>
      <c r="J21" s="0" t="n">
        <f aca="false">J19*J20</f>
        <v>7007.1408639208</v>
      </c>
      <c r="K21" s="0" t="n">
        <f aca="false">K19*K20</f>
        <v>6438.99430738668</v>
      </c>
      <c r="L21" s="0" t="n">
        <f aca="false">L19*L20</f>
        <v>5916.91368786884</v>
      </c>
    </row>
    <row r="23" customFormat="false" ht="15" hidden="false" customHeight="false" outlineLevel="0" collapsed="false">
      <c r="A23" s="0" t="s">
        <v>119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145</v>
      </c>
    </row>
    <row r="27" customFormat="false" ht="15" hidden="false" customHeight="false" outlineLevel="0" collapsed="false">
      <c r="A27" s="0" t="s">
        <v>123</v>
      </c>
      <c r="B27" s="4" t="n">
        <f aca="false">Assumptions!$B$20</f>
        <v>11</v>
      </c>
    </row>
    <row r="28" customFormat="false" ht="15" hidden="false" customHeight="false" outlineLevel="0" collapsed="false">
      <c r="A28" s="0" t="s">
        <v>124</v>
      </c>
      <c r="B28" s="4" t="n">
        <f aca="false">Assumptions!$B$21</f>
        <v>2</v>
      </c>
    </row>
    <row r="29" customFormat="false" ht="15" hidden="false" customHeight="false" outlineLevel="0" collapsed="false">
      <c r="A29" s="0" t="s">
        <v>125</v>
      </c>
      <c r="B29" s="4" t="n">
        <f aca="false">Assumptions!$B$22</f>
        <v>18</v>
      </c>
    </row>
    <row r="30" customFormat="false" ht="15" hidden="false" customHeight="false" outlineLevel="0" collapsed="false">
      <c r="A30" s="0" t="s">
        <v>146</v>
      </c>
      <c r="B30" s="0" t="n">
        <f aca="false">SUM(C21:L21)</f>
        <v>45089.839764976</v>
      </c>
    </row>
    <row r="31" customFormat="false" ht="15" hidden="false" customHeight="false" outlineLevel="0" collapsed="false">
      <c r="A31" s="0" t="s">
        <v>147</v>
      </c>
      <c r="B31" s="0" t="n">
        <f aca="false">L19</f>
        <v>16800.6088980938</v>
      </c>
    </row>
    <row r="32" customFormat="false" ht="15" hidden="false" customHeight="false" outlineLevel="0" collapsed="false">
      <c r="A32" s="0" t="s">
        <v>148</v>
      </c>
      <c r="B32" s="0" t="n">
        <f aca="false">IF(B27&gt;B28,B31*(1+B28/100)/((B27-B28)/100),B31*B29)</f>
        <v>190406.900845063</v>
      </c>
    </row>
    <row r="33" customFormat="false" ht="15" hidden="false" customHeight="false" outlineLevel="0" collapsed="false">
      <c r="A33" s="0" t="s">
        <v>149</v>
      </c>
      <c r="B33" s="0" t="n">
        <f aca="false">B31*B29</f>
        <v>302410.960165689</v>
      </c>
    </row>
    <row r="34" customFormat="false" ht="15" hidden="false" customHeight="false" outlineLevel="0" collapsed="false">
      <c r="A34" s="0" t="s">
        <v>150</v>
      </c>
      <c r="B34" s="0" t="n">
        <f aca="false">MAX(0,MIN(B32,B33))</f>
        <v>190406.900845063</v>
      </c>
    </row>
    <row r="35" customFormat="false" ht="15" hidden="false" customHeight="false" outlineLevel="0" collapsed="false">
      <c r="A35" s="0" t="s">
        <v>151</v>
      </c>
      <c r="B35" s="0" t="n">
        <f aca="false">B34/(1+B27/100)^L4</f>
        <v>67058.3551291802</v>
      </c>
    </row>
    <row r="36" customFormat="false" ht="15" hidden="false" customHeight="false" outlineLevel="0" collapsed="false">
      <c r="A36" s="0" t="s">
        <v>152</v>
      </c>
      <c r="B36" s="0" t="n">
        <f aca="false">B30+B35</f>
        <v>112148.194894156</v>
      </c>
    </row>
    <row r="37" customFormat="false" ht="15" hidden="false" customHeight="false" outlineLevel="0" collapsed="false">
      <c r="A37" s="0" t="s">
        <v>153</v>
      </c>
      <c r="B37" s="0" t="n">
        <f aca="false">B36+Assumptions!$B$5-Assumptions!$B$4</f>
        <v>112148.194894156</v>
      </c>
    </row>
    <row r="38" customFormat="false" ht="15" hidden="false" customHeight="false" outlineLevel="0" collapsed="false">
      <c r="A38" s="0" t="s">
        <v>154</v>
      </c>
      <c r="B38" s="0" t="n">
        <f aca="false">B37/Assumptions!$B$3*Assumptions!$B$10</f>
        <v>2.2294497803655</v>
      </c>
    </row>
    <row r="39" customFormat="false" ht="15" hidden="false" customHeight="false" outlineLevel="0" collapsed="false">
      <c r="A39" s="0" t="s">
        <v>155</v>
      </c>
      <c r="B39" s="4" t="n">
        <f aca="false">B38/Assumptions!$B$2-1</f>
        <v>-0.149064969326145</v>
      </c>
    </row>
    <row r="41" customFormat="false" ht="15" hidden="false" customHeight="false" outlineLevel="0" collapsed="false">
      <c r="A41" s="0" t="s">
        <v>156</v>
      </c>
      <c r="B41" s="0" t="n">
        <f aca="false">SUMPRODUCT(-C10:L10/(1+$B$27/100)^C4:L4)</f>
        <v>0</v>
      </c>
    </row>
    <row r="42" customFormat="false" ht="15" hidden="false" customHeight="false" outlineLevel="0" collapsed="false">
      <c r="A42" s="0" t="s">
        <v>157</v>
      </c>
      <c r="B42" s="0" t="n">
        <f aca="false">IF(B27&gt;B28,-L10*(1+B28/100)/((B27-B28)/100),-L10*20)/(1+B27/100)^L4</f>
        <v>0</v>
      </c>
    </row>
    <row r="43" customFormat="false" ht="15" hidden="false" customHeight="false" outlineLevel="0" collapsed="false">
      <c r="A43" s="0" t="s">
        <v>158</v>
      </c>
      <c r="B43" s="0" t="n">
        <f aca="false">(B37+B41+B42)/Assumptions!$B$3*Assumptions!$B$10</f>
        <v>2.2294497803655</v>
      </c>
    </row>
    <row r="45" customFormat="false" ht="15" hidden="false" customHeight="false" outlineLevel="0" collapsed="false">
      <c r="A45" s="0" t="s">
        <v>98</v>
      </c>
      <c r="B45" s="4" t="n">
        <f aca="false">Assumptions!$B$6</f>
        <v>15</v>
      </c>
    </row>
    <row r="46" customFormat="false" ht="15" hidden="false" customHeight="false" outlineLevel="0" collapsed="false">
      <c r="A46" s="0" t="s">
        <v>159</v>
      </c>
      <c r="B46" s="0" t="n">
        <f aca="false">MAX(0,MIN(IF(B45&gt;B28,B31*(1+B28/100)/((B45-B28)/100),B31*B29),B31*B29))</f>
        <v>131820.162123505</v>
      </c>
    </row>
    <row r="47" customFormat="false" ht="15" hidden="false" customHeight="false" outlineLevel="0" collapsed="false">
      <c r="A47" s="0" t="s">
        <v>160</v>
      </c>
      <c r="B47" s="0" t="n">
        <f aca="false">(SUMPRODUCT(C19:L19/(1+B45/100)^C4:L4)+B46/(1+B45/100)^L4+Assumptions!$B$5-Assumptions!$B$4)/Assumptions!$B$3*Assumptions!$B$10</f>
        <v>1.34580981244218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161</v>
      </c>
    </row>
    <row r="3" customFormat="false" ht="15" hidden="false" customHeight="false" outlineLevel="0" collapsed="false">
      <c r="A3" s="0" t="s">
        <v>131</v>
      </c>
      <c r="B3" s="0" t="s">
        <v>101</v>
      </c>
      <c r="C3" s="2" t="s">
        <v>106</v>
      </c>
      <c r="D3" s="2" t="s">
        <v>107</v>
      </c>
      <c r="E3" s="2" t="s">
        <v>108</v>
      </c>
      <c r="F3" s="2" t="s">
        <v>109</v>
      </c>
      <c r="G3" s="2" t="s">
        <v>110</v>
      </c>
      <c r="H3" s="2" t="s">
        <v>111</v>
      </c>
      <c r="I3" s="2" t="s">
        <v>112</v>
      </c>
      <c r="J3" s="2" t="s">
        <v>113</v>
      </c>
      <c r="K3" s="2" t="s">
        <v>114</v>
      </c>
      <c r="L3" s="2" t="s">
        <v>115</v>
      </c>
    </row>
    <row r="4" customFormat="false" ht="15" hidden="false" customHeight="false" outlineLevel="0" collapsed="false">
      <c r="A4" s="0" t="s">
        <v>132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116</v>
      </c>
      <c r="C5" s="4" t="n">
        <f aca="false">Assumptions!C27</f>
        <v>1.5</v>
      </c>
      <c r="D5" s="4" t="n">
        <f aca="false">Assumptions!D27</f>
        <v>2.5</v>
      </c>
      <c r="E5" s="4" t="n">
        <f aca="false">Assumptions!E27</f>
        <v>3</v>
      </c>
      <c r="F5" s="4" t="n">
        <f aca="false">Assumptions!F27</f>
        <v>3</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122700</v>
      </c>
      <c r="C6" s="0" t="n">
        <f aca="false">B6*(1+C5/100)</f>
        <v>124540.5</v>
      </c>
      <c r="D6" s="0" t="n">
        <f aca="false">C6*(1+D5/100)</f>
        <v>127654.0125</v>
      </c>
      <c r="E6" s="0" t="n">
        <f aca="false">D6*(1+E5/100)</f>
        <v>131483.632875</v>
      </c>
      <c r="F6" s="0" t="n">
        <f aca="false">E6*(1+F5/100)</f>
        <v>135428.14186125</v>
      </c>
      <c r="G6" s="0" t="n">
        <f aca="false">F6*(1+G5/100)</f>
        <v>139490.986117087</v>
      </c>
      <c r="H6" s="0" t="n">
        <f aca="false">G6*(1+H5/100)</f>
        <v>143675.7157006</v>
      </c>
      <c r="I6" s="0" t="n">
        <f aca="false">H6*(1+I5/100)</f>
        <v>147985.987171618</v>
      </c>
      <c r="J6" s="0" t="n">
        <f aca="false">I6*(1+J5/100)</f>
        <v>152425.566786767</v>
      </c>
      <c r="K6" s="0" t="n">
        <f aca="false">J6*(1+K5/100)</f>
        <v>156998.33379037</v>
      </c>
      <c r="L6" s="0" t="n">
        <f aca="false">K6*(1+L5/100)</f>
        <v>161708.283804081</v>
      </c>
    </row>
    <row r="7" customFormat="false" ht="15" hidden="false" customHeight="false" outlineLevel="0" collapsed="false">
      <c r="A7" s="0" t="s">
        <v>117</v>
      </c>
      <c r="C7" s="4" t="n">
        <f aca="false">Assumptions!C28</f>
        <v>34</v>
      </c>
      <c r="D7" s="4" t="n">
        <f aca="false">Assumptions!D28</f>
        <v>35</v>
      </c>
      <c r="E7" s="4" t="n">
        <f aca="false">Assumptions!E28</f>
        <v>36</v>
      </c>
      <c r="F7" s="4" t="n">
        <f aca="false">Assumptions!F28</f>
        <v>36.5</v>
      </c>
      <c r="G7" s="4" t="n">
        <f aca="false">Assumptions!G28</f>
        <v>37</v>
      </c>
      <c r="H7" s="4" t="n">
        <f aca="false">Assumptions!H28</f>
        <v>37</v>
      </c>
      <c r="I7" s="4" t="n">
        <f aca="false">Assumptions!I28</f>
        <v>37</v>
      </c>
      <c r="J7" s="4" t="n">
        <f aca="false">Assumptions!J28</f>
        <v>37</v>
      </c>
      <c r="K7" s="4" t="n">
        <f aca="false">Assumptions!K28</f>
        <v>37</v>
      </c>
      <c r="L7" s="4" t="n">
        <f aca="false">Assumptions!L28</f>
        <v>37</v>
      </c>
    </row>
    <row r="8" customFormat="false" ht="15" hidden="false" customHeight="false" outlineLevel="0" collapsed="false">
      <c r="A8" s="0" t="s">
        <v>44</v>
      </c>
      <c r="C8" s="0" t="n">
        <f aca="false">C6*C7/100</f>
        <v>42343.77</v>
      </c>
      <c r="D8" s="0" t="n">
        <f aca="false">D6*D7/100</f>
        <v>44678.904375</v>
      </c>
      <c r="E8" s="0" t="n">
        <f aca="false">E6*E7/100</f>
        <v>47334.107835</v>
      </c>
      <c r="F8" s="0" t="n">
        <f aca="false">F6*F7/100</f>
        <v>49431.2717793563</v>
      </c>
      <c r="G8" s="0" t="n">
        <f aca="false">G6*G7/100</f>
        <v>51611.6648633224</v>
      </c>
      <c r="H8" s="0" t="n">
        <f aca="false">H6*H7/100</f>
        <v>53160.0148092221</v>
      </c>
      <c r="I8" s="0" t="n">
        <f aca="false">I6*I7/100</f>
        <v>54754.8152534987</v>
      </c>
      <c r="J8" s="0" t="n">
        <f aca="false">J6*J7/100</f>
        <v>56397.4597111037</v>
      </c>
      <c r="K8" s="0" t="n">
        <f aca="false">K6*K7/100</f>
        <v>58089.3835024368</v>
      </c>
      <c r="L8" s="0" t="n">
        <f aca="false">L6*L7/100</f>
        <v>59832.0650075099</v>
      </c>
    </row>
    <row r="9" customFormat="false" ht="15" hidden="false" customHeight="false" outlineLevel="0" collapsed="false">
      <c r="A9" s="0" t="s">
        <v>118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134</v>
      </c>
      <c r="C11" s="0" t="n">
        <f aca="false">C8+C10+C24</f>
        <v>42343.77</v>
      </c>
      <c r="D11" s="0" t="n">
        <f aca="false">D8+D10+D24</f>
        <v>44678.904375</v>
      </c>
      <c r="E11" s="0" t="n">
        <f aca="false">E8+E10+E24</f>
        <v>47334.107835</v>
      </c>
      <c r="F11" s="0" t="n">
        <f aca="false">F8+F10+F24</f>
        <v>49431.2717793563</v>
      </c>
      <c r="G11" s="0" t="n">
        <f aca="false">G8+G10+G24</f>
        <v>51611.6648633224</v>
      </c>
      <c r="H11" s="0" t="n">
        <f aca="false">H8+H10+H24</f>
        <v>53160.0148092221</v>
      </c>
      <c r="I11" s="0" t="n">
        <f aca="false">I8+I10+I24</f>
        <v>54754.8152534987</v>
      </c>
      <c r="J11" s="0" t="n">
        <f aca="false">J8+J10+J24</f>
        <v>56397.4597111037</v>
      </c>
      <c r="K11" s="0" t="n">
        <f aca="false">K8+K10+K24</f>
        <v>58089.3835024368</v>
      </c>
      <c r="L11" s="0" t="n">
        <f aca="false">L8+L10+L24</f>
        <v>59832.0650075099</v>
      </c>
    </row>
    <row r="12" customFormat="false" ht="15" hidden="false" customHeight="false" outlineLevel="0" collapsed="false">
      <c r="A12" s="0" t="s">
        <v>135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136</v>
      </c>
      <c r="C13" s="0" t="n">
        <f aca="false">C11+C12</f>
        <v>42343.77</v>
      </c>
      <c r="D13" s="0" t="n">
        <f aca="false">D11+D12</f>
        <v>44678.904375</v>
      </c>
      <c r="E13" s="0" t="n">
        <f aca="false">E11+E12</f>
        <v>47334.107835</v>
      </c>
      <c r="F13" s="0" t="n">
        <f aca="false">F11+F12</f>
        <v>49431.2717793563</v>
      </c>
      <c r="G13" s="0" t="n">
        <f aca="false">G11+G12</f>
        <v>51611.6648633224</v>
      </c>
      <c r="H13" s="0" t="n">
        <f aca="false">H11+H12</f>
        <v>53160.0148092221</v>
      </c>
      <c r="I13" s="0" t="n">
        <f aca="false">I11+I12</f>
        <v>54754.8152534987</v>
      </c>
      <c r="J13" s="0" t="n">
        <f aca="false">J11+J12</f>
        <v>56397.4597111037</v>
      </c>
      <c r="K13" s="0" t="n">
        <f aca="false">K11+K12</f>
        <v>58089.3835024368</v>
      </c>
      <c r="L13" s="0" t="n">
        <f aca="false">L11+L12</f>
        <v>59832.0650075099</v>
      </c>
    </row>
    <row r="14" customFormat="false" ht="15" hidden="false" customHeight="false" outlineLevel="0" collapsed="false">
      <c r="A14" s="0" t="s">
        <v>122</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137</v>
      </c>
      <c r="C15" s="0" t="n">
        <f aca="false">C13-MAX(0,C13)*C14/100</f>
        <v>29217.2013</v>
      </c>
      <c r="D15" s="0" t="n">
        <f aca="false">D13-MAX(0,D13)*D14/100</f>
        <v>30828.44401875</v>
      </c>
      <c r="E15" s="0" t="n">
        <f aca="false">E13-MAX(0,E13)*E14/100</f>
        <v>32660.53440615</v>
      </c>
      <c r="F15" s="0" t="n">
        <f aca="false">F13-MAX(0,F13)*F14/100</f>
        <v>34107.5775277558</v>
      </c>
      <c r="G15" s="0" t="n">
        <f aca="false">G13-MAX(0,G13)*G14/100</f>
        <v>35612.0487556924</v>
      </c>
      <c r="H15" s="0" t="n">
        <f aca="false">H13-MAX(0,H13)*H14/100</f>
        <v>36680.4102183632</v>
      </c>
      <c r="I15" s="0" t="n">
        <f aca="false">I13-MAX(0,I13)*I14/100</f>
        <v>37780.8225249141</v>
      </c>
      <c r="J15" s="0" t="n">
        <f aca="false">J13-MAX(0,J13)*J14/100</f>
        <v>38914.2472006615</v>
      </c>
      <c r="K15" s="0" t="n">
        <f aca="false">K13-MAX(0,K13)*K14/100</f>
        <v>40081.6746166814</v>
      </c>
      <c r="L15" s="0" t="n">
        <f aca="false">L13-MAX(0,L13)*L14/100</f>
        <v>41284.1248551818</v>
      </c>
    </row>
    <row r="16" customFormat="false" ht="15" hidden="false" customHeight="false" outlineLevel="0" collapsed="false">
      <c r="A16" s="0" t="s">
        <v>138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139</v>
      </c>
      <c r="C17" s="4" t="n">
        <f aca="false">-C6*Assumptions!C32/100</f>
        <v>-20399.7339</v>
      </c>
      <c r="D17" s="4" t="n">
        <f aca="false">-D6*Assumptions!D32/100</f>
        <v>-21216.0968775</v>
      </c>
      <c r="E17" s="4" t="n">
        <f aca="false">-E6*Assumptions!E32/100</f>
        <v>-19301.79730605</v>
      </c>
      <c r="F17" s="4" t="n">
        <f aca="false">-F6*Assumptions!F32/100</f>
        <v>-19975.6509245344</v>
      </c>
      <c r="G17" s="4" t="n">
        <f aca="false">-G6*Assumptions!G32/100</f>
        <v>-17729.3043354818</v>
      </c>
      <c r="H17" s="4" t="n">
        <f aca="false">-H6*Assumptions!H32/100</f>
        <v>-18261.1834655463</v>
      </c>
      <c r="I17" s="4" t="n">
        <f aca="false">-I6*Assumptions!I32/100</f>
        <v>-18809.0189695127</v>
      </c>
      <c r="J17" s="4" t="n">
        <f aca="false">-J6*Assumptions!J32/100</f>
        <v>-16141.8675227186</v>
      </c>
      <c r="K17" s="4" t="n">
        <f aca="false">-K6*Assumptions!K32/100</f>
        <v>-16547.624381505</v>
      </c>
      <c r="L17" s="4" t="n">
        <f aca="false">-L6*Assumptions!L32/100</f>
        <v>-16963.1989710481</v>
      </c>
    </row>
    <row r="18" customFormat="false" ht="15" hidden="false" customHeight="false" outlineLevel="0" collapsed="false">
      <c r="A18" s="0" t="s">
        <v>140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141</v>
      </c>
      <c r="C19" s="0" t="n">
        <f aca="false">C15+C16+C17+C18</f>
        <v>8817.4674</v>
      </c>
      <c r="D19" s="0" t="n">
        <f aca="false">D15+D16+D17+D18</f>
        <v>9612.34714125</v>
      </c>
      <c r="E19" s="0" t="n">
        <f aca="false">E15+E16+E17+E18</f>
        <v>13358.7371001</v>
      </c>
      <c r="F19" s="0" t="n">
        <f aca="false">F15+F16+F17+F18</f>
        <v>14131.9266032214</v>
      </c>
      <c r="G19" s="0" t="n">
        <f aca="false">G15+G16+G17+G18</f>
        <v>17882.7444202106</v>
      </c>
      <c r="H19" s="0" t="n">
        <f aca="false">H15+H16+H17+H18</f>
        <v>18419.2267528169</v>
      </c>
      <c r="I19" s="0" t="n">
        <f aca="false">I15+I16+I17+I18</f>
        <v>18971.8035554014</v>
      </c>
      <c r="J19" s="0" t="n">
        <f aca="false">J15+J16+J17+J18</f>
        <v>22772.3796779429</v>
      </c>
      <c r="K19" s="0" t="n">
        <f aca="false">K15+K16+K17+K18</f>
        <v>23534.0502351764</v>
      </c>
      <c r="L19" s="0" t="n">
        <f aca="false">L15+L16+L17+L18</f>
        <v>24320.9258841338</v>
      </c>
    </row>
    <row r="20" customFormat="false" ht="15" hidden="false" customHeight="false" outlineLevel="0" collapsed="false">
      <c r="A20" s="0" t="s">
        <v>142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143</v>
      </c>
      <c r="C21" s="0" t="n">
        <f aca="false">C19*C20</f>
        <v>7943.66432432432</v>
      </c>
      <c r="D21" s="0" t="n">
        <f aca="false">D19*D20</f>
        <v>7801.59657596786</v>
      </c>
      <c r="E21" s="0" t="n">
        <f aca="false">E19*E20</f>
        <v>9767.79343265837</v>
      </c>
      <c r="F21" s="0" t="n">
        <f aca="false">F19*F20</f>
        <v>9309.1377778857</v>
      </c>
      <c r="G21" s="0" t="n">
        <f aca="false">G19*G20</f>
        <v>10612.5384255058</v>
      </c>
      <c r="H21" s="0" t="n">
        <f aca="false">H19*H20</f>
        <v>9847.67079123508</v>
      </c>
      <c r="I21" s="0" t="n">
        <f aca="false">I19*I20</f>
        <v>9137.92875222714</v>
      </c>
      <c r="J21" s="0" t="n">
        <f aca="false">J19*J20</f>
        <v>9881.53892601803</v>
      </c>
      <c r="K21" s="0" t="n">
        <f aca="false">K19*K20</f>
        <v>9200.04320923578</v>
      </c>
      <c r="L21" s="0" t="n">
        <f aca="false">L19*L20</f>
        <v>8565.45260581609</v>
      </c>
    </row>
    <row r="23" customFormat="false" ht="15" hidden="false" customHeight="false" outlineLevel="0" collapsed="false">
      <c r="A23" s="0" t="s">
        <v>119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145</v>
      </c>
    </row>
    <row r="27" customFormat="false" ht="15" hidden="false" customHeight="false" outlineLevel="0" collapsed="false">
      <c r="A27" s="0" t="s">
        <v>123</v>
      </c>
      <c r="B27" s="4" t="n">
        <f aca="false">Assumptions!$B$34</f>
        <v>11</v>
      </c>
    </row>
    <row r="28" customFormat="false" ht="15" hidden="false" customHeight="false" outlineLevel="0" collapsed="false">
      <c r="A28" s="0" t="s">
        <v>124</v>
      </c>
      <c r="B28" s="4" t="n">
        <f aca="false">Assumptions!$B$35</f>
        <v>2.5</v>
      </c>
    </row>
    <row r="29" customFormat="false" ht="15" hidden="false" customHeight="false" outlineLevel="0" collapsed="false">
      <c r="A29" s="0" t="s">
        <v>125</v>
      </c>
      <c r="B29" s="4" t="n">
        <f aca="false">Assumptions!$B$36</f>
        <v>18</v>
      </c>
    </row>
    <row r="30" customFormat="false" ht="15" hidden="false" customHeight="false" outlineLevel="0" collapsed="false">
      <c r="A30" s="0" t="s">
        <v>146</v>
      </c>
      <c r="B30" s="0" t="n">
        <f aca="false">SUM(C21:L21)</f>
        <v>92067.3648208741</v>
      </c>
    </row>
    <row r="31" customFormat="false" ht="15" hidden="false" customHeight="false" outlineLevel="0" collapsed="false">
      <c r="A31" s="0" t="s">
        <v>147</v>
      </c>
      <c r="B31" s="0" t="n">
        <f aca="false">L19</f>
        <v>24320.9258841338</v>
      </c>
    </row>
    <row r="32" customFormat="false" ht="15" hidden="false" customHeight="false" outlineLevel="0" collapsed="false">
      <c r="A32" s="0" t="s">
        <v>148</v>
      </c>
      <c r="B32" s="0" t="n">
        <f aca="false">IF(B27&gt;B28,B31*(1+B28/100)/((B27-B28)/100),B31*B29)</f>
        <v>293281.753308672</v>
      </c>
    </row>
    <row r="33" customFormat="false" ht="15" hidden="false" customHeight="false" outlineLevel="0" collapsed="false">
      <c r="A33" s="0" t="s">
        <v>149</v>
      </c>
      <c r="B33" s="0" t="n">
        <f aca="false">B31*B29</f>
        <v>437776.665914408</v>
      </c>
    </row>
    <row r="34" customFormat="false" ht="15" hidden="false" customHeight="false" outlineLevel="0" collapsed="false">
      <c r="A34" s="0" t="s">
        <v>150</v>
      </c>
      <c r="B34" s="0" t="n">
        <f aca="false">MAX(0,MIN(B32,B33))</f>
        <v>293281.753308672</v>
      </c>
    </row>
    <row r="35" customFormat="false" ht="15" hidden="false" customHeight="false" outlineLevel="0" collapsed="false">
      <c r="A35" s="0" t="s">
        <v>151</v>
      </c>
      <c r="B35" s="0" t="n">
        <f aca="false">B34/(1+B27/100)^L4</f>
        <v>103289.281423076</v>
      </c>
    </row>
    <row r="36" customFormat="false" ht="15" hidden="false" customHeight="false" outlineLevel="0" collapsed="false">
      <c r="A36" s="0" t="s">
        <v>152</v>
      </c>
      <c r="B36" s="0" t="n">
        <f aca="false">B30+B35</f>
        <v>195356.64624395</v>
      </c>
    </row>
    <row r="37" customFormat="false" ht="15" hidden="false" customHeight="false" outlineLevel="0" collapsed="false">
      <c r="A37" s="0" t="s">
        <v>153</v>
      </c>
      <c r="B37" s="0" t="n">
        <f aca="false">B36+Assumptions!$B$5-Assumptions!$B$4</f>
        <v>195356.64624395</v>
      </c>
    </row>
    <row r="38" customFormat="false" ht="15" hidden="false" customHeight="false" outlineLevel="0" collapsed="false">
      <c r="A38" s="0" t="s">
        <v>154</v>
      </c>
      <c r="B38" s="0" t="n">
        <f aca="false">B37/Assumptions!$B$3*Assumptions!$B$10</f>
        <v>3.88359199604211</v>
      </c>
    </row>
    <row r="39" customFormat="false" ht="15" hidden="false" customHeight="false" outlineLevel="0" collapsed="false">
      <c r="A39" s="0" t="s">
        <v>155</v>
      </c>
      <c r="B39" s="4" t="n">
        <f aca="false">B38/Assumptions!$B$2-1</f>
        <v>0.482287021390119</v>
      </c>
    </row>
    <row r="41" customFormat="false" ht="15" hidden="false" customHeight="false" outlineLevel="0" collapsed="false">
      <c r="A41" s="0" t="s">
        <v>156</v>
      </c>
      <c r="B41" s="0" t="n">
        <f aca="false">SUMPRODUCT(-C10:L10/(1+$B$27/100)^C4:L4)</f>
        <v>0</v>
      </c>
    </row>
    <row r="42" customFormat="false" ht="15" hidden="false" customHeight="false" outlineLevel="0" collapsed="false">
      <c r="A42" s="0" t="s">
        <v>157</v>
      </c>
      <c r="B42" s="0" t="n">
        <f aca="false">IF(B27&gt;B28,-L10*(1+B28/100)/((B27-B28)/100),-L10*20)/(1+B27/100)^L4</f>
        <v>0</v>
      </c>
    </row>
    <row r="43" customFormat="false" ht="15" hidden="false" customHeight="false" outlineLevel="0" collapsed="false">
      <c r="A43" s="0" t="s">
        <v>158</v>
      </c>
      <c r="B43" s="0" t="n">
        <f aca="false">(B37+B41+B42)/Assumptions!$B$3*Assumptions!$B$10</f>
        <v>3.88359199604211</v>
      </c>
    </row>
    <row r="45" customFormat="false" ht="15" hidden="false" customHeight="false" outlineLevel="0" collapsed="false">
      <c r="A45" s="0" t="s">
        <v>98</v>
      </c>
      <c r="B45" s="4" t="n">
        <f aca="false">Assumptions!$B$6</f>
        <v>15</v>
      </c>
    </row>
    <row r="46" customFormat="false" ht="15" hidden="false" customHeight="false" outlineLevel="0" collapsed="false">
      <c r="A46" s="0" t="s">
        <v>159</v>
      </c>
      <c r="B46" s="0" t="n">
        <f aca="false">MAX(0,MIN(IF(B45&gt;B28,B31*(1+B28/100)/((B45-B28)/100),B31*B29),B31*B29))</f>
        <v>199431.592249897</v>
      </c>
    </row>
    <row r="47" customFormat="false" ht="15" hidden="false" customHeight="false" outlineLevel="0" collapsed="false">
      <c r="A47" s="0" t="s">
        <v>160</v>
      </c>
      <c r="B47" s="0" t="n">
        <f aca="false">(SUMPRODUCT(C19:L19/(1+B45/100)^C4:L4)+B46/(1+B45/100)^L4+Assumptions!$B$5-Assumptions!$B$4)/Assumptions!$B$3*Assumptions!$B$10</f>
        <v>2.48946666586301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162</v>
      </c>
    </row>
    <row r="3" customFormat="false" ht="15" hidden="false" customHeight="false" outlineLevel="0" collapsed="false">
      <c r="A3" s="0" t="s">
        <v>131</v>
      </c>
      <c r="B3" s="0" t="s">
        <v>101</v>
      </c>
      <c r="C3" s="2" t="s">
        <v>106</v>
      </c>
      <c r="D3" s="2" t="s">
        <v>107</v>
      </c>
      <c r="E3" s="2" t="s">
        <v>108</v>
      </c>
      <c r="F3" s="2" t="s">
        <v>109</v>
      </c>
      <c r="G3" s="2" t="s">
        <v>110</v>
      </c>
      <c r="H3" s="2" t="s">
        <v>111</v>
      </c>
      <c r="I3" s="2" t="s">
        <v>112</v>
      </c>
      <c r="J3" s="2" t="s">
        <v>113</v>
      </c>
      <c r="K3" s="2" t="s">
        <v>114</v>
      </c>
      <c r="L3" s="2" t="s">
        <v>115</v>
      </c>
    </row>
    <row r="4" customFormat="false" ht="15" hidden="false" customHeight="false" outlineLevel="0" collapsed="false">
      <c r="A4" s="0" t="s">
        <v>132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116</v>
      </c>
      <c r="C5" s="4" t="n">
        <f aca="false">Assumptions!C41</f>
        <v>3</v>
      </c>
      <c r="D5" s="4" t="n">
        <f aca="false">Assumptions!D41</f>
        <v>4</v>
      </c>
      <c r="E5" s="4" t="n">
        <f aca="false">Assumptions!E41</f>
        <v>4</v>
      </c>
      <c r="F5" s="4" t="n">
        <f aca="false">Assumptions!F41</f>
        <v>4</v>
      </c>
      <c r="G5" s="4" t="n">
        <f aca="false">Assumptions!G41</f>
        <v>3.5</v>
      </c>
      <c r="H5" s="4" t="n">
        <f aca="false">Assumptions!H41</f>
        <v>3.5</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122700</v>
      </c>
      <c r="C6" s="0" t="n">
        <f aca="false">B6*(1+C5/100)</f>
        <v>126381</v>
      </c>
      <c r="D6" s="0" t="n">
        <f aca="false">C6*(1+D5/100)</f>
        <v>131436.24</v>
      </c>
      <c r="E6" s="0" t="n">
        <f aca="false">D6*(1+E5/100)</f>
        <v>136693.6896</v>
      </c>
      <c r="F6" s="0" t="n">
        <f aca="false">E6*(1+F5/100)</f>
        <v>142161.437184</v>
      </c>
      <c r="G6" s="0" t="n">
        <f aca="false">F6*(1+G5/100)</f>
        <v>147137.08748544</v>
      </c>
      <c r="H6" s="0" t="n">
        <f aca="false">G6*(1+H5/100)</f>
        <v>152286.88554743</v>
      </c>
      <c r="I6" s="0" t="n">
        <f aca="false">H6*(1+I5/100)</f>
        <v>157616.92654159</v>
      </c>
      <c r="J6" s="0" t="n">
        <f aca="false">I6*(1+J5/100)</f>
        <v>163133.518970546</v>
      </c>
      <c r="K6" s="0" t="n">
        <f aca="false">J6*(1+K5/100)</f>
        <v>168843.192134515</v>
      </c>
      <c r="L6" s="0" t="n">
        <f aca="false">K6*(1+L5/100)</f>
        <v>174752.703859223</v>
      </c>
    </row>
    <row r="7" customFormat="false" ht="15" hidden="false" customHeight="false" outlineLevel="0" collapsed="false">
      <c r="A7" s="0" t="s">
        <v>117</v>
      </c>
      <c r="C7" s="4" t="n">
        <f aca="false">Assumptions!C42</f>
        <v>36</v>
      </c>
      <c r="D7" s="4" t="n">
        <f aca="false">Assumptions!D42</f>
        <v>38</v>
      </c>
      <c r="E7" s="4" t="n">
        <f aca="false">Assumptions!E42</f>
        <v>39</v>
      </c>
      <c r="F7" s="4" t="n">
        <f aca="false">Assumptions!F42</f>
        <v>39.5</v>
      </c>
      <c r="G7" s="4" t="n">
        <f aca="false">Assumptions!G42</f>
        <v>40</v>
      </c>
      <c r="H7" s="4" t="n">
        <f aca="false">Assumptions!H42</f>
        <v>40</v>
      </c>
      <c r="I7" s="4" t="n">
        <f aca="false">Assumptions!I42</f>
        <v>40</v>
      </c>
      <c r="J7" s="4" t="n">
        <f aca="false">Assumptions!J42</f>
        <v>40</v>
      </c>
      <c r="K7" s="4" t="n">
        <f aca="false">Assumptions!K42</f>
        <v>40</v>
      </c>
      <c r="L7" s="4" t="n">
        <f aca="false">Assumptions!L42</f>
        <v>40</v>
      </c>
    </row>
    <row r="8" customFormat="false" ht="15" hidden="false" customHeight="false" outlineLevel="0" collapsed="false">
      <c r="A8" s="0" t="s">
        <v>44</v>
      </c>
      <c r="C8" s="0" t="n">
        <f aca="false">C6*C7/100</f>
        <v>45497.16</v>
      </c>
      <c r="D8" s="0" t="n">
        <f aca="false">D6*D7/100</f>
        <v>49945.7712</v>
      </c>
      <c r="E8" s="0" t="n">
        <f aca="false">E6*E7/100</f>
        <v>53310.538944</v>
      </c>
      <c r="F8" s="0" t="n">
        <f aca="false">F6*F7/100</f>
        <v>56153.76768768</v>
      </c>
      <c r="G8" s="0" t="n">
        <f aca="false">G6*G7/100</f>
        <v>58854.834994176</v>
      </c>
      <c r="H8" s="0" t="n">
        <f aca="false">H6*H7/100</f>
        <v>60914.7542189721</v>
      </c>
      <c r="I8" s="0" t="n">
        <f aca="false">I6*I7/100</f>
        <v>63046.7706166362</v>
      </c>
      <c r="J8" s="0" t="n">
        <f aca="false">J6*J7/100</f>
        <v>65253.4075882184</v>
      </c>
      <c r="K8" s="0" t="n">
        <f aca="false">K6*K7/100</f>
        <v>67537.2768538061</v>
      </c>
      <c r="L8" s="0" t="n">
        <f aca="false">L6*L7/100</f>
        <v>69901.0815436893</v>
      </c>
    </row>
    <row r="9" customFormat="false" ht="15" hidden="false" customHeight="false" outlineLevel="0" collapsed="false">
      <c r="A9" s="0" t="s">
        <v>118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134</v>
      </c>
      <c r="C11" s="0" t="n">
        <f aca="false">C8+C10+C24</f>
        <v>45497.16</v>
      </c>
      <c r="D11" s="0" t="n">
        <f aca="false">D8+D10+D24</f>
        <v>49945.7712</v>
      </c>
      <c r="E11" s="0" t="n">
        <f aca="false">E8+E10+E24</f>
        <v>53310.538944</v>
      </c>
      <c r="F11" s="0" t="n">
        <f aca="false">F8+F10+F24</f>
        <v>56153.76768768</v>
      </c>
      <c r="G11" s="0" t="n">
        <f aca="false">G8+G10+G24</f>
        <v>58854.834994176</v>
      </c>
      <c r="H11" s="0" t="n">
        <f aca="false">H8+H10+H24</f>
        <v>60914.7542189721</v>
      </c>
      <c r="I11" s="0" t="n">
        <f aca="false">I8+I10+I24</f>
        <v>63046.7706166362</v>
      </c>
      <c r="J11" s="0" t="n">
        <f aca="false">J8+J10+J24</f>
        <v>65253.4075882184</v>
      </c>
      <c r="K11" s="0" t="n">
        <f aca="false">K8+K10+K24</f>
        <v>67537.2768538061</v>
      </c>
      <c r="L11" s="0" t="n">
        <f aca="false">L8+L10+L24</f>
        <v>69901.0815436893</v>
      </c>
    </row>
    <row r="12" customFormat="false" ht="15" hidden="false" customHeight="false" outlineLevel="0" collapsed="false">
      <c r="A12" s="0" t="s">
        <v>135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136</v>
      </c>
      <c r="C13" s="0" t="n">
        <f aca="false">C11+C12</f>
        <v>45497.16</v>
      </c>
      <c r="D13" s="0" t="n">
        <f aca="false">D11+D12</f>
        <v>49945.7712</v>
      </c>
      <c r="E13" s="0" t="n">
        <f aca="false">E11+E12</f>
        <v>53310.538944</v>
      </c>
      <c r="F13" s="0" t="n">
        <f aca="false">F11+F12</f>
        <v>56153.76768768</v>
      </c>
      <c r="G13" s="0" t="n">
        <f aca="false">G11+G12</f>
        <v>58854.834994176</v>
      </c>
      <c r="H13" s="0" t="n">
        <f aca="false">H11+H12</f>
        <v>60914.7542189721</v>
      </c>
      <c r="I13" s="0" t="n">
        <f aca="false">I11+I12</f>
        <v>63046.7706166362</v>
      </c>
      <c r="J13" s="0" t="n">
        <f aca="false">J11+J12</f>
        <v>65253.4075882184</v>
      </c>
      <c r="K13" s="0" t="n">
        <f aca="false">K11+K12</f>
        <v>67537.2768538061</v>
      </c>
      <c r="L13" s="0" t="n">
        <f aca="false">L11+L12</f>
        <v>69901.0815436893</v>
      </c>
    </row>
    <row r="14" customFormat="false" ht="15" hidden="false" customHeight="false" outlineLevel="0" collapsed="false">
      <c r="A14" s="0" t="s">
        <v>122</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137</v>
      </c>
      <c r="C15" s="0" t="n">
        <f aca="false">C13-MAX(0,C13)*C14/100</f>
        <v>31848.012</v>
      </c>
      <c r="D15" s="0" t="n">
        <f aca="false">D13-MAX(0,D13)*D14/100</f>
        <v>34962.03984</v>
      </c>
      <c r="E15" s="0" t="n">
        <f aca="false">E13-MAX(0,E13)*E14/100</f>
        <v>37317.3772608</v>
      </c>
      <c r="F15" s="0" t="n">
        <f aca="false">F13-MAX(0,F13)*F14/100</f>
        <v>39307.637381376</v>
      </c>
      <c r="G15" s="0" t="n">
        <f aca="false">G13-MAX(0,G13)*G14/100</f>
        <v>41198.3844959232</v>
      </c>
      <c r="H15" s="0" t="n">
        <f aca="false">H13-MAX(0,H13)*H14/100</f>
        <v>42640.3279532805</v>
      </c>
      <c r="I15" s="0" t="n">
        <f aca="false">I13-MAX(0,I13)*I14/100</f>
        <v>44132.7394316453</v>
      </c>
      <c r="J15" s="0" t="n">
        <f aca="false">J13-MAX(0,J13)*J14/100</f>
        <v>45677.3853117529</v>
      </c>
      <c r="K15" s="0" t="n">
        <f aca="false">K13-MAX(0,K13)*K14/100</f>
        <v>47276.0937976642</v>
      </c>
      <c r="L15" s="0" t="n">
        <f aca="false">L13-MAX(0,L13)*L14/100</f>
        <v>48930.7570805825</v>
      </c>
    </row>
    <row r="16" customFormat="false" ht="15" hidden="false" customHeight="false" outlineLevel="0" collapsed="false">
      <c r="A16" s="0" t="s">
        <v>138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139</v>
      </c>
      <c r="C17" s="4" t="n">
        <f aca="false">-C6*Assumptions!C46/100</f>
        <v>-25503.6858</v>
      </c>
      <c r="D17" s="4" t="n">
        <f aca="false">-D6*Assumptions!D46/100</f>
        <v>-26773.562088</v>
      </c>
      <c r="E17" s="4" t="n">
        <f aca="false">-E6*Assumptions!E46/100</f>
        <v>-25302.00194496</v>
      </c>
      <c r="F17" s="4" t="n">
        <f aca="false">-F6*Assumptions!F46/100</f>
        <v>-26442.027316224</v>
      </c>
      <c r="G17" s="4" t="n">
        <f aca="false">-G6*Assumptions!G46/100</f>
        <v>-24557.1799013199</v>
      </c>
      <c r="H17" s="4" t="n">
        <f aca="false">-H6*Assumptions!H46/100</f>
        <v>-25538.5107063041</v>
      </c>
      <c r="I17" s="4" t="n">
        <f aca="false">-I6*Assumptions!I46/100</f>
        <v>-23248.4966648846</v>
      </c>
      <c r="J17" s="4" t="n">
        <f aca="false">-J6*Assumptions!J46/100</f>
        <v>-24062.1940481555</v>
      </c>
      <c r="K17" s="4" t="n">
        <f aca="false">-K6*Assumptions!K46/100</f>
        <v>-21341.7794858027</v>
      </c>
      <c r="L17" s="4" t="n">
        <f aca="false">-L6*Assumptions!L46/100</f>
        <v>-21983.8901454903</v>
      </c>
    </row>
    <row r="18" customFormat="false" ht="15" hidden="false" customHeight="false" outlineLevel="0" collapsed="false">
      <c r="A18" s="0" t="s">
        <v>140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141</v>
      </c>
      <c r="C19" s="0" t="n">
        <f aca="false">C15+C16+C17+C18</f>
        <v>6344.3262</v>
      </c>
      <c r="D19" s="0" t="n">
        <f aca="false">D15+D16+D17+D18</f>
        <v>8188.47775199999</v>
      </c>
      <c r="E19" s="0" t="n">
        <f aca="false">E15+E16+E17+E18</f>
        <v>12015.37531584</v>
      </c>
      <c r="F19" s="0" t="n">
        <f aca="false">F15+F16+F17+F18</f>
        <v>12865.610065152</v>
      </c>
      <c r="G19" s="0" t="n">
        <f aca="false">G15+G16+G17+G18</f>
        <v>16641.2045946033</v>
      </c>
      <c r="H19" s="0" t="n">
        <f aca="false">H15+H16+H17+H18</f>
        <v>17101.8172469764</v>
      </c>
      <c r="I19" s="0" t="n">
        <f aca="false">I15+I16+I17+I18</f>
        <v>20884.2427667607</v>
      </c>
      <c r="J19" s="0" t="n">
        <f aca="false">J15+J16+J17+J18</f>
        <v>21615.1912635974</v>
      </c>
      <c r="K19" s="0" t="n">
        <f aca="false">K15+K16+K17+K18</f>
        <v>25934.3143118615</v>
      </c>
      <c r="L19" s="0" t="n">
        <f aca="false">L15+L16+L17+L18</f>
        <v>26946.8669350922</v>
      </c>
    </row>
    <row r="20" customFormat="false" ht="15" hidden="false" customHeight="false" outlineLevel="0" collapsed="false">
      <c r="A20" s="0" t="s">
        <v>142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143</v>
      </c>
      <c r="C21" s="0" t="n">
        <f aca="false">C19*C20</f>
        <v>5715.60918918919</v>
      </c>
      <c r="D21" s="0" t="n">
        <f aca="false">D19*D20</f>
        <v>6645.95223764304</v>
      </c>
      <c r="E21" s="0" t="n">
        <f aca="false">E19*E20</f>
        <v>8785.53887403839</v>
      </c>
      <c r="F21" s="0" t="n">
        <f aca="false">F19*F20</f>
        <v>8474.9758511873</v>
      </c>
      <c r="G21" s="0" t="n">
        <f aca="false">G19*G20</f>
        <v>9875.74496716149</v>
      </c>
      <c r="H21" s="0" t="n">
        <f aca="false">H19*H20</f>
        <v>9143.32987156119</v>
      </c>
      <c r="I21" s="0" t="n">
        <f aca="false">I19*I20</f>
        <v>10059.0711836957</v>
      </c>
      <c r="J21" s="0" t="n">
        <f aca="false">J19*J20</f>
        <v>9379.40421182439</v>
      </c>
      <c r="K21" s="0" t="n">
        <f aca="false">K19*K20</f>
        <v>10138.3658948087</v>
      </c>
      <c r="L21" s="0" t="n">
        <f aca="false">L19*L20</f>
        <v>9490.26828614037</v>
      </c>
    </row>
    <row r="23" customFormat="false" ht="15" hidden="false" customHeight="false" outlineLevel="0" collapsed="false">
      <c r="A23" s="0" t="s">
        <v>119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145</v>
      </c>
    </row>
    <row r="27" customFormat="false" ht="15" hidden="false" customHeight="false" outlineLevel="0" collapsed="false">
      <c r="A27" s="0" t="s">
        <v>123</v>
      </c>
      <c r="B27" s="4" t="n">
        <f aca="false">Assumptions!$B$48</f>
        <v>11</v>
      </c>
    </row>
    <row r="28" customFormat="false" ht="15" hidden="false" customHeight="false" outlineLevel="0" collapsed="false">
      <c r="A28" s="0" t="s">
        <v>124</v>
      </c>
      <c r="B28" s="4" t="n">
        <f aca="false">Assumptions!$B$49</f>
        <v>3</v>
      </c>
    </row>
    <row r="29" customFormat="false" ht="15" hidden="false" customHeight="false" outlineLevel="0" collapsed="false">
      <c r="A29" s="0" t="s">
        <v>125</v>
      </c>
      <c r="B29" s="4" t="n">
        <f aca="false">Assumptions!$B$50</f>
        <v>18</v>
      </c>
    </row>
    <row r="30" customFormat="false" ht="15" hidden="false" customHeight="false" outlineLevel="0" collapsed="false">
      <c r="A30" s="0" t="s">
        <v>146</v>
      </c>
      <c r="B30" s="0" t="n">
        <f aca="false">SUM(C21:L21)</f>
        <v>87708.2605672498</v>
      </c>
    </row>
    <row r="31" customFormat="false" ht="15" hidden="false" customHeight="false" outlineLevel="0" collapsed="false">
      <c r="A31" s="0" t="s">
        <v>147</v>
      </c>
      <c r="B31" s="0" t="n">
        <f aca="false">L19</f>
        <v>26946.8669350922</v>
      </c>
    </row>
    <row r="32" customFormat="false" ht="15" hidden="false" customHeight="false" outlineLevel="0" collapsed="false">
      <c r="A32" s="0" t="s">
        <v>148</v>
      </c>
      <c r="B32" s="0" t="n">
        <f aca="false">IF(B27&gt;B28,B31*(1+B28/100)/((B27-B28)/100),B31*B29)</f>
        <v>346940.911789312</v>
      </c>
    </row>
    <row r="33" customFormat="false" ht="15" hidden="false" customHeight="false" outlineLevel="0" collapsed="false">
      <c r="A33" s="0" t="s">
        <v>149</v>
      </c>
      <c r="B33" s="0" t="n">
        <f aca="false">B31*B29</f>
        <v>485043.60483166</v>
      </c>
    </row>
    <row r="34" customFormat="false" ht="15" hidden="false" customHeight="false" outlineLevel="0" collapsed="false">
      <c r="A34" s="0" t="s">
        <v>150</v>
      </c>
      <c r="B34" s="0" t="n">
        <f aca="false">MAX(0,MIN(B32,B33))</f>
        <v>346940.911789312</v>
      </c>
    </row>
    <row r="35" customFormat="false" ht="15" hidden="false" customHeight="false" outlineLevel="0" collapsed="false">
      <c r="A35" s="0" t="s">
        <v>151</v>
      </c>
      <c r="B35" s="0" t="n">
        <f aca="false">B34/(1+B27/100)^L4</f>
        <v>122187.204184057</v>
      </c>
    </row>
    <row r="36" customFormat="false" ht="15" hidden="false" customHeight="false" outlineLevel="0" collapsed="false">
      <c r="A36" s="0" t="s">
        <v>152</v>
      </c>
      <c r="B36" s="0" t="n">
        <f aca="false">B30+B35</f>
        <v>209895.464751307</v>
      </c>
    </row>
    <row r="37" customFormat="false" ht="15" hidden="false" customHeight="false" outlineLevel="0" collapsed="false">
      <c r="A37" s="0" t="s">
        <v>153</v>
      </c>
      <c r="B37" s="0" t="n">
        <f aca="false">B36+Assumptions!$B$5-Assumptions!$B$4</f>
        <v>209895.464751307</v>
      </c>
    </row>
    <row r="38" customFormat="false" ht="15" hidden="false" customHeight="false" outlineLevel="0" collapsed="false">
      <c r="A38" s="0" t="s">
        <v>154</v>
      </c>
      <c r="B38" s="0" t="n">
        <f aca="false">B37/Assumptions!$B$3*Assumptions!$B$10</f>
        <v>4.17261640484862</v>
      </c>
    </row>
    <row r="39" customFormat="false" ht="15" hidden="false" customHeight="false" outlineLevel="0" collapsed="false">
      <c r="A39" s="0" t="s">
        <v>155</v>
      </c>
      <c r="B39" s="4" t="n">
        <f aca="false">B38/Assumptions!$B$2-1</f>
        <v>0.59260168123993</v>
      </c>
    </row>
    <row r="41" customFormat="false" ht="15" hidden="false" customHeight="false" outlineLevel="0" collapsed="false">
      <c r="A41" s="0" t="s">
        <v>156</v>
      </c>
      <c r="B41" s="0" t="n">
        <f aca="false">SUMPRODUCT(-C10:L10/(1+$B$27/100)^C4:L4)</f>
        <v>0</v>
      </c>
    </row>
    <row r="42" customFormat="false" ht="15" hidden="false" customHeight="false" outlineLevel="0" collapsed="false">
      <c r="A42" s="0" t="s">
        <v>157</v>
      </c>
      <c r="B42" s="0" t="n">
        <f aca="false">IF(B27&gt;B28,-L10*(1+B28/100)/((B27-B28)/100),-L10*20)/(1+B27/100)^L4</f>
        <v>0</v>
      </c>
    </row>
    <row r="43" customFormat="false" ht="15" hidden="false" customHeight="false" outlineLevel="0" collapsed="false">
      <c r="A43" s="0" t="s">
        <v>158</v>
      </c>
      <c r="B43" s="0" t="n">
        <f aca="false">(B37+B41+B42)/Assumptions!$B$3*Assumptions!$B$10</f>
        <v>4.17261640484862</v>
      </c>
    </row>
    <row r="45" customFormat="false" ht="15" hidden="false" customHeight="false" outlineLevel="0" collapsed="false">
      <c r="A45" s="0" t="s">
        <v>98</v>
      </c>
      <c r="B45" s="4" t="n">
        <f aca="false">Assumptions!$B$6</f>
        <v>15</v>
      </c>
    </row>
    <row r="46" customFormat="false" ht="15" hidden="false" customHeight="false" outlineLevel="0" collapsed="false">
      <c r="A46" s="0" t="s">
        <v>159</v>
      </c>
      <c r="B46" s="0" t="n">
        <f aca="false">MAX(0,MIN(IF(B45&gt;B28,B31*(1+B28/100)/((B45-B28)/100),B31*B29),B31*B29))</f>
        <v>231293.941192875</v>
      </c>
    </row>
    <row r="47" customFormat="false" ht="15" hidden="false" customHeight="false" outlineLevel="0" collapsed="false">
      <c r="A47" s="0" t="s">
        <v>160</v>
      </c>
      <c r="B47" s="0" t="n">
        <f aca="false">(SUMPRODUCT(C19:L19/(1+B45/100)^C4:L4)+B46/(1+B45/100)^L4+Assumptions!$B$5-Assumptions!$B$4)/Assumptions!$B$3*Assumptions!$B$10</f>
        <v>2.55957420166244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163</v>
      </c>
    </row>
    <row r="3" customFormat="false" ht="15" hidden="false" customHeight="false" outlineLevel="0" collapsed="false">
      <c r="A3" s="2" t="s">
        <v>164</v>
      </c>
      <c r="B3" s="2" t="s">
        <v>165</v>
      </c>
      <c r="C3" s="2" t="s">
        <v>155</v>
      </c>
      <c r="D3" s="2" t="s">
        <v>166</v>
      </c>
      <c r="E3" s="2" t="s">
        <v>158</v>
      </c>
      <c r="F3" s="2" t="s">
        <v>167</v>
      </c>
    </row>
    <row r="4" customFormat="false" ht="15" hidden="false" customHeight="false" outlineLevel="0" collapsed="false">
      <c r="A4" s="0" t="s">
        <v>168</v>
      </c>
      <c r="B4" s="4" t="n">
        <f aca="false">DCF_Bear!$B$38</f>
        <v>2.2294497803655</v>
      </c>
      <c r="C4" s="0" t="n">
        <f aca="false">B4/Assumptions!$B$2-1</f>
        <v>-0.149064969326145</v>
      </c>
      <c r="D4" s="4" t="n">
        <f aca="false">Assumptions!$B$24</f>
        <v>0.4</v>
      </c>
      <c r="E4" s="4" t="n">
        <f aca="false">DCF_Bear!$B$43</f>
        <v>2.2294497803655</v>
      </c>
      <c r="F4" s="4" t="n">
        <f aca="false">DCF_Bear!$B$47</f>
        <v>1.34580981244218</v>
      </c>
    </row>
    <row r="5" customFormat="false" ht="15" hidden="false" customHeight="false" outlineLevel="0" collapsed="false">
      <c r="A5" s="0" t="s">
        <v>169</v>
      </c>
      <c r="B5" s="4" t="n">
        <f aca="false">DCF_Base!$B$38</f>
        <v>3.88359199604211</v>
      </c>
      <c r="C5" s="0" t="n">
        <f aca="false">B5/Assumptions!$B$2-1</f>
        <v>0.482287021390119</v>
      </c>
      <c r="D5" s="4" t="n">
        <f aca="false">Assumptions!$B$38</f>
        <v>0.45</v>
      </c>
      <c r="E5" s="4" t="n">
        <f aca="false">DCF_Base!$B$43</f>
        <v>3.88359199604211</v>
      </c>
      <c r="F5" s="4" t="n">
        <f aca="false">DCF_Base!$B$47</f>
        <v>2.48946666586301</v>
      </c>
    </row>
    <row r="6" customFormat="false" ht="15" hidden="false" customHeight="false" outlineLevel="0" collapsed="false">
      <c r="A6" s="0" t="s">
        <v>170</v>
      </c>
      <c r="B6" s="4" t="n">
        <f aca="false">DCF_Bull!$B$38</f>
        <v>4.17261640484862</v>
      </c>
      <c r="C6" s="0" t="n">
        <f aca="false">B6/Assumptions!$B$2-1</f>
        <v>0.59260168123993</v>
      </c>
      <c r="D6" s="4" t="n">
        <f aca="false">Assumptions!$B$52</f>
        <v>0.15</v>
      </c>
      <c r="E6" s="4" t="n">
        <f aca="false">DCF_Bull!$B$43</f>
        <v>4.17261640484862</v>
      </c>
      <c r="F6" s="4" t="n">
        <f aca="false">DCF_Bull!$B$47</f>
        <v>2.55957420166244</v>
      </c>
    </row>
    <row r="8" customFormat="false" ht="15" hidden="false" customHeight="false" outlineLevel="0" collapsed="false">
      <c r="A8" s="0" t="s">
        <v>171</v>
      </c>
      <c r="B8" s="0" t="n">
        <f aca="false">SUMPRODUCT(B4:B6,D4:D6)</f>
        <v>3.26528877109244</v>
      </c>
    </row>
    <row r="9" customFormat="false" ht="15" hidden="false" customHeight="false" outlineLevel="0" collapsed="false">
      <c r="A9" s="0" t="s">
        <v>172</v>
      </c>
      <c r="B9" s="0" t="n">
        <f aca="false">SUMPRODUCT(E4:E6,D4:D6)</f>
        <v>3.26528877109244</v>
      </c>
    </row>
    <row r="10" customFormat="false" ht="15" hidden="false" customHeight="false" outlineLevel="0" collapsed="false">
      <c r="A10" s="0" t="s">
        <v>173</v>
      </c>
      <c r="B10" s="0" t="n">
        <f aca="false">1-Assumptions!$B$2/B8</f>
        <v>0.197620736274591</v>
      </c>
    </row>
    <row r="11" customFormat="false" ht="15" hidden="false" customHeight="false" outlineLevel="0" collapsed="false">
      <c r="A11" s="0" t="s">
        <v>174</v>
      </c>
      <c r="B11" s="0" t="str">
        <f aca="false">IF(ABS(B9-B8)&gt;0.01*ABS(B8),(Assumptions!$B$2-B8)/(B9-B8)*100,"n/a")</f>
        <v>n/a</v>
      </c>
    </row>
    <row r="12" customFormat="false" ht="15" hidden="false" customHeight="false" outlineLevel="0" collapsed="false">
      <c r="A12" s="0" t="s">
        <v>175</v>
      </c>
      <c r="B12" s="0" t="n">
        <f aca="false">SUMPRODUCT(F4:F6,D4:D6)</f>
        <v>2.04252005486459</v>
      </c>
    </row>
    <row r="14" customFormat="false" ht="15" hidden="false" customHeight="false" outlineLevel="0" collapsed="false">
      <c r="A14" s="2" t="s">
        <v>176</v>
      </c>
      <c r="C14" s="0" t="s">
        <v>177</v>
      </c>
    </row>
    <row r="15" customFormat="false" ht="15" hidden="false" customHeight="false" outlineLevel="0" collapsed="false">
      <c r="A15" s="0" t="s">
        <v>178</v>
      </c>
      <c r="B15" s="0" t="n">
        <f aca="false">(SUMPRODUCT(DCF_Base!$C$19:$L$19/(1+$C$15/100)^DCF_Base!$C$4:$L$4)+MAX(0,MIN(IF($C$15&gt;DCF_Base!$B$28,DCF_Base!$L$19*(1+DCF_Base!$B$28/100)/(($C$15-DCF_Base!$B$28)/100),DCF_Base!$L$19*DCF_Base!$B$29),DCF_Base!$L$19*DCF_Base!$B$29))/(1+$C$15/100)^DCF_Base!$L$4+Assumptions!$B$5-Assumptions!$B$4)/Assumptions!$B$3*Assumptions!$B$10</f>
        <v>5.24882588453094</v>
      </c>
      <c r="C15" s="3" t="n">
        <v>9</v>
      </c>
    </row>
    <row r="16" customFormat="false" ht="15" hidden="false" customHeight="false" outlineLevel="0" collapsed="false">
      <c r="A16" s="0" t="s">
        <v>179</v>
      </c>
      <c r="B16" s="0" t="n">
        <f aca="false">(SUMPRODUCT(DCF_Base!$C$19:$L$19/(1+$C$16/100)^DCF_Base!$C$4:$L$4)+MAX(0,MIN(IF($C$16&gt;DCF_Base!$B$28,DCF_Base!$L$19*(1+DCF_Base!$B$28/100)/(($C$16-DCF_Base!$B$28)/100),DCF_Base!$L$19*DCF_Base!$B$29),DCF_Base!$L$19*DCF_Base!$B$29))/(1+$C$16/100)^DCF_Base!$L$4+Assumptions!$B$5-Assumptions!$B$4)/Assumptions!$B$3*Assumptions!$B$10</f>
        <v>4.47319592566883</v>
      </c>
      <c r="C16" s="3" t="n">
        <v>10</v>
      </c>
    </row>
    <row r="17" customFormat="false" ht="15" hidden="false" customHeight="false" outlineLevel="0" collapsed="false">
      <c r="A17" s="0" t="s">
        <v>180</v>
      </c>
      <c r="B17" s="0" t="n">
        <f aca="false">(SUMPRODUCT(DCF_Base!$C$19:$L$19/(1+$C$17/100)^DCF_Base!$C$4:$L$4)+MAX(0,MIN(IF($C$17&gt;DCF_Base!$B$28,DCF_Base!$L$19*(1+DCF_Base!$B$28/100)/(($C$17-DCF_Base!$B$28)/100),DCF_Base!$L$19*DCF_Base!$B$29),DCF_Base!$L$19*DCF_Base!$B$29))/(1+$C$17/100)^DCF_Base!$L$4+Assumptions!$B$5-Assumptions!$B$4)/Assumptions!$B$3*Assumptions!$B$10</f>
        <v>3.88359199604211</v>
      </c>
      <c r="C17" s="3" t="n">
        <v>11</v>
      </c>
    </row>
    <row r="18" customFormat="false" ht="15" hidden="false" customHeight="false" outlineLevel="0" collapsed="false">
      <c r="A18" s="0" t="s">
        <v>181</v>
      </c>
      <c r="B18" s="0" t="n">
        <f aca="false">(SUMPRODUCT(DCF_Base!$C$19:$L$19/(1+$C$18/100)^DCF_Base!$C$4:$L$4)+MAX(0,MIN(IF($C$18&gt;DCF_Base!$B$28,DCF_Base!$L$19*(1+DCF_Base!$B$28/100)/(($C$18-DCF_Base!$B$28)/100),DCF_Base!$L$19*DCF_Base!$B$29),DCF_Base!$L$19*DCF_Base!$B$29))/(1+$C$18/100)^DCF_Base!$L$4+Assumptions!$B$5-Assumptions!$B$4)/Assumptions!$B$3*Assumptions!$B$10</f>
        <v>3.42105647572888</v>
      </c>
      <c r="C18" s="3" t="n">
        <v>12</v>
      </c>
    </row>
    <row r="19" customFormat="false" ht="15" hidden="false" customHeight="false" outlineLevel="0" collapsed="false">
      <c r="A19" s="0" t="s">
        <v>182</v>
      </c>
      <c r="B19" s="0" t="n">
        <f aca="false">(SUMPRODUCT(DCF_Base!$C$19:$L$19/(1+$C$19/100)^DCF_Base!$C$4:$L$4)+MAX(0,MIN(IF($C$19&gt;DCF_Base!$B$28,DCF_Base!$L$19*(1+DCF_Base!$B$28/100)/(($C$19-DCF_Base!$B$28)/100),DCF_Base!$L$19*DCF_Base!$B$29),DCF_Base!$L$19*DCF_Base!$B$29))/(1+$C$19/100)^DCF_Base!$L$4+Assumptions!$B$5-Assumptions!$B$4)/Assumptions!$B$3*Assumptions!$B$10</f>
        <v>2.48946666586301</v>
      </c>
      <c r="C19" s="3" t="n">
        <v>15</v>
      </c>
    </row>
    <row r="21" customFormat="false" ht="15" hidden="false" customHeight="false" outlineLevel="0" collapsed="false">
      <c r="A21" s="2" t="s">
        <v>183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4.79218750618251</v>
      </c>
      <c r="C23" s="0" t="n">
        <f aca="false">(SUMPRODUCT(DCF_Base!$C$19:$L$19/(1+$A$23/100)^DCF_Base!$C$4:$L$4)+MAX(0,MIN(IF($A$23&gt;$C$22,DCF_Base!$L$19*(1+$C$22/100)/(($A$23-$C$22)/100),DCF_Base!$L$19*DCF_Base!$B$29),DCF_Base!$L$19*DCF_Base!$B$29))/(1+$A$23/100)^DCF_Base!$L$4+Assumptions!$B$5-Assumptions!$B$4)/Assumptions!$B$3*Assumptions!$B$10</f>
        <v>5.00419818184428</v>
      </c>
      <c r="D23" s="0" t="n">
        <f aca="false">(SUMPRODUCT(DCF_Base!$C$19:$L$19/(1+$A$23/100)^DCF_Base!$C$4:$L$4)+MAX(0,MIN(IF($A$23&gt;$D$22,DCF_Base!$L$19*(1+$D$22/100)/(($A$23-$D$22)/100),DCF_Base!$L$19*DCF_Base!$B$29),DCF_Base!$L$19*DCF_Base!$B$29))/(1+$A$23/100)^DCF_Base!$L$4+Assumptions!$B$5-Assumptions!$B$4)/Assumptions!$B$3*Assumptions!$B$10</f>
        <v>5.24882588453094</v>
      </c>
      <c r="E23" s="0" t="n">
        <f aca="false">(SUMPRODUCT(DCF_Base!$C$19:$L$19/(1+$A$23/100)^DCF_Base!$C$4:$L$4)+MAX(0,MIN(IF($A$23&gt;$E$22,DCF_Base!$L$19*(1+$E$22/100)/(($A$23-$E$22)/100),DCF_Base!$L$19*DCF_Base!$B$29),DCF_Base!$L$19*DCF_Base!$B$29))/(1+$A$23/100)^DCF_Base!$L$4+Assumptions!$B$5-Assumptions!$B$4)/Assumptions!$B$3*Assumptions!$B$10</f>
        <v>5.53422487099871</v>
      </c>
      <c r="F23" s="0" t="n">
        <f aca="false">(SUMPRODUCT(DCF_Base!$C$19:$L$19/(1+$A$23/100)^DCF_Base!$C$4:$L$4)+MAX(0,MIN(IF($A$23&gt;$F$22,DCF_Base!$L$19*(1+$F$22/100)/(($A$23-$F$22)/100),DCF_Base!$L$19*DCF_Base!$B$29),DCF_Base!$L$19*DCF_Base!$B$29))/(1+$A$23/100)^DCF_Base!$L$4+Assumptions!$B$5-Assumptions!$B$4)/Assumptions!$B$3*Assumptions!$B$10</f>
        <v>5.70441692714922</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4.15155510977361</v>
      </c>
      <c r="C24" s="0" t="n">
        <f aca="false">(SUMPRODUCT(DCF_Base!$C$19:$L$19/(1+$A$24/100)^DCF_Base!$C$4:$L$4)+MAX(0,MIN(IF($A$24&gt;$C$22,DCF_Base!$L$19*(1+$C$22/100)/(($A$24-$C$22)/100),DCF_Base!$L$19*DCF_Base!$B$29),DCF_Base!$L$19*DCF_Base!$B$29))/(1+$A$24/100)^DCF_Base!$L$4+Assumptions!$B$5-Assumptions!$B$4)/Assumptions!$B$3*Assumptions!$B$10</f>
        <v>4.30232424222449</v>
      </c>
      <c r="D24" s="0" t="n">
        <f aca="false">(SUMPRODUCT(DCF_Base!$C$19:$L$19/(1+$A$24/100)^DCF_Base!$C$4:$L$4)+MAX(0,MIN(IF($A$24&gt;$D$22,DCF_Base!$L$19*(1+$D$22/100)/(($A$24-$D$22)/100),DCF_Base!$L$19*DCF_Base!$B$29),DCF_Base!$L$19*DCF_Base!$B$29))/(1+$A$24/100)^DCF_Base!$L$4+Assumptions!$B$5-Assumptions!$B$4)/Assumptions!$B$3*Assumptions!$B$10</f>
        <v>4.47319592566883</v>
      </c>
      <c r="E24" s="0" t="n">
        <f aca="false">(SUMPRODUCT(DCF_Base!$C$19:$L$19/(1+$A$24/100)^DCF_Base!$C$4:$L$4)+MAX(0,MIN(IF($A$24&gt;$E$22,DCF_Base!$L$19*(1+$E$22/100)/(($A$24-$E$22)/100),DCF_Base!$L$19*DCF_Base!$B$29),DCF_Base!$L$19*DCF_Base!$B$29))/(1+$A$24/100)^DCF_Base!$L$4+Assumptions!$B$5-Assumptions!$B$4)/Assumptions!$B$3*Assumptions!$B$10</f>
        <v>4.66847784960521</v>
      </c>
      <c r="F24" s="0" t="n">
        <f aca="false">(SUMPRODUCT(DCF_Base!$C$19:$L$19/(1+$A$24/100)^DCF_Base!$C$4:$L$4)+MAX(0,MIN(IF($A$24&gt;$F$22,DCF_Base!$L$19*(1+$F$22/100)/(($A$24-$F$22)/100),DCF_Base!$L$19*DCF_Base!$B$29),DCF_Base!$L$19*DCF_Base!$B$29))/(1+$A$24/100)^DCF_Base!$L$4+Assumptions!$B$5-Assumptions!$B$4)/Assumptions!$B$3*Assumptions!$B$10</f>
        <v>4.89380314645488</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3.64952716175002</v>
      </c>
      <c r="C25" s="0" t="n">
        <f aca="false">(SUMPRODUCT(DCF_Base!$C$19:$L$19/(1+$A$25/100)^DCF_Base!$C$4:$L$4)+MAX(0,MIN(IF($A$25&gt;$C$22,DCF_Base!$L$19*(1+$C$22/100)/(($A$25-$C$22)/100),DCF_Base!$L$19*DCF_Base!$B$29),DCF_Base!$L$19*DCF_Base!$B$29))/(1+$A$25/100)^DCF_Base!$L$4+Assumptions!$B$5-Assumptions!$B$4)/Assumptions!$B$3*Assumptions!$B$10</f>
        <v>3.76005777794351</v>
      </c>
      <c r="D25" s="0" t="n">
        <f aca="false">(SUMPRODUCT(DCF_Base!$C$19:$L$19/(1+$A$25/100)^DCF_Base!$C$4:$L$4)+MAX(0,MIN(IF($A$25&gt;$D$22,DCF_Base!$L$19*(1+$D$22/100)/(($A$25-$D$22)/100),DCF_Base!$L$19*DCF_Base!$B$29),DCF_Base!$L$19*DCF_Base!$B$29))/(1+$A$25/100)^DCF_Base!$L$4+Assumptions!$B$5-Assumptions!$B$4)/Assumptions!$B$3*Assumptions!$B$10</f>
        <v>3.88359199604211</v>
      </c>
      <c r="E25" s="0" t="n">
        <f aca="false">(SUMPRODUCT(DCF_Base!$C$19:$L$19/(1+$A$25/100)^DCF_Base!$C$4:$L$4)+MAX(0,MIN(IF($A$25&gt;$E$22,DCF_Base!$L$19*(1+$E$22/100)/(($A$25-$E$22)/100),DCF_Base!$L$19*DCF_Base!$B$29),DCF_Base!$L$19*DCF_Base!$B$29))/(1+$A$25/100)^DCF_Base!$L$4+Assumptions!$B$5-Assumptions!$B$4)/Assumptions!$B$3*Assumptions!$B$10</f>
        <v>4.02256799140304</v>
      </c>
      <c r="F25" s="0" t="n">
        <f aca="false">(SUMPRODUCT(DCF_Base!$C$19:$L$19/(1+$A$25/100)^DCF_Base!$C$4:$L$4)+MAX(0,MIN(IF($A$25&gt;$F$22,DCF_Base!$L$19*(1+$F$22/100)/(($A$25-$F$22)/100),DCF_Base!$L$19*DCF_Base!$B$29),DCF_Base!$L$19*DCF_Base!$B$29))/(1+$A$25/100)^DCF_Base!$L$4+Assumptions!$B$5-Assumptions!$B$4)/Assumptions!$B$3*Assumptions!$B$10</f>
        <v>4.18007411947877</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3.24626896301723</v>
      </c>
      <c r="C26" s="0" t="n">
        <f aca="false">(SUMPRODUCT(DCF_Base!$C$19:$L$19/(1+$A$26/100)^DCF_Base!$C$4:$L$4)+MAX(0,MIN(IF($A$26&gt;$C$22,DCF_Base!$L$19*(1+$C$22/100)/(($A$26-$C$22)/100),DCF_Base!$L$19*DCF_Base!$B$29),DCF_Base!$L$19*DCF_Base!$B$29))/(1+$A$26/100)^DCF_Base!$L$4+Assumptions!$B$5-Assumptions!$B$4)/Assumptions!$B$3*Assumptions!$B$10</f>
        <v>3.32929303155526</v>
      </c>
      <c r="D26" s="0" t="n">
        <f aca="false">(SUMPRODUCT(DCF_Base!$C$19:$L$19/(1+$A$26/100)^DCF_Base!$C$4:$L$4)+MAX(0,MIN(IF($A$26&gt;$D$22,DCF_Base!$L$19*(1+$D$22/100)/(($A$26-$D$22)/100),DCF_Base!$L$19*DCF_Base!$B$29),DCF_Base!$L$19*DCF_Base!$B$29))/(1+$A$26/100)^DCF_Base!$L$4+Assumptions!$B$5-Assumptions!$B$4)/Assumptions!$B$3*Assumptions!$B$10</f>
        <v>3.42105647572888</v>
      </c>
      <c r="E26" s="0" t="n">
        <f aca="false">(SUMPRODUCT(DCF_Base!$C$19:$L$19/(1+$A$26/100)^DCF_Base!$C$4:$L$4)+MAX(0,MIN(IF($A$26&gt;$E$22,DCF_Base!$L$19*(1+$E$22/100)/(($A$26-$E$22)/100),DCF_Base!$L$19*DCF_Base!$B$29),DCF_Base!$L$19*DCF_Base!$B$29))/(1+$A$26/100)^DCF_Base!$L$4+Assumptions!$B$5-Assumptions!$B$4)/Assumptions!$B$3*Assumptions!$B$10</f>
        <v>3.52301585814401</v>
      </c>
      <c r="F26" s="0" t="n">
        <f aca="false">(SUMPRODUCT(DCF_Base!$C$19:$L$19/(1+$A$26/100)^DCF_Base!$C$4:$L$4)+MAX(0,MIN(IF($A$26&gt;$F$22,DCF_Base!$L$19*(1+$F$22/100)/(($A$26-$F$22)/100),DCF_Base!$L$19*DCF_Base!$B$29),DCF_Base!$L$19*DCF_Base!$B$29))/(1+$A$26/100)^DCF_Base!$L$4+Assumptions!$B$5-Assumptions!$B$4)/Assumptions!$B$3*Assumptions!$B$10</f>
        <v>3.63697046201974</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2.91581868035722</v>
      </c>
      <c r="C27" s="0" t="n">
        <f aca="false">(SUMPRODUCT(DCF_Base!$C$19:$L$19/(1+$A$27/100)^DCF_Base!$C$4:$L$4)+MAX(0,MIN(IF($A$27&gt;$C$22,DCF_Base!$L$19*(1+$C$22/100)/(($A$27-$C$22)/100),DCF_Base!$L$19*DCF_Base!$B$29),DCF_Base!$L$19*DCF_Base!$B$29))/(1+$A$27/100)^DCF_Base!$L$4+Assumptions!$B$5-Assumptions!$B$4)/Assumptions!$B$3*Assumptions!$B$10</f>
        <v>2.97943360222443</v>
      </c>
      <c r="D27" s="0" t="n">
        <f aca="false">(SUMPRODUCT(DCF_Base!$C$19:$L$19/(1+$A$27/100)^DCF_Base!$C$4:$L$4)+MAX(0,MIN(IF($A$27&gt;$D$22,DCF_Base!$L$19*(1+$D$22/100)/(($A$27-$D$22)/100),DCF_Base!$L$19*DCF_Base!$B$29),DCF_Base!$L$19*DCF_Base!$B$29))/(1+$A$27/100)^DCF_Base!$L$4+Assumptions!$B$5-Assumptions!$B$4)/Assumptions!$B$3*Assumptions!$B$10</f>
        <v>3.04910708807899</v>
      </c>
      <c r="E27" s="0" t="n">
        <f aca="false">(SUMPRODUCT(DCF_Base!$C$19:$L$19/(1+$A$27/100)^DCF_Base!$C$4:$L$4)+MAX(0,MIN(IF($A$27&gt;$E$22,DCF_Base!$L$19*(1+$E$22/100)/(($A$27-$E$22)/100),DCF_Base!$L$19*DCF_Base!$B$29),DCF_Base!$L$19*DCF_Base!$B$29))/(1+$A$27/100)^DCF_Base!$L$4+Assumptions!$B$5-Assumptions!$B$4)/Assumptions!$B$3*Assumptions!$B$10</f>
        <v>3.125747922519</v>
      </c>
      <c r="F27" s="0" t="n">
        <f aca="false">(SUMPRODUCT(DCF_Base!$C$19:$L$19/(1+$A$27/100)^DCF_Base!$C$4:$L$4)+MAX(0,MIN(IF($A$27&gt;$F$22,DCF_Base!$L$19*(1+$F$22/100)/(($A$27-$F$22)/100),DCF_Base!$L$19*DCF_Base!$B$29),DCF_Base!$L$19*DCF_Base!$B$29))/(1+$A$27/100)^DCF_Base!$L$4+Assumptions!$B$5-Assumptions!$B$4)/Assumptions!$B$3*Assumptions!$B$10</f>
        <v>3.21045621321586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2026-10-23T16:09:00Z</dcterms:created>
  <dc:creator>openpyxl</dc:creator>
  <dc:description/>
  <dc:language>en-NZ</dc:language>
  <cp:lastModifiedBy/>
  <dcterms:modified xsi:type="dcterms:W3CDTF">2026-10-23T16:09:00Z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