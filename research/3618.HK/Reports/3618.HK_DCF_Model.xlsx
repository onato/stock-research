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<sst xmlns="http://schemas.openxmlformats.org/spreadsheetml/2006/main" count="375" uniqueCount="182">
  <si>
    <t xml:space="preserve">Ticker</t>
  </si>
  <si>
    <t xml:space="preserve">3618.HK</t>
  </si>
  <si>
    <t xml:space="preserve">Company</t>
  </si>
  <si>
    <t xml:space="preserve">Chongqing Rural Commercial Bank Co., Ltd.</t>
  </si>
  <si>
    <t xml:space="preserve">Valuation date</t>
  </si>
  <si>
    <t xml:space="preserve">2026-10-22</t>
  </si>
  <si>
    <t xml:space="preserve">Current price</t>
  </si>
  <si>
    <t xml:space="preserve">Price as of</t>
  </si>
  <si>
    <t xml:space="preserve">2026-10-22T08:08:34Z HKEX regular close (16:08 HKT)</t>
  </si>
  <si>
    <t xml:space="preserve">Balance sheet date</t>
  </si>
  <si>
    <t xml:space="preserve">2026-06-30</t>
  </si>
  <si>
    <t xml:space="preserve">Model</t>
  </si>
  <si>
    <t xml:space="preserve">Bank FCFE at cost of equity (engine route), net debt zero, CET1 retention on risk-weighted-asset growth, perpetual-bond coupons and NCI charged in the flow</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</si>
  <si>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</si>
  <si>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</si>
  <si>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</si>
  <si>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</si>
  <si>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</si>
  <si>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</si>
  <si>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</si>
  <si>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</si>
  <si>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</si>
  <si>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2026-10-22T10:53:59Z</t>
  </si>
  <si>
    <t xml:space="preserve">Drivers file</t>
  </si>
  <si>
    <t xml:space="preserve">3618.HK_Drivers.json</t>
  </si>
  <si>
    <t xml:space="preserve">Convention</t>
  </si>
  <si>
    <t xml:space="preserve">Percents stored as percents; formulas divide by 100. Blue = input, green = link, black = formula.</t>
  </si>
  <si>
    <t xml:space="preserve">Methodology</t>
  </si>
  <si>
    <t xml:space="preserve">summary: A bank is worth the equity cash flow it can distribute after funding its own capital requirement, discounted at the cost of equity. For Chongqing Rural Commercial Bank that flow is net profit to ordinary shareholders (after tax, NCI and perpetual-bond coupons) less the equity retained to hold CET1 at the scenario target on growing risk-weighted assets. The Bank is currently spending the capital buffer it built to 14.24% in FY2024 - RWA grew 16.5% in FY2025 and 10.5% in H1 2026 against ~4-7% growth in CET1 capital - so on its actual trajectory FY2026E FCFE is roughly zero and the 5.9% dividend yield is being financed by ratio drift. The model lets the ratio settle at 11.5% (base), decelerates RWA growth to 3% and credits only the resulting FCFE. Net debt is zero by construction; deposits are operating funding. The H share trades at ~0.44x H1 2026 book (RMB12.36 = HKD14.51) and ~5.2x FY2025 earnings; the base terminal P/B is ~0.65x, consistent with a ~7.9% ROE at a 10.5% cost of equity.
key_risks_to_valuation: Capital: CET1 fell 1.9pt in 18 months (14.24% -&gt; 12.33%) because RWA growth (10-16%) runs at 2-4x what retained earnings can fund after a 30% payout. Every scenario assumes RWA growth decelerates to &lt;=8% in FY2027; if the Bank keeps growing RWA 15% the 11.5% target is breached by FY2028 and a discounted A-share placement (which the flat share count does not model) becomes the base case.; Concentration: ~100% of the loan book, deposits and collateral are in one municipality; Chongqing property (mortgages ~11% of loans, developer NPLs rising per the Analysis), LGFV/municipal-project lending and the manufacturing-cluster strategy are correlated exposures. The bear margin path (36% trough) is the FY2020-21 credit-cost experience repeated.; NIM: 2.74% (FY2016) to 1.60% (FY2025); management guides only to 'reasonable and stable operation' and expects rates to 'remain at a low level' in H2 2026 (interim line 3206). The H1 2026 uptick to 1.66% is treated as stabilisation; if it reverses, the bear revenue path applies.; Sector overhang: the NFRA's consolidation of weak rural and village banks and Fitch's ~2.8% sector NPL cap the multiple investors will pay for any 'rural commercial bank' H share regardless of CQRCB's own metrics; this is charged in the cost of equity and the bear weight, not in the flows.; Tax and coupons: the ~9-15% effective tax rate depends on tax-exempt government-bond income; a shift of the book toward loans lifts the rate toward 20%+ (each 5pt is ~RMB0.75bn of FCFE). RMB238m of perpetual coupons are senior to ordinary dividends.; Governance and currency: municipal-SASAC-linked control, policy Sannong/inclusive-finance lending quotas, payout set by policy (30.05% three years running) and no buyback lever; RMB flows against an HKD quote so a 10% RMB move is a 10% move in the HKD value; the 10% H-share dividend withholding tax is not modelled.; Sell-side: UBS HKD 8.35 target (Mar 2026) sits between this base case and the weighted value; the gap to the base case is the model's assumption that RWA growth decelerates fast enough for CET1 to hold at 11.5% without a raise.</t>
  </si>
  <si>
    <t xml:space="preserve">Data sources</t>
  </si>
  <si>
    <t xml:space="preserve">price: Yahoo Finance chart API (3618.HK, HKD) at inputs.price_as_of; 52-week range 5.62-7.30. FX CNYHKD=X, USDCNY=X, USDHKD=X and 601077.SS from the same API on the same date.
financials: 3618.HK_Metrics.csv / metrics_normalized (FY2016-FY2025 annual, H1 2022-H1 2026 interim, Q1/Q3 quarterlies, RMB millions) built from the HKEX annual and interim reports in Extracted/; kpis table for NIM, NPL, coverage, CET1/Tier1/CAR, ROE, ROA, cost-to-income, deposits, dividends paid, NCI profit, PBT, BVPS. FY2025 annual report: capital adequacy table (RWA 1,034,810.7, net CET1 131,118.9, lines 2609-2664), income statement (operating income 28,620.0, impairment 5,444.1, tax 1,289.4, NCI 291.6), dividend section (lines 6640-6668), perpetual bonds (note 35, 4.00%/3.90% on RMB6.0bn, coupons 238m line 12424), weighted shares 11,357,000 thousand (line 12390), outlook XI (line 4663). H1 2026 interim: capital table (CET1 12.33%, RWA 1,143,036.6, lines 4196-4236), income statement (operating income 15,881.8 line 386, impairment 1,993.0 line 6063, PBT 9,889.4, NCI 175.1), dividends and 30.05% payout table (lines 4972-5005), share count 11,357,000,000 (line 5473), NIM outlook (line 3206), Outlook VII (line 4350), Capital Planning 2026-2028 (line 4187).
qualitative: 3618.HK_Analysis.json (2026-10-22), read before the drivers were set: single-city concentration, NIM 2.74% -&gt; 1.60%, CET1 decline, payout &gt;=30%, property/LGFV exposure, rural-bank consolidation wave, UBS HKD 8.35 target, CSI 300 / MSCI China H inclusion. It confirmed the drivers without moving any path.</t>
  </si>
  <si>
    <t xml:space="preserve">Scenario narrative: bear</t>
  </si>
  <si>
    <t xml:space="preserve">A Chongqing property/LGFV credit-cost cycle takes impairment back to the FY2021 level while NIM compresses toward 1.4%; profit falls ~25%; RWA keeps growing on policy lending and CET1 is held at 12.0%, so FCFE is negative in FY2027 and below the dividend until FY2030. Either the dividend is cut or a discounted A-share placement dilutes; terminal ROE ~5.8%.</t>
  </si>
  <si>
    <t xml:space="preserve">Scenario narrative: base</t>
  </si>
  <si>
    <t xml:space="preserve">NIM stabilises at ~1.6%, credit cost normalises modestly from the FY2025 low, operating income grows 5% fading to 3% and RWA growth slows from 8% to 3%. CET1 settles at 11.5% (from 12.33% at H1 2026). FCFE is ~RMB6bn in FY2027, dips to ~4bn in FY2028 while RWA growth is still 6% (below the ~3.9bn dividend only briefly), then rises to ~10.5bn by FY2036; terminal ROE ~7.9%, terminal P/B ~0.65x.</t>
  </si>
  <si>
    <t xml:space="preserve">Scenario narrative: bull</t>
  </si>
  <si>
    <t xml:space="preserve">The H1 2026 margin uptick holds, Chongqing's manufacturing-cluster lending delivers growth without credit losses, cost-to-income falls to ~29%, RWA growth slows to 3.5% and CET1 is run down to 11.0%. FCFE ~RMB6-7bn in FY2027 rising to ~15bn by FY2036; terminal ROE ~9.6%; payout can rise above 30%.</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</si>
  <si>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</si>
  <si>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</si>
  <si>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</si>
  <si>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</si>
  <si>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</si>
  <si>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</si>
  <si>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</si>
  <si>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</si>
  <si>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</si>
  <si>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</si>
  <si>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</si>
  <si>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</si>
  <si>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</si>
  <si>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</si>
  <si>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</si>
  <si>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</si>
  <si>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</si>
  <si>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</si>
  <si>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</si>
  <si>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</si>
  <si>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</si>
  <si>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</si>
  <si>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</si>
  <si>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</si>
  <si>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</si>
  <si>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</si>
  <si>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</si>
  <si>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BookValuePerShare</t>
  </si>
  <si>
    <t xml:space="preserve">CET1Ratio</t>
  </si>
  <si>
    <t xml:space="preserve">CostToIncomeRatio</t>
  </si>
  <si>
    <t xml:space="preserve">CustomerDeposits</t>
  </si>
  <si>
    <t xml:space="preserve">NIM</t>
  </si>
  <si>
    <t xml:space="preserve">NPLRatio</t>
  </si>
  <si>
    <t xml:space="preserve">NetFeeAndCommissionIncome</t>
  </si>
  <si>
    <t xml:space="preserve">NetIncomeInclNCI</t>
  </si>
  <si>
    <t xml:space="preserve">NetInterestIncome</t>
  </si>
  <si>
    <t xml:space="preserve">NetInterestSpread</t>
  </si>
  <si>
    <t xml:space="preserve">ProvisionCoverage</t>
  </si>
  <si>
    <t xml:space="preserve">ROA</t>
  </si>
  <si>
    <t xml:space="preserve">ROE</t>
  </si>
  <si>
    <t xml:space="preserve">Tier1Ratio</t>
  </si>
  <si>
    <t xml:space="preserve">TotalCapitalRatio</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</si>
  <si>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</si>
  <si>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</si>
  <si>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</si>
  <si>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</si>
  <si>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</si>
  <si>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</si>
  <si>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</si>
  <si>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</si>
  <si>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</si>
  <si>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</si>
  <si>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</si>
  <si>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</si>
  <si>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</si>
  <si>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</si>
  <si>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</si>
  <si>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</si>
  <si>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</si>
  <si>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</si>
  <si>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</si>
  <si>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 (year ending 2026-12-31, unreported: H1 2026 actual + H2 estimate)</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</si>
  <si>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</si>
  <si>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</si>
  <si>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</si>
  <si>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</si>
  <si>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</si>
  <si>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</si>
  <si>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</si>
  <si>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</si>
  <si>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</si>
  <si>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</si>
  <si>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</si>
  <si>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</si>
  <si>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</si>
  <si>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</si>
  <si>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</si>
  <si>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</si>
  <si>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</si>
  <si>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</si>
  <si>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</si>
  <si>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</si>
  <si>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</si>
  <si>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</si>
  <si>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</si>
  <si>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</si>
  <si>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</si>
  <si>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</si>
  <si>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</si>
  <si>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</si>
  <si>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3618.HK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</si>
  <si>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</si>
  <si>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</si>
  <si>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</si>
  <si>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</si>
  <si>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</si>
  <si>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</si>
  <si>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</si>
  <si>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</si>
  <si>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</si>
  <si>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</si>
  <si>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</si>
  <si>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</si>
  <si>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</si>
  <si>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</si>
  <si>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</si>
  <si>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</si>
  <si>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</si>
  <si>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</si>
  <si>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</si>
  <si>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</si>
  <si>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</si>
  <si>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</si>
  <si>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</si>
  <si>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</si>
  <si>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</si>
  <si>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</si>
  <si>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</si>
  <si>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</si>
  <si>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</si>
  <si>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</si>
  <si>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3618.HK owner-FCF component DCF: base case (millions, CNY)</t>
  </si>
  <si>
    <t xml:space="preserve">3618.HK owner-FCF component DCF: bull case (millions, CNY)</t>
  </si>
  <si>
    <t xml:space="preserve">3618.HK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</si>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</sst>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6.405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c r="AK1" s="2" t="s">
        <v>72</v>
      </c>
      <c r="AL1" s="2" t="s">
        <v>73</v>
      </c>
      <c r="AM1" s="2" t="s">
        <v>74</v>
      </c>
      <c r="AN1" s="2" t="s">
        <v>75</v>
      </c>
      <c r="AO1" s="2" t="s">
        <v>76</v>
      </c>
      <c r="AP1" s="2" t="s">
        <v>77</v>
      </c>
      <c r="AQ1" s="2" t="s">
        <v>78</v>
      </c>
    </row>
    <row r="2" customFormat="false" ht="15" hidden="false" customHeight="false" outlineLevel="0" collapsed="false">
      <c r="A2" s="0" t="s">
        <v>79</v>
      </c>
      <c r="B2" s="0" t="n">
        <v>21661.7</v>
      </c>
      <c r="F2" s="0" t="n">
        <v>10644.8</v>
      </c>
      <c r="G2" s="0" t="n">
        <v>49.1</v>
      </c>
      <c r="I2" s="0" t="n">
        <v>7944.7</v>
      </c>
      <c r="J2" s="0" t="n">
        <v>36.7</v>
      </c>
      <c r="K2" s="0" t="n">
        <v>0.85</v>
      </c>
      <c r="O2" s="0" t="n">
        <v>52593.2</v>
      </c>
      <c r="P2" s="0" t="n">
        <v>803157.7</v>
      </c>
      <c r="Q2" s="0" t="n">
        <v>748967.9</v>
      </c>
      <c r="T2" s="0" t="n">
        <v>9300</v>
      </c>
      <c r="AA2" s="0" t="s">
        <v>18</v>
      </c>
      <c r="AB2" s="0" t="s">
        <v>14</v>
      </c>
      <c r="AC2" s="0" t="n">
        <v>5.66</v>
      </c>
      <c r="AD2" s="0" t="n">
        <v>9.85</v>
      </c>
      <c r="AE2" s="0" t="n">
        <v>35.95</v>
      </c>
      <c r="AF2" s="0" t="n">
        <v>518185.9</v>
      </c>
      <c r="AG2" s="0" t="n">
        <v>2.74</v>
      </c>
      <c r="AH2" s="0" t="n">
        <v>0.96</v>
      </c>
      <c r="AI2" s="0" t="n">
        <v>2118.4</v>
      </c>
      <c r="AJ2" s="0" t="n">
        <v>8001.3</v>
      </c>
      <c r="AK2" s="0" t="n">
        <v>19404.7</v>
      </c>
      <c r="AL2" s="0" t="n">
        <v>2.57</v>
      </c>
      <c r="AM2" s="0" t="n">
        <v>428.37</v>
      </c>
      <c r="AN2" s="0" t="n">
        <v>1.05</v>
      </c>
      <c r="AO2" s="0" t="n">
        <v>15.99</v>
      </c>
      <c r="AP2" s="0" t="n">
        <v>9.86</v>
      </c>
      <c r="AQ2" s="0" t="n">
        <v>12.7</v>
      </c>
    </row>
    <row r="3" customFormat="false" ht="15" hidden="false" customHeight="false" outlineLevel="0" collapsed="false">
      <c r="A3" s="0" t="s">
        <v>80</v>
      </c>
      <c r="B3" s="0" t="n">
        <v>23970</v>
      </c>
      <c r="F3" s="0" t="n">
        <v>11959.8</v>
      </c>
      <c r="G3" s="0" t="n">
        <v>49.9</v>
      </c>
      <c r="I3" s="0" t="n">
        <v>8936</v>
      </c>
      <c r="J3" s="0" t="n">
        <v>37.3</v>
      </c>
      <c r="K3" s="0" t="n">
        <v>0.94</v>
      </c>
      <c r="M3" s="0" t="n">
        <v>786.196</v>
      </c>
      <c r="O3" s="0" t="n">
        <v>63688.7</v>
      </c>
      <c r="P3" s="0" t="n">
        <v>905778.1</v>
      </c>
      <c r="Q3" s="0" t="n">
        <v>840532.4</v>
      </c>
      <c r="T3" s="0" t="n">
        <v>10000</v>
      </c>
      <c r="AA3" s="0" t="s">
        <v>18</v>
      </c>
      <c r="AB3" s="0" t="s">
        <v>14</v>
      </c>
      <c r="AC3" s="0" t="n">
        <v>6.37</v>
      </c>
      <c r="AD3" s="0" t="n">
        <v>10.39</v>
      </c>
      <c r="AE3" s="0" t="n">
        <v>33.96</v>
      </c>
      <c r="AF3" s="0" t="n">
        <v>572184.3</v>
      </c>
      <c r="AG3" s="0" t="n">
        <v>2.62</v>
      </c>
      <c r="AH3" s="0" t="n">
        <v>0.98</v>
      </c>
      <c r="AI3" s="0" t="n">
        <v>2295.6</v>
      </c>
      <c r="AJ3" s="0" t="n">
        <v>9008.4</v>
      </c>
      <c r="AK3" s="0" t="n">
        <v>21500.7</v>
      </c>
      <c r="AL3" s="0" t="n">
        <v>2.44</v>
      </c>
      <c r="AM3" s="0" t="n">
        <v>431.24</v>
      </c>
      <c r="AN3" s="0" t="n">
        <v>1.05</v>
      </c>
      <c r="AO3" s="0" t="n">
        <v>15.61</v>
      </c>
      <c r="AP3" s="0" t="n">
        <v>10.4</v>
      </c>
      <c r="AQ3" s="0" t="n">
        <v>13.03</v>
      </c>
    </row>
    <row r="4" customFormat="false" ht="15" hidden="false" customHeight="false" outlineLevel="0" collapsed="false">
      <c r="A4" s="0" t="s">
        <v>81</v>
      </c>
      <c r="B4" s="0" t="n">
        <v>26133</v>
      </c>
      <c r="F4" s="0" t="n">
        <v>11772</v>
      </c>
      <c r="G4" s="0" t="n">
        <v>45</v>
      </c>
      <c r="I4" s="0" t="n">
        <v>9058.2</v>
      </c>
      <c r="J4" s="0" t="n">
        <v>34.7</v>
      </c>
      <c r="K4" s="0" t="n">
        <v>0.91</v>
      </c>
      <c r="L4" s="0" t="n">
        <v>-81223.277</v>
      </c>
      <c r="M4" s="0" t="n">
        <v>591.265</v>
      </c>
      <c r="O4" s="0" t="n">
        <v>70748.2</v>
      </c>
      <c r="P4" s="0" t="n">
        <v>950618</v>
      </c>
      <c r="Q4" s="0" t="n">
        <v>878469.2</v>
      </c>
      <c r="S4" s="0" t="n">
        <v>34637.437</v>
      </c>
      <c r="T4" s="0" t="n">
        <v>10000</v>
      </c>
      <c r="AA4" s="0" t="s">
        <v>18</v>
      </c>
      <c r="AB4" s="0" t="s">
        <v>14</v>
      </c>
      <c r="AC4" s="0" t="n">
        <v>7.07</v>
      </c>
      <c r="AD4" s="0" t="n">
        <v>10.95</v>
      </c>
      <c r="AE4" s="0" t="n">
        <v>30.31</v>
      </c>
      <c r="AF4" s="0" t="n">
        <v>616166.2</v>
      </c>
      <c r="AG4" s="0" t="n">
        <v>2.45</v>
      </c>
      <c r="AH4" s="0" t="n">
        <v>1.29</v>
      </c>
      <c r="AI4" s="0" t="n">
        <v>2065.8</v>
      </c>
      <c r="AJ4" s="0" t="n">
        <v>9164</v>
      </c>
      <c r="AK4" s="0" t="n">
        <v>20013.9</v>
      </c>
      <c r="AL4" s="0" t="n">
        <v>2.4</v>
      </c>
      <c r="AM4" s="0" t="n">
        <v>347.79</v>
      </c>
      <c r="AN4" s="0" t="n">
        <v>0.99</v>
      </c>
      <c r="AO4" s="0" t="n">
        <v>13.47</v>
      </c>
      <c r="AP4" s="0" t="n">
        <v>10.96</v>
      </c>
      <c r="AQ4" s="0" t="n">
        <v>13.52</v>
      </c>
    </row>
    <row r="5" customFormat="false" ht="15" hidden="false" customHeight="false" outlineLevel="0" collapsed="false">
      <c r="A5" s="0" t="s">
        <v>82</v>
      </c>
      <c r="B5" s="0" t="n">
        <v>26642.4</v>
      </c>
      <c r="F5" s="0" t="n">
        <v>12233</v>
      </c>
      <c r="G5" s="0" t="n">
        <v>45.9</v>
      </c>
      <c r="I5" s="0" t="n">
        <v>9759.9</v>
      </c>
      <c r="J5" s="0" t="n">
        <v>36.6</v>
      </c>
      <c r="K5" s="0" t="n">
        <v>0.95</v>
      </c>
      <c r="L5" s="0" t="n">
        <v>23851.259</v>
      </c>
      <c r="M5" s="0" t="n">
        <v>837.524</v>
      </c>
      <c r="O5" s="0" t="n">
        <v>88213.5</v>
      </c>
      <c r="P5" s="0" t="n">
        <v>1030230.2</v>
      </c>
      <c r="Q5" s="0" t="n">
        <v>940427.9</v>
      </c>
      <c r="S5" s="0" t="n">
        <v>20533.23</v>
      </c>
      <c r="T5" s="0" t="n">
        <v>11357</v>
      </c>
      <c r="AA5" s="0" t="s">
        <v>18</v>
      </c>
      <c r="AB5" s="0" t="s">
        <v>14</v>
      </c>
      <c r="AC5" s="0" t="n">
        <v>7.77</v>
      </c>
      <c r="AD5" s="0" t="n">
        <v>12.42</v>
      </c>
      <c r="AE5" s="0" t="n">
        <v>28.52</v>
      </c>
      <c r="AF5" s="0" t="n">
        <v>673401.8</v>
      </c>
      <c r="AG5" s="0" t="n">
        <v>2.33</v>
      </c>
      <c r="AH5" s="0" t="n">
        <v>1.25</v>
      </c>
      <c r="AI5" s="0" t="n">
        <v>2239</v>
      </c>
      <c r="AJ5" s="0" t="n">
        <v>9988.1</v>
      </c>
      <c r="AK5" s="0" t="n">
        <v>23373.7</v>
      </c>
      <c r="AL5" s="0" t="n">
        <v>2.17</v>
      </c>
      <c r="AM5" s="0" t="n">
        <v>380.31</v>
      </c>
      <c r="AN5" s="0" t="n">
        <v>1.01</v>
      </c>
      <c r="AO5" s="0" t="n">
        <v>12.75</v>
      </c>
      <c r="AP5" s="0" t="n">
        <v>12.44</v>
      </c>
      <c r="AQ5" s="0" t="n">
        <v>14.88</v>
      </c>
    </row>
    <row r="6" customFormat="false" ht="15" hidden="false" customHeight="false" outlineLevel="0" collapsed="false">
      <c r="A6" s="0" t="s">
        <v>83</v>
      </c>
      <c r="B6" s="0" t="n">
        <v>28181.9</v>
      </c>
      <c r="F6" s="0" t="n">
        <v>10062.8</v>
      </c>
      <c r="G6" s="0" t="n">
        <v>35.7</v>
      </c>
      <c r="I6" s="0" t="n">
        <v>8401.2</v>
      </c>
      <c r="J6" s="0" t="n">
        <v>29.8</v>
      </c>
      <c r="K6" s="0" t="n">
        <v>0.74</v>
      </c>
      <c r="L6" s="0" t="n">
        <v>42370.28</v>
      </c>
      <c r="M6" s="0" t="n">
        <v>790.128</v>
      </c>
      <c r="O6" s="0" t="n">
        <v>93668.7</v>
      </c>
      <c r="P6" s="0" t="n">
        <v>1136366.6</v>
      </c>
      <c r="Q6" s="0" t="n">
        <v>1041294.4</v>
      </c>
      <c r="S6" s="0" t="n">
        <v>19268.138</v>
      </c>
      <c r="T6" s="0" t="n">
        <v>11357</v>
      </c>
      <c r="AA6" s="0" t="s">
        <v>18</v>
      </c>
      <c r="AB6" s="0" t="s">
        <v>14</v>
      </c>
      <c r="AC6" s="0" t="n">
        <v>8.25</v>
      </c>
      <c r="AD6" s="0" t="n">
        <v>11.96</v>
      </c>
      <c r="AE6" s="0" t="n">
        <v>27.09</v>
      </c>
      <c r="AF6" s="0" t="n">
        <v>724999.8</v>
      </c>
      <c r="AG6" s="0" t="n">
        <v>2.25</v>
      </c>
      <c r="AH6" s="0" t="n">
        <v>1.31</v>
      </c>
      <c r="AI6" s="0" t="n">
        <v>2902.9</v>
      </c>
      <c r="AJ6" s="0" t="n">
        <v>8564.8</v>
      </c>
      <c r="AK6" s="0" t="n">
        <v>24248.9</v>
      </c>
      <c r="AL6" s="0" t="n">
        <v>2.08</v>
      </c>
      <c r="AM6" s="0" t="n">
        <v>314.95</v>
      </c>
      <c r="AN6" s="0" t="n">
        <v>0.79</v>
      </c>
      <c r="AO6" s="0" t="n">
        <v>9.24</v>
      </c>
      <c r="AP6" s="0" t="n">
        <v>11.97</v>
      </c>
      <c r="AQ6" s="0" t="n">
        <v>14.28</v>
      </c>
    </row>
    <row r="7" customFormat="false" ht="15" hidden="false" customHeight="false" outlineLevel="0" collapsed="false">
      <c r="A7" s="0" t="s">
        <v>84</v>
      </c>
      <c r="B7" s="0" t="n">
        <v>30849.6</v>
      </c>
      <c r="F7" s="0" t="n">
        <v>11200.6</v>
      </c>
      <c r="G7" s="0" t="n">
        <v>36.3</v>
      </c>
      <c r="I7" s="0" t="n">
        <v>9559.7</v>
      </c>
      <c r="J7" s="0" t="n">
        <v>31</v>
      </c>
      <c r="K7" s="0" t="n">
        <v>0.84</v>
      </c>
      <c r="L7" s="0" t="n">
        <v>41228.845</v>
      </c>
      <c r="M7" s="0" t="n">
        <v>880.675</v>
      </c>
      <c r="O7" s="0" t="n">
        <v>104952.8</v>
      </c>
      <c r="P7" s="0" t="n">
        <v>1266291.2</v>
      </c>
      <c r="Q7" s="0" t="n">
        <v>1159807.1</v>
      </c>
      <c r="S7" s="0" t="n">
        <v>35785.425</v>
      </c>
      <c r="T7" s="0" t="n">
        <v>11357</v>
      </c>
      <c r="AA7" s="0" t="s">
        <v>18</v>
      </c>
      <c r="AB7" s="0" t="s">
        <v>14</v>
      </c>
      <c r="AC7" s="0" t="n">
        <v>8.89</v>
      </c>
      <c r="AD7" s="0" t="n">
        <v>12.47</v>
      </c>
      <c r="AE7" s="0" t="n">
        <v>27.51</v>
      </c>
      <c r="AF7" s="0" t="n">
        <v>759360.2</v>
      </c>
      <c r="AG7" s="0" t="n">
        <v>2.17</v>
      </c>
      <c r="AH7" s="0" t="n">
        <v>1.25</v>
      </c>
      <c r="AI7" s="0" t="n">
        <v>2724.2</v>
      </c>
      <c r="AJ7" s="0" t="n">
        <v>9718.4</v>
      </c>
      <c r="AK7" s="0" t="n">
        <v>26234.8</v>
      </c>
      <c r="AL7" s="0" t="n">
        <v>2.01</v>
      </c>
      <c r="AM7" s="0" t="n">
        <v>340.25</v>
      </c>
      <c r="AN7" s="0" t="n">
        <v>0.81</v>
      </c>
      <c r="AO7" s="0" t="n">
        <v>9.82</v>
      </c>
      <c r="AP7" s="0" t="n">
        <v>12.98</v>
      </c>
      <c r="AQ7" s="0" t="n">
        <v>14.77</v>
      </c>
    </row>
    <row r="8" customFormat="false" ht="15" hidden="false" customHeight="false" outlineLevel="0" collapsed="false">
      <c r="A8" s="0" t="s">
        <v>85</v>
      </c>
      <c r="B8" s="0" t="n">
        <v>28941.3</v>
      </c>
      <c r="F8" s="0" t="n">
        <v>11560</v>
      </c>
      <c r="G8" s="0" t="n">
        <v>39.9</v>
      </c>
      <c r="I8" s="0" t="n">
        <v>10275.6</v>
      </c>
      <c r="J8" s="0" t="n">
        <v>35.5</v>
      </c>
      <c r="K8" s="0" t="n">
        <v>0.89</v>
      </c>
      <c r="L8" s="0" t="n">
        <v>70901.171</v>
      </c>
      <c r="M8" s="0" t="n">
        <v>610.866</v>
      </c>
      <c r="O8" s="0" t="n">
        <v>113723.5</v>
      </c>
      <c r="P8" s="0" t="n">
        <v>1352301.2</v>
      </c>
      <c r="Q8" s="0" t="n">
        <v>1236844.9</v>
      </c>
      <c r="S8" s="0" t="n">
        <v>31518.342</v>
      </c>
      <c r="T8" s="0" t="n">
        <v>11357</v>
      </c>
      <c r="AA8" s="0" t="s">
        <v>18</v>
      </c>
      <c r="AB8" s="0" t="s">
        <v>14</v>
      </c>
      <c r="AC8" s="0" t="n">
        <v>9.49</v>
      </c>
      <c r="AD8" s="0" t="n">
        <v>13.1</v>
      </c>
      <c r="AE8" s="0" t="n">
        <v>31.9</v>
      </c>
      <c r="AF8" s="0" t="n">
        <v>824946.8</v>
      </c>
      <c r="AG8" s="0" t="n">
        <v>1.97</v>
      </c>
      <c r="AH8" s="0" t="n">
        <v>1.22</v>
      </c>
      <c r="AI8" s="0" t="n">
        <v>1913.2</v>
      </c>
      <c r="AJ8" s="0" t="n">
        <v>10477.8</v>
      </c>
      <c r="AK8" s="0" t="n">
        <v>25404.2</v>
      </c>
      <c r="AL8" s="0" t="n">
        <v>1.84</v>
      </c>
      <c r="AM8" s="0" t="n">
        <v>357.74</v>
      </c>
      <c r="AN8" s="0" t="n">
        <v>0.8</v>
      </c>
      <c r="AO8" s="0" t="n">
        <v>9.72</v>
      </c>
      <c r="AP8" s="0" t="n">
        <v>13.84</v>
      </c>
      <c r="AQ8" s="0" t="n">
        <v>15.62</v>
      </c>
    </row>
    <row r="9" customFormat="false" ht="15" hidden="false" customHeight="false" outlineLevel="0" collapsed="false">
      <c r="A9" s="0" t="s">
        <v>86</v>
      </c>
      <c r="B9" s="0" t="n">
        <v>27957.2</v>
      </c>
      <c r="F9" s="0" t="n">
        <v>12195.9</v>
      </c>
      <c r="G9" s="0" t="n">
        <v>43.6</v>
      </c>
      <c r="I9" s="0" t="n">
        <v>10902.4</v>
      </c>
      <c r="J9" s="0" t="n">
        <v>39</v>
      </c>
      <c r="K9" s="0" t="n">
        <v>0.94</v>
      </c>
      <c r="L9" s="0" t="n">
        <v>39459.381</v>
      </c>
      <c r="M9" s="0" t="n">
        <v>1036.331</v>
      </c>
      <c r="O9" s="0" t="n">
        <v>122173.8</v>
      </c>
      <c r="P9" s="0" t="n">
        <v>1441522.1</v>
      </c>
      <c r="Q9" s="0" t="n">
        <v>1317580.3</v>
      </c>
      <c r="S9" s="0" t="n">
        <v>43210.418</v>
      </c>
      <c r="T9" s="0" t="n">
        <v>11357</v>
      </c>
      <c r="AA9" s="0" t="s">
        <v>18</v>
      </c>
      <c r="AB9" s="0" t="s">
        <v>14</v>
      </c>
      <c r="AC9" s="0" t="n">
        <v>10.23</v>
      </c>
      <c r="AD9" s="0" t="n">
        <v>13.53</v>
      </c>
      <c r="AE9" s="0" t="n">
        <v>33.94</v>
      </c>
      <c r="AF9" s="0" t="n">
        <v>896202.2</v>
      </c>
      <c r="AG9" s="0" t="n">
        <v>1.73</v>
      </c>
      <c r="AH9" s="0" t="n">
        <v>1.19</v>
      </c>
      <c r="AI9" s="0" t="n">
        <v>1791.3</v>
      </c>
      <c r="AJ9" s="0" t="n">
        <v>11125.2</v>
      </c>
      <c r="AK9" s="0" t="n">
        <v>23493.1</v>
      </c>
      <c r="AL9" s="0" t="n">
        <v>1.64</v>
      </c>
      <c r="AM9" s="0" t="n">
        <v>366.7</v>
      </c>
      <c r="AN9" s="0" t="n">
        <v>0.8</v>
      </c>
      <c r="AO9" s="0" t="n">
        <v>9.55</v>
      </c>
      <c r="AP9" s="0" t="n">
        <v>14.24</v>
      </c>
      <c r="AQ9" s="0" t="n">
        <v>15.99</v>
      </c>
    </row>
    <row r="10" customFormat="false" ht="15" hidden="false" customHeight="false" outlineLevel="0" collapsed="false">
      <c r="A10" s="0" t="s">
        <v>87</v>
      </c>
      <c r="B10" s="0" t="n">
        <v>28231.3</v>
      </c>
      <c r="F10" s="0" t="n">
        <v>12817.4</v>
      </c>
      <c r="G10" s="0" t="n">
        <v>45.4</v>
      </c>
      <c r="I10" s="0" t="n">
        <v>11512.7</v>
      </c>
      <c r="J10" s="0" t="n">
        <v>40.8</v>
      </c>
      <c r="K10" s="0" t="n">
        <v>0.99</v>
      </c>
      <c r="L10" s="0" t="n">
        <v>4597.485</v>
      </c>
      <c r="M10" s="0" t="n">
        <v>490.214</v>
      </c>
      <c r="O10" s="0" t="n">
        <v>132133.7</v>
      </c>
      <c r="P10" s="0" t="n">
        <v>1515381.8</v>
      </c>
      <c r="Q10" s="0" t="n">
        <v>1381332.9</v>
      </c>
      <c r="S10" s="0" t="n">
        <v>39978.403</v>
      </c>
      <c r="T10" s="0" t="n">
        <v>11357</v>
      </c>
      <c r="AA10" s="0" t="s">
        <v>18</v>
      </c>
      <c r="AB10" s="0" t="s">
        <v>14</v>
      </c>
      <c r="AC10" s="0" t="n">
        <v>11.11</v>
      </c>
      <c r="AD10" s="0" t="n">
        <v>14.24</v>
      </c>
      <c r="AE10" s="0" t="n">
        <v>31.9</v>
      </c>
      <c r="AF10" s="0" t="n">
        <v>941946.2</v>
      </c>
      <c r="AG10" s="0" t="n">
        <v>1.61</v>
      </c>
      <c r="AH10" s="0" t="n">
        <v>1.18</v>
      </c>
      <c r="AI10" s="0" t="n">
        <v>1612.1</v>
      </c>
      <c r="AJ10" s="0" t="n">
        <v>11789.1</v>
      </c>
      <c r="AK10" s="0" t="n">
        <v>22494.5</v>
      </c>
      <c r="AL10" s="0" t="n">
        <v>1.51</v>
      </c>
      <c r="AM10" s="0" t="n">
        <v>363.44</v>
      </c>
      <c r="AN10" s="0" t="n">
        <v>0.8</v>
      </c>
      <c r="AO10" s="0" t="n">
        <v>9.24</v>
      </c>
      <c r="AP10" s="0" t="n">
        <v>14.93</v>
      </c>
      <c r="AQ10" s="0" t="n">
        <v>16.12</v>
      </c>
    </row>
    <row r="11" customFormat="false" ht="15" hidden="false" customHeight="false" outlineLevel="0" collapsed="false">
      <c r="A11" s="0" t="s">
        <v>88</v>
      </c>
      <c r="B11" s="0" t="n">
        <v>28620</v>
      </c>
      <c r="F11" s="0" t="n">
        <v>13709.4</v>
      </c>
      <c r="G11" s="0" t="n">
        <v>47.9</v>
      </c>
      <c r="I11" s="0" t="n">
        <v>12128.4</v>
      </c>
      <c r="J11" s="0" t="n">
        <v>42.4</v>
      </c>
      <c r="K11" s="0" t="n">
        <v>1.05</v>
      </c>
      <c r="L11" s="0" t="n">
        <v>372.335</v>
      </c>
      <c r="M11" s="0" t="n">
        <v>1732.313</v>
      </c>
      <c r="O11" s="0" t="n">
        <v>137566.8</v>
      </c>
      <c r="P11" s="0" t="n">
        <v>1666184.2</v>
      </c>
      <c r="Q11" s="0" t="n">
        <v>1526448.3</v>
      </c>
      <c r="S11" s="0" t="n">
        <v>52248.085</v>
      </c>
      <c r="T11" s="0" t="n">
        <v>11357</v>
      </c>
      <c r="AA11" s="0" t="s">
        <v>18</v>
      </c>
      <c r="AB11" s="0" t="s">
        <v>14</v>
      </c>
      <c r="AC11" s="0" t="n">
        <v>11.58</v>
      </c>
      <c r="AD11" s="0" t="n">
        <v>12.67</v>
      </c>
      <c r="AE11" s="0" t="n">
        <v>31.25</v>
      </c>
      <c r="AF11" s="0" t="n">
        <v>1028727.5</v>
      </c>
      <c r="AG11" s="0" t="n">
        <v>1.6</v>
      </c>
      <c r="AH11" s="0" t="n">
        <v>1.08</v>
      </c>
      <c r="AI11" s="0" t="n">
        <v>1294.4</v>
      </c>
      <c r="AJ11" s="0" t="n">
        <v>12420</v>
      </c>
      <c r="AK11" s="0" t="n">
        <v>24260.7</v>
      </c>
      <c r="AL11" s="0" t="n">
        <v>1.51</v>
      </c>
      <c r="AM11" s="0" t="n">
        <v>367.26</v>
      </c>
      <c r="AN11" s="0" t="n">
        <v>0.78</v>
      </c>
      <c r="AO11" s="0" t="n">
        <v>9.15</v>
      </c>
      <c r="AP11" s="0" t="n">
        <v>13.27</v>
      </c>
      <c r="AQ11" s="0" t="n">
        <v>14.46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89</v>
      </c>
      <c r="B1" s="2" t="s">
        <v>90</v>
      </c>
    </row>
    <row r="2" customFormat="false" ht="15" hidden="false" customHeight="false" outlineLevel="0" collapsed="false">
      <c r="A2" s="0" t="s">
        <v>91</v>
      </c>
      <c r="B2" s="3" t="n">
        <v>6.405</v>
      </c>
    </row>
    <row r="3" customFormat="false" ht="15" hidden="false" customHeight="false" outlineLevel="0" collapsed="false">
      <c r="A3" s="0" t="s">
        <v>92</v>
      </c>
      <c r="B3" s="3" t="n">
        <v>11357</v>
      </c>
    </row>
    <row r="4" customFormat="false" ht="15" hidden="false" customHeight="false" outlineLevel="0" collapsed="false">
      <c r="A4" s="0" t="s">
        <v>93</v>
      </c>
      <c r="B4" s="3" t="n">
        <v>0</v>
      </c>
    </row>
    <row r="5" customFormat="false" ht="15" hidden="false" customHeight="false" outlineLevel="0" collapsed="false">
      <c r="A5" s="0" t="s">
        <v>94</v>
      </c>
      <c r="B5" s="3" t="n">
        <v>0</v>
      </c>
    </row>
    <row r="6" customFormat="false" ht="15" hidden="false" customHeight="false" outlineLevel="0" collapsed="false">
      <c r="A6" s="0" t="s">
        <v>95</v>
      </c>
      <c r="B6" s="3" t="n">
        <v>15</v>
      </c>
    </row>
    <row r="7" customFormat="false" ht="15" hidden="false" customHeight="false" outlineLevel="0" collapsed="false">
      <c r="A7" s="0" t="s">
        <v>96</v>
      </c>
      <c r="B7" s="3" t="n">
        <v>30460</v>
      </c>
    </row>
    <row r="8" customFormat="false" ht="15" hidden="false" customHeight="false" outlineLevel="0" collapsed="false">
      <c r="A8" s="0" t="s">
        <v>97</v>
      </c>
      <c r="B8" s="3" t="s">
        <v>98</v>
      </c>
    </row>
    <row r="9" customFormat="false" ht="15" hidden="false" customHeight="false" outlineLevel="0" collapsed="false">
      <c r="A9" s="0" t="s">
        <v>99</v>
      </c>
      <c r="B9" s="3" t="s">
        <v>100</v>
      </c>
    </row>
    <row r="10" customFormat="false" ht="15" hidden="false" customHeight="false" outlineLevel="0" collapsed="false">
      <c r="A10" s="0" t="s">
        <v>101</v>
      </c>
      <c r="B10" s="3" t="n">
        <v>1.1738</v>
      </c>
    </row>
    <row r="12" customFormat="false" ht="15" hidden="false" customHeight="false" outlineLevel="0" collapsed="false">
      <c r="A12" s="2" t="s">
        <v>102</v>
      </c>
      <c r="C12" s="2" t="s">
        <v>103</v>
      </c>
      <c r="D12" s="2" t="s">
        <v>104</v>
      </c>
      <c r="E12" s="2" t="s">
        <v>105</v>
      </c>
      <c r="F12" s="2" t="s">
        <v>106</v>
      </c>
      <c r="G12" s="2" t="s">
        <v>107</v>
      </c>
      <c r="H12" s="2" t="s">
        <v>108</v>
      </c>
      <c r="I12" s="2" t="s">
        <v>109</v>
      </c>
      <c r="J12" s="2" t="s">
        <v>110</v>
      </c>
      <c r="K12" s="2" t="s">
        <v>111</v>
      </c>
      <c r="L12" s="2" t="s">
        <v>112</v>
      </c>
    </row>
    <row r="13" customFormat="false" ht="15" hidden="false" customHeight="false" outlineLevel="0" collapsed="false">
      <c r="A13" s="0" t="s">
        <v>113</v>
      </c>
      <c r="C13" s="3" t="n">
        <v>1</v>
      </c>
      <c r="D13" s="3" t="n">
        <v>0</v>
      </c>
      <c r="E13" s="3" t="n">
        <v>0</v>
      </c>
      <c r="F13" s="3" t="n">
        <v>1</v>
      </c>
      <c r="G13" s="3" t="n">
        <v>1.5</v>
      </c>
      <c r="H13" s="3" t="n">
        <v>2</v>
      </c>
      <c r="I13" s="3" t="n">
        <v>2</v>
      </c>
      <c r="J13" s="3" t="n">
        <v>2</v>
      </c>
      <c r="K13" s="3" t="n">
        <v>2</v>
      </c>
      <c r="L13" s="3" t="n">
        <v>2</v>
      </c>
    </row>
    <row r="14" customFormat="false" ht="15" hidden="false" customHeight="false" outlineLevel="0" collapsed="false">
      <c r="A14" s="0" t="s">
        <v>114</v>
      </c>
      <c r="C14" s="3" t="n">
        <v>42</v>
      </c>
      <c r="D14" s="3" t="n">
        <v>38</v>
      </c>
      <c r="E14" s="3" t="n">
        <v>36</v>
      </c>
      <c r="F14" s="3" t="n">
        <v>38</v>
      </c>
      <c r="G14" s="3" t="n">
        <v>40</v>
      </c>
      <c r="H14" s="3" t="n">
        <v>41</v>
      </c>
      <c r="I14" s="3" t="n">
        <v>41</v>
      </c>
      <c r="J14" s="3" t="n">
        <v>41</v>
      </c>
      <c r="K14" s="3" t="n">
        <v>41</v>
      </c>
      <c r="L14" s="3" t="n">
        <v>41</v>
      </c>
    </row>
    <row r="15" customFormat="false" ht="15" hidden="false" customHeight="false" outlineLevel="0" collapsed="false">
      <c r="A15" s="0" t="s">
        <v>115</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116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117</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118</v>
      </c>
      <c r="C18" s="3" t="n">
        <v>36.82</v>
      </c>
      <c r="D18" s="3" t="n">
        <v>25.15</v>
      </c>
      <c r="E18" s="3" t="n">
        <v>21.12</v>
      </c>
      <c r="F18" s="3" t="n">
        <v>16.31</v>
      </c>
      <c r="G18" s="3" t="n">
        <v>16.55</v>
      </c>
      <c r="H18" s="3" t="n">
        <v>13.93</v>
      </c>
      <c r="I18" s="3" t="n">
        <v>14</v>
      </c>
      <c r="J18" s="3" t="n">
        <v>11.25</v>
      </c>
      <c r="K18" s="3" t="n">
        <v>11.25</v>
      </c>
      <c r="L18" s="3" t="n">
        <v>11.25</v>
      </c>
    </row>
    <row r="19" customFormat="false" ht="15" hidden="false" customHeight="false" outlineLevel="0" collapsed="false">
      <c r="A19" s="0" t="s">
        <v>119</v>
      </c>
      <c r="C19" s="3" t="n">
        <v>19</v>
      </c>
      <c r="D19" s="3" t="n">
        <v>19</v>
      </c>
      <c r="E19" s="3" t="n">
        <v>19</v>
      </c>
      <c r="F19" s="3" t="n">
        <v>19</v>
      </c>
      <c r="G19" s="3" t="n">
        <v>19</v>
      </c>
      <c r="H19" s="3" t="n">
        <v>19</v>
      </c>
      <c r="I19" s="3" t="n">
        <v>19</v>
      </c>
      <c r="J19" s="3" t="n">
        <v>19</v>
      </c>
      <c r="K19" s="3" t="n">
        <v>19</v>
      </c>
      <c r="L19" s="3" t="n">
        <v>19</v>
      </c>
    </row>
    <row r="20" customFormat="false" ht="15" hidden="false" customHeight="false" outlineLevel="0" collapsed="false">
      <c r="A20" s="0" t="s">
        <v>120</v>
      </c>
      <c r="B20" s="3" t="n">
        <v>10.5</v>
      </c>
    </row>
    <row r="21" customFormat="false" ht="15" hidden="false" customHeight="false" outlineLevel="0" collapsed="false">
      <c r="A21" s="0" t="s">
        <v>121</v>
      </c>
      <c r="B21" s="3" t="n">
        <v>2</v>
      </c>
    </row>
    <row r="22" customFormat="false" ht="15" hidden="false" customHeight="false" outlineLevel="0" collapsed="false">
      <c r="A22" s="0" t="s">
        <v>122</v>
      </c>
      <c r="B22" s="3" t="n">
        <v>18</v>
      </c>
    </row>
    <row r="23" customFormat="false" ht="15" hidden="false" customHeight="false" outlineLevel="0" collapsed="false">
      <c r="A23" s="0" t="s">
        <v>123</v>
      </c>
      <c r="B23" s="3" t="n">
        <v>0</v>
      </c>
    </row>
    <row r="24" customFormat="false" ht="15" hidden="false" customHeight="false" outlineLevel="0" collapsed="false">
      <c r="A24" s="0" t="s">
        <v>124</v>
      </c>
      <c r="B24" s="3" t="n">
        <v>0.3</v>
      </c>
    </row>
    <row r="26" customFormat="false" ht="15" hidden="false" customHeight="false" outlineLevel="0" collapsed="false">
      <c r="A26" s="2" t="s">
        <v>125</v>
      </c>
      <c r="C26" s="2" t="s">
        <v>103</v>
      </c>
      <c r="D26" s="2" t="s">
        <v>104</v>
      </c>
      <c r="E26" s="2" t="s">
        <v>105</v>
      </c>
      <c r="F26" s="2" t="s">
        <v>106</v>
      </c>
      <c r="G26" s="2" t="s">
        <v>107</v>
      </c>
      <c r="H26" s="2" t="s">
        <v>108</v>
      </c>
      <c r="I26" s="2" t="s">
        <v>109</v>
      </c>
      <c r="J26" s="2" t="s">
        <v>110</v>
      </c>
      <c r="K26" s="2" t="s">
        <v>111</v>
      </c>
      <c r="L26" s="2" t="s">
        <v>112</v>
      </c>
    </row>
    <row r="27" customFormat="false" ht="15" hidden="false" customHeight="false" outlineLevel="0" collapsed="false">
      <c r="A27" s="0" t="s">
        <v>113</v>
      </c>
      <c r="C27" s="3" t="n">
        <v>5</v>
      </c>
      <c r="D27" s="3" t="n">
        <v>4.5</v>
      </c>
      <c r="E27" s="3" t="n">
        <v>4</v>
      </c>
      <c r="F27" s="3" t="n">
        <v>4</v>
      </c>
      <c r="G27" s="3" t="n">
        <v>3.5</v>
      </c>
      <c r="H27" s="3" t="n">
        <v>3</v>
      </c>
      <c r="I27" s="3" t="n">
        <v>3</v>
      </c>
      <c r="J27" s="3" t="n">
        <v>3</v>
      </c>
      <c r="K27" s="3" t="n">
        <v>3</v>
      </c>
      <c r="L27" s="3" t="n">
        <v>3</v>
      </c>
    </row>
    <row r="28" customFormat="false" ht="15" hidden="false" customHeight="false" outlineLevel="0" collapsed="false">
      <c r="A28" s="0" t="s">
        <v>114</v>
      </c>
      <c r="C28" s="3" t="n">
        <v>48.5</v>
      </c>
      <c r="D28" s="3" t="n">
        <v>48</v>
      </c>
      <c r="E28" s="3" t="n">
        <v>47.5</v>
      </c>
      <c r="F28" s="3" t="n">
        <v>47</v>
      </c>
      <c r="G28" s="3" t="n">
        <v>47</v>
      </c>
      <c r="H28" s="3" t="n">
        <v>47</v>
      </c>
      <c r="I28" s="3" t="n">
        <v>47</v>
      </c>
      <c r="J28" s="3" t="n">
        <v>47</v>
      </c>
      <c r="K28" s="3" t="n">
        <v>47</v>
      </c>
      <c r="L28" s="3" t="n">
        <v>47</v>
      </c>
    </row>
    <row r="29" customFormat="false" ht="15" hidden="false" customHeight="false" outlineLevel="0" collapsed="false">
      <c r="A29" s="0" t="s">
        <v>115</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116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117</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118</v>
      </c>
      <c r="C32" s="3" t="n">
        <v>19.59</v>
      </c>
      <c r="D32" s="3" t="n">
        <v>26.87</v>
      </c>
      <c r="E32" s="3" t="n">
        <v>22.82</v>
      </c>
      <c r="F32" s="3" t="n">
        <v>20.74</v>
      </c>
      <c r="G32" s="3" t="n">
        <v>18.61</v>
      </c>
      <c r="H32" s="3" t="n">
        <v>16.44</v>
      </c>
      <c r="I32" s="3" t="n">
        <v>14.16</v>
      </c>
      <c r="J32" s="3" t="n">
        <v>14.16</v>
      </c>
      <c r="K32" s="3" t="n">
        <v>14.16</v>
      </c>
      <c r="L32" s="3" t="n">
        <v>14.16</v>
      </c>
    </row>
    <row r="33" customFormat="false" ht="15" hidden="false" customHeight="false" outlineLevel="0" collapsed="false">
      <c r="A33" s="0" t="s">
        <v>119</v>
      </c>
      <c r="C33" s="3" t="n">
        <v>17.5</v>
      </c>
      <c r="D33" s="3" t="n">
        <v>17.5</v>
      </c>
      <c r="E33" s="3" t="n">
        <v>17.5</v>
      </c>
      <c r="F33" s="3" t="n">
        <v>17.5</v>
      </c>
      <c r="G33" s="3" t="n">
        <v>17.5</v>
      </c>
      <c r="H33" s="3" t="n">
        <v>17.5</v>
      </c>
      <c r="I33" s="3" t="n">
        <v>17.5</v>
      </c>
      <c r="J33" s="3" t="n">
        <v>17.5</v>
      </c>
      <c r="K33" s="3" t="n">
        <v>17.5</v>
      </c>
      <c r="L33" s="3" t="n">
        <v>17.5</v>
      </c>
    </row>
    <row r="34" customFormat="false" ht="15" hidden="false" customHeight="false" outlineLevel="0" collapsed="false">
      <c r="A34" s="0" t="s">
        <v>120</v>
      </c>
      <c r="B34" s="3" t="n">
        <v>10.5</v>
      </c>
    </row>
    <row r="35" customFormat="false" ht="15" hidden="false" customHeight="false" outlineLevel="0" collapsed="false">
      <c r="A35" s="0" t="s">
        <v>121</v>
      </c>
      <c r="B35" s="3" t="n">
        <v>3</v>
      </c>
    </row>
    <row r="36" customFormat="false" ht="15" hidden="false" customHeight="false" outlineLevel="0" collapsed="false">
      <c r="A36" s="0" t="s">
        <v>122</v>
      </c>
      <c r="B36" s="3" t="n">
        <v>18</v>
      </c>
    </row>
    <row r="37" customFormat="false" ht="15" hidden="false" customHeight="false" outlineLevel="0" collapsed="false">
      <c r="A37" s="0" t="s">
        <v>123</v>
      </c>
      <c r="B37" s="3" t="n">
        <v>0</v>
      </c>
    </row>
    <row r="38" customFormat="false" ht="15" hidden="false" customHeight="false" outlineLevel="0" collapsed="false">
      <c r="A38" s="0" t="s">
        <v>124</v>
      </c>
      <c r="B38" s="3" t="n">
        <v>0.5</v>
      </c>
    </row>
    <row r="40" customFormat="false" ht="15" hidden="false" customHeight="false" outlineLevel="0" collapsed="false">
      <c r="A40" s="2" t="s">
        <v>126</v>
      </c>
      <c r="C40" s="2" t="s">
        <v>103</v>
      </c>
      <c r="D40" s="2" t="s">
        <v>104</v>
      </c>
      <c r="E40" s="2" t="s">
        <v>105</v>
      </c>
      <c r="F40" s="2" t="s">
        <v>106</v>
      </c>
      <c r="G40" s="2" t="s">
        <v>107</v>
      </c>
      <c r="H40" s="2" t="s">
        <v>108</v>
      </c>
      <c r="I40" s="2" t="s">
        <v>109</v>
      </c>
      <c r="J40" s="2" t="s">
        <v>110</v>
      </c>
      <c r="K40" s="2" t="s">
        <v>111</v>
      </c>
      <c r="L40" s="2" t="s">
        <v>112</v>
      </c>
    </row>
    <row r="41" customFormat="false" ht="15" hidden="false" customHeight="false" outlineLevel="0" collapsed="false">
      <c r="A41" s="0" t="s">
        <v>113</v>
      </c>
      <c r="C41" s="3" t="n">
        <v>7</v>
      </c>
      <c r="D41" s="3" t="n">
        <v>6</v>
      </c>
      <c r="E41" s="3" t="n">
        <v>5</v>
      </c>
      <c r="F41" s="3" t="n">
        <v>5</v>
      </c>
      <c r="G41" s="3" t="n">
        <v>4.5</v>
      </c>
      <c r="H41" s="3" t="n">
        <v>4</v>
      </c>
      <c r="I41" s="3" t="n">
        <v>4</v>
      </c>
      <c r="J41" s="3" t="n">
        <v>3.5</v>
      </c>
      <c r="K41" s="3" t="n">
        <v>3.5</v>
      </c>
      <c r="L41" s="3" t="n">
        <v>3.5</v>
      </c>
    </row>
    <row r="42" customFormat="false" ht="15" hidden="false" customHeight="false" outlineLevel="0" collapsed="false">
      <c r="A42" s="0" t="s">
        <v>114</v>
      </c>
      <c r="C42" s="3" t="n">
        <v>50</v>
      </c>
      <c r="D42" s="3" t="n">
        <v>50.5</v>
      </c>
      <c r="E42" s="3" t="n">
        <v>51</v>
      </c>
      <c r="F42" s="3" t="n">
        <v>51</v>
      </c>
      <c r="G42" s="3" t="n">
        <v>51</v>
      </c>
      <c r="H42" s="3" t="n">
        <v>51</v>
      </c>
      <c r="I42" s="3" t="n">
        <v>51</v>
      </c>
      <c r="J42" s="3" t="n">
        <v>51</v>
      </c>
      <c r="K42" s="3" t="n">
        <v>51</v>
      </c>
      <c r="L42" s="3" t="n">
        <v>51</v>
      </c>
    </row>
    <row r="43" customFormat="false" ht="15" hidden="false" customHeight="false" outlineLevel="0" collapsed="false">
      <c r="A43" s="0" t="s">
        <v>115</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116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117</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118</v>
      </c>
      <c r="C46" s="3" t="n">
        <v>19.23</v>
      </c>
      <c r="D46" s="3" t="n">
        <v>6.03</v>
      </c>
      <c r="E46" s="3" t="n">
        <v>20.92</v>
      </c>
      <c r="F46" s="3" t="n">
        <v>18.82</v>
      </c>
      <c r="G46" s="3" t="n">
        <v>16.73</v>
      </c>
      <c r="H46" s="3" t="n">
        <v>16.73</v>
      </c>
      <c r="I46" s="3" t="n">
        <v>14.64</v>
      </c>
      <c r="J46" s="3" t="n">
        <v>14.64</v>
      </c>
      <c r="K46" s="3" t="n">
        <v>14.64</v>
      </c>
      <c r="L46" s="3" t="n">
        <v>14.64</v>
      </c>
    </row>
    <row r="47" customFormat="false" ht="15" hidden="false" customHeight="false" outlineLevel="0" collapsed="false">
      <c r="A47" s="0" t="s">
        <v>119</v>
      </c>
      <c r="C47" s="3" t="n">
        <v>17</v>
      </c>
      <c r="D47" s="3" t="n">
        <v>17</v>
      </c>
      <c r="E47" s="3" t="n">
        <v>17</v>
      </c>
      <c r="F47" s="3" t="n">
        <v>17</v>
      </c>
      <c r="G47" s="3" t="n">
        <v>17</v>
      </c>
      <c r="H47" s="3" t="n">
        <v>17</v>
      </c>
      <c r="I47" s="3" t="n">
        <v>17</v>
      </c>
      <c r="J47" s="3" t="n">
        <v>17</v>
      </c>
      <c r="K47" s="3" t="n">
        <v>17</v>
      </c>
      <c r="L47" s="3" t="n">
        <v>17</v>
      </c>
    </row>
    <row r="48" customFormat="false" ht="15" hidden="false" customHeight="false" outlineLevel="0" collapsed="false">
      <c r="A48" s="0" t="s">
        <v>120</v>
      </c>
      <c r="B48" s="3" t="n">
        <v>10.5</v>
      </c>
    </row>
    <row r="49" customFormat="false" ht="15" hidden="false" customHeight="false" outlineLevel="0" collapsed="false">
      <c r="A49" s="0" t="s">
        <v>121</v>
      </c>
      <c r="B49" s="3" t="n">
        <v>3.5</v>
      </c>
    </row>
    <row r="50" customFormat="false" ht="15" hidden="false" customHeight="false" outlineLevel="0" collapsed="false">
      <c r="A50" s="0" t="s">
        <v>122</v>
      </c>
      <c r="B50" s="3" t="n">
        <v>18</v>
      </c>
    </row>
    <row r="51" customFormat="false" ht="15" hidden="false" customHeight="false" outlineLevel="0" collapsed="false">
      <c r="A51" s="0" t="s">
        <v>123</v>
      </c>
      <c r="B51" s="3" t="n">
        <v>0</v>
      </c>
    </row>
    <row r="52" customFormat="false" ht="15" hidden="false" customHeight="false" outlineLevel="0" collapsed="false">
      <c r="A52" s="0" t="s">
        <v>124</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127</v>
      </c>
    </row>
    <row r="3" customFormat="false" ht="15" hidden="false" customHeight="false" outlineLevel="0" collapsed="false">
      <c r="A3" s="0" t="s">
        <v>128</v>
      </c>
      <c r="B3" s="0" t="s">
        <v>98</v>
      </c>
      <c r="C3" s="2" t="s">
        <v>103</v>
      </c>
      <c r="D3" s="2" t="s">
        <v>104</v>
      </c>
      <c r="E3" s="2" t="s">
        <v>105</v>
      </c>
      <c r="F3" s="2" t="s">
        <v>106</v>
      </c>
      <c r="G3" s="2" t="s">
        <v>107</v>
      </c>
      <c r="H3" s="2" t="s">
        <v>108</v>
      </c>
      <c r="I3" s="2" t="s">
        <v>109</v>
      </c>
      <c r="J3" s="2" t="s">
        <v>110</v>
      </c>
      <c r="K3" s="2" t="s">
        <v>111</v>
      </c>
      <c r="L3" s="2" t="s">
        <v>112</v>
      </c>
    </row>
    <row r="4" customFormat="false" ht="15" hidden="false" customHeight="false" outlineLevel="0" collapsed="false">
      <c r="A4" s="0" t="s">
        <v>129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113</v>
      </c>
      <c r="C5" s="4" t="n">
        <f aca="false">Assumptions!C13</f>
        <v>1</v>
      </c>
      <c r="D5" s="4" t="n">
        <f aca="false">Assumptions!D13</f>
        <v>0</v>
      </c>
      <c r="E5" s="4" t="n">
        <f aca="false">Assumptions!E13</f>
        <v>0</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30460</v>
      </c>
      <c r="C6" s="0" t="n">
        <f aca="false">B6*(1+C5/100)</f>
        <v>30764.6</v>
      </c>
      <c r="D6" s="0" t="n">
        <f aca="false">C6*(1+D5/100)</f>
        <v>30764.6</v>
      </c>
      <c r="E6" s="0" t="n">
        <f aca="false">D6*(1+E5/100)</f>
        <v>30764.6</v>
      </c>
      <c r="F6" s="0" t="n">
        <f aca="false">E6*(1+F5/100)</f>
        <v>31072.246</v>
      </c>
      <c r="G6" s="0" t="n">
        <f aca="false">F6*(1+G5/100)</f>
        <v>31538.32969</v>
      </c>
      <c r="H6" s="0" t="n">
        <f aca="false">G6*(1+H5/100)</f>
        <v>32169.0962838</v>
      </c>
      <c r="I6" s="0" t="n">
        <f aca="false">H6*(1+I5/100)</f>
        <v>32812.478209476</v>
      </c>
      <c r="J6" s="0" t="n">
        <f aca="false">I6*(1+J5/100)</f>
        <v>33468.7277736655</v>
      </c>
      <c r="K6" s="0" t="n">
        <f aca="false">J6*(1+K5/100)</f>
        <v>34138.1023291388</v>
      </c>
      <c r="L6" s="0" t="n">
        <f aca="false">K6*(1+L5/100)</f>
        <v>34820.8643757216</v>
      </c>
    </row>
    <row r="7" customFormat="false" ht="15" hidden="false" customHeight="false" outlineLevel="0" collapsed="false">
      <c r="A7" s="0" t="s">
        <v>114</v>
      </c>
      <c r="C7" s="4" t="n">
        <f aca="false">Assumptions!C14</f>
        <v>42</v>
      </c>
      <c r="D7" s="4" t="n">
        <f aca="false">Assumptions!D14</f>
        <v>38</v>
      </c>
      <c r="E7" s="4" t="n">
        <f aca="false">Assumptions!E14</f>
        <v>36</v>
      </c>
      <c r="F7" s="4" t="n">
        <f aca="false">Assumptions!F14</f>
        <v>38</v>
      </c>
      <c r="G7" s="4" t="n">
        <f aca="false">Assumptions!G14</f>
        <v>40</v>
      </c>
      <c r="H7" s="4" t="n">
        <f aca="false">Assumptions!H14</f>
        <v>41</v>
      </c>
      <c r="I7" s="4" t="n">
        <f aca="false">Assumptions!I14</f>
        <v>41</v>
      </c>
      <c r="J7" s="4" t="n">
        <f aca="false">Assumptions!J14</f>
        <v>41</v>
      </c>
      <c r="K7" s="4" t="n">
        <f aca="false">Assumptions!K14</f>
        <v>41</v>
      </c>
      <c r="L7" s="4" t="n">
        <f aca="false">Assumptions!L14</f>
        <v>41</v>
      </c>
    </row>
    <row r="8" customFormat="false" ht="15" hidden="false" customHeight="false" outlineLevel="0" collapsed="false">
      <c r="A8" s="0" t="s">
        <v>44</v>
      </c>
      <c r="C8" s="0" t="n">
        <f aca="false">C6*C7/100</f>
        <v>12921.132</v>
      </c>
      <c r="D8" s="0" t="n">
        <f aca="false">D6*D7/100</f>
        <v>11690.548</v>
      </c>
      <c r="E8" s="0" t="n">
        <f aca="false">E6*E7/100</f>
        <v>11075.256</v>
      </c>
      <c r="F8" s="0" t="n">
        <f aca="false">F6*F7/100</f>
        <v>11807.45348</v>
      </c>
      <c r="G8" s="0" t="n">
        <f aca="false">G6*G7/100</f>
        <v>12615.331876</v>
      </c>
      <c r="H8" s="0" t="n">
        <f aca="false">H6*H7/100</f>
        <v>13189.329476358</v>
      </c>
      <c r="I8" s="0" t="n">
        <f aca="false">I6*I7/100</f>
        <v>13453.1160658852</v>
      </c>
      <c r="J8" s="0" t="n">
        <f aca="false">J6*J7/100</f>
        <v>13722.1783872029</v>
      </c>
      <c r="K8" s="0" t="n">
        <f aca="false">K6*K7/100</f>
        <v>13996.6219549469</v>
      </c>
      <c r="L8" s="0" t="n">
        <f aca="false">L6*L7/100</f>
        <v>14276.5543940459</v>
      </c>
    </row>
    <row r="9" customFormat="false" ht="15" hidden="false" customHeight="false" outlineLevel="0" collapsed="false">
      <c r="A9" s="0" t="s">
        <v>115</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130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131</v>
      </c>
      <c r="C11" s="0" t="n">
        <f aca="false">C8+C10+C24</f>
        <v>12921.132</v>
      </c>
      <c r="D11" s="0" t="n">
        <f aca="false">D8+D10+D24</f>
        <v>11690.548</v>
      </c>
      <c r="E11" s="0" t="n">
        <f aca="false">E8+E10+E24</f>
        <v>11075.256</v>
      </c>
      <c r="F11" s="0" t="n">
        <f aca="false">F8+F10+F24</f>
        <v>11807.45348</v>
      </c>
      <c r="G11" s="0" t="n">
        <f aca="false">G8+G10+G24</f>
        <v>12615.331876</v>
      </c>
      <c r="H11" s="0" t="n">
        <f aca="false">H8+H10+H24</f>
        <v>13189.329476358</v>
      </c>
      <c r="I11" s="0" t="n">
        <f aca="false">I8+I10+I24</f>
        <v>13453.1160658852</v>
      </c>
      <c r="J11" s="0" t="n">
        <f aca="false">J8+J10+J24</f>
        <v>13722.1783872029</v>
      </c>
      <c r="K11" s="0" t="n">
        <f aca="false">K8+K10+K24</f>
        <v>13996.6219549469</v>
      </c>
      <c r="L11" s="0" t="n">
        <f aca="false">L8+L10+L24</f>
        <v>14276.5543940459</v>
      </c>
    </row>
    <row r="12" customFormat="false" ht="15" hidden="false" customHeight="false" outlineLevel="0" collapsed="false">
      <c r="A12" s="0" t="s">
        <v>132</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133</v>
      </c>
      <c r="C13" s="0" t="n">
        <f aca="false">C11+C12</f>
        <v>12921.132</v>
      </c>
      <c r="D13" s="0" t="n">
        <f aca="false">D11+D12</f>
        <v>11690.548</v>
      </c>
      <c r="E13" s="0" t="n">
        <f aca="false">E11+E12</f>
        <v>11075.256</v>
      </c>
      <c r="F13" s="0" t="n">
        <f aca="false">F11+F12</f>
        <v>11807.45348</v>
      </c>
      <c r="G13" s="0" t="n">
        <f aca="false">G11+G12</f>
        <v>12615.331876</v>
      </c>
      <c r="H13" s="0" t="n">
        <f aca="false">H11+H12</f>
        <v>13189.329476358</v>
      </c>
      <c r="I13" s="0" t="n">
        <f aca="false">I11+I12</f>
        <v>13453.1160658852</v>
      </c>
      <c r="J13" s="0" t="n">
        <f aca="false">J11+J12</f>
        <v>13722.1783872029</v>
      </c>
      <c r="K13" s="0" t="n">
        <f aca="false">K11+K12</f>
        <v>13996.6219549469</v>
      </c>
      <c r="L13" s="0" t="n">
        <f aca="false">L11+L12</f>
        <v>14276.5543940459</v>
      </c>
    </row>
    <row r="14" customFormat="false" ht="15" hidden="false" customHeight="false" outlineLevel="0" collapsed="false">
      <c r="A14" s="0" t="s">
        <v>119</v>
      </c>
      <c r="C14" s="4" t="n">
        <f aca="false">Assumptions!C19</f>
        <v>19</v>
      </c>
      <c r="D14" s="4" t="n">
        <f aca="false">Assumptions!D19</f>
        <v>19</v>
      </c>
      <c r="E14" s="4" t="n">
        <f aca="false">Assumptions!E19</f>
        <v>19</v>
      </c>
      <c r="F14" s="4" t="n">
        <f aca="false">Assumptions!F19</f>
        <v>19</v>
      </c>
      <c r="G14" s="4" t="n">
        <f aca="false">Assumptions!G19</f>
        <v>19</v>
      </c>
      <c r="H14" s="4" t="n">
        <f aca="false">Assumptions!H19</f>
        <v>19</v>
      </c>
      <c r="I14" s="4" t="n">
        <f aca="false">Assumptions!I19</f>
        <v>19</v>
      </c>
      <c r="J14" s="4" t="n">
        <f aca="false">Assumptions!J19</f>
        <v>19</v>
      </c>
      <c r="K14" s="4" t="n">
        <f aca="false">Assumptions!K19</f>
        <v>19</v>
      </c>
      <c r="L14" s="4" t="n">
        <f aca="false">Assumptions!L19</f>
        <v>19</v>
      </c>
    </row>
    <row r="15" customFormat="false" ht="15" hidden="false" customHeight="false" outlineLevel="0" collapsed="false">
      <c r="A15" s="0" t="s">
        <v>134</v>
      </c>
      <c r="C15" s="0" t="n">
        <f aca="false">C13-MAX(0,C13)*C14/100</f>
        <v>10466.11692</v>
      </c>
      <c r="D15" s="0" t="n">
        <f aca="false">D13-MAX(0,D13)*D14/100</f>
        <v>9469.34388</v>
      </c>
      <c r="E15" s="0" t="n">
        <f aca="false">E13-MAX(0,E13)*E14/100</f>
        <v>8970.95736</v>
      </c>
      <c r="F15" s="0" t="n">
        <f aca="false">F13-MAX(0,F13)*F14/100</f>
        <v>9564.0373188</v>
      </c>
      <c r="G15" s="0" t="n">
        <f aca="false">G13-MAX(0,G13)*G14/100</f>
        <v>10218.41881956</v>
      </c>
      <c r="H15" s="0" t="n">
        <f aca="false">H13-MAX(0,H13)*H14/100</f>
        <v>10683.35687585</v>
      </c>
      <c r="I15" s="0" t="n">
        <f aca="false">I13-MAX(0,I13)*I14/100</f>
        <v>10897.024013367</v>
      </c>
      <c r="J15" s="0" t="n">
        <f aca="false">J13-MAX(0,J13)*J14/100</f>
        <v>11114.9644936343</v>
      </c>
      <c r="K15" s="0" t="n">
        <f aca="false">K13-MAX(0,K13)*K14/100</f>
        <v>11337.263783507</v>
      </c>
      <c r="L15" s="0" t="n">
        <f aca="false">L13-MAX(0,L13)*L14/100</f>
        <v>11564.0090591771</v>
      </c>
    </row>
    <row r="16" customFormat="false" ht="15" hidden="false" customHeight="false" outlineLevel="0" collapsed="false">
      <c r="A16" s="0" t="s">
        <v>135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136</v>
      </c>
      <c r="C17" s="4" t="n">
        <f aca="false">-C6*Assumptions!C18/100</f>
        <v>-11327.52572</v>
      </c>
      <c r="D17" s="4" t="n">
        <f aca="false">-D6*Assumptions!D18/100</f>
        <v>-7737.2969</v>
      </c>
      <c r="E17" s="4" t="n">
        <f aca="false">-E6*Assumptions!E18/100</f>
        <v>-6497.48352</v>
      </c>
      <c r="F17" s="4" t="n">
        <f aca="false">-F6*Assumptions!F18/100</f>
        <v>-5067.8833226</v>
      </c>
      <c r="G17" s="4" t="n">
        <f aca="false">-G6*Assumptions!G18/100</f>
        <v>-5219.593563695</v>
      </c>
      <c r="H17" s="4" t="n">
        <f aca="false">-H6*Assumptions!H18/100</f>
        <v>-4481.15511233334</v>
      </c>
      <c r="I17" s="4" t="n">
        <f aca="false">-I6*Assumptions!I18/100</f>
        <v>-4593.74694932664</v>
      </c>
      <c r="J17" s="4" t="n">
        <f aca="false">-J6*Assumptions!J18/100</f>
        <v>-3765.23187453737</v>
      </c>
      <c r="K17" s="4" t="n">
        <f aca="false">-K6*Assumptions!K18/100</f>
        <v>-3840.53651202812</v>
      </c>
      <c r="L17" s="4" t="n">
        <f aca="false">-L6*Assumptions!L18/100</f>
        <v>-3917.34724226868</v>
      </c>
    </row>
    <row r="18" customFormat="false" ht="15" hidden="false" customHeight="false" outlineLevel="0" collapsed="false">
      <c r="A18" s="0" t="s">
        <v>137</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138</v>
      </c>
      <c r="C19" s="0" t="n">
        <f aca="false">C15+C16+C17+C18</f>
        <v>-861.408799999999</v>
      </c>
      <c r="D19" s="0" t="n">
        <f aca="false">D15+D16+D17+D18</f>
        <v>1732.04698</v>
      </c>
      <c r="E19" s="0" t="n">
        <f aca="false">E15+E16+E17+E18</f>
        <v>2473.47384</v>
      </c>
      <c r="F19" s="0" t="n">
        <f aca="false">F15+F16+F17+F18</f>
        <v>4496.1539962</v>
      </c>
      <c r="G19" s="0" t="n">
        <f aca="false">G15+G16+G17+G18</f>
        <v>4998.825255865</v>
      </c>
      <c r="H19" s="0" t="n">
        <f aca="false">H15+H16+H17+H18</f>
        <v>6202.20176351664</v>
      </c>
      <c r="I19" s="0" t="n">
        <f aca="false">I15+I16+I17+I18</f>
        <v>6303.27706404034</v>
      </c>
      <c r="J19" s="0" t="n">
        <f aca="false">J15+J16+J17+J18</f>
        <v>7349.73261909695</v>
      </c>
      <c r="K19" s="0" t="n">
        <f aca="false">K15+K16+K17+K18</f>
        <v>7496.72727147889</v>
      </c>
      <c r="L19" s="0" t="n">
        <f aca="false">L15+L16+L17+L18</f>
        <v>7646.66181690847</v>
      </c>
    </row>
    <row r="20" customFormat="false" ht="15" hidden="false" customHeight="false" outlineLevel="0" collapsed="false">
      <c r="A20" s="0" t="s">
        <v>139</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140</v>
      </c>
      <c r="C21" s="0" t="n">
        <f aca="false">C19*C20</f>
        <v>-779.555475113122</v>
      </c>
      <c r="D21" s="0" t="n">
        <f aca="false">D19*D20</f>
        <v>1418.51885096538</v>
      </c>
      <c r="E21" s="0" t="n">
        <f aca="false">E19*E20</f>
        <v>1833.24490837894</v>
      </c>
      <c r="F21" s="0" t="n">
        <f aca="false">F19*F20</f>
        <v>3015.72728692349</v>
      </c>
      <c r="G21" s="0" t="n">
        <f aca="false">G19*G20</f>
        <v>3034.28636312317</v>
      </c>
      <c r="H21" s="0" t="n">
        <f aca="false">H19*H20</f>
        <v>3407.00069387127</v>
      </c>
      <c r="I21" s="0" t="n">
        <f aca="false">I19*I20</f>
        <v>3133.50542591448</v>
      </c>
      <c r="J21" s="0" t="n">
        <f aca="false">J19*J20</f>
        <v>3306.53645872336</v>
      </c>
      <c r="K21" s="0" t="n">
        <f aca="false">K19*K20</f>
        <v>3052.18750036002</v>
      </c>
      <c r="L21" s="0" t="n">
        <f aca="false">L19*L20</f>
        <v>2817.40384648618</v>
      </c>
    </row>
    <row r="23" customFormat="false" ht="15" hidden="false" customHeight="false" outlineLevel="0" collapsed="false">
      <c r="A23" s="0" t="s">
        <v>116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141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142</v>
      </c>
    </row>
    <row r="27" customFormat="false" ht="15" hidden="false" customHeight="false" outlineLevel="0" collapsed="false">
      <c r="A27" s="0" t="s">
        <v>120</v>
      </c>
      <c r="B27" s="4" t="n">
        <f aca="false">Assumptions!$B$20</f>
        <v>10.5</v>
      </c>
    </row>
    <row r="28" customFormat="false" ht="15" hidden="false" customHeight="false" outlineLevel="0" collapsed="false">
      <c r="A28" s="0" t="s">
        <v>121</v>
      </c>
      <c r="B28" s="4" t="n">
        <f aca="false">Assumptions!$B$21</f>
        <v>2</v>
      </c>
    </row>
    <row r="29" customFormat="false" ht="15" hidden="false" customHeight="false" outlineLevel="0" collapsed="false">
      <c r="A29" s="0" t="s">
        <v>122</v>
      </c>
      <c r="B29" s="4" t="n">
        <f aca="false">Assumptions!$B$22</f>
        <v>18</v>
      </c>
    </row>
    <row r="30" customFormat="false" ht="15" hidden="false" customHeight="false" outlineLevel="0" collapsed="false">
      <c r="A30" s="0" t="s">
        <v>143</v>
      </c>
      <c r="B30" s="0" t="n">
        <f aca="false">SUM(C21:L21)</f>
        <v>24238.8558596332</v>
      </c>
    </row>
    <row r="31" customFormat="false" ht="15" hidden="false" customHeight="false" outlineLevel="0" collapsed="false">
      <c r="A31" s="0" t="s">
        <v>144</v>
      </c>
      <c r="B31" s="0" t="n">
        <f aca="false">L19</f>
        <v>7646.66181690847</v>
      </c>
    </row>
    <row r="32" customFormat="false" ht="15" hidden="false" customHeight="false" outlineLevel="0" collapsed="false">
      <c r="A32" s="0" t="s">
        <v>145</v>
      </c>
      <c r="B32" s="0" t="n">
        <f aca="false">IF(B27&gt;B28,B31*(1+B28/100)/((B27-B28)/100),B31*B29)</f>
        <v>91759.9418029016</v>
      </c>
    </row>
    <row r="33" customFormat="false" ht="15" hidden="false" customHeight="false" outlineLevel="0" collapsed="false">
      <c r="A33" s="0" t="s">
        <v>146</v>
      </c>
      <c r="B33" s="0" t="n">
        <f aca="false">B31*B29</f>
        <v>137639.912704352</v>
      </c>
    </row>
    <row r="34" customFormat="false" ht="15" hidden="false" customHeight="false" outlineLevel="0" collapsed="false">
      <c r="A34" s="0" t="s">
        <v>147</v>
      </c>
      <c r="B34" s="0" t="n">
        <f aca="false">MAX(0,MIN(B32,B33))</f>
        <v>91759.9418029016</v>
      </c>
    </row>
    <row r="35" customFormat="false" ht="15" hidden="false" customHeight="false" outlineLevel="0" collapsed="false">
      <c r="A35" s="0" t="s">
        <v>148</v>
      </c>
      <c r="B35" s="0" t="n">
        <f aca="false">B34/(1+B27/100)^L4</f>
        <v>33808.8461578341</v>
      </c>
    </row>
    <row r="36" customFormat="false" ht="15" hidden="false" customHeight="false" outlineLevel="0" collapsed="false">
      <c r="A36" s="0" t="s">
        <v>149</v>
      </c>
      <c r="B36" s="0" t="n">
        <f aca="false">B30+B35</f>
        <v>58047.7020174673</v>
      </c>
    </row>
    <row r="37" customFormat="false" ht="15" hidden="false" customHeight="false" outlineLevel="0" collapsed="false">
      <c r="A37" s="0" t="s">
        <v>150</v>
      </c>
      <c r="B37" s="0" t="n">
        <f aca="false">B36+Assumptions!$B$5-Assumptions!$B$4</f>
        <v>58047.7020174673</v>
      </c>
    </row>
    <row r="38" customFormat="false" ht="15" hidden="false" customHeight="false" outlineLevel="0" collapsed="false">
      <c r="A38" s="0" t="s">
        <v>151</v>
      </c>
      <c r="B38" s="0" t="n">
        <f aca="false">B37/Assumptions!$B$3*Assumptions!$B$10</f>
        <v>5.99950626293062</v>
      </c>
    </row>
    <row r="39" customFormat="false" ht="15" hidden="false" customHeight="false" outlineLevel="0" collapsed="false">
      <c r="A39" s="0" t="s">
        <v>152</v>
      </c>
      <c r="B39" s="4" t="n">
        <f aca="false">B38/Assumptions!$B$2-1</f>
        <v>-0.0633089363105979</v>
      </c>
    </row>
    <row r="41" customFormat="false" ht="15" hidden="false" customHeight="false" outlineLevel="0" collapsed="false">
      <c r="A41" s="0" t="s">
        <v>153</v>
      </c>
      <c r="B41" s="0" t="n">
        <f aca="false">SUMPRODUCT(-C10:L10/(1+$B$27/100)^C4:L4)</f>
        <v>0</v>
      </c>
    </row>
    <row r="42" customFormat="false" ht="15" hidden="false" customHeight="false" outlineLevel="0" collapsed="false">
      <c r="A42" s="0" t="s">
        <v>154</v>
      </c>
      <c r="B42" s="0" t="n">
        <f aca="false">IF(B27&gt;B28,-L10*(1+B28/100)/((B27-B28)/100),-L10*20)/(1+B27/100)^L4</f>
        <v>0</v>
      </c>
    </row>
    <row r="43" customFormat="false" ht="15" hidden="false" customHeight="false" outlineLevel="0" collapsed="false">
      <c r="A43" s="0" t="s">
        <v>155</v>
      </c>
      <c r="B43" s="0" t="n">
        <f aca="false">(B37+B41+B42)/Assumptions!$B$3*Assumptions!$B$10</f>
        <v>5.99950626293062</v>
      </c>
    </row>
    <row r="45" customFormat="false" ht="15" hidden="false" customHeight="false" outlineLevel="0" collapsed="false">
      <c r="A45" s="0" t="s">
        <v>95</v>
      </c>
      <c r="B45" s="4" t="n">
        <f aca="false">Assumptions!$B$6</f>
        <v>15</v>
      </c>
    </row>
    <row r="46" customFormat="false" ht="15" hidden="false" customHeight="false" outlineLevel="0" collapsed="false">
      <c r="A46" s="0" t="s">
        <v>156</v>
      </c>
      <c r="B46" s="0" t="n">
        <f aca="false">MAX(0,MIN(IF(B45&gt;B28,B31*(1+B28/100)/((B45-B28)/100),B31*B29),B31*B29))</f>
        <v>59996.8850249741</v>
      </c>
    </row>
    <row r="47" customFormat="false" ht="15" hidden="false" customHeight="false" outlineLevel="0" collapsed="false">
      <c r="A47" s="0" t="s">
        <v>157</v>
      </c>
      <c r="B47" s="0" t="n">
        <f aca="false">(SUMPRODUCT(C19:L19/(1+B45/100)^C4:L4)+B46/(1+B45/100)^L4+Assumptions!$B$5-Assumptions!$B$4)/Assumptions!$B$3*Assumptions!$B$10</f>
        <v>3.46735699943075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158</v>
      </c>
    </row>
    <row r="3" customFormat="false" ht="15" hidden="false" customHeight="false" outlineLevel="0" collapsed="false">
      <c r="A3" s="0" t="s">
        <v>128</v>
      </c>
      <c r="B3" s="0" t="s">
        <v>98</v>
      </c>
      <c r="C3" s="2" t="s">
        <v>103</v>
      </c>
      <c r="D3" s="2" t="s">
        <v>104</v>
      </c>
      <c r="E3" s="2" t="s">
        <v>105</v>
      </c>
      <c r="F3" s="2" t="s">
        <v>106</v>
      </c>
      <c r="G3" s="2" t="s">
        <v>107</v>
      </c>
      <c r="H3" s="2" t="s">
        <v>108</v>
      </c>
      <c r="I3" s="2" t="s">
        <v>109</v>
      </c>
      <c r="J3" s="2" t="s">
        <v>110</v>
      </c>
      <c r="K3" s="2" t="s">
        <v>111</v>
      </c>
      <c r="L3" s="2" t="s">
        <v>112</v>
      </c>
    </row>
    <row r="4" customFormat="false" ht="15" hidden="false" customHeight="false" outlineLevel="0" collapsed="false">
      <c r="A4" s="0" t="s">
        <v>129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113</v>
      </c>
      <c r="C5" s="4" t="n">
        <f aca="false">Assumptions!C27</f>
        <v>5</v>
      </c>
      <c r="D5" s="4" t="n">
        <f aca="false">Assumptions!D27</f>
        <v>4.5</v>
      </c>
      <c r="E5" s="4" t="n">
        <f aca="false">Assumptions!E27</f>
        <v>4</v>
      </c>
      <c r="F5" s="4" t="n">
        <f aca="false">Assumptions!F27</f>
        <v>4</v>
      </c>
      <c r="G5" s="4" t="n">
        <f aca="false">Assumptions!G27</f>
        <v>3.5</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38</v>
      </c>
      <c r="B6" s="3" t="n">
        <v>30460</v>
      </c>
      <c r="C6" s="0" t="n">
        <f aca="false">B6*(1+C5/100)</f>
        <v>31983</v>
      </c>
      <c r="D6" s="0" t="n">
        <f aca="false">C6*(1+D5/100)</f>
        <v>33422.235</v>
      </c>
      <c r="E6" s="0" t="n">
        <f aca="false">D6*(1+E5/100)</f>
        <v>34759.1244</v>
      </c>
      <c r="F6" s="0" t="n">
        <f aca="false">E6*(1+F5/100)</f>
        <v>36149.489376</v>
      </c>
      <c r="G6" s="0" t="n">
        <f aca="false">F6*(1+G5/100)</f>
        <v>37414.72150416</v>
      </c>
      <c r="H6" s="0" t="n">
        <f aca="false">G6*(1+H5/100)</f>
        <v>38537.1631492848</v>
      </c>
      <c r="I6" s="0" t="n">
        <f aca="false">H6*(1+I5/100)</f>
        <v>39693.2780437634</v>
      </c>
      <c r="J6" s="0" t="n">
        <f aca="false">I6*(1+J5/100)</f>
        <v>40884.0763850763</v>
      </c>
      <c r="K6" s="0" t="n">
        <f aca="false">J6*(1+K5/100)</f>
        <v>42110.5986766285</v>
      </c>
      <c r="L6" s="0" t="n">
        <f aca="false">K6*(1+L5/100)</f>
        <v>43373.9166369274</v>
      </c>
    </row>
    <row r="7" customFormat="false" ht="15" hidden="false" customHeight="false" outlineLevel="0" collapsed="false">
      <c r="A7" s="0" t="s">
        <v>114</v>
      </c>
      <c r="C7" s="4" t="n">
        <f aca="false">Assumptions!C28</f>
        <v>48.5</v>
      </c>
      <c r="D7" s="4" t="n">
        <f aca="false">Assumptions!D28</f>
        <v>48</v>
      </c>
      <c r="E7" s="4" t="n">
        <f aca="false">Assumptions!E28</f>
        <v>47.5</v>
      </c>
      <c r="F7" s="4" t="n">
        <f aca="false">Assumptions!F28</f>
        <v>47</v>
      </c>
      <c r="G7" s="4" t="n">
        <f aca="false">Assumptions!G28</f>
        <v>47</v>
      </c>
      <c r="H7" s="4" t="n">
        <f aca="false">Assumptions!H28</f>
        <v>47</v>
      </c>
      <c r="I7" s="4" t="n">
        <f aca="false">Assumptions!I28</f>
        <v>47</v>
      </c>
      <c r="J7" s="4" t="n">
        <f aca="false">Assumptions!J28</f>
        <v>47</v>
      </c>
      <c r="K7" s="4" t="n">
        <f aca="false">Assumptions!K28</f>
        <v>47</v>
      </c>
      <c r="L7" s="4" t="n">
        <f aca="false">Assumptions!L28</f>
        <v>47</v>
      </c>
    </row>
    <row r="8" customFormat="false" ht="15" hidden="false" customHeight="false" outlineLevel="0" collapsed="false">
      <c r="A8" s="0" t="s">
        <v>44</v>
      </c>
      <c r="C8" s="0" t="n">
        <f aca="false">C6*C7/100</f>
        <v>15511.755</v>
      </c>
      <c r="D8" s="0" t="n">
        <f aca="false">D6*D7/100</f>
        <v>16042.6728</v>
      </c>
      <c r="E8" s="0" t="n">
        <f aca="false">E6*E7/100</f>
        <v>16510.58409</v>
      </c>
      <c r="F8" s="0" t="n">
        <f aca="false">F6*F7/100</f>
        <v>16990.26000672</v>
      </c>
      <c r="G8" s="0" t="n">
        <f aca="false">G6*G7/100</f>
        <v>17584.9191069552</v>
      </c>
      <c r="H8" s="0" t="n">
        <f aca="false">H6*H7/100</f>
        <v>18112.4666801639</v>
      </c>
      <c r="I8" s="0" t="n">
        <f aca="false">I6*I7/100</f>
        <v>18655.8406805688</v>
      </c>
      <c r="J8" s="0" t="n">
        <f aca="false">J6*J7/100</f>
        <v>19215.5159009858</v>
      </c>
      <c r="K8" s="0" t="n">
        <f aca="false">K6*K7/100</f>
        <v>19791.9813780154</v>
      </c>
      <c r="L8" s="0" t="n">
        <f aca="false">L6*L7/100</f>
        <v>20385.7408193559</v>
      </c>
    </row>
    <row r="9" customFormat="false" ht="15" hidden="false" customHeight="false" outlineLevel="0" collapsed="false">
      <c r="A9" s="0" t="s">
        <v>115</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130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131</v>
      </c>
      <c r="C11" s="0" t="n">
        <f aca="false">C8+C10+C24</f>
        <v>15511.755</v>
      </c>
      <c r="D11" s="0" t="n">
        <f aca="false">D8+D10+D24</f>
        <v>16042.6728</v>
      </c>
      <c r="E11" s="0" t="n">
        <f aca="false">E8+E10+E24</f>
        <v>16510.58409</v>
      </c>
      <c r="F11" s="0" t="n">
        <f aca="false">F8+F10+F24</f>
        <v>16990.26000672</v>
      </c>
      <c r="G11" s="0" t="n">
        <f aca="false">G8+G10+G24</f>
        <v>17584.9191069552</v>
      </c>
      <c r="H11" s="0" t="n">
        <f aca="false">H8+H10+H24</f>
        <v>18112.4666801639</v>
      </c>
      <c r="I11" s="0" t="n">
        <f aca="false">I8+I10+I24</f>
        <v>18655.8406805688</v>
      </c>
      <c r="J11" s="0" t="n">
        <f aca="false">J8+J10+J24</f>
        <v>19215.5159009858</v>
      </c>
      <c r="K11" s="0" t="n">
        <f aca="false">K8+K10+K24</f>
        <v>19791.9813780154</v>
      </c>
      <c r="L11" s="0" t="n">
        <f aca="false">L8+L10+L24</f>
        <v>20385.7408193559</v>
      </c>
    </row>
    <row r="12" customFormat="false" ht="15" hidden="false" customHeight="false" outlineLevel="0" collapsed="false">
      <c r="A12" s="0" t="s">
        <v>132</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133</v>
      </c>
      <c r="C13" s="0" t="n">
        <f aca="false">C11+C12</f>
        <v>15511.755</v>
      </c>
      <c r="D13" s="0" t="n">
        <f aca="false">D11+D12</f>
        <v>16042.6728</v>
      </c>
      <c r="E13" s="0" t="n">
        <f aca="false">E11+E12</f>
        <v>16510.58409</v>
      </c>
      <c r="F13" s="0" t="n">
        <f aca="false">F11+F12</f>
        <v>16990.26000672</v>
      </c>
      <c r="G13" s="0" t="n">
        <f aca="false">G11+G12</f>
        <v>17584.9191069552</v>
      </c>
      <c r="H13" s="0" t="n">
        <f aca="false">H11+H12</f>
        <v>18112.4666801639</v>
      </c>
      <c r="I13" s="0" t="n">
        <f aca="false">I11+I12</f>
        <v>18655.8406805688</v>
      </c>
      <c r="J13" s="0" t="n">
        <f aca="false">J11+J12</f>
        <v>19215.5159009858</v>
      </c>
      <c r="K13" s="0" t="n">
        <f aca="false">K11+K12</f>
        <v>19791.9813780154</v>
      </c>
      <c r="L13" s="0" t="n">
        <f aca="false">L11+L12</f>
        <v>20385.7408193559</v>
      </c>
    </row>
    <row r="14" customFormat="false" ht="15" hidden="false" customHeight="false" outlineLevel="0" collapsed="false">
      <c r="A14" s="0" t="s">
        <v>119</v>
      </c>
      <c r="C14" s="4" t="n">
        <f aca="false">Assumptions!C33</f>
        <v>17.5</v>
      </c>
      <c r="D14" s="4" t="n">
        <f aca="false">Assumptions!D33</f>
        <v>17.5</v>
      </c>
      <c r="E14" s="4" t="n">
        <f aca="false">Assumptions!E33</f>
        <v>17.5</v>
      </c>
      <c r="F14" s="4" t="n">
        <f aca="false">Assumptions!F33</f>
        <v>17.5</v>
      </c>
      <c r="G14" s="4" t="n">
        <f aca="false">Assumptions!G33</f>
        <v>17.5</v>
      </c>
      <c r="H14" s="4" t="n">
        <f aca="false">Assumptions!H33</f>
        <v>17.5</v>
      </c>
      <c r="I14" s="4" t="n">
        <f aca="false">Assumptions!I33</f>
        <v>17.5</v>
      </c>
      <c r="J14" s="4" t="n">
        <f aca="false">Assumptions!J33</f>
        <v>17.5</v>
      </c>
      <c r="K14" s="4" t="n">
        <f aca="false">Assumptions!K33</f>
        <v>17.5</v>
      </c>
      <c r="L14" s="4" t="n">
        <f aca="false">Assumptions!L33</f>
        <v>17.5</v>
      </c>
    </row>
    <row r="15" customFormat="false" ht="15" hidden="false" customHeight="false" outlineLevel="0" collapsed="false">
      <c r="A15" s="0" t="s">
        <v>134</v>
      </c>
      <c r="C15" s="0" t="n">
        <f aca="false">C13-MAX(0,C13)*C14/100</f>
        <v>12797.197875</v>
      </c>
      <c r="D15" s="0" t="n">
        <f aca="false">D13-MAX(0,D13)*D14/100</f>
        <v>13235.20506</v>
      </c>
      <c r="E15" s="0" t="n">
        <f aca="false">E13-MAX(0,E13)*E14/100</f>
        <v>13621.23187425</v>
      </c>
      <c r="F15" s="0" t="n">
        <f aca="false">F13-MAX(0,F13)*F14/100</f>
        <v>14016.964505544</v>
      </c>
      <c r="G15" s="0" t="n">
        <f aca="false">G13-MAX(0,G13)*G14/100</f>
        <v>14507.558263238</v>
      </c>
      <c r="H15" s="0" t="n">
        <f aca="false">H13-MAX(0,H13)*H14/100</f>
        <v>14942.7850111352</v>
      </c>
      <c r="I15" s="0" t="n">
        <f aca="false">I13-MAX(0,I13)*I14/100</f>
        <v>15391.0685614692</v>
      </c>
      <c r="J15" s="0" t="n">
        <f aca="false">J13-MAX(0,J13)*J14/100</f>
        <v>15852.8006183133</v>
      </c>
      <c r="K15" s="0" t="n">
        <f aca="false">K13-MAX(0,K13)*K14/100</f>
        <v>16328.3846368627</v>
      </c>
      <c r="L15" s="0" t="n">
        <f aca="false">L13-MAX(0,L13)*L14/100</f>
        <v>16818.2361759686</v>
      </c>
    </row>
    <row r="16" customFormat="false" ht="15" hidden="false" customHeight="false" outlineLevel="0" collapsed="false">
      <c r="A16" s="0" t="s">
        <v>135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136</v>
      </c>
      <c r="C17" s="4" t="n">
        <f aca="false">-C6*Assumptions!C32/100</f>
        <v>-6265.4697</v>
      </c>
      <c r="D17" s="4" t="n">
        <f aca="false">-D6*Assumptions!D32/100</f>
        <v>-8980.5545445</v>
      </c>
      <c r="E17" s="4" t="n">
        <f aca="false">-E6*Assumptions!E32/100</f>
        <v>-7932.03218808</v>
      </c>
      <c r="F17" s="4" t="n">
        <f aca="false">-F6*Assumptions!F32/100</f>
        <v>-7497.4040965824</v>
      </c>
      <c r="G17" s="4" t="n">
        <f aca="false">-G6*Assumptions!G32/100</f>
        <v>-6962.87967192418</v>
      </c>
      <c r="H17" s="4" t="n">
        <f aca="false">-H6*Assumptions!H32/100</f>
        <v>-6335.50962174242</v>
      </c>
      <c r="I17" s="4" t="n">
        <f aca="false">-I6*Assumptions!I32/100</f>
        <v>-5620.56817099689</v>
      </c>
      <c r="J17" s="4" t="n">
        <f aca="false">-J6*Assumptions!J32/100</f>
        <v>-5789.1852161268</v>
      </c>
      <c r="K17" s="4" t="n">
        <f aca="false">-K6*Assumptions!K32/100</f>
        <v>-5962.8607726106</v>
      </c>
      <c r="L17" s="4" t="n">
        <f aca="false">-L6*Assumptions!L32/100</f>
        <v>-6141.74659578892</v>
      </c>
    </row>
    <row r="18" customFormat="false" ht="15" hidden="false" customHeight="false" outlineLevel="0" collapsed="false">
      <c r="A18" s="0" t="s">
        <v>137</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138</v>
      </c>
      <c r="C19" s="0" t="n">
        <f aca="false">C15+C16+C17+C18</f>
        <v>6531.728175</v>
      </c>
      <c r="D19" s="0" t="n">
        <f aca="false">D15+D16+D17+D18</f>
        <v>4254.6505155</v>
      </c>
      <c r="E19" s="0" t="n">
        <f aca="false">E15+E16+E17+E18</f>
        <v>5689.19968617</v>
      </c>
      <c r="F19" s="0" t="n">
        <f aca="false">F15+F16+F17+F18</f>
        <v>6519.5604089616</v>
      </c>
      <c r="G19" s="0" t="n">
        <f aca="false">G15+G16+G17+G18</f>
        <v>7544.67859131386</v>
      </c>
      <c r="H19" s="0" t="n">
        <f aca="false">H15+H16+H17+H18</f>
        <v>8607.27538939276</v>
      </c>
      <c r="I19" s="0" t="n">
        <f aca="false">I15+I16+I17+I18</f>
        <v>9770.50039047235</v>
      </c>
      <c r="J19" s="0" t="n">
        <f aca="false">J15+J16+J17+J18</f>
        <v>10063.6154021865</v>
      </c>
      <c r="K19" s="0" t="n">
        <f aca="false">K15+K16+K17+K18</f>
        <v>10365.5238642521</v>
      </c>
      <c r="L19" s="0" t="n">
        <f aca="false">L15+L16+L17+L18</f>
        <v>10676.4895801797</v>
      </c>
    </row>
    <row r="20" customFormat="false" ht="15" hidden="false" customHeight="false" outlineLevel="0" collapsed="false">
      <c r="A20" s="0" t="s">
        <v>139</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140</v>
      </c>
      <c r="C21" s="0" t="n">
        <f aca="false">C19*C20</f>
        <v>5911.06622171946</v>
      </c>
      <c r="D21" s="0" t="n">
        <f aca="false">D19*D20</f>
        <v>3484.49091173399</v>
      </c>
      <c r="E21" s="0" t="n">
        <f aca="false">E19*E20</f>
        <v>4216.61882521555</v>
      </c>
      <c r="F21" s="0" t="n">
        <f aca="false">F19*F20</f>
        <v>4372.89653349698</v>
      </c>
      <c r="G21" s="0" t="n">
        <f aca="false">G19*G20</f>
        <v>4579.61904887783</v>
      </c>
      <c r="H21" s="0" t="n">
        <f aca="false">H19*H20</f>
        <v>4728.15853823095</v>
      </c>
      <c r="I21" s="0" t="n">
        <f aca="false">I19*I20</f>
        <v>4857.14266981946</v>
      </c>
      <c r="J21" s="0" t="n">
        <f aca="false">J19*J20</f>
        <v>4527.47235286339</v>
      </c>
      <c r="K21" s="0" t="n">
        <f aca="false">K19*K20</f>
        <v>4220.17784927538</v>
      </c>
      <c r="L21" s="0" t="n">
        <f aca="false">L19*L20</f>
        <v>3933.74043869107</v>
      </c>
    </row>
    <row r="23" customFormat="false" ht="15" hidden="false" customHeight="false" outlineLevel="0" collapsed="false">
      <c r="A23" s="0" t="s">
        <v>116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141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142</v>
      </c>
    </row>
    <row r="27" customFormat="false" ht="15" hidden="false" customHeight="false" outlineLevel="0" collapsed="false">
      <c r="A27" s="0" t="s">
        <v>120</v>
      </c>
      <c r="B27" s="4" t="n">
        <f aca="false">Assumptions!$B$34</f>
        <v>10.5</v>
      </c>
    </row>
    <row r="28" customFormat="false" ht="15" hidden="false" customHeight="false" outlineLevel="0" collapsed="false">
      <c r="A28" s="0" t="s">
        <v>121</v>
      </c>
      <c r="B28" s="4" t="n">
        <f aca="false">Assumptions!$B$35</f>
        <v>3</v>
      </c>
    </row>
    <row r="29" customFormat="false" ht="15" hidden="false" customHeight="false" outlineLevel="0" collapsed="false">
      <c r="A29" s="0" t="s">
        <v>122</v>
      </c>
      <c r="B29" s="4" t="n">
        <f aca="false">Assumptions!$B$36</f>
        <v>18</v>
      </c>
    </row>
    <row r="30" customFormat="false" ht="15" hidden="false" customHeight="false" outlineLevel="0" collapsed="false">
      <c r="A30" s="0" t="s">
        <v>143</v>
      </c>
      <c r="B30" s="0" t="n">
        <f aca="false">SUM(C21:L21)</f>
        <v>44831.3833899241</v>
      </c>
    </row>
    <row r="31" customFormat="false" ht="15" hidden="false" customHeight="false" outlineLevel="0" collapsed="false">
      <c r="A31" s="0" t="s">
        <v>144</v>
      </c>
      <c r="B31" s="0" t="n">
        <f aca="false">L19</f>
        <v>10676.4895801797</v>
      </c>
    </row>
    <row r="32" customFormat="false" ht="15" hidden="false" customHeight="false" outlineLevel="0" collapsed="false">
      <c r="A32" s="0" t="s">
        <v>145</v>
      </c>
      <c r="B32" s="0" t="n">
        <f aca="false">IF(B27&gt;B28,B31*(1+B28/100)/((B27-B28)/100),B31*B29)</f>
        <v>146623.790234468</v>
      </c>
    </row>
    <row r="33" customFormat="false" ht="15" hidden="false" customHeight="false" outlineLevel="0" collapsed="false">
      <c r="A33" s="0" t="s">
        <v>146</v>
      </c>
      <c r="B33" s="0" t="n">
        <f aca="false">B31*B29</f>
        <v>192176.812443234</v>
      </c>
    </row>
    <row r="34" customFormat="false" ht="15" hidden="false" customHeight="false" outlineLevel="0" collapsed="false">
      <c r="A34" s="0" t="s">
        <v>147</v>
      </c>
      <c r="B34" s="0" t="n">
        <f aca="false">MAX(0,MIN(B32,B33))</f>
        <v>146623.790234468</v>
      </c>
    </row>
    <row r="35" customFormat="false" ht="15" hidden="false" customHeight="false" outlineLevel="0" collapsed="false">
      <c r="A35" s="0" t="s">
        <v>148</v>
      </c>
      <c r="B35" s="0" t="n">
        <f aca="false">B34/(1+B27/100)^L4</f>
        <v>54023.3686913574</v>
      </c>
    </row>
    <row r="36" customFormat="false" ht="15" hidden="false" customHeight="false" outlineLevel="0" collapsed="false">
      <c r="A36" s="0" t="s">
        <v>149</v>
      </c>
      <c r="B36" s="0" t="n">
        <f aca="false">B30+B35</f>
        <v>98854.7520812815</v>
      </c>
    </row>
    <row r="37" customFormat="false" ht="15" hidden="false" customHeight="false" outlineLevel="0" collapsed="false">
      <c r="A37" s="0" t="s">
        <v>150</v>
      </c>
      <c r="B37" s="0" t="n">
        <f aca="false">B36+Assumptions!$B$5-Assumptions!$B$4</f>
        <v>98854.7520812815</v>
      </c>
    </row>
    <row r="38" customFormat="false" ht="15" hidden="false" customHeight="false" outlineLevel="0" collapsed="false">
      <c r="A38" s="0" t="s">
        <v>151</v>
      </c>
      <c r="B38" s="0" t="n">
        <f aca="false">B37/Assumptions!$B$3*Assumptions!$B$10</f>
        <v>10.2171090950963</v>
      </c>
    </row>
    <row r="39" customFormat="false" ht="15" hidden="false" customHeight="false" outlineLevel="0" collapsed="false">
      <c r="A39" s="0" t="s">
        <v>152</v>
      </c>
      <c r="B39" s="4" t="n">
        <f aca="false">B38/Assumptions!$B$2-1</f>
        <v>0.595177064027519</v>
      </c>
    </row>
    <row r="41" customFormat="false" ht="15" hidden="false" customHeight="false" outlineLevel="0" collapsed="false">
      <c r="A41" s="0" t="s">
        <v>153</v>
      </c>
      <c r="B41" s="0" t="n">
        <f aca="false">SUMPRODUCT(-C10:L10/(1+$B$27/100)^C4:L4)</f>
        <v>0</v>
      </c>
    </row>
    <row r="42" customFormat="false" ht="15" hidden="false" customHeight="false" outlineLevel="0" collapsed="false">
      <c r="A42" s="0" t="s">
        <v>154</v>
      </c>
      <c r="B42" s="0" t="n">
        <f aca="false">IF(B27&gt;B28,-L10*(1+B28/100)/((B27-B28)/100),-L10*20)/(1+B27/100)^L4</f>
        <v>0</v>
      </c>
    </row>
    <row r="43" customFormat="false" ht="15" hidden="false" customHeight="false" outlineLevel="0" collapsed="false">
      <c r="A43" s="0" t="s">
        <v>155</v>
      </c>
      <c r="B43" s="0" t="n">
        <f aca="false">(B37+B41+B42)/Assumptions!$B$3*Assumptions!$B$10</f>
        <v>10.2171090950963</v>
      </c>
    </row>
    <row r="45" customFormat="false" ht="15" hidden="false" customHeight="false" outlineLevel="0" collapsed="false">
      <c r="A45" s="0" t="s">
        <v>95</v>
      </c>
      <c r="B45" s="4" t="n">
        <f aca="false">Assumptions!$B$6</f>
        <v>15</v>
      </c>
    </row>
    <row r="46" customFormat="false" ht="15" hidden="false" customHeight="false" outlineLevel="0" collapsed="false">
      <c r="A46" s="0" t="s">
        <v>156</v>
      </c>
      <c r="B46" s="0" t="n">
        <f aca="false">MAX(0,MIN(IF(B45&gt;B28,B31*(1+B28/100)/((B45-B28)/100),B31*B29),B31*B29))</f>
        <v>91639.8688965422</v>
      </c>
    </row>
    <row r="47" customFormat="false" ht="15" hidden="false" customHeight="false" outlineLevel="0" collapsed="false">
      <c r="A47" s="0" t="s">
        <v>157</v>
      </c>
      <c r="B47" s="0" t="n">
        <f aca="false">(SUMPRODUCT(C19:L19/(1+B45/100)^C4:L4)+B46/(1+B45/100)^L4+Assumptions!$B$5-Assumptions!$B$4)/Assumptions!$B$3*Assumptions!$B$10</f>
        <v>6.10184664785155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159</v>
      </c>
    </row>
    <row r="3" customFormat="false" ht="15" hidden="false" customHeight="false" outlineLevel="0" collapsed="false">
      <c r="A3" s="0" t="s">
        <v>128</v>
      </c>
      <c r="B3" s="0" t="s">
        <v>98</v>
      </c>
      <c r="C3" s="2" t="s">
        <v>103</v>
      </c>
      <c r="D3" s="2" t="s">
        <v>104</v>
      </c>
      <c r="E3" s="2" t="s">
        <v>105</v>
      </c>
      <c r="F3" s="2" t="s">
        <v>106</v>
      </c>
      <c r="G3" s="2" t="s">
        <v>107</v>
      </c>
      <c r="H3" s="2" t="s">
        <v>108</v>
      </c>
      <c r="I3" s="2" t="s">
        <v>109</v>
      </c>
      <c r="J3" s="2" t="s">
        <v>110</v>
      </c>
      <c r="K3" s="2" t="s">
        <v>111</v>
      </c>
      <c r="L3" s="2" t="s">
        <v>112</v>
      </c>
    </row>
    <row r="4" customFormat="false" ht="15" hidden="false" customHeight="false" outlineLevel="0" collapsed="false">
      <c r="A4" s="0" t="s">
        <v>129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113</v>
      </c>
      <c r="C5" s="4" t="n">
        <f aca="false">Assumptions!C41</f>
        <v>7</v>
      </c>
      <c r="D5" s="4" t="n">
        <f aca="false">Assumptions!D41</f>
        <v>6</v>
      </c>
      <c r="E5" s="4" t="n">
        <f aca="false">Assumptions!E41</f>
        <v>5</v>
      </c>
      <c r="F5" s="4" t="n">
        <f aca="false">Assumptions!F41</f>
        <v>5</v>
      </c>
      <c r="G5" s="4" t="n">
        <f aca="false">Assumptions!G41</f>
        <v>4.5</v>
      </c>
      <c r="H5" s="4" t="n">
        <f aca="false">Assumptions!H41</f>
        <v>4</v>
      </c>
      <c r="I5" s="4" t="n">
        <f aca="false">Assumptions!I41</f>
        <v>4</v>
      </c>
      <c r="J5" s="4" t="n">
        <f aca="false">Assumptions!J41</f>
        <v>3.5</v>
      </c>
      <c r="K5" s="4" t="n">
        <f aca="false">Assumptions!K41</f>
        <v>3.5</v>
      </c>
      <c r="L5" s="4" t="n">
        <f aca="false">Assumptions!L41</f>
        <v>3.5</v>
      </c>
    </row>
    <row r="6" customFormat="false" ht="15" hidden="false" customHeight="false" outlineLevel="0" collapsed="false">
      <c r="A6" s="0" t="s">
        <v>38</v>
      </c>
      <c r="B6" s="3" t="n">
        <v>30460</v>
      </c>
      <c r="C6" s="0" t="n">
        <f aca="false">B6*(1+C5/100)</f>
        <v>32592.2</v>
      </c>
      <c r="D6" s="0" t="n">
        <f aca="false">C6*(1+D5/100)</f>
        <v>34547.732</v>
      </c>
      <c r="E6" s="0" t="n">
        <f aca="false">D6*(1+E5/100)</f>
        <v>36275.1186</v>
      </c>
      <c r="F6" s="0" t="n">
        <f aca="false">E6*(1+F5/100)</f>
        <v>38088.87453</v>
      </c>
      <c r="G6" s="0" t="n">
        <f aca="false">F6*(1+G5/100)</f>
        <v>39802.87388385</v>
      </c>
      <c r="H6" s="0" t="n">
        <f aca="false">G6*(1+H5/100)</f>
        <v>41394.988839204</v>
      </c>
      <c r="I6" s="0" t="n">
        <f aca="false">H6*(1+I5/100)</f>
        <v>43050.7883927722</v>
      </c>
      <c r="J6" s="0" t="n">
        <f aca="false">I6*(1+J5/100)</f>
        <v>44557.5659865192</v>
      </c>
      <c r="K6" s="0" t="n">
        <f aca="false">J6*(1+K5/100)</f>
        <v>46117.0807960474</v>
      </c>
      <c r="L6" s="0" t="n">
        <f aca="false">K6*(1+L5/100)</f>
        <v>47731.178623909</v>
      </c>
    </row>
    <row r="7" customFormat="false" ht="15" hidden="false" customHeight="false" outlineLevel="0" collapsed="false">
      <c r="A7" s="0" t="s">
        <v>114</v>
      </c>
      <c r="C7" s="4" t="n">
        <f aca="false">Assumptions!C42</f>
        <v>50</v>
      </c>
      <c r="D7" s="4" t="n">
        <f aca="false">Assumptions!D42</f>
        <v>50.5</v>
      </c>
      <c r="E7" s="4" t="n">
        <f aca="false">Assumptions!E42</f>
        <v>51</v>
      </c>
      <c r="F7" s="4" t="n">
        <f aca="false">Assumptions!F42</f>
        <v>51</v>
      </c>
      <c r="G7" s="4" t="n">
        <f aca="false">Assumptions!G42</f>
        <v>51</v>
      </c>
      <c r="H7" s="4" t="n">
        <f aca="false">Assumptions!H42</f>
        <v>51</v>
      </c>
      <c r="I7" s="4" t="n">
        <f aca="false">Assumptions!I42</f>
        <v>51</v>
      </c>
      <c r="J7" s="4" t="n">
        <f aca="false">Assumptions!J42</f>
        <v>51</v>
      </c>
      <c r="K7" s="4" t="n">
        <f aca="false">Assumptions!K42</f>
        <v>51</v>
      </c>
      <c r="L7" s="4" t="n">
        <f aca="false">Assumptions!L42</f>
        <v>51</v>
      </c>
    </row>
    <row r="8" customFormat="false" ht="15" hidden="false" customHeight="false" outlineLevel="0" collapsed="false">
      <c r="A8" s="0" t="s">
        <v>44</v>
      </c>
      <c r="C8" s="0" t="n">
        <f aca="false">C6*C7/100</f>
        <v>16296.1</v>
      </c>
      <c r="D8" s="0" t="n">
        <f aca="false">D6*D7/100</f>
        <v>17446.60466</v>
      </c>
      <c r="E8" s="0" t="n">
        <f aca="false">E6*E7/100</f>
        <v>18500.310486</v>
      </c>
      <c r="F8" s="0" t="n">
        <f aca="false">F6*F7/100</f>
        <v>19425.3260103</v>
      </c>
      <c r="G8" s="0" t="n">
        <f aca="false">G6*G7/100</f>
        <v>20299.4656807635</v>
      </c>
      <c r="H8" s="0" t="n">
        <f aca="false">H6*H7/100</f>
        <v>21111.444307994</v>
      </c>
      <c r="I8" s="0" t="n">
        <f aca="false">I6*I7/100</f>
        <v>21955.9020803138</v>
      </c>
      <c r="J8" s="0" t="n">
        <f aca="false">J6*J7/100</f>
        <v>22724.3586531248</v>
      </c>
      <c r="K8" s="0" t="n">
        <f aca="false">K6*K7/100</f>
        <v>23519.7112059842</v>
      </c>
      <c r="L8" s="0" t="n">
        <f aca="false">L6*L7/100</f>
        <v>24342.9010981936</v>
      </c>
    </row>
    <row r="9" customFormat="false" ht="15" hidden="false" customHeight="false" outlineLevel="0" collapsed="false">
      <c r="A9" s="0" t="s">
        <v>115</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130</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131</v>
      </c>
      <c r="C11" s="0" t="n">
        <f aca="false">C8+C10+C24</f>
        <v>16296.1</v>
      </c>
      <c r="D11" s="0" t="n">
        <f aca="false">D8+D10+D24</f>
        <v>17446.60466</v>
      </c>
      <c r="E11" s="0" t="n">
        <f aca="false">E8+E10+E24</f>
        <v>18500.310486</v>
      </c>
      <c r="F11" s="0" t="n">
        <f aca="false">F8+F10+F24</f>
        <v>19425.3260103</v>
      </c>
      <c r="G11" s="0" t="n">
        <f aca="false">G8+G10+G24</f>
        <v>20299.4656807635</v>
      </c>
      <c r="H11" s="0" t="n">
        <f aca="false">H8+H10+H24</f>
        <v>21111.444307994</v>
      </c>
      <c r="I11" s="0" t="n">
        <f aca="false">I8+I10+I24</f>
        <v>21955.9020803138</v>
      </c>
      <c r="J11" s="0" t="n">
        <f aca="false">J8+J10+J24</f>
        <v>22724.3586531248</v>
      </c>
      <c r="K11" s="0" t="n">
        <f aca="false">K8+K10+K24</f>
        <v>23519.7112059842</v>
      </c>
      <c r="L11" s="0" t="n">
        <f aca="false">L8+L10+L24</f>
        <v>24342.9010981936</v>
      </c>
    </row>
    <row r="12" customFormat="false" ht="15" hidden="false" customHeight="false" outlineLevel="0" collapsed="false">
      <c r="A12" s="0" t="s">
        <v>132</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133</v>
      </c>
      <c r="C13" s="0" t="n">
        <f aca="false">C11+C12</f>
        <v>16296.1</v>
      </c>
      <c r="D13" s="0" t="n">
        <f aca="false">D11+D12</f>
        <v>17446.60466</v>
      </c>
      <c r="E13" s="0" t="n">
        <f aca="false">E11+E12</f>
        <v>18500.310486</v>
      </c>
      <c r="F13" s="0" t="n">
        <f aca="false">F11+F12</f>
        <v>19425.3260103</v>
      </c>
      <c r="G13" s="0" t="n">
        <f aca="false">G11+G12</f>
        <v>20299.4656807635</v>
      </c>
      <c r="H13" s="0" t="n">
        <f aca="false">H11+H12</f>
        <v>21111.444307994</v>
      </c>
      <c r="I13" s="0" t="n">
        <f aca="false">I11+I12</f>
        <v>21955.9020803138</v>
      </c>
      <c r="J13" s="0" t="n">
        <f aca="false">J11+J12</f>
        <v>22724.3586531248</v>
      </c>
      <c r="K13" s="0" t="n">
        <f aca="false">K11+K12</f>
        <v>23519.7112059842</v>
      </c>
      <c r="L13" s="0" t="n">
        <f aca="false">L11+L12</f>
        <v>24342.9010981936</v>
      </c>
    </row>
    <row r="14" customFormat="false" ht="15" hidden="false" customHeight="false" outlineLevel="0" collapsed="false">
      <c r="A14" s="0" t="s">
        <v>119</v>
      </c>
      <c r="C14" s="4" t="n">
        <f aca="false">Assumptions!C47</f>
        <v>17</v>
      </c>
      <c r="D14" s="4" t="n">
        <f aca="false">Assumptions!D47</f>
        <v>17</v>
      </c>
      <c r="E14" s="4" t="n">
        <f aca="false">Assumptions!E47</f>
        <v>17</v>
      </c>
      <c r="F14" s="4" t="n">
        <f aca="false">Assumptions!F47</f>
        <v>17</v>
      </c>
      <c r="G14" s="4" t="n">
        <f aca="false">Assumptions!G47</f>
        <v>17</v>
      </c>
      <c r="H14" s="4" t="n">
        <f aca="false">Assumptions!H47</f>
        <v>17</v>
      </c>
      <c r="I14" s="4" t="n">
        <f aca="false">Assumptions!I47</f>
        <v>17</v>
      </c>
      <c r="J14" s="4" t="n">
        <f aca="false">Assumptions!J47</f>
        <v>17</v>
      </c>
      <c r="K14" s="4" t="n">
        <f aca="false">Assumptions!K47</f>
        <v>17</v>
      </c>
      <c r="L14" s="4" t="n">
        <f aca="false">Assumptions!L47</f>
        <v>17</v>
      </c>
    </row>
    <row r="15" customFormat="false" ht="15" hidden="false" customHeight="false" outlineLevel="0" collapsed="false">
      <c r="A15" s="0" t="s">
        <v>134</v>
      </c>
      <c r="C15" s="0" t="n">
        <f aca="false">C13-MAX(0,C13)*C14/100</f>
        <v>13525.763</v>
      </c>
      <c r="D15" s="0" t="n">
        <f aca="false">D13-MAX(0,D13)*D14/100</f>
        <v>14480.6818678</v>
      </c>
      <c r="E15" s="0" t="n">
        <f aca="false">E13-MAX(0,E13)*E14/100</f>
        <v>15355.25770338</v>
      </c>
      <c r="F15" s="0" t="n">
        <f aca="false">F13-MAX(0,F13)*F14/100</f>
        <v>16123.020588549</v>
      </c>
      <c r="G15" s="0" t="n">
        <f aca="false">G13-MAX(0,G13)*G14/100</f>
        <v>16848.5565150337</v>
      </c>
      <c r="H15" s="0" t="n">
        <f aca="false">H13-MAX(0,H13)*H14/100</f>
        <v>17522.4987756351</v>
      </c>
      <c r="I15" s="0" t="n">
        <f aca="false">I13-MAX(0,I13)*I14/100</f>
        <v>18223.3987266605</v>
      </c>
      <c r="J15" s="0" t="n">
        <f aca="false">J13-MAX(0,J13)*J14/100</f>
        <v>18861.2176820936</v>
      </c>
      <c r="K15" s="0" t="n">
        <f aca="false">K13-MAX(0,K13)*K14/100</f>
        <v>19521.3603009668</v>
      </c>
      <c r="L15" s="0" t="n">
        <f aca="false">L13-MAX(0,L13)*L14/100</f>
        <v>20204.6079115007</v>
      </c>
    </row>
    <row r="16" customFormat="false" ht="15" hidden="false" customHeight="false" outlineLevel="0" collapsed="false">
      <c r="A16" s="0" t="s">
        <v>135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136</v>
      </c>
      <c r="C17" s="4" t="n">
        <f aca="false">-C6*Assumptions!C46/100</f>
        <v>-6267.48006</v>
      </c>
      <c r="D17" s="4" t="n">
        <f aca="false">-D6*Assumptions!D46/100</f>
        <v>-2083.2282396</v>
      </c>
      <c r="E17" s="4" t="n">
        <f aca="false">-E6*Assumptions!E46/100</f>
        <v>-7588.75481112</v>
      </c>
      <c r="F17" s="4" t="n">
        <f aca="false">-F6*Assumptions!F46/100</f>
        <v>-7168.326186546</v>
      </c>
      <c r="G17" s="4" t="n">
        <f aca="false">-G6*Assumptions!G46/100</f>
        <v>-6659.02080076811</v>
      </c>
      <c r="H17" s="4" t="n">
        <f aca="false">-H6*Assumptions!H46/100</f>
        <v>-6925.38163279883</v>
      </c>
      <c r="I17" s="4" t="n">
        <f aca="false">-I6*Assumptions!I46/100</f>
        <v>-6302.63542070185</v>
      </c>
      <c r="J17" s="4" t="n">
        <f aca="false">-J6*Assumptions!J46/100</f>
        <v>-6523.22766042641</v>
      </c>
      <c r="K17" s="4" t="n">
        <f aca="false">-K6*Assumptions!K46/100</f>
        <v>-6751.54062854134</v>
      </c>
      <c r="L17" s="4" t="n">
        <f aca="false">-L6*Assumptions!L46/100</f>
        <v>-6987.84455054028</v>
      </c>
    </row>
    <row r="18" customFormat="false" ht="15" hidden="false" customHeight="false" outlineLevel="0" collapsed="false">
      <c r="A18" s="0" t="s">
        <v>137</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138</v>
      </c>
      <c r="C19" s="0" t="n">
        <f aca="false">C15+C16+C17+C18</f>
        <v>7258.28294</v>
      </c>
      <c r="D19" s="0" t="n">
        <f aca="false">D15+D16+D17+D18</f>
        <v>12397.4536282</v>
      </c>
      <c r="E19" s="0" t="n">
        <f aca="false">E15+E16+E17+E18</f>
        <v>7766.50289226</v>
      </c>
      <c r="F19" s="0" t="n">
        <f aca="false">F15+F16+F17+F18</f>
        <v>8954.694402003</v>
      </c>
      <c r="G19" s="0" t="n">
        <f aca="false">G15+G16+G17+G18</f>
        <v>10189.5357142656</v>
      </c>
      <c r="H19" s="0" t="n">
        <f aca="false">H15+H16+H17+H18</f>
        <v>10597.1171428362</v>
      </c>
      <c r="I19" s="0" t="n">
        <f aca="false">I15+I16+I17+I18</f>
        <v>11920.7633059586</v>
      </c>
      <c r="J19" s="0" t="n">
        <f aca="false">J15+J16+J17+J18</f>
        <v>12337.9900216672</v>
      </c>
      <c r="K19" s="0" t="n">
        <f aca="false">K15+K16+K17+K18</f>
        <v>12769.8196724255</v>
      </c>
      <c r="L19" s="0" t="n">
        <f aca="false">L15+L16+L17+L18</f>
        <v>13216.7633609604</v>
      </c>
    </row>
    <row r="20" customFormat="false" ht="15" hidden="false" customHeight="false" outlineLevel="0" collapsed="false">
      <c r="A20" s="0" t="s">
        <v>139</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140</v>
      </c>
      <c r="C21" s="0" t="n">
        <f aca="false">C19*C20</f>
        <v>6568.58184615385</v>
      </c>
      <c r="D21" s="0" t="n">
        <f aca="false">D19*D20</f>
        <v>10153.3167856514</v>
      </c>
      <c r="E21" s="0" t="n">
        <f aca="false">E19*E20</f>
        <v>5756.23709978107</v>
      </c>
      <c r="F21" s="0" t="n">
        <f aca="false">F19*F20</f>
        <v>6006.22582700796</v>
      </c>
      <c r="G21" s="0" t="n">
        <f aca="false">G19*G20</f>
        <v>6185.04702241337</v>
      </c>
      <c r="H21" s="0" t="n">
        <f aca="false">H19*H20</f>
        <v>5821.22072697729</v>
      </c>
      <c r="I21" s="0" t="n">
        <f aca="false">I19*I20</f>
        <v>5926.08830625004</v>
      </c>
      <c r="J21" s="0" t="n">
        <f aca="false">J19*J20</f>
        <v>5550.67999725683</v>
      </c>
      <c r="K21" s="0" t="n">
        <f aca="false">K19*K20</f>
        <v>5199.05321010029</v>
      </c>
      <c r="L21" s="0" t="n">
        <f aca="false">L19*L20</f>
        <v>4869.70142303511</v>
      </c>
    </row>
    <row r="23" customFormat="false" ht="15" hidden="false" customHeight="false" outlineLevel="0" collapsed="false">
      <c r="A23" s="0" t="s">
        <v>116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141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142</v>
      </c>
    </row>
    <row r="27" customFormat="false" ht="15" hidden="false" customHeight="false" outlineLevel="0" collapsed="false">
      <c r="A27" s="0" t="s">
        <v>120</v>
      </c>
      <c r="B27" s="4" t="n">
        <f aca="false">Assumptions!$B$48</f>
        <v>10.5</v>
      </c>
    </row>
    <row r="28" customFormat="false" ht="15" hidden="false" customHeight="false" outlineLevel="0" collapsed="false">
      <c r="A28" s="0" t="s">
        <v>121</v>
      </c>
      <c r="B28" s="4" t="n">
        <f aca="false">Assumptions!$B$49</f>
        <v>3.5</v>
      </c>
    </row>
    <row r="29" customFormat="false" ht="15" hidden="false" customHeight="false" outlineLevel="0" collapsed="false">
      <c r="A29" s="0" t="s">
        <v>122</v>
      </c>
      <c r="B29" s="4" t="n">
        <f aca="false">Assumptions!$B$50</f>
        <v>18</v>
      </c>
    </row>
    <row r="30" customFormat="false" ht="15" hidden="false" customHeight="false" outlineLevel="0" collapsed="false">
      <c r="A30" s="0" t="s">
        <v>143</v>
      </c>
      <c r="B30" s="0" t="n">
        <f aca="false">SUM(C21:L21)</f>
        <v>62036.1522446272</v>
      </c>
    </row>
    <row r="31" customFormat="false" ht="15" hidden="false" customHeight="false" outlineLevel="0" collapsed="false">
      <c r="A31" s="0" t="s">
        <v>144</v>
      </c>
      <c r="B31" s="0" t="n">
        <f aca="false">L19</f>
        <v>13216.7633609604</v>
      </c>
    </row>
    <row r="32" customFormat="false" ht="15" hidden="false" customHeight="false" outlineLevel="0" collapsed="false">
      <c r="A32" s="0" t="s">
        <v>145</v>
      </c>
      <c r="B32" s="0" t="n">
        <f aca="false">IF(B27&gt;B28,B31*(1+B28/100)/((B27-B28)/100),B31*B29)</f>
        <v>195419.286837057</v>
      </c>
    </row>
    <row r="33" customFormat="false" ht="15" hidden="false" customHeight="false" outlineLevel="0" collapsed="false">
      <c r="A33" s="0" t="s">
        <v>146</v>
      </c>
      <c r="B33" s="0" t="n">
        <f aca="false">B31*B29</f>
        <v>237901.740497287</v>
      </c>
    </row>
    <row r="34" customFormat="false" ht="15" hidden="false" customHeight="false" outlineLevel="0" collapsed="false">
      <c r="A34" s="0" t="s">
        <v>147</v>
      </c>
      <c r="B34" s="0" t="n">
        <f aca="false">MAX(0,MIN(B32,B33))</f>
        <v>195419.286837057</v>
      </c>
    </row>
    <row r="35" customFormat="false" ht="15" hidden="false" customHeight="false" outlineLevel="0" collapsed="false">
      <c r="A35" s="0" t="s">
        <v>148</v>
      </c>
      <c r="B35" s="0" t="n">
        <f aca="false">B34/(1+B27/100)^L4</f>
        <v>72002.0138977334</v>
      </c>
    </row>
    <row r="36" customFormat="false" ht="15" hidden="false" customHeight="false" outlineLevel="0" collapsed="false">
      <c r="A36" s="0" t="s">
        <v>149</v>
      </c>
      <c r="B36" s="0" t="n">
        <f aca="false">B30+B35</f>
        <v>134038.166142361</v>
      </c>
    </row>
    <row r="37" customFormat="false" ht="15" hidden="false" customHeight="false" outlineLevel="0" collapsed="false">
      <c r="A37" s="0" t="s">
        <v>150</v>
      </c>
      <c r="B37" s="0" t="n">
        <f aca="false">B36+Assumptions!$B$5-Assumptions!$B$4</f>
        <v>134038.166142361</v>
      </c>
    </row>
    <row r="38" customFormat="false" ht="15" hidden="false" customHeight="false" outlineLevel="0" collapsed="false">
      <c r="A38" s="0" t="s">
        <v>151</v>
      </c>
      <c r="B38" s="0" t="n">
        <f aca="false">B37/Assumptions!$B$3*Assumptions!$B$10</f>
        <v>13.8534823824868</v>
      </c>
    </row>
    <row r="39" customFormat="false" ht="15" hidden="false" customHeight="false" outlineLevel="0" collapsed="false">
      <c r="A39" s="0" t="s">
        <v>152</v>
      </c>
      <c r="B39" s="4" t="n">
        <f aca="false">B38/Assumptions!$B$2-1</f>
        <v>1.1629168434796</v>
      </c>
    </row>
    <row r="41" customFormat="false" ht="15" hidden="false" customHeight="false" outlineLevel="0" collapsed="false">
      <c r="A41" s="0" t="s">
        <v>153</v>
      </c>
      <c r="B41" s="0" t="n">
        <f aca="false">SUMPRODUCT(-C10:L10/(1+$B$27/100)^C4:L4)</f>
        <v>0</v>
      </c>
    </row>
    <row r="42" customFormat="false" ht="15" hidden="false" customHeight="false" outlineLevel="0" collapsed="false">
      <c r="A42" s="0" t="s">
        <v>154</v>
      </c>
      <c r="B42" s="0" t="n">
        <f aca="false">IF(B27&gt;B28,-L10*(1+B28/100)/((B27-B28)/100),-L10*20)/(1+B27/100)^L4</f>
        <v>0</v>
      </c>
    </row>
    <row r="43" customFormat="false" ht="15" hidden="false" customHeight="false" outlineLevel="0" collapsed="false">
      <c r="A43" s="0" t="s">
        <v>155</v>
      </c>
      <c r="B43" s="0" t="n">
        <f aca="false">(B37+B41+B42)/Assumptions!$B$3*Assumptions!$B$10</f>
        <v>13.8534823824868</v>
      </c>
    </row>
    <row r="45" customFormat="false" ht="15" hidden="false" customHeight="false" outlineLevel="0" collapsed="false">
      <c r="A45" s="0" t="s">
        <v>95</v>
      </c>
      <c r="B45" s="4" t="n">
        <f aca="false">Assumptions!$B$6</f>
        <v>15</v>
      </c>
    </row>
    <row r="46" customFormat="false" ht="15" hidden="false" customHeight="false" outlineLevel="0" collapsed="false">
      <c r="A46" s="0" t="s">
        <v>156</v>
      </c>
      <c r="B46" s="0" t="n">
        <f aca="false">MAX(0,MIN(IF(B45&gt;B28,B31*(1+B28/100)/((B45-B28)/100),B31*B29),B31*B29))</f>
        <v>118950.870248644</v>
      </c>
    </row>
    <row r="47" customFormat="false" ht="15" hidden="false" customHeight="false" outlineLevel="0" collapsed="false">
      <c r="A47" s="0" t="s">
        <v>157</v>
      </c>
      <c r="B47" s="0" t="n">
        <f aca="false">(SUMPRODUCT(C19:L19/(1+B45/100)^C4:L4)+B46/(1+B45/100)^L4+Assumptions!$B$5-Assumptions!$B$4)/Assumptions!$B$3*Assumptions!$B$10</f>
        <v>8.30706380892935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160</v>
      </c>
    </row>
    <row r="3" customFormat="false" ht="15" hidden="false" customHeight="false" outlineLevel="0" collapsed="false">
      <c r="A3" s="2" t="s">
        <v>161</v>
      </c>
      <c r="B3" s="2" t="s">
        <v>162</v>
      </c>
      <c r="C3" s="2" t="s">
        <v>152</v>
      </c>
      <c r="D3" s="2" t="s">
        <v>163</v>
      </c>
      <c r="E3" s="2" t="s">
        <v>155</v>
      </c>
      <c r="F3" s="2" t="s">
        <v>164</v>
      </c>
    </row>
    <row r="4" customFormat="false" ht="15" hidden="false" customHeight="false" outlineLevel="0" collapsed="false">
      <c r="A4" s="0" t="s">
        <v>165</v>
      </c>
      <c r="B4" s="4" t="n">
        <f aca="false">DCF_Bear!$B$38</f>
        <v>5.99950626293062</v>
      </c>
      <c r="C4" s="0" t="n">
        <f aca="false">B4/Assumptions!$B$2-1</f>
        <v>-0.0633089363105979</v>
      </c>
      <c r="D4" s="4" t="n">
        <f aca="false">Assumptions!$B$24</f>
        <v>0.3</v>
      </c>
      <c r="E4" s="4" t="n">
        <f aca="false">DCF_Bear!$B$43</f>
        <v>5.99950626293062</v>
      </c>
      <c r="F4" s="4" t="n">
        <f aca="false">DCF_Bear!$B$47</f>
        <v>3.46735699943075</v>
      </c>
    </row>
    <row r="5" customFormat="false" ht="15" hidden="false" customHeight="false" outlineLevel="0" collapsed="false">
      <c r="A5" s="0" t="s">
        <v>166</v>
      </c>
      <c r="B5" s="4" t="n">
        <f aca="false">DCF_Base!$B$38</f>
        <v>10.2171090950963</v>
      </c>
      <c r="C5" s="0" t="n">
        <f aca="false">B5/Assumptions!$B$2-1</f>
        <v>0.595177064027519</v>
      </c>
      <c r="D5" s="4" t="n">
        <f aca="false">Assumptions!$B$38</f>
        <v>0.5</v>
      </c>
      <c r="E5" s="4" t="n">
        <f aca="false">DCF_Base!$B$43</f>
        <v>10.2171090950963</v>
      </c>
      <c r="F5" s="4" t="n">
        <f aca="false">DCF_Base!$B$47</f>
        <v>6.10184664785155</v>
      </c>
    </row>
    <row r="6" customFormat="false" ht="15" hidden="false" customHeight="false" outlineLevel="0" collapsed="false">
      <c r="A6" s="0" t="s">
        <v>167</v>
      </c>
      <c r="B6" s="4" t="n">
        <f aca="false">DCF_Bull!$B$38</f>
        <v>13.8534823824868</v>
      </c>
      <c r="C6" s="0" t="n">
        <f aca="false">B6/Assumptions!$B$2-1</f>
        <v>1.1629168434796</v>
      </c>
      <c r="D6" s="4" t="n">
        <f aca="false">Assumptions!$B$52</f>
        <v>0.2</v>
      </c>
      <c r="E6" s="4" t="n">
        <f aca="false">DCF_Bull!$B$43</f>
        <v>13.8534823824868</v>
      </c>
      <c r="F6" s="4" t="n">
        <f aca="false">DCF_Bull!$B$47</f>
        <v>8.30706380892935</v>
      </c>
    </row>
    <row r="8" customFormat="false" ht="15" hidden="false" customHeight="false" outlineLevel="0" collapsed="false">
      <c r="A8" s="0" t="s">
        <v>168</v>
      </c>
      <c r="B8" s="0" t="n">
        <f aca="false">SUMPRODUCT(B4:B6,D4:D6)</f>
        <v>9.67910290292468</v>
      </c>
    </row>
    <row r="9" customFormat="false" ht="15" hidden="false" customHeight="false" outlineLevel="0" collapsed="false">
      <c r="A9" s="0" t="s">
        <v>169</v>
      </c>
      <c r="B9" s="0" t="n">
        <f aca="false">SUMPRODUCT(E4:E6,D4:D6)</f>
        <v>9.67910290292468</v>
      </c>
    </row>
    <row r="10" customFormat="false" ht="15" hidden="false" customHeight="false" outlineLevel="0" collapsed="false">
      <c r="A10" s="0" t="s">
        <v>170</v>
      </c>
      <c r="B10" s="0" t="n">
        <f aca="false">1-Assumptions!$B$2/B8</f>
        <v>0.338265119790736</v>
      </c>
    </row>
    <row r="11" customFormat="false" ht="15" hidden="false" customHeight="false" outlineLevel="0" collapsed="false">
      <c r="A11" s="0" t="s">
        <v>171</v>
      </c>
      <c r="B11" s="0" t="str">
        <f aca="false">IF(ABS(B9-B8)&gt;0.01*ABS(B8),(Assumptions!$B$2-B8)/(B9-B8)*100,"n/a")</f>
        <v>n/a</v>
      </c>
    </row>
    <row r="12" customFormat="false" ht="15" hidden="false" customHeight="false" outlineLevel="0" collapsed="false">
      <c r="A12" s="0" t="s">
        <v>172</v>
      </c>
      <c r="B12" s="0" t="n">
        <f aca="false">SUMPRODUCT(F4:F6,D4:D6)</f>
        <v>5.75254318554087</v>
      </c>
    </row>
    <row r="14" customFormat="false" ht="15" hidden="false" customHeight="false" outlineLevel="0" collapsed="false">
      <c r="A14" s="2" t="s">
        <v>173</v>
      </c>
      <c r="C14" s="0" t="s">
        <v>174</v>
      </c>
    </row>
    <row r="15" customFormat="false" ht="15" hidden="false" customHeight="false" outlineLevel="0" collapsed="false">
      <c r="A15" s="0" t="s">
        <v>175</v>
      </c>
      <c r="B15" s="0" t="n">
        <f aca="false">(SUMPRODUCT(DCF_Base!$C$19:$L$19/(1+$C$15/100)^DCF_Base!$C$4:$L$4)+MAX(0,MIN(IF($C$15&gt;DCF_Base!$B$28,DCF_Base!$L$19*(1+DCF_Base!$B$28/100)/(($C$15-DCF_Base!$B$28)/100),DCF_Base!$L$19*DCF_Base!$B$29),DCF_Base!$L$19*DCF_Base!$B$29))/(1+$C$15/100)^DCF_Base!$L$4+Assumptions!$B$5-Assumptions!$B$4)/Assumptions!$B$3*Assumptions!$B$10</f>
        <v>12.9935662269602</v>
      </c>
      <c r="C15" s="3" t="n">
        <v>9</v>
      </c>
    </row>
    <row r="16" customFormat="false" ht="15" hidden="false" customHeight="false" outlineLevel="0" collapsed="false">
      <c r="A16" s="0" t="s">
        <v>176</v>
      </c>
      <c r="B16" s="0" t="n">
        <f aca="false">(SUMPRODUCT(DCF_Base!$C$19:$L$19/(1+$C$16/100)^DCF_Base!$C$4:$L$4)+MAX(0,MIN(IF($C$16&gt;DCF_Base!$B$28,DCF_Base!$L$19*(1+DCF_Base!$B$28/100)/(($C$16-DCF_Base!$B$28)/100),DCF_Base!$L$19*DCF_Base!$B$29),DCF_Base!$L$19*DCF_Base!$B$29))/(1+$C$16/100)^DCF_Base!$L$4+Assumptions!$B$5-Assumptions!$B$4)/Assumptions!$B$3*Assumptions!$B$10</f>
        <v>11.0086466010656</v>
      </c>
      <c r="C16" s="3" t="n">
        <v>10</v>
      </c>
    </row>
    <row r="17" customFormat="false" ht="15" hidden="false" customHeight="false" outlineLevel="0" collapsed="false">
      <c r="A17" s="0" t="s">
        <v>177</v>
      </c>
      <c r="B17" s="0" t="n">
        <f aca="false">(SUMPRODUCT(DCF_Base!$C$19:$L$19/(1+$C$17/100)^DCF_Base!$C$4:$L$4)+MAX(0,MIN(IF($C$17&gt;DCF_Base!$B$28,DCF_Base!$L$19*(1+DCF_Base!$B$28/100)/(($C$17-DCF_Base!$B$28)/100),DCF_Base!$L$19*DCF_Base!$B$29),DCF_Base!$L$19*DCF_Base!$B$29))/(1+$C$17/100)^DCF_Base!$L$4+Assumptions!$B$5-Assumptions!$B$4)/Assumptions!$B$3*Assumptions!$B$10</f>
        <v>10.2171090950963</v>
      </c>
      <c r="C17" s="3" t="n">
        <v>10.5</v>
      </c>
    </row>
    <row r="18" customFormat="false" ht="15" hidden="false" customHeight="false" outlineLevel="0" collapsed="false">
      <c r="A18" s="0" t="s">
        <v>178</v>
      </c>
      <c r="B18" s="0" t="n">
        <f aca="false">(SUMPRODUCT(DCF_Base!$C$19:$L$19/(1+$C$18/100)^DCF_Base!$C$4:$L$4)+MAX(0,MIN(IF($C$18&gt;DCF_Base!$B$28,DCF_Base!$L$19*(1+DCF_Base!$B$28/100)/(($C$18-DCF_Base!$B$28)/100),DCF_Base!$L$19*DCF_Base!$B$29),DCF_Base!$L$19*DCF_Base!$B$29))/(1+$C$18/100)^DCF_Base!$L$4+Assumptions!$B$5-Assumptions!$B$4)/Assumptions!$B$3*Assumptions!$B$10</f>
        <v>9.52597006760885</v>
      </c>
      <c r="C18" s="3" t="n">
        <v>11</v>
      </c>
    </row>
    <row r="19" customFormat="false" ht="15" hidden="false" customHeight="false" outlineLevel="0" collapsed="false">
      <c r="A19" s="0" t="s">
        <v>179</v>
      </c>
      <c r="B19" s="0" t="n">
        <f aca="false">(SUMPRODUCT(DCF_Base!$C$19:$L$19/(1+$C$19/100)^DCF_Base!$C$4:$L$4)+MAX(0,MIN(IF($C$19&gt;DCF_Base!$B$28,DCF_Base!$L$19*(1+DCF_Base!$B$28/100)/(($C$19-DCF_Base!$B$28)/100),DCF_Base!$L$19*DCF_Base!$B$29),DCF_Base!$L$19*DCF_Base!$B$29))/(1+$C$19/100)^DCF_Base!$L$4+Assumptions!$B$5-Assumptions!$B$4)/Assumptions!$B$3*Assumptions!$B$10</f>
        <v>8.37779688136162</v>
      </c>
      <c r="C19" s="3" t="n">
        <v>12</v>
      </c>
    </row>
    <row r="20" customFormat="false" ht="15" hidden="false" customHeight="false" outlineLevel="0" collapsed="false">
      <c r="A20" s="0" t="s">
        <v>180</v>
      </c>
      <c r="B20" s="0" t="n">
        <f aca="false">(SUMPRODUCT(DCF_Base!$C$19:$L$19/(1+$C$20/100)^DCF_Base!$C$4:$L$4)+MAX(0,MIN(IF($C$20&gt;DCF_Base!$B$28,DCF_Base!$L$19*(1+DCF_Base!$B$28/100)/(($C$20-DCF_Base!$B$28)/100),DCF_Base!$L$19*DCF_Base!$B$29),DCF_Base!$L$19*DCF_Base!$B$29))/(1+$C$20/100)^DCF_Base!$L$4+Assumptions!$B$5-Assumptions!$B$4)/Assumptions!$B$3*Assumptions!$B$10</f>
        <v>6.10184664785155</v>
      </c>
      <c r="C20" s="3" t="n">
        <v>15</v>
      </c>
    </row>
    <row r="22" customFormat="false" ht="15" hidden="false" customHeight="false" outlineLevel="0" collapsed="false">
      <c r="A22" s="2" t="s">
        <v>181</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12.7789488272532</v>
      </c>
      <c r="C24" s="0" t="n">
        <f aca="false">(SUMPRODUCT(DCF_Base!$C$19:$L$19/(1+$A$24/100)^DCF_Base!$C$4:$L$4)+MAX(0,MIN(IF($A$24&gt;$C$23,DCF_Base!$L$19*(1+$C$23/100)/(($A$24-$C$23)/100),DCF_Base!$L$19*DCF_Base!$B$29),DCF_Base!$L$19*DCF_Base!$B$29))/(1+$A$24/100)^DCF_Base!$L$4+Assumptions!$B$5-Assumptions!$B$4)/Assumptions!$B$3*Assumptions!$B$10</f>
        <v>13.4578346097294</v>
      </c>
      <c r="D24" s="0" t="n">
        <f aca="false">(SUMPRODUCT(DCF_Base!$C$19:$L$19/(1+$A$24/100)^DCF_Base!$C$4:$L$4)+MAX(0,MIN(IF($A$24&gt;$D$23,DCF_Base!$L$19*(1+$D$23/100)/(($A$24-$D$23)/100),DCF_Base!$L$19*DCF_Base!$B$29),DCF_Base!$L$19*DCF_Base!$B$29))/(1+$A$24/100)^DCF_Base!$L$4+Assumptions!$B$5-Assumptions!$B$4)/Assumptions!$B$3*Assumptions!$B$10</f>
        <v>13.9052109548635</v>
      </c>
      <c r="E24" s="0" t="n">
        <f aca="false">(SUMPRODUCT(DCF_Base!$C$19:$L$19/(1+$A$24/100)^DCF_Base!$C$4:$L$4)+MAX(0,MIN(IF($A$24&gt;$E$23,DCF_Base!$L$19*(1+$E$23/100)/(($A$24-$E$23)/100),DCF_Base!$L$19*DCF_Base!$B$29),DCF_Base!$L$19*DCF_Base!$B$29))/(1+$A$24/100)^DCF_Base!$L$4+Assumptions!$B$5-Assumptions!$B$4)/Assumptions!$B$3*Assumptions!$B$10</f>
        <v>13.9052109548635</v>
      </c>
      <c r="F24" s="0" t="n">
        <f aca="false">(SUMPRODUCT(DCF_Base!$C$19:$L$19/(1+$A$24/100)^DCF_Base!$C$4:$L$4)+MAX(0,MIN(IF($A$24&gt;$F$23,DCF_Base!$L$19*(1+$F$23/100)/(($A$24-$F$23)/100),DCF_Base!$L$19*DCF_Base!$B$29),DCF_Base!$L$19*DCF_Base!$B$29))/(1+$A$24/100)^DCF_Base!$L$4+Assumptions!$B$5-Assumptions!$B$4)/Assumptions!$B$3*Assumptions!$B$10</f>
        <v>13.9052109548635</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10.9236769132288</v>
      </c>
      <c r="C25" s="0" t="n">
        <f aca="false">(SUMPRODUCT(DCF_Base!$C$19:$L$19/(1+$A$25/100)^DCF_Base!$C$4:$L$4)+MAX(0,MIN(IF($A$25&gt;$C$23,DCF_Base!$L$19*(1+$C$23/100)/(($A$25-$C$23)/100),DCF_Base!$L$19*DCF_Base!$B$29),DCF_Base!$L$19*DCF_Base!$B$29))/(1+$A$25/100)^DCF_Base!$L$4+Assumptions!$B$5-Assumptions!$B$4)/Assumptions!$B$3*Assumptions!$B$10</f>
        <v>11.3880238535968</v>
      </c>
      <c r="D25" s="0" t="n">
        <f aca="false">(SUMPRODUCT(DCF_Base!$C$19:$L$19/(1+$A$25/100)^DCF_Base!$C$4:$L$4)+MAX(0,MIN(IF($A$25&gt;$D$23,DCF_Base!$L$19*(1+$D$23/100)/(($A$25-$D$23)/100),DCF_Base!$L$19*DCF_Base!$B$29),DCF_Base!$L$19*DCF_Base!$B$29))/(1+$A$25/100)^DCF_Base!$L$4+Assumptions!$B$5-Assumptions!$B$4)/Assumptions!$B$3*Assumptions!$B$10</f>
        <v>11.9238087847906</v>
      </c>
      <c r="E25" s="0" t="n">
        <f aca="false">(SUMPRODUCT(DCF_Base!$C$19:$L$19/(1+$A$25/100)^DCF_Base!$C$4:$L$4)+MAX(0,MIN(IF($A$25&gt;$E$23,DCF_Base!$L$19*(1+$E$23/100)/(($A$25-$E$23)/100),DCF_Base!$L$19*DCF_Base!$B$29),DCF_Base!$L$19*DCF_Base!$B$29))/(1+$A$25/100)^DCF_Base!$L$4+Assumptions!$B$5-Assumptions!$B$4)/Assumptions!$B$3*Assumptions!$B$10</f>
        <v>12.5488912045168</v>
      </c>
      <c r="F25" s="0" t="n">
        <f aca="false">(SUMPRODUCT(DCF_Base!$C$19:$L$19/(1+$A$25/100)^DCF_Base!$C$4:$L$4)+MAX(0,MIN(IF($A$25&gt;$F$23,DCF_Base!$L$19*(1+$F$23/100)/(($A$25-$F$23)/100),DCF_Base!$L$19*DCF_Base!$B$29),DCF_Base!$L$19*DCF_Base!$B$29))/(1+$A$25/100)^DCF_Base!$L$4+Assumptions!$B$5-Assumptions!$B$4)/Assumptions!$B$3*Assumptions!$B$10</f>
        <v>12.8828393465623</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9.51238638252354</v>
      </c>
      <c r="C26" s="0" t="n">
        <f aca="false">(SUMPRODUCT(DCF_Base!$C$19:$L$19/(1+$A$26/100)^DCF_Base!$C$4:$L$4)+MAX(0,MIN(IF($A$26&gt;$C$23,DCF_Base!$L$19*(1+$C$23/100)/(($A$26-$C$23)/100),DCF_Base!$L$19*DCF_Base!$B$29),DCF_Base!$L$19*DCF_Base!$B$29))/(1+$A$26/100)^DCF_Base!$L$4+Assumptions!$B$5-Assumptions!$B$4)/Assumptions!$B$3*Assumptions!$B$10</f>
        <v>9.842725154042</v>
      </c>
      <c r="D26" s="0" t="n">
        <f aca="false">(SUMPRODUCT(DCF_Base!$C$19:$L$19/(1+$A$26/100)^DCF_Base!$C$4:$L$4)+MAX(0,MIN(IF($A$26&gt;$D$23,DCF_Base!$L$19*(1+$D$23/100)/(($A$26-$D$23)/100),DCF_Base!$L$19*DCF_Base!$B$29),DCF_Base!$L$19*DCF_Base!$B$29))/(1+$A$26/100)^DCF_Base!$L$4+Assumptions!$B$5-Assumptions!$B$4)/Assumptions!$B$3*Assumptions!$B$10</f>
        <v>10.2171090950963</v>
      </c>
      <c r="E26" s="0" t="n">
        <f aca="false">(SUMPRODUCT(DCF_Base!$C$19:$L$19/(1+$A$26/100)^DCF_Base!$C$4:$L$4)+MAX(0,MIN(IF($A$26&gt;$E$23,DCF_Base!$L$19*(1+$E$23/100)/(($A$26-$E$23)/100),DCF_Base!$L$19*DCF_Base!$B$29),DCF_Base!$L$19*DCF_Base!$B$29))/(1+$A$26/100)^DCF_Base!$L$4+Assumptions!$B$5-Assumptions!$B$4)/Assumptions!$B$3*Assumptions!$B$10</f>
        <v>10.6449764563011</v>
      </c>
      <c r="F26" s="0" t="n">
        <f aca="false">(SUMPRODUCT(DCF_Base!$C$19:$L$19/(1+$A$26/100)^DCF_Base!$C$4:$L$4)+MAX(0,MIN(IF($A$26&gt;$F$23,DCF_Base!$L$19*(1+$F$23/100)/(($A$26-$F$23)/100),DCF_Base!$L$19*DCF_Base!$B$29),DCF_Base!$L$19*DCF_Base!$B$29))/(1+$A$26/100)^DCF_Base!$L$4+Assumptions!$B$5-Assumptions!$B$4)/Assumptions!$B$3*Assumptions!$B$10</f>
        <v>11.1386695653837</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8.40444003941588</v>
      </c>
      <c r="C27" s="0" t="n">
        <f aca="false">(SUMPRODUCT(DCF_Base!$C$19:$L$19/(1+$A$27/100)^DCF_Base!$C$4:$L$4)+MAX(0,MIN(IF($A$27&gt;$C$23,DCF_Base!$L$19*(1+$C$23/100)/(($A$27-$C$23)/100),DCF_Base!$L$19*DCF_Base!$B$29),DCF_Base!$L$19*DCF_Base!$B$29))/(1+$A$27/100)^DCF_Base!$L$4+Assumptions!$B$5-Assumptions!$B$4)/Assumptions!$B$3*Assumptions!$B$10</f>
        <v>8.64670412841392</v>
      </c>
      <c r="D27" s="0" t="n">
        <f aca="false">(SUMPRODUCT(DCF_Base!$C$19:$L$19/(1+$A$27/100)^DCF_Base!$C$4:$L$4)+MAX(0,MIN(IF($A$27&gt;$D$23,DCF_Base!$L$19*(1+$D$23/100)/(($A$27-$D$23)/100),DCF_Base!$L$19*DCF_Base!$B$29),DCF_Base!$L$19*DCF_Base!$B$29))/(1+$A$27/100)^DCF_Base!$L$4+Assumptions!$B$5-Assumptions!$B$4)/Assumptions!$B$3*Assumptions!$B$10</f>
        <v>8.91746987494113</v>
      </c>
      <c r="E27" s="0" t="n">
        <f aca="false">(SUMPRODUCT(DCF_Base!$C$19:$L$19/(1+$A$27/100)^DCF_Base!$C$4:$L$4)+MAX(0,MIN(IF($A$27&gt;$E$23,DCF_Base!$L$19*(1+$E$23/100)/(($A$27-$E$23)/100),DCF_Base!$L$19*DCF_Base!$B$29),DCF_Base!$L$19*DCF_Base!$B$29))/(1+$A$27/100)^DCF_Base!$L$4+Assumptions!$B$5-Assumptions!$B$4)/Assumptions!$B$3*Assumptions!$B$10</f>
        <v>9.22208133978425</v>
      </c>
      <c r="F27" s="0" t="n">
        <f aca="false">(SUMPRODUCT(DCF_Base!$C$19:$L$19/(1+$A$27/100)^DCF_Base!$C$4:$L$4)+MAX(0,MIN(IF($A$27&gt;$F$23,DCF_Base!$L$19*(1+$F$23/100)/(($A$27-$F$23)/100),DCF_Base!$L$19*DCF_Base!$B$29),DCF_Base!$L$19*DCF_Base!$B$29))/(1+$A$27/100)^DCF_Base!$L$4+Assumptions!$B$5-Assumptions!$B$4)/Assumptions!$B$3*Assumptions!$B$10</f>
        <v>9.56730766660645</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7.51280622975419</v>
      </c>
      <c r="C28" s="0" t="n">
        <f aca="false">(SUMPRODUCT(DCF_Base!$C$19:$L$19/(1+$A$28/100)^DCF_Base!$C$4:$L$4)+MAX(0,MIN(IF($A$28&gt;$C$23,DCF_Base!$L$19*(1+$C$23/100)/(($A$28-$C$23)/100),DCF_Base!$L$19*DCF_Base!$B$29),DCF_Base!$L$19*DCF_Base!$B$29))/(1+$A$28/100)^DCF_Base!$L$4+Assumptions!$B$5-Assumptions!$B$4)/Assumptions!$B$3*Assumptions!$B$10</f>
        <v>7.69484628690317</v>
      </c>
      <c r="D28" s="0" t="n">
        <f aca="false">(SUMPRODUCT(DCF_Base!$C$19:$L$19/(1+$A$28/100)^DCF_Base!$C$4:$L$4)+MAX(0,MIN(IF($A$28&gt;$D$23,DCF_Base!$L$19*(1+$D$23/100)/(($A$28-$D$23)/100),DCF_Base!$L$19*DCF_Base!$B$29),DCF_Base!$L$19*DCF_Base!$B$29))/(1+$A$28/100)^DCF_Base!$L$4+Assumptions!$B$5-Assumptions!$B$4)/Assumptions!$B$3*Assumptions!$B$10</f>
        <v>7.896048455331</v>
      </c>
      <c r="E28" s="0" t="n">
        <f aca="false">(SUMPRODUCT(DCF_Base!$C$19:$L$19/(1+$A$28/100)^DCF_Base!$C$4:$L$4)+MAX(0,MIN(IF($A$28&gt;$E$23,DCF_Base!$L$19*(1+$E$23/100)/(($A$28-$E$23)/100),DCF_Base!$L$19*DCF_Base!$B$29),DCF_Base!$L$19*DCF_Base!$B$29))/(1+$A$28/100)^DCF_Base!$L$4+Assumptions!$B$5-Assumptions!$B$4)/Assumptions!$B$3*Assumptions!$B$10</f>
        <v>8.1196064202508</v>
      </c>
      <c r="F28" s="0" t="n">
        <f aca="false">(SUMPRODUCT(DCF_Base!$C$19:$L$19/(1+$A$28/100)^DCF_Base!$C$4:$L$4)+MAX(0,MIN(IF($A$28&gt;$F$23,DCF_Base!$L$19*(1+$F$23/100)/(($A$28-$F$23)/100),DCF_Base!$L$19*DCF_Base!$B$29),DCF_Base!$L$19*DCF_Base!$B$29))/(1+$A$28/100)^DCF_Base!$L$4+Assumptions!$B$5-Assumptions!$B$4)/Assumptions!$B$3*Assumptions!$B$10</f>
        <v>8.36946532222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2026-10-22T10:53:59Z</dcterms:created>
  <dc:creator>openpyxl</dc:creator>
  <dc:description/>
  <dc:language>en-NZ</dc:language>
  <cp:lastModifiedBy/>
  <dcterms:modified xsi:type="dcterms:W3CDTF">2026-10-22T10:53:59Z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