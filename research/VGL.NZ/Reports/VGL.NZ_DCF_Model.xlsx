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4" fontId="3" fillId="0" borderId="0" pivotButton="0" quotePrefix="0" xfId="0"/>
    <xf numFmtId="165" fontId="2" fillId="2" borderId="0" pivotButton="0" quotePrefix="0" xfId="0"/>
    <xf numFmtId="165" fontId="2" fillId="0" borderId="0" pivotButton="0" quotePrefix="0" xfId="0"/>
    <xf numFmtId="164" fontId="2" fillId="2" borderId="0" pivotButton="0" quotePrefix="0" xfId="0"/>
    <xf numFmtId="1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164" fontId="1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2" fontId="1" fillId="3" borderId="0" pivotButton="0" quotePrefix="0" xfId="0"/>
    <xf numFmtId="2" fontId="0" fillId="0" borderId="0" pivotButton="0" quotePrefix="0" xfId="0"/>
    <xf numFmtId="165" fontId="3" fillId="0" borderId="0" pivotButton="0" quotePrefix="0" xfId="0"/>
    <xf numFmtId="2" fontId="4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VGL.NZ Vista Group International -- owner-FCF DCF model</t>
        </is>
      </c>
    </row>
    <row r="2">
      <c r="A2" t="inlineStr">
        <is>
          <t>Version 1.0, 2026-09-19. Fresh build; supersedes nothing (first valuation of this ticker).</t>
        </is>
      </c>
    </row>
    <row r="3">
      <c r="A3" t="inlineStr">
        <is>
          <t>Built by the dcf-analyst agent (Claude Fable 5.1) at the research orchestrator's request.</t>
        </is>
      </c>
    </row>
    <row r="4">
      <c r="A4" t="inlineStr"/>
    </row>
    <row r="5">
      <c r="A5" s="1" t="inlineStr">
        <is>
          <t>DATA VINTAGE -- these figures go stale</t>
        </is>
      </c>
    </row>
    <row r="6">
      <c r="A6" t="inlineStr">
        <is>
          <t>Price NZ$2.91 at 2026-09-18T05:00:01Z (Yahoo, NZX regular close Fri 18 Sep 2026). Refresh before use.</t>
        </is>
      </c>
    </row>
    <row r="7">
      <c r="A7" t="inlineStr">
        <is>
          <t>Balance sheet: net bank debt NZ$5.8m at 30-Jun-2026 (H1 FY2026 results announcement, via Analysis JSON). All other anchors 31-Dec-2025 (FY2025 annual report).</t>
        </is>
      </c>
    </row>
    <row r="8">
      <c r="A8" t="inlineStr">
        <is>
          <t>Share count: 238.834m on issue (FY2025 AR shareholder statistics) + 2.7m dilutive rights (note 6.2) = 241.5m fully diluted, held flat.</t>
        </is>
      </c>
    </row>
    <row r="9">
      <c r="A9" t="inlineStr">
        <is>
          <t>Guidance FY2026 (3-Aug-2026): revenue NZ$179-184m, EBITDA margin 18-20%, FCF neutral in H2; 2030 ARR aspiration NZ$315m.</t>
        </is>
      </c>
    </row>
    <row r="10">
      <c r="A10" t="inlineStr"/>
    </row>
    <row r="11">
      <c r="A11" s="1" t="inlineStr">
        <is>
          <t>METHODOLOGY</t>
        </is>
      </c>
    </row>
    <row r="12">
      <c r="A12" t="inlineStr">
        <is>
          <t>Owner-FCF DCF, component build, 10-year horizon (margin still ramping at year 5), end-of-year discounting, TV = MAX(0, MIN(Gordon, 18x FCF10)).</t>
        </is>
      </c>
    </row>
    <row r="13">
      <c r="A13" t="inlineStr">
        <is>
          <t>SBC fully expensed (0.5% of revenue) and share count held flat -- charged once. Street memo adds SBC back.</t>
        </is>
      </c>
    </row>
    <row r="14">
      <c r="A14" t="inlineStr">
        <is>
          <t>Leases: treatment B -- full lease cash (principal + interest) in the flows via lease % of revenue; lease liabilities EXCLUDED from net debt; D&amp;A ex right-of-use depreciation.</t>
        </is>
      </c>
    </row>
    <row r="15">
      <c r="A15" t="inlineStr">
        <is>
          <t>NCI: charged once in the bridge (NZ$10.5m = FY25 NCI profit 0.7m x 15), folded into net debt on Assumptions.</t>
        </is>
      </c>
    </row>
    <row r="16">
      <c r="A16" t="inlineStr">
        <is>
          <t>Cash tax on MAX(0, EBIT); ramps 5% -&gt; 28% by FY2033 as ~NZ$100m of NZ tax losses are consumed.</t>
        </is>
      </c>
    </row>
    <row r="17">
      <c r="A17" t="inlineStr">
        <is>
          <t>WACC 11.5% NZD (rf ~4.4% + 1.2 x 5.5% ERP + ~0.5pp size), identical across scenarios; risk is charged in the flows and weights.</t>
        </is>
      </c>
    </row>
    <row r="18">
      <c r="A18" t="inlineStr">
        <is>
          <t>Entry price and required-return table rebuild the terminal value at each row's own rate.</t>
        </is>
      </c>
    </row>
    <row r="19">
      <c r="A19" t="inlineStr"/>
    </row>
    <row r="20">
      <c r="A20" s="1" t="inlineStr">
        <is>
          <t>JUDGMENT</t>
        </is>
      </c>
    </row>
    <row r="21">
      <c r="A21" t="inlineStr">
        <is>
          <t>Scenario driver paths (growth, margin, SBC%, lease%, D&amp;A%, capex%, tax) are the dcf-analyst agent's judgment set on 2026-09-19 from FY2025 actuals, FY2026 guidance and the Analysis JSON.</t>
        </is>
      </c>
    </row>
    <row r="22">
      <c r="A22" t="inlineStr">
        <is>
          <t>Refresh after the FY2026 result (Feb-2027): FY0 actuals, net debt, share count, FY2027 guidance, year-1 drivers.</t>
        </is>
      </c>
    </row>
    <row r="23">
      <c r="A23" t="inlineStr"/>
    </row>
    <row r="24">
      <c r="A24" s="1" t="inlineStr">
        <is>
          <t>CELL LEGEND</t>
        </is>
      </c>
    </row>
    <row r="25">
      <c r="A25" t="inlineStr">
        <is>
          <t>Blue font = hardcoded input. Yellow fill = key lever (driver rows 5, 7, 9, 11, 14, 17, 21 on each DCF tab). Black = formula. Green font = cross-sheet link.</t>
        </is>
      </c>
    </row>
    <row r="26">
      <c r="A26" t="inlineStr">
        <is>
          <t>Text cells never begin with '='. Sheet names contain no spaces.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8" max="8"/>
  </cols>
  <sheetData>
    <row r="1">
      <c r="A1" s="1" t="inlineStr">
        <is>
          <t>Metric (NZ$m)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Source</t>
        </is>
      </c>
    </row>
    <row r="2">
      <c r="A2" t="inlineStr">
        <is>
          <t>Revenue</t>
        </is>
      </c>
      <c r="B2" s="2" t="n">
        <v>87.5</v>
      </c>
      <c r="C2" s="2" t="n">
        <v>98.09999999999999</v>
      </c>
      <c r="D2" s="2" t="n">
        <v>135.1</v>
      </c>
      <c r="E2" s="2" t="n">
        <v>143</v>
      </c>
      <c r="F2" s="2" t="n">
        <v>150</v>
      </c>
      <c r="G2" s="2" t="n">
        <v>164.3</v>
      </c>
      <c r="H2" t="inlineStr">
        <is>
          <t>Income statement, core_metrics</t>
        </is>
      </c>
    </row>
    <row r="3">
      <c r="A3" t="inlineStr">
        <is>
          <t>EBITDA (IS subtotal, post-IFRS16)</t>
        </is>
      </c>
      <c r="B3" s="2" t="n">
        <v>-11.4</v>
      </c>
      <c r="C3" s="2" t="n">
        <v>6.5</v>
      </c>
      <c r="D3" s="2" t="n">
        <v>10.6</v>
      </c>
      <c r="E3" s="2" t="n">
        <v>13.3</v>
      </c>
      <c r="F3" s="2" t="n">
        <v>21.6</v>
      </c>
      <c r="G3" s="2" t="n">
        <v>28.2</v>
      </c>
      <c r="H3" t="inlineStr">
        <is>
          <t>Income statement EBITDA line</t>
        </is>
      </c>
    </row>
    <row r="4">
      <c r="A4" t="inlineStr">
        <is>
          <t>Net income (total incl NCI)</t>
        </is>
      </c>
      <c r="B4" s="2" t="n">
        <v>-57.1</v>
      </c>
      <c r="C4" s="2" t="n">
        <v>-9.9</v>
      </c>
      <c r="D4" s="2" t="n">
        <v>-20.9</v>
      </c>
      <c r="E4" s="2" t="n">
        <v>-13.6</v>
      </c>
      <c r="F4" s="2" t="n">
        <v>-0.6</v>
      </c>
      <c r="G4" s="2" t="n">
        <v>2.6</v>
      </c>
      <c r="H4" t="inlineStr">
        <is>
          <t>Income statement</t>
        </is>
      </c>
    </row>
    <row r="5">
      <c r="A5" t="inlineStr">
        <is>
          <t>Operating cash flow</t>
        </is>
      </c>
      <c r="B5" s="2" t="n">
        <v>3</v>
      </c>
      <c r="C5" s="2" t="n">
        <v>11.3</v>
      </c>
      <c r="D5" s="2" t="n">
        <v>12.4</v>
      </c>
      <c r="E5" s="2" t="n">
        <v>9</v>
      </c>
      <c r="F5" s="2" t="n">
        <v>16.8</v>
      </c>
      <c r="G5" s="2" t="n">
        <v>27.8</v>
      </c>
      <c r="H5" t="inlineStr">
        <is>
          <t>Cash flow statement</t>
        </is>
      </c>
    </row>
    <row r="6">
      <c r="A6" t="inlineStr">
        <is>
          <t>Capex (PPE + capitalised software)</t>
        </is>
      </c>
      <c r="B6" s="2" t="n">
        <v>14.2</v>
      </c>
      <c r="C6" s="2" t="n">
        <v>12.8</v>
      </c>
      <c r="D6" s="2" t="n">
        <v>18.9</v>
      </c>
      <c r="E6" s="2" t="n">
        <v>20.3</v>
      </c>
      <c r="F6" s="2" t="n">
        <v>18.1</v>
      </c>
      <c r="G6" s="2" t="n">
        <v>21.1</v>
      </c>
      <c r="H6" t="inlineStr">
        <is>
          <t>Cash flow statement, investing</t>
        </is>
      </c>
    </row>
    <row r="7">
      <c r="A7" t="inlineStr">
        <is>
          <t>Reported FCF (OCF - capex)</t>
        </is>
      </c>
      <c r="B7" s="2" t="n">
        <v>-11.2</v>
      </c>
      <c r="C7" s="2" t="n">
        <v>-1.5</v>
      </c>
      <c r="D7" s="2" t="n">
        <v>-6.5</v>
      </c>
      <c r="E7" s="2" t="n">
        <v>-11.3</v>
      </c>
      <c r="F7" s="2" t="n">
        <v>-1.3</v>
      </c>
      <c r="G7" s="2" t="n">
        <v>6.7</v>
      </c>
      <c r="H7" t="inlineStr">
        <is>
          <t>Derived</t>
        </is>
      </c>
    </row>
    <row r="8">
      <c r="A8" t="inlineStr">
        <is>
          <t>Share-based payments</t>
        </is>
      </c>
      <c r="B8" s="2" t="n">
        <v>0.5</v>
      </c>
      <c r="C8" s="2" t="n">
        <v>5.2</v>
      </c>
      <c r="D8" s="2" t="n">
        <v>4.5</v>
      </c>
      <c r="E8" s="2" t="n">
        <v>3.2</v>
      </c>
      <c r="F8" s="2" t="n">
        <v>1.8</v>
      </c>
      <c r="G8" s="2" t="n">
        <v>0.9</v>
      </c>
      <c r="H8" t="inlineStr">
        <is>
          <t>Statement of changes in equity</t>
        </is>
      </c>
    </row>
    <row r="9">
      <c r="A9" t="inlineStr">
        <is>
          <t>Interest income</t>
        </is>
      </c>
      <c r="B9" s="2" t="n">
        <v>0.7</v>
      </c>
      <c r="C9" s="2" t="n">
        <v>0.5</v>
      </c>
      <c r="D9" s="2" t="n">
        <v>0.8</v>
      </c>
      <c r="E9" s="2" t="n">
        <v>1</v>
      </c>
      <c r="F9" s="2" t="n">
        <v>0.4</v>
      </c>
      <c r="G9" s="2" t="n">
        <v>0.1</v>
      </c>
      <c r="H9" t="inlineStr">
        <is>
          <t>Finance income</t>
        </is>
      </c>
    </row>
    <row r="10">
      <c r="A10" t="inlineStr">
        <is>
          <t>Lease cash (principal + interest)</t>
        </is>
      </c>
      <c r="B10" s="2" t="n">
        <v>6.4</v>
      </c>
      <c r="C10" s="2" t="n">
        <v>3.8</v>
      </c>
      <c r="D10" s="2" t="n">
        <v>5.9</v>
      </c>
      <c r="E10" s="2" t="n">
        <v>5.8</v>
      </c>
      <c r="F10" s="2" t="n">
        <v>6.6</v>
      </c>
      <c r="G10" s="2" t="n">
        <v>6.8</v>
      </c>
      <c r="H10" t="inlineStr">
        <is>
          <t>Lease note: repayment incl. interest (FY23 = principal 5.3 + est. 0.5)</t>
        </is>
      </c>
    </row>
    <row r="11">
      <c r="A11" t="inlineStr">
        <is>
          <t>Finance costs (interest-paid proxy)</t>
        </is>
      </c>
      <c r="B11" s="2" t="n">
        <v>2.2</v>
      </c>
      <c r="C11" s="2" t="n">
        <v>2</v>
      </c>
      <c r="D11" s="2" t="n">
        <v>2.1</v>
      </c>
      <c r="E11" s="2" t="n">
        <v>2.7</v>
      </c>
      <c r="F11" s="2" t="n">
        <v>2.8</v>
      </c>
      <c r="G11" s="2" t="n">
        <v>2.1</v>
      </c>
      <c r="H11" t="inlineStr">
        <is>
          <t>P&amp;L finance costs; FY2025 = actual interest paid 2.1</t>
        </is>
      </c>
    </row>
    <row r="12">
      <c r="A12" t="inlineStr">
        <is>
          <t>Amortisation</t>
        </is>
      </c>
      <c r="B12" s="2" t="n">
        <v>7.3</v>
      </c>
      <c r="C12" s="2" t="n">
        <v>7.8</v>
      </c>
      <c r="D12" s="2" t="n">
        <v>11.5</v>
      </c>
      <c r="E12" s="2" t="n">
        <v>13</v>
      </c>
      <c r="F12" s="2" t="n">
        <v>14</v>
      </c>
      <c r="G12" s="2" t="n">
        <v>15.9</v>
      </c>
      <c r="H12" t="inlineStr">
        <is>
          <t>kpis</t>
        </is>
      </c>
    </row>
    <row r="13">
      <c r="A13" t="inlineStr">
        <is>
          <t>Depreciation (incl ROU)</t>
        </is>
      </c>
      <c r="B13" s="2" t="n">
        <v>10.4</v>
      </c>
      <c r="C13" s="2" t="n">
        <v>6.1</v>
      </c>
      <c r="D13" s="2" t="n">
        <v>5.7</v>
      </c>
      <c r="E13" s="2" t="n">
        <v>6.9</v>
      </c>
      <c r="F13" s="2" t="n">
        <v>5.8</v>
      </c>
      <c r="G13" s="2" t="n">
        <v>5.6</v>
      </c>
      <c r="H13" t="inlineStr">
        <is>
          <t>kpis; FY2025 ROU depreciation 4.4</t>
        </is>
      </c>
    </row>
    <row r="14">
      <c r="A14" t="inlineStr">
        <is>
          <t>Deferred revenue</t>
        </is>
      </c>
      <c r="B14" s="2" t="n">
        <v>19.5</v>
      </c>
      <c r="C14" s="2" t="n">
        <v>20.9</v>
      </c>
      <c r="D14" s="2" t="n">
        <v>22.7</v>
      </c>
      <c r="E14" s="2" t="n">
        <v>27.2</v>
      </c>
      <c r="F14" s="2" t="n">
        <v>25.9</v>
      </c>
      <c r="G14" s="2" t="n">
        <v>31.2</v>
      </c>
      <c r="H14" t="inlineStr">
        <is>
          <t>kpis</t>
        </is>
      </c>
    </row>
    <row r="15">
      <c r="A15" t="inlineStr">
        <is>
          <t>Cash taxes paid</t>
        </is>
      </c>
      <c r="B15" s="2" t="n">
        <v>0.9</v>
      </c>
      <c r="C15" s="2" t="n">
        <v>1.6</v>
      </c>
      <c r="D15" s="2" t="n">
        <v>-0.4</v>
      </c>
      <c r="E15" s="2" t="n">
        <v>-0.1</v>
      </c>
      <c r="F15" s="2" t="n">
        <v>0.4</v>
      </c>
      <c r="G15" s="2" t="n">
        <v>0.3</v>
      </c>
      <c r="H15" t="inlineStr">
        <is>
          <t>kpis</t>
        </is>
      </c>
    </row>
    <row r="16">
      <c r="A16" t="inlineStr">
        <is>
          <t>ARR</t>
        </is>
      </c>
      <c r="B16" s="2" t="n"/>
      <c r="C16" s="2" t="n"/>
      <c r="D16" s="2" t="n">
        <v>118</v>
      </c>
      <c r="E16" s="2" t="n">
        <v>126.3</v>
      </c>
      <c r="F16" s="2" t="n">
        <v>145.6</v>
      </c>
      <c r="G16" s="2" t="n">
        <v>163</v>
      </c>
      <c r="H16" t="inlineStr">
        <is>
          <t>kpis; H1 FY2026 170.1</t>
        </is>
      </c>
    </row>
    <row r="17">
      <c r="A17" t="inlineStr">
        <is>
          <t>Cash and equivalents</t>
        </is>
      </c>
      <c r="B17" s="2" t="n">
        <v>67.09999999999999</v>
      </c>
      <c r="C17" s="2" t="n">
        <v>60.4</v>
      </c>
      <c r="D17" s="2" t="n">
        <v>46</v>
      </c>
      <c r="E17" s="2" t="n">
        <v>28.5</v>
      </c>
      <c r="F17" s="2" t="n">
        <v>21.8</v>
      </c>
      <c r="G17" s="2" t="n">
        <v>20</v>
      </c>
      <c r="H17" t="inlineStr">
        <is>
          <t>Balance sheet</t>
        </is>
      </c>
    </row>
    <row r="18">
      <c r="A18" t="inlineStr">
        <is>
          <t>Borrowings (ex lease)</t>
        </is>
      </c>
      <c r="B18" s="2" t="n"/>
      <c r="C18" s="2" t="n"/>
      <c r="D18" s="2" t="n"/>
      <c r="E18" s="2" t="n"/>
      <c r="F18" s="2" t="n">
        <v>20.7</v>
      </c>
      <c r="G18" s="2" t="n">
        <v>19.3</v>
      </c>
      <c r="H18" t="inlineStr">
        <is>
          <t>Note 3.2</t>
        </is>
      </c>
    </row>
    <row r="19">
      <c r="A19" t="inlineStr">
        <is>
          <t>Lease liabilities</t>
        </is>
      </c>
      <c r="B19" s="2" t="n"/>
      <c r="C19" s="2" t="n"/>
      <c r="D19" s="2" t="n"/>
      <c r="E19" s="2" t="n"/>
      <c r="F19" s="2" t="n">
        <v>8.800000000000001</v>
      </c>
      <c r="G19" s="2" t="n">
        <v>13.6</v>
      </c>
      <c r="H19" t="inlineStr">
        <is>
          <t>Note 4.6</t>
        </is>
      </c>
    </row>
    <row r="20">
      <c r="A20" t="inlineStr">
        <is>
          <t>Diluted weighted shares (m)</t>
        </is>
      </c>
      <c r="B20" s="2" t="n">
        <v>217.7</v>
      </c>
      <c r="C20" s="2" t="n">
        <v>230.7</v>
      </c>
      <c r="D20" s="2" t="n">
        <v>237.4</v>
      </c>
      <c r="E20" s="2" t="n">
        <v>238.6</v>
      </c>
      <c r="F20" s="2" t="n">
        <v>240.4</v>
      </c>
      <c r="G20" s="2" t="n">
        <v>241.2</v>
      </c>
      <c r="H20" t="inlineStr">
        <is>
          <t>EPS note</t>
        </is>
      </c>
    </row>
    <row r="22">
      <c r="A22" s="1" t="inlineStr">
        <is>
          <t>Guidance FY2026 (3-Aug-2026)</t>
        </is>
      </c>
    </row>
    <row r="23">
      <c r="A23" t="inlineStr">
        <is>
          <t>Revenue NZ$179-184m; EBITDA margin 18-20%; FCF neutral in H2 FY2026; 2030 exit-rate ARR aspiration NZ$315m; H1 FY2026 revenue 86.3 (+12.1%), net loss -1.5, ARR 170.1, net debt ~5.8.</t>
        </is>
      </c>
    </row>
    <row r="24">
      <c r="A24" t="inlineStr">
        <is>
          <t>Buybacks: none FY2020-FY2025. No ordinary dividend. Activist (Potentia/Admetus 19.9%) exited Sep-2025 at NZ$3.00.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Global inputs</t>
        </is>
      </c>
    </row>
    <row r="2">
      <c r="A2" t="inlineStr">
        <is>
          <t>Share price (NZD)</t>
        </is>
      </c>
      <c r="B2" s="3" t="n">
        <v>2.91</v>
      </c>
      <c r="C2" t="inlineStr">
        <is>
          <t>Yahoo 2026-09-18T05:00:01Z NZX close</t>
        </is>
      </c>
    </row>
    <row r="3">
      <c r="A3" t="inlineStr">
        <is>
          <t>Fully diluted shares (m)</t>
        </is>
      </c>
      <c r="B3" s="2" t="n">
        <v>241.5</v>
      </c>
      <c r="C3" t="inlineStr">
        <is>
          <t>238.834m on issue + 2.7m rights; held flat (SBC expensed)</t>
        </is>
      </c>
    </row>
    <row r="4">
      <c r="A4" t="inlineStr">
        <is>
          <t>Net bank debt ex-lease (NZ$m)</t>
        </is>
      </c>
      <c r="B4" s="2" t="n">
        <v>5.8</v>
      </c>
      <c r="C4" t="inlineStr">
        <is>
          <t>30-Jun-2026; FY2025 was net cash 0.7</t>
        </is>
      </c>
    </row>
    <row r="5">
      <c r="A5" t="inlineStr">
        <is>
          <t>NCI value deducted (NZ$m)</t>
        </is>
      </c>
      <c r="B5" s="2" t="n">
        <v>10.5</v>
      </c>
      <c r="C5" t="inlineStr">
        <is>
          <t>FY25 NCI profit 0.7 x 15; charged once, here</t>
        </is>
      </c>
    </row>
    <row r="6">
      <c r="A6" t="inlineStr">
        <is>
          <t>Net debt for bridge (NZ$m)</t>
        </is>
      </c>
      <c r="B6" s="4">
        <f>B4+B5</f>
        <v/>
      </c>
      <c r="C6" t="inlineStr">
        <is>
          <t>net bank debt + NCI value; lease liabilities excluded (treatment B)</t>
        </is>
      </c>
    </row>
    <row r="7">
      <c r="A7" t="inlineStr">
        <is>
          <t>FY2025 revenue (NZ$m)</t>
        </is>
      </c>
      <c r="B7" s="2" t="n">
        <v>164.3</v>
      </c>
      <c r="C7" t="inlineStr">
        <is>
          <t>FY0 actual</t>
        </is>
      </c>
    </row>
    <row r="8">
      <c r="A8" t="inlineStr">
        <is>
          <t>WACC (all scenarios)</t>
        </is>
      </c>
      <c r="B8" s="5" t="n">
        <v>0.115</v>
      </c>
      <c r="C8" t="inlineStr">
        <is>
          <t>NZD-built; see Model_Info</t>
        </is>
      </c>
    </row>
    <row r="9">
      <c r="A9" t="inlineStr">
        <is>
          <t>Hurdle rate for entry price</t>
        </is>
      </c>
      <c r="B9" s="6" t="n">
        <v>0.15</v>
      </c>
      <c r="C9" t="inlineStr">
        <is>
          <t>House 15% IRR</t>
        </is>
      </c>
    </row>
    <row r="10">
      <c r="A10" t="inlineStr">
        <is>
          <t>Terminal value cap (x FCF10)</t>
        </is>
      </c>
      <c r="B10" s="7" t="n">
        <v>18</v>
      </c>
      <c r="C10" t="inlineStr">
        <is>
          <t>Below the 20x default: moderate cinema cyclicality</t>
        </is>
      </c>
    </row>
    <row r="11">
      <c r="A11" t="inlineStr">
        <is>
          <t>Working-capital capture of revenue change</t>
        </is>
      </c>
      <c r="B11" s="5" t="n">
        <v>0.15</v>
      </c>
      <c r="C11" t="inlineStr">
        <is>
          <t>Deferred revenue up 5.3 on 14.3 revenue growth FY25; positive = prepaid inflow</t>
        </is>
      </c>
    </row>
    <row r="12">
      <c r="A12" t="inlineStr">
        <is>
          <t>Horizon (years)</t>
        </is>
      </c>
      <c r="B12" s="8" t="n">
        <v>10</v>
      </c>
      <c r="C12" t="inlineStr">
        <is>
          <t>Margin still ramping at year 5</t>
        </is>
      </c>
    </row>
    <row r="14">
      <c r="A14" s="1" t="inlineStr">
        <is>
          <t>Per scenario</t>
        </is>
      </c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Terminal growth</t>
        </is>
      </c>
      <c r="B15" s="5" t="n">
        <v>0.025</v>
      </c>
      <c r="C15" s="5" t="n">
        <v>0.03</v>
      </c>
      <c r="D15" s="5" t="n">
        <v>0.035</v>
      </c>
    </row>
    <row r="16">
      <c r="A16" t="inlineStr">
        <is>
          <t>Probability weight</t>
        </is>
      </c>
      <c r="B16" s="5" t="n">
        <v>0.2</v>
      </c>
      <c r="C16" s="5" t="n">
        <v>0.5</v>
      </c>
      <c r="D16" s="5" t="n">
        <v>0.3</v>
      </c>
    </row>
    <row r="17">
      <c r="A17" t="inlineStr">
        <is>
          <t>Weights check (must be 100%)</t>
        </is>
      </c>
      <c r="B17" s="9">
        <f>SUM(B16:D16)</f>
        <v/>
      </c>
    </row>
    <row r="19">
      <c r="A19" s="1" t="inlineStr">
        <is>
          <t>Scenario narratives</t>
        </is>
      </c>
    </row>
    <row r="20">
      <c r="A20" t="inlineStr">
        <is>
          <t>Bear</t>
        </is>
      </c>
      <c r="B20" s="10" t="inlineStr">
        <is>
          <t>Bear: FY2026 comes in at the bottom of guidance (+8%), then a weak 2027-28 slate (as in the 2023 strike year) and a slower cloud delivery ramp hold growth at 2-4%; a major circuit renegotiates or churns (the Cinemex 2019 departure is the precedent). EBITDA margin stalls at 17-20% because the incremental delivery/technology spend is never fully recovered, capitalised software stays above 10% of revenue and lease cost stays at ~3.5%. Owner FCF is negative for three years and only reaches ~4% of revenue by FY2035; terminal growth 2.5%. Same WACC as base -- risk is charged in the flows, not the rate.</t>
        </is>
      </c>
    </row>
    <row r="21">
      <c r="A21" t="inlineStr">
        <is>
          <t>Base</t>
        </is>
      </c>
      <c r="B21" s="10" t="inlineStr">
        <is>
          <t>Base: FY2026 lands at the guidance midpoint (revenue NZ$181.5m, +10.5%; EBITDA margin 18.0%, the low half of the 18-20% guide given H1's 13.8% FX-adjusted margin). Growth decays 10.5% -&gt; 3.5% over ten years as the Vista Cloud migration (35% of sites at FY25; ODEON/AMC, Kinepolis, Cinepolis Mexico, Cineworld UK, Cinemex signed) lifts SaaS mix, but the 2030 ARR aspiration of NZ$315m is NOT reached (base revenue ~NZ$247m in FY2030). EBITDA margin expands 1pp/yr to 25.5% by FY2035 as onboarding costs are recovered and expensed R&amp;D leverages. Capitalised software (12.5% of revenue in FY25, 14% assumed in FY26 while delivery capacity is being added) tapers to 8% by FY2034; D&amp;A converges on capex with a lag. Lease cash (4.1% of revenue in FY25 after a new HQ lease) scales down to 2.8%. Cash tax shielded by NZ$28.5m of recognised deferred tax assets on ~NZ$100m of NZ losses, ramping from 5% to the 28% statutory rate by FY2033. Owner FCF goes from ~zero (FY25: NZ$1.0m) to ~10.8% of revenue at maturity.</t>
        </is>
      </c>
    </row>
    <row r="22">
      <c r="A22" t="inlineStr">
        <is>
          <t>Bull</t>
        </is>
      </c>
      <c r="B22" s="10" t="inlineStr">
        <is>
          <t>Bull: the cloud pipeline converts at pace and Vista Payments scales toward its NZ$15m+ ARR aspiration, so revenue compounds 12-13% through FY2029 and reaches ~NZ$292m in FY2030 (ARR run-rate ~NZ$315m, matching the stated 2030 aspiration). A strong 2026-27 slate (Avengers, Star Wars, Dune, Toy Story) lifts GTV-linked revenue. Operating leverage takes the EBITDA margin to 30% by FY2035 (vertical-SaaS peer territory), capitalised software falls to 7.5% of revenue and lease cost to 2.5%. Same tax ramp and WACC as base; terminal growth 3.5%.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-- Bear scenario (NZ$m; per share NZD)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0.08</v>
      </c>
      <c r="D5" s="5" t="n">
        <v>0.04</v>
      </c>
      <c r="E5" s="5" t="n">
        <v>0.02</v>
      </c>
      <c r="F5" s="5" t="n">
        <v>0.03</v>
      </c>
      <c r="G5" s="5" t="n">
        <v>0.03</v>
      </c>
      <c r="H5" s="5" t="n">
        <v>0.03</v>
      </c>
      <c r="I5" s="5" t="n">
        <v>0.03</v>
      </c>
      <c r="J5" s="5" t="n">
        <v>0.025</v>
      </c>
      <c r="K5" s="5" t="n">
        <v>0.025</v>
      </c>
      <c r="L5" s="5" t="n">
        <v>0.025</v>
      </c>
    </row>
    <row r="6">
      <c r="A6" t="inlineStr">
        <is>
          <t>Revenue</t>
        </is>
      </c>
      <c r="B6" s="11">
        <f>Assumptions!$B$7</f>
        <v/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 (post-IFRS16)</t>
        </is>
      </c>
      <c r="B7" s="9">
        <f>B8/B6</f>
        <v/>
      </c>
      <c r="C7" s="5" t="n">
        <v>0.175</v>
      </c>
      <c r="D7" s="5" t="n">
        <v>0.175</v>
      </c>
      <c r="E7" s="5" t="n">
        <v>0.17</v>
      </c>
      <c r="F7" s="5" t="n">
        <v>0.175</v>
      </c>
      <c r="G7" s="5" t="n">
        <v>0.18</v>
      </c>
      <c r="H7" s="5" t="n">
        <v>0.185</v>
      </c>
      <c r="I7" s="5" t="n">
        <v>0.19</v>
      </c>
      <c r="J7" s="5" t="n">
        <v>0.195</v>
      </c>
      <c r="K7" s="5" t="n">
        <v>0.2</v>
      </c>
      <c r="L7" s="5" t="n">
        <v>0.2</v>
      </c>
    </row>
    <row r="8">
      <c r="A8" t="inlineStr">
        <is>
          <t>Adjusted EBITDA</t>
        </is>
      </c>
      <c r="B8" s="13" t="n">
        <v>28.2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B9" s="9">
        <f>-B10/B6</f>
        <v/>
      </c>
      <c r="C9" s="5" t="n">
        <v>0.005</v>
      </c>
      <c r="D9" s="5" t="n">
        <v>0.005</v>
      </c>
      <c r="E9" s="5" t="n">
        <v>0.005</v>
      </c>
      <c r="F9" s="5" t="n">
        <v>0.005</v>
      </c>
      <c r="G9" s="5" t="n">
        <v>0.005</v>
      </c>
      <c r="H9" s="5" t="n">
        <v>0.005</v>
      </c>
      <c r="I9" s="5" t="n">
        <v>0.005</v>
      </c>
      <c r="J9" s="5" t="n">
        <v>0.005</v>
      </c>
      <c r="K9" s="5" t="n">
        <v>0.005</v>
      </c>
      <c r="L9" s="5" t="n">
        <v>0.005</v>
      </c>
    </row>
    <row r="10">
      <c r="A10" t="inlineStr">
        <is>
          <t>SBC (negative)</t>
        </is>
      </c>
      <c r="B10" s="13" t="n">
        <v>-0.9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Lease cash % of revenue</t>
        </is>
      </c>
      <c r="B11" s="9">
        <f>-B12/B6</f>
        <v/>
      </c>
      <c r="C11" s="5" t="n">
        <v>0.04</v>
      </c>
      <c r="D11" s="5" t="n">
        <v>0.04</v>
      </c>
      <c r="E11" s="5" t="n">
        <v>0.039</v>
      </c>
      <c r="F11" s="5" t="n">
        <v>0.039</v>
      </c>
      <c r="G11" s="5" t="n">
        <v>0.038</v>
      </c>
      <c r="H11" s="5" t="n">
        <v>0.03700000000000001</v>
      </c>
      <c r="I11" s="5" t="n">
        <v>0.036</v>
      </c>
      <c r="J11" s="5" t="n">
        <v>0.036</v>
      </c>
      <c r="K11" s="5" t="n">
        <v>0.035</v>
      </c>
      <c r="L11" s="5" t="n">
        <v>0.035</v>
      </c>
    </row>
    <row r="12">
      <c r="A12" t="inlineStr">
        <is>
          <t>Lease cash (negative)</t>
        </is>
      </c>
      <c r="B12" s="13" t="n">
        <v>-6.8</v>
      </c>
      <c r="C12" s="12">
        <f>-C6*C11</f>
        <v/>
      </c>
      <c r="D12" s="12">
        <f>-D6*D11</f>
        <v/>
      </c>
      <c r="E12" s="12">
        <f>-E6*E11</f>
        <v/>
      </c>
      <c r="F12" s="12">
        <f>-F6*F11</f>
        <v/>
      </c>
      <c r="G12" s="12">
        <f>-G6*G11</f>
        <v/>
      </c>
      <c r="H12" s="12">
        <f>-H6*H11</f>
        <v/>
      </c>
      <c r="I12" s="12">
        <f>-I6*I11</f>
        <v/>
      </c>
      <c r="J12" s="12">
        <f>-J6*J11</f>
        <v/>
      </c>
      <c r="K12" s="12">
        <f>-K6*K11</f>
        <v/>
      </c>
      <c r="L12" s="12">
        <f>-L6*L11</f>
        <v/>
      </c>
    </row>
    <row r="13">
      <c r="A13" t="inlineStr">
        <is>
          <t>Owner EBITDA (after SBC, lease)</t>
        </is>
      </c>
      <c r="B13">
        <f>B8+B10+B12</f>
        <v/>
      </c>
      <c r="C13" s="12">
        <f>C8+C10+C12</f>
        <v/>
      </c>
      <c r="D13" s="12">
        <f>D8+D10+D12</f>
        <v/>
      </c>
      <c r="E13" s="12">
        <f>E8+E10+E12</f>
        <v/>
      </c>
      <c r="F13" s="12">
        <f>F8+F10+F12</f>
        <v/>
      </c>
      <c r="G13" s="12">
        <f>G8+G10+G12</f>
        <v/>
      </c>
      <c r="H13" s="12">
        <f>H8+H10+H12</f>
        <v/>
      </c>
      <c r="I13" s="12">
        <f>I8+I10+I12</f>
        <v/>
      </c>
      <c r="J13" s="12">
        <f>J8+J10+J12</f>
        <v/>
      </c>
      <c r="K13" s="12">
        <f>K8+K10+K12</f>
        <v/>
      </c>
      <c r="L13" s="12">
        <f>L8+L10+L12</f>
        <v/>
      </c>
    </row>
    <row r="14">
      <c r="A14" t="inlineStr">
        <is>
          <t>D&amp;A % of revenue (ex ROU)</t>
        </is>
      </c>
      <c r="B14" s="9">
        <f>-B15/B6</f>
        <v/>
      </c>
      <c r="C14" s="5" t="n">
        <v>0.104</v>
      </c>
      <c r="D14" s="5" t="n">
        <v>0.104</v>
      </c>
      <c r="E14" s="5" t="n">
        <v>0.104</v>
      </c>
      <c r="F14" s="5" t="n">
        <v>0.104</v>
      </c>
      <c r="G14" s="5" t="n">
        <v>0.103</v>
      </c>
      <c r="H14" s="5" t="n">
        <v>0.102</v>
      </c>
      <c r="I14" s="5" t="n">
        <v>0.101</v>
      </c>
      <c r="J14" s="5" t="n">
        <v>0.1</v>
      </c>
      <c r="K14" s="5" t="n">
        <v>0.1</v>
      </c>
      <c r="L14" s="5" t="n">
        <v>0.1</v>
      </c>
    </row>
    <row r="15">
      <c r="A15" t="inlineStr">
        <is>
          <t>D&amp;A (negative)</t>
        </is>
      </c>
      <c r="B15" s="13" t="n">
        <v>-17.1</v>
      </c>
      <c r="C15" s="12">
        <f>-C6*C14</f>
        <v/>
      </c>
      <c r="D15" s="12">
        <f>-D6*D14</f>
        <v/>
      </c>
      <c r="E15" s="12">
        <f>-E6*E14</f>
        <v/>
      </c>
      <c r="F15" s="12">
        <f>-F6*F14</f>
        <v/>
      </c>
      <c r="G15" s="12">
        <f>-G6*G14</f>
        <v/>
      </c>
      <c r="H15" s="12">
        <f>-H6*H14</f>
        <v/>
      </c>
      <c r="I15" s="12">
        <f>-I6*I14</f>
        <v/>
      </c>
      <c r="J15" s="12">
        <f>-J6*J14</f>
        <v/>
      </c>
      <c r="K15" s="12">
        <f>-K6*K14</f>
        <v/>
      </c>
      <c r="L15" s="12">
        <f>-L6*L14</f>
        <v/>
      </c>
    </row>
    <row r="16">
      <c r="A16" t="inlineStr">
        <is>
          <t>EBIT</t>
        </is>
      </c>
      <c r="B16">
        <f>B13+B15</f>
        <v/>
      </c>
      <c r="C16" s="12">
        <f>C13+C15</f>
        <v/>
      </c>
      <c r="D16" s="12">
        <f>D13+D15</f>
        <v/>
      </c>
      <c r="E16" s="12">
        <f>E13+E15</f>
        <v/>
      </c>
      <c r="F16" s="12">
        <f>F13+F15</f>
        <v/>
      </c>
      <c r="G16" s="12">
        <f>G13+G15</f>
        <v/>
      </c>
      <c r="H16" s="12">
        <f>H13+H15</f>
        <v/>
      </c>
      <c r="I16" s="12">
        <f>I13+I15</f>
        <v/>
      </c>
      <c r="J16" s="12">
        <f>J13+J15</f>
        <v/>
      </c>
      <c r="K16" s="12">
        <f>K13+K15</f>
        <v/>
      </c>
      <c r="L16" s="12">
        <f>L13+L15</f>
        <v/>
      </c>
    </row>
    <row r="17">
      <c r="A17" t="inlineStr">
        <is>
          <t>Cash tax rate</t>
        </is>
      </c>
      <c r="C17" s="5" t="n">
        <v>0.05</v>
      </c>
      <c r="D17" s="5" t="n">
        <v>0.05</v>
      </c>
      <c r="E17" s="5" t="n">
        <v>0.08</v>
      </c>
      <c r="F17" s="5" t="n">
        <v>0.12</v>
      </c>
      <c r="G17" s="5" t="n">
        <v>0.16</v>
      </c>
      <c r="H17" s="5" t="n">
        <v>0.2</v>
      </c>
      <c r="I17" s="5" t="n">
        <v>0.24</v>
      </c>
      <c r="J17" s="5" t="n">
        <v>0.28</v>
      </c>
      <c r="K17" s="5" t="n">
        <v>0.28</v>
      </c>
      <c r="L17" s="5" t="n">
        <v>0.28</v>
      </c>
    </row>
    <row r="18">
      <c r="A18" t="inlineStr">
        <is>
          <t>Cash tax on MAX(0,EBIT) (negative)</t>
        </is>
      </c>
      <c r="C18" s="12">
        <f>-MAX(0,C16)*C17</f>
        <v/>
      </c>
      <c r="D18" s="12">
        <f>-MAX(0,D16)*D17</f>
        <v/>
      </c>
      <c r="E18" s="12">
        <f>-MAX(0,E16)*E17</f>
        <v/>
      </c>
      <c r="F18" s="12">
        <f>-MAX(0,F16)*F17</f>
        <v/>
      </c>
      <c r="G18" s="12">
        <f>-MAX(0,G16)*G17</f>
        <v/>
      </c>
      <c r="H18" s="12">
        <f>-MAX(0,H16)*H17</f>
        <v/>
      </c>
      <c r="I18" s="12">
        <f>-MAX(0,I16)*I17</f>
        <v/>
      </c>
      <c r="J18" s="12">
        <f>-MAX(0,J16)*J17</f>
        <v/>
      </c>
      <c r="K18" s="12">
        <f>-MAX(0,K16)*K17</f>
        <v/>
      </c>
      <c r="L18" s="12">
        <f>-MAX(0,L16)*L17</f>
        <v/>
      </c>
    </row>
    <row r="19">
      <c r="A19" t="inlineStr">
        <is>
          <t>NOPAT</t>
        </is>
      </c>
      <c r="C19" s="12">
        <f>C16+C18</f>
        <v/>
      </c>
      <c r="D19" s="12">
        <f>D16+D18</f>
        <v/>
      </c>
      <c r="E19" s="12">
        <f>E16+E18</f>
        <v/>
      </c>
      <c r="F19" s="12">
        <f>F16+F18</f>
        <v/>
      </c>
      <c r="G19" s="12">
        <f>G16+G18</f>
        <v/>
      </c>
      <c r="H19" s="12">
        <f>H16+H18</f>
        <v/>
      </c>
      <c r="I19" s="12">
        <f>I16+I18</f>
        <v/>
      </c>
      <c r="J19" s="12">
        <f>J16+J18</f>
        <v/>
      </c>
      <c r="K19" s="12">
        <f>K16+K18</f>
        <v/>
      </c>
      <c r="L19" s="12">
        <f>L16+L18</f>
        <v/>
      </c>
    </row>
    <row r="20">
      <c r="A20" t="inlineStr">
        <is>
          <t>Add back D&amp;A</t>
        </is>
      </c>
      <c r="C20" s="12">
        <f>-C15</f>
        <v/>
      </c>
      <c r="D20" s="12">
        <f>-D15</f>
        <v/>
      </c>
      <c r="E20" s="12">
        <f>-E15</f>
        <v/>
      </c>
      <c r="F20" s="12">
        <f>-F15</f>
        <v/>
      </c>
      <c r="G20" s="12">
        <f>-G15</f>
        <v/>
      </c>
      <c r="H20" s="12">
        <f>-H15</f>
        <v/>
      </c>
      <c r="I20" s="12">
        <f>-I15</f>
        <v/>
      </c>
      <c r="J20" s="12">
        <f>-J15</f>
        <v/>
      </c>
      <c r="K20" s="12">
        <f>-K15</f>
        <v/>
      </c>
      <c r="L20" s="12">
        <f>-L15</f>
        <v/>
      </c>
    </row>
    <row r="21">
      <c r="A21" t="inlineStr">
        <is>
          <t>Capex % of revenue (incl capitalised software)</t>
        </is>
      </c>
      <c r="B21" s="9">
        <f>-B22/B6</f>
        <v/>
      </c>
      <c r="C21" s="5" t="n">
        <v>0.14</v>
      </c>
      <c r="D21" s="5" t="n">
        <v>0.135</v>
      </c>
      <c r="E21" s="5" t="n">
        <v>0.13</v>
      </c>
      <c r="F21" s="5" t="n">
        <v>0.125</v>
      </c>
      <c r="G21" s="5" t="n">
        <v>0.12</v>
      </c>
      <c r="H21" s="5" t="n">
        <v>0.115</v>
      </c>
      <c r="I21" s="5" t="n">
        <v>0.11</v>
      </c>
      <c r="J21" s="5" t="n">
        <v>0.105</v>
      </c>
      <c r="K21" s="5" t="n">
        <v>0.105</v>
      </c>
      <c r="L21" s="5" t="n">
        <v>0.105</v>
      </c>
    </row>
    <row r="22">
      <c r="A22" t="inlineStr">
        <is>
          <t>Capex (negative)</t>
        </is>
      </c>
      <c r="B22" s="13" t="n">
        <v>-21.1</v>
      </c>
      <c r="C22" s="12">
        <f>-C6*C21</f>
        <v/>
      </c>
      <c r="D22" s="12">
        <f>-D6*D21</f>
        <v/>
      </c>
      <c r="E22" s="12">
        <f>-E6*E21</f>
        <v/>
      </c>
      <c r="F22" s="12">
        <f>-F6*F21</f>
        <v/>
      </c>
      <c r="G22" s="12">
        <f>-G6*G21</f>
        <v/>
      </c>
      <c r="H22" s="12">
        <f>-H6*H21</f>
        <v/>
      </c>
      <c r="I22" s="12">
        <f>-I6*I21</f>
        <v/>
      </c>
      <c r="J22" s="12">
        <f>-J6*J21</f>
        <v/>
      </c>
      <c r="K22" s="12">
        <f>-K6*K21</f>
        <v/>
      </c>
      <c r="L22" s="12">
        <f>-L6*L21</f>
        <v/>
      </c>
    </row>
    <row r="23">
      <c r="A23" t="inlineStr">
        <is>
          <t>Working capital (capture x revenue change)</t>
        </is>
      </c>
      <c r="C23" s="14">
        <f>Assumptions!$B$11*(C6-B6)</f>
        <v/>
      </c>
      <c r="D23" s="14">
        <f>Assumptions!$B$11*(D6-C6)</f>
        <v/>
      </c>
      <c r="E23" s="14">
        <f>Assumptions!$B$11*(E6-D6)</f>
        <v/>
      </c>
      <c r="F23" s="14">
        <f>Assumptions!$B$11*(F6-E6)</f>
        <v/>
      </c>
      <c r="G23" s="14">
        <f>Assumptions!$B$11*(G6-F6)</f>
        <v/>
      </c>
      <c r="H23" s="14">
        <f>Assumptions!$B$11*(H6-G6)</f>
        <v/>
      </c>
      <c r="I23" s="14">
        <f>Assumptions!$B$11*(I6-H6)</f>
        <v/>
      </c>
      <c r="J23" s="14">
        <f>Assumptions!$B$11*(J6-I6)</f>
        <v/>
      </c>
      <c r="K23" s="14">
        <f>Assumptions!$B$11*(K6-J6)</f>
        <v/>
      </c>
      <c r="L23" s="14">
        <f>Assumptions!$B$11*(L6-K6)</f>
        <v/>
      </c>
    </row>
    <row r="24">
      <c r="A24" t="inlineStr">
        <is>
          <t>Unlevered owner FCF</t>
        </is>
      </c>
      <c r="B24" s="13" t="n">
        <v>1</v>
      </c>
      <c r="C24" s="15">
        <f>C19+C20+C22+C23</f>
        <v/>
      </c>
      <c r="D24" s="15">
        <f>D19+D20+D22+D23</f>
        <v/>
      </c>
      <c r="E24" s="15">
        <f>E19+E20+E22+E23</f>
        <v/>
      </c>
      <c r="F24" s="15">
        <f>F19+F20+F22+F23</f>
        <v/>
      </c>
      <c r="G24" s="15">
        <f>G19+G20+G22+G23</f>
        <v/>
      </c>
      <c r="H24" s="15">
        <f>H19+H20+H22+H23</f>
        <v/>
      </c>
      <c r="I24" s="15">
        <f>I19+I20+I22+I23</f>
        <v/>
      </c>
      <c r="J24" s="15">
        <f>J19+J20+J22+J23</f>
        <v/>
      </c>
      <c r="K24" s="15">
        <f>K19+K20+K22+K23</f>
        <v/>
      </c>
      <c r="L24" s="15">
        <f>L19+L20+L22+L23</f>
        <v/>
      </c>
    </row>
    <row r="25">
      <c r="A25" t="inlineStr">
        <is>
          <t>Discount factor</t>
        </is>
      </c>
      <c r="C25" s="16">
        <f>1/(1+Assumptions!$B$8)^C4</f>
        <v/>
      </c>
      <c r="D25" s="16">
        <f>1/(1+Assumptions!$B$8)^D4</f>
        <v/>
      </c>
      <c r="E25" s="16">
        <f>1/(1+Assumptions!$B$8)^E4</f>
        <v/>
      </c>
      <c r="F25" s="16">
        <f>1/(1+Assumptions!$B$8)^F4</f>
        <v/>
      </c>
      <c r="G25" s="16">
        <f>1/(1+Assumptions!$B$8)^G4</f>
        <v/>
      </c>
      <c r="H25" s="16">
        <f>1/(1+Assumptions!$B$8)^H4</f>
        <v/>
      </c>
      <c r="I25" s="16">
        <f>1/(1+Assumptions!$B$8)^I4</f>
        <v/>
      </c>
      <c r="J25" s="16">
        <f>1/(1+Assumptions!$B$8)^J4</f>
        <v/>
      </c>
      <c r="K25" s="16">
        <f>1/(1+Assumptions!$B$8)^K4</f>
        <v/>
      </c>
      <c r="L25" s="16">
        <f>1/(1+Assumptions!$B$8)^L4</f>
        <v/>
      </c>
    </row>
    <row r="26">
      <c r="A26" t="inlineStr">
        <is>
          <t>PV of FCF</t>
        </is>
      </c>
      <c r="C26" s="12">
        <f>C24*C25</f>
        <v/>
      </c>
      <c r="D26" s="12">
        <f>D24*D25</f>
        <v/>
      </c>
      <c r="E26" s="12">
        <f>E24*E25</f>
        <v/>
      </c>
      <c r="F26" s="12">
        <f>F24*F25</f>
        <v/>
      </c>
      <c r="G26" s="12">
        <f>G24*G25</f>
        <v/>
      </c>
      <c r="H26" s="12">
        <f>H24*H25</f>
        <v/>
      </c>
      <c r="I26" s="12">
        <f>I24*I25</f>
        <v/>
      </c>
      <c r="J26" s="12">
        <f>J24*J25</f>
        <v/>
      </c>
      <c r="K26" s="12">
        <f>K24*K25</f>
        <v/>
      </c>
      <c r="L26" s="12">
        <f>L24*L25</f>
        <v/>
      </c>
    </row>
    <row r="28">
      <c r="A28" t="inlineStr">
        <is>
          <t>Memo: FCF before SBC (company-style)</t>
        </is>
      </c>
      <c r="C28" s="12">
        <f>C24-C10</f>
        <v/>
      </c>
      <c r="D28" s="12">
        <f>D24-D10</f>
        <v/>
      </c>
      <c r="E28" s="12">
        <f>E24-E10</f>
        <v/>
      </c>
      <c r="F28" s="12">
        <f>F24-F10</f>
        <v/>
      </c>
      <c r="G28" s="12">
        <f>G24-G10</f>
        <v/>
      </c>
      <c r="H28" s="12">
        <f>H24-H10</f>
        <v/>
      </c>
      <c r="I28" s="12">
        <f>I24-I10</f>
        <v/>
      </c>
      <c r="J28" s="12">
        <f>J24-J10</f>
        <v/>
      </c>
      <c r="K28" s="12">
        <f>K24-K10</f>
        <v/>
      </c>
      <c r="L28" s="12">
        <f>L24-L10</f>
        <v/>
      </c>
    </row>
    <row r="29">
      <c r="A29" t="inlineStr">
        <is>
          <t>Memo: owner FCF margin</t>
        </is>
      </c>
      <c r="B29" s="9">
        <f>B24/B6</f>
        <v/>
      </c>
      <c r="C29" s="9">
        <f>C24/C6</f>
        <v/>
      </c>
      <c r="D29" s="9">
        <f>D24/D6</f>
        <v/>
      </c>
      <c r="E29" s="9">
        <f>E24/E6</f>
        <v/>
      </c>
      <c r="F29" s="9">
        <f>F24/F6</f>
        <v/>
      </c>
      <c r="G29" s="9">
        <f>G24/G6</f>
        <v/>
      </c>
      <c r="H29" s="9">
        <f>H24/H6</f>
        <v/>
      </c>
      <c r="I29" s="9">
        <f>I24/I6</f>
        <v/>
      </c>
      <c r="J29" s="9">
        <f>J24/J6</f>
        <v/>
      </c>
      <c r="K29" s="9">
        <f>K24/K6</f>
        <v/>
      </c>
      <c r="L29" s="9">
        <f>L24/L6</f>
        <v/>
      </c>
    </row>
    <row r="31">
      <c r="A31" t="inlineStr">
        <is>
          <t>Sum of PV of FCF</t>
        </is>
      </c>
      <c r="B31" s="12">
        <f>SUM(C26:L26)</f>
        <v/>
      </c>
    </row>
    <row r="32">
      <c r="A32" t="inlineStr">
        <is>
          <t>Terminal growth</t>
        </is>
      </c>
      <c r="B32" s="17">
        <f>Assumptions!$B$15</f>
        <v/>
      </c>
    </row>
    <row r="33">
      <c r="A33" t="inlineStr">
        <is>
          <t>Terminal-year FCF x (1+g)</t>
        </is>
      </c>
      <c r="B33" s="12">
        <f>L24*(1+B32)</f>
        <v/>
      </c>
    </row>
    <row r="34">
      <c r="A34" t="inlineStr">
        <is>
          <t>Gordon terminal value</t>
        </is>
      </c>
      <c r="B34" s="12">
        <f>IF(Assumptions!$B$8&gt;B32,B33/(Assumptions!$B$8-B32),0)</f>
        <v/>
      </c>
    </row>
    <row r="35">
      <c r="A35" t="inlineStr">
        <is>
          <t>Cap terminal value (cap x FCF10)</t>
        </is>
      </c>
      <c r="B35" s="12">
        <f>Assumptions!$B$10*L24</f>
        <v/>
      </c>
    </row>
    <row r="36">
      <c r="A36" t="inlineStr">
        <is>
          <t>Terminal value used = MAX(0,MIN(Gordon,cap))</t>
        </is>
      </c>
      <c r="B36" s="12">
        <f>MAX(0,MIN(B34,B35))</f>
        <v/>
      </c>
    </row>
    <row r="37">
      <c r="A37" t="inlineStr">
        <is>
          <t>Implied exit multiple (TV / FCF10)</t>
        </is>
      </c>
      <c r="B37" s="12">
        <f>IF(L24&lt;&gt;0,B36/L24,0)</f>
        <v/>
      </c>
    </row>
    <row r="38">
      <c r="A38" t="inlineStr">
        <is>
          <t>PV of terminal value</t>
        </is>
      </c>
      <c r="B38" s="12">
        <f>B36*L25</f>
        <v/>
      </c>
    </row>
    <row r="39">
      <c r="A39" t="inlineStr">
        <is>
          <t>Enterprise value</t>
        </is>
      </c>
      <c r="B39" s="12">
        <f>B31+B38</f>
        <v/>
      </c>
    </row>
    <row r="40">
      <c r="A40" t="inlineStr">
        <is>
          <t>Less net debt (bank net debt + NCI)</t>
        </is>
      </c>
      <c r="B40" s="14">
        <f>-Assumptions!$B$6</f>
        <v/>
      </c>
    </row>
    <row r="41">
      <c r="A41" t="inlineStr">
        <is>
          <t>Equity value</t>
        </is>
      </c>
      <c r="B41" s="12">
        <f>B39+B40</f>
        <v/>
      </c>
    </row>
    <row r="42">
      <c r="A42" t="inlineStr">
        <is>
          <t>Diluted shares (m)</t>
        </is>
      </c>
      <c r="B42" s="14">
        <f>Assumptions!$B$3</f>
        <v/>
      </c>
    </row>
    <row r="43">
      <c r="A43" s="1" t="inlineStr">
        <is>
          <t>VALUE PER SHARE (NZD)</t>
        </is>
      </c>
      <c r="B43" s="18">
        <f>B41/B42</f>
        <v/>
      </c>
    </row>
    <row r="44">
      <c r="A44" t="inlineStr">
        <is>
          <t>Upside vs price</t>
        </is>
      </c>
      <c r="B44" s="9">
        <f>B43/Assumptions!$B$2-1</f>
        <v/>
      </c>
    </row>
    <row r="45">
      <c r="A45" t="inlineStr">
        <is>
          <t>Terminal % of EV</t>
        </is>
      </c>
      <c r="B45" s="9">
        <f>B38/B39</f>
        <v/>
      </c>
    </row>
    <row r="47">
      <c r="A47" t="inlineStr">
        <is>
          <t>Street memo: PV of explicit SBC</t>
        </is>
      </c>
      <c r="B47" s="12">
        <f>SUMPRODUCT(-C10:L10/(1+Assumptions!$B$8)^C4:L4)</f>
        <v/>
      </c>
    </row>
    <row r="48">
      <c r="A48" t="inlineStr">
        <is>
          <t>Street memo: PV of terminal SBC (Gordon)</t>
        </is>
      </c>
      <c r="B48" s="12">
        <f>IF(Assumptions!$B$8&gt;B32,(-L10*(1+B32)/(Assumptions!$B$8-B32))*L25,0)</f>
        <v/>
      </c>
    </row>
    <row r="49">
      <c r="A49" t="inlineStr">
        <is>
          <t>Street value per share (SBC as non-cash)</t>
        </is>
      </c>
      <c r="B49" s="19">
        <f>(B41+B47+B48)/B42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-- Base scenario (NZ$m; per share NZD)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0.105</v>
      </c>
      <c r="D5" s="5" t="n">
        <v>0.095</v>
      </c>
      <c r="E5" s="5" t="n">
        <v>0.08500000000000001</v>
      </c>
      <c r="F5" s="5" t="n">
        <v>0.075</v>
      </c>
      <c r="G5" s="5" t="n">
        <v>0.065</v>
      </c>
      <c r="H5" s="5" t="n">
        <v>0.055</v>
      </c>
      <c r="I5" s="5" t="n">
        <v>0.05</v>
      </c>
      <c r="J5" s="5" t="n">
        <v>0.045</v>
      </c>
      <c r="K5" s="5" t="n">
        <v>0.04</v>
      </c>
      <c r="L5" s="5" t="n">
        <v>0.035</v>
      </c>
    </row>
    <row r="6">
      <c r="A6" t="inlineStr">
        <is>
          <t>Revenue</t>
        </is>
      </c>
      <c r="B6" s="11">
        <f>Assumptions!$B$7</f>
        <v/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 (post-IFRS16)</t>
        </is>
      </c>
      <c r="B7" s="9">
        <f>B8/B6</f>
        <v/>
      </c>
      <c r="C7" s="5" t="n">
        <v>0.18</v>
      </c>
      <c r="D7" s="5" t="n">
        <v>0.19</v>
      </c>
      <c r="E7" s="5" t="n">
        <v>0.2</v>
      </c>
      <c r="F7" s="5" t="n">
        <v>0.21</v>
      </c>
      <c r="G7" s="5" t="n">
        <v>0.22</v>
      </c>
      <c r="H7" s="5" t="n">
        <v>0.23</v>
      </c>
      <c r="I7" s="5" t="n">
        <v>0.24</v>
      </c>
      <c r="J7" s="5" t="n">
        <v>0.245</v>
      </c>
      <c r="K7" s="5" t="n">
        <v>0.25</v>
      </c>
      <c r="L7" s="5" t="n">
        <v>0.255</v>
      </c>
    </row>
    <row r="8">
      <c r="A8" t="inlineStr">
        <is>
          <t>Adjusted EBITDA</t>
        </is>
      </c>
      <c r="B8" s="13" t="n">
        <v>28.2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B9" s="9">
        <f>-B10/B6</f>
        <v/>
      </c>
      <c r="C9" s="5" t="n">
        <v>0.005</v>
      </c>
      <c r="D9" s="5" t="n">
        <v>0.005</v>
      </c>
      <c r="E9" s="5" t="n">
        <v>0.005</v>
      </c>
      <c r="F9" s="5" t="n">
        <v>0.005</v>
      </c>
      <c r="G9" s="5" t="n">
        <v>0.005</v>
      </c>
      <c r="H9" s="5" t="n">
        <v>0.005</v>
      </c>
      <c r="I9" s="5" t="n">
        <v>0.005</v>
      </c>
      <c r="J9" s="5" t="n">
        <v>0.005</v>
      </c>
      <c r="K9" s="5" t="n">
        <v>0.005</v>
      </c>
      <c r="L9" s="5" t="n">
        <v>0.005</v>
      </c>
    </row>
    <row r="10">
      <c r="A10" t="inlineStr">
        <is>
          <t>SBC (negative)</t>
        </is>
      </c>
      <c r="B10" s="13" t="n">
        <v>-0.9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Lease cash % of revenue</t>
        </is>
      </c>
      <c r="B11" s="9">
        <f>-B12/B6</f>
        <v/>
      </c>
      <c r="C11" s="5" t="n">
        <v>0.04</v>
      </c>
      <c r="D11" s="5" t="n">
        <v>0.039</v>
      </c>
      <c r="E11" s="5" t="n">
        <v>0.038</v>
      </c>
      <c r="F11" s="5" t="n">
        <v>0.036</v>
      </c>
      <c r="G11" s="5" t="n">
        <v>0.034</v>
      </c>
      <c r="H11" s="5" t="n">
        <v>0.032</v>
      </c>
      <c r="I11" s="5" t="n">
        <v>0.031</v>
      </c>
      <c r="J11" s="5" t="n">
        <v>0.03</v>
      </c>
      <c r="K11" s="5" t="n">
        <v>0.029</v>
      </c>
      <c r="L11" s="5" t="n">
        <v>0.028</v>
      </c>
    </row>
    <row r="12">
      <c r="A12" t="inlineStr">
        <is>
          <t>Lease cash (negative)</t>
        </is>
      </c>
      <c r="B12" s="13" t="n">
        <v>-6.8</v>
      </c>
      <c r="C12" s="12">
        <f>-C6*C11</f>
        <v/>
      </c>
      <c r="D12" s="12">
        <f>-D6*D11</f>
        <v/>
      </c>
      <c r="E12" s="12">
        <f>-E6*E11</f>
        <v/>
      </c>
      <c r="F12" s="12">
        <f>-F6*F11</f>
        <v/>
      </c>
      <c r="G12" s="12">
        <f>-G6*G11</f>
        <v/>
      </c>
      <c r="H12" s="12">
        <f>-H6*H11</f>
        <v/>
      </c>
      <c r="I12" s="12">
        <f>-I6*I11</f>
        <v/>
      </c>
      <c r="J12" s="12">
        <f>-J6*J11</f>
        <v/>
      </c>
      <c r="K12" s="12">
        <f>-K6*K11</f>
        <v/>
      </c>
      <c r="L12" s="12">
        <f>-L6*L11</f>
        <v/>
      </c>
    </row>
    <row r="13">
      <c r="A13" t="inlineStr">
        <is>
          <t>Owner EBITDA (after SBC, lease)</t>
        </is>
      </c>
      <c r="B13">
        <f>B8+B10+B12</f>
        <v/>
      </c>
      <c r="C13" s="12">
        <f>C8+C10+C12</f>
        <v/>
      </c>
      <c r="D13" s="12">
        <f>D8+D10+D12</f>
        <v/>
      </c>
      <c r="E13" s="12">
        <f>E8+E10+E12</f>
        <v/>
      </c>
      <c r="F13" s="12">
        <f>F8+F10+F12</f>
        <v/>
      </c>
      <c r="G13" s="12">
        <f>G8+G10+G12</f>
        <v/>
      </c>
      <c r="H13" s="12">
        <f>H8+H10+H12</f>
        <v/>
      </c>
      <c r="I13" s="12">
        <f>I8+I10+I12</f>
        <v/>
      </c>
      <c r="J13" s="12">
        <f>J8+J10+J12</f>
        <v/>
      </c>
      <c r="K13" s="12">
        <f>K8+K10+K12</f>
        <v/>
      </c>
      <c r="L13" s="12">
        <f>L8+L10+L12</f>
        <v/>
      </c>
    </row>
    <row r="14">
      <c r="A14" t="inlineStr">
        <is>
          <t>D&amp;A % of revenue (ex ROU)</t>
        </is>
      </c>
      <c r="B14" s="9">
        <f>-B15/B6</f>
        <v/>
      </c>
      <c r="C14" s="5" t="n">
        <v>0.104</v>
      </c>
      <c r="D14" s="5" t="n">
        <v>0.104</v>
      </c>
      <c r="E14" s="5" t="n">
        <v>0.103</v>
      </c>
      <c r="F14" s="5" t="n">
        <v>0.101</v>
      </c>
      <c r="G14" s="5" t="n">
        <v>0.098</v>
      </c>
      <c r="H14" s="5" t="n">
        <v>0.095</v>
      </c>
      <c r="I14" s="5" t="n">
        <v>0.092</v>
      </c>
      <c r="J14" s="5" t="n">
        <v>0.08900000000000001</v>
      </c>
      <c r="K14" s="5" t="n">
        <v>0.08599999999999999</v>
      </c>
      <c r="L14" s="5" t="n">
        <v>0.083</v>
      </c>
    </row>
    <row r="15">
      <c r="A15" t="inlineStr">
        <is>
          <t>D&amp;A (negative)</t>
        </is>
      </c>
      <c r="B15" s="13" t="n">
        <v>-17.1</v>
      </c>
      <c r="C15" s="12">
        <f>-C6*C14</f>
        <v/>
      </c>
      <c r="D15" s="12">
        <f>-D6*D14</f>
        <v/>
      </c>
      <c r="E15" s="12">
        <f>-E6*E14</f>
        <v/>
      </c>
      <c r="F15" s="12">
        <f>-F6*F14</f>
        <v/>
      </c>
      <c r="G15" s="12">
        <f>-G6*G14</f>
        <v/>
      </c>
      <c r="H15" s="12">
        <f>-H6*H14</f>
        <v/>
      </c>
      <c r="I15" s="12">
        <f>-I6*I14</f>
        <v/>
      </c>
      <c r="J15" s="12">
        <f>-J6*J14</f>
        <v/>
      </c>
      <c r="K15" s="12">
        <f>-K6*K14</f>
        <v/>
      </c>
      <c r="L15" s="12">
        <f>-L6*L14</f>
        <v/>
      </c>
    </row>
    <row r="16">
      <c r="A16" t="inlineStr">
        <is>
          <t>EBIT</t>
        </is>
      </c>
      <c r="B16">
        <f>B13+B15</f>
        <v/>
      </c>
      <c r="C16" s="12">
        <f>C13+C15</f>
        <v/>
      </c>
      <c r="D16" s="12">
        <f>D13+D15</f>
        <v/>
      </c>
      <c r="E16" s="12">
        <f>E13+E15</f>
        <v/>
      </c>
      <c r="F16" s="12">
        <f>F13+F15</f>
        <v/>
      </c>
      <c r="G16" s="12">
        <f>G13+G15</f>
        <v/>
      </c>
      <c r="H16" s="12">
        <f>H13+H15</f>
        <v/>
      </c>
      <c r="I16" s="12">
        <f>I13+I15</f>
        <v/>
      </c>
      <c r="J16" s="12">
        <f>J13+J15</f>
        <v/>
      </c>
      <c r="K16" s="12">
        <f>K13+K15</f>
        <v/>
      </c>
      <c r="L16" s="12">
        <f>L13+L15</f>
        <v/>
      </c>
    </row>
    <row r="17">
      <c r="A17" t="inlineStr">
        <is>
          <t>Cash tax rate</t>
        </is>
      </c>
      <c r="C17" s="5" t="n">
        <v>0.05</v>
      </c>
      <c r="D17" s="5" t="n">
        <v>0.05</v>
      </c>
      <c r="E17" s="5" t="n">
        <v>0.08</v>
      </c>
      <c r="F17" s="5" t="n">
        <v>0.12</v>
      </c>
      <c r="G17" s="5" t="n">
        <v>0.16</v>
      </c>
      <c r="H17" s="5" t="n">
        <v>0.2</v>
      </c>
      <c r="I17" s="5" t="n">
        <v>0.24</v>
      </c>
      <c r="J17" s="5" t="n">
        <v>0.28</v>
      </c>
      <c r="K17" s="5" t="n">
        <v>0.28</v>
      </c>
      <c r="L17" s="5" t="n">
        <v>0.28</v>
      </c>
    </row>
    <row r="18">
      <c r="A18" t="inlineStr">
        <is>
          <t>Cash tax on MAX(0,EBIT) (negative)</t>
        </is>
      </c>
      <c r="C18" s="12">
        <f>-MAX(0,C16)*C17</f>
        <v/>
      </c>
      <c r="D18" s="12">
        <f>-MAX(0,D16)*D17</f>
        <v/>
      </c>
      <c r="E18" s="12">
        <f>-MAX(0,E16)*E17</f>
        <v/>
      </c>
      <c r="F18" s="12">
        <f>-MAX(0,F16)*F17</f>
        <v/>
      </c>
      <c r="G18" s="12">
        <f>-MAX(0,G16)*G17</f>
        <v/>
      </c>
      <c r="H18" s="12">
        <f>-MAX(0,H16)*H17</f>
        <v/>
      </c>
      <c r="I18" s="12">
        <f>-MAX(0,I16)*I17</f>
        <v/>
      </c>
      <c r="J18" s="12">
        <f>-MAX(0,J16)*J17</f>
        <v/>
      </c>
      <c r="K18" s="12">
        <f>-MAX(0,K16)*K17</f>
        <v/>
      </c>
      <c r="L18" s="12">
        <f>-MAX(0,L16)*L17</f>
        <v/>
      </c>
    </row>
    <row r="19">
      <c r="A19" t="inlineStr">
        <is>
          <t>NOPAT</t>
        </is>
      </c>
      <c r="C19" s="12">
        <f>C16+C18</f>
        <v/>
      </c>
      <c r="D19" s="12">
        <f>D16+D18</f>
        <v/>
      </c>
      <c r="E19" s="12">
        <f>E16+E18</f>
        <v/>
      </c>
      <c r="F19" s="12">
        <f>F16+F18</f>
        <v/>
      </c>
      <c r="G19" s="12">
        <f>G16+G18</f>
        <v/>
      </c>
      <c r="H19" s="12">
        <f>H16+H18</f>
        <v/>
      </c>
      <c r="I19" s="12">
        <f>I16+I18</f>
        <v/>
      </c>
      <c r="J19" s="12">
        <f>J16+J18</f>
        <v/>
      </c>
      <c r="K19" s="12">
        <f>K16+K18</f>
        <v/>
      </c>
      <c r="L19" s="12">
        <f>L16+L18</f>
        <v/>
      </c>
    </row>
    <row r="20">
      <c r="A20" t="inlineStr">
        <is>
          <t>Add back D&amp;A</t>
        </is>
      </c>
      <c r="C20" s="12">
        <f>-C15</f>
        <v/>
      </c>
      <c r="D20" s="12">
        <f>-D15</f>
        <v/>
      </c>
      <c r="E20" s="12">
        <f>-E15</f>
        <v/>
      </c>
      <c r="F20" s="12">
        <f>-F15</f>
        <v/>
      </c>
      <c r="G20" s="12">
        <f>-G15</f>
        <v/>
      </c>
      <c r="H20" s="12">
        <f>-H15</f>
        <v/>
      </c>
      <c r="I20" s="12">
        <f>-I15</f>
        <v/>
      </c>
      <c r="J20" s="12">
        <f>-J15</f>
        <v/>
      </c>
      <c r="K20" s="12">
        <f>-K15</f>
        <v/>
      </c>
      <c r="L20" s="12">
        <f>-L15</f>
        <v/>
      </c>
    </row>
    <row r="21">
      <c r="A21" t="inlineStr">
        <is>
          <t>Capex % of revenue (incl capitalised software)</t>
        </is>
      </c>
      <c r="B21" s="9">
        <f>-B22/B6</f>
        <v/>
      </c>
      <c r="C21" s="5" t="n">
        <v>0.14</v>
      </c>
      <c r="D21" s="5" t="n">
        <v>0.13</v>
      </c>
      <c r="E21" s="5" t="n">
        <v>0.12</v>
      </c>
      <c r="F21" s="5" t="n">
        <v>0.11</v>
      </c>
      <c r="G21" s="5" t="n">
        <v>0.1</v>
      </c>
      <c r="H21" s="5" t="n">
        <v>0.095</v>
      </c>
      <c r="I21" s="5" t="n">
        <v>0.09</v>
      </c>
      <c r="J21" s="5" t="n">
        <v>0.08500000000000001</v>
      </c>
      <c r="K21" s="5" t="n">
        <v>0.08</v>
      </c>
      <c r="L21" s="5" t="n">
        <v>0.08</v>
      </c>
    </row>
    <row r="22">
      <c r="A22" t="inlineStr">
        <is>
          <t>Capex (negative)</t>
        </is>
      </c>
      <c r="B22" s="13" t="n">
        <v>-21.1</v>
      </c>
      <c r="C22" s="12">
        <f>-C6*C21</f>
        <v/>
      </c>
      <c r="D22" s="12">
        <f>-D6*D21</f>
        <v/>
      </c>
      <c r="E22" s="12">
        <f>-E6*E21</f>
        <v/>
      </c>
      <c r="F22" s="12">
        <f>-F6*F21</f>
        <v/>
      </c>
      <c r="G22" s="12">
        <f>-G6*G21</f>
        <v/>
      </c>
      <c r="H22" s="12">
        <f>-H6*H21</f>
        <v/>
      </c>
      <c r="I22" s="12">
        <f>-I6*I21</f>
        <v/>
      </c>
      <c r="J22" s="12">
        <f>-J6*J21</f>
        <v/>
      </c>
      <c r="K22" s="12">
        <f>-K6*K21</f>
        <v/>
      </c>
      <c r="L22" s="12">
        <f>-L6*L21</f>
        <v/>
      </c>
    </row>
    <row r="23">
      <c r="A23" t="inlineStr">
        <is>
          <t>Working capital (capture x revenue change)</t>
        </is>
      </c>
      <c r="C23" s="14">
        <f>Assumptions!$B$11*(C6-B6)</f>
        <v/>
      </c>
      <c r="D23" s="14">
        <f>Assumptions!$B$11*(D6-C6)</f>
        <v/>
      </c>
      <c r="E23" s="14">
        <f>Assumptions!$B$11*(E6-D6)</f>
        <v/>
      </c>
      <c r="F23" s="14">
        <f>Assumptions!$B$11*(F6-E6)</f>
        <v/>
      </c>
      <c r="G23" s="14">
        <f>Assumptions!$B$11*(G6-F6)</f>
        <v/>
      </c>
      <c r="H23" s="14">
        <f>Assumptions!$B$11*(H6-G6)</f>
        <v/>
      </c>
      <c r="I23" s="14">
        <f>Assumptions!$B$11*(I6-H6)</f>
        <v/>
      </c>
      <c r="J23" s="14">
        <f>Assumptions!$B$11*(J6-I6)</f>
        <v/>
      </c>
      <c r="K23" s="14">
        <f>Assumptions!$B$11*(K6-J6)</f>
        <v/>
      </c>
      <c r="L23" s="14">
        <f>Assumptions!$B$11*(L6-K6)</f>
        <v/>
      </c>
    </row>
    <row r="24">
      <c r="A24" t="inlineStr">
        <is>
          <t>Unlevered owner FCF</t>
        </is>
      </c>
      <c r="B24" s="13" t="n">
        <v>1</v>
      </c>
      <c r="C24" s="15">
        <f>C19+C20+C22+C23</f>
        <v/>
      </c>
      <c r="D24" s="15">
        <f>D19+D20+D22+D23</f>
        <v/>
      </c>
      <c r="E24" s="15">
        <f>E19+E20+E22+E23</f>
        <v/>
      </c>
      <c r="F24" s="15">
        <f>F19+F20+F22+F23</f>
        <v/>
      </c>
      <c r="G24" s="15">
        <f>G19+G20+G22+G23</f>
        <v/>
      </c>
      <c r="H24" s="15">
        <f>H19+H20+H22+H23</f>
        <v/>
      </c>
      <c r="I24" s="15">
        <f>I19+I20+I22+I23</f>
        <v/>
      </c>
      <c r="J24" s="15">
        <f>J19+J20+J22+J23</f>
        <v/>
      </c>
      <c r="K24" s="15">
        <f>K19+K20+K22+K23</f>
        <v/>
      </c>
      <c r="L24" s="15">
        <f>L19+L20+L22+L23</f>
        <v/>
      </c>
    </row>
    <row r="25">
      <c r="A25" t="inlineStr">
        <is>
          <t>Discount factor</t>
        </is>
      </c>
      <c r="C25" s="16">
        <f>1/(1+Assumptions!$B$8)^C4</f>
        <v/>
      </c>
      <c r="D25" s="16">
        <f>1/(1+Assumptions!$B$8)^D4</f>
        <v/>
      </c>
      <c r="E25" s="16">
        <f>1/(1+Assumptions!$B$8)^E4</f>
        <v/>
      </c>
      <c r="F25" s="16">
        <f>1/(1+Assumptions!$B$8)^F4</f>
        <v/>
      </c>
      <c r="G25" s="16">
        <f>1/(1+Assumptions!$B$8)^G4</f>
        <v/>
      </c>
      <c r="H25" s="16">
        <f>1/(1+Assumptions!$B$8)^H4</f>
        <v/>
      </c>
      <c r="I25" s="16">
        <f>1/(1+Assumptions!$B$8)^I4</f>
        <v/>
      </c>
      <c r="J25" s="16">
        <f>1/(1+Assumptions!$B$8)^J4</f>
        <v/>
      </c>
      <c r="K25" s="16">
        <f>1/(1+Assumptions!$B$8)^K4</f>
        <v/>
      </c>
      <c r="L25" s="16">
        <f>1/(1+Assumptions!$B$8)^L4</f>
        <v/>
      </c>
    </row>
    <row r="26">
      <c r="A26" t="inlineStr">
        <is>
          <t>PV of FCF</t>
        </is>
      </c>
      <c r="C26" s="12">
        <f>C24*C25</f>
        <v/>
      </c>
      <c r="D26" s="12">
        <f>D24*D25</f>
        <v/>
      </c>
      <c r="E26" s="12">
        <f>E24*E25</f>
        <v/>
      </c>
      <c r="F26" s="12">
        <f>F24*F25</f>
        <v/>
      </c>
      <c r="G26" s="12">
        <f>G24*G25</f>
        <v/>
      </c>
      <c r="H26" s="12">
        <f>H24*H25</f>
        <v/>
      </c>
      <c r="I26" s="12">
        <f>I24*I25</f>
        <v/>
      </c>
      <c r="J26" s="12">
        <f>J24*J25</f>
        <v/>
      </c>
      <c r="K26" s="12">
        <f>K24*K25</f>
        <v/>
      </c>
      <c r="L26" s="12">
        <f>L24*L25</f>
        <v/>
      </c>
    </row>
    <row r="28">
      <c r="A28" t="inlineStr">
        <is>
          <t>Memo: FCF before SBC (company-style)</t>
        </is>
      </c>
      <c r="C28" s="12">
        <f>C24-C10</f>
        <v/>
      </c>
      <c r="D28" s="12">
        <f>D24-D10</f>
        <v/>
      </c>
      <c r="E28" s="12">
        <f>E24-E10</f>
        <v/>
      </c>
      <c r="F28" s="12">
        <f>F24-F10</f>
        <v/>
      </c>
      <c r="G28" s="12">
        <f>G24-G10</f>
        <v/>
      </c>
      <c r="H28" s="12">
        <f>H24-H10</f>
        <v/>
      </c>
      <c r="I28" s="12">
        <f>I24-I10</f>
        <v/>
      </c>
      <c r="J28" s="12">
        <f>J24-J10</f>
        <v/>
      </c>
      <c r="K28" s="12">
        <f>K24-K10</f>
        <v/>
      </c>
      <c r="L28" s="12">
        <f>L24-L10</f>
        <v/>
      </c>
    </row>
    <row r="29">
      <c r="A29" t="inlineStr">
        <is>
          <t>Memo: owner FCF margin</t>
        </is>
      </c>
      <c r="B29" s="9">
        <f>B24/B6</f>
        <v/>
      </c>
      <c r="C29" s="9">
        <f>C24/C6</f>
        <v/>
      </c>
      <c r="D29" s="9">
        <f>D24/D6</f>
        <v/>
      </c>
      <c r="E29" s="9">
        <f>E24/E6</f>
        <v/>
      </c>
      <c r="F29" s="9">
        <f>F24/F6</f>
        <v/>
      </c>
      <c r="G29" s="9">
        <f>G24/G6</f>
        <v/>
      </c>
      <c r="H29" s="9">
        <f>H24/H6</f>
        <v/>
      </c>
      <c r="I29" s="9">
        <f>I24/I6</f>
        <v/>
      </c>
      <c r="J29" s="9">
        <f>J24/J6</f>
        <v/>
      </c>
      <c r="K29" s="9">
        <f>K24/K6</f>
        <v/>
      </c>
      <c r="L29" s="9">
        <f>L24/L6</f>
        <v/>
      </c>
    </row>
    <row r="31">
      <c r="A31" t="inlineStr">
        <is>
          <t>Sum of PV of FCF</t>
        </is>
      </c>
      <c r="B31" s="12">
        <f>SUM(C26:L26)</f>
        <v/>
      </c>
    </row>
    <row r="32">
      <c r="A32" t="inlineStr">
        <is>
          <t>Terminal growth</t>
        </is>
      </c>
      <c r="B32" s="17">
        <f>Assumptions!$C$15</f>
        <v/>
      </c>
    </row>
    <row r="33">
      <c r="A33" t="inlineStr">
        <is>
          <t>Terminal-year FCF x (1+g)</t>
        </is>
      </c>
      <c r="B33" s="12">
        <f>L24*(1+B32)</f>
        <v/>
      </c>
    </row>
    <row r="34">
      <c r="A34" t="inlineStr">
        <is>
          <t>Gordon terminal value</t>
        </is>
      </c>
      <c r="B34" s="12">
        <f>IF(Assumptions!$B$8&gt;B32,B33/(Assumptions!$B$8-B32),0)</f>
        <v/>
      </c>
    </row>
    <row r="35">
      <c r="A35" t="inlineStr">
        <is>
          <t>Cap terminal value (cap x FCF10)</t>
        </is>
      </c>
      <c r="B35" s="12">
        <f>Assumptions!$B$10*L24</f>
        <v/>
      </c>
    </row>
    <row r="36">
      <c r="A36" t="inlineStr">
        <is>
          <t>Terminal value used = MAX(0,MIN(Gordon,cap))</t>
        </is>
      </c>
      <c r="B36" s="12">
        <f>MAX(0,MIN(B34,B35))</f>
        <v/>
      </c>
    </row>
    <row r="37">
      <c r="A37" t="inlineStr">
        <is>
          <t>Implied exit multiple (TV / FCF10)</t>
        </is>
      </c>
      <c r="B37" s="12">
        <f>IF(L24&lt;&gt;0,B36/L24,0)</f>
        <v/>
      </c>
    </row>
    <row r="38">
      <c r="A38" t="inlineStr">
        <is>
          <t>PV of terminal value</t>
        </is>
      </c>
      <c r="B38" s="12">
        <f>B36*L25</f>
        <v/>
      </c>
    </row>
    <row r="39">
      <c r="A39" t="inlineStr">
        <is>
          <t>Enterprise value</t>
        </is>
      </c>
      <c r="B39" s="12">
        <f>B31+B38</f>
        <v/>
      </c>
    </row>
    <row r="40">
      <c r="A40" t="inlineStr">
        <is>
          <t>Less net debt (bank net debt + NCI)</t>
        </is>
      </c>
      <c r="B40" s="14">
        <f>-Assumptions!$B$6</f>
        <v/>
      </c>
    </row>
    <row r="41">
      <c r="A41" t="inlineStr">
        <is>
          <t>Equity value</t>
        </is>
      </c>
      <c r="B41" s="12">
        <f>B39+B40</f>
        <v/>
      </c>
    </row>
    <row r="42">
      <c r="A42" t="inlineStr">
        <is>
          <t>Diluted shares (m)</t>
        </is>
      </c>
      <c r="B42" s="14">
        <f>Assumptions!$B$3</f>
        <v/>
      </c>
    </row>
    <row r="43">
      <c r="A43" s="1" t="inlineStr">
        <is>
          <t>VALUE PER SHARE (NZD)</t>
        </is>
      </c>
      <c r="B43" s="18">
        <f>B41/B42</f>
        <v/>
      </c>
    </row>
    <row r="44">
      <c r="A44" t="inlineStr">
        <is>
          <t>Upside vs price</t>
        </is>
      </c>
      <c r="B44" s="9">
        <f>B43/Assumptions!$B$2-1</f>
        <v/>
      </c>
    </row>
    <row r="45">
      <c r="A45" t="inlineStr">
        <is>
          <t>Terminal % of EV</t>
        </is>
      </c>
      <c r="B45" s="9">
        <f>B38/B39</f>
        <v/>
      </c>
    </row>
    <row r="47">
      <c r="A47" t="inlineStr">
        <is>
          <t>Street memo: PV of explicit SBC</t>
        </is>
      </c>
      <c r="B47" s="12">
        <f>SUMPRODUCT(-C10:L10/(1+Assumptions!$B$8)^C4:L4)</f>
        <v/>
      </c>
    </row>
    <row r="48">
      <c r="A48" t="inlineStr">
        <is>
          <t>Street memo: PV of terminal SBC (Gordon)</t>
        </is>
      </c>
      <c r="B48" s="12">
        <f>IF(Assumptions!$B$8&gt;B32,(-L10*(1+B32)/(Assumptions!$B$8-B32))*L25,0)</f>
        <v/>
      </c>
    </row>
    <row r="49">
      <c r="A49" t="inlineStr">
        <is>
          <t>Street value per share (SBC as non-cash)</t>
        </is>
      </c>
      <c r="B49" s="19">
        <f>(B41+B47+B48)/B42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-- Bull scenario (NZ$m; per share NZD)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0.12</v>
      </c>
      <c r="D5" s="5" t="n">
        <v>0.13</v>
      </c>
      <c r="E5" s="5" t="n">
        <v>0.13</v>
      </c>
      <c r="F5" s="5" t="n">
        <v>0.12</v>
      </c>
      <c r="G5" s="5" t="n">
        <v>0.11</v>
      </c>
      <c r="H5" s="5" t="n">
        <v>0.09</v>
      </c>
      <c r="I5" s="5" t="n">
        <v>0.08</v>
      </c>
      <c r="J5" s="5" t="n">
        <v>0.065</v>
      </c>
      <c r="K5" s="5" t="n">
        <v>0.05</v>
      </c>
      <c r="L5" s="5" t="n">
        <v>0.04</v>
      </c>
    </row>
    <row r="6">
      <c r="A6" t="inlineStr">
        <is>
          <t>Revenue</t>
        </is>
      </c>
      <c r="B6" s="11">
        <f>Assumptions!$B$7</f>
        <v/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 (post-IFRS16)</t>
        </is>
      </c>
      <c r="B7" s="9">
        <f>B8/B6</f>
        <v/>
      </c>
      <c r="C7" s="5" t="n">
        <v>0.19</v>
      </c>
      <c r="D7" s="5" t="n">
        <v>0.205</v>
      </c>
      <c r="E7" s="5" t="n">
        <v>0.22</v>
      </c>
      <c r="F7" s="5" t="n">
        <v>0.235</v>
      </c>
      <c r="G7" s="5" t="n">
        <v>0.25</v>
      </c>
      <c r="H7" s="5" t="n">
        <v>0.265</v>
      </c>
      <c r="I7" s="5" t="n">
        <v>0.28</v>
      </c>
      <c r="J7" s="5" t="n">
        <v>0.29</v>
      </c>
      <c r="K7" s="5" t="n">
        <v>0.295</v>
      </c>
      <c r="L7" s="5" t="n">
        <v>0.3</v>
      </c>
    </row>
    <row r="8">
      <c r="A8" t="inlineStr">
        <is>
          <t>Adjusted EBITDA</t>
        </is>
      </c>
      <c r="B8" s="13" t="n">
        <v>28.2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B9" s="9">
        <f>-B10/B6</f>
        <v/>
      </c>
      <c r="C9" s="5" t="n">
        <v>0.005</v>
      </c>
      <c r="D9" s="5" t="n">
        <v>0.005</v>
      </c>
      <c r="E9" s="5" t="n">
        <v>0.005</v>
      </c>
      <c r="F9" s="5" t="n">
        <v>0.005</v>
      </c>
      <c r="G9" s="5" t="n">
        <v>0.005</v>
      </c>
      <c r="H9" s="5" t="n">
        <v>0.005</v>
      </c>
      <c r="I9" s="5" t="n">
        <v>0.005</v>
      </c>
      <c r="J9" s="5" t="n">
        <v>0.005</v>
      </c>
      <c r="K9" s="5" t="n">
        <v>0.005</v>
      </c>
      <c r="L9" s="5" t="n">
        <v>0.005</v>
      </c>
    </row>
    <row r="10">
      <c r="A10" t="inlineStr">
        <is>
          <t>SBC (negative)</t>
        </is>
      </c>
      <c r="B10" s="13" t="n">
        <v>-0.9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Lease cash % of revenue</t>
        </is>
      </c>
      <c r="B11" s="9">
        <f>-B12/B6</f>
        <v/>
      </c>
      <c r="C11" s="5" t="n">
        <v>0.04</v>
      </c>
      <c r="D11" s="5" t="n">
        <v>0.038</v>
      </c>
      <c r="E11" s="5" t="n">
        <v>0.036</v>
      </c>
      <c r="F11" s="5" t="n">
        <v>0.034</v>
      </c>
      <c r="G11" s="5" t="n">
        <v>0.032</v>
      </c>
      <c r="H11" s="5" t="n">
        <v>0.03</v>
      </c>
      <c r="I11" s="5" t="n">
        <v>0.028</v>
      </c>
      <c r="J11" s="5" t="n">
        <v>0.027</v>
      </c>
      <c r="K11" s="5" t="n">
        <v>0.026</v>
      </c>
      <c r="L11" s="5" t="n">
        <v>0.025</v>
      </c>
    </row>
    <row r="12">
      <c r="A12" t="inlineStr">
        <is>
          <t>Lease cash (negative)</t>
        </is>
      </c>
      <c r="B12" s="13" t="n">
        <v>-6.8</v>
      </c>
      <c r="C12" s="12">
        <f>-C6*C11</f>
        <v/>
      </c>
      <c r="D12" s="12">
        <f>-D6*D11</f>
        <v/>
      </c>
      <c r="E12" s="12">
        <f>-E6*E11</f>
        <v/>
      </c>
      <c r="F12" s="12">
        <f>-F6*F11</f>
        <v/>
      </c>
      <c r="G12" s="12">
        <f>-G6*G11</f>
        <v/>
      </c>
      <c r="H12" s="12">
        <f>-H6*H11</f>
        <v/>
      </c>
      <c r="I12" s="12">
        <f>-I6*I11</f>
        <v/>
      </c>
      <c r="J12" s="12">
        <f>-J6*J11</f>
        <v/>
      </c>
      <c r="K12" s="12">
        <f>-K6*K11</f>
        <v/>
      </c>
      <c r="L12" s="12">
        <f>-L6*L11</f>
        <v/>
      </c>
    </row>
    <row r="13">
      <c r="A13" t="inlineStr">
        <is>
          <t>Owner EBITDA (after SBC, lease)</t>
        </is>
      </c>
      <c r="B13">
        <f>B8+B10+B12</f>
        <v/>
      </c>
      <c r="C13" s="12">
        <f>C8+C10+C12</f>
        <v/>
      </c>
      <c r="D13" s="12">
        <f>D8+D10+D12</f>
        <v/>
      </c>
      <c r="E13" s="12">
        <f>E8+E10+E12</f>
        <v/>
      </c>
      <c r="F13" s="12">
        <f>F8+F10+F12</f>
        <v/>
      </c>
      <c r="G13" s="12">
        <f>G8+G10+G12</f>
        <v/>
      </c>
      <c r="H13" s="12">
        <f>H8+H10+H12</f>
        <v/>
      </c>
      <c r="I13" s="12">
        <f>I8+I10+I12</f>
        <v/>
      </c>
      <c r="J13" s="12">
        <f>J8+J10+J12</f>
        <v/>
      </c>
      <c r="K13" s="12">
        <f>K8+K10+K12</f>
        <v/>
      </c>
      <c r="L13" s="12">
        <f>L8+L10+L12</f>
        <v/>
      </c>
    </row>
    <row r="14">
      <c r="A14" t="inlineStr">
        <is>
          <t>D&amp;A % of revenue (ex ROU)</t>
        </is>
      </c>
      <c r="B14" s="9">
        <f>-B15/B6</f>
        <v/>
      </c>
      <c r="C14" s="5" t="n">
        <v>0.104</v>
      </c>
      <c r="D14" s="5" t="n">
        <v>0.103</v>
      </c>
      <c r="E14" s="5" t="n">
        <v>0.101</v>
      </c>
      <c r="F14" s="5" t="n">
        <v>0.098</v>
      </c>
      <c r="G14" s="5" t="n">
        <v>0.094</v>
      </c>
      <c r="H14" s="5" t="n">
        <v>0.09</v>
      </c>
      <c r="I14" s="5" t="n">
        <v>0.08599999999999999</v>
      </c>
      <c r="J14" s="5" t="n">
        <v>0.08199999999999999</v>
      </c>
      <c r="K14" s="5" t="n">
        <v>0.079</v>
      </c>
      <c r="L14" s="5" t="n">
        <v>0.077</v>
      </c>
    </row>
    <row r="15">
      <c r="A15" t="inlineStr">
        <is>
          <t>D&amp;A (negative)</t>
        </is>
      </c>
      <c r="B15" s="13" t="n">
        <v>-17.1</v>
      </c>
      <c r="C15" s="12">
        <f>-C6*C14</f>
        <v/>
      </c>
      <c r="D15" s="12">
        <f>-D6*D14</f>
        <v/>
      </c>
      <c r="E15" s="12">
        <f>-E6*E14</f>
        <v/>
      </c>
      <c r="F15" s="12">
        <f>-F6*F14</f>
        <v/>
      </c>
      <c r="G15" s="12">
        <f>-G6*G14</f>
        <v/>
      </c>
      <c r="H15" s="12">
        <f>-H6*H14</f>
        <v/>
      </c>
      <c r="I15" s="12">
        <f>-I6*I14</f>
        <v/>
      </c>
      <c r="J15" s="12">
        <f>-J6*J14</f>
        <v/>
      </c>
      <c r="K15" s="12">
        <f>-K6*K14</f>
        <v/>
      </c>
      <c r="L15" s="12">
        <f>-L6*L14</f>
        <v/>
      </c>
    </row>
    <row r="16">
      <c r="A16" t="inlineStr">
        <is>
          <t>EBIT</t>
        </is>
      </c>
      <c r="B16">
        <f>B13+B15</f>
        <v/>
      </c>
      <c r="C16" s="12">
        <f>C13+C15</f>
        <v/>
      </c>
      <c r="D16" s="12">
        <f>D13+D15</f>
        <v/>
      </c>
      <c r="E16" s="12">
        <f>E13+E15</f>
        <v/>
      </c>
      <c r="F16" s="12">
        <f>F13+F15</f>
        <v/>
      </c>
      <c r="G16" s="12">
        <f>G13+G15</f>
        <v/>
      </c>
      <c r="H16" s="12">
        <f>H13+H15</f>
        <v/>
      </c>
      <c r="I16" s="12">
        <f>I13+I15</f>
        <v/>
      </c>
      <c r="J16" s="12">
        <f>J13+J15</f>
        <v/>
      </c>
      <c r="K16" s="12">
        <f>K13+K15</f>
        <v/>
      </c>
      <c r="L16" s="12">
        <f>L13+L15</f>
        <v/>
      </c>
    </row>
    <row r="17">
      <c r="A17" t="inlineStr">
        <is>
          <t>Cash tax rate</t>
        </is>
      </c>
      <c r="C17" s="5" t="n">
        <v>0.05</v>
      </c>
      <c r="D17" s="5" t="n">
        <v>0.05</v>
      </c>
      <c r="E17" s="5" t="n">
        <v>0.08</v>
      </c>
      <c r="F17" s="5" t="n">
        <v>0.12</v>
      </c>
      <c r="G17" s="5" t="n">
        <v>0.16</v>
      </c>
      <c r="H17" s="5" t="n">
        <v>0.2</v>
      </c>
      <c r="I17" s="5" t="n">
        <v>0.24</v>
      </c>
      <c r="J17" s="5" t="n">
        <v>0.28</v>
      </c>
      <c r="K17" s="5" t="n">
        <v>0.28</v>
      </c>
      <c r="L17" s="5" t="n">
        <v>0.28</v>
      </c>
    </row>
    <row r="18">
      <c r="A18" t="inlineStr">
        <is>
          <t>Cash tax on MAX(0,EBIT) (negative)</t>
        </is>
      </c>
      <c r="C18" s="12">
        <f>-MAX(0,C16)*C17</f>
        <v/>
      </c>
      <c r="D18" s="12">
        <f>-MAX(0,D16)*D17</f>
        <v/>
      </c>
      <c r="E18" s="12">
        <f>-MAX(0,E16)*E17</f>
        <v/>
      </c>
      <c r="F18" s="12">
        <f>-MAX(0,F16)*F17</f>
        <v/>
      </c>
      <c r="G18" s="12">
        <f>-MAX(0,G16)*G17</f>
        <v/>
      </c>
      <c r="H18" s="12">
        <f>-MAX(0,H16)*H17</f>
        <v/>
      </c>
      <c r="I18" s="12">
        <f>-MAX(0,I16)*I17</f>
        <v/>
      </c>
      <c r="J18" s="12">
        <f>-MAX(0,J16)*J17</f>
        <v/>
      </c>
      <c r="K18" s="12">
        <f>-MAX(0,K16)*K17</f>
        <v/>
      </c>
      <c r="L18" s="12">
        <f>-MAX(0,L16)*L17</f>
        <v/>
      </c>
    </row>
    <row r="19">
      <c r="A19" t="inlineStr">
        <is>
          <t>NOPAT</t>
        </is>
      </c>
      <c r="C19" s="12">
        <f>C16+C18</f>
        <v/>
      </c>
      <c r="D19" s="12">
        <f>D16+D18</f>
        <v/>
      </c>
      <c r="E19" s="12">
        <f>E16+E18</f>
        <v/>
      </c>
      <c r="F19" s="12">
        <f>F16+F18</f>
        <v/>
      </c>
      <c r="G19" s="12">
        <f>G16+G18</f>
        <v/>
      </c>
      <c r="H19" s="12">
        <f>H16+H18</f>
        <v/>
      </c>
      <c r="I19" s="12">
        <f>I16+I18</f>
        <v/>
      </c>
      <c r="J19" s="12">
        <f>J16+J18</f>
        <v/>
      </c>
      <c r="K19" s="12">
        <f>K16+K18</f>
        <v/>
      </c>
      <c r="L19" s="12">
        <f>L16+L18</f>
        <v/>
      </c>
    </row>
    <row r="20">
      <c r="A20" t="inlineStr">
        <is>
          <t>Add back D&amp;A</t>
        </is>
      </c>
      <c r="C20" s="12">
        <f>-C15</f>
        <v/>
      </c>
      <c r="D20" s="12">
        <f>-D15</f>
        <v/>
      </c>
      <c r="E20" s="12">
        <f>-E15</f>
        <v/>
      </c>
      <c r="F20" s="12">
        <f>-F15</f>
        <v/>
      </c>
      <c r="G20" s="12">
        <f>-G15</f>
        <v/>
      </c>
      <c r="H20" s="12">
        <f>-H15</f>
        <v/>
      </c>
      <c r="I20" s="12">
        <f>-I15</f>
        <v/>
      </c>
      <c r="J20" s="12">
        <f>-J15</f>
        <v/>
      </c>
      <c r="K20" s="12">
        <f>-K15</f>
        <v/>
      </c>
      <c r="L20" s="12">
        <f>-L15</f>
        <v/>
      </c>
    </row>
    <row r="21">
      <c r="A21" t="inlineStr">
        <is>
          <t>Capex % of revenue (incl capitalised software)</t>
        </is>
      </c>
      <c r="B21" s="9">
        <f>-B22/B6</f>
        <v/>
      </c>
      <c r="C21" s="5" t="n">
        <v>0.14</v>
      </c>
      <c r="D21" s="5" t="n">
        <v>0.125</v>
      </c>
      <c r="E21" s="5" t="n">
        <v>0.115</v>
      </c>
      <c r="F21" s="5" t="n">
        <v>0.105</v>
      </c>
      <c r="G21" s="5" t="n">
        <v>0.095</v>
      </c>
      <c r="H21" s="5" t="n">
        <v>0.08500000000000001</v>
      </c>
      <c r="I21" s="5" t="n">
        <v>0.08</v>
      </c>
      <c r="J21" s="5" t="n">
        <v>0.075</v>
      </c>
      <c r="K21" s="5" t="n">
        <v>0.075</v>
      </c>
      <c r="L21" s="5" t="n">
        <v>0.075</v>
      </c>
    </row>
    <row r="22">
      <c r="A22" t="inlineStr">
        <is>
          <t>Capex (negative)</t>
        </is>
      </c>
      <c r="B22" s="13" t="n">
        <v>-21.1</v>
      </c>
      <c r="C22" s="12">
        <f>-C6*C21</f>
        <v/>
      </c>
      <c r="D22" s="12">
        <f>-D6*D21</f>
        <v/>
      </c>
      <c r="E22" s="12">
        <f>-E6*E21</f>
        <v/>
      </c>
      <c r="F22" s="12">
        <f>-F6*F21</f>
        <v/>
      </c>
      <c r="G22" s="12">
        <f>-G6*G21</f>
        <v/>
      </c>
      <c r="H22" s="12">
        <f>-H6*H21</f>
        <v/>
      </c>
      <c r="I22" s="12">
        <f>-I6*I21</f>
        <v/>
      </c>
      <c r="J22" s="12">
        <f>-J6*J21</f>
        <v/>
      </c>
      <c r="K22" s="12">
        <f>-K6*K21</f>
        <v/>
      </c>
      <c r="L22" s="12">
        <f>-L6*L21</f>
        <v/>
      </c>
    </row>
    <row r="23">
      <c r="A23" t="inlineStr">
        <is>
          <t>Working capital (capture x revenue change)</t>
        </is>
      </c>
      <c r="C23" s="14">
        <f>Assumptions!$B$11*(C6-B6)</f>
        <v/>
      </c>
      <c r="D23" s="14">
        <f>Assumptions!$B$11*(D6-C6)</f>
        <v/>
      </c>
      <c r="E23" s="14">
        <f>Assumptions!$B$11*(E6-D6)</f>
        <v/>
      </c>
      <c r="F23" s="14">
        <f>Assumptions!$B$11*(F6-E6)</f>
        <v/>
      </c>
      <c r="G23" s="14">
        <f>Assumptions!$B$11*(G6-F6)</f>
        <v/>
      </c>
      <c r="H23" s="14">
        <f>Assumptions!$B$11*(H6-G6)</f>
        <v/>
      </c>
      <c r="I23" s="14">
        <f>Assumptions!$B$11*(I6-H6)</f>
        <v/>
      </c>
      <c r="J23" s="14">
        <f>Assumptions!$B$11*(J6-I6)</f>
        <v/>
      </c>
      <c r="K23" s="14">
        <f>Assumptions!$B$11*(K6-J6)</f>
        <v/>
      </c>
      <c r="L23" s="14">
        <f>Assumptions!$B$11*(L6-K6)</f>
        <v/>
      </c>
    </row>
    <row r="24">
      <c r="A24" t="inlineStr">
        <is>
          <t>Unlevered owner FCF</t>
        </is>
      </c>
      <c r="B24" s="13" t="n">
        <v>1</v>
      </c>
      <c r="C24" s="15">
        <f>C19+C20+C22+C23</f>
        <v/>
      </c>
      <c r="D24" s="15">
        <f>D19+D20+D22+D23</f>
        <v/>
      </c>
      <c r="E24" s="15">
        <f>E19+E20+E22+E23</f>
        <v/>
      </c>
      <c r="F24" s="15">
        <f>F19+F20+F22+F23</f>
        <v/>
      </c>
      <c r="G24" s="15">
        <f>G19+G20+G22+G23</f>
        <v/>
      </c>
      <c r="H24" s="15">
        <f>H19+H20+H22+H23</f>
        <v/>
      </c>
      <c r="I24" s="15">
        <f>I19+I20+I22+I23</f>
        <v/>
      </c>
      <c r="J24" s="15">
        <f>J19+J20+J22+J23</f>
        <v/>
      </c>
      <c r="K24" s="15">
        <f>K19+K20+K22+K23</f>
        <v/>
      </c>
      <c r="L24" s="15">
        <f>L19+L20+L22+L23</f>
        <v/>
      </c>
    </row>
    <row r="25">
      <c r="A25" t="inlineStr">
        <is>
          <t>Discount factor</t>
        </is>
      </c>
      <c r="C25" s="16">
        <f>1/(1+Assumptions!$B$8)^C4</f>
        <v/>
      </c>
      <c r="D25" s="16">
        <f>1/(1+Assumptions!$B$8)^D4</f>
        <v/>
      </c>
      <c r="E25" s="16">
        <f>1/(1+Assumptions!$B$8)^E4</f>
        <v/>
      </c>
      <c r="F25" s="16">
        <f>1/(1+Assumptions!$B$8)^F4</f>
        <v/>
      </c>
      <c r="G25" s="16">
        <f>1/(1+Assumptions!$B$8)^G4</f>
        <v/>
      </c>
      <c r="H25" s="16">
        <f>1/(1+Assumptions!$B$8)^H4</f>
        <v/>
      </c>
      <c r="I25" s="16">
        <f>1/(1+Assumptions!$B$8)^I4</f>
        <v/>
      </c>
      <c r="J25" s="16">
        <f>1/(1+Assumptions!$B$8)^J4</f>
        <v/>
      </c>
      <c r="K25" s="16">
        <f>1/(1+Assumptions!$B$8)^K4</f>
        <v/>
      </c>
      <c r="L25" s="16">
        <f>1/(1+Assumptions!$B$8)^L4</f>
        <v/>
      </c>
    </row>
    <row r="26">
      <c r="A26" t="inlineStr">
        <is>
          <t>PV of FCF</t>
        </is>
      </c>
      <c r="C26" s="12">
        <f>C24*C25</f>
        <v/>
      </c>
      <c r="D26" s="12">
        <f>D24*D25</f>
        <v/>
      </c>
      <c r="E26" s="12">
        <f>E24*E25</f>
        <v/>
      </c>
      <c r="F26" s="12">
        <f>F24*F25</f>
        <v/>
      </c>
      <c r="G26" s="12">
        <f>G24*G25</f>
        <v/>
      </c>
      <c r="H26" s="12">
        <f>H24*H25</f>
        <v/>
      </c>
      <c r="I26" s="12">
        <f>I24*I25</f>
        <v/>
      </c>
      <c r="J26" s="12">
        <f>J24*J25</f>
        <v/>
      </c>
      <c r="K26" s="12">
        <f>K24*K25</f>
        <v/>
      </c>
      <c r="L26" s="12">
        <f>L24*L25</f>
        <v/>
      </c>
    </row>
    <row r="28">
      <c r="A28" t="inlineStr">
        <is>
          <t>Memo: FCF before SBC (company-style)</t>
        </is>
      </c>
      <c r="C28" s="12">
        <f>C24-C10</f>
        <v/>
      </c>
      <c r="D28" s="12">
        <f>D24-D10</f>
        <v/>
      </c>
      <c r="E28" s="12">
        <f>E24-E10</f>
        <v/>
      </c>
      <c r="F28" s="12">
        <f>F24-F10</f>
        <v/>
      </c>
      <c r="G28" s="12">
        <f>G24-G10</f>
        <v/>
      </c>
      <c r="H28" s="12">
        <f>H24-H10</f>
        <v/>
      </c>
      <c r="I28" s="12">
        <f>I24-I10</f>
        <v/>
      </c>
      <c r="J28" s="12">
        <f>J24-J10</f>
        <v/>
      </c>
      <c r="K28" s="12">
        <f>K24-K10</f>
        <v/>
      </c>
      <c r="L28" s="12">
        <f>L24-L10</f>
        <v/>
      </c>
    </row>
    <row r="29">
      <c r="A29" t="inlineStr">
        <is>
          <t>Memo: owner FCF margin</t>
        </is>
      </c>
      <c r="B29" s="9">
        <f>B24/B6</f>
        <v/>
      </c>
      <c r="C29" s="9">
        <f>C24/C6</f>
        <v/>
      </c>
      <c r="D29" s="9">
        <f>D24/D6</f>
        <v/>
      </c>
      <c r="E29" s="9">
        <f>E24/E6</f>
        <v/>
      </c>
      <c r="F29" s="9">
        <f>F24/F6</f>
        <v/>
      </c>
      <c r="G29" s="9">
        <f>G24/G6</f>
        <v/>
      </c>
      <c r="H29" s="9">
        <f>H24/H6</f>
        <v/>
      </c>
      <c r="I29" s="9">
        <f>I24/I6</f>
        <v/>
      </c>
      <c r="J29" s="9">
        <f>J24/J6</f>
        <v/>
      </c>
      <c r="K29" s="9">
        <f>K24/K6</f>
        <v/>
      </c>
      <c r="L29" s="9">
        <f>L24/L6</f>
        <v/>
      </c>
    </row>
    <row r="31">
      <c r="A31" t="inlineStr">
        <is>
          <t>Sum of PV of FCF</t>
        </is>
      </c>
      <c r="B31" s="12">
        <f>SUM(C26:L26)</f>
        <v/>
      </c>
    </row>
    <row r="32">
      <c r="A32" t="inlineStr">
        <is>
          <t>Terminal growth</t>
        </is>
      </c>
      <c r="B32" s="17">
        <f>Assumptions!$D$15</f>
        <v/>
      </c>
    </row>
    <row r="33">
      <c r="A33" t="inlineStr">
        <is>
          <t>Terminal-year FCF x (1+g)</t>
        </is>
      </c>
      <c r="B33" s="12">
        <f>L24*(1+B32)</f>
        <v/>
      </c>
    </row>
    <row r="34">
      <c r="A34" t="inlineStr">
        <is>
          <t>Gordon terminal value</t>
        </is>
      </c>
      <c r="B34" s="12">
        <f>IF(Assumptions!$B$8&gt;B32,B33/(Assumptions!$B$8-B32),0)</f>
        <v/>
      </c>
    </row>
    <row r="35">
      <c r="A35" t="inlineStr">
        <is>
          <t>Cap terminal value (cap x FCF10)</t>
        </is>
      </c>
      <c r="B35" s="12">
        <f>Assumptions!$B$10*L24</f>
        <v/>
      </c>
    </row>
    <row r="36">
      <c r="A36" t="inlineStr">
        <is>
          <t>Terminal value used = MAX(0,MIN(Gordon,cap))</t>
        </is>
      </c>
      <c r="B36" s="12">
        <f>MAX(0,MIN(B34,B35))</f>
        <v/>
      </c>
    </row>
    <row r="37">
      <c r="A37" t="inlineStr">
        <is>
          <t>Implied exit multiple (TV / FCF10)</t>
        </is>
      </c>
      <c r="B37" s="12">
        <f>IF(L24&lt;&gt;0,B36/L24,0)</f>
        <v/>
      </c>
    </row>
    <row r="38">
      <c r="A38" t="inlineStr">
        <is>
          <t>PV of terminal value</t>
        </is>
      </c>
      <c r="B38" s="12">
        <f>B36*L25</f>
        <v/>
      </c>
    </row>
    <row r="39">
      <c r="A39" t="inlineStr">
        <is>
          <t>Enterprise value</t>
        </is>
      </c>
      <c r="B39" s="12">
        <f>B31+B38</f>
        <v/>
      </c>
    </row>
    <row r="40">
      <c r="A40" t="inlineStr">
        <is>
          <t>Less net debt (bank net debt + NCI)</t>
        </is>
      </c>
      <c r="B40" s="14">
        <f>-Assumptions!$B$6</f>
        <v/>
      </c>
    </row>
    <row r="41">
      <c r="A41" t="inlineStr">
        <is>
          <t>Equity value</t>
        </is>
      </c>
      <c r="B41" s="12">
        <f>B39+B40</f>
        <v/>
      </c>
    </row>
    <row r="42">
      <c r="A42" t="inlineStr">
        <is>
          <t>Diluted shares (m)</t>
        </is>
      </c>
      <c r="B42" s="14">
        <f>Assumptions!$B$3</f>
        <v/>
      </c>
    </row>
    <row r="43">
      <c r="A43" s="1" t="inlineStr">
        <is>
          <t>VALUE PER SHARE (NZD)</t>
        </is>
      </c>
      <c r="B43" s="18">
        <f>B41/B42</f>
        <v/>
      </c>
    </row>
    <row r="44">
      <c r="A44" t="inlineStr">
        <is>
          <t>Upside vs price</t>
        </is>
      </c>
      <c r="B44" s="9">
        <f>B43/Assumptions!$B$2-1</f>
        <v/>
      </c>
    </row>
    <row r="45">
      <c r="A45" t="inlineStr">
        <is>
          <t>Terminal % of EV</t>
        </is>
      </c>
      <c r="B45" s="9">
        <f>B38/B39</f>
        <v/>
      </c>
    </row>
    <row r="47">
      <c r="A47" t="inlineStr">
        <is>
          <t>Street memo: PV of explicit SBC</t>
        </is>
      </c>
      <c r="B47" s="12">
        <f>SUMPRODUCT(-C10:L10/(1+Assumptions!$B$8)^C4:L4)</f>
        <v/>
      </c>
    </row>
    <row r="48">
      <c r="A48" t="inlineStr">
        <is>
          <t>Street memo: PV of terminal SBC (Gordon)</t>
        </is>
      </c>
      <c r="B48" s="12">
        <f>IF(Assumptions!$B$8&gt;B32,(-L10*(1+B32)/(Assumptions!$B$8-B32))*L25,0)</f>
        <v/>
      </c>
    </row>
    <row r="49">
      <c r="A49" t="inlineStr">
        <is>
          <t>Street value per share (SBC as non-cash)</t>
        </is>
      </c>
      <c r="B49" s="19">
        <f>(B41+B47+B48)/B42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Reported FCF reconciled to unlevered owner FCF (NZ$m)</t>
        </is>
      </c>
    </row>
    <row r="2">
      <c r="B2" s="1" t="inlineStr">
        <is>
          <t>FY2020</t>
        </is>
      </c>
      <c r="C2" s="1" t="inlineStr">
        <is>
          <t>FY2021</t>
        </is>
      </c>
      <c r="D2" s="1" t="inlineStr">
        <is>
          <t>FY2022</t>
        </is>
      </c>
      <c r="E2" s="1" t="inlineStr">
        <is>
          <t>FY2023</t>
        </is>
      </c>
      <c r="F2" s="1" t="inlineStr">
        <is>
          <t>FY2024</t>
        </is>
      </c>
      <c r="G2" s="1" t="inlineStr">
        <is>
          <t>FY2025</t>
        </is>
      </c>
    </row>
    <row r="3">
      <c r="A3" t="inlineStr">
        <is>
          <t>Revenue</t>
        </is>
      </c>
      <c r="B3" s="14">
        <f>Actuals!B2</f>
        <v/>
      </c>
      <c r="C3" s="14">
        <f>Actuals!C2</f>
        <v/>
      </c>
      <c r="D3" s="14">
        <f>Actuals!D2</f>
        <v/>
      </c>
      <c r="E3" s="14">
        <f>Actuals!E2</f>
        <v/>
      </c>
      <c r="F3" s="14">
        <f>Actuals!F2</f>
        <v/>
      </c>
      <c r="G3" s="14">
        <f>Actuals!G2</f>
        <v/>
      </c>
    </row>
    <row r="4">
      <c r="A4" t="inlineStr">
        <is>
          <t>Free cash flow (company definition: OCF - capex)</t>
        </is>
      </c>
      <c r="B4" s="14">
        <f>Actuals!B7</f>
        <v/>
      </c>
      <c r="C4" s="14">
        <f>Actuals!C7</f>
        <v/>
      </c>
      <c r="D4" s="14">
        <f>Actuals!D7</f>
        <v/>
      </c>
      <c r="E4" s="14">
        <f>Actuals!E7</f>
        <v/>
      </c>
      <c r="F4" s="14">
        <f>Actuals!F7</f>
        <v/>
      </c>
      <c r="G4" s="14">
        <f>Actuals!G7</f>
        <v/>
      </c>
    </row>
    <row r="5">
      <c r="A5" t="inlineStr">
        <is>
          <t>less: SBC incl. equity-award taxes</t>
        </is>
      </c>
      <c r="B5" s="14">
        <f>-Actuals!B8</f>
        <v/>
      </c>
      <c r="C5" s="14">
        <f>-Actuals!C8</f>
        <v/>
      </c>
      <c r="D5" s="14">
        <f>-Actuals!D8</f>
        <v/>
      </c>
      <c r="E5" s="14">
        <f>-Actuals!E8</f>
        <v/>
      </c>
      <c r="F5" s="14">
        <f>-Actuals!F8</f>
        <v/>
      </c>
      <c r="G5" s="14">
        <f>-Actuals!G8</f>
        <v/>
      </c>
    </row>
    <row r="6">
      <c r="A6" t="inlineStr">
        <is>
          <t>less: interest income</t>
        </is>
      </c>
      <c r="B6" s="14">
        <f>-Actuals!B9</f>
        <v/>
      </c>
      <c r="C6" s="14">
        <f>-Actuals!C9</f>
        <v/>
      </c>
      <c r="D6" s="14">
        <f>-Actuals!D9</f>
        <v/>
      </c>
      <c r="E6" s="14">
        <f>-Actuals!E9</f>
        <v/>
      </c>
      <c r="F6" s="14">
        <f>-Actuals!F9</f>
        <v/>
      </c>
      <c r="G6" s="14">
        <f>-Actuals!G9</f>
        <v/>
      </c>
    </row>
    <row r="7">
      <c r="A7" t="inlineStr">
        <is>
          <t>less: lease cash (principal + interest)</t>
        </is>
      </c>
      <c r="B7" s="14">
        <f>-Actuals!B10</f>
        <v/>
      </c>
      <c r="C7" s="14">
        <f>-Actuals!C10</f>
        <v/>
      </c>
      <c r="D7" s="14">
        <f>-Actuals!D10</f>
        <v/>
      </c>
      <c r="E7" s="14">
        <f>-Actuals!E10</f>
        <v/>
      </c>
      <c r="F7" s="14">
        <f>-Actuals!F10</f>
        <v/>
      </c>
      <c r="G7" s="14">
        <f>-Actuals!G10</f>
        <v/>
      </c>
    </row>
    <row r="8">
      <c r="A8" t="inlineStr">
        <is>
          <t>add: interest paid on borrowings (unlever; FY25 actual, earlier P&amp;L proxy)</t>
        </is>
      </c>
      <c r="B8" s="14">
        <f>Actuals!B11</f>
        <v/>
      </c>
      <c r="C8" s="14">
        <f>Actuals!C11</f>
        <v/>
      </c>
      <c r="D8" s="14">
        <f>Actuals!D11</f>
        <v/>
      </c>
      <c r="E8" s="14">
        <f>Actuals!E11</f>
        <v/>
      </c>
      <c r="F8" s="14">
        <f>Actuals!F11</f>
        <v/>
      </c>
      <c r="G8" s="14">
        <f>Actuals!G11</f>
        <v/>
      </c>
    </row>
    <row r="9">
      <c r="A9" s="1" t="inlineStr">
        <is>
          <t>Owner FCF (unlevered)</t>
        </is>
      </c>
      <c r="B9" s="4">
        <f>B4+B5+B6+B7+B8</f>
        <v/>
      </c>
      <c r="C9" s="4">
        <f>C4+C5+C6+C7+C8</f>
        <v/>
      </c>
      <c r="D9" s="4">
        <f>D4+D5+D6+D7+D8</f>
        <v/>
      </c>
      <c r="E9" s="4">
        <f>E4+E5+E6+E7+E8</f>
        <v/>
      </c>
      <c r="F9" s="4">
        <f>F4+F5+F6+F7+F8</f>
        <v/>
      </c>
      <c r="G9" s="4">
        <f>G4+G5+G6+G7+G8</f>
        <v/>
      </c>
    </row>
    <row r="10">
      <c r="A10" t="inlineStr">
        <is>
          <t>Reported FCF margin</t>
        </is>
      </c>
      <c r="B10" s="20">
        <f>B4/B3</f>
        <v/>
      </c>
      <c r="C10" s="20">
        <f>C4/C3</f>
        <v/>
      </c>
      <c r="D10" s="20">
        <f>D4/D3</f>
        <v/>
      </c>
      <c r="E10" s="20">
        <f>E4/E3</f>
        <v/>
      </c>
      <c r="F10" s="20">
        <f>F4/F3</f>
        <v/>
      </c>
      <c r="G10" s="20">
        <f>G4/G3</f>
        <v/>
      </c>
    </row>
    <row r="11">
      <c r="A11" t="inlineStr">
        <is>
          <t>Owner FCF margin</t>
        </is>
      </c>
      <c r="B11" s="20">
        <f>B9/B3</f>
        <v/>
      </c>
      <c r="C11" s="20">
        <f>C9/C3</f>
        <v/>
      </c>
      <c r="D11" s="20">
        <f>D9/D3</f>
        <v/>
      </c>
      <c r="E11" s="20">
        <f>E9/E3</f>
        <v/>
      </c>
      <c r="F11" s="20">
        <f>F9/F3</f>
        <v/>
      </c>
      <c r="G11" s="20">
        <f>G9/G3</f>
        <v/>
      </c>
    </row>
    <row r="12">
      <c r="A12" t="inlineStr">
        <is>
          <t>Memo: deferred-revenue increase inside OCF</t>
        </is>
      </c>
      <c r="C12" s="14">
        <f>Actuals!C14-Actuals!B14</f>
        <v/>
      </c>
      <c r="D12" s="14">
        <f>Actuals!D14-Actuals!C14</f>
        <v/>
      </c>
      <c r="E12" s="14">
        <f>Actuals!E14-Actuals!D14</f>
        <v/>
      </c>
      <c r="F12" s="14">
        <f>Actuals!F14-Actuals!E14</f>
        <v/>
      </c>
      <c r="G12" s="14">
        <f>Actuals!G14-Actuals!F14</f>
        <v/>
      </c>
    </row>
    <row r="13">
      <c r="A13" t="inlineStr">
        <is>
          <t>Memo: deferred-revenue increase as % of reported FCF</t>
        </is>
      </c>
      <c r="C13" s="9">
        <f>IF(C4&lt;&gt;0,C12/C4,0)</f>
        <v/>
      </c>
      <c r="D13" s="9">
        <f>IF(D4&lt;&gt;0,D12/D4,0)</f>
        <v/>
      </c>
      <c r="E13" s="9">
        <f>IF(E4&lt;&gt;0,E12/E4,0)</f>
        <v/>
      </c>
      <c r="F13" s="9">
        <f>IF(F4&lt;&gt;0,F12/F4,0)</f>
        <v/>
      </c>
      <c r="G13" s="9">
        <f>IF(G4&lt;&gt;0,G12/G4,0)</f>
        <v/>
      </c>
    </row>
    <row r="14">
      <c r="A14" t="inlineStr">
        <is>
          <t>Memo: cash taxes paid</t>
        </is>
      </c>
      <c r="B14" s="14">
        <f>Actuals!B15</f>
        <v/>
      </c>
      <c r="C14" s="14">
        <f>Actuals!C15</f>
        <v/>
      </c>
      <c r="D14" s="14">
        <f>Actuals!D15</f>
        <v/>
      </c>
      <c r="E14" s="14">
        <f>Actuals!E15</f>
        <v/>
      </c>
      <c r="F14" s="14">
        <f>Actuals!F15</f>
        <v/>
      </c>
      <c r="G14" s="14">
        <f>Actuals!G15</f>
        <v/>
      </c>
    </row>
    <row r="15">
      <c r="A15" t="inlineStr">
        <is>
          <t>Memo: cash tax rate vs 28% statutory -- ABNORMAL (tax losses)</t>
        </is>
      </c>
      <c r="B15" t="inlineStr">
        <is>
          <t>shielded</t>
        </is>
      </c>
      <c r="C15" t="inlineStr">
        <is>
          <t>shielded</t>
        </is>
      </c>
      <c r="D15" t="inlineStr">
        <is>
          <t>shielded</t>
        </is>
      </c>
      <c r="E15" t="inlineStr">
        <is>
          <t>shielded</t>
        </is>
      </c>
      <c r="F15" t="inlineStr">
        <is>
          <t>shielded</t>
        </is>
      </c>
      <c r="G15" t="inlineStr">
        <is>
          <t>shielded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summary (NZD per share)</t>
        </is>
      </c>
    </row>
    <row r="2">
      <c r="A2" s="1" t="inlineStr">
        <is>
          <t>Scenario</t>
        </is>
      </c>
      <c r="B2" s="1" t="inlineStr">
        <is>
          <t>Value/share</t>
        </is>
      </c>
      <c r="C2" s="1" t="inlineStr">
        <is>
          <t>Upside vs price</t>
        </is>
      </c>
      <c r="D2" s="1" t="inlineStr">
        <is>
          <t>Probability</t>
        </is>
      </c>
      <c r="E2" s="1" t="inlineStr">
        <is>
          <t>Street value/share</t>
        </is>
      </c>
      <c r="F2" s="1" t="inlineStr">
        <is>
          <t>Entry price @ hurdle</t>
        </is>
      </c>
    </row>
    <row r="3">
      <c r="A3" t="inlineStr">
        <is>
          <t>Bear</t>
        </is>
      </c>
      <c r="B3" s="21">
        <f>DCF_Bear!$B$43</f>
        <v/>
      </c>
      <c r="C3" s="9">
        <f>B3/Assumptions!$B$2-1</f>
        <v/>
      </c>
      <c r="D3" s="17">
        <f>Assumptions!$B$16</f>
        <v/>
      </c>
      <c r="E3" s="21">
        <f>DCF_Bear!$B$49</f>
        <v/>
      </c>
      <c r="F3" s="19">
        <f>(SUMPRODUCT(DCF_Bear!$C$24:$L$24/(1+Assumptions!$B$9)^DCF_Bear!$C$4:$L$4)+MAX(0,MIN(DCF_Bear!$L$24*(1+Assumptions!$B$15)/(Assumptions!$B$9-Assumptions!$B$15),Assumptions!$B$10*DCF_Bear!$L$24))/(1+Assumptions!$B$9)^Assumptions!$B$12-Assumptions!$B$6)/Assumptions!$B$3</f>
        <v/>
      </c>
    </row>
    <row r="4">
      <c r="A4" t="inlineStr">
        <is>
          <t>Base</t>
        </is>
      </c>
      <c r="B4" s="21">
        <f>DCF_Base!$B$43</f>
        <v/>
      </c>
      <c r="C4" s="9">
        <f>B4/Assumptions!$B$2-1</f>
        <v/>
      </c>
      <c r="D4" s="17">
        <f>Assumptions!$C$16</f>
        <v/>
      </c>
      <c r="E4" s="21">
        <f>DCF_Base!$B$49</f>
        <v/>
      </c>
      <c r="F4" s="19">
        <f>(SUMPRODUCT(DCF_Base!$C$24:$L$24/(1+Assumptions!$B$9)^DCF_Base!$C$4:$L$4)+MAX(0,MIN(DCF_Base!$L$24*(1+Assumptions!$C$15)/(Assumptions!$B$9-Assumptions!$C$15),Assumptions!$B$10*DCF_Base!$L$24))/(1+Assumptions!$B$9)^Assumptions!$B$12-Assumptions!$B$6)/Assumptions!$B$3</f>
        <v/>
      </c>
    </row>
    <row r="5">
      <c r="A5" t="inlineStr">
        <is>
          <t>Bull</t>
        </is>
      </c>
      <c r="B5" s="21">
        <f>DCF_Bull!$B$43</f>
        <v/>
      </c>
      <c r="C5" s="9">
        <f>B5/Assumptions!$B$2-1</f>
        <v/>
      </c>
      <c r="D5" s="17">
        <f>Assumptions!$D$16</f>
        <v/>
      </c>
      <c r="E5" s="21">
        <f>DCF_Bull!$B$49</f>
        <v/>
      </c>
      <c r="F5" s="19">
        <f>(SUMPRODUCT(DCF_Bull!$C$24:$L$24/(1+Assumptions!$B$9)^DCF_Bull!$C$4:$L$4)+MAX(0,MIN(DCF_Bull!$L$24*(1+Assumptions!$D$15)/(Assumptions!$B$9-Assumptions!$D$15),Assumptions!$B$10*DCF_Bull!$L$24))/(1+Assumptions!$B$9)^Assumptions!$B$12-Assumptions!$B$6)/Assumptions!$B$3</f>
        <v/>
      </c>
    </row>
    <row r="7">
      <c r="A7" t="inlineStr">
        <is>
          <t>Probability-weighted value per share</t>
        </is>
      </c>
      <c r="B7" s="18">
        <f>SUMPRODUCT(B3:B5,D3:D5)</f>
        <v/>
      </c>
    </row>
    <row r="8">
      <c r="A8" t="inlineStr">
        <is>
          <t>Current price</t>
        </is>
      </c>
      <c r="B8" s="21">
        <f>Assumptions!$B$2</f>
        <v/>
      </c>
    </row>
    <row r="9">
      <c r="A9" t="inlineStr">
        <is>
          <t>Margin of safety (1 - price/weighted)</t>
        </is>
      </c>
      <c r="B9" s="9">
        <f>1-B8/B7</f>
        <v/>
      </c>
    </row>
    <row r="10">
      <c r="A10" t="inlineStr">
        <is>
          <t>Street weighted value per share</t>
        </is>
      </c>
      <c r="B10" s="19">
        <f>SUMPRODUCT(E3:E5,D3:D5)</f>
        <v/>
      </c>
    </row>
    <row r="11">
      <c r="A11" t="inlineStr">
        <is>
          <t>Band position (price - house)/(street - house)</t>
        </is>
      </c>
      <c r="B11" s="9">
        <f>IF(B10&lt;&gt;B7,(B8-B7)/(B10-B7),"n/a")</f>
        <v/>
      </c>
    </row>
    <row r="12">
      <c r="A12" t="inlineStr">
        <is>
          <t>Weighted 15%-hurdle entry price (buy below)</t>
        </is>
      </c>
      <c r="B12" s="18">
        <f>SUMPRODUCT(F3:F5,D3:D5)</f>
        <v/>
      </c>
    </row>
    <row r="14">
      <c r="A14" s="1" t="inlineStr">
        <is>
          <t>Required-return table (base case; TV rebuilt at each rate)</t>
        </is>
      </c>
    </row>
    <row r="15">
      <c r="A15" t="inlineStr">
        <is>
          <t>Required return</t>
        </is>
      </c>
      <c r="B15" s="6" t="n">
        <v>0.09</v>
      </c>
      <c r="C15" s="6" t="n">
        <v>0.1</v>
      </c>
      <c r="D15" s="6" t="n">
        <v>0.11</v>
      </c>
      <c r="E15" s="6" t="n">
        <v>0.115</v>
      </c>
      <c r="F15" s="6" t="n">
        <v>0.12</v>
      </c>
      <c r="G15" s="6" t="n">
        <v>0.15</v>
      </c>
      <c r="H15" t="inlineStr">
        <is>
          <t>WACC row</t>
        </is>
      </c>
    </row>
    <row r="16">
      <c r="A16" t="inlineStr">
        <is>
          <t>Value per share</t>
        </is>
      </c>
      <c r="B16" s="19">
        <f>(SUMPRODUCT(DCF_Base!$C$24:$L$24/(1+B$15)^DCF_Base!$C$4:$L$4)+MAX(0,MIN(DCF_Base!$L$24*(1+Assumptions!$C$15)/(B$15-Assumptions!$C$15),Assumptions!$B$10*DCF_Base!$L$24))/(1+B$15)^Assumptions!$B$12-Assumptions!$B$6)/Assumptions!$B$3</f>
        <v/>
      </c>
      <c r="C16" s="19">
        <f>(SUMPRODUCT(DCF_Base!$C$24:$L$24/(1+C$15)^DCF_Base!$C$4:$L$4)+MAX(0,MIN(DCF_Base!$L$24*(1+Assumptions!$C$15)/(C$15-Assumptions!$C$15),Assumptions!$B$10*DCF_Base!$L$24))/(1+C$15)^Assumptions!$B$12-Assumptions!$B$6)/Assumptions!$B$3</f>
        <v/>
      </c>
      <c r="D16" s="19">
        <f>(SUMPRODUCT(DCF_Base!$C$24:$L$24/(1+D$15)^DCF_Base!$C$4:$L$4)+MAX(0,MIN(DCF_Base!$L$24*(1+Assumptions!$C$15)/(D$15-Assumptions!$C$15),Assumptions!$B$10*DCF_Base!$L$24))/(1+D$15)^Assumptions!$B$12-Assumptions!$B$6)/Assumptions!$B$3</f>
        <v/>
      </c>
      <c r="E16" s="19">
        <f>(SUMPRODUCT(DCF_Base!$C$24:$L$24/(1+E$15)^DCF_Base!$C$4:$L$4)+MAX(0,MIN(DCF_Base!$L$24*(1+Assumptions!$C$15)/(E$15-Assumptions!$C$15),Assumptions!$B$10*DCF_Base!$L$24))/(1+E$15)^Assumptions!$B$12-Assumptions!$B$6)/Assumptions!$B$3</f>
        <v/>
      </c>
      <c r="F16" s="19">
        <f>(SUMPRODUCT(DCF_Base!$C$24:$L$24/(1+F$15)^DCF_Base!$C$4:$L$4)+MAX(0,MIN(DCF_Base!$L$24*(1+Assumptions!$C$15)/(F$15-Assumptions!$C$15),Assumptions!$B$10*DCF_Base!$L$24))/(1+F$15)^Assumptions!$B$12-Assumptions!$B$6)/Assumptions!$B$3</f>
        <v/>
      </c>
      <c r="G16" s="19">
        <f>(SUMPRODUCT(DCF_Base!$C$24:$L$24/(1+G$15)^DCF_Base!$C$4:$L$4)+MAX(0,MIN(DCF_Base!$L$24*(1+Assumptions!$C$15)/(G$15-Assumptions!$C$15),Assumptions!$B$10*DCF_Base!$L$24))/(1+G$15)^Assumptions!$B$12-Assumptions!$B$6)/Assumptions!$B$3</f>
        <v/>
      </c>
      <c r="H16" s="19">
        <f>(SUMPRODUCT(DCF_Base!$C$24:$L$24/(1+Assumptions!$B$8)^DCF_Base!$C$4:$L$4)+MAX(0,MIN(DCF_Base!$L$24*(1+Assumptions!$C$15)/(Assumptions!$B$8-Assumptions!$C$15),Assumptions!$B$10*DCF_Base!$L$24))/(1+Assumptions!$B$8)^Assumptions!$B$12-Assumptions!$B$6)/Assumptions!$B$3</f>
        <v/>
      </c>
    </row>
    <row r="18">
      <c r="A18" s="1" t="inlineStr">
        <is>
          <t>Sensitivity: WACC (rows) x terminal growth (columns), base case, NZD/share</t>
        </is>
      </c>
    </row>
    <row r="19">
      <c r="B19" s="6" t="n">
        <v>0.02</v>
      </c>
      <c r="C19" s="6" t="n">
        <v>0.025</v>
      </c>
      <c r="D19" s="6" t="n">
        <v>0.03</v>
      </c>
      <c r="E19" s="6" t="n">
        <v>0.035</v>
      </c>
      <c r="F19" s="6" t="n">
        <v>0.04</v>
      </c>
    </row>
    <row r="20">
      <c r="A20" s="6" t="n">
        <v>0.095</v>
      </c>
      <c r="B20" s="19">
        <f>IF($A20&gt;B$19,(SUMPRODUCT(DCF_Base!$C$24:$L$24/(1+$A20)^DCF_Base!$C$4:$L$4)+MAX(0,MIN(DCF_Base!$L$24*(1+B$19)/($A20-B$19),Assumptions!$B$10*DCF_Base!$L$24))/(1+$A20)^Assumptions!$B$12-Assumptions!$B$6)/Assumptions!$B$3,"n/a")</f>
        <v/>
      </c>
      <c r="C20" s="19">
        <f>IF($A20&gt;C$19,(SUMPRODUCT(DCF_Base!$C$24:$L$24/(1+$A20)^DCF_Base!$C$4:$L$4)+MAX(0,MIN(DCF_Base!$L$24*(1+C$19)/($A20-C$19),Assumptions!$B$10*DCF_Base!$L$24))/(1+$A20)^Assumptions!$B$12-Assumptions!$B$6)/Assumptions!$B$3,"n/a")</f>
        <v/>
      </c>
      <c r="D20" s="19">
        <f>IF($A20&gt;D$19,(SUMPRODUCT(DCF_Base!$C$24:$L$24/(1+$A20)^DCF_Base!$C$4:$L$4)+MAX(0,MIN(DCF_Base!$L$24*(1+D$19)/($A20-D$19),Assumptions!$B$10*DCF_Base!$L$24))/(1+$A20)^Assumptions!$B$12-Assumptions!$B$6)/Assumptions!$B$3,"n/a")</f>
        <v/>
      </c>
      <c r="E20" s="19">
        <f>IF($A20&gt;E$19,(SUMPRODUCT(DCF_Base!$C$24:$L$24/(1+$A20)^DCF_Base!$C$4:$L$4)+MAX(0,MIN(DCF_Base!$L$24*(1+E$19)/($A20-E$19),Assumptions!$B$10*DCF_Base!$L$24))/(1+$A20)^Assumptions!$B$12-Assumptions!$B$6)/Assumptions!$B$3,"n/a")</f>
        <v/>
      </c>
      <c r="F20" s="19">
        <f>IF($A20&gt;F$19,(SUMPRODUCT(DCF_Base!$C$24:$L$24/(1+$A20)^DCF_Base!$C$4:$L$4)+MAX(0,MIN(DCF_Base!$L$24*(1+F$19)/($A20-F$19),Assumptions!$B$10*DCF_Base!$L$24))/(1+$A20)^Assumptions!$B$12-Assumptions!$B$6)/Assumptions!$B$3,"n/a")</f>
        <v/>
      </c>
    </row>
    <row r="21">
      <c r="A21" s="6" t="n">
        <v>0.105</v>
      </c>
      <c r="B21" s="19">
        <f>IF($A21&gt;B$19,(SUMPRODUCT(DCF_Base!$C$24:$L$24/(1+$A21)^DCF_Base!$C$4:$L$4)+MAX(0,MIN(DCF_Base!$L$24*(1+B$19)/($A21-B$19),Assumptions!$B$10*DCF_Base!$L$24))/(1+$A21)^Assumptions!$B$12-Assumptions!$B$6)/Assumptions!$B$3,"n/a")</f>
        <v/>
      </c>
      <c r="C21" s="19">
        <f>IF($A21&gt;C$19,(SUMPRODUCT(DCF_Base!$C$24:$L$24/(1+$A21)^DCF_Base!$C$4:$L$4)+MAX(0,MIN(DCF_Base!$L$24*(1+C$19)/($A21-C$19),Assumptions!$B$10*DCF_Base!$L$24))/(1+$A21)^Assumptions!$B$12-Assumptions!$B$6)/Assumptions!$B$3,"n/a")</f>
        <v/>
      </c>
      <c r="D21" s="19">
        <f>IF($A21&gt;D$19,(SUMPRODUCT(DCF_Base!$C$24:$L$24/(1+$A21)^DCF_Base!$C$4:$L$4)+MAX(0,MIN(DCF_Base!$L$24*(1+D$19)/($A21-D$19),Assumptions!$B$10*DCF_Base!$L$24))/(1+$A21)^Assumptions!$B$12-Assumptions!$B$6)/Assumptions!$B$3,"n/a")</f>
        <v/>
      </c>
      <c r="E21" s="19">
        <f>IF($A21&gt;E$19,(SUMPRODUCT(DCF_Base!$C$24:$L$24/(1+$A21)^DCF_Base!$C$4:$L$4)+MAX(0,MIN(DCF_Base!$L$24*(1+E$19)/($A21-E$19),Assumptions!$B$10*DCF_Base!$L$24))/(1+$A21)^Assumptions!$B$12-Assumptions!$B$6)/Assumptions!$B$3,"n/a")</f>
        <v/>
      </c>
      <c r="F21" s="19">
        <f>IF($A21&gt;F$19,(SUMPRODUCT(DCF_Base!$C$24:$L$24/(1+$A21)^DCF_Base!$C$4:$L$4)+MAX(0,MIN(DCF_Base!$L$24*(1+F$19)/($A21-F$19),Assumptions!$B$10*DCF_Base!$L$24))/(1+$A21)^Assumptions!$B$12-Assumptions!$B$6)/Assumptions!$B$3,"n/a")</f>
        <v/>
      </c>
    </row>
    <row r="22">
      <c r="A22" s="6" t="n">
        <v>0.115</v>
      </c>
      <c r="B22" s="19">
        <f>IF($A22&gt;B$19,(SUMPRODUCT(DCF_Base!$C$24:$L$24/(1+$A22)^DCF_Base!$C$4:$L$4)+MAX(0,MIN(DCF_Base!$L$24*(1+B$19)/($A22-B$19),Assumptions!$B$10*DCF_Base!$L$24))/(1+$A22)^Assumptions!$B$12-Assumptions!$B$6)/Assumptions!$B$3,"n/a")</f>
        <v/>
      </c>
      <c r="C22" s="19">
        <f>IF($A22&gt;C$19,(SUMPRODUCT(DCF_Base!$C$24:$L$24/(1+$A22)^DCF_Base!$C$4:$L$4)+MAX(0,MIN(DCF_Base!$L$24*(1+C$19)/($A22-C$19),Assumptions!$B$10*DCF_Base!$L$24))/(1+$A22)^Assumptions!$B$12-Assumptions!$B$6)/Assumptions!$B$3,"n/a")</f>
        <v/>
      </c>
      <c r="D22" s="22">
        <f>IF($A22&gt;D$19,(SUMPRODUCT(DCF_Base!$C$24:$L$24/(1+$A22)^DCF_Base!$C$4:$L$4)+MAX(0,MIN(DCF_Base!$L$24*(1+D$19)/($A22-D$19),Assumptions!$B$10*DCF_Base!$L$24))/(1+$A22)^Assumptions!$B$12-Assumptions!$B$6)/Assumptions!$B$3,"n/a")</f>
        <v/>
      </c>
      <c r="E22" s="19">
        <f>IF($A22&gt;E$19,(SUMPRODUCT(DCF_Base!$C$24:$L$24/(1+$A22)^DCF_Base!$C$4:$L$4)+MAX(0,MIN(DCF_Base!$L$24*(1+E$19)/($A22-E$19),Assumptions!$B$10*DCF_Base!$L$24))/(1+$A22)^Assumptions!$B$12-Assumptions!$B$6)/Assumptions!$B$3,"n/a")</f>
        <v/>
      </c>
      <c r="F22" s="19">
        <f>IF($A22&gt;F$19,(SUMPRODUCT(DCF_Base!$C$24:$L$24/(1+$A22)^DCF_Base!$C$4:$L$4)+MAX(0,MIN(DCF_Base!$L$24*(1+F$19)/($A22-F$19),Assumptions!$B$10*DCF_Base!$L$24))/(1+$A22)^Assumptions!$B$12-Assumptions!$B$6)/Assumptions!$B$3,"n/a")</f>
        <v/>
      </c>
    </row>
    <row r="23">
      <c r="A23" s="6" t="n">
        <v>0.125</v>
      </c>
      <c r="B23" s="19">
        <f>IF($A23&gt;B$19,(SUMPRODUCT(DCF_Base!$C$24:$L$24/(1+$A23)^DCF_Base!$C$4:$L$4)+MAX(0,MIN(DCF_Base!$L$24*(1+B$19)/($A23-B$19),Assumptions!$B$10*DCF_Base!$L$24))/(1+$A23)^Assumptions!$B$12-Assumptions!$B$6)/Assumptions!$B$3,"n/a")</f>
        <v/>
      </c>
      <c r="C23" s="19">
        <f>IF($A23&gt;C$19,(SUMPRODUCT(DCF_Base!$C$24:$L$24/(1+$A23)^DCF_Base!$C$4:$L$4)+MAX(0,MIN(DCF_Base!$L$24*(1+C$19)/($A23-C$19),Assumptions!$B$10*DCF_Base!$L$24))/(1+$A23)^Assumptions!$B$12-Assumptions!$B$6)/Assumptions!$B$3,"n/a")</f>
        <v/>
      </c>
      <c r="D23" s="19">
        <f>IF($A23&gt;D$19,(SUMPRODUCT(DCF_Base!$C$24:$L$24/(1+$A23)^DCF_Base!$C$4:$L$4)+MAX(0,MIN(DCF_Base!$L$24*(1+D$19)/($A23-D$19),Assumptions!$B$10*DCF_Base!$L$24))/(1+$A23)^Assumptions!$B$12-Assumptions!$B$6)/Assumptions!$B$3,"n/a")</f>
        <v/>
      </c>
      <c r="E23" s="19">
        <f>IF($A23&gt;E$19,(SUMPRODUCT(DCF_Base!$C$24:$L$24/(1+$A23)^DCF_Base!$C$4:$L$4)+MAX(0,MIN(DCF_Base!$L$24*(1+E$19)/($A23-E$19),Assumptions!$B$10*DCF_Base!$L$24))/(1+$A23)^Assumptions!$B$12-Assumptions!$B$6)/Assumptions!$B$3,"n/a")</f>
        <v/>
      </c>
      <c r="F23" s="19">
        <f>IF($A23&gt;F$19,(SUMPRODUCT(DCF_Base!$C$24:$L$24/(1+$A23)^DCF_Base!$C$4:$L$4)+MAX(0,MIN(DCF_Base!$L$24*(1+F$19)/($A23-F$19),Assumptions!$B$10*DCF_Base!$L$24))/(1+$A23)^Assumptions!$B$12-Assumptions!$B$6)/Assumptions!$B$3,"n/a")</f>
        <v/>
      </c>
    </row>
    <row r="24">
      <c r="A24" s="6" t="n">
        <v>0.135</v>
      </c>
      <c r="B24" s="19">
        <f>IF($A24&gt;B$19,(SUMPRODUCT(DCF_Base!$C$24:$L$24/(1+$A24)^DCF_Base!$C$4:$L$4)+MAX(0,MIN(DCF_Base!$L$24*(1+B$19)/($A24-B$19),Assumptions!$B$10*DCF_Base!$L$24))/(1+$A24)^Assumptions!$B$12-Assumptions!$B$6)/Assumptions!$B$3,"n/a")</f>
        <v/>
      </c>
      <c r="C24" s="19">
        <f>IF($A24&gt;C$19,(SUMPRODUCT(DCF_Base!$C$24:$L$24/(1+$A24)^DCF_Base!$C$4:$L$4)+MAX(0,MIN(DCF_Base!$L$24*(1+C$19)/($A24-C$19),Assumptions!$B$10*DCF_Base!$L$24))/(1+$A24)^Assumptions!$B$12-Assumptions!$B$6)/Assumptions!$B$3,"n/a")</f>
        <v/>
      </c>
      <c r="D24" s="19">
        <f>IF($A24&gt;D$19,(SUMPRODUCT(DCF_Base!$C$24:$L$24/(1+$A24)^DCF_Base!$C$4:$L$4)+MAX(0,MIN(DCF_Base!$L$24*(1+D$19)/($A24-D$19),Assumptions!$B$10*DCF_Base!$L$24))/(1+$A24)^Assumptions!$B$12-Assumptions!$B$6)/Assumptions!$B$3,"n/a")</f>
        <v/>
      </c>
      <c r="E24" s="19">
        <f>IF($A24&gt;E$19,(SUMPRODUCT(DCF_Base!$C$24:$L$24/(1+$A24)^DCF_Base!$C$4:$L$4)+MAX(0,MIN(DCF_Base!$L$24*(1+E$19)/($A24-E$19),Assumptions!$B$10*DCF_Base!$L$24))/(1+$A24)^Assumptions!$B$12-Assumptions!$B$6)/Assumptions!$B$3,"n/a")</f>
        <v/>
      </c>
      <c r="F24" s="19">
        <f>IF($A24&gt;F$19,(SUMPRODUCT(DCF_Base!$C$24:$L$24/(1+$A24)^DCF_Base!$C$4:$L$4)+MAX(0,MIN(DCF_Base!$L$24*(1+F$19)/($A24-F$19),Assumptions!$B$10*DCF_Base!$L$24))/(1+$A24)^Assumptions!$B$12-Assumptions!$B$6)/Assumptions!$B$3,"n/a")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2026-09-19T06:51:19Z</dcterms:created>
  <dcterms:modified xsi:type="dcterms:W3CDTF">2026-09-19T06:51:19Z</dcterms:modified>
</cp:coreProperties>
</file>