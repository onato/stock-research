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<sst xmlns="http://schemas.openxmlformats.org/spreadsheetml/2006/main" count="366" uniqueCount="168">
  <si>
    <t xml:space="preserve">Ticker</t>
  </si>
  <si>
    <t xml:space="preserve">NTDOY</t>
  </si>
  <si>
    <t xml:space="preserve">Company</t>
  </si>
  <si>
    <t xml:space="preserve">Nintendo Co., Ltd.</t>
  </si>
  <si>
    <t xml:space="preserve">Valuation date</t>
  </si>
  <si>
    <t xml:space="preserve">2026-10-04</t>
  </si>
  <si>
    <t xml:space="preserve">Current price</t>
  </si>
  <si>
    <t xml:space="preserve">Price as of</t>
  </si>
  <si>
    <t xml:space="preserve">2026-10-02T20:00:00Z regular close (OTC, Yahoo chart API)</t>
  </si>
  <si>
    <t xml:space="preserve">Balance sheet date</t>
  </si>
  <si>
    <t xml:space="preserve">2026-03-31</t>
  </si>
  <si>
    <t xml:space="preserve">Model</t>
  </si>
  <si>
    <t xml:space="preserve">owner_fcf_dcf_component</t>
  </si>
  <si>
    <t xml:space="preserve">Currency (model)</t>
  </si>
  <si>
    <t xml:space="preserve">JPY</t>
  </si>
  <si>
    <t xml:space="preserve">Currency (quote)</t>
  </si>
  <si>
    <t xml:space="preserve">USD</t>
  </si>
  <si>
    <t xml:space="preserve">Units</t>
  </si>
  <si>
    <t xml:space="preserve">millions</t>
  </si>
  <si>
    <t xml:space="preserve">Engine</t>
  </si>
  <si>
    <t xml:space="preserve">dcf_engine v1</t>
  </si>
  <si>
    <t xml:space="preserve">Built at</t>
  </si>
  <si>
    <t xml:space="preserve">2026-10-03T23:45:03Z</t>
  </si>
  <si>
    <t xml:space="preserve">Drivers file</t>
  </si>
  <si>
    <t xml:space="preserve">NTDOY_Drivers.json</t>
  </si>
  <si>
    <t xml:space="preserve">Convention</t>
  </si>
  <si>
    <t xml:space="preserve">Percents stored as percents; formulas divide by 100. Blue = input, green = link, black = formula.</t>
  </si>
  <si>
    <t xml:space="preserve">Methodology</t>
  </si>
  <si>
    <t xml:space="preserve">summary: Value the operating console/software/IP business on JPY owner FCF through a full hardware cycle, at a JPY cost of equity, and add the Y2.2tn cash and securities pile and the Pokemon Company stake separately. Never capitalise a launch-year or a trough year; capitalise a full-cycle margin. Per-share values are per ordinary share in JPY and converted to USD per NTDOY ADR at 1 ADR = 0.25 share.
key_risks_to_valuation: Hardware-cycle decay faster than guided; successor platform risk (Wii U precedent); Memory (LPDDR5X) cost inflation and US tariffs compressing hardware margins; Hit-dependence on a handful of franchises (Mario, Pokemon, Zelda, Animal Crossing); JPY/USD: a stronger yen cuts JPY revenue and raises the USD value of the cash pile - two-sided for the ADR; Pokemon Company stake valued at 12x normalised earnings; FY2026's Y82.8bn share is not repeatable every year; ADR ratio (1 ADR = 0.25 share) and the FX rate are folded into fx_rate; both must be re-checked on update</t>
  </si>
  <si>
    <t xml:space="preserve">Data sources</t>
  </si>
  <si>
    <t xml:space="preserve">price: NTDOY: Yahoo Finance chart API at inputs.price_as_of; 52-week range 10.18-22.89 USD. Parity check against 7974.T (Tokyo) and JPY=X from the same API, see inputs.fx_note.
financials: Nintendo FY2026 annual report (year to 31-Mar-2026, J-GAAP, millions of yen): balance sheet, income statement, cash flow statement, notes *4 (associates) and share data; Q1 FY2027 financial results presentation (6-Aug-2026) for the reaffirmed FY2027 forecast; NTDOY_Metrics.csv for FY2015-FY2026 history.
qualitative: NTDOY_Analysis.json (2026-10-04).</t>
  </si>
  <si>
    <t xml:space="preserve">Scenario narrative: bear</t>
  </si>
  <si>
    <t xml:space="preserve">A Wii-U-lite outcome: Switch 2 hardware decays faster than guided (Q1 FY2027 units -34%), the memory-cost squeeze and tariffs persist so hardware is sold near break-even, a key franchise slips or underwhelms, and the yen strengthens toward the Y150 guidance rate or beyond. Revenue drifts to ~Y1.5-1.6tn (Switch-1-cycle average), a weak successor launch around FY2032 drops EBITDA margin to 14%, and the full-cycle margin settles at 16%.</t>
  </si>
  <si>
    <t xml:space="preserve">Scenario narrative: base</t>
  </si>
  <si>
    <t xml:space="preserve">Switch 2 follows a compressed version of the Switch 1 curve: hardware units fall from the 19.9m launch year toward guidance (16.5m in FY2027) and keep decaying, while software units (60m guided, +23%) and the digital share rise, lifting EBITDA margin from 19% to ~26% by FY2029-30. Memory-cost inflation (LPDDR5X +41%) and tariffs are partly absorbed and partly passed on via the September 2026 price rise. A successor or refresh around FY2032-33 compresses margins for a year or two, and the business settles at ~Y2.06tn revenue and a 24% full-cycle EBITDA margin - below the Switch-1 average, well above the Wii U trough.</t>
  </si>
  <si>
    <t xml:space="preserve">Scenario narrative: bull</t>
  </si>
  <si>
    <t xml:space="preserve">Switch 2 tracks or beats Switch 1: the installed base clears 100m, software attach and Nintendo Switch Online monetise it at Switch-1-peak margins (28-29% EBITDA), IP income (Super Mario Galaxy Movie, theme parks, Pokemon) keeps growing, the yen stays weak versus the Y150 guidance rate, and the successor transition is smooth because backward compatibility carries the library across. Full-cycle margin 28%, revenue trending above Y2.3tn by FY2036.</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</si>
  <si>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</si>
  <si>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</si>
  <si>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</si>
  <si>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</si>
  <si>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</si>
  <si>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</si>
  <si>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</si>
  <si>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</si>
  <si>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</si>
  <si>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</si>
  <si>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</si>
  <si>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</si>
  <si>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</si>
  <si>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</si>
  <si>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</si>
  <si>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</si>
  <si>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</si>
  <si>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</si>
  <si>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</si>
  <si>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</si>
  <si>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</si>
  <si>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</si>
  <si>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</si>
  <si>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</si>
  <si>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</si>
  <si>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</si>
  <si>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</si>
  <si>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</si>
  <si>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</si>
  <si>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</si>
  <si>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</si>
  <si>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</si>
  <si>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</si>
  <si>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</si>
  <si>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</si>
  <si>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</si>
  <si>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</si>
  <si>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</si>
  <si>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</si>
  <si>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</si>
  <si>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</si>
  <si>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</si>
  <si>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</si>
  <si>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</si>
  <si>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</si>
  <si>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</si>
  <si>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</si>
  <si>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</si>
  <si>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</si>
  <si>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</si>
  <si>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</si>
  <si>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</si>
  <si>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</si>
  <si>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</si>
  <si>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</si>
  <si>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</si>
  <si>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</si>
  <si>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</si>
  <si>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</si>
  <si>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</si>
  <si>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</si>
  <si>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</si>
  <si>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</si>
  <si>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</si>
  <si>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</si>
  <si>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</si>
  <si>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</si>
  <si>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</si>
  <si>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</si>
  <si>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</si>
  <si>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</si>
  <si>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</si>
  <si>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</si>
  <si>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</si>
  <si>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</si>
  <si>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</si>
  <si>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NTDOY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</si>
  <si>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</si>
  <si>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</si>
  <si>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</si>
  <si>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</si>
  <si>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</si>
  <si>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</si>
  <si>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</si>
  <si>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</si>
  <si>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</si>
  <si>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</si>
  <si>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</si>
  <si>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</si>
  <si>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</si>
  <si>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</si>
  <si>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</si>
  <si>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</si>
  <si>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</si>
  <si>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</si>
  <si>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</si>
  <si>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</si>
  <si>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</si>
  <si>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</si>
  <si>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</si>
  <si>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</si>
  <si>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</si>
  <si>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</si>
  <si>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</si>
  <si>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</si>
  <si>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</si>
  <si>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</si>
  <si>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NTDOY owner-FCF component DCF: base case (millions, JPY)</t>
  </si>
  <si>
    <t xml:space="preserve">NTDOY owner-FCF component DCF: bull case (millions, JPY)</t>
  </si>
  <si>
    <t xml:space="preserve">NTDOY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</si>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</sst>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12.44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549780</v>
      </c>
      <c r="C2" s="0" t="n">
        <v>335196</v>
      </c>
      <c r="D2" s="0" t="n">
        <v>214584</v>
      </c>
      <c r="E2" s="0" t="n">
        <v>39</v>
      </c>
      <c r="F2" s="0" t="n">
        <v>24770</v>
      </c>
      <c r="G2" s="0" t="n">
        <v>4.5</v>
      </c>
      <c r="H2" s="0" t="n">
        <v>33781</v>
      </c>
      <c r="I2" s="0" t="n">
        <v>41843</v>
      </c>
      <c r="J2" s="0" t="n">
        <v>7.6</v>
      </c>
      <c r="K2" s="0" t="n">
        <v>35.349</v>
      </c>
      <c r="L2" s="0" t="n">
        <v>60293</v>
      </c>
      <c r="M2" s="0" t="n">
        <v>4582</v>
      </c>
      <c r="N2" s="0" t="n">
        <v>55711</v>
      </c>
      <c r="O2" s="0" t="n">
        <v>1167446</v>
      </c>
      <c r="P2" s="0" t="n">
        <v>1352944</v>
      </c>
      <c r="Q2" s="0" t="n">
        <v>185387</v>
      </c>
      <c r="R2" s="0" t="n">
        <v>0</v>
      </c>
      <c r="S2" s="0" t="n">
        <v>915293</v>
      </c>
      <c r="T2" s="0" t="n">
        <v>1183.7</v>
      </c>
      <c r="U2" s="0" t="n">
        <v>0</v>
      </c>
      <c r="AA2" s="0" t="s">
        <v>18</v>
      </c>
      <c r="AB2" s="0" t="s">
        <v>14</v>
      </c>
    </row>
    <row r="3" customFormat="false" ht="15" hidden="false" customHeight="false" outlineLevel="0" collapsed="false">
      <c r="A3" s="0" t="s">
        <v>65</v>
      </c>
      <c r="B3" s="0" t="n">
        <v>504459</v>
      </c>
      <c r="C3" s="0" t="n">
        <v>283494</v>
      </c>
      <c r="D3" s="0" t="n">
        <v>220965</v>
      </c>
      <c r="E3" s="0" t="n">
        <v>43.8</v>
      </c>
      <c r="F3" s="0" t="n">
        <v>32881</v>
      </c>
      <c r="G3" s="0" t="n">
        <v>6.5</v>
      </c>
      <c r="H3" s="0" t="n">
        <v>42020</v>
      </c>
      <c r="I3" s="0" t="n">
        <v>16505</v>
      </c>
      <c r="J3" s="0" t="n">
        <v>3.3</v>
      </c>
      <c r="K3" s="0" t="n">
        <v>13.74</v>
      </c>
      <c r="L3" s="0" t="n">
        <v>55190</v>
      </c>
      <c r="M3" s="0" t="n">
        <v>4670</v>
      </c>
      <c r="N3" s="0" t="n">
        <v>50520</v>
      </c>
      <c r="O3" s="0" t="n">
        <v>1160777</v>
      </c>
      <c r="P3" s="0" t="n">
        <v>1296902</v>
      </c>
      <c r="Q3" s="0" t="n">
        <v>136001</v>
      </c>
      <c r="R3" s="0" t="n">
        <v>0</v>
      </c>
      <c r="S3" s="0" t="n">
        <v>909340</v>
      </c>
      <c r="T3" s="0" t="n">
        <v>1201.2</v>
      </c>
      <c r="U3" s="0" t="n">
        <v>0</v>
      </c>
      <c r="AA3" s="0" t="s">
        <v>18</v>
      </c>
      <c r="AB3" s="0" t="s">
        <v>14</v>
      </c>
    </row>
    <row r="4" customFormat="false" ht="15" hidden="false" customHeight="false" outlineLevel="0" collapsed="false">
      <c r="A4" s="0" t="s">
        <v>66</v>
      </c>
      <c r="B4" s="0" t="n">
        <v>489095</v>
      </c>
      <c r="C4" s="0" t="n">
        <v>290197</v>
      </c>
      <c r="D4" s="0" t="n">
        <v>198898</v>
      </c>
      <c r="E4" s="0" t="n">
        <v>40.7</v>
      </c>
      <c r="F4" s="0" t="n">
        <v>29362</v>
      </c>
      <c r="G4" s="0" t="n">
        <v>6</v>
      </c>
      <c r="H4" s="0" t="n">
        <v>37728</v>
      </c>
      <c r="I4" s="0" t="n">
        <v>102574</v>
      </c>
      <c r="J4" s="0" t="n">
        <v>21</v>
      </c>
      <c r="K4" s="0" t="n">
        <v>85.387</v>
      </c>
      <c r="L4" s="0" t="n">
        <v>19101</v>
      </c>
      <c r="M4" s="0" t="n">
        <v>10458</v>
      </c>
      <c r="N4" s="0" t="n">
        <v>8643</v>
      </c>
      <c r="O4" s="0" t="n">
        <v>1250840</v>
      </c>
      <c r="P4" s="0" t="n">
        <v>1468978</v>
      </c>
      <c r="Q4" s="0" t="n">
        <v>218005</v>
      </c>
      <c r="R4" s="0" t="n">
        <v>0</v>
      </c>
      <c r="S4" s="0" t="n">
        <v>946070</v>
      </c>
      <c r="T4" s="0" t="n">
        <v>1201.3</v>
      </c>
      <c r="U4" s="0" t="n">
        <v>0</v>
      </c>
      <c r="AA4" s="0" t="s">
        <v>18</v>
      </c>
      <c r="AB4" s="0" t="s">
        <v>14</v>
      </c>
    </row>
    <row r="5" customFormat="false" ht="15" hidden="false" customHeight="false" outlineLevel="0" collapsed="false">
      <c r="A5" s="0" t="s">
        <v>67</v>
      </c>
      <c r="B5" s="0" t="n">
        <v>1055682</v>
      </c>
      <c r="C5" s="0" t="n">
        <v>652141</v>
      </c>
      <c r="D5" s="0" t="n">
        <v>403540</v>
      </c>
      <c r="E5" s="0" t="n">
        <v>38.2</v>
      </c>
      <c r="F5" s="0" t="n">
        <v>177557</v>
      </c>
      <c r="G5" s="0" t="n">
        <v>16.8</v>
      </c>
      <c r="H5" s="0" t="n">
        <v>186621</v>
      </c>
      <c r="I5" s="0" t="n">
        <v>139590</v>
      </c>
      <c r="J5" s="0" t="n">
        <v>13.2</v>
      </c>
      <c r="K5" s="0" t="n">
        <v>116.23</v>
      </c>
      <c r="L5" s="0" t="n">
        <v>152208</v>
      </c>
      <c r="M5" s="0" t="n">
        <v>9609</v>
      </c>
      <c r="N5" s="0" t="n">
        <v>142599</v>
      </c>
      <c r="O5" s="0" t="n">
        <v>1319034</v>
      </c>
      <c r="P5" s="0" t="n">
        <v>1633748</v>
      </c>
      <c r="Q5" s="0" t="n">
        <v>310173</v>
      </c>
      <c r="R5" s="0" t="n">
        <v>0</v>
      </c>
      <c r="S5" s="0" t="n">
        <v>987986</v>
      </c>
      <c r="T5" s="0" t="n">
        <v>1201.3</v>
      </c>
      <c r="U5" s="0" t="n">
        <v>0</v>
      </c>
      <c r="AA5" s="0" t="s">
        <v>18</v>
      </c>
      <c r="AB5" s="0" t="s">
        <v>14</v>
      </c>
    </row>
    <row r="6" customFormat="false" ht="15" hidden="false" customHeight="false" outlineLevel="0" collapsed="false">
      <c r="A6" s="0" t="s">
        <v>68</v>
      </c>
      <c r="B6" s="0" t="n">
        <v>1200560</v>
      </c>
      <c r="C6" s="0" t="n">
        <v>699370</v>
      </c>
      <c r="D6" s="0" t="n">
        <v>501189</v>
      </c>
      <c r="E6" s="0" t="n">
        <v>41.7</v>
      </c>
      <c r="F6" s="0" t="n">
        <v>249701</v>
      </c>
      <c r="G6" s="0" t="n">
        <v>20.8</v>
      </c>
      <c r="H6" s="0" t="n">
        <v>259265</v>
      </c>
      <c r="I6" s="0" t="n">
        <v>194009</v>
      </c>
      <c r="J6" s="0" t="n">
        <v>16.2</v>
      </c>
      <c r="K6" s="0" t="n">
        <v>161.551</v>
      </c>
      <c r="L6" s="0" t="n">
        <v>170529</v>
      </c>
      <c r="M6" s="0" t="n">
        <v>10736</v>
      </c>
      <c r="N6" s="0" t="n">
        <v>159793</v>
      </c>
      <c r="O6" s="0" t="n">
        <v>1409712</v>
      </c>
      <c r="P6" s="0" t="n">
        <v>1690304</v>
      </c>
      <c r="Q6" s="0" t="n">
        <v>275505</v>
      </c>
      <c r="R6" s="0" t="n">
        <v>0</v>
      </c>
      <c r="S6" s="0" t="n">
        <v>1082960</v>
      </c>
      <c r="T6" s="0" t="n">
        <v>1191.2</v>
      </c>
      <c r="U6" s="0" t="n">
        <v>0</v>
      </c>
      <c r="AA6" s="0" t="s">
        <v>18</v>
      </c>
      <c r="AB6" s="0" t="s">
        <v>14</v>
      </c>
    </row>
    <row r="7" customFormat="false" ht="15" hidden="false" customHeight="false" outlineLevel="0" collapsed="false">
      <c r="A7" s="0" t="s">
        <v>69</v>
      </c>
      <c r="B7" s="0" t="n">
        <v>1308519</v>
      </c>
      <c r="C7" s="0" t="n">
        <v>666817</v>
      </c>
      <c r="D7" s="0" t="n">
        <v>641701</v>
      </c>
      <c r="E7" s="0" t="n">
        <v>49</v>
      </c>
      <c r="F7" s="0" t="n">
        <v>352370</v>
      </c>
      <c r="G7" s="0" t="n">
        <v>26.9</v>
      </c>
      <c r="H7" s="0" t="n">
        <v>361927</v>
      </c>
      <c r="I7" s="0" t="n">
        <v>258641</v>
      </c>
      <c r="J7" s="0" t="n">
        <v>19.8</v>
      </c>
      <c r="K7" s="0" t="n">
        <v>217.12</v>
      </c>
      <c r="L7" s="0" t="n">
        <v>347753</v>
      </c>
      <c r="M7" s="0" t="n">
        <v>9843</v>
      </c>
      <c r="N7" s="0" t="n">
        <v>337910</v>
      </c>
      <c r="O7" s="0" t="n">
        <v>1540687</v>
      </c>
      <c r="P7" s="0" t="n">
        <v>1934087</v>
      </c>
      <c r="Q7" s="0" t="n">
        <v>393186</v>
      </c>
      <c r="R7" s="0" t="n">
        <v>0</v>
      </c>
      <c r="S7" s="0" t="n">
        <v>1216784</v>
      </c>
      <c r="T7" s="0" t="n">
        <v>1191.2</v>
      </c>
      <c r="U7" s="0" t="n">
        <v>0</v>
      </c>
      <c r="AA7" s="0" t="s">
        <v>18</v>
      </c>
      <c r="AB7" s="0" t="s">
        <v>14</v>
      </c>
    </row>
    <row r="8" customFormat="false" ht="15" hidden="false" customHeight="false" outlineLevel="0" collapsed="false">
      <c r="A8" s="0" t="s">
        <v>70</v>
      </c>
      <c r="B8" s="0" t="n">
        <v>1758910</v>
      </c>
      <c r="C8" s="0" t="n">
        <v>788437</v>
      </c>
      <c r="D8" s="0" t="n">
        <v>970472</v>
      </c>
      <c r="E8" s="0" t="n">
        <v>55.2</v>
      </c>
      <c r="F8" s="0" t="n">
        <v>640634</v>
      </c>
      <c r="G8" s="0" t="n">
        <v>36.4</v>
      </c>
      <c r="H8" s="0" t="n">
        <v>651432</v>
      </c>
      <c r="I8" s="0" t="n">
        <v>480376</v>
      </c>
      <c r="J8" s="0" t="n">
        <v>27.3</v>
      </c>
      <c r="K8" s="0" t="n">
        <v>403.26</v>
      </c>
      <c r="L8" s="0" t="n">
        <v>612106</v>
      </c>
      <c r="M8" s="0" t="n">
        <v>7011</v>
      </c>
      <c r="N8" s="0" t="n">
        <v>605095</v>
      </c>
      <c r="O8" s="0" t="n">
        <v>1874371</v>
      </c>
      <c r="P8" s="0" t="n">
        <v>2446918</v>
      </c>
      <c r="Q8" s="0" t="n">
        <v>572304</v>
      </c>
      <c r="R8" s="0" t="n">
        <v>0</v>
      </c>
      <c r="S8" s="0" t="n">
        <v>1742389</v>
      </c>
      <c r="T8" s="0" t="n">
        <v>1191.2</v>
      </c>
      <c r="U8" s="0" t="n">
        <v>0</v>
      </c>
      <c r="AA8" s="0" t="s">
        <v>18</v>
      </c>
      <c r="AB8" s="0" t="s">
        <v>14</v>
      </c>
    </row>
    <row r="9" customFormat="false" ht="15" hidden="false" customHeight="false" outlineLevel="0" collapsed="false">
      <c r="A9" s="0" t="s">
        <v>71</v>
      </c>
      <c r="B9" s="0" t="n">
        <v>1695344</v>
      </c>
      <c r="C9" s="0" t="n">
        <v>749299</v>
      </c>
      <c r="D9" s="0" t="n">
        <v>946044</v>
      </c>
      <c r="E9" s="0" t="n">
        <v>55.8</v>
      </c>
      <c r="F9" s="0" t="n">
        <v>592760</v>
      </c>
      <c r="G9" s="0" t="n">
        <v>35</v>
      </c>
      <c r="H9" s="0" t="n">
        <v>603287</v>
      </c>
      <c r="I9" s="0" t="n">
        <v>477691</v>
      </c>
      <c r="J9" s="0" t="n">
        <v>28.2</v>
      </c>
      <c r="K9" s="0" t="n">
        <v>404.67</v>
      </c>
      <c r="L9" s="0" t="n">
        <v>289661</v>
      </c>
      <c r="M9" s="0" t="n">
        <v>7587</v>
      </c>
      <c r="N9" s="0" t="n">
        <v>282074</v>
      </c>
      <c r="O9" s="0" t="n">
        <v>2069044</v>
      </c>
      <c r="P9" s="0" t="n">
        <v>2662384</v>
      </c>
      <c r="Q9" s="0" t="n">
        <v>593074</v>
      </c>
      <c r="R9" s="0" t="n">
        <v>0</v>
      </c>
      <c r="S9" s="0" t="n">
        <v>1710891</v>
      </c>
      <c r="T9" s="0" t="n">
        <v>1173.2</v>
      </c>
      <c r="U9" s="0" t="n">
        <v>0</v>
      </c>
      <c r="AA9" s="0" t="s">
        <v>18</v>
      </c>
      <c r="AB9" s="0" t="s">
        <v>14</v>
      </c>
    </row>
    <row r="10" customFormat="false" ht="15" hidden="false" customHeight="false" outlineLevel="0" collapsed="false">
      <c r="A10" s="0" t="s">
        <v>72</v>
      </c>
      <c r="B10" s="0" t="n">
        <v>1601677</v>
      </c>
      <c r="C10" s="0" t="n">
        <v>716237</v>
      </c>
      <c r="D10" s="0" t="n">
        <v>885440</v>
      </c>
      <c r="E10" s="0" t="n">
        <v>55.3</v>
      </c>
      <c r="F10" s="0" t="n">
        <v>504375</v>
      </c>
      <c r="G10" s="0" t="n">
        <v>31.5</v>
      </c>
      <c r="H10" s="0" t="n">
        <v>515415</v>
      </c>
      <c r="I10" s="0" t="n">
        <v>432768</v>
      </c>
      <c r="J10" s="0" t="n">
        <v>27</v>
      </c>
      <c r="K10" s="0" t="n">
        <v>371.41</v>
      </c>
      <c r="L10" s="0" t="n">
        <v>322843</v>
      </c>
      <c r="M10" s="0" t="n">
        <v>22190</v>
      </c>
      <c r="N10" s="0" t="n">
        <v>300653</v>
      </c>
      <c r="O10" s="0" t="n">
        <v>2266234</v>
      </c>
      <c r="P10" s="0" t="n">
        <v>2854284</v>
      </c>
      <c r="Q10" s="0" t="n">
        <v>587818</v>
      </c>
      <c r="R10" s="0" t="n">
        <v>0</v>
      </c>
      <c r="S10" s="0" t="n">
        <v>1879365</v>
      </c>
      <c r="T10" s="0" t="n">
        <v>1164.2</v>
      </c>
      <c r="U10" s="0" t="n">
        <v>0</v>
      </c>
      <c r="AA10" s="0" t="s">
        <v>18</v>
      </c>
      <c r="AB10" s="0" t="s">
        <v>14</v>
      </c>
    </row>
    <row r="11" customFormat="false" ht="15" hidden="false" customHeight="false" outlineLevel="0" collapsed="false">
      <c r="A11" s="0" t="s">
        <v>73</v>
      </c>
      <c r="B11" s="0" t="n">
        <v>1671865</v>
      </c>
      <c r="C11" s="0" t="n">
        <v>717530</v>
      </c>
      <c r="D11" s="0" t="n">
        <v>954335</v>
      </c>
      <c r="E11" s="0" t="n">
        <v>57.1</v>
      </c>
      <c r="F11" s="0" t="n">
        <v>528941</v>
      </c>
      <c r="G11" s="0" t="n">
        <v>31.6</v>
      </c>
      <c r="H11" s="0" t="n">
        <v>546797</v>
      </c>
      <c r="I11" s="0" t="n">
        <v>490602</v>
      </c>
      <c r="J11" s="0" t="n">
        <v>29.3</v>
      </c>
      <c r="K11" s="0" t="n">
        <v>421.39</v>
      </c>
      <c r="L11" s="0" t="n">
        <v>462097</v>
      </c>
      <c r="M11" s="0" t="n">
        <v>16123</v>
      </c>
      <c r="N11" s="0" t="n">
        <v>445974</v>
      </c>
      <c r="O11" s="0" t="n">
        <v>2603761</v>
      </c>
      <c r="P11" s="0" t="n">
        <v>3151394</v>
      </c>
      <c r="Q11" s="0" t="n">
        <v>546396</v>
      </c>
      <c r="R11" s="0" t="n">
        <v>0</v>
      </c>
      <c r="S11" s="0" t="n">
        <v>2252705</v>
      </c>
      <c r="T11" s="0" t="n">
        <v>1164.2</v>
      </c>
      <c r="U11" s="0" t="n">
        <v>0</v>
      </c>
      <c r="AA11" s="0" t="s">
        <v>18</v>
      </c>
      <c r="AB11" s="0" t="s">
        <v>14</v>
      </c>
    </row>
    <row r="12" customFormat="false" ht="15" hidden="false" customHeight="false" outlineLevel="0" collapsed="false">
      <c r="A12" s="0" t="s">
        <v>74</v>
      </c>
      <c r="B12" s="0" t="n">
        <v>1164922</v>
      </c>
      <c r="C12" s="0" t="n">
        <v>454754</v>
      </c>
      <c r="D12" s="0" t="n">
        <v>710168</v>
      </c>
      <c r="E12" s="0" t="n">
        <v>61</v>
      </c>
      <c r="F12" s="0" t="n">
        <v>282553</v>
      </c>
      <c r="G12" s="0" t="n">
        <v>24.3</v>
      </c>
      <c r="H12" s="0" t="n">
        <v>297914</v>
      </c>
      <c r="I12" s="0" t="n">
        <v>278806</v>
      </c>
      <c r="J12" s="0" t="n">
        <v>23.9</v>
      </c>
      <c r="K12" s="0" t="n">
        <v>239.47</v>
      </c>
      <c r="L12" s="0" t="n">
        <v>12069</v>
      </c>
      <c r="M12" s="0" t="n">
        <v>19008</v>
      </c>
      <c r="N12" s="0" t="n">
        <v>-6939</v>
      </c>
      <c r="O12" s="0" t="n">
        <v>2724327</v>
      </c>
      <c r="P12" s="0" t="n">
        <v>3398515</v>
      </c>
      <c r="Q12" s="0" t="n">
        <v>673068</v>
      </c>
      <c r="R12" s="0" t="n">
        <v>0</v>
      </c>
      <c r="S12" s="0" t="n">
        <v>2058190</v>
      </c>
      <c r="T12" s="0" t="n">
        <v>1164.2</v>
      </c>
      <c r="U12" s="0" t="n">
        <v>0</v>
      </c>
      <c r="AA12" s="0" t="s">
        <v>18</v>
      </c>
      <c r="AB12" s="0" t="s">
        <v>14</v>
      </c>
    </row>
    <row r="13" customFormat="false" ht="15" hidden="false" customHeight="false" outlineLevel="0" collapsed="false">
      <c r="A13" s="0" t="s">
        <v>75</v>
      </c>
      <c r="B13" s="0" t="n">
        <v>2313051</v>
      </c>
      <c r="C13" s="0" t="n">
        <v>1404094</v>
      </c>
      <c r="D13" s="0" t="n">
        <v>908956</v>
      </c>
      <c r="E13" s="0" t="n">
        <v>39.3</v>
      </c>
      <c r="F13" s="0" t="n">
        <v>360117</v>
      </c>
      <c r="G13" s="0" t="n">
        <v>15.6</v>
      </c>
      <c r="H13" s="0" t="n">
        <v>375971</v>
      </c>
      <c r="I13" s="0" t="n">
        <v>424056</v>
      </c>
      <c r="J13" s="0" t="n">
        <v>18.3</v>
      </c>
      <c r="K13" s="0" t="n">
        <v>364.51</v>
      </c>
      <c r="L13" s="0" t="n">
        <v>289789</v>
      </c>
      <c r="M13" s="0" t="n">
        <v>27169</v>
      </c>
      <c r="N13" s="0" t="n">
        <v>262620</v>
      </c>
      <c r="O13" s="0" t="n">
        <v>2954025</v>
      </c>
      <c r="P13" s="0" t="n">
        <v>3805312</v>
      </c>
      <c r="Q13" s="0" t="n">
        <v>850132</v>
      </c>
      <c r="R13" s="0" t="n">
        <v>0</v>
      </c>
      <c r="S13" s="0" t="n">
        <v>2216856</v>
      </c>
      <c r="T13" s="0" t="n">
        <v>1152.8</v>
      </c>
      <c r="U13" s="0" t="n">
        <v>0</v>
      </c>
      <c r="AA13" s="0" t="s">
        <v>18</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12.44</v>
      </c>
    </row>
    <row r="3" customFormat="false" ht="15" hidden="false" customHeight="false" outlineLevel="0" collapsed="false">
      <c r="A3" s="0" t="s">
        <v>79</v>
      </c>
      <c r="B3" s="3" t="n">
        <v>1152.83</v>
      </c>
    </row>
    <row r="4" customFormat="false" ht="15" hidden="false" customHeight="false" outlineLevel="0" collapsed="false">
      <c r="A4" s="0" t="s">
        <v>80</v>
      </c>
      <c r="B4" s="3" t="n">
        <v>-2216856</v>
      </c>
    </row>
    <row r="5" customFormat="false" ht="15" hidden="false" customHeight="false" outlineLevel="0" collapsed="false">
      <c r="A5" s="0" t="s">
        <v>81</v>
      </c>
      <c r="B5" s="3" t="n">
        <v>682624</v>
      </c>
    </row>
    <row r="6" customFormat="false" ht="15" hidden="false" customHeight="false" outlineLevel="0" collapsed="false">
      <c r="A6" s="0" t="s">
        <v>82</v>
      </c>
      <c r="B6" s="3" t="n">
        <v>15</v>
      </c>
    </row>
    <row r="7" customFormat="false" ht="15" hidden="false" customHeight="false" outlineLevel="0" collapsed="false">
      <c r="A7" s="0" t="s">
        <v>83</v>
      </c>
      <c r="B7" s="3" t="n">
        <v>2313051</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0.001584</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-15</v>
      </c>
      <c r="D13" s="3" t="n">
        <v>-8</v>
      </c>
      <c r="E13" s="3" t="n">
        <v>-6</v>
      </c>
      <c r="F13" s="3" t="n">
        <v>-6</v>
      </c>
      <c r="G13" s="3" t="n">
        <v>-6</v>
      </c>
      <c r="H13" s="3" t="n">
        <v>0</v>
      </c>
      <c r="I13" s="3" t="n">
        <v>2</v>
      </c>
      <c r="J13" s="3" t="n">
        <v>2</v>
      </c>
      <c r="K13" s="3" t="n">
        <v>2</v>
      </c>
      <c r="L13" s="3" t="n">
        <v>1.5</v>
      </c>
    </row>
    <row r="14" customFormat="false" ht="15" hidden="false" customHeight="false" outlineLevel="0" collapsed="false">
      <c r="A14" s="0" t="s">
        <v>100</v>
      </c>
      <c r="C14" s="3" t="n">
        <v>17</v>
      </c>
      <c r="D14" s="3" t="n">
        <v>18</v>
      </c>
      <c r="E14" s="3" t="n">
        <v>19</v>
      </c>
      <c r="F14" s="3" t="n">
        <v>19</v>
      </c>
      <c r="G14" s="3" t="n">
        <v>17</v>
      </c>
      <c r="H14" s="3" t="n">
        <v>14</v>
      </c>
      <c r="I14" s="3" t="n">
        <v>15</v>
      </c>
      <c r="J14" s="3" t="n">
        <v>16</v>
      </c>
      <c r="K14" s="3" t="n">
        <v>16</v>
      </c>
      <c r="L14" s="3" t="n">
        <v>16</v>
      </c>
    </row>
    <row r="15" customFormat="false" ht="15" hidden="false" customHeight="false" outlineLevel="0" collapsed="false">
      <c r="A15" s="0" t="s">
        <v>101</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103</v>
      </c>
      <c r="C17" s="3" t="n">
        <v>0.8</v>
      </c>
      <c r="D17" s="3" t="n">
        <v>0.8</v>
      </c>
      <c r="E17" s="3" t="n">
        <v>0.8</v>
      </c>
      <c r="F17" s="3" t="n">
        <v>0.8</v>
      </c>
      <c r="G17" s="3" t="n">
        <v>0.8</v>
      </c>
      <c r="H17" s="3" t="n">
        <v>0.8</v>
      </c>
      <c r="I17" s="3" t="n">
        <v>0.8</v>
      </c>
      <c r="J17" s="3" t="n">
        <v>0.8</v>
      </c>
      <c r="K17" s="3" t="n">
        <v>0.8</v>
      </c>
      <c r="L17" s="3" t="n">
        <v>0.8</v>
      </c>
    </row>
    <row r="18" customFormat="false" ht="15" hidden="false" customHeight="false" outlineLevel="0" collapsed="false">
      <c r="A18" s="0" t="s">
        <v>104</v>
      </c>
      <c r="C18" s="3" t="n">
        <v>1.2</v>
      </c>
      <c r="D18" s="3" t="n">
        <v>1.2</v>
      </c>
      <c r="E18" s="3" t="n">
        <v>1.2</v>
      </c>
      <c r="F18" s="3" t="n">
        <v>1.2</v>
      </c>
      <c r="G18" s="3" t="n">
        <v>1.2</v>
      </c>
      <c r="H18" s="3" t="n">
        <v>1.2</v>
      </c>
      <c r="I18" s="3" t="n">
        <v>1.2</v>
      </c>
      <c r="J18" s="3" t="n">
        <v>1.2</v>
      </c>
      <c r="K18" s="3" t="n">
        <v>1.2</v>
      </c>
      <c r="L18" s="3" t="n">
        <v>1.2</v>
      </c>
    </row>
    <row r="19" customFormat="false" ht="15" hidden="false" customHeight="false" outlineLevel="0" collapsed="false">
      <c r="A19" s="0" t="s">
        <v>105</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106</v>
      </c>
      <c r="B20" s="3" t="n">
        <v>8</v>
      </c>
    </row>
    <row r="21" customFormat="false" ht="15" hidden="false" customHeight="false" outlineLevel="0" collapsed="false">
      <c r="A21" s="0" t="s">
        <v>107</v>
      </c>
      <c r="B21" s="3" t="n">
        <v>1.5</v>
      </c>
    </row>
    <row r="22" customFormat="false" ht="15" hidden="false" customHeight="false" outlineLevel="0" collapsed="false">
      <c r="A22" s="0" t="s">
        <v>108</v>
      </c>
      <c r="B22" s="3" t="n">
        <v>15</v>
      </c>
    </row>
    <row r="23" customFormat="false" ht="15" hidden="false" customHeight="false" outlineLevel="0" collapsed="false">
      <c r="A23" s="0" t="s">
        <v>109</v>
      </c>
      <c r="B23" s="3" t="n">
        <v>-10</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-10</v>
      </c>
      <c r="D27" s="3" t="n">
        <v>-2</v>
      </c>
      <c r="E27" s="3" t="n">
        <v>-3</v>
      </c>
      <c r="F27" s="3" t="n">
        <v>-5</v>
      </c>
      <c r="G27" s="3" t="n">
        <v>-6</v>
      </c>
      <c r="H27" s="3" t="n">
        <v>3</v>
      </c>
      <c r="I27" s="3" t="n">
        <v>4</v>
      </c>
      <c r="J27" s="3" t="n">
        <v>3</v>
      </c>
      <c r="K27" s="3" t="n">
        <v>3</v>
      </c>
      <c r="L27" s="3" t="n">
        <v>2.5</v>
      </c>
    </row>
    <row r="28" customFormat="false" ht="15" hidden="false" customHeight="false" outlineLevel="0" collapsed="false">
      <c r="A28" s="0" t="s">
        <v>100</v>
      </c>
      <c r="C28" s="3" t="n">
        <v>19</v>
      </c>
      <c r="D28" s="3" t="n">
        <v>23</v>
      </c>
      <c r="E28" s="3" t="n">
        <v>26</v>
      </c>
      <c r="F28" s="3" t="n">
        <v>26</v>
      </c>
      <c r="G28" s="3" t="n">
        <v>23</v>
      </c>
      <c r="H28" s="3" t="n">
        <v>20</v>
      </c>
      <c r="I28" s="3" t="n">
        <v>22</v>
      </c>
      <c r="J28" s="3" t="n">
        <v>24</v>
      </c>
      <c r="K28" s="3" t="n">
        <v>24</v>
      </c>
      <c r="L28" s="3" t="n">
        <v>24</v>
      </c>
    </row>
    <row r="29" customFormat="false" ht="15" hidden="false" customHeight="false" outlineLevel="0" collapsed="false">
      <c r="A29" s="0" t="s">
        <v>101</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103</v>
      </c>
      <c r="C31" s="3" t="n">
        <v>0.8</v>
      </c>
      <c r="D31" s="3" t="n">
        <v>0.8</v>
      </c>
      <c r="E31" s="3" t="n">
        <v>0.8</v>
      </c>
      <c r="F31" s="3" t="n">
        <v>0.8</v>
      </c>
      <c r="G31" s="3" t="n">
        <v>0.8</v>
      </c>
      <c r="H31" s="3" t="n">
        <v>0.8</v>
      </c>
      <c r="I31" s="3" t="n">
        <v>0.8</v>
      </c>
      <c r="J31" s="3" t="n">
        <v>0.8</v>
      </c>
      <c r="K31" s="3" t="n">
        <v>0.8</v>
      </c>
      <c r="L31" s="3" t="n">
        <v>0.8</v>
      </c>
    </row>
    <row r="32" customFormat="false" ht="15" hidden="false" customHeight="false" outlineLevel="0" collapsed="false">
      <c r="A32" s="0" t="s">
        <v>104</v>
      </c>
      <c r="C32" s="3" t="n">
        <v>1.2</v>
      </c>
      <c r="D32" s="3" t="n">
        <v>1.2</v>
      </c>
      <c r="E32" s="3" t="n">
        <v>1.2</v>
      </c>
      <c r="F32" s="3" t="n">
        <v>1.2</v>
      </c>
      <c r="G32" s="3" t="n">
        <v>1.2</v>
      </c>
      <c r="H32" s="3" t="n">
        <v>1.2</v>
      </c>
      <c r="I32" s="3" t="n">
        <v>1.2</v>
      </c>
      <c r="J32" s="3" t="n">
        <v>1.2</v>
      </c>
      <c r="K32" s="3" t="n">
        <v>1.2</v>
      </c>
      <c r="L32" s="3" t="n">
        <v>1.2</v>
      </c>
    </row>
    <row r="33" customFormat="false" ht="15" hidden="false" customHeight="false" outlineLevel="0" collapsed="false">
      <c r="A33" s="0" t="s">
        <v>105</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106</v>
      </c>
      <c r="B34" s="3" t="n">
        <v>8</v>
      </c>
    </row>
    <row r="35" customFormat="false" ht="15" hidden="false" customHeight="false" outlineLevel="0" collapsed="false">
      <c r="A35" s="0" t="s">
        <v>107</v>
      </c>
      <c r="B35" s="3" t="n">
        <v>1.5</v>
      </c>
    </row>
    <row r="36" customFormat="false" ht="15" hidden="false" customHeight="false" outlineLevel="0" collapsed="false">
      <c r="A36" s="0" t="s">
        <v>108</v>
      </c>
      <c r="B36" s="3" t="n">
        <v>15</v>
      </c>
    </row>
    <row r="37" customFormat="false" ht="15" hidden="false" customHeight="false" outlineLevel="0" collapsed="false">
      <c r="A37" s="0" t="s">
        <v>109</v>
      </c>
      <c r="B37" s="3" t="n">
        <v>-10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-6</v>
      </c>
      <c r="D41" s="3" t="n">
        <v>3</v>
      </c>
      <c r="E41" s="3" t="n">
        <v>2</v>
      </c>
      <c r="F41" s="3" t="n">
        <v>-2</v>
      </c>
      <c r="G41" s="3" t="n">
        <v>-3</v>
      </c>
      <c r="H41" s="3" t="n">
        <v>4</v>
      </c>
      <c r="I41" s="3" t="n">
        <v>5</v>
      </c>
      <c r="J41" s="3" t="n">
        <v>4</v>
      </c>
      <c r="K41" s="3" t="n">
        <v>3</v>
      </c>
      <c r="L41" s="3" t="n">
        <v>3</v>
      </c>
    </row>
    <row r="42" customFormat="false" ht="15" hidden="false" customHeight="false" outlineLevel="0" collapsed="false">
      <c r="A42" s="0" t="s">
        <v>100</v>
      </c>
      <c r="C42" s="3" t="n">
        <v>20</v>
      </c>
      <c r="D42" s="3" t="n">
        <v>25</v>
      </c>
      <c r="E42" s="3" t="n">
        <v>28</v>
      </c>
      <c r="F42" s="3" t="n">
        <v>29</v>
      </c>
      <c r="G42" s="3" t="n">
        <v>28</v>
      </c>
      <c r="H42" s="3" t="n">
        <v>26</v>
      </c>
      <c r="I42" s="3" t="n">
        <v>27</v>
      </c>
      <c r="J42" s="3" t="n">
        <v>28</v>
      </c>
      <c r="K42" s="3" t="n">
        <v>28</v>
      </c>
      <c r="L42" s="3" t="n">
        <v>28</v>
      </c>
    </row>
    <row r="43" customFormat="false" ht="15" hidden="false" customHeight="false" outlineLevel="0" collapsed="false">
      <c r="A43" s="0" t="s">
        <v>101</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103</v>
      </c>
      <c r="C45" s="3" t="n">
        <v>0.8</v>
      </c>
      <c r="D45" s="3" t="n">
        <v>0.8</v>
      </c>
      <c r="E45" s="3" t="n">
        <v>0.8</v>
      </c>
      <c r="F45" s="3" t="n">
        <v>0.8</v>
      </c>
      <c r="G45" s="3" t="n">
        <v>0.8</v>
      </c>
      <c r="H45" s="3" t="n">
        <v>0.8</v>
      </c>
      <c r="I45" s="3" t="n">
        <v>0.8</v>
      </c>
      <c r="J45" s="3" t="n">
        <v>0.8</v>
      </c>
      <c r="K45" s="3" t="n">
        <v>0.8</v>
      </c>
      <c r="L45" s="3" t="n">
        <v>0.8</v>
      </c>
    </row>
    <row r="46" customFormat="false" ht="15" hidden="false" customHeight="false" outlineLevel="0" collapsed="false">
      <c r="A46" s="0" t="s">
        <v>104</v>
      </c>
      <c r="C46" s="3" t="n">
        <v>1.2</v>
      </c>
      <c r="D46" s="3" t="n">
        <v>1.2</v>
      </c>
      <c r="E46" s="3" t="n">
        <v>1.2</v>
      </c>
      <c r="F46" s="3" t="n">
        <v>1.2</v>
      </c>
      <c r="G46" s="3" t="n">
        <v>1.2</v>
      </c>
      <c r="H46" s="3" t="n">
        <v>1.2</v>
      </c>
      <c r="I46" s="3" t="n">
        <v>1.2</v>
      </c>
      <c r="J46" s="3" t="n">
        <v>1.2</v>
      </c>
      <c r="K46" s="3" t="n">
        <v>1.2</v>
      </c>
      <c r="L46" s="3" t="n">
        <v>1.2</v>
      </c>
    </row>
    <row r="47" customFormat="false" ht="15" hidden="false" customHeight="false" outlineLevel="0" collapsed="false">
      <c r="A47" s="0" t="s">
        <v>105</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106</v>
      </c>
      <c r="B48" s="3" t="n">
        <v>8</v>
      </c>
    </row>
    <row r="49" customFormat="false" ht="15" hidden="false" customHeight="false" outlineLevel="0" collapsed="false">
      <c r="A49" s="0" t="s">
        <v>107</v>
      </c>
      <c r="B49" s="3" t="n">
        <v>1.5</v>
      </c>
    </row>
    <row r="50" customFormat="false" ht="15" hidden="false" customHeight="false" outlineLevel="0" collapsed="false">
      <c r="A50" s="0" t="s">
        <v>108</v>
      </c>
      <c r="B50" s="3" t="n">
        <v>15</v>
      </c>
    </row>
    <row r="51" customFormat="false" ht="15" hidden="false" customHeight="false" outlineLevel="0" collapsed="false">
      <c r="A51" s="0" t="s">
        <v>109</v>
      </c>
      <c r="B51" s="3" t="n">
        <v>-10</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-15</v>
      </c>
      <c r="D5" s="4" t="n">
        <f aca="false">Assumptions!D13</f>
        <v>-8</v>
      </c>
      <c r="E5" s="4" t="n">
        <f aca="false">Assumptions!E13</f>
        <v>-6</v>
      </c>
      <c r="F5" s="4" t="n">
        <f aca="false">Assumptions!F13</f>
        <v>-6</v>
      </c>
      <c r="G5" s="4" t="n">
        <f aca="false">Assumptions!G13</f>
        <v>-6</v>
      </c>
      <c r="H5" s="4" t="n">
        <f aca="false">Assumptions!H13</f>
        <v>0</v>
      </c>
      <c r="I5" s="4" t="n">
        <f aca="false">Assumptions!I13</f>
        <v>2</v>
      </c>
      <c r="J5" s="4" t="n">
        <f aca="false">Assumptions!J13</f>
        <v>2</v>
      </c>
      <c r="K5" s="4" t="n">
        <f aca="false">Assumptions!K13</f>
        <v>2</v>
      </c>
      <c r="L5" s="4" t="n">
        <f aca="false">Assumptions!L13</f>
        <v>1.5</v>
      </c>
    </row>
    <row r="6" customFormat="false" ht="15" hidden="false" customHeight="false" outlineLevel="0" collapsed="false">
      <c r="A6" s="0" t="s">
        <v>38</v>
      </c>
      <c r="B6" s="3" t="n">
        <v>2313051</v>
      </c>
      <c r="C6" s="0" t="n">
        <f aca="false">B6*(1+C5/100)</f>
        <v>1966093.35</v>
      </c>
      <c r="D6" s="0" t="n">
        <f aca="false">C6*(1+D5/100)</f>
        <v>1808805.882</v>
      </c>
      <c r="E6" s="0" t="n">
        <f aca="false">D6*(1+E5/100)</f>
        <v>1700277.52908</v>
      </c>
      <c r="F6" s="0" t="n">
        <f aca="false">E6*(1+F5/100)</f>
        <v>1598260.8773352</v>
      </c>
      <c r="G6" s="0" t="n">
        <f aca="false">F6*(1+G5/100)</f>
        <v>1502365.22469509</v>
      </c>
      <c r="H6" s="0" t="n">
        <f aca="false">G6*(1+H5/100)</f>
        <v>1502365.22469509</v>
      </c>
      <c r="I6" s="0" t="n">
        <f aca="false">H6*(1+I5/100)</f>
        <v>1532412.52918899</v>
      </c>
      <c r="J6" s="0" t="n">
        <f aca="false">I6*(1+J5/100)</f>
        <v>1563060.77977277</v>
      </c>
      <c r="K6" s="0" t="n">
        <f aca="false">J6*(1+K5/100)</f>
        <v>1594321.99536822</v>
      </c>
      <c r="L6" s="0" t="n">
        <f aca="false">K6*(1+L5/100)</f>
        <v>1618236.82529875</v>
      </c>
    </row>
    <row r="7" customFormat="false" ht="15" hidden="false" customHeight="false" outlineLevel="0" collapsed="false">
      <c r="A7" s="0" t="s">
        <v>100</v>
      </c>
      <c r="C7" s="4" t="n">
        <f aca="false">Assumptions!C14</f>
        <v>17</v>
      </c>
      <c r="D7" s="4" t="n">
        <f aca="false">Assumptions!D14</f>
        <v>18</v>
      </c>
      <c r="E7" s="4" t="n">
        <f aca="false">Assumptions!E14</f>
        <v>19</v>
      </c>
      <c r="F7" s="4" t="n">
        <f aca="false">Assumptions!F14</f>
        <v>19</v>
      </c>
      <c r="G7" s="4" t="n">
        <f aca="false">Assumptions!G14</f>
        <v>17</v>
      </c>
      <c r="H7" s="4" t="n">
        <f aca="false">Assumptions!H14</f>
        <v>14</v>
      </c>
      <c r="I7" s="4" t="n">
        <f aca="false">Assumptions!I14</f>
        <v>15</v>
      </c>
      <c r="J7" s="4" t="n">
        <f aca="false">Assumptions!J14</f>
        <v>16</v>
      </c>
      <c r="K7" s="4" t="n">
        <f aca="false">Assumptions!K14</f>
        <v>16</v>
      </c>
      <c r="L7" s="4" t="n">
        <f aca="false">Assumptions!L14</f>
        <v>16</v>
      </c>
    </row>
    <row r="8" customFormat="false" ht="15" hidden="false" customHeight="false" outlineLevel="0" collapsed="false">
      <c r="A8" s="0" t="s">
        <v>44</v>
      </c>
      <c r="C8" s="0" t="n">
        <f aca="false">C6*C7/100</f>
        <v>334235.8695</v>
      </c>
      <c r="D8" s="0" t="n">
        <f aca="false">D6*D7/100</f>
        <v>325585.05876</v>
      </c>
      <c r="E8" s="0" t="n">
        <f aca="false">E6*E7/100</f>
        <v>323052.7305252</v>
      </c>
      <c r="F8" s="0" t="n">
        <f aca="false">F6*F7/100</f>
        <v>303669.566693688</v>
      </c>
      <c r="G8" s="0" t="n">
        <f aca="false">G6*G7/100</f>
        <v>255402.088198165</v>
      </c>
      <c r="H8" s="0" t="n">
        <f aca="false">H6*H7/100</f>
        <v>210331.131457312</v>
      </c>
      <c r="I8" s="0" t="n">
        <f aca="false">I6*I7/100</f>
        <v>229861.879378348</v>
      </c>
      <c r="J8" s="0" t="n">
        <f aca="false">J6*J7/100</f>
        <v>250089.724763643</v>
      </c>
      <c r="K8" s="0" t="n">
        <f aca="false">K6*K7/100</f>
        <v>255091.519258916</v>
      </c>
      <c r="L8" s="0" t="n">
        <f aca="false">L6*L7/100</f>
        <v>258917.8920478</v>
      </c>
    </row>
    <row r="9" customFormat="false" ht="15" hidden="false" customHeight="false" outlineLevel="0" collapsed="false">
      <c r="A9" s="0" t="s">
        <v>101</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334235.8695</v>
      </c>
      <c r="D11" s="0" t="n">
        <f aca="false">D8+D10+D24</f>
        <v>325585.05876</v>
      </c>
      <c r="E11" s="0" t="n">
        <f aca="false">E8+E10+E24</f>
        <v>323052.7305252</v>
      </c>
      <c r="F11" s="0" t="n">
        <f aca="false">F8+F10+F24</f>
        <v>303669.566693688</v>
      </c>
      <c r="G11" s="0" t="n">
        <f aca="false">G8+G10+G24</f>
        <v>255402.088198165</v>
      </c>
      <c r="H11" s="0" t="n">
        <f aca="false">H8+H10+H24</f>
        <v>210331.131457312</v>
      </c>
      <c r="I11" s="0" t="n">
        <f aca="false">I8+I10+I24</f>
        <v>229861.879378348</v>
      </c>
      <c r="J11" s="0" t="n">
        <f aca="false">J8+J10+J24</f>
        <v>250089.724763643</v>
      </c>
      <c r="K11" s="0" t="n">
        <f aca="false">K8+K10+K24</f>
        <v>255091.519258916</v>
      </c>
      <c r="L11" s="0" t="n">
        <f aca="false">L8+L10+L24</f>
        <v>258917.8920478</v>
      </c>
    </row>
    <row r="12" customFormat="false" ht="15" hidden="false" customHeight="false" outlineLevel="0" collapsed="false">
      <c r="A12" s="0" t="s">
        <v>118</v>
      </c>
      <c r="C12" s="4" t="n">
        <f aca="false">-C6*Assumptions!C17/100</f>
        <v>-15728.7468</v>
      </c>
      <c r="D12" s="4" t="n">
        <f aca="false">-D6*Assumptions!D17/100</f>
        <v>-14470.447056</v>
      </c>
      <c r="E12" s="4" t="n">
        <f aca="false">-E6*Assumptions!E17/100</f>
        <v>-13602.22023264</v>
      </c>
      <c r="F12" s="4" t="n">
        <f aca="false">-F6*Assumptions!F17/100</f>
        <v>-12786.0870186816</v>
      </c>
      <c r="G12" s="4" t="n">
        <f aca="false">-G6*Assumptions!G17/100</f>
        <v>-12018.9217975607</v>
      </c>
      <c r="H12" s="4" t="n">
        <f aca="false">-H6*Assumptions!H17/100</f>
        <v>-12018.9217975607</v>
      </c>
      <c r="I12" s="4" t="n">
        <f aca="false">-I6*Assumptions!I17/100</f>
        <v>-12259.3002335119</v>
      </c>
      <c r="J12" s="4" t="n">
        <f aca="false">-J6*Assumptions!J17/100</f>
        <v>-12504.4862381822</v>
      </c>
      <c r="K12" s="4" t="n">
        <f aca="false">-K6*Assumptions!K17/100</f>
        <v>-12754.5759629458</v>
      </c>
      <c r="L12" s="4" t="n">
        <f aca="false">-L6*Assumptions!L17/100</f>
        <v>-12945.89460239</v>
      </c>
    </row>
    <row r="13" customFormat="false" ht="15" hidden="false" customHeight="false" outlineLevel="0" collapsed="false">
      <c r="A13" s="0" t="s">
        <v>119</v>
      </c>
      <c r="C13" s="0" t="n">
        <f aca="false">C11+C12</f>
        <v>318507.1227</v>
      </c>
      <c r="D13" s="0" t="n">
        <f aca="false">D11+D12</f>
        <v>311114.611704</v>
      </c>
      <c r="E13" s="0" t="n">
        <f aca="false">E11+E12</f>
        <v>309450.51029256</v>
      </c>
      <c r="F13" s="0" t="n">
        <f aca="false">F11+F12</f>
        <v>290883.479675006</v>
      </c>
      <c r="G13" s="0" t="n">
        <f aca="false">G11+G12</f>
        <v>243383.166400604</v>
      </c>
      <c r="H13" s="0" t="n">
        <f aca="false">H11+H12</f>
        <v>198312.209659752</v>
      </c>
      <c r="I13" s="0" t="n">
        <f aca="false">I11+I12</f>
        <v>217602.579144837</v>
      </c>
      <c r="J13" s="0" t="n">
        <f aca="false">J11+J12</f>
        <v>237585.238525461</v>
      </c>
      <c r="K13" s="0" t="n">
        <f aca="false">K11+K12</f>
        <v>242336.94329597</v>
      </c>
      <c r="L13" s="0" t="n">
        <f aca="false">L11+L12</f>
        <v>245971.99744541</v>
      </c>
    </row>
    <row r="14" customFormat="false" ht="15" hidden="false" customHeight="false" outlineLevel="0" collapsed="false">
      <c r="A14" s="0" t="s">
        <v>105</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120</v>
      </c>
      <c r="C15" s="0" t="n">
        <f aca="false">C13-MAX(0,C13)*C14/100</f>
        <v>229325.128344</v>
      </c>
      <c r="D15" s="0" t="n">
        <f aca="false">D13-MAX(0,D13)*D14/100</f>
        <v>224002.52042688</v>
      </c>
      <c r="E15" s="0" t="n">
        <f aca="false">E13-MAX(0,E13)*E14/100</f>
        <v>222804.367410643</v>
      </c>
      <c r="F15" s="0" t="n">
        <f aca="false">F13-MAX(0,F13)*F14/100</f>
        <v>209436.105366005</v>
      </c>
      <c r="G15" s="0" t="n">
        <f aca="false">G13-MAX(0,G13)*G14/100</f>
        <v>175235.879808435</v>
      </c>
      <c r="H15" s="0" t="n">
        <f aca="false">H13-MAX(0,H13)*H14/100</f>
        <v>142784.790955021</v>
      </c>
      <c r="I15" s="0" t="n">
        <f aca="false">I13-MAX(0,I13)*I14/100</f>
        <v>156673.856984282</v>
      </c>
      <c r="J15" s="0" t="n">
        <f aca="false">J13-MAX(0,J13)*J14/100</f>
        <v>171061.371738332</v>
      </c>
      <c r="K15" s="0" t="n">
        <f aca="false">K13-MAX(0,K13)*K14/100</f>
        <v>174482.599173099</v>
      </c>
      <c r="L15" s="0" t="n">
        <f aca="false">L13-MAX(0,L13)*L14/100</f>
        <v>177099.838160695</v>
      </c>
    </row>
    <row r="16" customFormat="false" ht="15" hidden="false" customHeight="false" outlineLevel="0" collapsed="false">
      <c r="A16" s="0" t="s">
        <v>121</v>
      </c>
      <c r="C16" s="0" t="n">
        <f aca="false">-C12</f>
        <v>15728.7468</v>
      </c>
      <c r="D16" s="0" t="n">
        <f aca="false">-D12</f>
        <v>14470.447056</v>
      </c>
      <c r="E16" s="0" t="n">
        <f aca="false">-E12</f>
        <v>13602.22023264</v>
      </c>
      <c r="F16" s="0" t="n">
        <f aca="false">-F12</f>
        <v>12786.0870186816</v>
      </c>
      <c r="G16" s="0" t="n">
        <f aca="false">-G12</f>
        <v>12018.9217975607</v>
      </c>
      <c r="H16" s="0" t="n">
        <f aca="false">-H12</f>
        <v>12018.9217975607</v>
      </c>
      <c r="I16" s="0" t="n">
        <f aca="false">-I12</f>
        <v>12259.3002335119</v>
      </c>
      <c r="J16" s="0" t="n">
        <f aca="false">-J12</f>
        <v>12504.4862381822</v>
      </c>
      <c r="K16" s="0" t="n">
        <f aca="false">-K12</f>
        <v>12754.5759629458</v>
      </c>
      <c r="L16" s="0" t="n">
        <f aca="false">-L12</f>
        <v>12945.89460239</v>
      </c>
    </row>
    <row r="17" customFormat="false" ht="15" hidden="false" customHeight="false" outlineLevel="0" collapsed="false">
      <c r="A17" s="0" t="s">
        <v>122</v>
      </c>
      <c r="C17" s="4" t="n">
        <f aca="false">-C6*Assumptions!C18/100</f>
        <v>-23593.1202</v>
      </c>
      <c r="D17" s="4" t="n">
        <f aca="false">-D6*Assumptions!D18/100</f>
        <v>-21705.670584</v>
      </c>
      <c r="E17" s="4" t="n">
        <f aca="false">-E6*Assumptions!E18/100</f>
        <v>-20403.33034896</v>
      </c>
      <c r="F17" s="4" t="n">
        <f aca="false">-F6*Assumptions!F18/100</f>
        <v>-19179.1305280224</v>
      </c>
      <c r="G17" s="4" t="n">
        <f aca="false">-G6*Assumptions!G18/100</f>
        <v>-18028.3826963411</v>
      </c>
      <c r="H17" s="4" t="n">
        <f aca="false">-H6*Assumptions!H18/100</f>
        <v>-18028.3826963411</v>
      </c>
      <c r="I17" s="4" t="n">
        <f aca="false">-I6*Assumptions!I18/100</f>
        <v>-18388.9503502679</v>
      </c>
      <c r="J17" s="4" t="n">
        <f aca="false">-J6*Assumptions!J18/100</f>
        <v>-18756.7293572732</v>
      </c>
      <c r="K17" s="4" t="n">
        <f aca="false">-K6*Assumptions!K18/100</f>
        <v>-19131.8639444187</v>
      </c>
      <c r="L17" s="4" t="n">
        <f aca="false">-L6*Assumptions!L18/100</f>
        <v>-19418.841903585</v>
      </c>
    </row>
    <row r="18" customFormat="false" ht="15" hidden="false" customHeight="false" outlineLevel="0" collapsed="false">
      <c r="A18" s="0" t="s">
        <v>123</v>
      </c>
      <c r="C18" s="4" t="n">
        <f aca="false">(C6-B6)*Assumptions!$B$23/100</f>
        <v>34695.765</v>
      </c>
      <c r="D18" s="4" t="n">
        <f aca="false">(D6-C6)*Assumptions!$B$23/100</f>
        <v>15728.7468</v>
      </c>
      <c r="E18" s="4" t="n">
        <f aca="false">(E6-D6)*Assumptions!$B$23/100</f>
        <v>10852.835292</v>
      </c>
      <c r="F18" s="4" t="n">
        <f aca="false">(F6-E6)*Assumptions!$B$23/100</f>
        <v>10201.66517448</v>
      </c>
      <c r="G18" s="4" t="n">
        <f aca="false">(G6-F6)*Assumptions!$B$23/100</f>
        <v>9589.5652640112</v>
      </c>
      <c r="H18" s="4" t="n">
        <f aca="false">(H6-G6)*Assumptions!$B$23/100</f>
        <v>-0</v>
      </c>
      <c r="I18" s="4" t="n">
        <f aca="false">(I6-H6)*Assumptions!$B$23/100</f>
        <v>-3004.73044939018</v>
      </c>
      <c r="J18" s="4" t="n">
        <f aca="false">(J6-I6)*Assumptions!$B$23/100</f>
        <v>-3064.82505837798</v>
      </c>
      <c r="K18" s="4" t="n">
        <f aca="false">(K6-J6)*Assumptions!$B$23/100</f>
        <v>-3126.12155954554</v>
      </c>
      <c r="L18" s="4" t="n">
        <f aca="false">(L6-K6)*Assumptions!$B$23/100</f>
        <v>-2391.48299305232</v>
      </c>
    </row>
    <row r="19" customFormat="false" ht="15" hidden="false" customHeight="false" outlineLevel="0" collapsed="false">
      <c r="A19" s="0" t="s">
        <v>124</v>
      </c>
      <c r="C19" s="0" t="n">
        <f aca="false">C15+C16+C17+C18</f>
        <v>256156.519944</v>
      </c>
      <c r="D19" s="0" t="n">
        <f aca="false">D15+D16+D17+D18</f>
        <v>232496.04369888</v>
      </c>
      <c r="E19" s="0" t="n">
        <f aca="false">E15+E16+E17+E18</f>
        <v>226856.092586323</v>
      </c>
      <c r="F19" s="0" t="n">
        <f aca="false">F15+F16+F17+F18</f>
        <v>213244.727031144</v>
      </c>
      <c r="G19" s="0" t="n">
        <f aca="false">G15+G16+G17+G18</f>
        <v>178815.984173666</v>
      </c>
      <c r="H19" s="0" t="n">
        <f aca="false">H15+H16+H17+H18</f>
        <v>136775.330056241</v>
      </c>
      <c r="I19" s="0" t="n">
        <f aca="false">I15+I16+I17+I18</f>
        <v>147539.476418136</v>
      </c>
      <c r="J19" s="0" t="n">
        <f aca="false">J15+J16+J17+J18</f>
        <v>161744.303560863</v>
      </c>
      <c r="K19" s="0" t="n">
        <f aca="false">K15+K16+K17+K18</f>
        <v>164979.18963208</v>
      </c>
      <c r="L19" s="0" t="n">
        <f aca="false">L15+L16+L17+L18</f>
        <v>168235.407866448</v>
      </c>
    </row>
    <row r="20" customFormat="false" ht="15" hidden="false" customHeight="false" outlineLevel="0" collapsed="false">
      <c r="A20" s="0" t="s">
        <v>125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126</v>
      </c>
      <c r="C21" s="0" t="n">
        <f aca="false">C19*C20</f>
        <v>237181.962911111</v>
      </c>
      <c r="D21" s="0" t="n">
        <f aca="false">D19*D20</f>
        <v>199327.88382963</v>
      </c>
      <c r="E21" s="0" t="n">
        <f aca="false">E19*E20</f>
        <v>180085.68036688</v>
      </c>
      <c r="F21" s="0" t="n">
        <f aca="false">F19*F20</f>
        <v>156741.240319321</v>
      </c>
      <c r="G21" s="0" t="n">
        <f aca="false">G19*G20</f>
        <v>121699.15418965</v>
      </c>
      <c r="H21" s="0" t="n">
        <f aca="false">H19*H20</f>
        <v>86191.6587083547</v>
      </c>
      <c r="I21" s="0" t="n">
        <f aca="false">I19*I20</f>
        <v>86087.8674119865</v>
      </c>
      <c r="J21" s="0" t="n">
        <f aca="false">J19*J20</f>
        <v>87385.4144593763</v>
      </c>
      <c r="K21" s="0" t="n">
        <f aca="false">K19*K20</f>
        <v>82530.6692116332</v>
      </c>
      <c r="L21" s="0" t="n">
        <f aca="false">L19*L20</f>
        <v>77925.5453890094</v>
      </c>
    </row>
    <row r="23" customFormat="false" ht="15" hidden="false" customHeight="false" outlineLevel="0" collapsed="false">
      <c r="A23" s="0" t="s">
        <v>102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Assumptions!$B$20</f>
        <v>8</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15</v>
      </c>
    </row>
    <row r="30" customFormat="false" ht="15" hidden="false" customHeight="false" outlineLevel="0" collapsed="false">
      <c r="A30" s="0" t="s">
        <v>129</v>
      </c>
      <c r="B30" s="0" t="n">
        <f aca="false">SUM(C21:L21)</f>
        <v>1315157.07679695</v>
      </c>
    </row>
    <row r="31" customFormat="false" ht="15" hidden="false" customHeight="false" outlineLevel="0" collapsed="false">
      <c r="A31" s="0" t="s">
        <v>130</v>
      </c>
      <c r="B31" s="0" t="n">
        <f aca="false">L19</f>
        <v>168235.407866448</v>
      </c>
    </row>
    <row r="32" customFormat="false" ht="15" hidden="false" customHeight="false" outlineLevel="0" collapsed="false">
      <c r="A32" s="0" t="s">
        <v>131</v>
      </c>
      <c r="B32" s="0" t="n">
        <f aca="false">IF(B27&gt;B28,B31*(1+B28/100)/((B27-B28)/100),B31*B29)</f>
        <v>2627060.59976068</v>
      </c>
    </row>
    <row r="33" customFormat="false" ht="15" hidden="false" customHeight="false" outlineLevel="0" collapsed="false">
      <c r="A33" s="0" t="s">
        <v>132</v>
      </c>
      <c r="B33" s="0" t="n">
        <f aca="false">B31*B29</f>
        <v>2523531.11799671</v>
      </c>
    </row>
    <row r="34" customFormat="false" ht="15" hidden="false" customHeight="false" outlineLevel="0" collapsed="false">
      <c r="A34" s="0" t="s">
        <v>133</v>
      </c>
      <c r="B34" s="0" t="n">
        <f aca="false">MAX(0,MIN(B32,B33))</f>
        <v>2523531.11799671</v>
      </c>
    </row>
    <row r="35" customFormat="false" ht="15" hidden="false" customHeight="false" outlineLevel="0" collapsed="false">
      <c r="A35" s="0" t="s">
        <v>134</v>
      </c>
      <c r="B35" s="0" t="n">
        <f aca="false">B34/(1+B27/100)^L4</f>
        <v>1168883.18083514</v>
      </c>
    </row>
    <row r="36" customFormat="false" ht="15" hidden="false" customHeight="false" outlineLevel="0" collapsed="false">
      <c r="A36" s="0" t="s">
        <v>135</v>
      </c>
      <c r="B36" s="0" t="n">
        <f aca="false">B30+B35</f>
        <v>2484040.25763209</v>
      </c>
    </row>
    <row r="37" customFormat="false" ht="15" hidden="false" customHeight="false" outlineLevel="0" collapsed="false">
      <c r="A37" s="0" t="s">
        <v>136</v>
      </c>
      <c r="B37" s="0" t="n">
        <f aca="false">B36+Assumptions!$B$5-Assumptions!$B$4</f>
        <v>5383520.25763209</v>
      </c>
    </row>
    <row r="38" customFormat="false" ht="15" hidden="false" customHeight="false" outlineLevel="0" collapsed="false">
      <c r="A38" s="0" t="s">
        <v>137</v>
      </c>
      <c r="B38" s="0" t="n">
        <f aca="false">B37/Assumptions!$B$3*Assumptions!$B$10</f>
        <v>7.39701091061929</v>
      </c>
    </row>
    <row r="39" customFormat="false" ht="15" hidden="false" customHeight="false" outlineLevel="0" collapsed="false">
      <c r="A39" s="0" t="s">
        <v>138</v>
      </c>
      <c r="B39" s="4" t="n">
        <f aca="false">B38/Assumptions!$B$2-1</f>
        <v>-0.405384975030604</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7.39701091061929</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1264881.0295144</v>
      </c>
    </row>
    <row r="47" customFormat="false" ht="15" hidden="false" customHeight="false" outlineLevel="0" collapsed="false">
      <c r="A47" s="0" t="s">
        <v>143</v>
      </c>
      <c r="B47" s="0" t="n">
        <f aca="false">(SUMPRODUCT(C19:L19/(1+B45/100)^C4:L4)+B46/(1+B45/100)^L4+Assumptions!$B$5-Assumptions!$B$4)/Assumptions!$B$3*Assumptions!$B$10</f>
        <v>5.80742786805299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-10</v>
      </c>
      <c r="D5" s="4" t="n">
        <f aca="false">Assumptions!D27</f>
        <v>-2</v>
      </c>
      <c r="E5" s="4" t="n">
        <f aca="false">Assumptions!E27</f>
        <v>-3</v>
      </c>
      <c r="F5" s="4" t="n">
        <f aca="false">Assumptions!F27</f>
        <v>-5</v>
      </c>
      <c r="G5" s="4" t="n">
        <f aca="false">Assumptions!G27</f>
        <v>-6</v>
      </c>
      <c r="H5" s="4" t="n">
        <f aca="false">Assumptions!H27</f>
        <v>3</v>
      </c>
      <c r="I5" s="4" t="n">
        <f aca="false">Assumptions!I27</f>
        <v>4</v>
      </c>
      <c r="J5" s="4" t="n">
        <f aca="false">Assumptions!J27</f>
        <v>3</v>
      </c>
      <c r="K5" s="4" t="n">
        <f aca="false">Assumptions!K27</f>
        <v>3</v>
      </c>
      <c r="L5" s="4" t="n">
        <f aca="false">Assumptions!L27</f>
        <v>2.5</v>
      </c>
    </row>
    <row r="6" customFormat="false" ht="15" hidden="false" customHeight="false" outlineLevel="0" collapsed="false">
      <c r="A6" s="0" t="s">
        <v>38</v>
      </c>
      <c r="B6" s="3" t="n">
        <v>2313051</v>
      </c>
      <c r="C6" s="0" t="n">
        <f aca="false">B6*(1+C5/100)</f>
        <v>2081745.9</v>
      </c>
      <c r="D6" s="0" t="n">
        <f aca="false">C6*(1+D5/100)</f>
        <v>2040110.982</v>
      </c>
      <c r="E6" s="0" t="n">
        <f aca="false">D6*(1+E5/100)</f>
        <v>1978907.65254</v>
      </c>
      <c r="F6" s="0" t="n">
        <f aca="false">E6*(1+F5/100)</f>
        <v>1879962.269913</v>
      </c>
      <c r="G6" s="0" t="n">
        <f aca="false">F6*(1+G5/100)</f>
        <v>1767164.53371822</v>
      </c>
      <c r="H6" s="0" t="n">
        <f aca="false">G6*(1+H5/100)</f>
        <v>1820179.46972977</v>
      </c>
      <c r="I6" s="0" t="n">
        <f aca="false">H6*(1+I5/100)</f>
        <v>1892986.64851896</v>
      </c>
      <c r="J6" s="0" t="n">
        <f aca="false">I6*(1+J5/100)</f>
        <v>1949776.24797453</v>
      </c>
      <c r="K6" s="0" t="n">
        <f aca="false">J6*(1+K5/100)</f>
        <v>2008269.53541376</v>
      </c>
      <c r="L6" s="0" t="n">
        <f aca="false">K6*(1+L5/100)</f>
        <v>2058476.27379911</v>
      </c>
    </row>
    <row r="7" customFormat="false" ht="15" hidden="false" customHeight="false" outlineLevel="0" collapsed="false">
      <c r="A7" s="0" t="s">
        <v>100</v>
      </c>
      <c r="C7" s="4" t="n">
        <f aca="false">Assumptions!C28</f>
        <v>19</v>
      </c>
      <c r="D7" s="4" t="n">
        <f aca="false">Assumptions!D28</f>
        <v>23</v>
      </c>
      <c r="E7" s="4" t="n">
        <f aca="false">Assumptions!E28</f>
        <v>26</v>
      </c>
      <c r="F7" s="4" t="n">
        <f aca="false">Assumptions!F28</f>
        <v>26</v>
      </c>
      <c r="G7" s="4" t="n">
        <f aca="false">Assumptions!G28</f>
        <v>23</v>
      </c>
      <c r="H7" s="4" t="n">
        <f aca="false">Assumptions!H28</f>
        <v>20</v>
      </c>
      <c r="I7" s="4" t="n">
        <f aca="false">Assumptions!I28</f>
        <v>22</v>
      </c>
      <c r="J7" s="4" t="n">
        <f aca="false">Assumptions!J28</f>
        <v>24</v>
      </c>
      <c r="K7" s="4" t="n">
        <f aca="false">Assumptions!K28</f>
        <v>24</v>
      </c>
      <c r="L7" s="4" t="n">
        <f aca="false">Assumptions!L28</f>
        <v>24</v>
      </c>
    </row>
    <row r="8" customFormat="false" ht="15" hidden="false" customHeight="false" outlineLevel="0" collapsed="false">
      <c r="A8" s="0" t="s">
        <v>44</v>
      </c>
      <c r="C8" s="0" t="n">
        <f aca="false">C6*C7/100</f>
        <v>395531.721</v>
      </c>
      <c r="D8" s="0" t="n">
        <f aca="false">D6*D7/100</f>
        <v>469225.52586</v>
      </c>
      <c r="E8" s="0" t="n">
        <f aca="false">E6*E7/100</f>
        <v>514515.9896604</v>
      </c>
      <c r="F8" s="0" t="n">
        <f aca="false">F6*F7/100</f>
        <v>488790.19017738</v>
      </c>
      <c r="G8" s="0" t="n">
        <f aca="false">G6*G7/100</f>
        <v>406447.842755191</v>
      </c>
      <c r="H8" s="0" t="n">
        <f aca="false">H6*H7/100</f>
        <v>364035.893945953</v>
      </c>
      <c r="I8" s="0" t="n">
        <f aca="false">I6*I7/100</f>
        <v>416457.062674171</v>
      </c>
      <c r="J8" s="0" t="n">
        <f aca="false">J6*J7/100</f>
        <v>467946.299513886</v>
      </c>
      <c r="K8" s="0" t="n">
        <f aca="false">K6*K7/100</f>
        <v>481984.688499303</v>
      </c>
      <c r="L8" s="0" t="n">
        <f aca="false">L6*L7/100</f>
        <v>494034.305711785</v>
      </c>
    </row>
    <row r="9" customFormat="false" ht="15" hidden="false" customHeight="false" outlineLevel="0" collapsed="false">
      <c r="A9" s="0" t="s">
        <v>101</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395531.721</v>
      </c>
      <c r="D11" s="0" t="n">
        <f aca="false">D8+D10+D24</f>
        <v>469225.52586</v>
      </c>
      <c r="E11" s="0" t="n">
        <f aca="false">E8+E10+E24</f>
        <v>514515.9896604</v>
      </c>
      <c r="F11" s="0" t="n">
        <f aca="false">F8+F10+F24</f>
        <v>488790.19017738</v>
      </c>
      <c r="G11" s="0" t="n">
        <f aca="false">G8+G10+G24</f>
        <v>406447.842755191</v>
      </c>
      <c r="H11" s="0" t="n">
        <f aca="false">H8+H10+H24</f>
        <v>364035.893945953</v>
      </c>
      <c r="I11" s="0" t="n">
        <f aca="false">I8+I10+I24</f>
        <v>416457.062674171</v>
      </c>
      <c r="J11" s="0" t="n">
        <f aca="false">J8+J10+J24</f>
        <v>467946.299513886</v>
      </c>
      <c r="K11" s="0" t="n">
        <f aca="false">K8+K10+K24</f>
        <v>481984.688499303</v>
      </c>
      <c r="L11" s="0" t="n">
        <f aca="false">L8+L10+L24</f>
        <v>494034.305711785</v>
      </c>
    </row>
    <row r="12" customFormat="false" ht="15" hidden="false" customHeight="false" outlineLevel="0" collapsed="false">
      <c r="A12" s="0" t="s">
        <v>118</v>
      </c>
      <c r="C12" s="4" t="n">
        <f aca="false">-C6*Assumptions!C31/100</f>
        <v>-16653.9672</v>
      </c>
      <c r="D12" s="4" t="n">
        <f aca="false">-D6*Assumptions!D31/100</f>
        <v>-16320.887856</v>
      </c>
      <c r="E12" s="4" t="n">
        <f aca="false">-E6*Assumptions!E31/100</f>
        <v>-15831.26122032</v>
      </c>
      <c r="F12" s="4" t="n">
        <f aca="false">-F6*Assumptions!F31/100</f>
        <v>-15039.698159304</v>
      </c>
      <c r="G12" s="4" t="n">
        <f aca="false">-G6*Assumptions!G31/100</f>
        <v>-14137.3162697458</v>
      </c>
      <c r="H12" s="4" t="n">
        <f aca="false">-H6*Assumptions!H31/100</f>
        <v>-14561.4357578381</v>
      </c>
      <c r="I12" s="4" t="n">
        <f aca="false">-I6*Assumptions!I31/100</f>
        <v>-15143.8931881517</v>
      </c>
      <c r="J12" s="4" t="n">
        <f aca="false">-J6*Assumptions!J31/100</f>
        <v>-15598.2099837962</v>
      </c>
      <c r="K12" s="4" t="n">
        <f aca="false">-K6*Assumptions!K31/100</f>
        <v>-16066.1562833101</v>
      </c>
      <c r="L12" s="4" t="n">
        <f aca="false">-L6*Assumptions!L31/100</f>
        <v>-16467.8101903928</v>
      </c>
    </row>
    <row r="13" customFormat="false" ht="15" hidden="false" customHeight="false" outlineLevel="0" collapsed="false">
      <c r="A13" s="0" t="s">
        <v>119</v>
      </c>
      <c r="C13" s="0" t="n">
        <f aca="false">C11+C12</f>
        <v>378877.7538</v>
      </c>
      <c r="D13" s="0" t="n">
        <f aca="false">D11+D12</f>
        <v>452904.638004</v>
      </c>
      <c r="E13" s="0" t="n">
        <f aca="false">E11+E12</f>
        <v>498684.72844008</v>
      </c>
      <c r="F13" s="0" t="n">
        <f aca="false">F11+F12</f>
        <v>473750.492018076</v>
      </c>
      <c r="G13" s="0" t="n">
        <f aca="false">G11+G12</f>
        <v>392310.526485445</v>
      </c>
      <c r="H13" s="0" t="n">
        <f aca="false">H11+H12</f>
        <v>349474.458188115</v>
      </c>
      <c r="I13" s="0" t="n">
        <f aca="false">I11+I12</f>
        <v>401313.169486019</v>
      </c>
      <c r="J13" s="0" t="n">
        <f aca="false">J11+J12</f>
        <v>452348.08953009</v>
      </c>
      <c r="K13" s="0" t="n">
        <f aca="false">K11+K12</f>
        <v>465918.532215993</v>
      </c>
      <c r="L13" s="0" t="n">
        <f aca="false">L11+L12</f>
        <v>477566.495521392</v>
      </c>
    </row>
    <row r="14" customFormat="false" ht="15" hidden="false" customHeight="false" outlineLevel="0" collapsed="false">
      <c r="A14" s="0" t="s">
        <v>105</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120</v>
      </c>
      <c r="C15" s="0" t="n">
        <f aca="false">C13-MAX(0,C13)*C14/100</f>
        <v>272791.982736</v>
      </c>
      <c r="D15" s="0" t="n">
        <f aca="false">D13-MAX(0,D13)*D14/100</f>
        <v>326091.33936288</v>
      </c>
      <c r="E15" s="0" t="n">
        <f aca="false">E13-MAX(0,E13)*E14/100</f>
        <v>359053.004476858</v>
      </c>
      <c r="F15" s="0" t="n">
        <f aca="false">F13-MAX(0,F13)*F14/100</f>
        <v>341100.354253015</v>
      </c>
      <c r="G15" s="0" t="n">
        <f aca="false">G13-MAX(0,G13)*G14/100</f>
        <v>282463.57906952</v>
      </c>
      <c r="H15" s="0" t="n">
        <f aca="false">H13-MAX(0,H13)*H14/100</f>
        <v>251621.609895443</v>
      </c>
      <c r="I15" s="0" t="n">
        <f aca="false">I13-MAX(0,I13)*I14/100</f>
        <v>288945.482029934</v>
      </c>
      <c r="J15" s="0" t="n">
        <f aca="false">J13-MAX(0,J13)*J14/100</f>
        <v>325690.624461665</v>
      </c>
      <c r="K15" s="0" t="n">
        <f aca="false">K13-MAX(0,K13)*K14/100</f>
        <v>335461.343195515</v>
      </c>
      <c r="L15" s="0" t="n">
        <f aca="false">L13-MAX(0,L13)*L14/100</f>
        <v>343847.876775403</v>
      </c>
    </row>
    <row r="16" customFormat="false" ht="15" hidden="false" customHeight="false" outlineLevel="0" collapsed="false">
      <c r="A16" s="0" t="s">
        <v>121</v>
      </c>
      <c r="C16" s="0" t="n">
        <f aca="false">-C12</f>
        <v>16653.9672</v>
      </c>
      <c r="D16" s="0" t="n">
        <f aca="false">-D12</f>
        <v>16320.887856</v>
      </c>
      <c r="E16" s="0" t="n">
        <f aca="false">-E12</f>
        <v>15831.26122032</v>
      </c>
      <c r="F16" s="0" t="n">
        <f aca="false">-F12</f>
        <v>15039.698159304</v>
      </c>
      <c r="G16" s="0" t="n">
        <f aca="false">-G12</f>
        <v>14137.3162697458</v>
      </c>
      <c r="H16" s="0" t="n">
        <f aca="false">-H12</f>
        <v>14561.4357578381</v>
      </c>
      <c r="I16" s="0" t="n">
        <f aca="false">-I12</f>
        <v>15143.8931881517</v>
      </c>
      <c r="J16" s="0" t="n">
        <f aca="false">-J12</f>
        <v>15598.2099837962</v>
      </c>
      <c r="K16" s="0" t="n">
        <f aca="false">-K12</f>
        <v>16066.1562833101</v>
      </c>
      <c r="L16" s="0" t="n">
        <f aca="false">-L12</f>
        <v>16467.8101903928</v>
      </c>
    </row>
    <row r="17" customFormat="false" ht="15" hidden="false" customHeight="false" outlineLevel="0" collapsed="false">
      <c r="A17" s="0" t="s">
        <v>122</v>
      </c>
      <c r="C17" s="4" t="n">
        <f aca="false">-C6*Assumptions!C32/100</f>
        <v>-24980.9508</v>
      </c>
      <c r="D17" s="4" t="n">
        <f aca="false">-D6*Assumptions!D32/100</f>
        <v>-24481.331784</v>
      </c>
      <c r="E17" s="4" t="n">
        <f aca="false">-E6*Assumptions!E32/100</f>
        <v>-23746.89183048</v>
      </c>
      <c r="F17" s="4" t="n">
        <f aca="false">-F6*Assumptions!F32/100</f>
        <v>-22559.547238956</v>
      </c>
      <c r="G17" s="4" t="n">
        <f aca="false">-G6*Assumptions!G32/100</f>
        <v>-21205.9744046186</v>
      </c>
      <c r="H17" s="4" t="n">
        <f aca="false">-H6*Assumptions!H32/100</f>
        <v>-21842.1536367572</v>
      </c>
      <c r="I17" s="4" t="n">
        <f aca="false">-I6*Assumptions!I32/100</f>
        <v>-22715.8397822275</v>
      </c>
      <c r="J17" s="4" t="n">
        <f aca="false">-J6*Assumptions!J32/100</f>
        <v>-23397.3149756943</v>
      </c>
      <c r="K17" s="4" t="n">
        <f aca="false">-K6*Assumptions!K32/100</f>
        <v>-24099.2344249651</v>
      </c>
      <c r="L17" s="4" t="n">
        <f aca="false">-L6*Assumptions!L32/100</f>
        <v>-24701.7152855893</v>
      </c>
    </row>
    <row r="18" customFormat="false" ht="15" hidden="false" customHeight="false" outlineLevel="0" collapsed="false">
      <c r="A18" s="0" t="s">
        <v>123</v>
      </c>
      <c r="C18" s="4" t="n">
        <f aca="false">(C6-B6)*Assumptions!$B$37/100</f>
        <v>23130.51</v>
      </c>
      <c r="D18" s="4" t="n">
        <f aca="false">(D6-C6)*Assumptions!$B$37/100</f>
        <v>4163.49180000001</v>
      </c>
      <c r="E18" s="4" t="n">
        <f aca="false">(E6-D6)*Assumptions!$B$37/100</f>
        <v>6120.33294600002</v>
      </c>
      <c r="F18" s="4" t="n">
        <f aca="false">(F6-E6)*Assumptions!$B$37/100</f>
        <v>9894.53826270001</v>
      </c>
      <c r="G18" s="4" t="n">
        <f aca="false">(G6-F6)*Assumptions!$B$37/100</f>
        <v>11279.773619478</v>
      </c>
      <c r="H18" s="4" t="n">
        <f aca="false">(H6-G6)*Assumptions!$B$37/100</f>
        <v>-5301.49360115465</v>
      </c>
      <c r="I18" s="4" t="n">
        <f aca="false">(I6-H6)*Assumptions!$B$37/100</f>
        <v>-7280.71787891907</v>
      </c>
      <c r="J18" s="4" t="n">
        <f aca="false">(J6-I6)*Assumptions!$B$37/100</f>
        <v>-5678.95994555687</v>
      </c>
      <c r="K18" s="4" t="n">
        <f aca="false">(K6-J6)*Assumptions!$B$37/100</f>
        <v>-5849.32874392357</v>
      </c>
      <c r="L18" s="4" t="n">
        <f aca="false">(L6-K6)*Assumptions!$B$37/100</f>
        <v>-5020.67383853439</v>
      </c>
    </row>
    <row r="19" customFormat="false" ht="15" hidden="false" customHeight="false" outlineLevel="0" collapsed="false">
      <c r="A19" s="0" t="s">
        <v>124</v>
      </c>
      <c r="C19" s="0" t="n">
        <f aca="false">C15+C16+C17+C18</f>
        <v>287595.509136</v>
      </c>
      <c r="D19" s="0" t="n">
        <f aca="false">D15+D16+D17+D18</f>
        <v>322094.38723488</v>
      </c>
      <c r="E19" s="0" t="n">
        <f aca="false">E15+E16+E17+E18</f>
        <v>357257.706812698</v>
      </c>
      <c r="F19" s="0" t="n">
        <f aca="false">F15+F16+F17+F18</f>
        <v>343475.043436063</v>
      </c>
      <c r="G19" s="0" t="n">
        <f aca="false">G15+G16+G17+G18</f>
        <v>286674.694554125</v>
      </c>
      <c r="H19" s="0" t="n">
        <f aca="false">H15+H16+H17+H18</f>
        <v>239039.398415369</v>
      </c>
      <c r="I19" s="0" t="n">
        <f aca="false">I15+I16+I17+I18</f>
        <v>274092.817556939</v>
      </c>
      <c r="J19" s="0" t="n">
        <f aca="false">J15+J16+J17+J18</f>
        <v>312212.55952421</v>
      </c>
      <c r="K19" s="0" t="n">
        <f aca="false">K15+K16+K17+K18</f>
        <v>321578.936309936</v>
      </c>
      <c r="L19" s="0" t="n">
        <f aca="false">L15+L16+L17+L18</f>
        <v>330593.297841672</v>
      </c>
    </row>
    <row r="20" customFormat="false" ht="15" hidden="false" customHeight="false" outlineLevel="0" collapsed="false">
      <c r="A20" s="0" t="s">
        <v>125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126</v>
      </c>
      <c r="C21" s="0" t="n">
        <f aca="false">C19*C20</f>
        <v>266292.138088889</v>
      </c>
      <c r="D21" s="0" t="n">
        <f aca="false">D19*D20</f>
        <v>276144.021977778</v>
      </c>
      <c r="E21" s="0" t="n">
        <f aca="false">E19*E20</f>
        <v>283602.686020851</v>
      </c>
      <c r="F21" s="0" t="n">
        <f aca="false">F19*F20</f>
        <v>252464.410616065</v>
      </c>
      <c r="G21" s="0" t="n">
        <f aca="false">G19*G20</f>
        <v>195105.980128321</v>
      </c>
      <c r="H21" s="0" t="n">
        <f aca="false">H19*H20</f>
        <v>150635.368509775</v>
      </c>
      <c r="I21" s="0" t="n">
        <f aca="false">I19*I20</f>
        <v>159930.52645481</v>
      </c>
      <c r="J21" s="0" t="n">
        <f aca="false">J19*J20</f>
        <v>168678.731261652</v>
      </c>
      <c r="K21" s="0" t="n">
        <f aca="false">K19*K20</f>
        <v>160869.530740279</v>
      </c>
      <c r="L21" s="0" t="n">
        <f aca="false">L19*L20</f>
        <v>153128.662764703</v>
      </c>
    </row>
    <row r="23" customFormat="false" ht="15" hidden="false" customHeight="false" outlineLevel="0" collapsed="false">
      <c r="A23" s="0" t="s">
        <v>102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Assumptions!$B$34</f>
        <v>8</v>
      </c>
    </row>
    <row r="28" customFormat="false" ht="15" hidden="false" customHeight="false" outlineLevel="0" collapsed="false">
      <c r="A28" s="0" t="s">
        <v>107</v>
      </c>
      <c r="B28" s="4" t="n">
        <f aca="false">Assumptions!$B$35</f>
        <v>1.5</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2066852.05656312</v>
      </c>
    </row>
    <row r="31" customFormat="false" ht="15" hidden="false" customHeight="false" outlineLevel="0" collapsed="false">
      <c r="A31" s="0" t="s">
        <v>130</v>
      </c>
      <c r="B31" s="0" t="n">
        <f aca="false">L19</f>
        <v>330593.297841672</v>
      </c>
    </row>
    <row r="32" customFormat="false" ht="15" hidden="false" customHeight="false" outlineLevel="0" collapsed="false">
      <c r="A32" s="0" t="s">
        <v>131</v>
      </c>
      <c r="B32" s="0" t="n">
        <f aca="false">IF(B27&gt;B28,B31*(1+B28/100)/((B27-B28)/100),B31*B29)</f>
        <v>5162341.4970661</v>
      </c>
    </row>
    <row r="33" customFormat="false" ht="15" hidden="false" customHeight="false" outlineLevel="0" collapsed="false">
      <c r="A33" s="0" t="s">
        <v>132</v>
      </c>
      <c r="B33" s="0" t="n">
        <f aca="false">B31*B29</f>
        <v>4958899.46762508</v>
      </c>
    </row>
    <row r="34" customFormat="false" ht="15" hidden="false" customHeight="false" outlineLevel="0" collapsed="false">
      <c r="A34" s="0" t="s">
        <v>133</v>
      </c>
      <c r="B34" s="0" t="n">
        <f aca="false">MAX(0,MIN(B32,B33))</f>
        <v>4958899.46762508</v>
      </c>
    </row>
    <row r="35" customFormat="false" ht="15" hidden="false" customHeight="false" outlineLevel="0" collapsed="false">
      <c r="A35" s="0" t="s">
        <v>134</v>
      </c>
      <c r="B35" s="0" t="n">
        <f aca="false">B34/(1+B27/100)^L4</f>
        <v>2296929.94147054</v>
      </c>
    </row>
    <row r="36" customFormat="false" ht="15" hidden="false" customHeight="false" outlineLevel="0" collapsed="false">
      <c r="A36" s="0" t="s">
        <v>135</v>
      </c>
      <c r="B36" s="0" t="n">
        <f aca="false">B30+B35</f>
        <v>4363781.99803366</v>
      </c>
    </row>
    <row r="37" customFormat="false" ht="15" hidden="false" customHeight="false" outlineLevel="0" collapsed="false">
      <c r="A37" s="0" t="s">
        <v>136</v>
      </c>
      <c r="B37" s="0" t="n">
        <f aca="false">B36+Assumptions!$B$5-Assumptions!$B$4</f>
        <v>7263261.99803366</v>
      </c>
    </row>
    <row r="38" customFormat="false" ht="15" hidden="false" customHeight="false" outlineLevel="0" collapsed="false">
      <c r="A38" s="0" t="s">
        <v>137</v>
      </c>
      <c r="B38" s="0" t="n">
        <f aca="false">B37/Assumptions!$B$3*Assumptions!$B$10</f>
        <v>9.97979494364765</v>
      </c>
    </row>
    <row r="39" customFormat="false" ht="15" hidden="false" customHeight="false" outlineLevel="0" collapsed="false">
      <c r="A39" s="0" t="s">
        <v>138</v>
      </c>
      <c r="B39" s="4" t="n">
        <f aca="false">B38/Assumptions!$B$2-1</f>
        <v>-0.197765679771089</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9.97979494364765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2485571.83192072</v>
      </c>
    </row>
    <row r="47" customFormat="false" ht="15" hidden="false" customHeight="false" outlineLevel="0" collapsed="false">
      <c r="A47" s="0" t="s">
        <v>143</v>
      </c>
      <c r="B47" s="0" t="n">
        <f aca="false">(SUMPRODUCT(C19:L19/(1+B45/100)^C4:L4)+B46/(1+B45/100)^L4+Assumptions!$B$5-Assumptions!$B$4)/Assumptions!$B$3*Assumptions!$B$10</f>
        <v>6.95647538480035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-6</v>
      </c>
      <c r="D5" s="4" t="n">
        <f aca="false">Assumptions!D41</f>
        <v>3</v>
      </c>
      <c r="E5" s="4" t="n">
        <f aca="false">Assumptions!E41</f>
        <v>2</v>
      </c>
      <c r="F5" s="4" t="n">
        <f aca="false">Assumptions!F41</f>
        <v>-2</v>
      </c>
      <c r="G5" s="4" t="n">
        <f aca="false">Assumptions!G41</f>
        <v>-3</v>
      </c>
      <c r="H5" s="4" t="n">
        <f aca="false">Assumptions!H41</f>
        <v>4</v>
      </c>
      <c r="I5" s="4" t="n">
        <f aca="false">Assumptions!I41</f>
        <v>5</v>
      </c>
      <c r="J5" s="4" t="n">
        <f aca="false">Assumptions!J41</f>
        <v>4</v>
      </c>
      <c r="K5" s="4" t="n">
        <f aca="false">Assumptions!K41</f>
        <v>3</v>
      </c>
      <c r="L5" s="4" t="n">
        <f aca="false">Assumptions!L41</f>
        <v>3</v>
      </c>
    </row>
    <row r="6" customFormat="false" ht="15" hidden="false" customHeight="false" outlineLevel="0" collapsed="false">
      <c r="A6" s="0" t="s">
        <v>38</v>
      </c>
      <c r="B6" s="3" t="n">
        <v>2313051</v>
      </c>
      <c r="C6" s="0" t="n">
        <f aca="false">B6*(1+C5/100)</f>
        <v>2174267.94</v>
      </c>
      <c r="D6" s="0" t="n">
        <f aca="false">C6*(1+D5/100)</f>
        <v>2239495.9782</v>
      </c>
      <c r="E6" s="0" t="n">
        <f aca="false">D6*(1+E5/100)</f>
        <v>2284285.897764</v>
      </c>
      <c r="F6" s="0" t="n">
        <f aca="false">E6*(1+F5/100)</f>
        <v>2238600.17980872</v>
      </c>
      <c r="G6" s="0" t="n">
        <f aca="false">F6*(1+G5/100)</f>
        <v>2171442.17441446</v>
      </c>
      <c r="H6" s="0" t="n">
        <f aca="false">G6*(1+H5/100)</f>
        <v>2258299.86139104</v>
      </c>
      <c r="I6" s="0" t="n">
        <f aca="false">H6*(1+I5/100)</f>
        <v>2371214.85446059</v>
      </c>
      <c r="J6" s="0" t="n">
        <f aca="false">I6*(1+J5/100)</f>
        <v>2466063.44863901</v>
      </c>
      <c r="K6" s="0" t="n">
        <f aca="false">J6*(1+K5/100)</f>
        <v>2540045.35209818</v>
      </c>
      <c r="L6" s="0" t="n">
        <f aca="false">K6*(1+L5/100)</f>
        <v>2616246.71266113</v>
      </c>
    </row>
    <row r="7" customFormat="false" ht="15" hidden="false" customHeight="false" outlineLevel="0" collapsed="false">
      <c r="A7" s="0" t="s">
        <v>100</v>
      </c>
      <c r="C7" s="4" t="n">
        <f aca="false">Assumptions!C42</f>
        <v>20</v>
      </c>
      <c r="D7" s="4" t="n">
        <f aca="false">Assumptions!D42</f>
        <v>25</v>
      </c>
      <c r="E7" s="4" t="n">
        <f aca="false">Assumptions!E42</f>
        <v>28</v>
      </c>
      <c r="F7" s="4" t="n">
        <f aca="false">Assumptions!F42</f>
        <v>29</v>
      </c>
      <c r="G7" s="4" t="n">
        <f aca="false">Assumptions!G42</f>
        <v>28</v>
      </c>
      <c r="H7" s="4" t="n">
        <f aca="false">Assumptions!H42</f>
        <v>26</v>
      </c>
      <c r="I7" s="4" t="n">
        <f aca="false">Assumptions!I42</f>
        <v>27</v>
      </c>
      <c r="J7" s="4" t="n">
        <f aca="false">Assumptions!J42</f>
        <v>28</v>
      </c>
      <c r="K7" s="4" t="n">
        <f aca="false">Assumptions!K42</f>
        <v>28</v>
      </c>
      <c r="L7" s="4" t="n">
        <f aca="false">Assumptions!L42</f>
        <v>28</v>
      </c>
    </row>
    <row r="8" customFormat="false" ht="15" hidden="false" customHeight="false" outlineLevel="0" collapsed="false">
      <c r="A8" s="0" t="s">
        <v>44</v>
      </c>
      <c r="C8" s="0" t="n">
        <f aca="false">C6*C7/100</f>
        <v>434853.588</v>
      </c>
      <c r="D8" s="0" t="n">
        <f aca="false">D6*D7/100</f>
        <v>559873.99455</v>
      </c>
      <c r="E8" s="0" t="n">
        <f aca="false">E6*E7/100</f>
        <v>639600.05137392</v>
      </c>
      <c r="F8" s="0" t="n">
        <f aca="false">F6*F7/100</f>
        <v>649194.052144529</v>
      </c>
      <c r="G8" s="0" t="n">
        <f aca="false">G6*G7/100</f>
        <v>608003.808836048</v>
      </c>
      <c r="H8" s="0" t="n">
        <f aca="false">H6*H7/100</f>
        <v>587157.96396167</v>
      </c>
      <c r="I8" s="0" t="n">
        <f aca="false">I6*I7/100</f>
        <v>640228.010704359</v>
      </c>
      <c r="J8" s="0" t="n">
        <f aca="false">J6*J7/100</f>
        <v>690497.765618923</v>
      </c>
      <c r="K8" s="0" t="n">
        <f aca="false">K6*K7/100</f>
        <v>711212.698587491</v>
      </c>
      <c r="L8" s="0" t="n">
        <f aca="false">L6*L7/100</f>
        <v>732549.079545116</v>
      </c>
    </row>
    <row r="9" customFormat="false" ht="15" hidden="false" customHeight="false" outlineLevel="0" collapsed="false">
      <c r="A9" s="0" t="s">
        <v>101</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116</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117</v>
      </c>
      <c r="C11" s="0" t="n">
        <f aca="false">C8+C10+C24</f>
        <v>434853.588</v>
      </c>
      <c r="D11" s="0" t="n">
        <f aca="false">D8+D10+D24</f>
        <v>559873.99455</v>
      </c>
      <c r="E11" s="0" t="n">
        <f aca="false">E8+E10+E24</f>
        <v>639600.05137392</v>
      </c>
      <c r="F11" s="0" t="n">
        <f aca="false">F8+F10+F24</f>
        <v>649194.052144529</v>
      </c>
      <c r="G11" s="0" t="n">
        <f aca="false">G8+G10+G24</f>
        <v>608003.808836048</v>
      </c>
      <c r="H11" s="0" t="n">
        <f aca="false">H8+H10+H24</f>
        <v>587157.96396167</v>
      </c>
      <c r="I11" s="0" t="n">
        <f aca="false">I8+I10+I24</f>
        <v>640228.010704359</v>
      </c>
      <c r="J11" s="0" t="n">
        <f aca="false">J8+J10+J24</f>
        <v>690497.765618923</v>
      </c>
      <c r="K11" s="0" t="n">
        <f aca="false">K8+K10+K24</f>
        <v>711212.698587491</v>
      </c>
      <c r="L11" s="0" t="n">
        <f aca="false">L8+L10+L24</f>
        <v>732549.079545116</v>
      </c>
    </row>
    <row r="12" customFormat="false" ht="15" hidden="false" customHeight="false" outlineLevel="0" collapsed="false">
      <c r="A12" s="0" t="s">
        <v>118</v>
      </c>
      <c r="C12" s="4" t="n">
        <f aca="false">-C6*Assumptions!C45/100</f>
        <v>-17394.14352</v>
      </c>
      <c r="D12" s="4" t="n">
        <f aca="false">-D6*Assumptions!D45/100</f>
        <v>-17915.9678256</v>
      </c>
      <c r="E12" s="4" t="n">
        <f aca="false">-E6*Assumptions!E45/100</f>
        <v>-18274.287182112</v>
      </c>
      <c r="F12" s="4" t="n">
        <f aca="false">-F6*Assumptions!F45/100</f>
        <v>-17908.8014384698</v>
      </c>
      <c r="G12" s="4" t="n">
        <f aca="false">-G6*Assumptions!G45/100</f>
        <v>-17371.5373953157</v>
      </c>
      <c r="H12" s="4" t="n">
        <f aca="false">-H6*Assumptions!H45/100</f>
        <v>-18066.3988911283</v>
      </c>
      <c r="I12" s="4" t="n">
        <f aca="false">-I6*Assumptions!I45/100</f>
        <v>-18969.7188356847</v>
      </c>
      <c r="J12" s="4" t="n">
        <f aca="false">-J6*Assumptions!J45/100</f>
        <v>-19728.5075891121</v>
      </c>
      <c r="K12" s="4" t="n">
        <f aca="false">-K6*Assumptions!K45/100</f>
        <v>-20320.3628167855</v>
      </c>
      <c r="L12" s="4" t="n">
        <f aca="false">-L6*Assumptions!L45/100</f>
        <v>-20929.973701289</v>
      </c>
    </row>
    <row r="13" customFormat="false" ht="15" hidden="false" customHeight="false" outlineLevel="0" collapsed="false">
      <c r="A13" s="0" t="s">
        <v>119</v>
      </c>
      <c r="C13" s="0" t="n">
        <f aca="false">C11+C12</f>
        <v>417459.44448</v>
      </c>
      <c r="D13" s="0" t="n">
        <f aca="false">D11+D12</f>
        <v>541958.0267244</v>
      </c>
      <c r="E13" s="0" t="n">
        <f aca="false">E11+E12</f>
        <v>621325.764191808</v>
      </c>
      <c r="F13" s="0" t="n">
        <f aca="false">F11+F12</f>
        <v>631285.250706059</v>
      </c>
      <c r="G13" s="0" t="n">
        <f aca="false">G11+G12</f>
        <v>590632.271440732</v>
      </c>
      <c r="H13" s="0" t="n">
        <f aca="false">H11+H12</f>
        <v>569091.565070541</v>
      </c>
      <c r="I13" s="0" t="n">
        <f aca="false">I11+I12</f>
        <v>621258.291868674</v>
      </c>
      <c r="J13" s="0" t="n">
        <f aca="false">J11+J12</f>
        <v>670769.258029811</v>
      </c>
      <c r="K13" s="0" t="n">
        <f aca="false">K11+K12</f>
        <v>690892.335770706</v>
      </c>
      <c r="L13" s="0" t="n">
        <f aca="false">L11+L12</f>
        <v>711619.105843827</v>
      </c>
    </row>
    <row r="14" customFormat="false" ht="15" hidden="false" customHeight="false" outlineLevel="0" collapsed="false">
      <c r="A14" s="0" t="s">
        <v>105</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120</v>
      </c>
      <c r="C15" s="0" t="n">
        <f aca="false">C13-MAX(0,C13)*C14/100</f>
        <v>300570.8000256</v>
      </c>
      <c r="D15" s="0" t="n">
        <f aca="false">D13-MAX(0,D13)*D14/100</f>
        <v>390209.779241568</v>
      </c>
      <c r="E15" s="0" t="n">
        <f aca="false">E13-MAX(0,E13)*E14/100</f>
        <v>447354.550218102</v>
      </c>
      <c r="F15" s="0" t="n">
        <f aca="false">F13-MAX(0,F13)*F14/100</f>
        <v>454525.380508362</v>
      </c>
      <c r="G15" s="0" t="n">
        <f aca="false">G13-MAX(0,G13)*G14/100</f>
        <v>425255.235437327</v>
      </c>
      <c r="H15" s="0" t="n">
        <f aca="false">H13-MAX(0,H13)*H14/100</f>
        <v>409745.92685079</v>
      </c>
      <c r="I15" s="0" t="n">
        <f aca="false">I13-MAX(0,I13)*I14/100</f>
        <v>447305.970145445</v>
      </c>
      <c r="J15" s="0" t="n">
        <f aca="false">J13-MAX(0,J13)*J14/100</f>
        <v>482953.865781464</v>
      </c>
      <c r="K15" s="0" t="n">
        <f aca="false">K13-MAX(0,K13)*K14/100</f>
        <v>497442.481754908</v>
      </c>
      <c r="L15" s="0" t="n">
        <f aca="false">L13-MAX(0,L13)*L14/100</f>
        <v>512365.756207555</v>
      </c>
    </row>
    <row r="16" customFormat="false" ht="15" hidden="false" customHeight="false" outlineLevel="0" collapsed="false">
      <c r="A16" s="0" t="s">
        <v>121</v>
      </c>
      <c r="C16" s="0" t="n">
        <f aca="false">-C12</f>
        <v>17394.14352</v>
      </c>
      <c r="D16" s="0" t="n">
        <f aca="false">-D12</f>
        <v>17915.9678256</v>
      </c>
      <c r="E16" s="0" t="n">
        <f aca="false">-E12</f>
        <v>18274.287182112</v>
      </c>
      <c r="F16" s="0" t="n">
        <f aca="false">-F12</f>
        <v>17908.8014384698</v>
      </c>
      <c r="G16" s="0" t="n">
        <f aca="false">-G12</f>
        <v>17371.5373953157</v>
      </c>
      <c r="H16" s="0" t="n">
        <f aca="false">-H12</f>
        <v>18066.3988911283</v>
      </c>
      <c r="I16" s="0" t="n">
        <f aca="false">-I12</f>
        <v>18969.7188356847</v>
      </c>
      <c r="J16" s="0" t="n">
        <f aca="false">-J12</f>
        <v>19728.5075891121</v>
      </c>
      <c r="K16" s="0" t="n">
        <f aca="false">-K12</f>
        <v>20320.3628167855</v>
      </c>
      <c r="L16" s="0" t="n">
        <f aca="false">-L12</f>
        <v>20929.973701289</v>
      </c>
    </row>
    <row r="17" customFormat="false" ht="15" hidden="false" customHeight="false" outlineLevel="0" collapsed="false">
      <c r="A17" s="0" t="s">
        <v>122</v>
      </c>
      <c r="C17" s="4" t="n">
        <f aca="false">-C6*Assumptions!C46/100</f>
        <v>-26091.21528</v>
      </c>
      <c r="D17" s="4" t="n">
        <f aca="false">-D6*Assumptions!D46/100</f>
        <v>-26873.9517384</v>
      </c>
      <c r="E17" s="4" t="n">
        <f aca="false">-E6*Assumptions!E46/100</f>
        <v>-27411.430773168</v>
      </c>
      <c r="F17" s="4" t="n">
        <f aca="false">-F6*Assumptions!F46/100</f>
        <v>-26863.2021577046</v>
      </c>
      <c r="G17" s="4" t="n">
        <f aca="false">-G6*Assumptions!G46/100</f>
        <v>-26057.3060929735</v>
      </c>
      <c r="H17" s="4" t="n">
        <f aca="false">-H6*Assumptions!H46/100</f>
        <v>-27099.5983366924</v>
      </c>
      <c r="I17" s="4" t="n">
        <f aca="false">-I6*Assumptions!I46/100</f>
        <v>-28454.5782535271</v>
      </c>
      <c r="J17" s="4" t="n">
        <f aca="false">-J6*Assumptions!J46/100</f>
        <v>-29592.7613836681</v>
      </c>
      <c r="K17" s="4" t="n">
        <f aca="false">-K6*Assumptions!K46/100</f>
        <v>-30480.5442251782</v>
      </c>
      <c r="L17" s="4" t="n">
        <f aca="false">-L6*Assumptions!L46/100</f>
        <v>-31394.9605519335</v>
      </c>
    </row>
    <row r="18" customFormat="false" ht="15" hidden="false" customHeight="false" outlineLevel="0" collapsed="false">
      <c r="A18" s="0" t="s">
        <v>123</v>
      </c>
      <c r="C18" s="4" t="n">
        <f aca="false">(C6-B6)*Assumptions!$B$51/100</f>
        <v>13878.306</v>
      </c>
      <c r="D18" s="4" t="n">
        <f aca="false">(D6-C6)*Assumptions!$B$51/100</f>
        <v>-6522.80381999998</v>
      </c>
      <c r="E18" s="4" t="n">
        <f aca="false">(E6-D6)*Assumptions!$B$51/100</f>
        <v>-4478.99195639999</v>
      </c>
      <c r="F18" s="4" t="n">
        <f aca="false">(F6-E6)*Assumptions!$B$51/100</f>
        <v>4568.57179552801</v>
      </c>
      <c r="G18" s="4" t="n">
        <f aca="false">(G6-F6)*Assumptions!$B$51/100</f>
        <v>6715.80053942618</v>
      </c>
      <c r="H18" s="4" t="n">
        <f aca="false">(H6-G6)*Assumptions!$B$51/100</f>
        <v>-8685.76869765786</v>
      </c>
      <c r="I18" s="4" t="n">
        <f aca="false">(I6-H6)*Assumptions!$B$51/100</f>
        <v>-11291.4993069552</v>
      </c>
      <c r="J18" s="4" t="n">
        <f aca="false">(J6-I6)*Assumptions!$B$51/100</f>
        <v>-9484.85941784238</v>
      </c>
      <c r="K18" s="4" t="n">
        <f aca="false">(K6-J6)*Assumptions!$B$51/100</f>
        <v>-7398.19034591704</v>
      </c>
      <c r="L18" s="4" t="n">
        <f aca="false">(L6-K6)*Assumptions!$B$51/100</f>
        <v>-7620.13605629457</v>
      </c>
    </row>
    <row r="19" customFormat="false" ht="15" hidden="false" customHeight="false" outlineLevel="0" collapsed="false">
      <c r="A19" s="0" t="s">
        <v>124</v>
      </c>
      <c r="C19" s="0" t="n">
        <f aca="false">C15+C16+C17+C18</f>
        <v>305752.0342656</v>
      </c>
      <c r="D19" s="0" t="n">
        <f aca="false">D15+D16+D17+D18</f>
        <v>374728.991508768</v>
      </c>
      <c r="E19" s="0" t="n">
        <f aca="false">E15+E16+E17+E18</f>
        <v>433738.414670646</v>
      </c>
      <c r="F19" s="0" t="n">
        <f aca="false">F15+F16+F17+F18</f>
        <v>450139.551584656</v>
      </c>
      <c r="G19" s="0" t="n">
        <f aca="false">G15+G16+G17+G18</f>
        <v>423285.267279096</v>
      </c>
      <c r="H19" s="0" t="n">
        <f aca="false">H15+H16+H17+H18</f>
        <v>392026.958707568</v>
      </c>
      <c r="I19" s="0" t="n">
        <f aca="false">I15+I16+I17+I18</f>
        <v>426529.611420648</v>
      </c>
      <c r="J19" s="0" t="n">
        <f aca="false">J15+J16+J17+J18</f>
        <v>463604.752569066</v>
      </c>
      <c r="K19" s="0" t="n">
        <f aca="false">K15+K16+K17+K18</f>
        <v>479884.110000598</v>
      </c>
      <c r="L19" s="0" t="n">
        <f aca="false">L15+L16+L17+L18</f>
        <v>494280.633300616</v>
      </c>
    </row>
    <row r="20" customFormat="false" ht="15" hidden="false" customHeight="false" outlineLevel="0" collapsed="false">
      <c r="A20" s="0" t="s">
        <v>125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126</v>
      </c>
      <c r="C21" s="0" t="n">
        <f aca="false">C19*C20</f>
        <v>283103.735431111</v>
      </c>
      <c r="D21" s="0" t="n">
        <f aca="false">D19*D20</f>
        <v>321269.711513004</v>
      </c>
      <c r="E21" s="0" t="n">
        <f aca="false">E19*E20</f>
        <v>344315.537734534</v>
      </c>
      <c r="F21" s="0" t="n">
        <f aca="false">F19*F20</f>
        <v>330866.008339131</v>
      </c>
      <c r="G21" s="0" t="n">
        <f aca="false">G19*G20</f>
        <v>288080.840462094</v>
      </c>
      <c r="H21" s="0" t="n">
        <f aca="false">H19*H20</f>
        <v>247043.482296866</v>
      </c>
      <c r="I21" s="0" t="n">
        <f aca="false">I19*I20</f>
        <v>248875.931558838</v>
      </c>
      <c r="J21" s="0" t="n">
        <f aca="false">J19*J20</f>
        <v>250471.222520304</v>
      </c>
      <c r="K21" s="0" t="n">
        <f aca="false">K19*K20</f>
        <v>240061.530370599</v>
      </c>
      <c r="L21" s="0" t="n">
        <f aca="false">L19*L20</f>
        <v>228947.570631219</v>
      </c>
    </row>
    <row r="23" customFormat="false" ht="15" hidden="false" customHeight="false" outlineLevel="0" collapsed="false">
      <c r="A23" s="0" t="s">
        <v>102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128</v>
      </c>
    </row>
    <row r="27" customFormat="false" ht="15" hidden="false" customHeight="false" outlineLevel="0" collapsed="false">
      <c r="A27" s="0" t="s">
        <v>106</v>
      </c>
      <c r="B27" s="4" t="n">
        <f aca="false">Assumptions!$B$48</f>
        <v>8</v>
      </c>
    </row>
    <row r="28" customFormat="false" ht="15" hidden="false" customHeight="false" outlineLevel="0" collapsed="false">
      <c r="A28" s="0" t="s">
        <v>107</v>
      </c>
      <c r="B28" s="4" t="n">
        <f aca="false">Assumptions!$B$49</f>
        <v>1.5</v>
      </c>
    </row>
    <row r="29" customFormat="false" ht="15" hidden="false" customHeight="false" outlineLevel="0" collapsed="false">
      <c r="A29" s="0" t="s">
        <v>108</v>
      </c>
      <c r="B29" s="4" t="n">
        <f aca="false">Assumptions!$B$50</f>
        <v>15</v>
      </c>
    </row>
    <row r="30" customFormat="false" ht="15" hidden="false" customHeight="false" outlineLevel="0" collapsed="false">
      <c r="A30" s="0" t="s">
        <v>129</v>
      </c>
      <c r="B30" s="0" t="n">
        <f aca="false">SUM(C21:L21)</f>
        <v>2783035.5708577</v>
      </c>
    </row>
    <row r="31" customFormat="false" ht="15" hidden="false" customHeight="false" outlineLevel="0" collapsed="false">
      <c r="A31" s="0" t="s">
        <v>130</v>
      </c>
      <c r="B31" s="0" t="n">
        <f aca="false">L19</f>
        <v>494280.633300616</v>
      </c>
    </row>
    <row r="32" customFormat="false" ht="15" hidden="false" customHeight="false" outlineLevel="0" collapsed="false">
      <c r="A32" s="0" t="s">
        <v>131</v>
      </c>
      <c r="B32" s="0" t="n">
        <f aca="false">IF(B27&gt;B28,B31*(1+B28/100)/((B27-B28)/100),B31*B29)</f>
        <v>7718382.19692501</v>
      </c>
    </row>
    <row r="33" customFormat="false" ht="15" hidden="false" customHeight="false" outlineLevel="0" collapsed="false">
      <c r="A33" s="0" t="s">
        <v>132</v>
      </c>
      <c r="B33" s="0" t="n">
        <f aca="false">B31*B29</f>
        <v>7414209.49950924</v>
      </c>
    </row>
    <row r="34" customFormat="false" ht="15" hidden="false" customHeight="false" outlineLevel="0" collapsed="false">
      <c r="A34" s="0" t="s">
        <v>133</v>
      </c>
      <c r="B34" s="0" t="n">
        <f aca="false">MAX(0,MIN(B32,B33))</f>
        <v>7414209.49950924</v>
      </c>
    </row>
    <row r="35" customFormat="false" ht="15" hidden="false" customHeight="false" outlineLevel="0" collapsed="false">
      <c r="A35" s="0" t="s">
        <v>134</v>
      </c>
      <c r="B35" s="0" t="n">
        <f aca="false">B34/(1+B27/100)^L4</f>
        <v>3434213.55946829</v>
      </c>
    </row>
    <row r="36" customFormat="false" ht="15" hidden="false" customHeight="false" outlineLevel="0" collapsed="false">
      <c r="A36" s="0" t="s">
        <v>135</v>
      </c>
      <c r="B36" s="0" t="n">
        <f aca="false">B30+B35</f>
        <v>6217249.13032599</v>
      </c>
    </row>
    <row r="37" customFormat="false" ht="15" hidden="false" customHeight="false" outlineLevel="0" collapsed="false">
      <c r="A37" s="0" t="s">
        <v>136</v>
      </c>
      <c r="B37" s="0" t="n">
        <f aca="false">B36+Assumptions!$B$5-Assumptions!$B$4</f>
        <v>9116729.13032599</v>
      </c>
    </row>
    <row r="38" customFormat="false" ht="15" hidden="false" customHeight="false" outlineLevel="0" collapsed="false">
      <c r="A38" s="0" t="s">
        <v>137</v>
      </c>
      <c r="B38" s="0" t="n">
        <f aca="false">B37/Assumptions!$B$3*Assumptions!$B$10</f>
        <v>12.5264774012095</v>
      </c>
    </row>
    <row r="39" customFormat="false" ht="15" hidden="false" customHeight="false" outlineLevel="0" collapsed="false">
      <c r="A39" s="0" t="s">
        <v>138</v>
      </c>
      <c r="B39" s="4" t="n">
        <f aca="false">B38/Assumptions!$B$2-1</f>
        <v>0.00695155958275828</v>
      </c>
    </row>
    <row r="41" customFormat="false" ht="15" hidden="false" customHeight="false" outlineLevel="0" collapsed="false">
      <c r="A41" s="0" t="s">
        <v>139</v>
      </c>
      <c r="B41" s="0" t="n">
        <f aca="false">SUMPRODUCT(-C10:L10/(1+$B$27/100)^C4:L4)</f>
        <v>0</v>
      </c>
    </row>
    <row r="42" customFormat="false" ht="15" hidden="false" customHeight="false" outlineLevel="0" collapsed="false">
      <c r="A42" s="0" t="s">
        <v>140</v>
      </c>
      <c r="B42" s="0" t="n">
        <f aca="false">IF(B27&gt;B28,-L10*(1+B28/100)/((B27-B28)/100),-L10*20)/(1+B27/100)^L4</f>
        <v>0</v>
      </c>
    </row>
    <row r="43" customFormat="false" ht="15" hidden="false" customHeight="false" outlineLevel="0" collapsed="false">
      <c r="A43" s="0" t="s">
        <v>141</v>
      </c>
      <c r="B43" s="0" t="n">
        <f aca="false">(B37+B41+B42)/Assumptions!$B$3*Assumptions!$B$10</f>
        <v>12.5264774012095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3716258.09481574</v>
      </c>
    </row>
    <row r="47" customFormat="false" ht="15" hidden="false" customHeight="false" outlineLevel="0" collapsed="false">
      <c r="A47" s="0" t="s">
        <v>143</v>
      </c>
      <c r="B47" s="0" t="n">
        <f aca="false">(SUMPRODUCT(C19:L19/(1+B45/100)^C4:L4)+B46/(1+B45/100)^L4+Assumptions!$B$5-Assumptions!$B$4)/Assumptions!$B$3*Assumptions!$B$10</f>
        <v>8.05209187643405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7.39701091061929</v>
      </c>
      <c r="C4" s="0" t="n">
        <f aca="false">B4/Assumptions!$B$2-1</f>
        <v>-0.405384975030604</v>
      </c>
      <c r="D4" s="4" t="n">
        <f aca="false">Assumptions!$B$24</f>
        <v>0.25</v>
      </c>
      <c r="E4" s="4" t="n">
        <f aca="false">DCF_Bear!$B$43</f>
        <v>7.39701091061929</v>
      </c>
      <c r="F4" s="4" t="n">
        <f aca="false">DCF_Bear!$B$47</f>
        <v>5.80742786805299</v>
      </c>
    </row>
    <row r="5" customFormat="false" ht="15" hidden="false" customHeight="false" outlineLevel="0" collapsed="false">
      <c r="A5" s="0" t="s">
        <v>152</v>
      </c>
      <c r="B5" s="4" t="n">
        <f aca="false">DCF_Base!$B$38</f>
        <v>9.97979494364765</v>
      </c>
      <c r="C5" s="0" t="n">
        <f aca="false">B5/Assumptions!$B$2-1</f>
        <v>-0.197765679771089</v>
      </c>
      <c r="D5" s="4" t="n">
        <f aca="false">Assumptions!$B$38</f>
        <v>0.5</v>
      </c>
      <c r="E5" s="4" t="n">
        <f aca="false">DCF_Base!$B$43</f>
        <v>9.97979494364765</v>
      </c>
      <c r="F5" s="4" t="n">
        <f aca="false">DCF_Base!$B$47</f>
        <v>6.95647538480035</v>
      </c>
    </row>
    <row r="6" customFormat="false" ht="15" hidden="false" customHeight="false" outlineLevel="0" collapsed="false">
      <c r="A6" s="0" t="s">
        <v>153</v>
      </c>
      <c r="B6" s="4" t="n">
        <f aca="false">DCF_Bull!$B$38</f>
        <v>12.5264774012095</v>
      </c>
      <c r="C6" s="0" t="n">
        <f aca="false">B6/Assumptions!$B$2-1</f>
        <v>0.00695155958275828</v>
      </c>
      <c r="D6" s="4" t="n">
        <f aca="false">Assumptions!$B$52</f>
        <v>0.25</v>
      </c>
      <c r="E6" s="4" t="n">
        <f aca="false">DCF_Bull!$B$43</f>
        <v>12.5264774012095</v>
      </c>
      <c r="F6" s="4" t="n">
        <f aca="false">DCF_Bull!$B$47</f>
        <v>8.05209187643405</v>
      </c>
    </row>
    <row r="8" customFormat="false" ht="15" hidden="false" customHeight="false" outlineLevel="0" collapsed="false">
      <c r="A8" s="0" t="s">
        <v>154</v>
      </c>
      <c r="B8" s="0" t="n">
        <f aca="false">SUMPRODUCT(B4:B6,D4:D6)</f>
        <v>9.97076954978103</v>
      </c>
    </row>
    <row r="9" customFormat="false" ht="15" hidden="false" customHeight="false" outlineLevel="0" collapsed="false">
      <c r="A9" s="0" t="s">
        <v>155</v>
      </c>
      <c r="B9" s="0" t="n">
        <f aca="false">SUMPRODUCT(E4:E6,D4:D6)</f>
        <v>9.97076954978103</v>
      </c>
    </row>
    <row r="10" customFormat="false" ht="15" hidden="false" customHeight="false" outlineLevel="0" collapsed="false">
      <c r="A10" s="0" t="s">
        <v>156</v>
      </c>
      <c r="B10" s="0" t="n">
        <f aca="false">1-Assumptions!$B$2/B8</f>
        <v>-0.247646928142392</v>
      </c>
    </row>
    <row r="11" customFormat="false" ht="15" hidden="false" customHeight="false" outlineLevel="0" collapsed="false">
      <c r="A11" s="0" t="s">
        <v>157</v>
      </c>
      <c r="B11" s="0" t="str">
        <f aca="false">IF(ABS(B9-B8)&gt;0.01*ABS(B8),(Assumptions!$B$2-B8)/(B9-B8)*100,"n/a")</f>
        <v>n/a</v>
      </c>
    </row>
    <row r="12" customFormat="false" ht="15" hidden="false" customHeight="false" outlineLevel="0" collapsed="false">
      <c r="A12" s="0" t="s">
        <v>158</v>
      </c>
      <c r="B12" s="0" t="n">
        <f aca="false">SUMPRODUCT(F4:F6,D4:D6)</f>
        <v>6.94311762852193</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9.97979494364765</v>
      </c>
      <c r="C15" s="3" t="n">
        <v>8</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9.29750021301467</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8.67716100671038</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8.18773053176791</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7.79174956583158</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6.95647538480035</v>
      </c>
      <c r="C20" s="3" t="n">
        <v>15</v>
      </c>
    </row>
    <row r="22" customFormat="false" ht="15" hidden="false" customHeight="false" outlineLevel="0" collapsed="false">
      <c r="A22" s="2" t="s">
        <v>167</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10.9018878724542</v>
      </c>
      <c r="C24" s="0" t="n">
        <f aca="false">(SUMPRODUCT(DCF_Base!$C$19:$L$19/(1+$A$24/100)^DCF_Base!$C$4:$L$4)+MAX(0,MIN(IF($A$24&gt;$C$23,DCF_Base!$L$19*(1+$C$23/100)/(($A$24-$C$23)/100),DCF_Base!$L$19*DCF_Base!$B$29),DCF_Base!$L$19*DCF_Base!$B$29))/(1+$A$24/100)^DCF_Base!$L$4+Assumptions!$B$5-Assumptions!$B$4)/Assumptions!$B$3*Assumptions!$B$10</f>
        <v>10.9018878724542</v>
      </c>
      <c r="D24" s="0" t="n">
        <f aca="false">(SUMPRODUCT(DCF_Base!$C$19:$L$19/(1+$A$24/100)^DCF_Base!$C$4:$L$4)+MAX(0,MIN(IF($A$24&gt;$D$23,DCF_Base!$L$19*(1+$D$23/100)/(($A$24-$D$23)/100),DCF_Base!$L$19*DCF_Base!$B$29),DCF_Base!$L$19*DCF_Base!$B$29))/(1+$A$24/100)^DCF_Base!$L$4+Assumptions!$B$5-Assumptions!$B$4)/Assumptions!$B$3*Assumptions!$B$10</f>
        <v>10.9018878724542</v>
      </c>
      <c r="E24" s="0" t="n">
        <f aca="false">(SUMPRODUCT(DCF_Base!$C$19:$L$19/(1+$A$24/100)^DCF_Base!$C$4:$L$4)+MAX(0,MIN(IF($A$24&gt;$E$23,DCF_Base!$L$19*(1+$E$23/100)/(($A$24-$E$23)/100),DCF_Base!$L$19*DCF_Base!$B$29),DCF_Base!$L$19*DCF_Base!$B$29))/(1+$A$24/100)^DCF_Base!$L$4+Assumptions!$B$5-Assumptions!$B$4)/Assumptions!$B$3*Assumptions!$B$10</f>
        <v>10.9018878724542</v>
      </c>
      <c r="F24" s="0" t="n">
        <f aca="false">(SUMPRODUCT(DCF_Base!$C$19:$L$19/(1+$A$24/100)^DCF_Base!$C$4:$L$4)+MAX(0,MIN(IF($A$24&gt;$F$23,DCF_Base!$L$19*(1+$F$23/100)/(($A$24-$F$23)/100),DCF_Base!$L$19*DCF_Base!$B$29),DCF_Base!$L$19*DCF_Base!$B$29))/(1+$A$24/100)^DCF_Base!$L$4+Assumptions!$B$5-Assumptions!$B$4)/Assumptions!$B$3*Assumptions!$B$10</f>
        <v>10.9018878724542</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10.4193396548169</v>
      </c>
      <c r="C25" s="0" t="n">
        <f aca="false">(SUMPRODUCT(DCF_Base!$C$19:$L$19/(1+$A$25/100)^DCF_Base!$C$4:$L$4)+MAX(0,MIN(IF($A$25&gt;$C$23,DCF_Base!$L$19*(1+$C$23/100)/(($A$25-$C$23)/100),DCF_Base!$L$19*DCF_Base!$B$29),DCF_Base!$L$19*DCF_Base!$B$29))/(1+$A$25/100)^DCF_Base!$L$4+Assumptions!$B$5-Assumptions!$B$4)/Assumptions!$B$3*Assumptions!$B$10</f>
        <v>10.4193396548169</v>
      </c>
      <c r="D25" s="0" t="n">
        <f aca="false">(SUMPRODUCT(DCF_Base!$C$19:$L$19/(1+$A$25/100)^DCF_Base!$C$4:$L$4)+MAX(0,MIN(IF($A$25&gt;$D$23,DCF_Base!$L$19*(1+$D$23/100)/(($A$25-$D$23)/100),DCF_Base!$L$19*DCF_Base!$B$29),DCF_Base!$L$19*DCF_Base!$B$29))/(1+$A$25/100)^DCF_Base!$L$4+Assumptions!$B$5-Assumptions!$B$4)/Assumptions!$B$3*Assumptions!$B$10</f>
        <v>10.4193396548169</v>
      </c>
      <c r="E25" s="0" t="n">
        <f aca="false">(SUMPRODUCT(DCF_Base!$C$19:$L$19/(1+$A$25/100)^DCF_Base!$C$4:$L$4)+MAX(0,MIN(IF($A$25&gt;$E$23,DCF_Base!$L$19*(1+$E$23/100)/(($A$25-$E$23)/100),DCF_Base!$L$19*DCF_Base!$B$29),DCF_Base!$L$19*DCF_Base!$B$29))/(1+$A$25/100)^DCF_Base!$L$4+Assumptions!$B$5-Assumptions!$B$4)/Assumptions!$B$3*Assumptions!$B$10</f>
        <v>10.4193396548169</v>
      </c>
      <c r="F25" s="0" t="n">
        <f aca="false">(SUMPRODUCT(DCF_Base!$C$19:$L$19/(1+$A$25/100)^DCF_Base!$C$4:$L$4)+MAX(0,MIN(IF($A$25&gt;$F$23,DCF_Base!$L$19*(1+$F$23/100)/(($A$25-$F$23)/100),DCF_Base!$L$19*DCF_Base!$B$29),DCF_Base!$L$19*DCF_Base!$B$29))/(1+$A$25/100)^DCF_Base!$L$4+Assumptions!$B$5-Assumptions!$B$4)/Assumptions!$B$3*Assumptions!$B$10</f>
        <v>10.4193396548169</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9.64315443037955</v>
      </c>
      <c r="C26" s="0" t="n">
        <f aca="false">(SUMPRODUCT(DCF_Base!$C$19:$L$19/(1+$A$26/100)^DCF_Base!$C$4:$L$4)+MAX(0,MIN(IF($A$26&gt;$C$23,DCF_Base!$L$19*(1+$C$23/100)/(($A$26-$C$23)/100),DCF_Base!$L$19*DCF_Base!$B$29),DCF_Base!$L$19*DCF_Base!$B$29))/(1+$A$26/100)^DCF_Base!$L$4+Assumptions!$B$5-Assumptions!$B$4)/Assumptions!$B$3*Assumptions!$B$10</f>
        <v>9.85956618890904</v>
      </c>
      <c r="D26" s="0" t="n">
        <f aca="false">(SUMPRODUCT(DCF_Base!$C$19:$L$19/(1+$A$26/100)^DCF_Base!$C$4:$L$4)+MAX(0,MIN(IF($A$26&gt;$D$23,DCF_Base!$L$19*(1+$D$23/100)/(($A$26-$D$23)/100),DCF_Base!$L$19*DCF_Base!$B$29),DCF_Base!$L$19*DCF_Base!$B$29))/(1+$A$26/100)^DCF_Base!$L$4+Assumptions!$B$5-Assumptions!$B$4)/Assumptions!$B$3*Assumptions!$B$10</f>
        <v>9.97979494364765</v>
      </c>
      <c r="E26" s="0" t="n">
        <f aca="false">(SUMPRODUCT(DCF_Base!$C$19:$L$19/(1+$A$26/100)^DCF_Base!$C$4:$L$4)+MAX(0,MIN(IF($A$26&gt;$E$23,DCF_Base!$L$19*(1+$E$23/100)/(($A$26-$E$23)/100),DCF_Base!$L$19*DCF_Base!$B$29),DCF_Base!$L$19*DCF_Base!$B$29))/(1+$A$26/100)^DCF_Base!$L$4+Assumptions!$B$5-Assumptions!$B$4)/Assumptions!$B$3*Assumptions!$B$10</f>
        <v>9.97979494364765</v>
      </c>
      <c r="F26" s="0" t="n">
        <f aca="false">(SUMPRODUCT(DCF_Base!$C$19:$L$19/(1+$A$26/100)^DCF_Base!$C$4:$L$4)+MAX(0,MIN(IF($A$26&gt;$F$23,DCF_Base!$L$19*(1+$F$23/100)/(($A$26-$F$23)/100),DCF_Base!$L$19*DCF_Base!$B$29),DCF_Base!$L$19*DCF_Base!$B$29))/(1+$A$26/100)^DCF_Base!$L$4+Assumptions!$B$5-Assumptions!$B$4)/Assumptions!$B$3*Assumptions!$B$10</f>
        <v>9.97979494364765</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8.96943114721411</v>
      </c>
      <c r="C27" s="0" t="n">
        <f aca="false">(SUMPRODUCT(DCF_Base!$C$19:$L$19/(1+$A$27/100)^DCF_Base!$C$4:$L$4)+MAX(0,MIN(IF($A$27&gt;$C$23,DCF_Base!$L$19*(1+$C$23/100)/(($A$27-$C$23)/100),DCF_Base!$L$19*DCF_Base!$B$29),DCF_Base!$L$19*DCF_Base!$B$29))/(1+$A$27/100)^DCF_Base!$L$4+Assumptions!$B$5-Assumptions!$B$4)/Assumptions!$B$3*Assumptions!$B$10</f>
        <v>9.12321352180812</v>
      </c>
      <c r="D27" s="0" t="n">
        <f aca="false">(SUMPRODUCT(DCF_Base!$C$19:$L$19/(1+$A$27/100)^DCF_Base!$C$4:$L$4)+MAX(0,MIN(IF($A$27&gt;$D$23,DCF_Base!$L$19*(1+$D$23/100)/(($A$27-$D$23)/100),DCF_Base!$L$19*DCF_Base!$B$29),DCF_Base!$L$19*DCF_Base!$B$29))/(1+$A$27/100)^DCF_Base!$L$4+Assumptions!$B$5-Assumptions!$B$4)/Assumptions!$B$3*Assumptions!$B$10</f>
        <v>9.29750021301467</v>
      </c>
      <c r="E27" s="0" t="n">
        <f aca="false">(SUMPRODUCT(DCF_Base!$C$19:$L$19/(1+$A$27/100)^DCF_Base!$C$4:$L$4)+MAX(0,MIN(IF($A$27&gt;$E$23,DCF_Base!$L$19*(1+$E$23/100)/(($A$27-$E$23)/100),DCF_Base!$L$19*DCF_Base!$B$29),DCF_Base!$L$19*DCF_Base!$B$29))/(1+$A$27/100)^DCF_Base!$L$4+Assumptions!$B$5-Assumptions!$B$4)/Assumptions!$B$3*Assumptions!$B$10</f>
        <v>9.496685002965</v>
      </c>
      <c r="F27" s="0" t="n">
        <f aca="false">(SUMPRODUCT(DCF_Base!$C$19:$L$19/(1+$A$27/100)^DCF_Base!$C$4:$L$4)+MAX(0,MIN(IF($A$27&gt;$F$23,DCF_Base!$L$19*(1+$F$23/100)/(($A$27-$F$23)/100),DCF_Base!$L$19*DCF_Base!$B$29),DCF_Base!$L$19*DCF_Base!$B$29))/(1+$A$27/100)^DCF_Base!$L$4+Assumptions!$B$5-Assumptions!$B$4)/Assumptions!$B$3*Assumptions!$B$10</f>
        <v>9.57891725569679</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8.4385957174108</v>
      </c>
      <c r="C28" s="0" t="n">
        <f aca="false">(SUMPRODUCT(DCF_Base!$C$19:$L$19/(1+$A$28/100)^DCF_Base!$C$4:$L$4)+MAX(0,MIN(IF($A$28&gt;$C$23,DCF_Base!$L$19*(1+$C$23/100)/(($A$28-$C$23)/100),DCF_Base!$L$19*DCF_Base!$B$29),DCF_Base!$L$19*DCF_Base!$B$29))/(1+$A$28/100)^DCF_Base!$L$4+Assumptions!$B$5-Assumptions!$B$4)/Assumptions!$B$3*Assumptions!$B$10</f>
        <v>8.55125154846894</v>
      </c>
      <c r="D28" s="0" t="n">
        <f aca="false">(SUMPRODUCT(DCF_Base!$C$19:$L$19/(1+$A$28/100)^DCF_Base!$C$4:$L$4)+MAX(0,MIN(IF($A$28&gt;$D$23,DCF_Base!$L$19*(1+$D$23/100)/(($A$28-$D$23)/100),DCF_Base!$L$19*DCF_Base!$B$29),DCF_Base!$L$19*DCF_Base!$B$29))/(1+$A$28/100)^DCF_Base!$L$4+Assumptions!$B$5-Assumptions!$B$4)/Assumptions!$B$3*Assumptions!$B$10</f>
        <v>8.67716100671038</v>
      </c>
      <c r="E28" s="0" t="n">
        <f aca="false">(SUMPRODUCT(DCF_Base!$C$19:$L$19/(1+$A$28/100)^DCF_Base!$C$4:$L$4)+MAX(0,MIN(IF($A$28&gt;$E$23,DCF_Base!$L$19*(1+$E$23/100)/(($A$28-$E$23)/100),DCF_Base!$L$19*DCF_Base!$B$29),DCF_Base!$L$19*DCF_Base!$B$29))/(1+$A$28/100)^DCF_Base!$L$4+Assumptions!$B$5-Assumptions!$B$4)/Assumptions!$B$3*Assumptions!$B$10</f>
        <v>8.818809147232</v>
      </c>
      <c r="F28" s="0" t="n">
        <f aca="false">(SUMPRODUCT(DCF_Base!$C$19:$L$19/(1+$A$28/100)^DCF_Base!$C$4:$L$4)+MAX(0,MIN(IF($A$28&gt;$F$23,DCF_Base!$L$19*(1+$F$23/100)/(($A$28-$F$23)/100),DCF_Base!$L$19*DCF_Base!$B$29),DCF_Base!$L$19*DCF_Base!$B$29))/(1+$A$28/100)^DCF_Base!$L$4+Assumptions!$B$5-Assumptions!$B$4)/Assumptions!$B$3*Assumptions!$B$10</f>
        <v>8.97934370648984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2026-10-03T23:45:03Z</dcterms:created>
  <dc:creator>openpyxl</dc:creator>
  <dc:description/>
  <dc:language>en-NZ</dc:language>
  <cp:lastModifiedBy/>
  <dcterms:modified xsi:type="dcterms:W3CDTF">2026-10-03T23:45:03Z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