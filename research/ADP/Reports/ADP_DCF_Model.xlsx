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<sst xmlns="http://schemas.openxmlformats.org/spreadsheetml/2006/main" count="390" uniqueCount="175">
  <si>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</si>
  <si>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ADP</t>
  </si>
  <si>
    <t xml:space="preserve">Company</t>
  </si>
  <si>
    <t xml:space="preserve">Automatic Data Processing,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</si>
  <si>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</si>
  <si>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</si>
  <si>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</si>
  <si>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</si>
  <si>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2026-09-24T20:00:01Z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</si>
  <si>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</si>
  <si>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</si>
  <si>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</si>
  <si>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</si>
  <si>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</si>
  <si>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</si>
  <si>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</si>
  <si>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</si>
  <si>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</si>
  <si>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</si>
  <si>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</si>
  <si>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</si>
  <si>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2026-09-25T06:58:39Z</t>
  </si>
  <si>
    <t xml:space="preserve">Drivers file</t>
  </si>
  <si>
    <t xml:space="preserve">ADP_Drivers.json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</si>
  <si>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</si>
  <si>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</si>
  <si>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</si>
  <si>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ADP is valued as a mature, highly recurring, capital-light services compounder with an unusual (for a services company) interest-rate-sensitive revenue stream layered on top of the core payroll/HCM business. The valuation is built on owner FCF (SBC and corporate interest income stripped, share count held flat since buybacks are the funding mechanism for that flat count) over a 10-year horizon because margins are still on a genuine, management-guided upward path rather than already mature. Client funds interest revenue is treated as ordinary, already-embedded revenue -- not modeled as a bank's net interest margin -- because ADP does not take credit risk on the funds; the float asset and obligation net to zero in net debt.
key_risks_to_valuation: Client funds interest revenue reversal if the Fed cuts rates faster/further than guided -- this is the single largest swing factor between scenarios; Competitive share loss to Paychex-Paycor (larger combined scale), Rippling, Dayforce and Paylocity in the mid-market; Multi-year Lyric HCM platform migration execution risk for large enterprise clients; Cybersecurity/data-breach exposure given the sensitive payroll and personal data ADP holds for tens of millions of workers; US employment levels and small-business formation rates drive the underlying payroll/PEO volume the model assumes keeps growing</t>
  </si>
  <si>
    <t xml:space="preserve">Data sources</t>
  </si>
  <si>
    <t xml:space="preserve">price: Yahoo Finance chart API at inputs.price_as_of; 52-week range 188.16-294.35
financials: SEC XBRL companyfacts API, CIK0000008670 (us-gaap: Revenues, CostsAndExpenses, NetCashProvidedByUsedInOperatingActivities, PaymentsToAcquireOtherPropertyPlantAndEquipment, PaymentsToAcquireIntangibleAssets, PaymentsToAcquireBusinessesNetOfCashAcquired, ShareBasedCompensation, InvestmentIncomeInterest, EffectiveIncomeTaxRateContinuingOperations, CashAndCashEquivalentsAtCarryingValue, LongTermDebtNoncurrent, DebtCurrent, WeightedAverageNumberOfDilutedSharesOutstanding, PaymentsForRepurchaseOfCommonStock, FundsHeldForClients); cross-checked against ./research/ADP/Reports/ADP_Metrics.csv and ADP.duckdb core_metrics/kpis where overlapping (all matched)
qualitative: ./research/ADP/Reports/ADP_Analysis.json (2026-09-25), including FY2027 guidance issued 2026-07-29 with Q4/FY2026 results</t>
  </si>
  <si>
    <t xml:space="preserve">Scenario narrative: bear</t>
  </si>
  <si>
    <t xml:space="preserve">A faster/deeper Fed rate-cutting cycle reverses the client funds interest revenue tailwind while competitive and platform-migration pressure slows bookings and compresses margin before AI efficiency can offset it.</t>
  </si>
  <si>
    <t xml:space="preserve">Scenario narrative: base</t>
  </si>
  <si>
    <t xml:space="preserve">FY2027 guidance (5-6% revenue, +70-90bps EBIT margin, 9-11% EPS growth) decelerating gradually to a mature ~3.5-4%; margin ramps to ~29.5% on AI efficiency, Lyric HCM scale, and a growing high-margin client-funds interest revenue mix.</t>
  </si>
  <si>
    <t xml:space="preserve">Scenario narrative: bull</t>
  </si>
  <si>
    <t xml:space="preserve">AI-driven efficiency and Lyric HCM enterprise wins sustain above-guidance growth; client funds interest revenue outgrows the 3.7% yield guide; retention holds despite Paychex-Paycor and cloud-native competition.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</si>
  <si>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</si>
  <si>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</si>
  <si>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</si>
  <si>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</si>
  <si>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</si>
  <si>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</si>
  <si>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</si>
  <si>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</si>
  <si>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</si>
  <si>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</si>
  <si>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</si>
  <si>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</si>
  <si>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</si>
  <si>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</si>
  <si>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</si>
  <si>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</si>
  <si>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</si>
  <si>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</si>
  <si>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</si>
  <si>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</si>
  <si>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</si>
  <si>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</si>
  <si>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</si>
  <si>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</si>
  <si>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</si>
  <si>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</si>
  <si>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</si>
  <si>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</si>
  <si>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</si>
  <si>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</si>
  <si>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</si>
  <si>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</si>
  <si>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</si>
  <si>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</si>
  <si>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</si>
  <si>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</si>
  <si>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</si>
  <si>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</si>
  <si>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</si>
  <si>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</si>
  <si>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</si>
  <si>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</si>
  <si>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</si>
  <si>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</si>
  <si>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</si>
  <si>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</si>
  <si>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</si>
  <si>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</si>
  <si>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</si>
  <si>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</si>
  <si>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</si>
  <si>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</si>
  <si>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</si>
  <si>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</si>
  <si>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</si>
  <si>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</si>
  <si>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</si>
  <si>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</si>
  <si>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</si>
  <si>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</si>
  <si>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</si>
  <si>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</si>
  <si>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</si>
  <si>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</si>
  <si>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</si>
  <si>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</si>
  <si>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</si>
  <si>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</si>
  <si>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</si>
  <si>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</si>
  <si>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</si>
  <si>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</si>
  <si>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</si>
  <si>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</si>
  <si>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</si>
  <si>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</si>
  <si>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</si>
  <si>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</si>
  <si>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</si>
  <si>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</si>
  <si>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</si>
  <si>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</si>
  <si>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</si>
  <si>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</si>
  <si>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ADP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</si>
  <si>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</si>
  <si>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</si>
  <si>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</si>
  <si>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</si>
  <si>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</si>
  <si>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</si>
  <si>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</si>
  <si>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</si>
  <si>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</si>
  <si>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</si>
  <si>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</si>
  <si>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</si>
  <si>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</si>
  <si>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</si>
  <si>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</si>
  <si>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</si>
  <si>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</si>
  <si>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</si>
  <si>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</si>
  <si>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</si>
  <si>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</si>
  <si>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</si>
  <si>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</si>
  <si>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</si>
  <si>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</si>
  <si>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</si>
  <si>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</si>
  <si>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</si>
  <si>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</si>
  <si>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</si>
  <si>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ADP owner-FCF component DCF: base case (millions, USD)</t>
  </si>
  <si>
    <t xml:space="preserve">ADP owner-FCF component DCF: bull case (millions, USD)</t>
  </si>
  <si>
    <t xml:space="preserve">ADP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</si>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</sst>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263.11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1746.1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8733.7</v>
      </c>
      <c r="I3" s="0" t="n">
        <v>1235.7</v>
      </c>
      <c r="J3" s="0" t="n">
        <v>14.1486426142414</v>
      </c>
      <c r="K3" s="0" t="n">
        <v>2.34</v>
      </c>
      <c r="L3" s="0" t="n">
        <v>1772.2</v>
      </c>
      <c r="P3" s="0" t="n">
        <v>23734.4</v>
      </c>
      <c r="S3" s="0" t="n">
        <v>917.5</v>
      </c>
      <c r="T3" s="0" t="n">
        <v>527.2</v>
      </c>
      <c r="U3" s="0" t="n">
        <v>123.6</v>
      </c>
      <c r="V3" s="0" t="n">
        <v>1.1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8838.4</v>
      </c>
      <c r="I4" s="0" t="n">
        <v>1332.6</v>
      </c>
      <c r="J4" s="0" t="n">
        <v>15.0773895727734</v>
      </c>
      <c r="K4" s="0" t="n">
        <v>2.63</v>
      </c>
      <c r="L4" s="0" t="n">
        <v>1562.6</v>
      </c>
      <c r="O4" s="0" t="n">
        <v>5322.6</v>
      </c>
      <c r="P4" s="0" t="n">
        <v>25351.7</v>
      </c>
      <c r="Q4" s="0" t="n">
        <v>20029.1</v>
      </c>
      <c r="R4" s="0" t="n">
        <v>42.7</v>
      </c>
      <c r="S4" s="0" t="n">
        <v>2265.3</v>
      </c>
      <c r="T4" s="0" t="n">
        <v>505.8</v>
      </c>
      <c r="U4" s="0" t="n">
        <v>96</v>
      </c>
      <c r="V4" s="0" t="n">
        <v>1.28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8927.7</v>
      </c>
      <c r="I5" s="0" t="n">
        <v>1211.4</v>
      </c>
      <c r="J5" s="0" t="n">
        <v>13.5690043348231</v>
      </c>
      <c r="K5" s="0" t="n">
        <v>2.4</v>
      </c>
      <c r="L5" s="0" t="n">
        <v>1682.1</v>
      </c>
      <c r="O5" s="0" t="n">
        <v>5478.9</v>
      </c>
      <c r="P5" s="0" t="n">
        <v>26862.2</v>
      </c>
      <c r="Q5" s="0" t="n">
        <v>21383.3</v>
      </c>
      <c r="R5" s="0" t="n">
        <v>39.8</v>
      </c>
      <c r="S5" s="0" t="n">
        <v>1643.3</v>
      </c>
      <c r="T5" s="0" t="n">
        <v>503.7</v>
      </c>
      <c r="U5" s="0" t="n">
        <v>67.6</v>
      </c>
      <c r="V5" s="0" t="n">
        <v>1.35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9833</v>
      </c>
      <c r="I6" s="0" t="n">
        <v>1254.2</v>
      </c>
      <c r="J6" s="0" t="n">
        <v>12.7550086443608</v>
      </c>
      <c r="K6" s="0" t="n">
        <v>2.52</v>
      </c>
      <c r="L6" s="0" t="n">
        <v>1705.8</v>
      </c>
      <c r="O6" s="0" t="n">
        <v>6010.4</v>
      </c>
      <c r="P6" s="0" t="n">
        <v>34112.3</v>
      </c>
      <c r="Q6" s="0" t="n">
        <v>28227.9</v>
      </c>
      <c r="R6" s="0" t="n">
        <v>34.2</v>
      </c>
      <c r="S6" s="0" t="n">
        <v>1389.4</v>
      </c>
      <c r="T6" s="0" t="n">
        <v>498.3</v>
      </c>
      <c r="U6" s="0" t="n">
        <v>90.3</v>
      </c>
      <c r="V6" s="0" t="n">
        <v>1.42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10595.4</v>
      </c>
      <c r="I7" s="0" t="n">
        <v>1388.5</v>
      </c>
      <c r="J7" s="0" t="n">
        <v>13.1047435679635</v>
      </c>
      <c r="K7" s="0" t="n">
        <v>2.82</v>
      </c>
      <c r="L7" s="0" t="n">
        <v>1910.2</v>
      </c>
      <c r="O7" s="0" t="n">
        <v>6114</v>
      </c>
      <c r="P7" s="0" t="n">
        <v>30817.4</v>
      </c>
      <c r="Q7" s="0" t="n">
        <v>24703.4</v>
      </c>
      <c r="S7" s="0" t="n">
        <v>1548.1</v>
      </c>
      <c r="T7" s="0" t="n">
        <v>492.2</v>
      </c>
      <c r="U7" s="0" t="n">
        <v>94.1</v>
      </c>
      <c r="V7" s="0" t="n">
        <v>1.55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9442</v>
      </c>
      <c r="I8" s="0" t="n">
        <v>1405.8</v>
      </c>
      <c r="J8" s="0" t="n">
        <v>14.8887947468757</v>
      </c>
      <c r="K8" s="0" t="n">
        <v>2.89</v>
      </c>
      <c r="L8" s="0" t="n">
        <v>1577.2</v>
      </c>
      <c r="O8" s="0" t="n">
        <v>6189.9</v>
      </c>
      <c r="P8" s="0" t="n">
        <v>32268.1</v>
      </c>
      <c r="Q8" s="0" t="n">
        <v>26078.2</v>
      </c>
      <c r="S8" s="0" t="n">
        <v>1404.2</v>
      </c>
      <c r="T8" s="0" t="n">
        <v>487.1</v>
      </c>
      <c r="U8" s="0" t="n">
        <v>82</v>
      </c>
      <c r="V8" s="0" t="n">
        <v>1.7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10226.4</v>
      </c>
      <c r="I9" s="0" t="n">
        <v>1515.9</v>
      </c>
      <c r="J9" s="0" t="n">
        <v>14.8233982633185</v>
      </c>
      <c r="K9" s="0" t="n">
        <v>3.14</v>
      </c>
      <c r="L9" s="0" t="n">
        <v>1821.4</v>
      </c>
      <c r="O9" s="0" t="n">
        <v>6670.2</v>
      </c>
      <c r="P9" s="0" t="n">
        <v>32059.8</v>
      </c>
      <c r="Q9" s="0" t="n">
        <v>25389.6</v>
      </c>
      <c r="S9" s="0" t="n">
        <v>1983.6</v>
      </c>
      <c r="T9" s="0" t="n">
        <v>483.1</v>
      </c>
      <c r="U9" s="0" t="n">
        <v>117.1</v>
      </c>
      <c r="V9" s="0" t="n">
        <v>1.88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10938.5</v>
      </c>
      <c r="I10" s="0" t="n">
        <v>1452.5</v>
      </c>
      <c r="J10" s="0" t="n">
        <v>13.2787859395712</v>
      </c>
      <c r="K10" s="0" t="n">
        <v>3.05</v>
      </c>
      <c r="L10" s="0" t="n">
        <v>1974</v>
      </c>
      <c r="O10" s="0" t="n">
        <v>4808.5</v>
      </c>
      <c r="P10" s="0" t="n">
        <v>33110.5</v>
      </c>
      <c r="Q10" s="0" t="n">
        <v>28302</v>
      </c>
      <c r="R10" s="0" t="n">
        <v>9.2</v>
      </c>
      <c r="S10" s="0" t="n">
        <v>1639.3</v>
      </c>
      <c r="T10" s="0" t="n">
        <v>475.8</v>
      </c>
      <c r="U10" s="0" t="n">
        <v>143.2</v>
      </c>
      <c r="V10" s="0" t="n">
        <v>1.95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11667.8</v>
      </c>
      <c r="I11" s="0" t="n">
        <v>1492.5</v>
      </c>
      <c r="J11" s="0" t="n">
        <v>12.7916145288743</v>
      </c>
      <c r="K11" s="0" t="n">
        <v>3.25</v>
      </c>
      <c r="L11" s="0" t="n">
        <v>1897.3</v>
      </c>
      <c r="O11" s="0" t="n">
        <v>4481.6</v>
      </c>
      <c r="P11" s="0" t="n">
        <v>43670</v>
      </c>
      <c r="Q11" s="0" t="n">
        <v>39188.4</v>
      </c>
      <c r="R11" s="0" t="n">
        <v>2010.2</v>
      </c>
      <c r="S11" s="0" t="n">
        <v>3191.1</v>
      </c>
      <c r="T11" s="0" t="n">
        <v>459.1</v>
      </c>
      <c r="U11" s="0" t="n">
        <v>137.6</v>
      </c>
      <c r="V11" s="0" t="n">
        <v>2.08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12372</v>
      </c>
      <c r="C12" s="0" t="n">
        <v>7244.5</v>
      </c>
      <c r="I12" s="0" t="n">
        <v>1787.8</v>
      </c>
      <c r="J12" s="0" t="n">
        <v>14.4503718073068</v>
      </c>
      <c r="K12" s="0" t="n">
        <v>3.97</v>
      </c>
      <c r="L12" s="0" t="n">
        <v>2125.9</v>
      </c>
      <c r="O12" s="0" t="n">
        <v>3977</v>
      </c>
      <c r="P12" s="0" t="n">
        <v>38886.9</v>
      </c>
      <c r="Q12" s="0" t="n">
        <v>33203</v>
      </c>
      <c r="R12" s="0" t="n">
        <v>2010.2</v>
      </c>
      <c r="S12" s="0" t="n">
        <v>2780.4</v>
      </c>
      <c r="T12" s="0" t="n">
        <v>450.3</v>
      </c>
      <c r="U12" s="0" t="n">
        <v>138.9</v>
      </c>
      <c r="V12" s="0" t="n">
        <v>2.24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13274.2</v>
      </c>
      <c r="C13" s="0" t="n">
        <v>7757.4</v>
      </c>
      <c r="I13" s="0" t="n">
        <v>1884.9</v>
      </c>
      <c r="J13" s="0" t="n">
        <v>14.1997257838514</v>
      </c>
      <c r="K13" s="0" t="n">
        <v>4.25</v>
      </c>
      <c r="L13" s="0" t="n">
        <v>2515.2</v>
      </c>
      <c r="O13" s="0" t="n">
        <v>-679.8</v>
      </c>
      <c r="P13" s="0" t="n">
        <v>38849.1</v>
      </c>
      <c r="Q13" s="0" t="n">
        <v>34113.2</v>
      </c>
      <c r="R13" s="0" t="n">
        <v>2004.9</v>
      </c>
      <c r="S13" s="0" t="n">
        <v>2170</v>
      </c>
      <c r="T13" s="0" t="n">
        <v>443.3</v>
      </c>
      <c r="U13" s="0" t="n">
        <v>175.4</v>
      </c>
      <c r="V13" s="0" t="n">
        <v>2.52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14110.2</v>
      </c>
      <c r="C14" s="0" t="n">
        <v>8021.6</v>
      </c>
      <c r="I14" s="0" t="n">
        <v>2292.8</v>
      </c>
      <c r="J14" s="0" t="n">
        <v>16.2492381397854</v>
      </c>
      <c r="K14" s="0" t="n">
        <v>5.24</v>
      </c>
      <c r="L14" s="0" t="n">
        <v>2688.3</v>
      </c>
      <c r="O14" s="0" t="n">
        <v>-257.3</v>
      </c>
      <c r="P14" s="0" t="n">
        <v>41887.7</v>
      </c>
      <c r="Q14" s="0" t="n">
        <v>36487.8</v>
      </c>
      <c r="R14" s="0" t="n">
        <v>2004.7</v>
      </c>
      <c r="S14" s="0" t="n">
        <v>1949.2</v>
      </c>
      <c r="T14" s="0" t="n">
        <v>437.6</v>
      </c>
      <c r="U14" s="0" t="n">
        <v>167.3</v>
      </c>
      <c r="V14" s="0" t="n">
        <v>3.06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14589.8</v>
      </c>
      <c r="C15" s="0" t="n">
        <v>8445.1</v>
      </c>
      <c r="I15" s="0" t="n">
        <v>2466.5</v>
      </c>
      <c r="J15" s="0" t="n">
        <v>16.905646410506</v>
      </c>
      <c r="K15" s="0" t="n">
        <v>5.7</v>
      </c>
      <c r="L15" s="0" t="n">
        <v>3026.2</v>
      </c>
      <c r="O15" s="0" t="n">
        <v>5752.2</v>
      </c>
      <c r="P15" s="0" t="n">
        <v>39165.5</v>
      </c>
      <c r="Q15" s="0" t="n">
        <v>33413.3</v>
      </c>
      <c r="R15" s="0" t="n">
        <v>2004.6</v>
      </c>
      <c r="S15" s="0" t="n">
        <v>1908.5</v>
      </c>
      <c r="T15" s="0" t="n">
        <v>432.7</v>
      </c>
      <c r="U15" s="0" t="n">
        <v>130.8</v>
      </c>
      <c r="V15" s="0" t="n">
        <v>3.52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15005.4</v>
      </c>
      <c r="C16" s="0" t="n">
        <v>8640.3</v>
      </c>
      <c r="I16" s="0" t="n">
        <v>2598.5</v>
      </c>
      <c r="J16" s="0" t="n">
        <v>17.3170991776294</v>
      </c>
      <c r="K16" s="0" t="n">
        <v>6.07</v>
      </c>
      <c r="L16" s="0" t="n">
        <v>3093.3</v>
      </c>
      <c r="O16" s="0" t="n">
        <v>5670.1</v>
      </c>
      <c r="P16" s="0" t="n">
        <v>48772.5</v>
      </c>
      <c r="Q16" s="0" t="n">
        <v>43102.4</v>
      </c>
      <c r="R16" s="0" t="n">
        <v>2986.2</v>
      </c>
      <c r="S16" s="0" t="n">
        <v>2575.2</v>
      </c>
      <c r="T16" s="0" t="n">
        <v>428.1</v>
      </c>
      <c r="U16" s="0" t="n">
        <v>175.3</v>
      </c>
      <c r="V16" s="0" t="n">
        <v>3.7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16498.3</v>
      </c>
      <c r="C17" s="0" t="n">
        <v>9461.9</v>
      </c>
      <c r="I17" s="0" t="n">
        <v>2948.9</v>
      </c>
      <c r="J17" s="0" t="n">
        <v>17.873962771922</v>
      </c>
      <c r="K17" s="0" t="n">
        <v>7</v>
      </c>
      <c r="L17" s="0" t="n">
        <v>3099.5</v>
      </c>
      <c r="O17" s="0" t="n">
        <v>3225.3</v>
      </c>
      <c r="P17" s="0" t="n">
        <v>63068.2</v>
      </c>
      <c r="Q17" s="0" t="n">
        <v>59842.9</v>
      </c>
      <c r="R17" s="0" t="n">
        <v>2988.3</v>
      </c>
      <c r="S17" s="0" t="n">
        <v>1436.3</v>
      </c>
      <c r="T17" s="0" t="n">
        <v>421.1</v>
      </c>
      <c r="U17" s="0" t="n">
        <v>201.7</v>
      </c>
      <c r="V17" s="0" t="n">
        <v>4.05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18012.2</v>
      </c>
      <c r="C18" s="0" t="n">
        <v>9953.4</v>
      </c>
      <c r="I18" s="0" t="n">
        <v>3412</v>
      </c>
      <c r="J18" s="0" t="n">
        <v>18.9427166031912</v>
      </c>
      <c r="K18" s="0" t="n">
        <v>8.21</v>
      </c>
      <c r="L18" s="0" t="n">
        <v>4207.6</v>
      </c>
      <c r="O18" s="0" t="n">
        <v>3509.1</v>
      </c>
      <c r="P18" s="0" t="n">
        <v>50971</v>
      </c>
      <c r="Q18" s="0" t="n">
        <v>47461.9</v>
      </c>
      <c r="R18" s="0" t="n">
        <v>2990.2</v>
      </c>
      <c r="S18" s="0" t="n">
        <v>2083.5</v>
      </c>
      <c r="T18" s="0" t="n">
        <v>415.7</v>
      </c>
      <c r="U18" s="0" t="n">
        <v>220.4</v>
      </c>
      <c r="V18" s="0" t="n">
        <v>4.79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19202.6</v>
      </c>
      <c r="C19" s="0" t="n">
        <v>10476.7</v>
      </c>
      <c r="I19" s="0" t="n">
        <v>3752</v>
      </c>
      <c r="J19" s="0" t="n">
        <v>19.5390207576057</v>
      </c>
      <c r="K19" s="0" t="n">
        <v>9.1</v>
      </c>
      <c r="L19" s="0" t="n">
        <v>4157.6</v>
      </c>
      <c r="O19" s="0" t="n">
        <v>4547.6</v>
      </c>
      <c r="P19" s="0" t="n">
        <v>54362.7</v>
      </c>
      <c r="Q19" s="0" t="n">
        <v>49815.1</v>
      </c>
      <c r="R19" s="0" t="n">
        <v>2992.4</v>
      </c>
      <c r="S19" s="0" t="n">
        <v>2913.4</v>
      </c>
      <c r="T19" s="0" t="n">
        <v>412.2</v>
      </c>
      <c r="U19" s="0" t="n">
        <v>243.5</v>
      </c>
      <c r="V19" s="0" t="n">
        <v>5.45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20560.9</v>
      </c>
      <c r="C20" s="0" t="n">
        <v>11097.3</v>
      </c>
      <c r="I20" s="0" t="n">
        <v>4079.7</v>
      </c>
      <c r="J20" s="0" t="n">
        <v>19.8420302613212</v>
      </c>
      <c r="K20" s="0" t="n">
        <v>9.98</v>
      </c>
      <c r="L20" s="0" t="n">
        <v>4939.7</v>
      </c>
      <c r="O20" s="0" t="n">
        <v>6188</v>
      </c>
      <c r="P20" s="0" t="n">
        <v>53369.3</v>
      </c>
      <c r="Q20" s="0" t="n">
        <v>47181.3</v>
      </c>
      <c r="R20" s="0" t="n">
        <v>3975.7</v>
      </c>
      <c r="S20" s="0" t="n">
        <v>3347.8</v>
      </c>
      <c r="T20" s="0" t="n">
        <v>408.7</v>
      </c>
      <c r="U20" s="0" t="n">
        <v>266.1</v>
      </c>
      <c r="V20" s="0" t="n">
        <v>6.02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21947.4</v>
      </c>
      <c r="C21" s="0" t="n">
        <v>11760.2</v>
      </c>
      <c r="I21" s="0" t="n">
        <v>4413.5</v>
      </c>
      <c r="J21" s="0" t="n">
        <v>20.1094434876113</v>
      </c>
      <c r="K21" s="0" t="n">
        <v>10.94</v>
      </c>
      <c r="L21" s="0" t="n">
        <v>5441.2</v>
      </c>
      <c r="O21" s="0" t="n">
        <v>6031.2</v>
      </c>
      <c r="P21" s="0" t="n">
        <v>63193.3</v>
      </c>
      <c r="Q21" s="0" t="n">
        <v>57162.1</v>
      </c>
      <c r="R21" s="0" t="n">
        <v>4965.1</v>
      </c>
      <c r="S21" s="0" t="n">
        <v>4230.1</v>
      </c>
      <c r="T21" s="0" t="n">
        <v>403.3</v>
      </c>
      <c r="U21" s="0" t="n">
        <v>242.6</v>
      </c>
      <c r="V21" s="0" t="n">
        <v>6.64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263.11</v>
      </c>
    </row>
    <row r="3" customFormat="false" ht="15" hidden="false" customHeight="false" outlineLevel="0" collapsed="false">
      <c r="A3" s="0" t="s">
        <v>86</v>
      </c>
      <c r="B3" s="3" t="n">
        <v>403.3</v>
      </c>
    </row>
    <row r="4" customFormat="false" ht="15" hidden="false" customHeight="false" outlineLevel="0" collapsed="false">
      <c r="A4" s="0" t="s">
        <v>87</v>
      </c>
      <c r="B4" s="3" t="n">
        <v>735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21947.4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2.5</v>
      </c>
      <c r="E13" s="3" t="n">
        <v>2</v>
      </c>
      <c r="F13" s="3" t="n">
        <v>2</v>
      </c>
      <c r="G13" s="3" t="n">
        <v>2.2</v>
      </c>
      <c r="H13" s="3" t="n">
        <v>2.5</v>
      </c>
      <c r="I13" s="3" t="n">
        <v>2.8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26</v>
      </c>
      <c r="D14" s="3" t="n">
        <v>25.5</v>
      </c>
      <c r="E14" s="3" t="n">
        <v>25.3</v>
      </c>
      <c r="F14" s="3" t="n">
        <v>25.5</v>
      </c>
      <c r="G14" s="3" t="n">
        <v>25.8</v>
      </c>
      <c r="H14" s="3" t="n">
        <v>26.2</v>
      </c>
      <c r="I14" s="3" t="n">
        <v>26.6</v>
      </c>
      <c r="J14" s="3" t="n">
        <v>27</v>
      </c>
      <c r="K14" s="3" t="n">
        <v>27.3</v>
      </c>
      <c r="L14" s="3" t="n">
        <v>27.5</v>
      </c>
    </row>
    <row r="15" customFormat="false" ht="15" hidden="false" customHeight="false" outlineLevel="0" collapsed="false">
      <c r="A15" s="0" t="s">
        <v>108</v>
      </c>
      <c r="C15" s="3" t="n">
        <v>1.15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1.15</v>
      </c>
      <c r="I15" s="3" t="n">
        <v>1.15</v>
      </c>
      <c r="J15" s="3" t="n">
        <v>1.1</v>
      </c>
      <c r="K15" s="3" t="n">
        <v>1.1</v>
      </c>
      <c r="L15" s="3" t="n">
        <v>1.1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2.75</v>
      </c>
      <c r="D17" s="3" t="n">
        <v>2.8</v>
      </c>
      <c r="E17" s="3" t="n">
        <v>2.8</v>
      </c>
      <c r="F17" s="3" t="n">
        <v>2.78</v>
      </c>
      <c r="G17" s="3" t="n">
        <v>2.75</v>
      </c>
      <c r="H17" s="3" t="n">
        <v>2.72</v>
      </c>
      <c r="I17" s="3" t="n">
        <v>2.7</v>
      </c>
      <c r="J17" s="3" t="n">
        <v>2.68</v>
      </c>
      <c r="K17" s="3" t="n">
        <v>2.65</v>
      </c>
      <c r="L17" s="3" t="n">
        <v>2.65</v>
      </c>
    </row>
    <row r="18" customFormat="false" ht="15" hidden="false" customHeight="false" outlineLevel="0" collapsed="false">
      <c r="A18" s="0" t="s">
        <v>111</v>
      </c>
      <c r="C18" s="3" t="n">
        <v>3.1</v>
      </c>
      <c r="D18" s="3" t="n">
        <v>3.1</v>
      </c>
      <c r="E18" s="3" t="n">
        <v>3.05</v>
      </c>
      <c r="F18" s="3" t="n">
        <v>3</v>
      </c>
      <c r="G18" s="3" t="n">
        <v>2.95</v>
      </c>
      <c r="H18" s="3" t="n">
        <v>2.9</v>
      </c>
      <c r="I18" s="3" t="n">
        <v>2.85</v>
      </c>
      <c r="J18" s="3" t="n">
        <v>2.8</v>
      </c>
      <c r="K18" s="3" t="n">
        <v>2.78</v>
      </c>
      <c r="L18" s="3" t="n">
        <v>2.75</v>
      </c>
    </row>
    <row r="19" customFormat="false" ht="15" hidden="false" customHeight="false" outlineLevel="0" collapsed="false">
      <c r="A19" s="0" t="s">
        <v>112</v>
      </c>
      <c r="C19" s="3" t="n">
        <v>23</v>
      </c>
      <c r="D19" s="3" t="n">
        <v>23.5</v>
      </c>
      <c r="E19" s="3" t="n">
        <v>23.5</v>
      </c>
      <c r="F19" s="3" t="n">
        <v>23.5</v>
      </c>
      <c r="G19" s="3" t="n">
        <v>23.5</v>
      </c>
      <c r="H19" s="3" t="n">
        <v>23.5</v>
      </c>
      <c r="I19" s="3" t="n">
        <v>23.5</v>
      </c>
      <c r="J19" s="3" t="n">
        <v>23.5</v>
      </c>
      <c r="K19" s="3" t="n">
        <v>23.5</v>
      </c>
      <c r="L19" s="3" t="n">
        <v>23.5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14</v>
      </c>
    </row>
    <row r="23" customFormat="false" ht="15" hidden="false" customHeight="false" outlineLevel="0" collapsed="false">
      <c r="A23" s="0" t="s">
        <v>116</v>
      </c>
      <c r="B23" s="3" t="n">
        <v>4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5.8</v>
      </c>
      <c r="E27" s="3" t="n">
        <v>5.5</v>
      </c>
      <c r="F27" s="3" t="n">
        <v>5.2</v>
      </c>
      <c r="G27" s="3" t="n">
        <v>5</v>
      </c>
      <c r="H27" s="3" t="n">
        <v>4.7</v>
      </c>
      <c r="I27" s="3" t="n">
        <v>4.5</v>
      </c>
      <c r="J27" s="3" t="n">
        <v>4.2</v>
      </c>
      <c r="K27" s="3" t="n">
        <v>4</v>
      </c>
      <c r="L27" s="3" t="n">
        <v>3.8</v>
      </c>
    </row>
    <row r="28" customFormat="false" ht="15" hidden="false" customHeight="false" outlineLevel="0" collapsed="false">
      <c r="A28" s="0" t="s">
        <v>107</v>
      </c>
      <c r="C28" s="3" t="n">
        <v>27.3</v>
      </c>
      <c r="D28" s="3" t="n">
        <v>27.7</v>
      </c>
      <c r="E28" s="3" t="n">
        <v>28.1</v>
      </c>
      <c r="F28" s="3" t="n">
        <v>28.4</v>
      </c>
      <c r="G28" s="3" t="n">
        <v>28.7</v>
      </c>
      <c r="H28" s="3" t="n">
        <v>29</v>
      </c>
      <c r="I28" s="3" t="n">
        <v>29.2</v>
      </c>
      <c r="J28" s="3" t="n">
        <v>29.3</v>
      </c>
      <c r="K28" s="3" t="n">
        <v>29.4</v>
      </c>
      <c r="L28" s="3" t="n">
        <v>29.5</v>
      </c>
    </row>
    <row r="29" customFormat="false" ht="15" hidden="false" customHeight="false" outlineLevel="0" collapsed="false">
      <c r="A29" s="0" t="s">
        <v>108</v>
      </c>
      <c r="C29" s="3" t="n">
        <v>1.1</v>
      </c>
      <c r="D29" s="3" t="n">
        <v>1.08</v>
      </c>
      <c r="E29" s="3" t="n">
        <v>1.06</v>
      </c>
      <c r="F29" s="3" t="n">
        <v>1.04</v>
      </c>
      <c r="G29" s="3" t="n">
        <v>1.02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2.7</v>
      </c>
      <c r="D31" s="3" t="n">
        <v>2.7</v>
      </c>
      <c r="E31" s="3" t="n">
        <v>2.68</v>
      </c>
      <c r="F31" s="3" t="n">
        <v>2.65</v>
      </c>
      <c r="G31" s="3" t="n">
        <v>2.62</v>
      </c>
      <c r="H31" s="3" t="n">
        <v>2.6</v>
      </c>
      <c r="I31" s="3" t="n">
        <v>2.58</v>
      </c>
      <c r="J31" s="3" t="n">
        <v>2.56</v>
      </c>
      <c r="K31" s="3" t="n">
        <v>2.55</v>
      </c>
      <c r="L31" s="3" t="n">
        <v>2.55</v>
      </c>
    </row>
    <row r="32" customFormat="false" ht="15" hidden="false" customHeight="false" outlineLevel="0" collapsed="false">
      <c r="A32" s="0" t="s">
        <v>111</v>
      </c>
      <c r="C32" s="3" t="n">
        <v>3</v>
      </c>
      <c r="D32" s="3" t="n">
        <v>3</v>
      </c>
      <c r="E32" s="3" t="n">
        <v>2.95</v>
      </c>
      <c r="F32" s="3" t="n">
        <v>2.9</v>
      </c>
      <c r="G32" s="3" t="n">
        <v>2.85</v>
      </c>
      <c r="H32" s="3" t="n">
        <v>2.8</v>
      </c>
      <c r="I32" s="3" t="n">
        <v>2.78</v>
      </c>
      <c r="J32" s="3" t="n">
        <v>2.75</v>
      </c>
      <c r="K32" s="3" t="n">
        <v>2.73</v>
      </c>
      <c r="L32" s="3" t="n">
        <v>2.7</v>
      </c>
    </row>
    <row r="33" customFormat="false" ht="15" hidden="false" customHeight="false" outlineLevel="0" collapsed="false">
      <c r="A33" s="0" t="s">
        <v>112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8.5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107</v>
      </c>
      <c r="C42" s="3" t="n">
        <v>27.8</v>
      </c>
      <c r="D42" s="3" t="n">
        <v>28.5</v>
      </c>
      <c r="E42" s="3" t="n">
        <v>29.2</v>
      </c>
      <c r="F42" s="3" t="n">
        <v>29.8</v>
      </c>
      <c r="G42" s="3" t="n">
        <v>30.3</v>
      </c>
      <c r="H42" s="3" t="n">
        <v>30.8</v>
      </c>
      <c r="I42" s="3" t="n">
        <v>31.2</v>
      </c>
      <c r="J42" s="3" t="n">
        <v>31.6</v>
      </c>
      <c r="K42" s="3" t="n">
        <v>31.9</v>
      </c>
      <c r="L42" s="3" t="n">
        <v>32.1</v>
      </c>
    </row>
    <row r="43" customFormat="false" ht="15" hidden="false" customHeight="false" outlineLevel="0" collapsed="false">
      <c r="A43" s="0" t="s">
        <v>108</v>
      </c>
      <c r="C43" s="3" t="n">
        <v>1.1</v>
      </c>
      <c r="D43" s="3" t="n">
        <v>1.05</v>
      </c>
      <c r="E43" s="3" t="n">
        <v>1</v>
      </c>
      <c r="F43" s="3" t="n">
        <v>0.95</v>
      </c>
      <c r="G43" s="3" t="n">
        <v>0.9</v>
      </c>
      <c r="H43" s="3" t="n">
        <v>0.9</v>
      </c>
      <c r="I43" s="3" t="n">
        <v>0.9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2.7</v>
      </c>
      <c r="D45" s="3" t="n">
        <v>2.68</v>
      </c>
      <c r="E45" s="3" t="n">
        <v>2.63</v>
      </c>
      <c r="F45" s="3" t="n">
        <v>2.58</v>
      </c>
      <c r="G45" s="3" t="n">
        <v>2.53</v>
      </c>
      <c r="H45" s="3" t="n">
        <v>2.5</v>
      </c>
      <c r="I45" s="3" t="n">
        <v>2.47</v>
      </c>
      <c r="J45" s="3" t="n">
        <v>2.45</v>
      </c>
      <c r="K45" s="3" t="n">
        <v>2.43</v>
      </c>
      <c r="L45" s="3" t="n">
        <v>2.4</v>
      </c>
    </row>
    <row r="46" customFormat="false" ht="15" hidden="false" customHeight="false" outlineLevel="0" collapsed="false">
      <c r="A46" s="0" t="s">
        <v>111</v>
      </c>
      <c r="C46" s="3" t="n">
        <v>3.1</v>
      </c>
      <c r="D46" s="3" t="n">
        <v>3.1</v>
      </c>
      <c r="E46" s="3" t="n">
        <v>3.05</v>
      </c>
      <c r="F46" s="3" t="n">
        <v>3</v>
      </c>
      <c r="G46" s="3" t="n">
        <v>2.95</v>
      </c>
      <c r="H46" s="3" t="n">
        <v>2.9</v>
      </c>
      <c r="I46" s="3" t="n">
        <v>2.85</v>
      </c>
      <c r="J46" s="3" t="n">
        <v>2.8</v>
      </c>
      <c r="K46" s="3" t="n">
        <v>2.75</v>
      </c>
      <c r="L46" s="3" t="n">
        <v>2.7</v>
      </c>
    </row>
    <row r="47" customFormat="false" ht="15" hidden="false" customHeight="false" outlineLevel="0" collapsed="false">
      <c r="A47" s="0" t="s">
        <v>112</v>
      </c>
      <c r="C47" s="3" t="n">
        <v>23</v>
      </c>
      <c r="D47" s="3" t="n">
        <v>23</v>
      </c>
      <c r="E47" s="3" t="n">
        <v>23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12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2.5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2.2</v>
      </c>
      <c r="H5" s="4" t="n">
        <f aca="false">Assumptions!H13</f>
        <v>2.5</v>
      </c>
      <c r="I5" s="4" t="n">
        <f aca="false">Assumptions!I13</f>
        <v>2.8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21947.4</v>
      </c>
      <c r="C6" s="0" t="n">
        <f aca="false">B6*(1+C5/100)</f>
        <v>22605.822</v>
      </c>
      <c r="D6" s="0" t="n">
        <f aca="false">C6*(1+D5/100)</f>
        <v>23170.96755</v>
      </c>
      <c r="E6" s="0" t="n">
        <f aca="false">D6*(1+E5/100)</f>
        <v>23634.386901</v>
      </c>
      <c r="F6" s="0" t="n">
        <f aca="false">E6*(1+F5/100)</f>
        <v>24107.07463902</v>
      </c>
      <c r="G6" s="0" t="n">
        <f aca="false">F6*(1+G5/100)</f>
        <v>24637.4302810784</v>
      </c>
      <c r="H6" s="0" t="n">
        <f aca="false">G6*(1+H5/100)</f>
        <v>25253.3660381054</v>
      </c>
      <c r="I6" s="0" t="n">
        <f aca="false">H6*(1+I5/100)</f>
        <v>25960.4602871724</v>
      </c>
      <c r="J6" s="0" t="n">
        <f aca="false">I6*(1+J5/100)</f>
        <v>26739.2740957875</v>
      </c>
      <c r="K6" s="0" t="n">
        <f aca="false">J6*(1+K5/100)</f>
        <v>27541.4523186612</v>
      </c>
      <c r="L6" s="0" t="n">
        <f aca="false">K6*(1+L5/100)</f>
        <v>28367.695888221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26</v>
      </c>
      <c r="D7" s="4" t="n">
        <f aca="false">Assumptions!D14</f>
        <v>25.5</v>
      </c>
      <c r="E7" s="4" t="n">
        <f aca="false">Assumptions!E14</f>
        <v>25.3</v>
      </c>
      <c r="F7" s="4" t="n">
        <f aca="false">Assumptions!F14</f>
        <v>25.5</v>
      </c>
      <c r="G7" s="4" t="n">
        <f aca="false">Assumptions!G14</f>
        <v>25.8</v>
      </c>
      <c r="H7" s="4" t="n">
        <f aca="false">Assumptions!H14</f>
        <v>26.2</v>
      </c>
      <c r="I7" s="4" t="n">
        <f aca="false">Assumptions!I14</f>
        <v>26.6</v>
      </c>
      <c r="J7" s="4" t="n">
        <f aca="false">Assumptions!J14</f>
        <v>27</v>
      </c>
      <c r="K7" s="4" t="n">
        <f aca="false">Assumptions!K14</f>
        <v>27.3</v>
      </c>
      <c r="L7" s="4" t="n">
        <f aca="false">Assumptions!L14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5877.51372</v>
      </c>
      <c r="D8" s="0" t="n">
        <f aca="false">D6*D7/100</f>
        <v>5908.59672525</v>
      </c>
      <c r="E8" s="0" t="n">
        <f aca="false">E6*E7/100</f>
        <v>5979.499885953</v>
      </c>
      <c r="F8" s="0" t="n">
        <f aca="false">F6*F7/100</f>
        <v>6147.3040329501</v>
      </c>
      <c r="G8" s="0" t="n">
        <f aca="false">G6*G7/100</f>
        <v>6356.45701251824</v>
      </c>
      <c r="H8" s="0" t="n">
        <f aca="false">H6*H7/100</f>
        <v>6616.38190198362</v>
      </c>
      <c r="I8" s="0" t="n">
        <f aca="false">I6*I7/100</f>
        <v>6905.48243638785</v>
      </c>
      <c r="J8" s="0" t="n">
        <f aca="false">J6*J7/100</f>
        <v>7219.60400586263</v>
      </c>
      <c r="K8" s="0" t="n">
        <f aca="false">K6*K7/100</f>
        <v>7518.81648299449</v>
      </c>
      <c r="L8" s="0" t="n">
        <f aca="false">L6*L7/100</f>
        <v>7801.11636926077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1.15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</v>
      </c>
      <c r="K9" s="4" t="n">
        <f aca="false">Assumptions!K15</f>
        <v>1.1</v>
      </c>
      <c r="L9" s="4" t="n">
        <f aca="false">Assumptions!L15</f>
        <v>1.1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-259.966953</v>
      </c>
      <c r="D10" s="0" t="n">
        <f aca="false">-D6*D9/100</f>
        <v>-278.0516106</v>
      </c>
      <c r="E10" s="0" t="n">
        <f aca="false">-E6*E9/100</f>
        <v>-283.612642812</v>
      </c>
      <c r="F10" s="0" t="n">
        <f aca="false">-F6*F9/100</f>
        <v>-289.28489566824</v>
      </c>
      <c r="G10" s="0" t="n">
        <f aca="false">-G6*G9/100</f>
        <v>-295.649163372941</v>
      </c>
      <c r="H10" s="0" t="n">
        <f aca="false">-H6*H9/100</f>
        <v>-290.413709438212</v>
      </c>
      <c r="I10" s="0" t="n">
        <f aca="false">-I6*I9/100</f>
        <v>-298.545293302482</v>
      </c>
      <c r="J10" s="0" t="n">
        <f aca="false">-J6*J9/100</f>
        <v>-294.132015053663</v>
      </c>
      <c r="K10" s="0" t="n">
        <f aca="false">-K6*K9/100</f>
        <v>-302.955975505273</v>
      </c>
      <c r="L10" s="0" t="n">
        <f aca="false">-L6*L9/100</f>
        <v>-312.044654770431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5617.546767</v>
      </c>
      <c r="D11" s="0" t="n">
        <f aca="false">D8+D10+D24</f>
        <v>5630.54511465</v>
      </c>
      <c r="E11" s="0" t="n">
        <f aca="false">E8+E10+E24</f>
        <v>5695.887243141</v>
      </c>
      <c r="F11" s="0" t="n">
        <f aca="false">F8+F10+F24</f>
        <v>5858.01913728186</v>
      </c>
      <c r="G11" s="0" t="n">
        <f aca="false">G8+G10+G24</f>
        <v>6060.8078491453</v>
      </c>
      <c r="H11" s="0" t="n">
        <f aca="false">H8+H10+H24</f>
        <v>6325.9681925454</v>
      </c>
      <c r="I11" s="0" t="n">
        <f aca="false">I8+I10+I24</f>
        <v>6606.93714308536</v>
      </c>
      <c r="J11" s="0" t="n">
        <f aca="false">J8+J10+J24</f>
        <v>6925.47199080897</v>
      </c>
      <c r="K11" s="0" t="n">
        <f aca="false">K8+K10+K24</f>
        <v>7215.86050748922</v>
      </c>
      <c r="L11" s="0" t="n">
        <f aca="false">L8+L10+L24</f>
        <v>7489.07171449034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-621.660105</v>
      </c>
      <c r="D12" s="4" t="n">
        <f aca="false">-D6*Assumptions!D17/100</f>
        <v>-648.7870914</v>
      </c>
      <c r="E12" s="4" t="n">
        <f aca="false">-E6*Assumptions!E17/100</f>
        <v>-661.762833228</v>
      </c>
      <c r="F12" s="4" t="n">
        <f aca="false">-F6*Assumptions!F17/100</f>
        <v>-670.176674964756</v>
      </c>
      <c r="G12" s="4" t="n">
        <f aca="false">-G6*Assumptions!G17/100</f>
        <v>-677.529332729657</v>
      </c>
      <c r="H12" s="4" t="n">
        <f aca="false">-H6*Assumptions!H17/100</f>
        <v>-686.891556236467</v>
      </c>
      <c r="I12" s="4" t="n">
        <f aca="false">-I6*Assumptions!I17/100</f>
        <v>-700.932427753654</v>
      </c>
      <c r="J12" s="4" t="n">
        <f aca="false">-J6*Assumptions!J17/100</f>
        <v>-716.612545767106</v>
      </c>
      <c r="K12" s="4" t="n">
        <f aca="false">-K6*Assumptions!K17/100</f>
        <v>-729.848486444521</v>
      </c>
      <c r="L12" s="4" t="n">
        <f aca="false">-L6*Assumptions!L17/100</f>
        <v>-751.743941037856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4995.886662</v>
      </c>
      <c r="D13" s="0" t="n">
        <f aca="false">D11+D12</f>
        <v>4981.75802325</v>
      </c>
      <c r="E13" s="0" t="n">
        <f aca="false">E11+E12</f>
        <v>5034.124409913</v>
      </c>
      <c r="F13" s="0" t="n">
        <f aca="false">F11+F12</f>
        <v>5187.84246231711</v>
      </c>
      <c r="G13" s="0" t="n">
        <f aca="false">G11+G12</f>
        <v>5383.27851641564</v>
      </c>
      <c r="H13" s="0" t="n">
        <f aca="false">H11+H12</f>
        <v>5639.07663630894</v>
      </c>
      <c r="I13" s="0" t="n">
        <f aca="false">I11+I12</f>
        <v>5906.00471533171</v>
      </c>
      <c r="J13" s="0" t="n">
        <f aca="false">J11+J12</f>
        <v>6208.85944504186</v>
      </c>
      <c r="K13" s="0" t="n">
        <f aca="false">K11+K12</f>
        <v>6486.0120210447</v>
      </c>
      <c r="L13" s="0" t="n">
        <f aca="false">L11+L12</f>
        <v>6737.32777345249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</v>
      </c>
      <c r="D14" s="4" t="n">
        <f aca="false">Assumptions!D19</f>
        <v>23.5</v>
      </c>
      <c r="E14" s="4" t="n">
        <f aca="false">Assumptions!E19</f>
        <v>23.5</v>
      </c>
      <c r="F14" s="4" t="n">
        <f aca="false">Assumptions!F19</f>
        <v>23.5</v>
      </c>
      <c r="G14" s="4" t="n">
        <f aca="false">Assumptions!G19</f>
        <v>23.5</v>
      </c>
      <c r="H14" s="4" t="n">
        <f aca="false">Assumptions!H19</f>
        <v>23.5</v>
      </c>
      <c r="I14" s="4" t="n">
        <f aca="false">Assumptions!I19</f>
        <v>23.5</v>
      </c>
      <c r="J14" s="4" t="n">
        <f aca="false">Assumptions!J19</f>
        <v>23.5</v>
      </c>
      <c r="K14" s="4" t="n">
        <f aca="false">Assumptions!K19</f>
        <v>23.5</v>
      </c>
      <c r="L14" s="4" t="n">
        <f aca="false">Assumptions!L19</f>
        <v>23.5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3846.83272974</v>
      </c>
      <c r="D15" s="0" t="n">
        <f aca="false">D13-MAX(0,D13)*D14/100</f>
        <v>3811.04488778625</v>
      </c>
      <c r="E15" s="0" t="n">
        <f aca="false">E13-MAX(0,E13)*E14/100</f>
        <v>3851.10517358345</v>
      </c>
      <c r="F15" s="0" t="n">
        <f aca="false">F13-MAX(0,F13)*F14/100</f>
        <v>3968.69948367259</v>
      </c>
      <c r="G15" s="0" t="n">
        <f aca="false">G13-MAX(0,G13)*G14/100</f>
        <v>4118.20806505797</v>
      </c>
      <c r="H15" s="0" t="n">
        <f aca="false">H13-MAX(0,H13)*H14/100</f>
        <v>4313.89362677634</v>
      </c>
      <c r="I15" s="0" t="n">
        <f aca="false">I13-MAX(0,I13)*I14/100</f>
        <v>4518.09360722876</v>
      </c>
      <c r="J15" s="0" t="n">
        <f aca="false">J13-MAX(0,J13)*J14/100</f>
        <v>4749.77747545703</v>
      </c>
      <c r="K15" s="0" t="n">
        <f aca="false">K13-MAX(0,K13)*K14/100</f>
        <v>4961.7991960992</v>
      </c>
      <c r="L15" s="0" t="n">
        <f aca="false">L13-MAX(0,L13)*L14/100</f>
        <v>5154.05574669115</v>
      </c>
    </row>
    <row r="16" customFormat="false" ht="15" hidden="false" customHeight="false" outlineLevel="0" collapsed="false">
      <c r="A16" s="0" t="s">
        <v>128</v>
      </c>
      <c r="C16" s="0" t="n">
        <f aca="false">-C12</f>
        <v>621.660105</v>
      </c>
      <c r="D16" s="0" t="n">
        <f aca="false">-D12</f>
        <v>648.7870914</v>
      </c>
      <c r="E16" s="0" t="n">
        <f aca="false">-E12</f>
        <v>661.762833228</v>
      </c>
      <c r="F16" s="0" t="n">
        <f aca="false">-F12</f>
        <v>670.176674964756</v>
      </c>
      <c r="G16" s="0" t="n">
        <f aca="false">-G12</f>
        <v>677.529332729657</v>
      </c>
      <c r="H16" s="0" t="n">
        <f aca="false">-H12</f>
        <v>686.891556236467</v>
      </c>
      <c r="I16" s="0" t="n">
        <f aca="false">-I12</f>
        <v>700.932427753654</v>
      </c>
      <c r="J16" s="0" t="n">
        <f aca="false">-J12</f>
        <v>716.612545767106</v>
      </c>
      <c r="K16" s="0" t="n">
        <f aca="false">-K12</f>
        <v>729.848486444521</v>
      </c>
      <c r="L16" s="0" t="n">
        <f aca="false">-L12</f>
        <v>751.743941037856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-700.780482</v>
      </c>
      <c r="D17" s="4" t="n">
        <f aca="false">-D6*Assumptions!D18/100</f>
        <v>-718.29999405</v>
      </c>
      <c r="E17" s="4" t="n">
        <f aca="false">-E6*Assumptions!E18/100</f>
        <v>-720.8488004805</v>
      </c>
      <c r="F17" s="4" t="n">
        <f aca="false">-F6*Assumptions!F18/100</f>
        <v>-723.2122391706</v>
      </c>
      <c r="G17" s="4" t="n">
        <f aca="false">-G6*Assumptions!G18/100</f>
        <v>-726.804193291814</v>
      </c>
      <c r="H17" s="4" t="n">
        <f aca="false">-H6*Assumptions!H18/100</f>
        <v>-732.347615105057</v>
      </c>
      <c r="I17" s="4" t="n">
        <f aca="false">-I6*Assumptions!I18/100</f>
        <v>-739.873118184412</v>
      </c>
      <c r="J17" s="4" t="n">
        <f aca="false">-J6*Assumptions!J18/100</f>
        <v>-748.699674682051</v>
      </c>
      <c r="K17" s="4" t="n">
        <f aca="false">-K6*Assumptions!K18/100</f>
        <v>-765.65237445878</v>
      </c>
      <c r="L17" s="4" t="n">
        <f aca="false">-L6*Assumptions!L18/100</f>
        <v>-780.111636926077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26.3368800000001</v>
      </c>
      <c r="D18" s="4" t="n">
        <f aca="false">(D6-C6)*Assumptions!$B$23/100</f>
        <v>22.6058219999999</v>
      </c>
      <c r="E18" s="4" t="n">
        <f aca="false">(E6-D6)*Assumptions!$B$23/100</f>
        <v>18.53677404</v>
      </c>
      <c r="F18" s="4" t="n">
        <f aca="false">(F6-E6)*Assumptions!$B$23/100</f>
        <v>18.9075095208001</v>
      </c>
      <c r="G18" s="4" t="n">
        <f aca="false">(G6-F6)*Assumptions!$B$23/100</f>
        <v>21.2142256823376</v>
      </c>
      <c r="H18" s="4" t="n">
        <f aca="false">(H6-G6)*Assumptions!$B$23/100</f>
        <v>24.6374302810784</v>
      </c>
      <c r="I18" s="4" t="n">
        <f aca="false">(I6-H6)*Assumptions!$B$23/100</f>
        <v>28.2837699626781</v>
      </c>
      <c r="J18" s="4" t="n">
        <f aca="false">(J6-I6)*Assumptions!$B$23/100</f>
        <v>31.1525523446068</v>
      </c>
      <c r="K18" s="4" t="n">
        <f aca="false">(K6-J6)*Assumptions!$B$23/100</f>
        <v>32.0871289149451</v>
      </c>
      <c r="L18" s="4" t="n">
        <f aca="false">(L6-K6)*Assumptions!$B$23/100</f>
        <v>33.0497427823934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3794.04923274</v>
      </c>
      <c r="D19" s="0" t="n">
        <f aca="false">D15+D16+D17+D18</f>
        <v>3764.13780713625</v>
      </c>
      <c r="E19" s="0" t="n">
        <f aca="false">E15+E16+E17+E18</f>
        <v>3810.55598037095</v>
      </c>
      <c r="F19" s="0" t="n">
        <f aca="false">F15+F16+F17+F18</f>
        <v>3934.57142898754</v>
      </c>
      <c r="G19" s="0" t="n">
        <f aca="false">G15+G16+G17+G18</f>
        <v>4090.14743017815</v>
      </c>
      <c r="H19" s="0" t="n">
        <f aca="false">H15+H16+H17+H18</f>
        <v>4293.07499818883</v>
      </c>
      <c r="I19" s="0" t="n">
        <f aca="false">I15+I16+I17+I18</f>
        <v>4507.43668676068</v>
      </c>
      <c r="J19" s="0" t="n">
        <f aca="false">J15+J16+J17+J18</f>
        <v>4748.84289888669</v>
      </c>
      <c r="K19" s="0" t="n">
        <f aca="false">K15+K16+K17+K18</f>
        <v>4958.08243699988</v>
      </c>
      <c r="L19" s="0" t="n">
        <f aca="false">L15+L16+L17+L18</f>
        <v>5158.73779358533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3449.13566612727</v>
      </c>
      <c r="D21" s="0" t="n">
        <f aca="false">D19*D20</f>
        <v>3110.85769184814</v>
      </c>
      <c r="E21" s="0" t="n">
        <f aca="false">E19*E20</f>
        <v>2862.92710771671</v>
      </c>
      <c r="F21" s="0" t="n">
        <f aca="false">F19*F20</f>
        <v>2687.36522709346</v>
      </c>
      <c r="G21" s="0" t="n">
        <f aca="false">G19*G20</f>
        <v>2539.65975385322</v>
      </c>
      <c r="H21" s="0" t="n">
        <f aca="false">H19*H20</f>
        <v>2423.32891624326</v>
      </c>
      <c r="I21" s="0" t="n">
        <f aca="false">I19*I20</f>
        <v>2313.02772822216</v>
      </c>
      <c r="J21" s="0" t="n">
        <f aca="false">J19*J20</f>
        <v>2215.37025978722</v>
      </c>
      <c r="K21" s="0" t="n">
        <f aca="false">K19*K20</f>
        <v>2102.71095322609</v>
      </c>
      <c r="L21" s="0" t="n">
        <f aca="false">L19*L20</f>
        <v>1988.91673824333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25693.3000423609</v>
      </c>
    </row>
    <row r="31" customFormat="false" ht="15" hidden="false" customHeight="false" outlineLevel="0" collapsed="false">
      <c r="A31" s="0" t="s">
        <v>137</v>
      </c>
      <c r="B31" s="0" t="n">
        <f aca="false">L19</f>
        <v>5158.73779358533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65773.9068682129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72222.3291101946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65773.9068682129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25358.6884126025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51051.9884549633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50316.9884549633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124.763174944119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-0.525813633293606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1763.50733020302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1533.91071377595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132.939267292195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40476.2503804387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74.3655708737311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5.8</v>
      </c>
      <c r="E5" s="4" t="n">
        <f aca="false">Assumptions!E27</f>
        <v>5.5</v>
      </c>
      <c r="F5" s="4" t="n">
        <f aca="false">Assumptions!F27</f>
        <v>5.2</v>
      </c>
      <c r="G5" s="4" t="n">
        <f aca="false">Assumptions!G27</f>
        <v>5</v>
      </c>
      <c r="H5" s="4" t="n">
        <f aca="false">Assumptions!H27</f>
        <v>4.7</v>
      </c>
      <c r="I5" s="4" t="n">
        <f aca="false">Assumptions!I27</f>
        <v>4.5</v>
      </c>
      <c r="J5" s="4" t="n">
        <f aca="false">Assumptions!J27</f>
        <v>4.2</v>
      </c>
      <c r="K5" s="4" t="n">
        <f aca="false">Assumptions!K27</f>
        <v>4</v>
      </c>
      <c r="L5" s="4" t="n">
        <f aca="false">Assumptions!L27</f>
        <v>3.8</v>
      </c>
    </row>
    <row r="6" customFormat="false" ht="15" hidden="false" customHeight="false" outlineLevel="0" collapsed="false">
      <c r="A6" s="0" t="s">
        <v>37</v>
      </c>
      <c r="B6" s="3" t="n">
        <v>21947.4</v>
      </c>
      <c r="C6" s="0" t="n">
        <f aca="false">B6*(1+C5/100)</f>
        <v>23264.244</v>
      </c>
      <c r="D6" s="0" t="n">
        <f aca="false">C6*(1+D5/100)</f>
        <v>24613.570152</v>
      </c>
      <c r="E6" s="0" t="n">
        <f aca="false">D6*(1+E5/100)</f>
        <v>25967.31651036</v>
      </c>
      <c r="F6" s="0" t="n">
        <f aca="false">E6*(1+F5/100)</f>
        <v>27317.6169688987</v>
      </c>
      <c r="G6" s="0" t="n">
        <f aca="false">F6*(1+G5/100)</f>
        <v>28683.4978173437</v>
      </c>
      <c r="H6" s="0" t="n">
        <f aca="false">G6*(1+H5/100)</f>
        <v>30031.6222147588</v>
      </c>
      <c r="I6" s="0" t="n">
        <f aca="false">H6*(1+I5/100)</f>
        <v>31383.045214423</v>
      </c>
      <c r="J6" s="0" t="n">
        <f aca="false">I6*(1+J5/100)</f>
        <v>32701.1331134287</v>
      </c>
      <c r="K6" s="0" t="n">
        <f aca="false">J6*(1+K5/100)</f>
        <v>34009.1784379659</v>
      </c>
      <c r="L6" s="0" t="n">
        <f aca="false">K6*(1+L5/100)</f>
        <v>35301.5272186086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27.3</v>
      </c>
      <c r="D7" s="4" t="n">
        <f aca="false">Assumptions!D28</f>
        <v>27.7</v>
      </c>
      <c r="E7" s="4" t="n">
        <f aca="false">Assumptions!E28</f>
        <v>28.1</v>
      </c>
      <c r="F7" s="4" t="n">
        <f aca="false">Assumptions!F28</f>
        <v>28.4</v>
      </c>
      <c r="G7" s="4" t="n">
        <f aca="false">Assumptions!G28</f>
        <v>28.7</v>
      </c>
      <c r="H7" s="4" t="n">
        <f aca="false">Assumptions!H28</f>
        <v>29</v>
      </c>
      <c r="I7" s="4" t="n">
        <f aca="false">Assumptions!I28</f>
        <v>29.2</v>
      </c>
      <c r="J7" s="4" t="n">
        <f aca="false">Assumptions!J28</f>
        <v>29.3</v>
      </c>
      <c r="K7" s="4" t="n">
        <f aca="false">Assumptions!K28</f>
        <v>29.4</v>
      </c>
      <c r="L7" s="4" t="n">
        <f aca="false">Assumptions!L28</f>
        <v>29.5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6351.138612</v>
      </c>
      <c r="D8" s="0" t="n">
        <f aca="false">D6*D7/100</f>
        <v>6817.958932104</v>
      </c>
      <c r="E8" s="0" t="n">
        <f aca="false">E6*E7/100</f>
        <v>7296.81593941116</v>
      </c>
      <c r="F8" s="0" t="n">
        <f aca="false">F6*F7/100</f>
        <v>7758.20321916724</v>
      </c>
      <c r="G8" s="0" t="n">
        <f aca="false">G6*G7/100</f>
        <v>8232.16387357763</v>
      </c>
      <c r="H8" s="0" t="n">
        <f aca="false">H6*H7/100</f>
        <v>8709.17044228006</v>
      </c>
      <c r="I8" s="0" t="n">
        <f aca="false">I6*I7/100</f>
        <v>9163.8492026115</v>
      </c>
      <c r="J8" s="0" t="n">
        <f aca="false">J6*J7/100</f>
        <v>9581.43200223462</v>
      </c>
      <c r="K8" s="0" t="n">
        <f aca="false">K6*K7/100</f>
        <v>9998.69846076197</v>
      </c>
      <c r="L8" s="0" t="n">
        <f aca="false">L6*L7/100</f>
        <v>10413.9505294895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1.1</v>
      </c>
      <c r="D9" s="4" t="n">
        <f aca="false">Assumptions!D29</f>
        <v>1.08</v>
      </c>
      <c r="E9" s="4" t="n">
        <f aca="false">Assumptions!E29</f>
        <v>1.06</v>
      </c>
      <c r="F9" s="4" t="n">
        <f aca="false">Assumptions!F29</f>
        <v>1.04</v>
      </c>
      <c r="G9" s="4" t="n">
        <f aca="false">Assumptions!G29</f>
        <v>1.02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-255.906684</v>
      </c>
      <c r="D10" s="0" t="n">
        <f aca="false">-D6*D9/100</f>
        <v>-265.8265576416</v>
      </c>
      <c r="E10" s="0" t="n">
        <f aca="false">-E6*E9/100</f>
        <v>-275.253555009816</v>
      </c>
      <c r="F10" s="0" t="n">
        <f aca="false">-F6*F9/100</f>
        <v>-284.103216476547</v>
      </c>
      <c r="G10" s="0" t="n">
        <f aca="false">-G6*G9/100</f>
        <v>-292.571677736905</v>
      </c>
      <c r="H10" s="0" t="n">
        <f aca="false">-H6*H9/100</f>
        <v>-300.316222147588</v>
      </c>
      <c r="I10" s="0" t="n">
        <f aca="false">-I6*I9/100</f>
        <v>-313.83045214423</v>
      </c>
      <c r="J10" s="0" t="n">
        <f aca="false">-J6*J9/100</f>
        <v>-327.011331134287</v>
      </c>
      <c r="K10" s="0" t="n">
        <f aca="false">-K6*K9/100</f>
        <v>-340.091784379659</v>
      </c>
      <c r="L10" s="0" t="n">
        <f aca="false">-L6*L9/100</f>
        <v>-353.015272186086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6095.231928</v>
      </c>
      <c r="D11" s="0" t="n">
        <f aca="false">D8+D10+D24</f>
        <v>6552.1323744624</v>
      </c>
      <c r="E11" s="0" t="n">
        <f aca="false">E8+E10+E24</f>
        <v>7021.56238440134</v>
      </c>
      <c r="F11" s="0" t="n">
        <f aca="false">F8+F10+F24</f>
        <v>7474.10000269069</v>
      </c>
      <c r="G11" s="0" t="n">
        <f aca="false">G8+G10+G24</f>
        <v>7939.59219584073</v>
      </c>
      <c r="H11" s="0" t="n">
        <f aca="false">H8+H10+H24</f>
        <v>8408.85422013247</v>
      </c>
      <c r="I11" s="0" t="n">
        <f aca="false">I8+I10+I24</f>
        <v>8850.01875046727</v>
      </c>
      <c r="J11" s="0" t="n">
        <f aca="false">J8+J10+J24</f>
        <v>9254.42067110033</v>
      </c>
      <c r="K11" s="0" t="n">
        <f aca="false">K8+K10+K24</f>
        <v>9658.60667638231</v>
      </c>
      <c r="L11" s="0" t="n">
        <f aca="false">L8+L10+L24</f>
        <v>10060.9352573034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-628.134588</v>
      </c>
      <c r="D12" s="4" t="n">
        <f aca="false">-D6*Assumptions!D31/100</f>
        <v>-664.566394104</v>
      </c>
      <c r="E12" s="4" t="n">
        <f aca="false">-E6*Assumptions!E31/100</f>
        <v>-695.924082477648</v>
      </c>
      <c r="F12" s="4" t="n">
        <f aca="false">-F6*Assumptions!F31/100</f>
        <v>-723.916849675816</v>
      </c>
      <c r="G12" s="4" t="n">
        <f aca="false">-G6*Assumptions!G31/100</f>
        <v>-751.507642814404</v>
      </c>
      <c r="H12" s="4" t="n">
        <f aca="false">-H6*Assumptions!H31/100</f>
        <v>-780.822177583729</v>
      </c>
      <c r="I12" s="4" t="n">
        <f aca="false">-I6*Assumptions!I31/100</f>
        <v>-809.682566532112</v>
      </c>
      <c r="J12" s="4" t="n">
        <f aca="false">-J6*Assumptions!J31/100</f>
        <v>-837.149007703775</v>
      </c>
      <c r="K12" s="4" t="n">
        <f aca="false">-K6*Assumptions!K31/100</f>
        <v>-867.23405016813</v>
      </c>
      <c r="L12" s="4" t="n">
        <f aca="false">-L6*Assumptions!L31/100</f>
        <v>-900.188944074519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5467.09734</v>
      </c>
      <c r="D13" s="0" t="n">
        <f aca="false">D11+D12</f>
        <v>5887.5659803584</v>
      </c>
      <c r="E13" s="0" t="n">
        <f aca="false">E11+E12</f>
        <v>6325.6383019237</v>
      </c>
      <c r="F13" s="0" t="n">
        <f aca="false">F11+F12</f>
        <v>6750.18315301487</v>
      </c>
      <c r="G13" s="0" t="n">
        <f aca="false">G11+G12</f>
        <v>7188.08455302632</v>
      </c>
      <c r="H13" s="0" t="n">
        <f aca="false">H11+H12</f>
        <v>7628.03204254874</v>
      </c>
      <c r="I13" s="0" t="n">
        <f aca="false">I11+I12</f>
        <v>8040.33618393516</v>
      </c>
      <c r="J13" s="0" t="n">
        <f aca="false">J11+J12</f>
        <v>8417.27166339655</v>
      </c>
      <c r="K13" s="0" t="n">
        <f aca="false">K11+K12</f>
        <v>8791.37262621418</v>
      </c>
      <c r="L13" s="0" t="n">
        <f aca="false">L11+L12</f>
        <v>9160.74631322893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4209.6649518</v>
      </c>
      <c r="D15" s="0" t="n">
        <f aca="false">D13-MAX(0,D13)*D14/100</f>
        <v>4533.42580487597</v>
      </c>
      <c r="E15" s="0" t="n">
        <f aca="false">E13-MAX(0,E13)*E14/100</f>
        <v>4870.74149248125</v>
      </c>
      <c r="F15" s="0" t="n">
        <f aca="false">F13-MAX(0,F13)*F14/100</f>
        <v>5197.64102782145</v>
      </c>
      <c r="G15" s="0" t="n">
        <f aca="false">G13-MAX(0,G13)*G14/100</f>
        <v>5534.82510583027</v>
      </c>
      <c r="H15" s="0" t="n">
        <f aca="false">H13-MAX(0,H13)*H14/100</f>
        <v>5873.58467276253</v>
      </c>
      <c r="I15" s="0" t="n">
        <f aca="false">I13-MAX(0,I13)*I14/100</f>
        <v>6191.05886163008</v>
      </c>
      <c r="J15" s="0" t="n">
        <f aca="false">J13-MAX(0,J13)*J14/100</f>
        <v>6481.29918081535</v>
      </c>
      <c r="K15" s="0" t="n">
        <f aca="false">K13-MAX(0,K13)*K14/100</f>
        <v>6769.35692218492</v>
      </c>
      <c r="L15" s="0" t="n">
        <f aca="false">L13-MAX(0,L13)*L14/100</f>
        <v>7053.77466118628</v>
      </c>
    </row>
    <row r="16" customFormat="false" ht="15" hidden="false" customHeight="false" outlineLevel="0" collapsed="false">
      <c r="A16" s="0" t="s">
        <v>128</v>
      </c>
      <c r="C16" s="0" t="n">
        <f aca="false">-C12</f>
        <v>628.134588</v>
      </c>
      <c r="D16" s="0" t="n">
        <f aca="false">-D12</f>
        <v>664.566394104</v>
      </c>
      <c r="E16" s="0" t="n">
        <f aca="false">-E12</f>
        <v>695.924082477648</v>
      </c>
      <c r="F16" s="0" t="n">
        <f aca="false">-F12</f>
        <v>723.916849675816</v>
      </c>
      <c r="G16" s="0" t="n">
        <f aca="false">-G12</f>
        <v>751.507642814404</v>
      </c>
      <c r="H16" s="0" t="n">
        <f aca="false">-H12</f>
        <v>780.822177583729</v>
      </c>
      <c r="I16" s="0" t="n">
        <f aca="false">-I12</f>
        <v>809.682566532112</v>
      </c>
      <c r="J16" s="0" t="n">
        <f aca="false">-J12</f>
        <v>837.149007703775</v>
      </c>
      <c r="K16" s="0" t="n">
        <f aca="false">-K12</f>
        <v>867.23405016813</v>
      </c>
      <c r="L16" s="0" t="n">
        <f aca="false">-L12</f>
        <v>900.188944074519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-697.92732</v>
      </c>
      <c r="D17" s="4" t="n">
        <f aca="false">-D6*Assumptions!D32/100</f>
        <v>-738.40710456</v>
      </c>
      <c r="E17" s="4" t="n">
        <f aca="false">-E6*Assumptions!E32/100</f>
        <v>-766.03583705562</v>
      </c>
      <c r="F17" s="4" t="n">
        <f aca="false">-F6*Assumptions!F32/100</f>
        <v>-792.210892098063</v>
      </c>
      <c r="G17" s="4" t="n">
        <f aca="false">-G6*Assumptions!G32/100</f>
        <v>-817.479687794295</v>
      </c>
      <c r="H17" s="4" t="n">
        <f aca="false">-H6*Assumptions!H32/100</f>
        <v>-840.885422013247</v>
      </c>
      <c r="I17" s="4" t="n">
        <f aca="false">-I6*Assumptions!I32/100</f>
        <v>-872.448656960958</v>
      </c>
      <c r="J17" s="4" t="n">
        <f aca="false">-J6*Assumptions!J32/100</f>
        <v>-899.28116061929</v>
      </c>
      <c r="K17" s="4" t="n">
        <f aca="false">-K6*Assumptions!K32/100</f>
        <v>-928.450571356468</v>
      </c>
      <c r="L17" s="4" t="n">
        <f aca="false">-L6*Assumptions!L32/100</f>
        <v>-953.141234902432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105.34752</v>
      </c>
      <c r="D18" s="4" t="n">
        <f aca="false">(D6-C6)*Assumptions!$B$37/100</f>
        <v>107.94609216</v>
      </c>
      <c r="E18" s="4" t="n">
        <f aca="false">(E6-D6)*Assumptions!$B$37/100</f>
        <v>108.2997086688</v>
      </c>
      <c r="F18" s="4" t="n">
        <f aca="false">(F6-E6)*Assumptions!$B$37/100</f>
        <v>108.024036683098</v>
      </c>
      <c r="G18" s="4" t="n">
        <f aca="false">(G6-F6)*Assumptions!$B$37/100</f>
        <v>109.270467875595</v>
      </c>
      <c r="H18" s="4" t="n">
        <f aca="false">(H6-G6)*Assumptions!$B$37/100</f>
        <v>107.849951793212</v>
      </c>
      <c r="I18" s="4" t="n">
        <f aca="false">(I6-H6)*Assumptions!$B$37/100</f>
        <v>108.113839973132</v>
      </c>
      <c r="J18" s="4" t="n">
        <f aca="false">(J6-I6)*Assumptions!$B$37/100</f>
        <v>105.447031920461</v>
      </c>
      <c r="K18" s="4" t="n">
        <f aca="false">(K6-J6)*Assumptions!$B$37/100</f>
        <v>104.643625962972</v>
      </c>
      <c r="L18" s="4" t="n">
        <f aca="false">(L6-K6)*Assumptions!$B$37/100</f>
        <v>103.387902451417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4245.2197398</v>
      </c>
      <c r="D19" s="0" t="n">
        <f aca="false">D15+D16+D17+D18</f>
        <v>4567.53118657997</v>
      </c>
      <c r="E19" s="0" t="n">
        <f aca="false">E15+E16+E17+E18</f>
        <v>4908.92944657207</v>
      </c>
      <c r="F19" s="0" t="n">
        <f aca="false">F15+F16+F17+F18</f>
        <v>5237.3710220823</v>
      </c>
      <c r="G19" s="0" t="n">
        <f aca="false">G15+G16+G17+G18</f>
        <v>5578.12352872597</v>
      </c>
      <c r="H19" s="0" t="n">
        <f aca="false">H15+H16+H17+H18</f>
        <v>5921.37138012622</v>
      </c>
      <c r="I19" s="0" t="n">
        <f aca="false">I15+I16+I17+I18</f>
        <v>6236.40661117436</v>
      </c>
      <c r="J19" s="0" t="n">
        <f aca="false">J15+J16+J17+J18</f>
        <v>6524.61405982029</v>
      </c>
      <c r="K19" s="0" t="n">
        <f aca="false">K15+K16+K17+K18</f>
        <v>6812.78402695955</v>
      </c>
      <c r="L19" s="0" t="n">
        <f aca="false">L15+L16+L17+L18</f>
        <v>7104.21027280978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3912.64492147466</v>
      </c>
      <c r="D21" s="0" t="n">
        <f aca="false">D19*D20</f>
        <v>3879.91351405209</v>
      </c>
      <c r="E21" s="0" t="n">
        <f aca="false">E19*E20</f>
        <v>3843.24061834636</v>
      </c>
      <c r="F21" s="0" t="n">
        <f aca="false">F19*F20</f>
        <v>3779.15224670476</v>
      </c>
      <c r="G21" s="0" t="n">
        <f aca="false">G19*G20</f>
        <v>3709.70552331675</v>
      </c>
      <c r="H21" s="0" t="n">
        <f aca="false">H19*H20</f>
        <v>3629.47551699915</v>
      </c>
      <c r="I21" s="0" t="n">
        <f aca="false">I19*I20</f>
        <v>3523.11042878571</v>
      </c>
      <c r="J21" s="0" t="n">
        <f aca="false">J19*J20</f>
        <v>3397.16719909196</v>
      </c>
      <c r="K21" s="0" t="n">
        <f aca="false">K19*K20</f>
        <v>3269.31658684878</v>
      </c>
      <c r="L21" s="0" t="n">
        <f aca="false">L19*L20</f>
        <v>3142.08858901905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36085.8151446393</v>
      </c>
    </row>
    <row r="31" customFormat="false" ht="15" hidden="false" customHeight="false" outlineLevel="0" collapsed="false">
      <c r="A31" s="0" t="s">
        <v>137</v>
      </c>
      <c r="B31" s="0" t="n">
        <f aca="false">L19</f>
        <v>7104.21027280978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133042.483290801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127875.784910576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127875.784910576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56557.5946023429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92643.4097469821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91908.4097469821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227.890924242455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-0.133856849825339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1927.7096338778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2923.95475197057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239.920838415151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60977.8048416173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102.178355692705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8.5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21947.4</v>
      </c>
      <c r="C6" s="0" t="n">
        <f aca="false">B6*(1+C5/100)</f>
        <v>23922.666</v>
      </c>
      <c r="D6" s="0" t="n">
        <f aca="false">C6*(1+D5/100)</f>
        <v>25956.09261</v>
      </c>
      <c r="E6" s="0" t="n">
        <f aca="false">D6*(1+E5/100)</f>
        <v>28032.5800188</v>
      </c>
      <c r="F6" s="0" t="n">
        <f aca="false">E6*(1+F5/100)</f>
        <v>30135.02352021</v>
      </c>
      <c r="G6" s="0" t="n">
        <f aca="false">F6*(1+G5/100)</f>
        <v>32244.4751666247</v>
      </c>
      <c r="H6" s="0" t="n">
        <f aca="false">G6*(1+H5/100)</f>
        <v>34340.3660524553</v>
      </c>
      <c r="I6" s="0" t="n">
        <f aca="false">H6*(1+I5/100)</f>
        <v>36400.7880156026</v>
      </c>
      <c r="J6" s="0" t="n">
        <f aca="false">I6*(1+J5/100)</f>
        <v>38402.8313564608</v>
      </c>
      <c r="K6" s="0" t="n">
        <f aca="false">J6*(1+K5/100)</f>
        <v>40322.9729242838</v>
      </c>
      <c r="L6" s="0" t="n">
        <f aca="false">K6*(1+L5/100)</f>
        <v>42137.5067058766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27.8</v>
      </c>
      <c r="D7" s="4" t="n">
        <f aca="false">Assumptions!D42</f>
        <v>28.5</v>
      </c>
      <c r="E7" s="4" t="n">
        <f aca="false">Assumptions!E42</f>
        <v>29.2</v>
      </c>
      <c r="F7" s="4" t="n">
        <f aca="false">Assumptions!F42</f>
        <v>29.8</v>
      </c>
      <c r="G7" s="4" t="n">
        <f aca="false">Assumptions!G42</f>
        <v>30.3</v>
      </c>
      <c r="H7" s="4" t="n">
        <f aca="false">Assumptions!H42</f>
        <v>30.8</v>
      </c>
      <c r="I7" s="4" t="n">
        <f aca="false">Assumptions!I42</f>
        <v>31.2</v>
      </c>
      <c r="J7" s="4" t="n">
        <f aca="false">Assumptions!J42</f>
        <v>31.6</v>
      </c>
      <c r="K7" s="4" t="n">
        <f aca="false">Assumptions!K42</f>
        <v>31.9</v>
      </c>
      <c r="L7" s="4" t="n">
        <f aca="false">Assumptions!L42</f>
        <v>32.1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6650.501148</v>
      </c>
      <c r="D8" s="0" t="n">
        <f aca="false">D6*D7/100</f>
        <v>7397.48639385</v>
      </c>
      <c r="E8" s="0" t="n">
        <f aca="false">E6*E7/100</f>
        <v>8185.5133654896</v>
      </c>
      <c r="F8" s="0" t="n">
        <f aca="false">F6*F7/100</f>
        <v>8980.23700902258</v>
      </c>
      <c r="G8" s="0" t="n">
        <f aca="false">G6*G7/100</f>
        <v>9770.07597548729</v>
      </c>
      <c r="H8" s="0" t="n">
        <f aca="false">H6*H7/100</f>
        <v>10576.8327441562</v>
      </c>
      <c r="I8" s="0" t="n">
        <f aca="false">I6*I7/100</f>
        <v>11357.045860868</v>
      </c>
      <c r="J8" s="0" t="n">
        <f aca="false">J6*J7/100</f>
        <v>12135.2947086416</v>
      </c>
      <c r="K8" s="0" t="n">
        <f aca="false">K6*K7/100</f>
        <v>12863.0283628465</v>
      </c>
      <c r="L8" s="0" t="n">
        <f aca="false">L6*L7/100</f>
        <v>13526.1396525864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1.1</v>
      </c>
      <c r="D9" s="4" t="n">
        <f aca="false">Assumptions!D43</f>
        <v>1.05</v>
      </c>
      <c r="E9" s="4" t="n">
        <f aca="false">Assumptions!E43</f>
        <v>1</v>
      </c>
      <c r="F9" s="4" t="n">
        <f aca="false">Assumptions!F43</f>
        <v>0.95</v>
      </c>
      <c r="G9" s="4" t="n">
        <f aca="false">Assumptions!G43</f>
        <v>0.9</v>
      </c>
      <c r="H9" s="4" t="n">
        <f aca="false">Assumptions!H43</f>
        <v>0.9</v>
      </c>
      <c r="I9" s="4" t="n">
        <f aca="false">Assumptions!I43</f>
        <v>0.9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-263.149326</v>
      </c>
      <c r="D10" s="0" t="n">
        <f aca="false">-D6*D9/100</f>
        <v>-272.538972405</v>
      </c>
      <c r="E10" s="0" t="n">
        <f aca="false">-E6*E9/100</f>
        <v>-280.325800188</v>
      </c>
      <c r="F10" s="0" t="n">
        <f aca="false">-F6*F9/100</f>
        <v>-286.282723441995</v>
      </c>
      <c r="G10" s="0" t="n">
        <f aca="false">-G6*G9/100</f>
        <v>-290.200276499622</v>
      </c>
      <c r="H10" s="0" t="n">
        <f aca="false">-H6*H9/100</f>
        <v>-309.063294472098</v>
      </c>
      <c r="I10" s="0" t="n">
        <f aca="false">-I6*I9/100</f>
        <v>-327.607092140424</v>
      </c>
      <c r="J10" s="0" t="n">
        <f aca="false">-J6*J9/100</f>
        <v>-345.625482208147</v>
      </c>
      <c r="K10" s="0" t="n">
        <f aca="false">-K6*K9/100</f>
        <v>-362.906756318554</v>
      </c>
      <c r="L10" s="0" t="n">
        <f aca="false">-L6*L9/100</f>
        <v>-379.237560352889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6387.351822</v>
      </c>
      <c r="D11" s="0" t="n">
        <f aca="false">D8+D10+D24</f>
        <v>7124.947421445</v>
      </c>
      <c r="E11" s="0" t="n">
        <f aca="false">E8+E10+E24</f>
        <v>7905.1875653016</v>
      </c>
      <c r="F11" s="0" t="n">
        <f aca="false">F8+F10+F24</f>
        <v>8693.95428558059</v>
      </c>
      <c r="G11" s="0" t="n">
        <f aca="false">G8+G10+G24</f>
        <v>9479.87569898766</v>
      </c>
      <c r="H11" s="0" t="n">
        <f aca="false">H8+H10+H24</f>
        <v>10267.7694496841</v>
      </c>
      <c r="I11" s="0" t="n">
        <f aca="false">I8+I10+I24</f>
        <v>11029.4387687276</v>
      </c>
      <c r="J11" s="0" t="n">
        <f aca="false">J8+J10+J24</f>
        <v>11789.6692264335</v>
      </c>
      <c r="K11" s="0" t="n">
        <f aca="false">K8+K10+K24</f>
        <v>12500.121606528</v>
      </c>
      <c r="L11" s="0" t="n">
        <f aca="false">L8+L10+L24</f>
        <v>13146.9020922335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-645.911982</v>
      </c>
      <c r="D12" s="4" t="n">
        <f aca="false">-D6*Assumptions!D45/100</f>
        <v>-695.623281948</v>
      </c>
      <c r="E12" s="4" t="n">
        <f aca="false">-E6*Assumptions!E45/100</f>
        <v>-737.25685449444</v>
      </c>
      <c r="F12" s="4" t="n">
        <f aca="false">-F6*Assumptions!F45/100</f>
        <v>-777.483606821418</v>
      </c>
      <c r="G12" s="4" t="n">
        <f aca="false">-G6*Assumptions!G45/100</f>
        <v>-815.785221715605</v>
      </c>
      <c r="H12" s="4" t="n">
        <f aca="false">-H6*Assumptions!H45/100</f>
        <v>-858.509151311383</v>
      </c>
      <c r="I12" s="4" t="n">
        <f aca="false">-I6*Assumptions!I45/100</f>
        <v>-899.099463985385</v>
      </c>
      <c r="J12" s="4" t="n">
        <f aca="false">-J6*Assumptions!J45/100</f>
        <v>-940.869368233289</v>
      </c>
      <c r="K12" s="4" t="n">
        <f aca="false">-K6*Assumptions!K45/100</f>
        <v>-979.848242060097</v>
      </c>
      <c r="L12" s="4" t="n">
        <f aca="false">-L6*Assumptions!L45/100</f>
        <v>-1011.30016094104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5741.43984</v>
      </c>
      <c r="D13" s="0" t="n">
        <f aca="false">D11+D12</f>
        <v>6429.324139497</v>
      </c>
      <c r="E13" s="0" t="n">
        <f aca="false">E11+E12</f>
        <v>7167.93071080716</v>
      </c>
      <c r="F13" s="0" t="n">
        <f aca="false">F11+F12</f>
        <v>7916.47067875917</v>
      </c>
      <c r="G13" s="0" t="n">
        <f aca="false">G11+G12</f>
        <v>8664.09047727206</v>
      </c>
      <c r="H13" s="0" t="n">
        <f aca="false">H11+H12</f>
        <v>9409.26029837276</v>
      </c>
      <c r="I13" s="0" t="n">
        <f aca="false">I11+I12</f>
        <v>10130.3393047422</v>
      </c>
      <c r="J13" s="0" t="n">
        <f aca="false">J11+J12</f>
        <v>10848.7998582002</v>
      </c>
      <c r="K13" s="0" t="n">
        <f aca="false">K11+K12</f>
        <v>11520.2733644679</v>
      </c>
      <c r="L13" s="0" t="n">
        <f aca="false">L11+L12</f>
        <v>12135.6019312925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4420.9086768</v>
      </c>
      <c r="D15" s="0" t="n">
        <f aca="false">D13-MAX(0,D13)*D14/100</f>
        <v>4950.57958741269</v>
      </c>
      <c r="E15" s="0" t="n">
        <f aca="false">E13-MAX(0,E13)*E14/100</f>
        <v>5519.30664732151</v>
      </c>
      <c r="F15" s="0" t="n">
        <f aca="false">F13-MAX(0,F13)*F14/100</f>
        <v>6135.26477603836</v>
      </c>
      <c r="G15" s="0" t="n">
        <f aca="false">G13-MAX(0,G13)*G14/100</f>
        <v>6714.67011988584</v>
      </c>
      <c r="H15" s="0" t="n">
        <f aca="false">H13-MAX(0,H13)*H14/100</f>
        <v>7292.17673123889</v>
      </c>
      <c r="I15" s="0" t="n">
        <f aca="false">I13-MAX(0,I13)*I14/100</f>
        <v>7851.01296117521</v>
      </c>
      <c r="J15" s="0" t="n">
        <f aca="false">J13-MAX(0,J13)*J14/100</f>
        <v>8407.81989010513</v>
      </c>
      <c r="K15" s="0" t="n">
        <f aca="false">K13-MAX(0,K13)*K14/100</f>
        <v>8928.21185746261</v>
      </c>
      <c r="L15" s="0" t="n">
        <f aca="false">L13-MAX(0,L13)*L14/100</f>
        <v>9405.09149675165</v>
      </c>
    </row>
    <row r="16" customFormat="false" ht="15" hidden="false" customHeight="false" outlineLevel="0" collapsed="false">
      <c r="A16" s="0" t="s">
        <v>128</v>
      </c>
      <c r="C16" s="0" t="n">
        <f aca="false">-C12</f>
        <v>645.911982</v>
      </c>
      <c r="D16" s="0" t="n">
        <f aca="false">-D12</f>
        <v>695.623281948</v>
      </c>
      <c r="E16" s="0" t="n">
        <f aca="false">-E12</f>
        <v>737.25685449444</v>
      </c>
      <c r="F16" s="0" t="n">
        <f aca="false">-F12</f>
        <v>777.483606821418</v>
      </c>
      <c r="G16" s="0" t="n">
        <f aca="false">-G12</f>
        <v>815.785221715605</v>
      </c>
      <c r="H16" s="0" t="n">
        <f aca="false">-H12</f>
        <v>858.509151311383</v>
      </c>
      <c r="I16" s="0" t="n">
        <f aca="false">-I12</f>
        <v>899.099463985385</v>
      </c>
      <c r="J16" s="0" t="n">
        <f aca="false">-J12</f>
        <v>940.869368233289</v>
      </c>
      <c r="K16" s="0" t="n">
        <f aca="false">-K12</f>
        <v>979.848242060097</v>
      </c>
      <c r="L16" s="0" t="n">
        <f aca="false">-L12</f>
        <v>1011.30016094104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-741.602646</v>
      </c>
      <c r="D17" s="4" t="n">
        <f aca="false">-D6*Assumptions!D46/100</f>
        <v>-804.63887091</v>
      </c>
      <c r="E17" s="4" t="n">
        <f aca="false">-E6*Assumptions!E46/100</f>
        <v>-854.9936905734</v>
      </c>
      <c r="F17" s="4" t="n">
        <f aca="false">-F6*Assumptions!F46/100</f>
        <v>-904.0507056063</v>
      </c>
      <c r="G17" s="4" t="n">
        <f aca="false">-G6*Assumptions!G46/100</f>
        <v>-951.212017415429</v>
      </c>
      <c r="H17" s="4" t="n">
        <f aca="false">-H6*Assumptions!H46/100</f>
        <v>-995.870615521204</v>
      </c>
      <c r="I17" s="4" t="n">
        <f aca="false">-I6*Assumptions!I46/100</f>
        <v>-1037.42245844468</v>
      </c>
      <c r="J17" s="4" t="n">
        <f aca="false">-J6*Assumptions!J46/100</f>
        <v>-1075.2792779809</v>
      </c>
      <c r="K17" s="4" t="n">
        <f aca="false">-K6*Assumptions!K46/100</f>
        <v>-1108.88175541781</v>
      </c>
      <c r="L17" s="4" t="n">
        <f aca="false">-L6*Assumptions!L46/100</f>
        <v>-1137.71268105867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237.03192</v>
      </c>
      <c r="D18" s="4" t="n">
        <f aca="false">(D6-C6)*Assumptions!$B$51/100</f>
        <v>244.0111932</v>
      </c>
      <c r="E18" s="4" t="n">
        <f aca="false">(E6-D6)*Assumptions!$B$51/100</f>
        <v>249.178489056</v>
      </c>
      <c r="F18" s="4" t="n">
        <f aca="false">(F6-E6)*Assumptions!$B$51/100</f>
        <v>252.2932201692</v>
      </c>
      <c r="G18" s="4" t="n">
        <f aca="false">(G6-F6)*Assumptions!$B$51/100</f>
        <v>253.134197569764</v>
      </c>
      <c r="H18" s="4" t="n">
        <f aca="false">(H6-G6)*Assumptions!$B$51/100</f>
        <v>251.506906299673</v>
      </c>
      <c r="I18" s="4" t="n">
        <f aca="false">(I6-H6)*Assumptions!$B$51/100</f>
        <v>247.250635577678</v>
      </c>
      <c r="J18" s="4" t="n">
        <f aca="false">(J6-I6)*Assumptions!$B$51/100</f>
        <v>240.245200902977</v>
      </c>
      <c r="K18" s="4" t="n">
        <f aca="false">(K6-J6)*Assumptions!$B$51/100</f>
        <v>230.416988138765</v>
      </c>
      <c r="L18" s="4" t="n">
        <f aca="false">(L6-K6)*Assumptions!$B$51/100</f>
        <v>217.744053791132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4562.2499328</v>
      </c>
      <c r="D19" s="0" t="n">
        <f aca="false">D15+D16+D17+D18</f>
        <v>5085.57519165069</v>
      </c>
      <c r="E19" s="0" t="n">
        <f aca="false">E15+E16+E17+E18</f>
        <v>5650.74830029855</v>
      </c>
      <c r="F19" s="0" t="n">
        <f aca="false">F15+F16+F17+F18</f>
        <v>6260.99089742267</v>
      </c>
      <c r="G19" s="0" t="n">
        <f aca="false">G15+G16+G17+G18</f>
        <v>6832.37752175579</v>
      </c>
      <c r="H19" s="0" t="n">
        <f aca="false">H15+H16+H17+H18</f>
        <v>7406.32217332874</v>
      </c>
      <c r="I19" s="0" t="n">
        <f aca="false">I15+I16+I17+I18</f>
        <v>7959.9406022936</v>
      </c>
      <c r="J19" s="0" t="n">
        <f aca="false">J15+J16+J17+J18</f>
        <v>8513.65518126049</v>
      </c>
      <c r="K19" s="0" t="n">
        <f aca="false">K15+K16+K17+K18</f>
        <v>9029.59533224367</v>
      </c>
      <c r="L19" s="0" t="n">
        <f aca="false">L15+L16+L17+L18</f>
        <v>9496.42303042515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4224.30549333333</v>
      </c>
      <c r="D21" s="0" t="n">
        <f aca="false">D19*D20</f>
        <v>4360.06103536582</v>
      </c>
      <c r="E21" s="0" t="n">
        <f aca="false">E19*E20</f>
        <v>4485.74618666692</v>
      </c>
      <c r="F21" s="0" t="n">
        <f aca="false">F19*F20</f>
        <v>4602.01521769252</v>
      </c>
      <c r="G21" s="0" t="n">
        <f aca="false">G19*G20</f>
        <v>4650.0013370981</v>
      </c>
      <c r="H21" s="0" t="n">
        <f aca="false">H19*H20</f>
        <v>4667.23928054263</v>
      </c>
      <c r="I21" s="0" t="n">
        <f aca="false">I19*I20</f>
        <v>4644.5488882954</v>
      </c>
      <c r="J21" s="0" t="n">
        <f aca="false">J19*J20</f>
        <v>4599.66298781407</v>
      </c>
      <c r="K21" s="0" t="n">
        <f aca="false">K19*K20</f>
        <v>4517.04573856994</v>
      </c>
      <c r="L21" s="0" t="n">
        <f aca="false">L19*L20</f>
        <v>4398.68130779035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45149.3074731691</v>
      </c>
    </row>
    <row r="31" customFormat="false" ht="15" hidden="false" customHeight="false" outlineLevel="0" collapsed="false">
      <c r="A31" s="0" t="s">
        <v>137</v>
      </c>
      <c r="B31" s="0" t="n">
        <f aca="false">L19</f>
        <v>9496.42303042515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218417.729699779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189928.460608503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189928.460608503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87973.6261558071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133122.933628976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132387.933628976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328.261675251615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0.247621433056952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2037.6311474087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4040.18847302936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343.331894989869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85467.8072738264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130.889417151323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124.763174944119</v>
      </c>
      <c r="C4" s="0" t="n">
        <f aca="false">B4/Assumptions!$B$2-1</f>
        <v>-0.525813633293606</v>
      </c>
      <c r="D4" s="4" t="n">
        <f aca="false">Assumptions!$B$24</f>
        <v>0.2</v>
      </c>
      <c r="E4" s="4" t="n">
        <f aca="false">DCF_Bear!$B$43</f>
        <v>132.939267292195</v>
      </c>
      <c r="F4" s="4" t="n">
        <f aca="false">DCF_Bear!$B$47</f>
        <v>74.3655708737311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227.890924242455</v>
      </c>
      <c r="C5" s="0" t="n">
        <f aca="false">B5/Assumptions!$B$2-1</f>
        <v>-0.133856849825339</v>
      </c>
      <c r="D5" s="4" t="n">
        <f aca="false">Assumptions!$B$38</f>
        <v>0.5</v>
      </c>
      <c r="E5" s="4" t="n">
        <f aca="false">DCF_Base!$B$43</f>
        <v>239.920838415151</v>
      </c>
      <c r="F5" s="4" t="n">
        <f aca="false">DCF_Base!$B$47</f>
        <v>102.178355692705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328.261675251615</v>
      </c>
      <c r="C6" s="0" t="n">
        <f aca="false">B6/Assumptions!$B$2-1</f>
        <v>0.247621433056952</v>
      </c>
      <c r="D6" s="4" t="n">
        <f aca="false">Assumptions!$B$52</f>
        <v>0.3</v>
      </c>
      <c r="E6" s="4" t="n">
        <f aca="false">DCF_Bull!$B$43</f>
        <v>343.331894989869</v>
      </c>
      <c r="F6" s="4" t="n">
        <f aca="false">DCF_Bull!$B$47</f>
        <v>130.889417151323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237.376599685536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249.547841162975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-0.108407485609595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211.427900450116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105.229117166495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227.890924242455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213.241169942151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181.366090071796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157.514565120699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139.008682448898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102.178355692705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265.982514362409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265.982514362409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265.982514362409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265.982514362409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265.982514362409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246.031061294423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246.031061294423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246.031061294423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246.031061294423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246.031061294423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209.91181770398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220.749223589672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227.890924242455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227.890924242455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227.890924242455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180.103303163345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187.515914230544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196.068927000389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206.047441898542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211.378429309884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157.388380734644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162.661749892072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168.638234937157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175.468503560111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183.349582740443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2026-09-25T06:58:39Z</dcterms:created>
  <dc:creator>openpyxl</dc:creator>
  <dc:description/>
  <dc:language>en-NZ</dc:language>
  <cp:lastModifiedBy/>
  <dcterms:modified xsi:type="dcterms:W3CDTF">2026-09-25T06:58:39Z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