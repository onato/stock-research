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ase" sheetId="4" state="visible" r:id="rId6"/>
    <sheet name="DCF_Bull" sheetId="5" state="visible" r:id="rId7"/>
    <sheet name="DCF_Bear"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<sst xmlns="http://schemas.openxmlformats.org/spreadsheetml/2006/main" count="212" uniqueCount="123">
  <si>
    <t xml:space="preserve">Ticker</t>
  </si>
  <si>
    <t xml:space="preserve">ATO</t>
  </si>
  <si>
    <t xml:space="preserve">Company</t>
  </si>
  <si>
    <t xml:space="preserve">Atmos Energy Corporation</t>
  </si>
  <si>
    <t xml:space="preserve">Valuation date</t>
  </si>
  <si>
    <t xml:space="preserve">2026-09-26</t>
  </si>
  <si>
    <t xml:space="preserve">Current price (USD)</t>
  </si>
  <si>
    <t xml:space="preserve">Price as of</t>
  </si>
  <si>
    <t xml:space="preserve">2026-09-25T20:00:03Z regular close (Yahoo Finance chart API)</t>
  </si>
  <si>
    <t xml:space="preserve">Balance sheet date</t>
  </si>
  <si>
    <t xml:space="preserve">2026-03-31 (Q2 FY2026 10-Q; latest balance sheet extracted -- Q3 FY2026 10-Q results are cited qualitatively in the Analysis JSON from the August 2026 earnings release but were not yet in the XBRL-parsed core_metrics table at build time)</t>
  </si>
  <si>
    <t xml:space="preserve">Currency / Quote currency</t>
  </si>
  <si>
    <t xml:space="preserve">USD / USD</t>
  </si>
  <si>
    <t xml:space="preserve">Model</t>
  </si>
  <si>
    <t xml:space="preserve">Regulated-utility dividend discount model: EPS/dividend growth at cost of equity, exit-P/E capped terminal value (hand-built, non-component route)</t>
  </si>
  <si>
    <t xml:space="preserve">Engine</t>
  </si>
  <si>
    <t xml:space="preserve">Hand-built (non-component route) -- regulated-utility DDM, see .claude/skills/dcf-methods/SKILL.md</t>
  </si>
  <si>
    <t xml:space="preserve">Shares outstanding (diluted, millions)</t>
  </si>
  <si>
    <t xml:space="preserve">Total debt (millions)</t>
  </si>
  <si>
    <t xml:space="preserve">Cash (millions)</t>
  </si>
  <si>
    <t xml:space="preserve">Net debt (millions, NOT subtracted -- see notes)</t>
  </si>
  <si>
    <t xml:space="preserve">Source JSON</t>
  </si>
  <si>
    <t xml:space="preserve">ATO_DCF.json</t>
  </si>
  <si>
    <t xml:space="preserve">Method note</t>
  </si>
  <si>
    <t xml:space="preserve">NOT a WACC-discounted owner-FCF model. Atmos is a fully regulated natural-gas distribution/transmission utility (Analysis JSON) whose reported OCF is deliberately and structurally exhausted (and exceeded) by a ~$4.2B/yr rate-base capex program funded by continuous debt AND equity issuance -- FY2025 OCF of $2,049M against guided FY2026 capex of ~$4,200M, with total debt more than tripling since FY2018 and shares outstanding up ~53% over the same period via ATM equity raises. 'Free cash flow' in this business is a capex-timing artifact, not a signal, exactly the pattern the dcf-methods skill flags for REITs/banks/land subdividers: the owner-FCF engine's SBC/capex/working-capital machinery does not fit a company whose entire growth algorithm is 'invest more in rate base, earn allowed ROE on it, finance the gap externally.' Instead this model discounts the flow that actually accrues to equity holders post-financing-cost -- dividends per share on the company's own guided EPS growth path -- at the COST OF EQUITY, and never subtracts net debt again (interest expense is already inside the EPS/dividend flow, exactly as for the AFFO/residual-income/BVPS-compounding families in .claude/skills/dcf-methods/SKILL.md). Cost of equity built bottom-up: 10-year UST ~5.0-5.2% as of 2026-09-25 (Yahoo ^TNX) + a utility equity spread of ~2.0pp base case (low-beta ~0.55-0.65 regulated gas LDC; CAPM cross-check: rf 5.0% + beta 0.6 x broad ERP ~7.5% implies ~9.5% unlevered-style, moderated down for the bond-proxy, AA-adjacent-credit, highly regulated cash-flow character investors actually price ATO on -- 7.0% base is consistent with where utility dividend yields + guided growth trade today). Bull case lowers CoE to 6.0% (rate relief / spread compression); bear case raises it to 8.5% (rates stay higher-for-longer, funding costs and dilution cost rise, as flagged as a financial risk in the Analysis JSON).</t>
  </si>
  <si>
    <t xml:space="preserve">FY</t>
  </si>
  <si>
    <t xml:space="preserve">Revenue ($M)</t>
  </si>
  <si>
    <t xml:space="preserve">Net income ($M)</t>
  </si>
  <si>
    <t xml:space="preserve">Diluted EPS ($)</t>
  </si>
  <si>
    <t xml:space="preserve">Shareholders' equity ($M)</t>
  </si>
  <si>
    <t xml:space="preserve">Shares outstanding (M)</t>
  </si>
  <si>
    <t xml:space="preserve">Total debt ($M)</t>
  </si>
  <si>
    <t xml:space="preserve">Cash ($M)</t>
  </si>
  <si>
    <t xml:space="preserve">Book value/share ($)</t>
  </si>
  <si>
    <t xml:space="preserve">Q2 FY2026 (latest, 10-Q, 2026-03-31)</t>
  </si>
  <si>
    <t xml:space="preserve">Driver</t>
  </si>
  <si>
    <t xml:space="preserve">Y1</t>
  </si>
  <si>
    <t xml:space="preserve">Y2</t>
  </si>
  <si>
    <t xml:space="preserve">Y3</t>
  </si>
  <si>
    <t xml:space="preserve">Y4</t>
  </si>
  <si>
    <t xml:space="preserve">Y5</t>
  </si>
  <si>
    <t xml:space="preserve">Y6</t>
  </si>
  <si>
    <t xml:space="preserve">Y7</t>
  </si>
  <si>
    <t xml:space="preserve">Y8</t>
  </si>
  <si>
    <t xml:space="preserve">Y9</t>
  </si>
  <si>
    <t xml:space="preserve">Y10</t>
  </si>
  <si>
    <t xml:space="preserve">Notes</t>
  </si>
  <si>
    <t xml:space="preserve">EPS growth rate (%) -- BASE</t>
  </si>
  <si>
    <t xml:space="preserve">Payout ratio (%) -- BASE</t>
  </si>
  <si>
    <t xml:space="preserve">EPS growth rate (%) -- BULL</t>
  </si>
  <si>
    <t xml:space="preserve">Payout ratio (%) -- BULL</t>
  </si>
  <si>
    <t xml:space="preserve">EPS growth rate (%) -- BEAR</t>
  </si>
  <si>
    <t xml:space="preserve">Payout ratio (%) -- BEAR</t>
  </si>
  <si>
    <t xml:space="preserve">Shares outstanding, diluted (M)</t>
  </si>
  <si>
    <t xml:space="preserve">Total debt (M, disclosure only)</t>
  </si>
  <si>
    <t xml:space="preserve">Cash (M, disclosure only)</t>
  </si>
  <si>
    <t xml:space="preserve">Net debt (M, NOT subtracted -- see Model_Info)</t>
  </si>
  <si>
    <t xml:space="preserve">FY0 EPS (guidance midpoint, $)</t>
  </si>
  <si>
    <t xml:space="preserve">FY0 annualized dividend ($)</t>
  </si>
  <si>
    <t xml:space="preserve">Cost of equity -- BASE</t>
  </si>
  <si>
    <t xml:space="preserve">Cost of equity -- BULL</t>
  </si>
  <si>
    <t xml:space="preserve">Cost of equity -- BEAR</t>
  </si>
  <si>
    <t xml:space="preserve">Terminal dividend growth -- BASE</t>
  </si>
  <si>
    <t xml:space="preserve">Terminal dividend growth -- BULL</t>
  </si>
  <si>
    <t xml:space="preserve">Terminal dividend growth -- BEAR</t>
  </si>
  <si>
    <t xml:space="preserve">Exit P/E cap -- BASE</t>
  </si>
  <si>
    <t xml:space="preserve">Exit P/E cap -- BULL</t>
  </si>
  <si>
    <t xml:space="preserve">Exit P/E cap -- BEAR</t>
  </si>
  <si>
    <t xml:space="preserve">Hurdle rate (entry price)</t>
  </si>
  <si>
    <t xml:space="preserve">Probability weight -- Bear</t>
  </si>
  <si>
    <t xml:space="preserve">Probability weight -- Base</t>
  </si>
  <si>
    <t xml:space="preserve">Probability weight -- Bull</t>
  </si>
  <si>
    <t xml:space="preserve">Line</t>
  </si>
  <si>
    <t xml:space="preserve">EPS growth rate</t>
  </si>
  <si>
    <t xml:space="preserve">EPS ($)</t>
  </si>
  <si>
    <t xml:space="preserve">Payout ratio</t>
  </si>
  <si>
    <t xml:space="preserve">Dividend per share ($)</t>
  </si>
  <si>
    <t xml:space="preserve">Discount factor</t>
  </si>
  <si>
    <t xml:space="preserve">PV of dividend ($)</t>
  </si>
  <si>
    <t xml:space="preserve">Sum PV(dividends), Y1-10</t>
  </si>
  <si>
    <t xml:space="preserve">Terminal EPS (Y10)</t>
  </si>
  <si>
    <t xml:space="preserve">Terminal value (Gordon on Y10 dividend)</t>
  </si>
  <si>
    <t xml:space="preserve">Terminal value (exit P/E x terminal EPS)</t>
  </si>
  <si>
    <t xml:space="preserve">Terminal value (MIN of the two, floored at 0)</t>
  </si>
  <si>
    <t xml:space="preserve">PV of terminal value</t>
  </si>
  <si>
    <t xml:space="preserve">VALUE PER SHARE (Sum PV div + PV terminal)</t>
  </si>
  <si>
    <t xml:space="preserve">Terminal value % of total value</t>
  </si>
  <si>
    <t xml:space="preserve">-- Entry price at 15% hurdle (TV rebuilt at hurdle) --</t>
  </si>
  <si>
    <t xml:space="preserve">Discount factor @ hurdle</t>
  </si>
  <si>
    <t xml:space="preserve">PV of dividend @ hurdle</t>
  </si>
  <si>
    <t xml:space="preserve">Sum PV(dividends) @ hurdle</t>
  </si>
  <si>
    <t xml:space="preserve">Terminal value @ hurdle (Gordon on Y10 div)</t>
  </si>
  <si>
    <t xml:space="preserve">Terminal value @ hurdle (exit P/E cap)</t>
  </si>
  <si>
    <t xml:space="preserve">Terminal value @ hurdle (MIN, floored at 0)</t>
  </si>
  <si>
    <t xml:space="preserve">PV of terminal value @ hurdle</t>
  </si>
  <si>
    <t xml:space="preserve">ENTRY PRICE @ 15% HURDLE</t>
  </si>
  <si>
    <t xml:space="preserve">Scenario</t>
  </si>
  <si>
    <t xml:space="preserve">Intrinsic value ($/sh)</t>
  </si>
  <si>
    <t xml:space="preserve">Entry price @15% ($/sh)</t>
  </si>
  <si>
    <t xml:space="preserve">Weight</t>
  </si>
  <si>
    <t xml:space="preserve">Upside vs current</t>
  </si>
  <si>
    <t xml:space="preserve">Bear</t>
  </si>
  <si>
    <t xml:space="preserve">Base</t>
  </si>
  <si>
    <t xml:space="preserve">Bull</t>
  </si>
  <si>
    <t xml:space="preserve">WEIGHTED (SUMPRODUCT)</t>
  </si>
  <si>
    <t xml:space="preserve">Current price</t>
  </si>
  <si>
    <t xml:space="preserve">Required-return table (BASE case, TV rebuilt at each rate)</t>
  </si>
  <si>
    <t xml:space="preserve">Required return</t>
  </si>
  <si>
    <t xml:space="preserve">6%</t>
  </si>
  <si>
    <t xml:space="preserve">7%</t>
  </si>
  <si>
    <t xml:space="preserve">8%</t>
  </si>
  <si>
    <t xml:space="preserve">9%</t>
  </si>
  <si>
    <t xml:space="preserve">10%</t>
  </si>
  <si>
    <t xml:space="preserve">12%</t>
  </si>
  <si>
    <t xml:space="preserve">15%</t>
  </si>
  <si>
    <t xml:space="preserve">Value per share ($)</t>
  </si>
  <si>
    <t xml:space="preserve">Check: 7% row = Base IV; 15% row = Base entry price</t>
  </si>
  <si>
    <t xml:space="preserve">Sensitivity: Cost of equity (rows) x Terminal dividend growth (cols) -- BASE case</t>
  </si>
  <si>
    <t xml:space="preserve">CoE \ g</t>
  </si>
  <si>
    <t xml:space="preserve">2%</t>
  </si>
  <si>
    <t xml:space="preserve">3%</t>
  </si>
  <si>
    <t xml:space="preserve">4%</t>
  </si>
  <si>
    <t xml:space="preserve">5%</t>
  </si>
</sst>
</file>

<file path=xl/styles.xml><?xml version="1.0" encoding="utf-8"?>
<styleSheet xmlns="http://schemas.openxmlformats.org/spreadsheetml/2006/main">
  <numFmts count="6">
    <numFmt numFmtId="164" formatCode="General"/>
    <numFmt numFmtId="165" formatCode="0.0%"/>
    <numFmt numFmtId="166" formatCode="0.0"/>
    <numFmt numFmtId="167" formatCode="#,##0.0000"/>
    <numFmt numFmtId="168" formatCode="0.0000"/>
    <numFmt numFmtId="169" formatCode="#,##0.00"/>
  </numFmts>
  <fonts count="8">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rgb="FFFFFFFF"/>
      <name val="Cambria"/>
      <family val="0"/>
      <charset val="1"/>
    </font>
    <font>
      <b val="true"/>
      <sz val="12"/>
      <name val="Cambria"/>
      <family val="0"/>
      <charset val="1"/>
    </font>
    <font>
      <i val="true"/>
      <sz val="11"/>
      <name val="Cambria"/>
      <family val="0"/>
      <charset val="1"/>
    </font>
  </fonts>
  <fills count="5">
    <fill>
      <patternFill patternType="none"/>
    </fill>
    <fill>
      <patternFill patternType="gray125"/>
    </fill>
    <fill>
      <patternFill patternType="solid">
        <fgColor rgb="FF1F4E78"/>
        <bgColor rgb="FF003366"/>
      </patternFill>
    </fill>
    <fill>
      <patternFill patternType="solid">
        <fgColor rgb="FFDCE6F1"/>
        <bgColor rgb="FFFCE4D6"/>
      </patternFill>
    </fill>
    <fill>
      <patternFill patternType="solid">
        <fgColor rgb="FFFCE4D6"/>
        <bgColor rgb="FFDCE6F1"/>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5" fontId="0" fillId="3"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6" fontId="0" fillId="3"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7" fontId="0" fillId="4"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9" fontId="6" fillId="4"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9" fontId="0" fillId="4"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E4D6"/>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 min="2" style="0" width="90"/>
  </cols>
  <sheetData>
    <row r="1" customFormat="false" ht="15" hidden="false" customHeight="false" outlineLevel="0" collapsed="false">
      <c r="A1" s="1" t="s">
        <v>0</v>
      </c>
      <c r="B1" s="2" t="s">
        <v>1</v>
      </c>
    </row>
    <row r="2" customFormat="false" ht="15" hidden="false" customHeight="false" outlineLevel="0" collapsed="false">
      <c r="A2" s="1" t="s">
        <v>2</v>
      </c>
      <c r="B2" s="2" t="s">
        <v>3</v>
      </c>
    </row>
    <row r="3" customFormat="false" ht="15" hidden="false" customHeight="false" outlineLevel="0" collapsed="false">
      <c r="A3" s="1" t="s">
        <v>4</v>
      </c>
      <c r="B3" s="2" t="s">
        <v>5</v>
      </c>
    </row>
    <row r="4" customFormat="false" ht="15" hidden="false" customHeight="false" outlineLevel="0" collapsed="false">
      <c r="A4" s="1" t="s">
        <v>6</v>
      </c>
      <c r="B4" s="2" t="n">
        <v>157.21</v>
      </c>
    </row>
    <row r="5" customFormat="false" ht="15" hidden="false" customHeight="false" outlineLevel="0" collapsed="false">
      <c r="A5" s="1" t="s">
        <v>7</v>
      </c>
      <c r="B5" s="2" t="s">
        <v>8</v>
      </c>
    </row>
    <row r="6" customFormat="false" ht="35.05" hidden="false" customHeight="false" outlineLevel="0" collapsed="false">
      <c r="A6" s="1" t="s">
        <v>9</v>
      </c>
      <c r="B6" s="2" t="s">
        <v>10</v>
      </c>
    </row>
    <row r="7" customFormat="false" ht="15" hidden="false" customHeight="false" outlineLevel="0" collapsed="false">
      <c r="A7" s="1" t="s">
        <v>11</v>
      </c>
      <c r="B7" s="2" t="s">
        <v>12</v>
      </c>
    </row>
    <row r="8" customFormat="false" ht="23.85" hidden="false" customHeight="false" outlineLevel="0" collapsed="false">
      <c r="A8" s="1" t="s">
        <v>13</v>
      </c>
      <c r="B8" s="2" t="s">
        <v>14</v>
      </c>
    </row>
    <row r="9" customFormat="false" ht="30" hidden="false" customHeight="true" outlineLevel="0" collapsed="false">
      <c r="A9" s="1" t="s">
        <v>15</v>
      </c>
      <c r="B9" s="2" t="s">
        <v>16</v>
      </c>
    </row>
    <row r="10" customFormat="false" ht="15" hidden="false" customHeight="false" outlineLevel="0" collapsed="false">
      <c r="A10" s="1" t="s">
        <v>17</v>
      </c>
      <c r="B10" s="2" t="n">
        <v>169.374</v>
      </c>
    </row>
    <row r="11" customFormat="false" ht="15" hidden="false" customHeight="false" outlineLevel="0" collapsed="false">
      <c r="A11" s="1" t="s">
        <v>18</v>
      </c>
      <c r="B11" s="2" t="n">
        <v>10251.258</v>
      </c>
    </row>
    <row r="12" customFormat="false" ht="15" hidden="false" customHeight="false" outlineLevel="0" collapsed="false">
      <c r="A12" s="1" t="s">
        <v>19</v>
      </c>
      <c r="B12" s="2" t="n">
        <v>520.953</v>
      </c>
    </row>
    <row r="13" customFormat="false" ht="15" hidden="false" customHeight="false" outlineLevel="0" collapsed="false">
      <c r="A13" s="1" t="s">
        <v>20</v>
      </c>
      <c r="B13" s="2" t="n">
        <v>9730.305</v>
      </c>
    </row>
    <row r="14" customFormat="false" ht="15" hidden="false" customHeight="false" outlineLevel="0" collapsed="false">
      <c r="A14" s="1" t="s">
        <v>21</v>
      </c>
      <c r="B14" s="2" t="s">
        <v>22</v>
      </c>
    </row>
    <row r="16" customFormat="false" ht="259.5" hidden="false" customHeight="true" outlineLevel="0" collapsed="false">
      <c r="A16" s="1" t="s">
        <v>23</v>
      </c>
      <c r="B16" s="2"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9" min="1" style="0" width="18"/>
  </cols>
  <sheetData>
    <row r="1" customFormat="false" ht="15" hidden="false" customHeight="false" outlineLevel="0" collapsed="false">
      <c r="A1" s="3" t="s">
        <v>25</v>
      </c>
      <c r="B1" s="3" t="s">
        <v>26</v>
      </c>
      <c r="C1" s="3" t="s">
        <v>27</v>
      </c>
      <c r="D1" s="3" t="s">
        <v>28</v>
      </c>
      <c r="E1" s="3" t="s">
        <v>29</v>
      </c>
      <c r="F1" s="3" t="s">
        <v>30</v>
      </c>
      <c r="G1" s="3" t="s">
        <v>31</v>
      </c>
      <c r="H1" s="3" t="s">
        <v>32</v>
      </c>
      <c r="I1" s="3" t="s">
        <v>33</v>
      </c>
    </row>
    <row r="2" customFormat="false" ht="15" hidden="false" customHeight="false" outlineLevel="0" collapsed="false">
      <c r="A2" s="0" t="n">
        <v>2015</v>
      </c>
      <c r="C2" s="0" t="n">
        <v>315.075</v>
      </c>
      <c r="D2" s="0" t="n">
        <v>3.09</v>
      </c>
      <c r="E2" s="0" t="n">
        <v>3194.797</v>
      </c>
      <c r="F2" s="0" t="n">
        <v>101.892</v>
      </c>
      <c r="G2" s="0" t="n">
        <v>2437.515</v>
      </c>
      <c r="H2" s="0" t="n">
        <v>28.653</v>
      </c>
      <c r="I2" s="0" t="n">
        <f aca="false">E2/F2</f>
        <v>31.3547383504102</v>
      </c>
    </row>
    <row r="3" customFormat="false" ht="15" hidden="false" customHeight="false" outlineLevel="0" collapsed="false">
      <c r="A3" s="0" t="n">
        <v>2016</v>
      </c>
      <c r="B3" s="0" t="n">
        <v>2454.648</v>
      </c>
      <c r="C3" s="0" t="n">
        <v>350.104</v>
      </c>
      <c r="D3" s="0" t="n">
        <v>3.38</v>
      </c>
      <c r="E3" s="0" t="n">
        <v>3463.059</v>
      </c>
      <c r="F3" s="0" t="n">
        <v>103.524</v>
      </c>
      <c r="G3" s="0" t="n">
        <v>2438.779</v>
      </c>
      <c r="H3" s="0" t="n">
        <v>47.534</v>
      </c>
      <c r="I3" s="0" t="n">
        <f aca="false">E3/F3</f>
        <v>33.4517503187667</v>
      </c>
    </row>
    <row r="4" customFormat="false" ht="15" hidden="false" customHeight="false" outlineLevel="0" collapsed="false">
      <c r="A4" s="0" t="n">
        <v>2017</v>
      </c>
      <c r="B4" s="0" t="n">
        <v>2759.735</v>
      </c>
      <c r="C4" s="0" t="n">
        <v>396.421</v>
      </c>
      <c r="D4" s="0" t="n">
        <v>3.73</v>
      </c>
      <c r="E4" s="0" t="n">
        <v>3898.666</v>
      </c>
      <c r="F4" s="0" t="n">
        <v>106.1</v>
      </c>
      <c r="G4" s="0" t="n">
        <v>3067.045</v>
      </c>
      <c r="H4" s="0" t="n">
        <v>26.409</v>
      </c>
      <c r="I4" s="0" t="n">
        <f aca="false">E4/F4</f>
        <v>36.7452026390198</v>
      </c>
    </row>
    <row r="5" customFormat="false" ht="15" hidden="false" customHeight="false" outlineLevel="0" collapsed="false">
      <c r="A5" s="0" t="n">
        <v>2018</v>
      </c>
      <c r="B5" s="0" t="n">
        <v>3115.546</v>
      </c>
      <c r="C5" s="0" t="n">
        <v>603.064</v>
      </c>
      <c r="D5" s="0" t="n">
        <v>5.43</v>
      </c>
      <c r="E5" s="0" t="n">
        <v>4769.951</v>
      </c>
      <c r="F5" s="0" t="n">
        <v>111.012</v>
      </c>
      <c r="G5" s="0" t="n">
        <v>3068.665</v>
      </c>
      <c r="H5" s="0" t="n">
        <v>13.771</v>
      </c>
      <c r="I5" s="0" t="n">
        <f aca="false">E5/F5</f>
        <v>42.9678863546283</v>
      </c>
    </row>
    <row r="6" customFormat="false" ht="15" hidden="false" customHeight="false" outlineLevel="0" collapsed="false">
      <c r="A6" s="0" t="n">
        <v>2019</v>
      </c>
      <c r="B6" s="0" t="n">
        <v>2901.848</v>
      </c>
      <c r="C6" s="0" t="n">
        <v>511.406</v>
      </c>
      <c r="D6" s="0" t="n">
        <v>4.35</v>
      </c>
      <c r="E6" s="0" t="n">
        <v>5750.223</v>
      </c>
      <c r="F6" s="0" t="n">
        <v>117.461</v>
      </c>
      <c r="G6" s="0" t="n">
        <v>3529.452</v>
      </c>
      <c r="H6" s="0" t="n">
        <v>24.55</v>
      </c>
      <c r="I6" s="0" t="n">
        <f aca="false">E6/F6</f>
        <v>48.9543167519432</v>
      </c>
    </row>
    <row r="7" customFormat="false" ht="15" hidden="false" customHeight="false" outlineLevel="0" collapsed="false">
      <c r="A7" s="0" t="n">
        <v>2020</v>
      </c>
      <c r="B7" s="0" t="n">
        <v>2821.137</v>
      </c>
      <c r="C7" s="0" t="n">
        <v>601.443</v>
      </c>
      <c r="D7" s="0" t="n">
        <v>4.89</v>
      </c>
      <c r="E7" s="0" t="n">
        <v>6791.203</v>
      </c>
      <c r="F7" s="0" t="n">
        <v>122.872</v>
      </c>
      <c r="G7" s="0" t="n">
        <v>4531.944</v>
      </c>
      <c r="H7" s="0" t="n">
        <v>20.808</v>
      </c>
      <c r="I7" s="0" t="n">
        <f aca="false">E7/F7</f>
        <v>55.2705498404844</v>
      </c>
    </row>
    <row r="8" customFormat="false" ht="15" hidden="false" customHeight="false" outlineLevel="0" collapsed="false">
      <c r="A8" s="0" t="n">
        <v>2021</v>
      </c>
      <c r="B8" s="0" t="n">
        <v>3407.49</v>
      </c>
      <c r="C8" s="0" t="n">
        <v>665.563</v>
      </c>
      <c r="D8" s="0" t="n">
        <v>5.12</v>
      </c>
      <c r="E8" s="0" t="n">
        <v>7906.889</v>
      </c>
      <c r="F8" s="0" t="n">
        <v>129.834</v>
      </c>
      <c r="G8" s="0" t="n">
        <v>7330.657</v>
      </c>
      <c r="H8" s="0" t="n">
        <v>116.723</v>
      </c>
      <c r="I8" s="0" t="n">
        <f aca="false">E8/F8</f>
        <v>60.8999876765716</v>
      </c>
    </row>
    <row r="9" customFormat="false" ht="15" hidden="false" customHeight="false" outlineLevel="0" collapsed="false">
      <c r="A9" s="0" t="n">
        <v>2022</v>
      </c>
      <c r="B9" s="0" t="n">
        <v>4201.662</v>
      </c>
      <c r="C9" s="0" t="n">
        <v>774.398</v>
      </c>
      <c r="D9" s="0" t="n">
        <v>5.6</v>
      </c>
      <c r="E9" s="0" t="n">
        <v>9419.091</v>
      </c>
      <c r="F9" s="0" t="n">
        <v>138.096</v>
      </c>
      <c r="G9" s="0" t="n">
        <v>7962.104</v>
      </c>
      <c r="H9" s="0" t="n">
        <v>51.554</v>
      </c>
      <c r="I9" s="0" t="n">
        <f aca="false">E9/F9</f>
        <v>68.2068343760862</v>
      </c>
    </row>
    <row r="10" customFormat="false" ht="15" hidden="false" customHeight="false" outlineLevel="0" collapsed="false">
      <c r="A10" s="0" t="n">
        <v>2023</v>
      </c>
      <c r="B10" s="0" t="n">
        <v>4275.357</v>
      </c>
      <c r="C10" s="0" t="n">
        <v>885.862</v>
      </c>
      <c r="D10" s="0" t="n">
        <v>6.1</v>
      </c>
      <c r="E10" s="0" t="n">
        <v>10870.064</v>
      </c>
      <c r="F10" s="0" t="n">
        <v>145.166</v>
      </c>
      <c r="G10" s="0" t="n">
        <v>6555.701</v>
      </c>
      <c r="H10" s="0" t="n">
        <v>15.404</v>
      </c>
      <c r="I10" s="0" t="n">
        <f aca="false">E10/F10</f>
        <v>74.88023366353</v>
      </c>
    </row>
    <row r="11" customFormat="false" ht="15" hidden="false" customHeight="false" outlineLevel="0" collapsed="false">
      <c r="A11" s="0" t="n">
        <v>2024</v>
      </c>
      <c r="B11" s="0" t="n">
        <v>4165.187</v>
      </c>
      <c r="C11" s="0" t="n">
        <v>1042.895</v>
      </c>
      <c r="D11" s="0" t="n">
        <v>6.83</v>
      </c>
      <c r="E11" s="0" t="n">
        <v>12157.669</v>
      </c>
      <c r="F11" s="0" t="n">
        <v>152.666</v>
      </c>
      <c r="G11" s="0" t="n">
        <v>7785.297</v>
      </c>
      <c r="H11" s="0" t="n">
        <v>307.34</v>
      </c>
      <c r="I11" s="0" t="n">
        <f aca="false">E11/F11</f>
        <v>79.63573421718</v>
      </c>
    </row>
    <row r="12" customFormat="false" ht="15" hidden="false" customHeight="false" outlineLevel="0" collapsed="false">
      <c r="A12" s="0" t="n">
        <v>2025</v>
      </c>
      <c r="B12" s="0" t="n">
        <v>4702.755</v>
      </c>
      <c r="C12" s="0" t="n">
        <v>1198.754</v>
      </c>
      <c r="D12" s="0" t="n">
        <v>7.46</v>
      </c>
      <c r="E12" s="0" t="n">
        <v>13558.89</v>
      </c>
      <c r="F12" s="0" t="n">
        <v>160.573</v>
      </c>
      <c r="G12" s="0" t="n">
        <v>8918.944</v>
      </c>
      <c r="H12" s="0" t="n">
        <v>202.687</v>
      </c>
      <c r="I12" s="0" t="n">
        <f aca="false">E12/F12</f>
        <v>84.4406593885647</v>
      </c>
    </row>
    <row r="14" customFormat="false" ht="15" hidden="false" customHeight="false" outlineLevel="0" collapsed="false">
      <c r="A14" s="1" t="s">
        <v>34</v>
      </c>
    </row>
    <row r="15" customFormat="false" ht="15" hidden="false" customHeight="false" outlineLevel="0" collapsed="false">
      <c r="A15" s="0" t="s">
        <v>30</v>
      </c>
      <c r="B15" s="0" t="n">
        <v>169.374</v>
      </c>
    </row>
    <row r="16" customFormat="false" ht="15" hidden="false" customHeight="false" outlineLevel="0" collapsed="false">
      <c r="A16" s="0" t="s">
        <v>31</v>
      </c>
      <c r="B16" s="0" t="n">
        <v>10251.258</v>
      </c>
    </row>
    <row r="17" customFormat="false" ht="15" hidden="false" customHeight="false" outlineLevel="0" collapsed="false">
      <c r="A17" s="0" t="s">
        <v>32</v>
      </c>
      <c r="B17" s="0" t="n">
        <v>520.953</v>
      </c>
    </row>
    <row r="18" customFormat="false" ht="15" hidden="false" customHeight="false" outlineLevel="0" collapsed="false">
      <c r="A18" s="0" t="s">
        <v>29</v>
      </c>
      <c r="B18" s="0" t="n">
        <v>15258.058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12" min="2" style="0" width="11"/>
  </cols>
  <sheetData>
    <row r="1" customFormat="false" ht="15" hidden="false" customHeight="false" outlineLevel="0" collapsed="false">
      <c r="A1" s="3" t="s">
        <v>35</v>
      </c>
      <c r="B1" s="3" t="s">
        <v>36</v>
      </c>
      <c r="C1" s="3" t="s">
        <v>37</v>
      </c>
      <c r="D1" s="3" t="s">
        <v>38</v>
      </c>
      <c r="E1" s="3" t="s">
        <v>39</v>
      </c>
      <c r="F1" s="3" t="s">
        <v>40</v>
      </c>
      <c r="G1" s="3" t="s">
        <v>41</v>
      </c>
      <c r="H1" s="3" t="s">
        <v>42</v>
      </c>
      <c r="I1" s="3" t="s">
        <v>43</v>
      </c>
      <c r="J1" s="3" t="s">
        <v>44</v>
      </c>
      <c r="K1" s="3" t="s">
        <v>45</v>
      </c>
      <c r="L1" s="3" t="s">
        <v>46</v>
      </c>
    </row>
    <row r="2" customFormat="false" ht="15" hidden="false" customHeight="false" outlineLevel="0" collapsed="false">
      <c r="A2" s="1" t="s">
        <v>47</v>
      </c>
      <c r="B2" s="4" t="n">
        <v>0.075</v>
      </c>
      <c r="C2" s="4" t="n">
        <v>0.07</v>
      </c>
      <c r="D2" s="4" t="n">
        <v>0.07</v>
      </c>
      <c r="E2" s="4" t="n">
        <v>0.065</v>
      </c>
      <c r="F2" s="4" t="n">
        <v>0.065</v>
      </c>
      <c r="G2" s="4" t="n">
        <v>0.06</v>
      </c>
      <c r="H2" s="4" t="n">
        <v>0.06</v>
      </c>
      <c r="I2" s="4" t="n">
        <v>0.055</v>
      </c>
      <c r="J2" s="4" t="n">
        <v>0.055</v>
      </c>
      <c r="K2" s="4" t="n">
        <v>0.05</v>
      </c>
    </row>
    <row r="3" customFormat="false" ht="15" hidden="false" customHeight="false" outlineLevel="0" collapsed="false">
      <c r="A3" s="1" t="s">
        <v>48</v>
      </c>
      <c r="B3" s="4" t="n">
        <v>0.47</v>
      </c>
      <c r="C3" s="4" t="n">
        <v>0.475</v>
      </c>
      <c r="D3" s="4" t="n">
        <v>0.48</v>
      </c>
      <c r="E3" s="4" t="n">
        <v>0.485</v>
      </c>
      <c r="F3" s="4" t="n">
        <v>0.49</v>
      </c>
      <c r="G3" s="4" t="n">
        <v>0.495</v>
      </c>
      <c r="H3" s="4" t="n">
        <v>0.5</v>
      </c>
      <c r="I3" s="4" t="n">
        <v>0.5</v>
      </c>
      <c r="J3" s="4" t="n">
        <v>0.5</v>
      </c>
      <c r="K3" s="4" t="n">
        <v>0.5</v>
      </c>
    </row>
    <row r="5" customFormat="false" ht="15" hidden="false" customHeight="false" outlineLevel="0" collapsed="false">
      <c r="A5" s="1" t="s">
        <v>49</v>
      </c>
      <c r="B5" s="4" t="n">
        <v>0.085</v>
      </c>
      <c r="C5" s="4" t="n">
        <v>0.08</v>
      </c>
      <c r="D5" s="4" t="n">
        <v>0.08</v>
      </c>
      <c r="E5" s="4" t="n">
        <v>0.075</v>
      </c>
      <c r="F5" s="4" t="n">
        <v>0.075</v>
      </c>
      <c r="G5" s="4" t="n">
        <v>0.07</v>
      </c>
      <c r="H5" s="4" t="n">
        <v>0.07</v>
      </c>
      <c r="I5" s="4" t="n">
        <v>0.065</v>
      </c>
      <c r="J5" s="4" t="n">
        <v>0.065</v>
      </c>
      <c r="K5" s="4" t="n">
        <v>0.06</v>
      </c>
    </row>
    <row r="6" customFormat="false" ht="15" hidden="false" customHeight="false" outlineLevel="0" collapsed="false">
      <c r="A6" s="1" t="s">
        <v>50</v>
      </c>
      <c r="B6" s="4" t="n">
        <v>0.47</v>
      </c>
      <c r="C6" s="4" t="n">
        <v>0.475</v>
      </c>
      <c r="D6" s="4" t="n">
        <v>0.48</v>
      </c>
      <c r="E6" s="4" t="n">
        <v>0.485</v>
      </c>
      <c r="F6" s="4" t="n">
        <v>0.49</v>
      </c>
      <c r="G6" s="4" t="n">
        <v>0.495</v>
      </c>
      <c r="H6" s="4" t="n">
        <v>0.5</v>
      </c>
      <c r="I6" s="4" t="n">
        <v>0.505</v>
      </c>
      <c r="J6" s="4" t="n">
        <v>0.51</v>
      </c>
      <c r="K6" s="4" t="n">
        <v>0.515</v>
      </c>
    </row>
    <row r="8" customFormat="false" ht="15" hidden="false" customHeight="false" outlineLevel="0" collapsed="false">
      <c r="A8" s="1" t="s">
        <v>51</v>
      </c>
      <c r="B8" s="4" t="n">
        <v>0.05</v>
      </c>
      <c r="C8" s="4" t="n">
        <v>0.045</v>
      </c>
      <c r="D8" s="4" t="n">
        <v>0.045</v>
      </c>
      <c r="E8" s="4" t="n">
        <v>0.04</v>
      </c>
      <c r="F8" s="4" t="n">
        <v>0.04</v>
      </c>
      <c r="G8" s="4" t="n">
        <v>0.035</v>
      </c>
      <c r="H8" s="4" t="n">
        <v>0.035</v>
      </c>
      <c r="I8" s="4" t="n">
        <v>0.03</v>
      </c>
      <c r="J8" s="4" t="n">
        <v>0.03</v>
      </c>
      <c r="K8" s="4" t="n">
        <v>0.03</v>
      </c>
    </row>
    <row r="9" customFormat="false" ht="15" hidden="false" customHeight="false" outlineLevel="0" collapsed="false">
      <c r="A9" s="1" t="s">
        <v>52</v>
      </c>
      <c r="B9" s="4" t="n">
        <v>0.47</v>
      </c>
      <c r="C9" s="4" t="n">
        <v>0.465</v>
      </c>
      <c r="D9" s="4" t="n">
        <v>0.46</v>
      </c>
      <c r="E9" s="4" t="n">
        <v>0.455</v>
      </c>
      <c r="F9" s="4" t="n">
        <v>0.45</v>
      </c>
      <c r="G9" s="4" t="n">
        <v>0.445</v>
      </c>
      <c r="H9" s="4" t="n">
        <v>0.44</v>
      </c>
      <c r="I9" s="4" t="n">
        <v>0.44</v>
      </c>
      <c r="J9" s="4" t="n">
        <v>0.44</v>
      </c>
      <c r="K9" s="4" t="n">
        <v>0.44</v>
      </c>
    </row>
    <row r="11" customFormat="false" ht="15" hidden="false" customHeight="false" outlineLevel="0" collapsed="false">
      <c r="A11" s="1" t="s">
        <v>6</v>
      </c>
      <c r="B11" s="5" t="n">
        <v>157.21</v>
      </c>
    </row>
    <row r="12" customFormat="false" ht="15" hidden="false" customHeight="false" outlineLevel="0" collapsed="false">
      <c r="A12" s="1" t="s">
        <v>53</v>
      </c>
      <c r="B12" s="5" t="n">
        <v>169.374</v>
      </c>
    </row>
    <row r="13" customFormat="false" ht="15" hidden="false" customHeight="false" outlineLevel="0" collapsed="false">
      <c r="A13" s="1" t="s">
        <v>54</v>
      </c>
      <c r="B13" s="5" t="n">
        <v>10251.258</v>
      </c>
    </row>
    <row r="14" customFormat="false" ht="15" hidden="false" customHeight="false" outlineLevel="0" collapsed="false">
      <c r="A14" s="1" t="s">
        <v>55</v>
      </c>
      <c r="B14" s="5" t="n">
        <v>520.953</v>
      </c>
    </row>
    <row r="15" customFormat="false" ht="15" hidden="false" customHeight="false" outlineLevel="0" collapsed="false">
      <c r="A15" s="1" t="s">
        <v>56</v>
      </c>
      <c r="B15" s="5" t="n">
        <v>9730.305</v>
      </c>
    </row>
    <row r="16" customFormat="false" ht="15" hidden="false" customHeight="false" outlineLevel="0" collapsed="false">
      <c r="A16" s="1" t="s">
        <v>57</v>
      </c>
      <c r="B16" s="5" t="n">
        <v>8.45</v>
      </c>
    </row>
    <row r="17" customFormat="false" ht="15" hidden="false" customHeight="false" outlineLevel="0" collapsed="false">
      <c r="A17" s="1" t="s">
        <v>58</v>
      </c>
      <c r="B17" s="5" t="n">
        <v>4</v>
      </c>
    </row>
    <row r="18" customFormat="false" ht="15" hidden="false" customHeight="false" outlineLevel="0" collapsed="false">
      <c r="A18" s="1" t="s">
        <v>59</v>
      </c>
      <c r="B18" s="4" t="n">
        <v>0.07</v>
      </c>
    </row>
    <row r="19" customFormat="false" ht="15" hidden="false" customHeight="false" outlineLevel="0" collapsed="false">
      <c r="A19" s="1" t="s">
        <v>60</v>
      </c>
      <c r="B19" s="4" t="n">
        <v>0.06</v>
      </c>
    </row>
    <row r="20" customFormat="false" ht="15" hidden="false" customHeight="false" outlineLevel="0" collapsed="false">
      <c r="A20" s="1" t="s">
        <v>61</v>
      </c>
      <c r="B20" s="4" t="n">
        <v>0.085</v>
      </c>
    </row>
    <row r="21" customFormat="false" ht="15" hidden="false" customHeight="false" outlineLevel="0" collapsed="false">
      <c r="A21" s="1" t="s">
        <v>62</v>
      </c>
      <c r="B21" s="4" t="n">
        <v>0.04</v>
      </c>
    </row>
    <row r="22" customFormat="false" ht="15" hidden="false" customHeight="false" outlineLevel="0" collapsed="false">
      <c r="A22" s="1" t="s">
        <v>63</v>
      </c>
      <c r="B22" s="4" t="n">
        <v>0.045</v>
      </c>
    </row>
    <row r="23" customFormat="false" ht="15" hidden="false" customHeight="false" outlineLevel="0" collapsed="false">
      <c r="A23" s="1" t="s">
        <v>64</v>
      </c>
      <c r="B23" s="4" t="n">
        <v>0.03</v>
      </c>
    </row>
    <row r="24" customFormat="false" ht="15" hidden="false" customHeight="false" outlineLevel="0" collapsed="false">
      <c r="A24" s="1" t="s">
        <v>65</v>
      </c>
      <c r="B24" s="6" t="n">
        <v>19</v>
      </c>
    </row>
    <row r="25" customFormat="false" ht="15" hidden="false" customHeight="false" outlineLevel="0" collapsed="false">
      <c r="A25" s="1" t="s">
        <v>66</v>
      </c>
      <c r="B25" s="6" t="n">
        <v>21</v>
      </c>
    </row>
    <row r="26" customFormat="false" ht="15" hidden="false" customHeight="false" outlineLevel="0" collapsed="false">
      <c r="A26" s="1" t="s">
        <v>67</v>
      </c>
      <c r="B26" s="6" t="n">
        <v>15</v>
      </c>
    </row>
    <row r="27" customFormat="false" ht="15" hidden="false" customHeight="false" outlineLevel="0" collapsed="false">
      <c r="A27" s="1" t="s">
        <v>68</v>
      </c>
      <c r="B27" s="4" t="n">
        <v>0.15</v>
      </c>
    </row>
    <row r="28" customFormat="false" ht="15" hidden="false" customHeight="false" outlineLevel="0" collapsed="false">
      <c r="A28" s="1" t="s">
        <v>69</v>
      </c>
      <c r="B28" s="4" t="n">
        <v>0.25</v>
      </c>
    </row>
    <row r="29" customFormat="false" ht="15" hidden="false" customHeight="false" outlineLevel="0" collapsed="false">
      <c r="A29" s="1" t="s">
        <v>70</v>
      </c>
      <c r="B29" s="4" t="n">
        <v>0.5</v>
      </c>
    </row>
    <row r="30" customFormat="false" ht="15" hidden="false" customHeight="false" outlineLevel="0" collapsed="false">
      <c r="A30" s="1" t="s">
        <v>71</v>
      </c>
      <c r="B30" s="4"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12" min="2" style="0" width="12"/>
  </cols>
  <sheetData>
    <row r="1" customFormat="false" ht="15" hidden="false" customHeight="false" outlineLevel="0" collapsed="false">
      <c r="A1" s="3" t="s">
        <v>72</v>
      </c>
      <c r="B1" s="3" t="s">
        <v>36</v>
      </c>
      <c r="C1" s="3" t="s">
        <v>37</v>
      </c>
      <c r="D1" s="3" t="s">
        <v>38</v>
      </c>
      <c r="E1" s="3" t="s">
        <v>39</v>
      </c>
      <c r="F1" s="3" t="s">
        <v>40</v>
      </c>
      <c r="G1" s="3" t="s">
        <v>41</v>
      </c>
      <c r="H1" s="3" t="s">
        <v>42</v>
      </c>
      <c r="I1" s="3" t="s">
        <v>43</v>
      </c>
      <c r="J1" s="3" t="s">
        <v>44</v>
      </c>
      <c r="K1" s="3" t="s">
        <v>45</v>
      </c>
    </row>
    <row r="2" customFormat="false" ht="15" hidden="false" customHeight="false" outlineLevel="0" collapsed="false">
      <c r="A2" s="1" t="s">
        <v>73</v>
      </c>
      <c r="B2" s="7" t="n">
        <f aca="false">Assumptions!B2</f>
        <v>0.075</v>
      </c>
      <c r="C2" s="7" t="n">
        <f aca="false">Assumptions!C2</f>
        <v>0.07</v>
      </c>
      <c r="D2" s="7" t="n">
        <f aca="false">Assumptions!D2</f>
        <v>0.07</v>
      </c>
      <c r="E2" s="7" t="n">
        <f aca="false">Assumptions!E2</f>
        <v>0.065</v>
      </c>
      <c r="F2" s="7" t="n">
        <f aca="false">Assumptions!F2</f>
        <v>0.065</v>
      </c>
      <c r="G2" s="7" t="n">
        <f aca="false">Assumptions!G2</f>
        <v>0.06</v>
      </c>
      <c r="H2" s="7" t="n">
        <f aca="false">Assumptions!H2</f>
        <v>0.06</v>
      </c>
      <c r="I2" s="7" t="n">
        <f aca="false">Assumptions!I2</f>
        <v>0.055</v>
      </c>
      <c r="J2" s="7" t="n">
        <f aca="false">Assumptions!J2</f>
        <v>0.055</v>
      </c>
      <c r="K2" s="7" t="n">
        <f aca="false">Assumptions!K2</f>
        <v>0.05</v>
      </c>
    </row>
    <row r="3" customFormat="false" ht="15" hidden="false" customHeight="false" outlineLevel="0" collapsed="false">
      <c r="A3" s="1" t="s">
        <v>74</v>
      </c>
      <c r="B3" s="8" t="n">
        <f aca="false">Assumptions!$B$16*(1+B2)</f>
        <v>9.08375</v>
      </c>
      <c r="C3" s="8" t="n">
        <f aca="false">B3*(1+C2)</f>
        <v>9.7196125</v>
      </c>
      <c r="D3" s="8" t="n">
        <f aca="false">C3*(1+D2)</f>
        <v>10.399985375</v>
      </c>
      <c r="E3" s="8" t="n">
        <f aca="false">D3*(1+E2)</f>
        <v>11.075984424375</v>
      </c>
      <c r="F3" s="8" t="n">
        <f aca="false">E3*(1+F2)</f>
        <v>11.7959234119594</v>
      </c>
      <c r="G3" s="8" t="n">
        <f aca="false">F3*(1+G2)</f>
        <v>12.5036788166769</v>
      </c>
      <c r="H3" s="8" t="n">
        <f aca="false">G3*(1+H2)</f>
        <v>13.2538995456776</v>
      </c>
      <c r="I3" s="8" t="n">
        <f aca="false">H3*(1+I2)</f>
        <v>13.9828640206898</v>
      </c>
      <c r="J3" s="8" t="n">
        <f aca="false">I3*(1+J2)</f>
        <v>14.7519215418278</v>
      </c>
      <c r="K3" s="8" t="n">
        <f aca="false">J3*(1+K2)</f>
        <v>15.4895176189191</v>
      </c>
    </row>
    <row r="4" customFormat="false" ht="15" hidden="false" customHeight="false" outlineLevel="0" collapsed="false">
      <c r="A4" s="1" t="s">
        <v>75</v>
      </c>
      <c r="B4" s="7" t="n">
        <f aca="false">Assumptions!B3</f>
        <v>0.47</v>
      </c>
      <c r="C4" s="7" t="n">
        <f aca="false">Assumptions!C3</f>
        <v>0.475</v>
      </c>
      <c r="D4" s="7" t="n">
        <f aca="false">Assumptions!D3</f>
        <v>0.48</v>
      </c>
      <c r="E4" s="7" t="n">
        <f aca="false">Assumptions!E3</f>
        <v>0.485</v>
      </c>
      <c r="F4" s="7" t="n">
        <f aca="false">Assumptions!F3</f>
        <v>0.49</v>
      </c>
      <c r="G4" s="7" t="n">
        <f aca="false">Assumptions!G3</f>
        <v>0.495</v>
      </c>
      <c r="H4" s="7" t="n">
        <f aca="false">Assumptions!H3</f>
        <v>0.5</v>
      </c>
      <c r="I4" s="7" t="n">
        <f aca="false">Assumptions!I3</f>
        <v>0.5</v>
      </c>
      <c r="J4" s="7" t="n">
        <f aca="false">Assumptions!J3</f>
        <v>0.5</v>
      </c>
      <c r="K4" s="7" t="n">
        <f aca="false">Assumptions!K3</f>
        <v>0.5</v>
      </c>
    </row>
    <row r="5" customFormat="false" ht="15" hidden="false" customHeight="false" outlineLevel="0" collapsed="false">
      <c r="A5" s="1" t="s">
        <v>76</v>
      </c>
      <c r="B5" s="8" t="n">
        <f aca="false">B3*B4</f>
        <v>4.2693625</v>
      </c>
      <c r="C5" s="8" t="n">
        <f aca="false">C3*C4</f>
        <v>4.6168159375</v>
      </c>
      <c r="D5" s="8" t="n">
        <f aca="false">D3*D4</f>
        <v>4.99199298</v>
      </c>
      <c r="E5" s="8" t="n">
        <f aca="false">E3*E4</f>
        <v>5.37185244582187</v>
      </c>
      <c r="F5" s="8" t="n">
        <f aca="false">F3*F4</f>
        <v>5.78000247186009</v>
      </c>
      <c r="G5" s="8" t="n">
        <f aca="false">G3*G4</f>
        <v>6.18932101425508</v>
      </c>
      <c r="H5" s="8" t="n">
        <f aca="false">H3*H4</f>
        <v>6.62694977283878</v>
      </c>
      <c r="I5" s="8" t="n">
        <f aca="false">I3*I4</f>
        <v>6.99143201034491</v>
      </c>
      <c r="J5" s="8" t="n">
        <f aca="false">J3*J4</f>
        <v>7.37596077091388</v>
      </c>
      <c r="K5" s="8" t="n">
        <f aca="false">K3*K4</f>
        <v>7.74475880945957</v>
      </c>
    </row>
    <row r="6" customFormat="false" ht="15" hidden="false" customHeight="false" outlineLevel="0" collapsed="false">
      <c r="A6" s="1" t="s">
        <v>77</v>
      </c>
      <c r="B6" s="9" t="n">
        <f aca="false">1/(1+Assumptions!$B$18)^1</f>
        <v>0.934579439252336</v>
      </c>
      <c r="C6" s="9" t="n">
        <f aca="false">1/(1+Assumptions!$B$18)^2</f>
        <v>0.873438728273212</v>
      </c>
      <c r="D6" s="9" t="n">
        <f aca="false">1/(1+Assumptions!$B$18)^3</f>
        <v>0.816297876890852</v>
      </c>
      <c r="E6" s="9" t="n">
        <f aca="false">1/(1+Assumptions!$B$18)^4</f>
        <v>0.762895212047525</v>
      </c>
      <c r="F6" s="9" t="n">
        <f aca="false">1/(1+Assumptions!$B$18)^5</f>
        <v>0.712986179483668</v>
      </c>
      <c r="G6" s="9" t="n">
        <f aca="false">1/(1+Assumptions!$B$18)^6</f>
        <v>0.666342223816512</v>
      </c>
      <c r="H6" s="9" t="n">
        <f aca="false">1/(1+Assumptions!$B$18)^7</f>
        <v>0.622749741884591</v>
      </c>
      <c r="I6" s="9" t="n">
        <f aca="false">1/(1+Assumptions!$B$18)^8</f>
        <v>0.582009104565038</v>
      </c>
      <c r="J6" s="9" t="n">
        <f aca="false">1/(1+Assumptions!$B$18)^9</f>
        <v>0.543933742584148</v>
      </c>
      <c r="K6" s="9" t="n">
        <f aca="false">1/(1+Assumptions!$B$18)^10</f>
        <v>0.508349292134718</v>
      </c>
    </row>
    <row r="7" customFormat="false" ht="15" hidden="false" customHeight="false" outlineLevel="0" collapsed="false">
      <c r="A7" s="1" t="s">
        <v>78</v>
      </c>
      <c r="B7" s="8" t="n">
        <f aca="false">B5*B6</f>
        <v>3.99005841121495</v>
      </c>
      <c r="C7" s="8" t="n">
        <f aca="false">C5*C6</f>
        <v>4.0325058411215</v>
      </c>
      <c r="D7" s="8" t="n">
        <f aca="false">D5*D6</f>
        <v>4.07495327102804</v>
      </c>
      <c r="E7" s="8" t="n">
        <f aca="false">E5*E6</f>
        <v>4.09816051074329</v>
      </c>
      <c r="F7" s="8" t="n">
        <f aca="false">F5*F6</f>
        <v>4.12106187981769</v>
      </c>
      <c r="G7" s="8" t="n">
        <f aca="false">G5*G6</f>
        <v>4.124205928553</v>
      </c>
      <c r="H7" s="8" t="n">
        <f aca="false">H5*H6</f>
        <v>4.1269312605175</v>
      </c>
      <c r="I7" s="8" t="n">
        <f aca="false">I5*I6</f>
        <v>4.06907708396818</v>
      </c>
      <c r="J7" s="8" t="n">
        <f aca="false">J5*J6</f>
        <v>4.01203394727704</v>
      </c>
      <c r="K7" s="8" t="n">
        <f aca="false">K5*K6</f>
        <v>3.93704265854289</v>
      </c>
    </row>
    <row r="9" customFormat="false" ht="15" hidden="false" customHeight="false" outlineLevel="0" collapsed="false">
      <c r="A9" s="1" t="s">
        <v>79</v>
      </c>
      <c r="B9" s="10" t="n">
        <f aca="false">SUM(B7:K7)</f>
        <v>40.5860307927841</v>
      </c>
    </row>
    <row r="10" customFormat="false" ht="15" hidden="false" customHeight="false" outlineLevel="0" collapsed="false">
      <c r="A10" s="1" t="s">
        <v>80</v>
      </c>
      <c r="B10" s="8" t="n">
        <f aca="false">K3</f>
        <v>15.4895176189191</v>
      </c>
    </row>
    <row r="11" customFormat="false" ht="15" hidden="false" customHeight="false" outlineLevel="0" collapsed="false">
      <c r="A11" s="1" t="s">
        <v>81</v>
      </c>
      <c r="B11" s="8" t="n">
        <f aca="false">K5*(1+Assumptions!$B$21)/(Assumptions!$B$18-Assumptions!$B$21)</f>
        <v>268.484972061265</v>
      </c>
    </row>
    <row r="12" customFormat="false" ht="15" hidden="false" customHeight="false" outlineLevel="0" collapsed="false">
      <c r="A12" s="1" t="s">
        <v>82</v>
      </c>
      <c r="B12" s="8" t="n">
        <f aca="false">Assumptions!$B$24*B10</f>
        <v>294.300834759464</v>
      </c>
    </row>
    <row r="13" customFormat="false" ht="15" hidden="false" customHeight="false" outlineLevel="0" collapsed="false">
      <c r="A13" s="1" t="s">
        <v>83</v>
      </c>
      <c r="B13" s="10" t="n">
        <f aca="false">MAX(0,MIN(B11,B12))</f>
        <v>268.484972061265</v>
      </c>
    </row>
    <row r="14" customFormat="false" ht="15" hidden="false" customHeight="false" outlineLevel="0" collapsed="false">
      <c r="A14" s="1" t="s">
        <v>84</v>
      </c>
      <c r="B14" s="10" t="n">
        <f aca="false">B13*K6</f>
        <v>136.484145496154</v>
      </c>
    </row>
    <row r="16" customFormat="false" ht="15" hidden="false" customHeight="false" outlineLevel="0" collapsed="false">
      <c r="A16" s="11" t="s">
        <v>85</v>
      </c>
      <c r="B16" s="12" t="n">
        <f aca="false">B9+B14</f>
        <v>177.070176288938</v>
      </c>
    </row>
    <row r="17" customFormat="false" ht="15" hidden="false" customHeight="false" outlineLevel="0" collapsed="false">
      <c r="A17" s="1" t="s">
        <v>86</v>
      </c>
      <c r="B17" s="7" t="n">
        <f aca="false">B14/B16</f>
        <v>0.770791266810753</v>
      </c>
    </row>
    <row r="19" customFormat="false" ht="15" hidden="false" customHeight="false" outlineLevel="0" collapsed="false">
      <c r="A19" s="1" t="s">
        <v>87</v>
      </c>
    </row>
    <row r="20" customFormat="false" ht="15" hidden="false" customHeight="false" outlineLevel="0" collapsed="false">
      <c r="A20" s="1" t="s">
        <v>88</v>
      </c>
      <c r="B20" s="9" t="n">
        <f aca="false">1/(1+Assumptions!$B$27)^1</f>
        <v>0.869565217391304</v>
      </c>
      <c r="C20" s="9" t="n">
        <f aca="false">1/(1+Assumptions!$B$27)^2</f>
        <v>0.756143667296787</v>
      </c>
      <c r="D20" s="9" t="n">
        <f aca="false">1/(1+Assumptions!$B$27)^3</f>
        <v>0.657516232431988</v>
      </c>
      <c r="E20" s="9" t="n">
        <f aca="false">1/(1+Assumptions!$B$27)^4</f>
        <v>0.571753245593033</v>
      </c>
      <c r="F20" s="9" t="n">
        <f aca="false">1/(1+Assumptions!$B$27)^5</f>
        <v>0.49717673529829</v>
      </c>
      <c r="G20" s="9" t="n">
        <f aca="false">1/(1+Assumptions!$B$27)^6</f>
        <v>0.432327595911556</v>
      </c>
      <c r="H20" s="9" t="n">
        <f aca="false">1/(1+Assumptions!$B$27)^7</f>
        <v>0.375937039923093</v>
      </c>
      <c r="I20" s="9" t="n">
        <f aca="false">1/(1+Assumptions!$B$27)^8</f>
        <v>0.326901773846168</v>
      </c>
      <c r="J20" s="9" t="n">
        <f aca="false">1/(1+Assumptions!$B$27)^9</f>
        <v>0.284262412040146</v>
      </c>
      <c r="K20" s="9" t="n">
        <f aca="false">1/(1+Assumptions!$B$27)^10</f>
        <v>0.247184706121866</v>
      </c>
    </row>
    <row r="21" customFormat="false" ht="15" hidden="false" customHeight="false" outlineLevel="0" collapsed="false">
      <c r="A21" s="1" t="s">
        <v>89</v>
      </c>
      <c r="B21" s="8" t="n">
        <f aca="false">B5*B20</f>
        <v>3.71248913043478</v>
      </c>
      <c r="C21" s="8" t="n">
        <f aca="false">C5*C20</f>
        <v>3.4909761342155</v>
      </c>
      <c r="D21" s="8" t="n">
        <f aca="false">D5*D20</f>
        <v>3.28231641653653</v>
      </c>
      <c r="E21" s="8" t="n">
        <f aca="false">E5*E20</f>
        <v>3.07137407074553</v>
      </c>
      <c r="F21" s="8" t="n">
        <f aca="false">F5*F20</f>
        <v>2.87368275897545</v>
      </c>
      <c r="G21" s="8" t="n">
        <f aca="false">G5*G20</f>
        <v>2.67581427441778</v>
      </c>
      <c r="H21" s="8" t="n">
        <f aca="false">H5*H20</f>
        <v>2.49131588132002</v>
      </c>
      <c r="I21" s="8" t="n">
        <f aca="false">I5*I20</f>
        <v>2.28551152590663</v>
      </c>
      <c r="J21" s="8" t="n">
        <f aca="false">J5*J20</f>
        <v>2.09670839985347</v>
      </c>
      <c r="K21" s="8" t="n">
        <f aca="false">K5*K20</f>
        <v>1.914385930301</v>
      </c>
    </row>
    <row r="22" customFormat="false" ht="15" hidden="false" customHeight="false" outlineLevel="0" collapsed="false">
      <c r="A22" s="1" t="s">
        <v>90</v>
      </c>
      <c r="B22" s="8" t="n">
        <f aca="false">SUM(B21:K21)</f>
        <v>27.8945745227067</v>
      </c>
    </row>
    <row r="23" customFormat="false" ht="15" hidden="false" customHeight="false" outlineLevel="0" collapsed="false">
      <c r="A23" s="1" t="s">
        <v>91</v>
      </c>
      <c r="B23" s="8" t="n">
        <f aca="false">K5*(1+Assumptions!$B$21)/(Assumptions!$B$27-Assumptions!$B$21)</f>
        <v>73.2231741985269</v>
      </c>
    </row>
    <row r="24" customFormat="false" ht="15" hidden="false" customHeight="false" outlineLevel="0" collapsed="false">
      <c r="A24" s="1" t="s">
        <v>92</v>
      </c>
      <c r="B24" s="8" t="n">
        <f aca="false">Assumptions!$B$24*B10</f>
        <v>294.300834759464</v>
      </c>
    </row>
    <row r="25" customFormat="false" ht="15" hidden="false" customHeight="false" outlineLevel="0" collapsed="false">
      <c r="A25" s="1" t="s">
        <v>93</v>
      </c>
      <c r="B25" s="8" t="n">
        <f aca="false">MAX(0,MIN(B23,B24))</f>
        <v>73.2231741985269</v>
      </c>
    </row>
    <row r="26" customFormat="false" ht="15" hidden="false" customHeight="false" outlineLevel="0" collapsed="false">
      <c r="A26" s="1" t="s">
        <v>94</v>
      </c>
      <c r="B26" s="8" t="n">
        <f aca="false">B25*K20</f>
        <v>18.0996487955731</v>
      </c>
    </row>
    <row r="28" customFormat="false" ht="15" hidden="false" customHeight="false" outlineLevel="0" collapsed="false">
      <c r="A28" s="11" t="s">
        <v>95</v>
      </c>
      <c r="B28" s="12" t="n">
        <f aca="false">B22+B26</f>
        <v>45.9942233182797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12" min="2" style="0" width="12"/>
  </cols>
  <sheetData>
    <row r="1" customFormat="false" ht="15" hidden="false" customHeight="false" outlineLevel="0" collapsed="false">
      <c r="A1" s="3" t="s">
        <v>72</v>
      </c>
      <c r="B1" s="3" t="s">
        <v>36</v>
      </c>
      <c r="C1" s="3" t="s">
        <v>37</v>
      </c>
      <c r="D1" s="3" t="s">
        <v>38</v>
      </c>
      <c r="E1" s="3" t="s">
        <v>39</v>
      </c>
      <c r="F1" s="3" t="s">
        <v>40</v>
      </c>
      <c r="G1" s="3" t="s">
        <v>41</v>
      </c>
      <c r="H1" s="3" t="s">
        <v>42</v>
      </c>
      <c r="I1" s="3" t="s">
        <v>43</v>
      </c>
      <c r="J1" s="3" t="s">
        <v>44</v>
      </c>
      <c r="K1" s="3" t="s">
        <v>45</v>
      </c>
    </row>
    <row r="2" customFormat="false" ht="15" hidden="false" customHeight="false" outlineLevel="0" collapsed="false">
      <c r="A2" s="1" t="s">
        <v>73</v>
      </c>
      <c r="B2" s="7" t="n">
        <f aca="false">Assumptions!B5</f>
        <v>0.085</v>
      </c>
      <c r="C2" s="7" t="n">
        <f aca="false">Assumptions!C5</f>
        <v>0.08</v>
      </c>
      <c r="D2" s="7" t="n">
        <f aca="false">Assumptions!D5</f>
        <v>0.08</v>
      </c>
      <c r="E2" s="7" t="n">
        <f aca="false">Assumptions!E5</f>
        <v>0.075</v>
      </c>
      <c r="F2" s="7" t="n">
        <f aca="false">Assumptions!F5</f>
        <v>0.075</v>
      </c>
      <c r="G2" s="7" t="n">
        <f aca="false">Assumptions!G5</f>
        <v>0.07</v>
      </c>
      <c r="H2" s="7" t="n">
        <f aca="false">Assumptions!H5</f>
        <v>0.07</v>
      </c>
      <c r="I2" s="7" t="n">
        <f aca="false">Assumptions!I5</f>
        <v>0.065</v>
      </c>
      <c r="J2" s="7" t="n">
        <f aca="false">Assumptions!J5</f>
        <v>0.065</v>
      </c>
      <c r="K2" s="7" t="n">
        <f aca="false">Assumptions!K5</f>
        <v>0.06</v>
      </c>
    </row>
    <row r="3" customFormat="false" ht="15" hidden="false" customHeight="false" outlineLevel="0" collapsed="false">
      <c r="A3" s="1" t="s">
        <v>74</v>
      </c>
      <c r="B3" s="8" t="n">
        <f aca="false">Assumptions!$B$16*(1+B2)</f>
        <v>9.16825</v>
      </c>
      <c r="C3" s="8" t="n">
        <f aca="false">B3*(1+C2)</f>
        <v>9.90171</v>
      </c>
      <c r="D3" s="8" t="n">
        <f aca="false">C3*(1+D2)</f>
        <v>10.6938468</v>
      </c>
      <c r="E3" s="8" t="n">
        <f aca="false">D3*(1+E2)</f>
        <v>11.49588531</v>
      </c>
      <c r="F3" s="8" t="n">
        <f aca="false">E3*(1+F2)</f>
        <v>12.35807670825</v>
      </c>
      <c r="G3" s="8" t="n">
        <f aca="false">F3*(1+G2)</f>
        <v>13.2231420778275</v>
      </c>
      <c r="H3" s="8" t="n">
        <f aca="false">G3*(1+H2)</f>
        <v>14.1487620232754</v>
      </c>
      <c r="I3" s="8" t="n">
        <f aca="false">H3*(1+I2)</f>
        <v>15.0684315547883</v>
      </c>
      <c r="J3" s="8" t="n">
        <f aca="false">I3*(1+J2)</f>
        <v>16.0478796058496</v>
      </c>
      <c r="K3" s="8" t="n">
        <f aca="false">J3*(1+K2)</f>
        <v>17.0107523822005</v>
      </c>
    </row>
    <row r="4" customFormat="false" ht="15" hidden="false" customHeight="false" outlineLevel="0" collapsed="false">
      <c r="A4" s="1" t="s">
        <v>75</v>
      </c>
      <c r="B4" s="7" t="n">
        <f aca="false">Assumptions!B6</f>
        <v>0.47</v>
      </c>
      <c r="C4" s="7" t="n">
        <f aca="false">Assumptions!C6</f>
        <v>0.475</v>
      </c>
      <c r="D4" s="7" t="n">
        <f aca="false">Assumptions!D6</f>
        <v>0.48</v>
      </c>
      <c r="E4" s="7" t="n">
        <f aca="false">Assumptions!E6</f>
        <v>0.485</v>
      </c>
      <c r="F4" s="7" t="n">
        <f aca="false">Assumptions!F6</f>
        <v>0.49</v>
      </c>
      <c r="G4" s="7" t="n">
        <f aca="false">Assumptions!G6</f>
        <v>0.495</v>
      </c>
      <c r="H4" s="7" t="n">
        <f aca="false">Assumptions!H6</f>
        <v>0.5</v>
      </c>
      <c r="I4" s="7" t="n">
        <f aca="false">Assumptions!I6</f>
        <v>0.505</v>
      </c>
      <c r="J4" s="7" t="n">
        <f aca="false">Assumptions!J6</f>
        <v>0.51</v>
      </c>
      <c r="K4" s="7" t="n">
        <f aca="false">Assumptions!K6</f>
        <v>0.515</v>
      </c>
    </row>
    <row r="5" customFormat="false" ht="15" hidden="false" customHeight="false" outlineLevel="0" collapsed="false">
      <c r="A5" s="1" t="s">
        <v>76</v>
      </c>
      <c r="B5" s="8" t="n">
        <f aca="false">B3*B4</f>
        <v>4.3090775</v>
      </c>
      <c r="C5" s="8" t="n">
        <f aca="false">C3*C4</f>
        <v>4.70331225</v>
      </c>
      <c r="D5" s="8" t="n">
        <f aca="false">D3*D4</f>
        <v>5.133046464</v>
      </c>
      <c r="E5" s="8" t="n">
        <f aca="false">E3*E4</f>
        <v>5.57550437535</v>
      </c>
      <c r="F5" s="8" t="n">
        <f aca="false">F3*F4</f>
        <v>6.0554575870425</v>
      </c>
      <c r="G5" s="8" t="n">
        <f aca="false">G3*G4</f>
        <v>6.54545532852461</v>
      </c>
      <c r="H5" s="8" t="n">
        <f aca="false">H3*H4</f>
        <v>7.07438101163771</v>
      </c>
      <c r="I5" s="8" t="n">
        <f aca="false">I3*I4</f>
        <v>7.60955793516811</v>
      </c>
      <c r="J5" s="8" t="n">
        <f aca="false">J3*J4</f>
        <v>8.18441859898328</v>
      </c>
      <c r="K5" s="8" t="n">
        <f aca="false">K3*K4</f>
        <v>8.76053747683328</v>
      </c>
    </row>
    <row r="6" customFormat="false" ht="15" hidden="false" customHeight="false" outlineLevel="0" collapsed="false">
      <c r="A6" s="1" t="s">
        <v>77</v>
      </c>
      <c r="B6" s="9" t="n">
        <f aca="false">1/(1+Assumptions!$B$19)^1</f>
        <v>0.943396226415094</v>
      </c>
      <c r="C6" s="9" t="n">
        <f aca="false">1/(1+Assumptions!$B$19)^2</f>
        <v>0.88999644001424</v>
      </c>
      <c r="D6" s="9" t="n">
        <f aca="false">1/(1+Assumptions!$B$19)^3</f>
        <v>0.839619283032302</v>
      </c>
      <c r="E6" s="9" t="n">
        <f aca="false">1/(1+Assumptions!$B$19)^4</f>
        <v>0.79209366323802</v>
      </c>
      <c r="F6" s="9" t="n">
        <f aca="false">1/(1+Assumptions!$B$19)^5</f>
        <v>0.747258172866057</v>
      </c>
      <c r="G6" s="9" t="n">
        <f aca="false">1/(1+Assumptions!$B$19)^6</f>
        <v>0.704960540439676</v>
      </c>
      <c r="H6" s="9" t="n">
        <f aca="false">1/(1+Assumptions!$B$19)^7</f>
        <v>0.665057113622336</v>
      </c>
      <c r="I6" s="9" t="n">
        <f aca="false">1/(1+Assumptions!$B$19)^8</f>
        <v>0.627412371341827</v>
      </c>
      <c r="J6" s="9" t="n">
        <f aca="false">1/(1+Assumptions!$B$19)^9</f>
        <v>0.591898463530025</v>
      </c>
      <c r="K6" s="9" t="n">
        <f aca="false">1/(1+Assumptions!$B$19)^10</f>
        <v>0.558394776915118</v>
      </c>
    </row>
    <row r="7" customFormat="false" ht="15" hidden="false" customHeight="false" outlineLevel="0" collapsed="false">
      <c r="A7" s="1" t="s">
        <v>78</v>
      </c>
      <c r="B7" s="8" t="n">
        <f aca="false">B5*B6</f>
        <v>4.06516745283019</v>
      </c>
      <c r="C7" s="8" t="n">
        <f aca="false">C5*C6</f>
        <v>4.18593115877536</v>
      </c>
      <c r="D7" s="8" t="n">
        <f aca="false">D5*D6</f>
        <v>4.30980479187517</v>
      </c>
      <c r="E7" s="8" t="n">
        <f aca="false">E5*E6</f>
        <v>4.41632168507059</v>
      </c>
      <c r="F7" s="8" t="n">
        <f aca="false">F5*F6</f>
        <v>4.52499017236128</v>
      </c>
      <c r="G7" s="8" t="n">
        <f aca="false">G5*G6</f>
        <v>4.61428772582047</v>
      </c>
      <c r="H7" s="8" t="n">
        <f aca="false">H5*H6</f>
        <v>4.70486741626444</v>
      </c>
      <c r="I7" s="8" t="n">
        <f aca="false">I5*I6</f>
        <v>4.77433078896683</v>
      </c>
      <c r="J7" s="8" t="n">
        <f aca="false">J5*J6</f>
        <v>4.84434479362476</v>
      </c>
      <c r="K7" s="8" t="n">
        <f aca="false">K5*K6</f>
        <v>4.89183837003285</v>
      </c>
    </row>
    <row r="9" customFormat="false" ht="15" hidden="false" customHeight="false" outlineLevel="0" collapsed="false">
      <c r="A9" s="1" t="s">
        <v>79</v>
      </c>
      <c r="B9" s="10" t="n">
        <f aca="false">SUM(B7:K7)</f>
        <v>45.331884355622</v>
      </c>
    </row>
    <row r="10" customFormat="false" ht="15" hidden="false" customHeight="false" outlineLevel="0" collapsed="false">
      <c r="A10" s="1" t="s">
        <v>80</v>
      </c>
      <c r="B10" s="8" t="n">
        <f aca="false">K3</f>
        <v>17.0107523822005</v>
      </c>
    </row>
    <row r="11" customFormat="false" ht="15" hidden="false" customHeight="false" outlineLevel="0" collapsed="false">
      <c r="A11" s="1" t="s">
        <v>81</v>
      </c>
      <c r="B11" s="8" t="n">
        <f aca="false">K5*(1+Assumptions!$B$22)/(Assumptions!$B$19-Assumptions!$B$22)</f>
        <v>610.317444219385</v>
      </c>
    </row>
    <row r="12" customFormat="false" ht="15" hidden="false" customHeight="false" outlineLevel="0" collapsed="false">
      <c r="A12" s="1" t="s">
        <v>82</v>
      </c>
      <c r="B12" s="8" t="n">
        <f aca="false">Assumptions!$B$25*B10</f>
        <v>357.225800026211</v>
      </c>
    </row>
    <row r="13" customFormat="false" ht="15" hidden="false" customHeight="false" outlineLevel="0" collapsed="false">
      <c r="A13" s="1" t="s">
        <v>83</v>
      </c>
      <c r="B13" s="10" t="n">
        <f aca="false">MAX(0,MIN(B11,B12))</f>
        <v>357.225800026211</v>
      </c>
    </row>
    <row r="14" customFormat="false" ht="15" hidden="false" customHeight="false" outlineLevel="0" collapsed="false">
      <c r="A14" s="1" t="s">
        <v>84</v>
      </c>
      <c r="B14" s="10" t="n">
        <f aca="false">B13*K6</f>
        <v>199.473020913961</v>
      </c>
    </row>
    <row r="16" customFormat="false" ht="15" hidden="false" customHeight="false" outlineLevel="0" collapsed="false">
      <c r="A16" s="11" t="s">
        <v>85</v>
      </c>
      <c r="B16" s="12" t="n">
        <f aca="false">B9+B14</f>
        <v>244.804905269583</v>
      </c>
    </row>
    <row r="17" customFormat="false" ht="15" hidden="false" customHeight="false" outlineLevel="0" collapsed="false">
      <c r="A17" s="1" t="s">
        <v>86</v>
      </c>
      <c r="B17" s="7" t="n">
        <f aca="false">B14/B16</f>
        <v>0.814824444364373</v>
      </c>
    </row>
    <row r="19" customFormat="false" ht="15" hidden="false" customHeight="false" outlineLevel="0" collapsed="false">
      <c r="A19" s="1" t="s">
        <v>87</v>
      </c>
    </row>
    <row r="20" customFormat="false" ht="15" hidden="false" customHeight="false" outlineLevel="0" collapsed="false">
      <c r="A20" s="1" t="s">
        <v>88</v>
      </c>
      <c r="B20" s="9" t="n">
        <f aca="false">1/(1+Assumptions!$B$27)^1</f>
        <v>0.869565217391304</v>
      </c>
      <c r="C20" s="9" t="n">
        <f aca="false">1/(1+Assumptions!$B$27)^2</f>
        <v>0.756143667296787</v>
      </c>
      <c r="D20" s="9" t="n">
        <f aca="false">1/(1+Assumptions!$B$27)^3</f>
        <v>0.657516232431988</v>
      </c>
      <c r="E20" s="9" t="n">
        <f aca="false">1/(1+Assumptions!$B$27)^4</f>
        <v>0.571753245593033</v>
      </c>
      <c r="F20" s="9" t="n">
        <f aca="false">1/(1+Assumptions!$B$27)^5</f>
        <v>0.49717673529829</v>
      </c>
      <c r="G20" s="9" t="n">
        <f aca="false">1/(1+Assumptions!$B$27)^6</f>
        <v>0.432327595911556</v>
      </c>
      <c r="H20" s="9" t="n">
        <f aca="false">1/(1+Assumptions!$B$27)^7</f>
        <v>0.375937039923093</v>
      </c>
      <c r="I20" s="9" t="n">
        <f aca="false">1/(1+Assumptions!$B$27)^8</f>
        <v>0.326901773846168</v>
      </c>
      <c r="J20" s="9" t="n">
        <f aca="false">1/(1+Assumptions!$B$27)^9</f>
        <v>0.284262412040146</v>
      </c>
      <c r="K20" s="9" t="n">
        <f aca="false">1/(1+Assumptions!$B$27)^10</f>
        <v>0.247184706121866</v>
      </c>
    </row>
    <row r="21" customFormat="false" ht="15" hidden="false" customHeight="false" outlineLevel="0" collapsed="false">
      <c r="A21" s="1" t="s">
        <v>89</v>
      </c>
      <c r="B21" s="8" t="n">
        <f aca="false">B5*B20</f>
        <v>3.74702391304348</v>
      </c>
      <c r="C21" s="8" t="n">
        <f aca="false">C5*C20</f>
        <v>3.5563797731569</v>
      </c>
      <c r="D21" s="8" t="n">
        <f aca="false">D5*D20</f>
        <v>3.37506137190762</v>
      </c>
      <c r="E21" s="8" t="n">
        <f aca="false">E5*E20</f>
        <v>3.18781272242452</v>
      </c>
      <c r="F21" s="8" t="n">
        <f aca="false">F5*F20</f>
        <v>3.01063263386305</v>
      </c>
      <c r="G21" s="8" t="n">
        <f aca="false">G5*G20</f>
        <v>2.82978096632753</v>
      </c>
      <c r="H21" s="8" t="n">
        <f aca="false">H5*H20</f>
        <v>2.65952185680322</v>
      </c>
      <c r="I21" s="8" t="n">
        <f aca="false">I5*I20</f>
        <v>2.48757798719163</v>
      </c>
      <c r="J21" s="8" t="n">
        <f aca="false">J5*J20</f>
        <v>2.32652257209322</v>
      </c>
      <c r="K21" s="8" t="n">
        <f aca="false">K5*K20</f>
        <v>2.16547088168063</v>
      </c>
    </row>
    <row r="22" customFormat="false" ht="15" hidden="false" customHeight="false" outlineLevel="0" collapsed="false">
      <c r="A22" s="1" t="s">
        <v>90</v>
      </c>
      <c r="B22" s="8" t="n">
        <f aca="false">SUM(B21:K21)</f>
        <v>29.3457846784918</v>
      </c>
    </row>
    <row r="23" customFormat="false" ht="15" hidden="false" customHeight="false" outlineLevel="0" collapsed="false">
      <c r="A23" s="1" t="s">
        <v>91</v>
      </c>
      <c r="B23" s="8" t="n">
        <f aca="false">K5*(1+Assumptions!$B$22)/(Assumptions!$B$27-Assumptions!$B$22)</f>
        <v>87.188206317055</v>
      </c>
    </row>
    <row r="24" customFormat="false" ht="15" hidden="false" customHeight="false" outlineLevel="0" collapsed="false">
      <c r="A24" s="1" t="s">
        <v>92</v>
      </c>
      <c r="B24" s="8" t="n">
        <f aca="false">Assumptions!$B$25*B10</f>
        <v>357.225800026211</v>
      </c>
    </row>
    <row r="25" customFormat="false" ht="15" hidden="false" customHeight="false" outlineLevel="0" collapsed="false">
      <c r="A25" s="1" t="s">
        <v>93</v>
      </c>
      <c r="B25" s="8" t="n">
        <f aca="false">MAX(0,MIN(B23,B24))</f>
        <v>87.188206317055</v>
      </c>
    </row>
    <row r="26" customFormat="false" ht="15" hidden="false" customHeight="false" outlineLevel="0" collapsed="false">
      <c r="A26" s="1" t="s">
        <v>94</v>
      </c>
      <c r="B26" s="8" t="n">
        <f aca="false">B25*K20</f>
        <v>21.5515911557739</v>
      </c>
    </row>
    <row r="28" customFormat="false" ht="15" hidden="false" customHeight="false" outlineLevel="0" collapsed="false">
      <c r="A28" s="11" t="s">
        <v>95</v>
      </c>
      <c r="B28" s="12" t="n">
        <f aca="false">B22+B26</f>
        <v>50.8973758342656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12" min="2" style="0" width="12"/>
  </cols>
  <sheetData>
    <row r="1" customFormat="false" ht="15" hidden="false" customHeight="false" outlineLevel="0" collapsed="false">
      <c r="A1" s="3" t="s">
        <v>72</v>
      </c>
      <c r="B1" s="3" t="s">
        <v>36</v>
      </c>
      <c r="C1" s="3" t="s">
        <v>37</v>
      </c>
      <c r="D1" s="3" t="s">
        <v>38</v>
      </c>
      <c r="E1" s="3" t="s">
        <v>39</v>
      </c>
      <c r="F1" s="3" t="s">
        <v>40</v>
      </c>
      <c r="G1" s="3" t="s">
        <v>41</v>
      </c>
      <c r="H1" s="3" t="s">
        <v>42</v>
      </c>
      <c r="I1" s="3" t="s">
        <v>43</v>
      </c>
      <c r="J1" s="3" t="s">
        <v>44</v>
      </c>
      <c r="K1" s="3" t="s">
        <v>45</v>
      </c>
    </row>
    <row r="2" customFormat="false" ht="15" hidden="false" customHeight="false" outlineLevel="0" collapsed="false">
      <c r="A2" s="1" t="s">
        <v>73</v>
      </c>
      <c r="B2" s="7" t="n">
        <f aca="false">Assumptions!B8</f>
        <v>0.05</v>
      </c>
      <c r="C2" s="7" t="n">
        <f aca="false">Assumptions!C8</f>
        <v>0.045</v>
      </c>
      <c r="D2" s="7" t="n">
        <f aca="false">Assumptions!D8</f>
        <v>0.045</v>
      </c>
      <c r="E2" s="7" t="n">
        <f aca="false">Assumptions!E8</f>
        <v>0.04</v>
      </c>
      <c r="F2" s="7" t="n">
        <f aca="false">Assumptions!F8</f>
        <v>0.04</v>
      </c>
      <c r="G2" s="7" t="n">
        <f aca="false">Assumptions!G8</f>
        <v>0.035</v>
      </c>
      <c r="H2" s="7" t="n">
        <f aca="false">Assumptions!H8</f>
        <v>0.035</v>
      </c>
      <c r="I2" s="7" t="n">
        <f aca="false">Assumptions!I8</f>
        <v>0.03</v>
      </c>
      <c r="J2" s="7" t="n">
        <f aca="false">Assumptions!J8</f>
        <v>0.03</v>
      </c>
      <c r="K2" s="7" t="n">
        <f aca="false">Assumptions!K8</f>
        <v>0.03</v>
      </c>
    </row>
    <row r="3" customFormat="false" ht="15" hidden="false" customHeight="false" outlineLevel="0" collapsed="false">
      <c r="A3" s="1" t="s">
        <v>74</v>
      </c>
      <c r="B3" s="8" t="n">
        <f aca="false">Assumptions!$B$16*(1+B2)</f>
        <v>8.8725</v>
      </c>
      <c r="C3" s="8" t="n">
        <f aca="false">B3*(1+C2)</f>
        <v>9.2717625</v>
      </c>
      <c r="D3" s="8" t="n">
        <f aca="false">C3*(1+D2)</f>
        <v>9.6889918125</v>
      </c>
      <c r="E3" s="8" t="n">
        <f aca="false">D3*(1+E2)</f>
        <v>10.076551485</v>
      </c>
      <c r="F3" s="8" t="n">
        <f aca="false">E3*(1+F2)</f>
        <v>10.4796135444</v>
      </c>
      <c r="G3" s="8" t="n">
        <f aca="false">F3*(1+G2)</f>
        <v>10.846400018454</v>
      </c>
      <c r="H3" s="8" t="n">
        <f aca="false">G3*(1+H2)</f>
        <v>11.2260240190999</v>
      </c>
      <c r="I3" s="8" t="n">
        <f aca="false">H3*(1+I2)</f>
        <v>11.5628047396729</v>
      </c>
      <c r="J3" s="8" t="n">
        <f aca="false">I3*(1+J2)</f>
        <v>11.9096888818631</v>
      </c>
      <c r="K3" s="8" t="n">
        <f aca="false">J3*(1+K2)</f>
        <v>12.266979548319</v>
      </c>
    </row>
    <row r="4" customFormat="false" ht="15" hidden="false" customHeight="false" outlineLevel="0" collapsed="false">
      <c r="A4" s="1" t="s">
        <v>75</v>
      </c>
      <c r="B4" s="7" t="n">
        <f aca="false">Assumptions!B9</f>
        <v>0.47</v>
      </c>
      <c r="C4" s="7" t="n">
        <f aca="false">Assumptions!C9</f>
        <v>0.465</v>
      </c>
      <c r="D4" s="7" t="n">
        <f aca="false">Assumptions!D9</f>
        <v>0.46</v>
      </c>
      <c r="E4" s="7" t="n">
        <f aca="false">Assumptions!E9</f>
        <v>0.455</v>
      </c>
      <c r="F4" s="7" t="n">
        <f aca="false">Assumptions!F9</f>
        <v>0.45</v>
      </c>
      <c r="G4" s="7" t="n">
        <f aca="false">Assumptions!G9</f>
        <v>0.445</v>
      </c>
      <c r="H4" s="7" t="n">
        <f aca="false">Assumptions!H9</f>
        <v>0.44</v>
      </c>
      <c r="I4" s="7" t="n">
        <f aca="false">Assumptions!I9</f>
        <v>0.44</v>
      </c>
      <c r="J4" s="7" t="n">
        <f aca="false">Assumptions!J9</f>
        <v>0.44</v>
      </c>
      <c r="K4" s="7" t="n">
        <f aca="false">Assumptions!K9</f>
        <v>0.44</v>
      </c>
    </row>
    <row r="5" customFormat="false" ht="15" hidden="false" customHeight="false" outlineLevel="0" collapsed="false">
      <c r="A5" s="1" t="s">
        <v>76</v>
      </c>
      <c r="B5" s="8" t="n">
        <f aca="false">B3*B4</f>
        <v>4.170075</v>
      </c>
      <c r="C5" s="8" t="n">
        <f aca="false">C3*C4</f>
        <v>4.3113695625</v>
      </c>
      <c r="D5" s="8" t="n">
        <f aca="false">D3*D4</f>
        <v>4.45693623375</v>
      </c>
      <c r="E5" s="8" t="n">
        <f aca="false">E3*E4</f>
        <v>4.584830925675</v>
      </c>
      <c r="F5" s="8" t="n">
        <f aca="false">F3*F4</f>
        <v>4.71582609498</v>
      </c>
      <c r="G5" s="8" t="n">
        <f aca="false">G3*G4</f>
        <v>4.82664800821203</v>
      </c>
      <c r="H5" s="8" t="n">
        <f aca="false">H3*H4</f>
        <v>4.93945056840395</v>
      </c>
      <c r="I5" s="8" t="n">
        <f aca="false">I3*I4</f>
        <v>5.08763408545607</v>
      </c>
      <c r="J5" s="8" t="n">
        <f aca="false">J3*J4</f>
        <v>5.24026310801975</v>
      </c>
      <c r="K5" s="8" t="n">
        <f aca="false">K3*K4</f>
        <v>5.39747100126034</v>
      </c>
    </row>
    <row r="6" customFormat="false" ht="15" hidden="false" customHeight="false" outlineLevel="0" collapsed="false">
      <c r="A6" s="1" t="s">
        <v>77</v>
      </c>
      <c r="B6" s="9" t="n">
        <f aca="false">1/(1+Assumptions!$B$20)^1</f>
        <v>0.921658986175115</v>
      </c>
      <c r="C6" s="9" t="n">
        <f aca="false">1/(1+Assumptions!$B$20)^2</f>
        <v>0.849455286797341</v>
      </c>
      <c r="D6" s="9" t="n">
        <f aca="false">1/(1+Assumptions!$B$20)^3</f>
        <v>0.782908098430729</v>
      </c>
      <c r="E6" s="9" t="n">
        <f aca="false">1/(1+Assumptions!$B$20)^4</f>
        <v>0.721574284267953</v>
      </c>
      <c r="F6" s="9" t="n">
        <f aca="false">1/(1+Assumptions!$B$20)^5</f>
        <v>0.665045423288436</v>
      </c>
      <c r="G6" s="9" t="n">
        <f aca="false">1/(1+Assumptions!$B$20)^6</f>
        <v>0.612945090588421</v>
      </c>
      <c r="H6" s="9" t="n">
        <f aca="false">1/(1+Assumptions!$B$20)^7</f>
        <v>0.564926350772738</v>
      </c>
      <c r="I6" s="9" t="n">
        <f aca="false">1/(1+Assumptions!$B$20)^8</f>
        <v>0.520669447716809</v>
      </c>
      <c r="J6" s="9" t="n">
        <f aca="false">1/(1+Assumptions!$B$20)^9</f>
        <v>0.479879675315031</v>
      </c>
      <c r="K6" s="9" t="n">
        <f aca="false">1/(1+Assumptions!$B$20)^10</f>
        <v>0.442285415036895</v>
      </c>
    </row>
    <row r="7" customFormat="false" ht="15" hidden="false" customHeight="false" outlineLevel="0" collapsed="false">
      <c r="A7" s="1" t="s">
        <v>78</v>
      </c>
      <c r="B7" s="8" t="n">
        <f aca="false">B5*B6</f>
        <v>3.84338709677419</v>
      </c>
      <c r="C7" s="8" t="n">
        <f aca="false">C5*C6</f>
        <v>3.66231566820277</v>
      </c>
      <c r="D7" s="8" t="n">
        <f aca="false">D5*D6</f>
        <v>3.48937147159223</v>
      </c>
      <c r="E7" s="8" t="n">
        <f aca="false">E5*E6</f>
        <v>3.30829609368352</v>
      </c>
      <c r="F7" s="8" t="n">
        <f aca="false">F5*F6</f>
        <v>3.13623856149063</v>
      </c>
      <c r="G7" s="8" t="n">
        <f aca="false">G5*G6</f>
        <v>2.95847020063194</v>
      </c>
      <c r="H7" s="8" t="n">
        <f aca="false">H5*H6</f>
        <v>2.79042578443077</v>
      </c>
      <c r="I7" s="8" t="n">
        <f aca="false">I5*I6</f>
        <v>2.64897562945962</v>
      </c>
      <c r="J7" s="8" t="n">
        <f aca="false">J5*J6</f>
        <v>2.51469575884186</v>
      </c>
      <c r="K7" s="8" t="n">
        <f aca="false">K5*K6</f>
        <v>2.38722270194204</v>
      </c>
    </row>
    <row r="9" customFormat="false" ht="15" hidden="false" customHeight="false" outlineLevel="0" collapsed="false">
      <c r="A9" s="1" t="s">
        <v>79</v>
      </c>
      <c r="B9" s="10" t="n">
        <f aca="false">SUM(B7:K7)</f>
        <v>30.7393989670496</v>
      </c>
    </row>
    <row r="10" customFormat="false" ht="15" hidden="false" customHeight="false" outlineLevel="0" collapsed="false">
      <c r="A10" s="1" t="s">
        <v>80</v>
      </c>
      <c r="B10" s="8" t="n">
        <f aca="false">K3</f>
        <v>12.266979548319</v>
      </c>
    </row>
    <row r="11" customFormat="false" ht="15" hidden="false" customHeight="false" outlineLevel="0" collapsed="false">
      <c r="A11" s="1" t="s">
        <v>81</v>
      </c>
      <c r="B11" s="8" t="n">
        <f aca="false">K5*(1+Assumptions!$B$23)/(Assumptions!$B$20-Assumptions!$B$23)</f>
        <v>101.079911478148</v>
      </c>
    </row>
    <row r="12" customFormat="false" ht="15" hidden="false" customHeight="false" outlineLevel="0" collapsed="false">
      <c r="A12" s="1" t="s">
        <v>82</v>
      </c>
      <c r="B12" s="8" t="n">
        <f aca="false">Assumptions!$B$26*B10</f>
        <v>184.004693224784</v>
      </c>
    </row>
    <row r="13" customFormat="false" ht="15" hidden="false" customHeight="false" outlineLevel="0" collapsed="false">
      <c r="A13" s="1" t="s">
        <v>83</v>
      </c>
      <c r="B13" s="10" t="n">
        <f aca="false">MAX(0,MIN(B11,B12))</f>
        <v>101.079911478148</v>
      </c>
    </row>
    <row r="14" customFormat="false" ht="15" hidden="false" customHeight="false" outlineLevel="0" collapsed="false">
      <c r="A14" s="1" t="s">
        <v>84</v>
      </c>
      <c r="B14" s="10" t="n">
        <f aca="false">B13*K6</f>
        <v>44.7061706000054</v>
      </c>
    </row>
    <row r="16" customFormat="false" ht="15" hidden="false" customHeight="false" outlineLevel="0" collapsed="false">
      <c r="A16" s="11" t="s">
        <v>85</v>
      </c>
      <c r="B16" s="12" t="n">
        <f aca="false">B9+B14</f>
        <v>75.445569567055</v>
      </c>
    </row>
    <row r="17" customFormat="false" ht="15" hidden="false" customHeight="false" outlineLevel="0" collapsed="false">
      <c r="A17" s="1" t="s">
        <v>86</v>
      </c>
      <c r="B17" s="7" t="n">
        <f aca="false">B14/B16</f>
        <v>0.592561907300219</v>
      </c>
    </row>
    <row r="19" customFormat="false" ht="15" hidden="false" customHeight="false" outlineLevel="0" collapsed="false">
      <c r="A19" s="1" t="s">
        <v>87</v>
      </c>
    </row>
    <row r="20" customFormat="false" ht="15" hidden="false" customHeight="false" outlineLevel="0" collapsed="false">
      <c r="A20" s="1" t="s">
        <v>88</v>
      </c>
      <c r="B20" s="9" t="n">
        <f aca="false">1/(1+Assumptions!$B$27)^1</f>
        <v>0.869565217391304</v>
      </c>
      <c r="C20" s="9" t="n">
        <f aca="false">1/(1+Assumptions!$B$27)^2</f>
        <v>0.756143667296787</v>
      </c>
      <c r="D20" s="9" t="n">
        <f aca="false">1/(1+Assumptions!$B$27)^3</f>
        <v>0.657516232431988</v>
      </c>
      <c r="E20" s="9" t="n">
        <f aca="false">1/(1+Assumptions!$B$27)^4</f>
        <v>0.571753245593033</v>
      </c>
      <c r="F20" s="9" t="n">
        <f aca="false">1/(1+Assumptions!$B$27)^5</f>
        <v>0.49717673529829</v>
      </c>
      <c r="G20" s="9" t="n">
        <f aca="false">1/(1+Assumptions!$B$27)^6</f>
        <v>0.432327595911556</v>
      </c>
      <c r="H20" s="9" t="n">
        <f aca="false">1/(1+Assumptions!$B$27)^7</f>
        <v>0.375937039923093</v>
      </c>
      <c r="I20" s="9" t="n">
        <f aca="false">1/(1+Assumptions!$B$27)^8</f>
        <v>0.326901773846168</v>
      </c>
      <c r="J20" s="9" t="n">
        <f aca="false">1/(1+Assumptions!$B$27)^9</f>
        <v>0.284262412040146</v>
      </c>
      <c r="K20" s="9" t="n">
        <f aca="false">1/(1+Assumptions!$B$27)^10</f>
        <v>0.247184706121866</v>
      </c>
    </row>
    <row r="21" customFormat="false" ht="15" hidden="false" customHeight="false" outlineLevel="0" collapsed="false">
      <c r="A21" s="1" t="s">
        <v>89</v>
      </c>
      <c r="B21" s="8" t="n">
        <f aca="false">B5*B20</f>
        <v>3.62615217391304</v>
      </c>
      <c r="C21" s="8" t="n">
        <f aca="false">C5*C20</f>
        <v>3.26001479206049</v>
      </c>
      <c r="D21" s="8" t="n">
        <f aca="false">D5*D20</f>
        <v>2.93050792060492</v>
      </c>
      <c r="E21" s="8" t="n">
        <f aca="false">E5*E20</f>
        <v>2.62139196224999</v>
      </c>
      <c r="F21" s="8" t="n">
        <f aca="false">F5*F20</f>
        <v>2.34459902213664</v>
      </c>
      <c r="G21" s="8" t="n">
        <f aca="false">G5*G20</f>
        <v>2.08669312970161</v>
      </c>
      <c r="H21" s="8" t="n">
        <f aca="false">H5*H20</f>
        <v>1.85692242553222</v>
      </c>
      <c r="I21" s="8" t="n">
        <f aca="false">I5*I20</f>
        <v>1.66315660721581</v>
      </c>
      <c r="J21" s="8" t="n">
        <f aca="false">J5*J20</f>
        <v>1.48960983081068</v>
      </c>
      <c r="K21" s="8" t="n">
        <f aca="false">K5*K20</f>
        <v>1.33417228324783</v>
      </c>
    </row>
    <row r="22" customFormat="false" ht="15" hidden="false" customHeight="false" outlineLevel="0" collapsed="false">
      <c r="A22" s="1" t="s">
        <v>90</v>
      </c>
      <c r="B22" s="8" t="n">
        <f aca="false">SUM(B21:K21)</f>
        <v>23.2132201474732</v>
      </c>
    </row>
    <row r="23" customFormat="false" ht="15" hidden="false" customHeight="false" outlineLevel="0" collapsed="false">
      <c r="A23" s="1" t="s">
        <v>91</v>
      </c>
      <c r="B23" s="8" t="n">
        <f aca="false">K5*(1+Assumptions!$B$23)/(Assumptions!$B$27-Assumptions!$B$23)</f>
        <v>46.328292760818</v>
      </c>
    </row>
    <row r="24" customFormat="false" ht="15" hidden="false" customHeight="false" outlineLevel="0" collapsed="false">
      <c r="A24" s="1" t="s">
        <v>92</v>
      </c>
      <c r="B24" s="8" t="n">
        <f aca="false">Assumptions!$B$26*B10</f>
        <v>184.004693224784</v>
      </c>
    </row>
    <row r="25" customFormat="false" ht="15" hidden="false" customHeight="false" outlineLevel="0" collapsed="false">
      <c r="A25" s="1" t="s">
        <v>93</v>
      </c>
      <c r="B25" s="8" t="n">
        <f aca="false">MAX(0,MIN(B23,B24))</f>
        <v>46.328292760818</v>
      </c>
    </row>
    <row r="26" customFormat="false" ht="15" hidden="false" customHeight="false" outlineLevel="0" collapsed="false">
      <c r="A26" s="1" t="s">
        <v>94</v>
      </c>
      <c r="B26" s="8" t="n">
        <f aca="false">B25*K20</f>
        <v>11.4516454312106</v>
      </c>
    </row>
    <row r="28" customFormat="false" ht="15" hidden="false" customHeight="false" outlineLevel="0" collapsed="false">
      <c r="A28" s="11" t="s">
        <v>95</v>
      </c>
      <c r="B28" s="12" t="n">
        <f aca="false">B22+B26</f>
        <v>34.6648655786838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7" min="2" style="0" width="14"/>
  </cols>
  <sheetData>
    <row r="1" customFormat="false" ht="15" hidden="false" customHeight="false" outlineLevel="0" collapsed="false">
      <c r="A1" s="3" t="s">
        <v>96</v>
      </c>
      <c r="B1" s="3" t="s">
        <v>97</v>
      </c>
      <c r="C1" s="3" t="s">
        <v>98</v>
      </c>
      <c r="D1" s="3" t="s">
        <v>99</v>
      </c>
      <c r="E1" s="3" t="s">
        <v>100</v>
      </c>
    </row>
    <row r="2" customFormat="false" ht="15" hidden="false" customHeight="false" outlineLevel="0" collapsed="false">
      <c r="A2" s="0" t="s">
        <v>101</v>
      </c>
      <c r="B2" s="13" t="n">
        <f aca="false">DCF_Bear!B16</f>
        <v>75.445569567055</v>
      </c>
      <c r="C2" s="13" t="n">
        <f aca="false">DCF_Bear!B28</f>
        <v>34.6648655786838</v>
      </c>
      <c r="D2" s="7" t="n">
        <f aca="false">Assumptions!$B$28</f>
        <v>0.25</v>
      </c>
      <c r="E2" s="7" t="n">
        <f aca="false">B2/Assumptions!$B$11-1</f>
        <v>-0.520096879542936</v>
      </c>
    </row>
    <row r="3" customFormat="false" ht="15" hidden="false" customHeight="false" outlineLevel="0" collapsed="false">
      <c r="A3" s="0" t="s">
        <v>102</v>
      </c>
      <c r="B3" s="13" t="n">
        <f aca="false">DCF_Base!B16</f>
        <v>177.070176288938</v>
      </c>
      <c r="C3" s="13" t="n">
        <f aca="false">DCF_Base!B28</f>
        <v>45.9942233182797</v>
      </c>
      <c r="D3" s="7" t="n">
        <f aca="false">Assumptions!$B$29</f>
        <v>0.5</v>
      </c>
      <c r="E3" s="7" t="n">
        <f aca="false">B3/Assumptions!$B$11-1</f>
        <v>0.126328963099915</v>
      </c>
    </row>
    <row r="4" customFormat="false" ht="15" hidden="false" customHeight="false" outlineLevel="0" collapsed="false">
      <c r="A4" s="0" t="s">
        <v>103</v>
      </c>
      <c r="B4" s="13" t="n">
        <f aca="false">DCF_Bull!B16</f>
        <v>244.804905269583</v>
      </c>
      <c r="C4" s="13" t="n">
        <f aca="false">DCF_Bull!B28</f>
        <v>50.8973758342656</v>
      </c>
      <c r="D4" s="7" t="n">
        <f aca="false">Assumptions!$B$30</f>
        <v>0.25</v>
      </c>
      <c r="E4" s="7" t="n">
        <f aca="false">B4/Assumptions!$B$11-1</f>
        <v>0.557184054892073</v>
      </c>
    </row>
    <row r="5" customFormat="false" ht="15" hidden="false" customHeight="false" outlineLevel="0" collapsed="false">
      <c r="A5" s="11" t="s">
        <v>104</v>
      </c>
      <c r="B5" s="12" t="n">
        <f aca="false">SUMPRODUCT(B2:B4,D2:D4)</f>
        <v>168.597706853628</v>
      </c>
      <c r="C5" s="14" t="n">
        <f aca="false">SUMPRODUCT(C2:C4,D2:D4)</f>
        <v>44.3876720123772</v>
      </c>
      <c r="E5" s="7" t="n">
        <f aca="false">B5/Assumptions!$B$11-1</f>
        <v>0.0724362753872414</v>
      </c>
    </row>
    <row r="7" customFormat="false" ht="15" hidden="false" customHeight="false" outlineLevel="0" collapsed="false">
      <c r="A7" s="1" t="s">
        <v>105</v>
      </c>
      <c r="B7" s="13" t="n">
        <f aca="false">Assumptions!$B$11</f>
        <v>157.21</v>
      </c>
    </row>
    <row r="9" customFormat="false" ht="15" hidden="false" customHeight="false" outlineLevel="0" collapsed="false">
      <c r="A9" s="11" t="s">
        <v>106</v>
      </c>
    </row>
    <row r="10" customFormat="false" ht="15" hidden="false" customHeight="false" outlineLevel="0" collapsed="false">
      <c r="A10" s="3" t="s">
        <v>107</v>
      </c>
      <c r="B10" s="3" t="s">
        <v>108</v>
      </c>
      <c r="C10" s="3" t="s">
        <v>109</v>
      </c>
      <c r="D10" s="3" t="s">
        <v>110</v>
      </c>
      <c r="E10" s="3" t="s">
        <v>111</v>
      </c>
      <c r="F10" s="3" t="s">
        <v>112</v>
      </c>
      <c r="G10" s="3" t="s">
        <v>113</v>
      </c>
      <c r="H10" s="3" t="s">
        <v>114</v>
      </c>
    </row>
    <row r="11" customFormat="false" ht="15" hidden="false" customHeight="false" outlineLevel="0" collapsed="false">
      <c r="A11" s="1" t="s">
        <v>115</v>
      </c>
      <c r="B11" s="13" t="n">
        <f aca="false">SUMPRODUCT(DCF_Base!B5:K5,1/(1+0.06)^{1,2,3,4,5,6,7,8,9,10})+MAX(0,MIN(DCF_Base!K5*(1+Assumptions!$B$21)/(0.06-Assumptions!$B$21),Assumptions!$B$24*DCF_Base!K3))/(1+0.06)^10</f>
        <v>207.085727953882</v>
      </c>
      <c r="C11" s="13" t="n">
        <f aca="false">SUMPRODUCT(DCF_Base!B5:K5,1/(1+0.07)^{1,2,3,4,5,6,7,8,9,10})+MAX(0,MIN(DCF_Base!K5*(1+Assumptions!$B$21)/(0.07-Assumptions!$B$21),Assumptions!$B$24*DCF_Base!K3))/(1+0.07)^10</f>
        <v>177.070176288938</v>
      </c>
      <c r="D11" s="13" t="n">
        <f aca="false">SUMPRODUCT(DCF_Base!B5:K5,1/(1+0.08)^{1,2,3,4,5,6,7,8,9,10})+MAX(0,MIN(DCF_Base!K5*(1+Assumptions!$B$21)/(0.08-Assumptions!$B$21),Assumptions!$B$24*DCF_Base!K3))/(1+0.08)^10</f>
        <v>131.848181868423</v>
      </c>
      <c r="E11" s="13" t="n">
        <f aca="false">SUMPRODUCT(DCF_Base!B5:K5,1/(1+0.09)^{1,2,3,4,5,6,7,8,9,10})+MAX(0,MIN(DCF_Base!K5*(1+Assumptions!$B$21)/(0.09-Assumptions!$B$21),Assumptions!$B$24*DCF_Base!K3))/(1+0.09)^10</f>
        <v>104.758184774997</v>
      </c>
      <c r="F11" s="13" t="n">
        <f aca="false">SUMPRODUCT(DCF_Base!B5:K5,1/(1+0.1)^{1,2,3,4,5,6,7,8,9,10})+MAX(0,MIN(DCF_Base!K5*(1+Assumptions!$B$21)/(0.1-Assumptions!$B$21),Assumptions!$B$24*DCF_Base!K3))/(1+0.1)^10</f>
        <v>86.731616384869</v>
      </c>
      <c r="G11" s="13" t="n">
        <f aca="false">SUMPRODUCT(DCF_Base!B5:K5,1/(1+0.12)^{1,2,3,4,5,6,7,8,9,10})+MAX(0,MIN(DCF_Base!K5*(1+Assumptions!$B$21)/(0.12-Assumptions!$B$21),Assumptions!$B$24*DCF_Base!K3))/(1+0.12)^10</f>
        <v>64.2667047235518</v>
      </c>
      <c r="H11" s="13" t="n">
        <f aca="false">SUMPRODUCT(DCF_Base!B5:K5,1/(1+0.15)^{1,2,3,4,5,6,7,8,9,10})+MAX(0,MIN(DCF_Base!K5*(1+Assumptions!$B$21)/(0.15-Assumptions!$B$21),Assumptions!$B$24*DCF_Base!K3))/(1+0.15)^10</f>
        <v>45.9942233182797</v>
      </c>
    </row>
    <row r="13" customFormat="false" ht="15" hidden="false" customHeight="false" outlineLevel="0" collapsed="false">
      <c r="A13" s="15" t="s">
        <v>116</v>
      </c>
    </row>
    <row r="15" customFormat="false" ht="15" hidden="false" customHeight="false" outlineLevel="0" collapsed="false">
      <c r="A15" s="11" t="s">
        <v>117</v>
      </c>
    </row>
    <row r="16" customFormat="false" ht="15" hidden="false" customHeight="false" outlineLevel="0" collapsed="false">
      <c r="A16" s="3" t="s">
        <v>118</v>
      </c>
      <c r="B16" s="3" t="s">
        <v>119</v>
      </c>
      <c r="C16" s="3" t="s">
        <v>120</v>
      </c>
      <c r="D16" s="3" t="s">
        <v>121</v>
      </c>
      <c r="E16" s="3" t="s">
        <v>122</v>
      </c>
      <c r="F16" s="3" t="s">
        <v>108</v>
      </c>
    </row>
    <row r="17" customFormat="false" ht="15" hidden="false" customHeight="false" outlineLevel="0" collapsed="false">
      <c r="A17" s="1" t="s">
        <v>122</v>
      </c>
      <c r="B17" s="13" t="n">
        <f aca="false">SUMPRODUCT(DCF_Base!B5:K5,1/(1+0.05)^{1,2,3,4,5,6,7,8,9,10})+IF(0.02&gt;=0.05,Assumptions!$B$24*DCF_Base!K3,MAX(0,MIN(DCF_Base!K5*(1+0.02)/(0.05-0.02),Assumptions!$B$24*DCF_Base!K3)))/(1+0.05)^10</f>
        <v>206.740393709931</v>
      </c>
      <c r="C17" s="13" t="n">
        <f aca="false">SUMPRODUCT(DCF_Base!B5:K5,1/(1+0.05)^{1,2,3,4,5,6,7,8,9,10})+IF(0.03&gt;=0.05,Assumptions!$B$24*DCF_Base!K3,MAX(0,MIN(DCF_Base!K5*(1+0.03)/(0.05-0.03),Assumptions!$B$24*DCF_Base!K3)))/(1+0.05)^10</f>
        <v>225.758834024346</v>
      </c>
      <c r="D17" s="13" t="n">
        <f aca="false">SUMPRODUCT(DCF_Base!B5:K5,1/(1+0.05)^{1,2,3,4,5,6,7,8,9,10})+IF(0.04&gt;=0.05,Assumptions!$B$24*DCF_Base!K3,MAX(0,MIN(DCF_Base!K5*(1+0.04)/(0.05-0.04),Assumptions!$B$24*DCF_Base!K3)))/(1+0.05)^10</f>
        <v>225.758834024346</v>
      </c>
      <c r="E17" s="13" t="n">
        <f aca="false">SUMPRODUCT(DCF_Base!B5:K5,1/(1+0.05)^{1,2,3,4,5,6,7,8,9,10})+IF(0.05&gt;=0.05,Assumptions!$B$24*DCF_Base!K3,MAX(0,MIN(DCF_Base!K5*(1+0.05)/(0.05-0.05),Assumptions!$B$24*DCF_Base!K3)))/(1+0.05)^10</f>
        <v>225.758834024346</v>
      </c>
      <c r="F17" s="13" t="n">
        <f aca="false">SUMPRODUCT(DCF_Base!B5:K5,1/(1+0.05)^{1,2,3,4,5,6,7,8,9,10})+IF(0.06&gt;=0.05,Assumptions!$B$24*DCF_Base!K3,MAX(0,MIN(DCF_Base!K5*(1+0.06)/(0.05-0.06),Assumptions!$B$24*DCF_Base!K3)))/(1+0.05)^10</f>
        <v>225.758834024346</v>
      </c>
    </row>
    <row r="18" customFormat="false" ht="15" hidden="false" customHeight="false" outlineLevel="0" collapsed="false">
      <c r="A18" s="1" t="s">
        <v>108</v>
      </c>
      <c r="B18" s="13" t="n">
        <f aca="false">SUMPRODUCT(DCF_Base!B5:K5,1/(1+0.06)^{1,2,3,4,5,6,7,8,9,10})+IF(0.02&gt;=0.06,Assumptions!$B$24*DCF_Base!K3,MAX(0,MIN(DCF_Base!K5*(1+0.02)/(0.06-0.02),Assumptions!$B$24*DCF_Base!K3)))/(1+0.06)^10</f>
        <v>153.027817108012</v>
      </c>
      <c r="C18" s="13" t="n">
        <f aca="false">SUMPRODUCT(DCF_Base!B5:K5,1/(1+0.06)^{1,2,3,4,5,6,7,8,9,10})+IF(0.03&gt;=0.06,Assumptions!$B$24*DCF_Base!K3,MAX(0,MIN(DCF_Base!K5*(1+0.03)/(0.06-0.03),Assumptions!$B$24*DCF_Base!K3)))/(1+0.06)^10</f>
        <v>191.228740772426</v>
      </c>
      <c r="D18" s="13" t="n">
        <f aca="false">SUMPRODUCT(DCF_Base!B5:K5,1/(1+0.06)^{1,2,3,4,5,6,7,8,9,10})+IF(0.04&gt;=0.06,Assumptions!$B$24*DCF_Base!K3,MAX(0,MIN(DCF_Base!K5*(1+0.04)/(0.06-0.04),Assumptions!$B$24*DCF_Base!K3)))/(1+0.06)^10</f>
        <v>207.085727953882</v>
      </c>
      <c r="E18" s="13" t="n">
        <f aca="false">SUMPRODUCT(DCF_Base!B5:K5,1/(1+0.06)^{1,2,3,4,5,6,7,8,9,10})+IF(0.05&gt;=0.06,Assumptions!$B$24*DCF_Base!K3,MAX(0,MIN(DCF_Base!K5*(1+0.05)/(0.06-0.05),Assumptions!$B$24*DCF_Base!K3)))/(1+0.06)^10</f>
        <v>207.085727953882</v>
      </c>
      <c r="F18" s="13" t="n">
        <f aca="false">SUMPRODUCT(DCF_Base!B5:K5,1/(1+0.06)^{1,2,3,4,5,6,7,8,9,10})+IF(0.06&gt;=0.06,Assumptions!$B$24*DCF_Base!K3,MAX(0,MIN(DCF_Base!K5*(1+0.06)/(0.06-0.06),Assumptions!$B$24*DCF_Base!K3)))/(1+0.06)^10</f>
        <v>207.085727953882</v>
      </c>
    </row>
    <row r="19" customFormat="false" ht="15" hidden="false" customHeight="false" outlineLevel="0" collapsed="false">
      <c r="A19" s="1" t="s">
        <v>109</v>
      </c>
      <c r="B19" s="13" t="n">
        <f aca="false">SUMPRODUCT(DCF_Base!B5:K5,1/(1+0.07)^{1,2,3,4,5,6,7,8,9,10})+IF(0.02&gt;=0.07,Assumptions!$B$24*DCF_Base!K3,MAX(0,MIN(DCF_Base!K5*(1+0.02)/(0.07-0.02),Assumptions!$B$24*DCF_Base!K3)))/(1+0.07)^10</f>
        <v>120.901701027059</v>
      </c>
      <c r="C19" s="13" t="n">
        <f aca="false">SUMPRODUCT(DCF_Base!B5:K5,1/(1+0.07)^{1,2,3,4,5,6,7,8,9,10})+IF(0.03&gt;=0.07,Assumptions!$B$24*DCF_Base!K3,MAX(0,MIN(DCF_Base!K5*(1+0.03)/(0.07-0.03),Assumptions!$B$24*DCF_Base!K3)))/(1+0.07)^10</f>
        <v>141.964879250264</v>
      </c>
      <c r="D19" s="13" t="n">
        <f aca="false">SUMPRODUCT(DCF_Base!B5:K5,1/(1+0.07)^{1,2,3,4,5,6,7,8,9,10})+IF(0.04&gt;=0.07,Assumptions!$B$24*DCF_Base!K3,MAX(0,MIN(DCF_Base!K5*(1+0.04)/(0.07-0.04),Assumptions!$B$24*DCF_Base!K3)))/(1+0.07)^10</f>
        <v>177.070176288938</v>
      </c>
      <c r="E19" s="13" t="n">
        <f aca="false">SUMPRODUCT(DCF_Base!B5:K5,1/(1+0.07)^{1,2,3,4,5,6,7,8,9,10})+IF(0.05&gt;=0.07,Assumptions!$B$24*DCF_Base!K3,MAX(0,MIN(DCF_Base!K5*(1+0.05)/(0.07-0.05),Assumptions!$B$24*DCF_Base!K3)))/(1+0.07)^10</f>
        <v>190.193651817414</v>
      </c>
      <c r="F19" s="13" t="n">
        <f aca="false">SUMPRODUCT(DCF_Base!B5:K5,1/(1+0.07)^{1,2,3,4,5,6,7,8,9,10})+IF(0.06&gt;=0.07,Assumptions!$B$24*DCF_Base!K3,MAX(0,MIN(DCF_Base!K5*(1+0.06)/(0.07-0.06),Assumptions!$B$24*DCF_Base!K3)))/(1+0.07)^10</f>
        <v>190.193651817414</v>
      </c>
    </row>
    <row r="20" customFormat="false" ht="15" hidden="false" customHeight="false" outlineLevel="0" collapsed="false">
      <c r="A20" s="1" t="s">
        <v>110</v>
      </c>
      <c r="B20" s="13" t="n">
        <f aca="false">SUMPRODUCT(DCF_Base!B5:K5,1/(1+0.08)^{1,2,3,4,5,6,7,8,9,10})+IF(0.02&gt;=0.08,Assumptions!$B$24*DCF_Base!K3,MAX(0,MIN(DCF_Base!K5*(1+0.02)/(0.08-0.02),Assumptions!$B$24*DCF_Base!K3)))/(1+0.08)^10</f>
        <v>99.5622852424694</v>
      </c>
      <c r="C20" s="13" t="n">
        <f aca="false">SUMPRODUCT(DCF_Base!B5:K5,1/(1+0.08)^{1,2,3,4,5,6,7,8,9,10})+IF(0.03&gt;=0.08,Assumptions!$B$24*DCF_Base!K3,MAX(0,MIN(DCF_Base!K5*(1+0.03)/(0.08-0.03),Assumptions!$B$24*DCF_Base!K3)))/(1+0.08)^10</f>
        <v>112.476643892851</v>
      </c>
      <c r="D20" s="13" t="n">
        <f aca="false">SUMPRODUCT(DCF_Base!B5:K5,1/(1+0.08)^{1,2,3,4,5,6,7,8,9,10})+IF(0.04&gt;=0.08,Assumptions!$B$24*DCF_Base!K3,MAX(0,MIN(DCF_Base!K5*(1+0.04)/(0.08-0.04),Assumptions!$B$24*DCF_Base!K3)))/(1+0.08)^10</f>
        <v>131.848181868423</v>
      </c>
      <c r="E20" s="13" t="n">
        <f aca="false">SUMPRODUCT(DCF_Base!B5:K5,1/(1+0.08)^{1,2,3,4,5,6,7,8,9,10})+IF(0.05&gt;=0.08,Assumptions!$B$24*DCF_Base!K3,MAX(0,MIN(DCF_Base!K5*(1+0.05)/(0.08-0.05),Assumptions!$B$24*DCF_Base!K3)))/(1+0.08)^10</f>
        <v>164.134078494376</v>
      </c>
      <c r="F20" s="13" t="n">
        <f aca="false">SUMPRODUCT(DCF_Base!B5:K5,1/(1+0.08)^{1,2,3,4,5,6,7,8,9,10})+IF(0.06&gt;=0.08,Assumptions!$B$24*DCF_Base!K3,MAX(0,MIN(DCF_Base!K5*(1+0.06)/(0.08-0.06),Assumptions!$B$24*DCF_Base!K3)))/(1+0.08)^10</f>
        <v>174.896044036361</v>
      </c>
    </row>
    <row r="21" customFormat="false" ht="15" hidden="false" customHeight="false" outlineLevel="0" collapsed="false">
      <c r="A21" s="1" t="s">
        <v>111</v>
      </c>
      <c r="B21" s="13" t="n">
        <f aca="false">SUMPRODUCT(DCF_Base!B5:K5,1/(1+0.09)^{1,2,3,4,5,6,7,8,9,10})+IF(0.02&gt;=0.09,Assumptions!$B$24*DCF_Base!K3,MAX(0,MIN(DCF_Base!K5*(1+0.02)/(0.09-0.02),Assumptions!$B$24*DCF_Base!K3)))/(1+0.09)^10</f>
        <v>84.3816013376894</v>
      </c>
      <c r="C21" s="13" t="n">
        <f aca="false">SUMPRODUCT(DCF_Base!B5:K5,1/(1+0.09)^{1,2,3,4,5,6,7,8,9,10})+IF(0.03&gt;=0.09,Assumptions!$B$24*DCF_Base!K3,MAX(0,MIN(DCF_Base!K5*(1+0.03)/(0.09-0.03),Assumptions!$B$24*DCF_Base!K3)))/(1+0.09)^10</f>
        <v>92.8718444365675</v>
      </c>
      <c r="D21" s="13" t="n">
        <f aca="false">SUMPRODUCT(DCF_Base!B5:K5,1/(1+0.09)^{1,2,3,4,5,6,7,8,9,10})+IF(0.04&gt;=0.09,Assumptions!$B$24*DCF_Base!K3,MAX(0,MIN(DCF_Base!K5*(1+0.04)/(0.09-0.04),Assumptions!$B$24*DCF_Base!K3)))/(1+0.09)^10</f>
        <v>104.758184774997</v>
      </c>
      <c r="E21" s="13" t="n">
        <f aca="false">SUMPRODUCT(DCF_Base!B5:K5,1/(1+0.09)^{1,2,3,4,5,6,7,8,9,10})+IF(0.05&gt;=0.09,Assumptions!$B$24*DCF_Base!K3,MAX(0,MIN(DCF_Base!K5*(1+0.05)/(0.09-0.05),Assumptions!$B$24*DCF_Base!K3)))/(1+0.09)^10</f>
        <v>122.587695282641</v>
      </c>
      <c r="F21" s="13" t="n">
        <f aca="false">SUMPRODUCT(DCF_Base!B5:K5,1/(1+0.09)^{1,2,3,4,5,6,7,8,9,10})+IF(0.06&gt;=0.09,Assumptions!$B$24*DCF_Base!K3,MAX(0,MIN(DCF_Base!K5*(1+0.06)/(0.09-0.06),Assumptions!$B$24*DCF_Base!K3)))/(1+0.09)^10</f>
        <v>152.303546128714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2026-09-25T22:40:56Z</dcterms:created>
  <dc:creator>openpyxl</dc:creator>
  <dc:description/>
  <dc:language>en-NZ</dc:language>
  <cp:lastModifiedBy/>
  <dcterms:modified xsi:type="dcterms:W3CDTF">2026-09-25T22:42:01Z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