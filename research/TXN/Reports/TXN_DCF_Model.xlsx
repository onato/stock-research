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<sst xmlns="http://schemas.openxmlformats.org/spreadsheetml/2006/main" count="389" uniqueCount="174">
  <si>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</si>
  <si>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TXN</t>
  </si>
  <si>
    <t xml:space="preserve">Company</t>
  </si>
  <si>
    <t xml:space="preserve">Texas Instruments Incorporated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</si>
  <si>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</si>
  <si>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</si>
  <si>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</si>
  <si>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</si>
  <si>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</si>
  <si>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</si>
  <si>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</si>
  <si>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</si>
  <si>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</si>
  <si>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</si>
  <si>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</si>
  <si>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</si>
  <si>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</si>
  <si>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</si>
  <si>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</si>
  <si>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</si>
  <si>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</si>
  <si>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2026-10-02T09:55:18Z</t>
  </si>
  <si>
    <t xml:space="preserve">Drivers file</t>
  </si>
  <si>
    <t xml:space="preserve">TXN_Drivers.json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</si>
  <si>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</si>
  <si>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</si>
  <si>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</si>
  <si>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TI through the cycle, not at a point in it. The reported FCF of FY2023-25 understates earning power because it carries ~$5B/yr of growth capex for 300mm capacity that is now built; the H1-2026 FCF overstates it because it carries one-off CHIPS cash and an upcycle margin. The component build lets capex taper to a stated steady state, runs one explicit downturn, capitalises a through-cycle margin at a 16x cap appropriate to a cyclical, and counts the CHIPS receivable once in the bridge.
key_risks_to_valuation: China: ~half of shipments end in China; anti-dumping duties or export-control retaliation are not in the base case; Cycle timing: valuing near an upcycle peak -- the 2028 correction could come earlier or be deeper than -5%; Steady-state capex: every 1pp of revenue in perpetual capex is worth roughly $12-14/share; Silicon Labs (~$7.5B cash, H1 2027 close) excluded as NPV-neutral; a failed integration or overpayment is a direct deduction; CHIPS/ITC: the remaining $4-6B management range is only partly credited; policy reversal would remove the netted portion</t>
  </si>
  <si>
    <t xml:space="preserve">Data sources</t>
  </si>
  <si>
    <t xml:space="preserve">price: Yahoo Finance chart API at inputs.price_as_of; 52-week range 152.73-334.03
financials: TXN_Metrics.csv (SEC XBRL, FY2006-Q2 2026); SEC companyfacts API for depreciation, amortization, short-term investments, debt split (LongTermDebt incl. current portion), government-assistance receivable, diluted shares, equity-award taxes
qualitative: TXN_Analysis.json (2026-10-02): Q2 2026 results, Q3 2026 guidance, FY2026 capex guide $2-3B, CHIPS Act/ITC $7.5-9.5B through 2034, Silicon Labs acquisition</t>
  </si>
  <si>
    <t xml:space="preserve">Scenario narrative: bear</t>
  </si>
  <si>
    <t xml:space="preserve">The 2026 rebound proves to be a restock rather than a new cycle: 2027 flat, 2028 -10% as industrial and auto roll over together. With half of shipments landing in China, the anti-dumping probe and export-control retaliation push Chinese OEMs to domestic analog suppliers, and mature-node price pressure caps pre-SBC EBITDA at ~48.5% -- the FY2024-25 trough level -- on a much larger depreciation base. Without further ITC, capex runs at 9% to keep the 300mm network current, and owner-FCF margins settle in the mid-20s.</t>
  </si>
  <si>
    <t xml:space="preserve">Scenario narrative: base</t>
  </si>
  <si>
    <t xml:space="preserve">The 2026 analog upcycle runs into 2027 (industrial and auto both through prior peaks, destocking done) and then corrects in 2028 the way TI's end markets always have, before mid-cycle growth of 4-6% on rising content per car and per factory. The 300mm fabs earn their keep: capex falls from $4.5B to the guided $2-3B and settles near 8% of revenue, lifting through-cycle pre-SBC EBITDA to ~53% and owner-FCF margins into the low-to-mid 30s -- roughly TI's 2018-2020 cash conversion with SBC charged. China keeps roughly its share of shipments; domestic Chinese competitors take the low end but not the catalog breadth.</t>
  </si>
  <si>
    <t xml:space="preserve">Scenario narrative: bull</t>
  </si>
  <si>
    <t xml:space="preserve">TI's 300mm cost advantage turns into share: as utilization climbs on already-built capacity, pre-SBC EBITDA reaches ~57.5%, above the FY2022 peak, while capex stays at 6.5-7.5% helped by the remaining $4-6B of CHIPS/ITC benefits. The upcycle is long and shallow (2027 +13%, 2028 flat rather than down), electrification/ADAS and industrial automation compound content growth at 6-8%, and reshoring of Silicon Labs and other fab-light rivals' volumes into TI's fabs reinforces the scale moat.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</si>
  <si>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</si>
  <si>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</si>
  <si>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</si>
  <si>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</si>
  <si>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</si>
  <si>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</si>
  <si>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</si>
  <si>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</si>
  <si>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</si>
  <si>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</si>
  <si>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</si>
  <si>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</si>
  <si>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</si>
  <si>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</si>
  <si>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</si>
  <si>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</si>
  <si>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</si>
  <si>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</si>
  <si>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</si>
  <si>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</si>
  <si>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</si>
  <si>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</si>
  <si>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</si>
  <si>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</si>
  <si>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</si>
  <si>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</si>
  <si>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</si>
  <si>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</si>
  <si>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</si>
  <si>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</si>
  <si>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</si>
  <si>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</si>
  <si>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</si>
  <si>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</si>
  <si>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</si>
  <si>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</si>
  <si>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</si>
  <si>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</si>
  <si>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</si>
  <si>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</si>
  <si>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</si>
  <si>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</si>
  <si>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</si>
  <si>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</si>
  <si>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</si>
  <si>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</si>
  <si>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</si>
  <si>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</si>
  <si>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</si>
  <si>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</si>
  <si>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</si>
  <si>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</si>
  <si>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</si>
  <si>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</si>
  <si>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</si>
  <si>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</si>
  <si>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</si>
  <si>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</si>
  <si>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</si>
  <si>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</si>
  <si>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</si>
  <si>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</si>
  <si>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</si>
  <si>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</si>
  <si>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</si>
  <si>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</si>
  <si>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</si>
  <si>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</si>
  <si>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</si>
  <si>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</si>
  <si>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</si>
  <si>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</si>
  <si>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</si>
  <si>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</si>
  <si>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</si>
  <si>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</si>
  <si>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</si>
  <si>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</si>
  <si>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</si>
  <si>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</si>
  <si>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</si>
  <si>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</si>
  <si>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</si>
  <si>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</si>
  <si>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TXN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</si>
  <si>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</si>
  <si>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</si>
  <si>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</si>
  <si>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</si>
  <si>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</si>
  <si>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</si>
  <si>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</si>
  <si>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</si>
  <si>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</si>
  <si>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</si>
  <si>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</si>
  <si>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</si>
  <si>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</si>
  <si>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</si>
  <si>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</si>
  <si>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</si>
  <si>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</si>
  <si>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</si>
  <si>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</si>
  <si>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</si>
  <si>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</si>
  <si>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</si>
  <si>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</si>
  <si>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</si>
  <si>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</si>
  <si>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</si>
  <si>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</si>
  <si>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</si>
  <si>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</si>
  <si>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</si>
  <si>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TXN owner-FCF component DCF: base case (millions, USD)</t>
  </si>
  <si>
    <t xml:space="preserve">TXN owner-FCF component DCF: bull case (millions, USD)</t>
  </si>
  <si>
    <t xml:space="preserve">TXN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</si>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</sst>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281.31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1183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13835</v>
      </c>
      <c r="C3" s="0" t="n">
        <v>6466</v>
      </c>
      <c r="D3" s="0" t="n">
        <v>7369</v>
      </c>
      <c r="E3" s="0" t="n">
        <v>53.2634622334659</v>
      </c>
      <c r="F3" s="0" t="n">
        <v>3497</v>
      </c>
      <c r="G3" s="0" t="n">
        <v>25.2764727141308</v>
      </c>
      <c r="I3" s="0" t="n">
        <v>2657</v>
      </c>
      <c r="J3" s="0" t="n">
        <v>19.2049150704734</v>
      </c>
      <c r="K3" s="0" t="n">
        <v>1.87</v>
      </c>
      <c r="M3" s="0" t="n">
        <v>686</v>
      </c>
      <c r="S3" s="0" t="n">
        <v>1328</v>
      </c>
      <c r="T3" s="0" t="n">
        <v>1444</v>
      </c>
      <c r="U3" s="0" t="n">
        <v>280</v>
      </c>
      <c r="V3" s="0" t="n">
        <v>0.3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12501</v>
      </c>
      <c r="C4" s="0" t="n">
        <v>6256</v>
      </c>
      <c r="D4" s="0" t="n">
        <v>6245</v>
      </c>
      <c r="E4" s="0" t="n">
        <v>49.9560035197184</v>
      </c>
      <c r="F4" s="0" t="n">
        <v>2437</v>
      </c>
      <c r="G4" s="0" t="n">
        <v>19.4944404447644</v>
      </c>
      <c r="I4" s="0" t="n">
        <v>1920</v>
      </c>
      <c r="J4" s="0" t="n">
        <v>15.3587712982961</v>
      </c>
      <c r="K4" s="0" t="n">
        <v>1.46</v>
      </c>
      <c r="M4" s="0" t="n">
        <v>763</v>
      </c>
      <c r="O4" s="0" t="n">
        <v>9326</v>
      </c>
      <c r="P4" s="0" t="n">
        <v>11923</v>
      </c>
      <c r="Q4" s="0" t="n">
        <v>2597</v>
      </c>
      <c r="S4" s="0" t="n">
        <v>1046</v>
      </c>
      <c r="T4" s="0" t="n">
        <v>1321</v>
      </c>
      <c r="U4" s="0" t="n">
        <v>213</v>
      </c>
      <c r="V4" s="0" t="n">
        <v>0.41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10427</v>
      </c>
      <c r="C5" s="0" t="n">
        <v>5428</v>
      </c>
      <c r="D5" s="0" t="n">
        <v>4999</v>
      </c>
      <c r="E5" s="0" t="n">
        <v>47.9428407020236</v>
      </c>
      <c r="F5" s="0" t="n">
        <v>1991</v>
      </c>
      <c r="G5" s="0" t="n">
        <v>19.0946580991656</v>
      </c>
      <c r="I5" s="0" t="n">
        <v>1470</v>
      </c>
      <c r="J5" s="0" t="n">
        <v>14.0980147693488</v>
      </c>
      <c r="K5" s="0" t="n">
        <v>1.16</v>
      </c>
      <c r="M5" s="0" t="n">
        <v>753</v>
      </c>
      <c r="O5" s="0" t="n">
        <v>9722</v>
      </c>
      <c r="P5" s="0" t="n">
        <v>12119</v>
      </c>
      <c r="Q5" s="0" t="n">
        <v>2397</v>
      </c>
      <c r="S5" s="0" t="n">
        <v>1182</v>
      </c>
      <c r="T5" s="0" t="n">
        <v>1269</v>
      </c>
      <c r="U5" s="0" t="n">
        <v>186</v>
      </c>
      <c r="V5" s="0" t="n">
        <v>0.45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13966</v>
      </c>
      <c r="C6" s="0" t="n">
        <v>6474</v>
      </c>
      <c r="D6" s="0" t="n">
        <v>7492</v>
      </c>
      <c r="E6" s="0" t="n">
        <v>53.6445653730488</v>
      </c>
      <c r="F6" s="0" t="n">
        <v>4514</v>
      </c>
      <c r="G6" s="0" t="n">
        <v>32.3213518545038</v>
      </c>
      <c r="I6" s="0" t="n">
        <v>3228</v>
      </c>
      <c r="J6" s="0" t="n">
        <v>23.1132750966633</v>
      </c>
      <c r="K6" s="0" t="n">
        <v>2.66</v>
      </c>
      <c r="M6" s="0" t="n">
        <v>1199</v>
      </c>
      <c r="O6" s="0" t="n">
        <v>10437</v>
      </c>
      <c r="P6" s="0" t="n">
        <v>13401</v>
      </c>
      <c r="Q6" s="0" t="n">
        <v>2964</v>
      </c>
      <c r="R6" s="0" t="n">
        <v>0</v>
      </c>
      <c r="S6" s="0" t="n">
        <v>1319</v>
      </c>
      <c r="T6" s="0" t="n">
        <v>1213</v>
      </c>
      <c r="U6" s="0" t="n">
        <v>190</v>
      </c>
      <c r="V6" s="0" t="n">
        <v>0.49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13735</v>
      </c>
      <c r="C7" s="0" t="n">
        <v>6963</v>
      </c>
      <c r="D7" s="0" t="n">
        <v>6772</v>
      </c>
      <c r="E7" s="0" t="n">
        <v>49.304696032035</v>
      </c>
      <c r="F7" s="0" t="n">
        <v>2992</v>
      </c>
      <c r="G7" s="0" t="n">
        <v>21.7837641062978</v>
      </c>
      <c r="I7" s="0" t="n">
        <v>2236</v>
      </c>
      <c r="J7" s="0" t="n">
        <v>16.2795777211504</v>
      </c>
      <c r="K7" s="0" t="n">
        <v>1.91</v>
      </c>
      <c r="M7" s="0" t="n">
        <v>816</v>
      </c>
      <c r="O7" s="0" t="n">
        <v>10952</v>
      </c>
      <c r="P7" s="0" t="n">
        <v>20497</v>
      </c>
      <c r="Q7" s="0" t="n">
        <v>9545</v>
      </c>
      <c r="R7" s="0" t="n">
        <v>4593</v>
      </c>
      <c r="S7" s="0" t="n">
        <v>992</v>
      </c>
      <c r="T7" s="0" t="n">
        <v>1171</v>
      </c>
      <c r="U7" s="0" t="n">
        <v>269</v>
      </c>
      <c r="V7" s="0" t="n">
        <v>0.56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12825</v>
      </c>
      <c r="C8" s="0" t="n">
        <v>6457</v>
      </c>
      <c r="D8" s="0" t="n">
        <v>6368</v>
      </c>
      <c r="E8" s="0" t="n">
        <v>49.6530214424951</v>
      </c>
      <c r="F8" s="0" t="n">
        <v>1973</v>
      </c>
      <c r="G8" s="0" t="n">
        <v>15.3840155945419</v>
      </c>
      <c r="I8" s="0" t="n">
        <v>1759</v>
      </c>
      <c r="J8" s="0" t="n">
        <v>13.7153996101365</v>
      </c>
      <c r="K8" s="0" t="n">
        <v>1.53</v>
      </c>
      <c r="M8" s="0" t="n">
        <v>495</v>
      </c>
      <c r="O8" s="0" t="n">
        <v>10961</v>
      </c>
      <c r="P8" s="0" t="n">
        <v>20021</v>
      </c>
      <c r="Q8" s="0" t="n">
        <v>9060</v>
      </c>
      <c r="R8" s="0" t="n">
        <v>5686</v>
      </c>
      <c r="S8" s="0" t="n">
        <v>1416</v>
      </c>
      <c r="T8" s="0" t="n">
        <v>1146</v>
      </c>
      <c r="U8" s="0" t="n">
        <v>263</v>
      </c>
      <c r="V8" s="0" t="n">
        <v>0.72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12205</v>
      </c>
      <c r="C9" s="0" t="n">
        <v>5841</v>
      </c>
      <c r="D9" s="0" t="n">
        <v>6364</v>
      </c>
      <c r="E9" s="0" t="n">
        <v>52.1425645227366</v>
      </c>
      <c r="F9" s="0" t="n">
        <v>2832</v>
      </c>
      <c r="G9" s="0" t="n">
        <v>23.2036050798853</v>
      </c>
      <c r="I9" s="0" t="n">
        <v>2162</v>
      </c>
      <c r="J9" s="0" t="n">
        <v>17.7140516181893</v>
      </c>
      <c r="K9" s="0" t="n">
        <v>1.94</v>
      </c>
      <c r="M9" s="0" t="n">
        <v>412</v>
      </c>
      <c r="O9" s="0" t="n">
        <v>10807</v>
      </c>
      <c r="P9" s="0" t="n">
        <v>18938</v>
      </c>
      <c r="Q9" s="0" t="n">
        <v>8131</v>
      </c>
      <c r="R9" s="0" t="n">
        <v>5158</v>
      </c>
      <c r="S9" s="0" t="n">
        <v>1627</v>
      </c>
      <c r="T9" s="0" t="n">
        <v>1113</v>
      </c>
      <c r="U9" s="0" t="n">
        <v>287</v>
      </c>
      <c r="V9" s="0" t="n">
        <v>1.07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13045</v>
      </c>
      <c r="C10" s="0" t="n">
        <v>5618</v>
      </c>
      <c r="D10" s="0" t="n">
        <v>7427</v>
      </c>
      <c r="E10" s="0" t="n">
        <v>56.9336910693752</v>
      </c>
      <c r="F10" s="0" t="n">
        <v>3947</v>
      </c>
      <c r="G10" s="0" t="n">
        <v>30.2568033729398</v>
      </c>
      <c r="I10" s="0" t="n">
        <v>2821</v>
      </c>
      <c r="J10" s="0" t="n">
        <v>21.6251437332311</v>
      </c>
      <c r="K10" s="0" t="n">
        <v>2.61</v>
      </c>
      <c r="M10" s="0" t="n">
        <v>385</v>
      </c>
      <c r="O10" s="0" t="n">
        <v>10390</v>
      </c>
      <c r="P10" s="0" t="n">
        <v>17372</v>
      </c>
      <c r="Q10" s="0" t="n">
        <v>6982</v>
      </c>
      <c r="R10" s="0" t="n">
        <v>5632</v>
      </c>
      <c r="S10" s="0" t="n">
        <v>1199</v>
      </c>
      <c r="T10" s="0" t="n">
        <v>1080</v>
      </c>
      <c r="U10" s="0" t="n">
        <v>277</v>
      </c>
      <c r="V10" s="0" t="n">
        <v>1.24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13000</v>
      </c>
      <c r="C11" s="0" t="n">
        <v>5425</v>
      </c>
      <c r="D11" s="0" t="n">
        <v>7575</v>
      </c>
      <c r="E11" s="0" t="n">
        <v>58.2692307692308</v>
      </c>
      <c r="F11" s="0" t="n">
        <v>4322</v>
      </c>
      <c r="G11" s="0" t="n">
        <v>33.2461538461539</v>
      </c>
      <c r="I11" s="0" t="n">
        <v>2986</v>
      </c>
      <c r="J11" s="0" t="n">
        <v>22.9692307692308</v>
      </c>
      <c r="K11" s="0" t="n">
        <v>2.86</v>
      </c>
      <c r="M11" s="0" t="n">
        <v>551</v>
      </c>
      <c r="O11" s="0" t="n">
        <v>9946</v>
      </c>
      <c r="P11" s="0" t="n">
        <v>16230</v>
      </c>
      <c r="Q11" s="0" t="n">
        <v>6284</v>
      </c>
      <c r="R11" s="0" t="n">
        <v>5120</v>
      </c>
      <c r="S11" s="0" t="n">
        <v>1000</v>
      </c>
      <c r="T11" s="0" t="n">
        <v>1043</v>
      </c>
      <c r="U11" s="0" t="n">
        <v>286</v>
      </c>
      <c r="V11" s="0" t="n">
        <v>1.4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13370</v>
      </c>
      <c r="C12" s="0" t="n">
        <v>5113</v>
      </c>
      <c r="D12" s="0" t="n">
        <v>8257</v>
      </c>
      <c r="E12" s="0" t="n">
        <v>61.7576664173523</v>
      </c>
      <c r="F12" s="0" t="n">
        <v>4855</v>
      </c>
      <c r="G12" s="0" t="n">
        <v>36.3126402393418</v>
      </c>
      <c r="I12" s="0" t="n">
        <v>3595</v>
      </c>
      <c r="J12" s="0" t="n">
        <v>26.8885564697083</v>
      </c>
      <c r="K12" s="0" t="n">
        <v>3.54</v>
      </c>
      <c r="L12" s="0" t="n">
        <v>4614</v>
      </c>
      <c r="M12" s="0" t="n">
        <v>531</v>
      </c>
      <c r="N12" s="0" t="n">
        <v>4083</v>
      </c>
      <c r="O12" s="0" t="n">
        <v>10473</v>
      </c>
      <c r="P12" s="0" t="n">
        <v>16431</v>
      </c>
      <c r="Q12" s="0" t="n">
        <v>5958</v>
      </c>
      <c r="R12" s="0" t="n">
        <v>4240</v>
      </c>
      <c r="S12" s="0" t="n">
        <v>1154</v>
      </c>
      <c r="T12" s="0" t="n">
        <v>1021</v>
      </c>
      <c r="U12" s="0" t="n">
        <v>252</v>
      </c>
      <c r="V12" s="0" t="n">
        <v>1.64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14961</v>
      </c>
      <c r="C13" s="0" t="n">
        <v>5347</v>
      </c>
      <c r="D13" s="0" t="n">
        <v>9614</v>
      </c>
      <c r="E13" s="0" t="n">
        <v>64.2604104003743</v>
      </c>
      <c r="F13" s="0" t="n">
        <v>6083</v>
      </c>
      <c r="G13" s="0" t="n">
        <v>40.6590468551567</v>
      </c>
      <c r="I13" s="0" t="n">
        <v>3682</v>
      </c>
      <c r="J13" s="0" t="n">
        <v>24.6106543680235</v>
      </c>
      <c r="K13" s="0" t="n">
        <v>3.68</v>
      </c>
      <c r="L13" s="0" t="n">
        <v>5363</v>
      </c>
      <c r="M13" s="0" t="n">
        <v>695</v>
      </c>
      <c r="N13" s="0" t="n">
        <v>4668</v>
      </c>
      <c r="O13" s="0" t="n">
        <v>10337</v>
      </c>
      <c r="P13" s="0" t="n">
        <v>17642</v>
      </c>
      <c r="Q13" s="0" t="n">
        <v>7305</v>
      </c>
      <c r="R13" s="0" t="n">
        <v>4577</v>
      </c>
      <c r="S13" s="0" t="n">
        <v>1656</v>
      </c>
      <c r="T13" s="0" t="n">
        <v>1012</v>
      </c>
      <c r="U13" s="0" t="n">
        <v>242</v>
      </c>
      <c r="V13" s="0" t="n">
        <v>2.12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15784</v>
      </c>
      <c r="C14" s="0" t="n">
        <v>5507</v>
      </c>
      <c r="D14" s="0" t="n">
        <v>10277</v>
      </c>
      <c r="E14" s="0" t="n">
        <v>65.1102382159149</v>
      </c>
      <c r="F14" s="0" t="n">
        <v>6713</v>
      </c>
      <c r="G14" s="0" t="n">
        <v>42.5304105423213</v>
      </c>
      <c r="I14" s="0" t="n">
        <v>5580</v>
      </c>
      <c r="J14" s="0" t="n">
        <v>35.3522554485555</v>
      </c>
      <c r="K14" s="0" t="n">
        <v>5.71</v>
      </c>
      <c r="L14" s="0" t="n">
        <v>7189</v>
      </c>
      <c r="M14" s="0" t="n">
        <v>1131</v>
      </c>
      <c r="N14" s="0" t="n">
        <v>6058</v>
      </c>
      <c r="O14" s="0" t="n">
        <v>8994</v>
      </c>
      <c r="P14" s="0" t="n">
        <v>17137</v>
      </c>
      <c r="Q14" s="0" t="n">
        <v>8143</v>
      </c>
      <c r="R14" s="0" t="n">
        <v>5817</v>
      </c>
      <c r="S14" s="0" t="n">
        <v>2438</v>
      </c>
      <c r="T14" s="0" t="n">
        <v>990</v>
      </c>
      <c r="U14" s="0" t="n">
        <v>232</v>
      </c>
      <c r="V14" s="0" t="n">
        <v>2.63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14383</v>
      </c>
      <c r="C15" s="0" t="n">
        <v>5219</v>
      </c>
      <c r="D15" s="0" t="n">
        <v>9164</v>
      </c>
      <c r="E15" s="0" t="n">
        <v>63.7141069317945</v>
      </c>
      <c r="F15" s="0" t="n">
        <v>5723</v>
      </c>
      <c r="G15" s="0" t="n">
        <v>39.7900298964055</v>
      </c>
      <c r="I15" s="0" t="n">
        <v>5017</v>
      </c>
      <c r="J15" s="0" t="n">
        <v>34.8814572759508</v>
      </c>
      <c r="K15" s="0" t="n">
        <v>5.33</v>
      </c>
      <c r="L15" s="0" t="n">
        <v>6649</v>
      </c>
      <c r="M15" s="0" t="n">
        <v>847</v>
      </c>
      <c r="N15" s="0" t="n">
        <v>5802</v>
      </c>
      <c r="O15" s="0" t="n">
        <v>8907</v>
      </c>
      <c r="P15" s="0" t="n">
        <v>18018</v>
      </c>
      <c r="Q15" s="0" t="n">
        <v>9111</v>
      </c>
      <c r="R15" s="0" t="n">
        <v>6303</v>
      </c>
      <c r="S15" s="0" t="n">
        <v>2437</v>
      </c>
      <c r="T15" s="0" t="n">
        <v>952</v>
      </c>
      <c r="U15" s="0" t="n">
        <v>217</v>
      </c>
      <c r="V15" s="0" t="n">
        <v>3.21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14461</v>
      </c>
      <c r="C16" s="0" t="n">
        <v>5192</v>
      </c>
      <c r="D16" s="0" t="n">
        <v>9269</v>
      </c>
      <c r="E16" s="0" t="n">
        <v>64.0965355093009</v>
      </c>
      <c r="F16" s="0" t="n">
        <v>5894</v>
      </c>
      <c r="G16" s="0" t="n">
        <v>40.7579005601272</v>
      </c>
      <c r="I16" s="0" t="n">
        <v>5595</v>
      </c>
      <c r="J16" s="0" t="n">
        <v>38.6902703824079</v>
      </c>
      <c r="K16" s="0" t="n">
        <v>6.05</v>
      </c>
      <c r="L16" s="0" t="n">
        <v>6139</v>
      </c>
      <c r="M16" s="0" t="n">
        <v>649</v>
      </c>
      <c r="N16" s="0" t="n">
        <v>5490</v>
      </c>
      <c r="O16" s="0" t="n">
        <v>9187</v>
      </c>
      <c r="P16" s="0" t="n">
        <v>19351</v>
      </c>
      <c r="Q16" s="0" t="n">
        <v>10164</v>
      </c>
      <c r="R16" s="0" t="n">
        <v>7348</v>
      </c>
      <c r="S16" s="0" t="n">
        <v>3107</v>
      </c>
      <c r="T16" s="0" t="n">
        <v>933</v>
      </c>
      <c r="U16" s="0" t="n">
        <v>224</v>
      </c>
      <c r="V16" s="0" t="n">
        <v>3.72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18344</v>
      </c>
      <c r="C17" s="0" t="n">
        <v>5968</v>
      </c>
      <c r="D17" s="0" t="n">
        <v>12376</v>
      </c>
      <c r="E17" s="0" t="n">
        <v>67.4662014827737</v>
      </c>
      <c r="F17" s="0" t="n">
        <v>8960</v>
      </c>
      <c r="G17" s="0" t="n">
        <v>48.844308765809</v>
      </c>
      <c r="I17" s="0" t="n">
        <v>7769</v>
      </c>
      <c r="J17" s="0" t="n">
        <v>42.3517226341038</v>
      </c>
      <c r="K17" s="0" t="n">
        <v>8.38</v>
      </c>
      <c r="L17" s="0" t="n">
        <v>8756</v>
      </c>
      <c r="M17" s="0" t="n">
        <v>2462</v>
      </c>
      <c r="N17" s="0" t="n">
        <v>6294</v>
      </c>
      <c r="O17" s="0" t="n">
        <v>13333</v>
      </c>
      <c r="P17" s="0" t="n">
        <v>24676</v>
      </c>
      <c r="Q17" s="0" t="n">
        <v>11343</v>
      </c>
      <c r="R17" s="0" t="n">
        <v>8241</v>
      </c>
      <c r="S17" s="0" t="n">
        <v>4631</v>
      </c>
      <c r="T17" s="0" t="n">
        <v>936</v>
      </c>
      <c r="U17" s="0" t="n">
        <v>230</v>
      </c>
      <c r="V17" s="0" t="n">
        <v>4.21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20028</v>
      </c>
      <c r="C18" s="0" t="n">
        <v>6257</v>
      </c>
      <c r="D18" s="0" t="n">
        <v>13771</v>
      </c>
      <c r="E18" s="0" t="n">
        <v>68.758737767126</v>
      </c>
      <c r="F18" s="0" t="n">
        <v>10140</v>
      </c>
      <c r="G18" s="0" t="n">
        <v>50.6291192330737</v>
      </c>
      <c r="I18" s="0" t="n">
        <v>8749</v>
      </c>
      <c r="J18" s="0" t="n">
        <v>43.6838426203315</v>
      </c>
      <c r="K18" s="0" t="n">
        <v>9.51</v>
      </c>
      <c r="L18" s="0" t="n">
        <v>8720</v>
      </c>
      <c r="M18" s="0" t="n">
        <v>2797</v>
      </c>
      <c r="N18" s="0" t="n">
        <v>5923</v>
      </c>
      <c r="O18" s="0" t="n">
        <v>14577</v>
      </c>
      <c r="P18" s="0" t="n">
        <v>27207</v>
      </c>
      <c r="Q18" s="0" t="n">
        <v>12630</v>
      </c>
      <c r="R18" s="0" t="n">
        <v>9235</v>
      </c>
      <c r="S18" s="0" t="n">
        <v>3050</v>
      </c>
      <c r="T18" s="0" t="n">
        <v>926</v>
      </c>
      <c r="U18" s="0" t="n">
        <v>289</v>
      </c>
      <c r="V18" s="0" t="n">
        <v>4.69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17519</v>
      </c>
      <c r="C19" s="0" t="n">
        <v>6500</v>
      </c>
      <c r="D19" s="0" t="n">
        <v>11019</v>
      </c>
      <c r="E19" s="0" t="n">
        <v>62.8974256521491</v>
      </c>
      <c r="F19" s="0" t="n">
        <v>7331</v>
      </c>
      <c r="G19" s="0" t="n">
        <v>41.8459957760146</v>
      </c>
      <c r="I19" s="0" t="n">
        <v>6510</v>
      </c>
      <c r="J19" s="0" t="n">
        <v>37.159655231463</v>
      </c>
      <c r="K19" s="0" t="n">
        <v>7.13</v>
      </c>
      <c r="L19" s="0" t="n">
        <v>6420</v>
      </c>
      <c r="M19" s="0" t="n">
        <v>5071</v>
      </c>
      <c r="N19" s="0" t="n">
        <v>1349</v>
      </c>
      <c r="O19" s="0" t="n">
        <v>16897</v>
      </c>
      <c r="P19" s="0" t="n">
        <v>32348</v>
      </c>
      <c r="Q19" s="0" t="n">
        <v>15451</v>
      </c>
      <c r="R19" s="0" t="n">
        <v>11822</v>
      </c>
      <c r="S19" s="0" t="n">
        <v>2964</v>
      </c>
      <c r="T19" s="0" t="n">
        <v>916</v>
      </c>
      <c r="U19" s="0" t="n">
        <v>362</v>
      </c>
      <c r="V19" s="0" t="n">
        <v>5.02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15641</v>
      </c>
      <c r="C20" s="0" t="n">
        <v>6547</v>
      </c>
      <c r="D20" s="0" t="n">
        <v>9094</v>
      </c>
      <c r="E20" s="0" t="n">
        <v>58.1420625279714</v>
      </c>
      <c r="F20" s="0" t="n">
        <v>5465</v>
      </c>
      <c r="G20" s="0" t="n">
        <v>34.9402212134774</v>
      </c>
      <c r="I20" s="0" t="n">
        <v>4799</v>
      </c>
      <c r="J20" s="0" t="n">
        <v>30.6821814461991</v>
      </c>
      <c r="K20" s="0" t="n">
        <v>5.24</v>
      </c>
      <c r="L20" s="0" t="n">
        <v>6318</v>
      </c>
      <c r="M20" s="0" t="n">
        <v>4820</v>
      </c>
      <c r="N20" s="0" t="n">
        <v>1498</v>
      </c>
      <c r="O20" s="0" t="n">
        <v>16903</v>
      </c>
      <c r="P20" s="0" t="n">
        <v>35509</v>
      </c>
      <c r="Q20" s="0" t="n">
        <v>18606</v>
      </c>
      <c r="R20" s="0" t="n">
        <v>14346</v>
      </c>
      <c r="S20" s="0" t="n">
        <v>3200</v>
      </c>
      <c r="T20" s="0" t="n">
        <v>919</v>
      </c>
      <c r="U20" s="0" t="n">
        <v>387</v>
      </c>
      <c r="V20" s="0" t="n">
        <v>5.26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17682</v>
      </c>
      <c r="C21" s="0" t="n">
        <v>7599</v>
      </c>
      <c r="D21" s="0" t="n">
        <v>10083</v>
      </c>
      <c r="E21" s="0" t="n">
        <v>57.0240922972514</v>
      </c>
      <c r="F21" s="0" t="n">
        <v>6023</v>
      </c>
      <c r="G21" s="0" t="n">
        <v>34.0628888134826</v>
      </c>
      <c r="I21" s="0" t="n">
        <v>5001</v>
      </c>
      <c r="J21" s="0" t="n">
        <v>28.2829996606719</v>
      </c>
      <c r="K21" s="0" t="n">
        <v>5.47</v>
      </c>
      <c r="L21" s="0" t="n">
        <v>7153</v>
      </c>
      <c r="M21" s="0" t="n">
        <v>4550</v>
      </c>
      <c r="N21" s="0" t="n">
        <v>2603</v>
      </c>
      <c r="O21" s="0" t="n">
        <v>16273</v>
      </c>
      <c r="P21" s="0" t="n">
        <v>34585</v>
      </c>
      <c r="Q21" s="0" t="n">
        <v>18312</v>
      </c>
      <c r="R21" s="0" t="n">
        <v>14548</v>
      </c>
      <c r="S21" s="0" t="n">
        <v>3225</v>
      </c>
      <c r="T21" s="0" t="n">
        <v>913</v>
      </c>
      <c r="U21" s="0" t="n">
        <v>419</v>
      </c>
      <c r="V21" s="0" t="n">
        <v>5.5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281.31</v>
      </c>
    </row>
    <row r="3" customFormat="false" ht="15" hidden="false" customHeight="false" outlineLevel="0" collapsed="false">
      <c r="A3" s="0" t="s">
        <v>86</v>
      </c>
      <c r="B3" s="3" t="n">
        <v>920</v>
      </c>
    </row>
    <row r="4" customFormat="false" ht="15" hidden="false" customHeight="false" outlineLevel="0" collapsed="false">
      <c r="A4" s="0" t="s">
        <v>87</v>
      </c>
      <c r="B4" s="3" t="n">
        <v>7051</v>
      </c>
    </row>
    <row r="5" customFormat="false" ht="15" hidden="false" customHeight="false" outlineLevel="0" collapsed="false">
      <c r="A5" s="0" t="s">
        <v>88</v>
      </c>
      <c r="B5" s="3" t="n">
        <v>2163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17682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23</v>
      </c>
      <c r="D13" s="3" t="n">
        <v>0</v>
      </c>
      <c r="E13" s="3" t="n">
        <v>-10</v>
      </c>
      <c r="F13" s="3" t="n">
        <v>3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53.5</v>
      </c>
      <c r="D14" s="3" t="n">
        <v>51</v>
      </c>
      <c r="E14" s="3" t="n">
        <v>45</v>
      </c>
      <c r="F14" s="3" t="n">
        <v>47</v>
      </c>
      <c r="G14" s="3" t="n">
        <v>48</v>
      </c>
      <c r="H14" s="3" t="n">
        <v>48.5</v>
      </c>
      <c r="I14" s="3" t="n">
        <v>48.5</v>
      </c>
      <c r="J14" s="3" t="n">
        <v>48.5</v>
      </c>
      <c r="K14" s="3" t="n">
        <v>48.5</v>
      </c>
      <c r="L14" s="3" t="n">
        <v>48.5</v>
      </c>
    </row>
    <row r="15" customFormat="false" ht="15" hidden="false" customHeight="false" outlineLevel="0" collapsed="false">
      <c r="A15" s="0" t="s">
        <v>108</v>
      </c>
      <c r="C15" s="3" t="n">
        <v>2.4</v>
      </c>
      <c r="D15" s="3" t="n">
        <v>2.5</v>
      </c>
      <c r="E15" s="3" t="n">
        <v>2.7</v>
      </c>
      <c r="F15" s="3" t="n">
        <v>2.6</v>
      </c>
      <c r="G15" s="3" t="n">
        <v>2.5</v>
      </c>
      <c r="H15" s="3" t="n">
        <v>2.5</v>
      </c>
      <c r="I15" s="3" t="n">
        <v>2.4</v>
      </c>
      <c r="J15" s="3" t="n">
        <v>2.4</v>
      </c>
      <c r="K15" s="3" t="n">
        <v>2.4</v>
      </c>
      <c r="L15" s="3" t="n">
        <v>2.4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10.5</v>
      </c>
      <c r="D17" s="3" t="n">
        <v>11.5</v>
      </c>
      <c r="E17" s="3" t="n">
        <v>12.8</v>
      </c>
      <c r="F17" s="3" t="n">
        <v>12</v>
      </c>
      <c r="G17" s="3" t="n">
        <v>11.2</v>
      </c>
      <c r="H17" s="3" t="n">
        <v>10.4</v>
      </c>
      <c r="I17" s="3" t="n">
        <v>9.7</v>
      </c>
      <c r="J17" s="3" t="n">
        <v>9.2</v>
      </c>
      <c r="K17" s="3" t="n">
        <v>8.8</v>
      </c>
      <c r="L17" s="3" t="n">
        <v>8.5</v>
      </c>
    </row>
    <row r="18" customFormat="false" ht="15" hidden="false" customHeight="false" outlineLevel="0" collapsed="false">
      <c r="A18" s="0" t="s">
        <v>111</v>
      </c>
      <c r="C18" s="3" t="n">
        <v>10.9</v>
      </c>
      <c r="D18" s="3" t="n">
        <v>9.5</v>
      </c>
      <c r="E18" s="3" t="n">
        <v>9</v>
      </c>
      <c r="F18" s="3" t="n">
        <v>9</v>
      </c>
      <c r="G18" s="3" t="n">
        <v>9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112</v>
      </c>
      <c r="C19" s="3" t="n">
        <v>16</v>
      </c>
      <c r="D19" s="3" t="n">
        <v>16</v>
      </c>
      <c r="E19" s="3" t="n">
        <v>16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24</v>
      </c>
      <c r="D27" s="3" t="n">
        <v>8</v>
      </c>
      <c r="E27" s="3" t="n">
        <v>-5</v>
      </c>
      <c r="F27" s="3" t="n">
        <v>6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54</v>
      </c>
      <c r="D28" s="3" t="n">
        <v>55.5</v>
      </c>
      <c r="E28" s="3" t="n">
        <v>50</v>
      </c>
      <c r="F28" s="3" t="n">
        <v>52</v>
      </c>
      <c r="G28" s="3" t="n">
        <v>53</v>
      </c>
      <c r="H28" s="3" t="n">
        <v>53</v>
      </c>
      <c r="I28" s="3" t="n">
        <v>53</v>
      </c>
      <c r="J28" s="3" t="n">
        <v>53</v>
      </c>
      <c r="K28" s="3" t="n">
        <v>53</v>
      </c>
      <c r="L28" s="3" t="n">
        <v>53</v>
      </c>
    </row>
    <row r="29" customFormat="false" ht="15" hidden="false" customHeight="false" outlineLevel="0" collapsed="false">
      <c r="A29" s="0" t="s">
        <v>108</v>
      </c>
      <c r="C29" s="3" t="n">
        <v>2.4</v>
      </c>
      <c r="D29" s="3" t="n">
        <v>2.3</v>
      </c>
      <c r="E29" s="3" t="n">
        <v>2.4</v>
      </c>
      <c r="F29" s="3" t="n">
        <v>2.3</v>
      </c>
      <c r="G29" s="3" t="n">
        <v>2.2</v>
      </c>
      <c r="H29" s="3" t="n">
        <v>2.2</v>
      </c>
      <c r="I29" s="3" t="n">
        <v>2.1</v>
      </c>
      <c r="J29" s="3" t="n">
        <v>2.1</v>
      </c>
      <c r="K29" s="3" t="n">
        <v>2.1</v>
      </c>
      <c r="L29" s="3" t="n">
        <v>2.1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10.5</v>
      </c>
      <c r="D31" s="3" t="n">
        <v>10.6</v>
      </c>
      <c r="E31" s="3" t="n">
        <v>11.5</v>
      </c>
      <c r="F31" s="3" t="n">
        <v>10.8</v>
      </c>
      <c r="G31" s="3" t="n">
        <v>10</v>
      </c>
      <c r="H31" s="3" t="n">
        <v>9.3</v>
      </c>
      <c r="I31" s="3" t="n">
        <v>8.7</v>
      </c>
      <c r="J31" s="3" t="n">
        <v>8.2</v>
      </c>
      <c r="K31" s="3" t="n">
        <v>7.8</v>
      </c>
      <c r="L31" s="3" t="n">
        <v>7.5</v>
      </c>
    </row>
    <row r="32" customFormat="false" ht="15" hidden="false" customHeight="false" outlineLevel="0" collapsed="false">
      <c r="A32" s="0" t="s">
        <v>111</v>
      </c>
      <c r="C32" s="3" t="n">
        <v>9</v>
      </c>
      <c r="D32" s="3" t="n">
        <v>7.5</v>
      </c>
      <c r="E32" s="3" t="n">
        <v>7.5</v>
      </c>
      <c r="F32" s="3" t="n">
        <v>7</v>
      </c>
      <c r="G32" s="3" t="n">
        <v>7.5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112</v>
      </c>
      <c r="C33" s="3" t="n">
        <v>15</v>
      </c>
      <c r="D33" s="3" t="n">
        <v>15</v>
      </c>
      <c r="E33" s="3" t="n">
        <v>15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25</v>
      </c>
      <c r="D41" s="3" t="n">
        <v>13</v>
      </c>
      <c r="E41" s="3" t="n">
        <v>0</v>
      </c>
      <c r="F41" s="3" t="n">
        <v>8</v>
      </c>
      <c r="G41" s="3" t="n">
        <v>8</v>
      </c>
      <c r="H41" s="3" t="n">
        <v>7</v>
      </c>
      <c r="I41" s="3" t="n">
        <v>6.5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54.5</v>
      </c>
      <c r="D42" s="3" t="n">
        <v>57.5</v>
      </c>
      <c r="E42" s="3" t="n">
        <v>55</v>
      </c>
      <c r="F42" s="3" t="n">
        <v>56.5</v>
      </c>
      <c r="G42" s="3" t="n">
        <v>57</v>
      </c>
      <c r="H42" s="3" t="n">
        <v>57.5</v>
      </c>
      <c r="I42" s="3" t="n">
        <v>57.5</v>
      </c>
      <c r="J42" s="3" t="n">
        <v>57.5</v>
      </c>
      <c r="K42" s="3" t="n">
        <v>57.5</v>
      </c>
      <c r="L42" s="3" t="n">
        <v>57.5</v>
      </c>
    </row>
    <row r="43" customFormat="false" ht="15" hidden="false" customHeight="false" outlineLevel="0" collapsed="false">
      <c r="A43" s="0" t="s">
        <v>108</v>
      </c>
      <c r="C43" s="3" t="n">
        <v>2.4</v>
      </c>
      <c r="D43" s="3" t="n">
        <v>2.2</v>
      </c>
      <c r="E43" s="3" t="n">
        <v>2.3</v>
      </c>
      <c r="F43" s="3" t="n">
        <v>2.2</v>
      </c>
      <c r="G43" s="3" t="n">
        <v>2.1</v>
      </c>
      <c r="H43" s="3" t="n">
        <v>2.1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10.5</v>
      </c>
      <c r="D45" s="3" t="n">
        <v>10</v>
      </c>
      <c r="E45" s="3" t="n">
        <v>10.5</v>
      </c>
      <c r="F45" s="3" t="n">
        <v>9.7</v>
      </c>
      <c r="G45" s="3" t="n">
        <v>9</v>
      </c>
      <c r="H45" s="3" t="n">
        <v>8.4</v>
      </c>
      <c r="I45" s="3" t="n">
        <v>8</v>
      </c>
      <c r="J45" s="3" t="n">
        <v>7.7</v>
      </c>
      <c r="K45" s="3" t="n">
        <v>7.5</v>
      </c>
      <c r="L45" s="3" t="n">
        <v>7.3</v>
      </c>
    </row>
    <row r="46" customFormat="false" ht="15" hidden="false" customHeight="false" outlineLevel="0" collapsed="false">
      <c r="A46" s="0" t="s">
        <v>111</v>
      </c>
      <c r="C46" s="3" t="n">
        <v>8.5</v>
      </c>
      <c r="D46" s="3" t="n">
        <v>6.5</v>
      </c>
      <c r="E46" s="3" t="n">
        <v>6.5</v>
      </c>
      <c r="F46" s="3" t="n">
        <v>6.5</v>
      </c>
      <c r="G46" s="3" t="n">
        <v>7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112</v>
      </c>
      <c r="C47" s="3" t="n">
        <v>15</v>
      </c>
      <c r="D47" s="3" t="n">
        <v>15</v>
      </c>
      <c r="E47" s="3" t="n">
        <v>15</v>
      </c>
      <c r="F47" s="3" t="n">
        <v>15.5</v>
      </c>
      <c r="G47" s="3" t="n">
        <v>15.5</v>
      </c>
      <c r="H47" s="3" t="n">
        <v>15.5</v>
      </c>
      <c r="I47" s="3" t="n">
        <v>15.5</v>
      </c>
      <c r="J47" s="3" t="n">
        <v>15.5</v>
      </c>
      <c r="K47" s="3" t="n">
        <v>15.5</v>
      </c>
      <c r="L47" s="3" t="n">
        <v>15.5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23</v>
      </c>
      <c r="D5" s="4" t="n">
        <f aca="false">Assumptions!D13</f>
        <v>0</v>
      </c>
      <c r="E5" s="4" t="n">
        <f aca="false">Assumptions!E13</f>
        <v>-10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17682</v>
      </c>
      <c r="C6" s="0" t="n">
        <f aca="false">B6*(1+C5/100)</f>
        <v>21748.86</v>
      </c>
      <c r="D6" s="0" t="n">
        <f aca="false">C6*(1+D5/100)</f>
        <v>21748.86</v>
      </c>
      <c r="E6" s="0" t="n">
        <f aca="false">D6*(1+E5/100)</f>
        <v>19573.974</v>
      </c>
      <c r="F6" s="0" t="n">
        <f aca="false">E6*(1+F5/100)</f>
        <v>20161.19322</v>
      </c>
      <c r="G6" s="0" t="n">
        <f aca="false">F6*(1+G5/100)</f>
        <v>20967.6409488</v>
      </c>
      <c r="H6" s="0" t="n">
        <f aca="false">G6*(1+H5/100)</f>
        <v>21701.508382008</v>
      </c>
      <c r="I6" s="0" t="n">
        <f aca="false">H6*(1+I5/100)</f>
        <v>22352.5536334682</v>
      </c>
      <c r="J6" s="0" t="n">
        <f aca="false">I6*(1+J5/100)</f>
        <v>23023.1302424723</v>
      </c>
      <c r="K6" s="0" t="n">
        <f aca="false">J6*(1+K5/100)</f>
        <v>23598.7084985341</v>
      </c>
      <c r="L6" s="0" t="n">
        <f aca="false">K6*(1+L5/100)</f>
        <v>24188.6762109974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53.5</v>
      </c>
      <c r="D7" s="4" t="n">
        <f aca="false">Assumptions!D14</f>
        <v>51</v>
      </c>
      <c r="E7" s="4" t="n">
        <f aca="false">Assumptions!E14</f>
        <v>45</v>
      </c>
      <c r="F7" s="4" t="n">
        <f aca="false">Assumptions!F14</f>
        <v>47</v>
      </c>
      <c r="G7" s="4" t="n">
        <f aca="false">Assumptions!G14</f>
        <v>48</v>
      </c>
      <c r="H7" s="4" t="n">
        <f aca="false">Assumptions!H14</f>
        <v>48.5</v>
      </c>
      <c r="I7" s="4" t="n">
        <f aca="false">Assumptions!I14</f>
        <v>48.5</v>
      </c>
      <c r="J7" s="4" t="n">
        <f aca="false">Assumptions!J14</f>
        <v>48.5</v>
      </c>
      <c r="K7" s="4" t="n">
        <f aca="false">Assumptions!K14</f>
        <v>48.5</v>
      </c>
      <c r="L7" s="4" t="n">
        <f aca="false">Assumptions!L14</f>
        <v>48.5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11635.6401</v>
      </c>
      <c r="D8" s="0" t="n">
        <f aca="false">D6*D7/100</f>
        <v>11091.9186</v>
      </c>
      <c r="E8" s="0" t="n">
        <f aca="false">E6*E7/100</f>
        <v>8808.2883</v>
      </c>
      <c r="F8" s="0" t="n">
        <f aca="false">F6*F7/100</f>
        <v>9475.7608134</v>
      </c>
      <c r="G8" s="0" t="n">
        <f aca="false">G6*G7/100</f>
        <v>10064.467655424</v>
      </c>
      <c r="H8" s="0" t="n">
        <f aca="false">H6*H7/100</f>
        <v>10525.2315652739</v>
      </c>
      <c r="I8" s="0" t="n">
        <f aca="false">I6*I7/100</f>
        <v>10840.9885122321</v>
      </c>
      <c r="J8" s="0" t="n">
        <f aca="false">J6*J7/100</f>
        <v>11166.2181675991</v>
      </c>
      <c r="K8" s="0" t="n">
        <f aca="false">K6*K7/100</f>
        <v>11445.373621789</v>
      </c>
      <c r="L8" s="0" t="n">
        <f aca="false">L6*L7/100</f>
        <v>11731.5079623338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2.4</v>
      </c>
      <c r="D9" s="4" t="n">
        <f aca="false">Assumptions!D15</f>
        <v>2.5</v>
      </c>
      <c r="E9" s="4" t="n">
        <f aca="false">Assumptions!E15</f>
        <v>2.7</v>
      </c>
      <c r="F9" s="4" t="n">
        <f aca="false">Assumptions!F15</f>
        <v>2.6</v>
      </c>
      <c r="G9" s="4" t="n">
        <f aca="false">Assumptions!G15</f>
        <v>2.5</v>
      </c>
      <c r="H9" s="4" t="n">
        <f aca="false">Assumptions!H15</f>
        <v>2.5</v>
      </c>
      <c r="I9" s="4" t="n">
        <f aca="false">Assumptions!I15</f>
        <v>2.4</v>
      </c>
      <c r="J9" s="4" t="n">
        <f aca="false">Assumptions!J15</f>
        <v>2.4</v>
      </c>
      <c r="K9" s="4" t="n">
        <f aca="false">Assumptions!K15</f>
        <v>2.4</v>
      </c>
      <c r="L9" s="4" t="n">
        <f aca="false">Assumptions!L15</f>
        <v>2.4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-521.97264</v>
      </c>
      <c r="D10" s="0" t="n">
        <f aca="false">-D6*D9/100</f>
        <v>-543.7215</v>
      </c>
      <c r="E10" s="0" t="n">
        <f aca="false">-E6*E9/100</f>
        <v>-528.497298</v>
      </c>
      <c r="F10" s="0" t="n">
        <f aca="false">-F6*F9/100</f>
        <v>-524.19102372</v>
      </c>
      <c r="G10" s="0" t="n">
        <f aca="false">-G6*G9/100</f>
        <v>-524.19102372</v>
      </c>
      <c r="H10" s="0" t="n">
        <f aca="false">-H6*H9/100</f>
        <v>-542.5377095502</v>
      </c>
      <c r="I10" s="0" t="n">
        <f aca="false">-I6*I9/100</f>
        <v>-536.461287203238</v>
      </c>
      <c r="J10" s="0" t="n">
        <f aca="false">-J6*J9/100</f>
        <v>-552.555125819335</v>
      </c>
      <c r="K10" s="0" t="n">
        <f aca="false">-K6*K9/100</f>
        <v>-566.369003964818</v>
      </c>
      <c r="L10" s="0" t="n">
        <f aca="false">-L6*L9/100</f>
        <v>-580.528229063939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11113.66746</v>
      </c>
      <c r="D11" s="0" t="n">
        <f aca="false">D8+D10+D24</f>
        <v>10548.1971</v>
      </c>
      <c r="E11" s="0" t="n">
        <f aca="false">E8+E10+E24</f>
        <v>8279.791002</v>
      </c>
      <c r="F11" s="0" t="n">
        <f aca="false">F8+F10+F24</f>
        <v>8951.56978968</v>
      </c>
      <c r="G11" s="0" t="n">
        <f aca="false">G8+G10+G24</f>
        <v>9540.276631704</v>
      </c>
      <c r="H11" s="0" t="n">
        <f aca="false">H8+H10+H24</f>
        <v>9982.69385572368</v>
      </c>
      <c r="I11" s="0" t="n">
        <f aca="false">I8+I10+I24</f>
        <v>10304.5272250289</v>
      </c>
      <c r="J11" s="0" t="n">
        <f aca="false">J8+J10+J24</f>
        <v>10613.6630417797</v>
      </c>
      <c r="K11" s="0" t="n">
        <f aca="false">K8+K10+K24</f>
        <v>10879.0046178242</v>
      </c>
      <c r="L11" s="0" t="n">
        <f aca="false">L8+L10+L24</f>
        <v>11150.9797332698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-2283.6303</v>
      </c>
      <c r="D12" s="4" t="n">
        <f aca="false">-D6*Assumptions!D17/100</f>
        <v>-2501.1189</v>
      </c>
      <c r="E12" s="4" t="n">
        <f aca="false">-E6*Assumptions!E17/100</f>
        <v>-2505.468672</v>
      </c>
      <c r="F12" s="4" t="n">
        <f aca="false">-F6*Assumptions!F17/100</f>
        <v>-2419.3431864</v>
      </c>
      <c r="G12" s="4" t="n">
        <f aca="false">-G6*Assumptions!G17/100</f>
        <v>-2348.3757862656</v>
      </c>
      <c r="H12" s="4" t="n">
        <f aca="false">-H6*Assumptions!H17/100</f>
        <v>-2256.95687172883</v>
      </c>
      <c r="I12" s="4" t="n">
        <f aca="false">-I6*Assumptions!I17/100</f>
        <v>-2168.19770244642</v>
      </c>
      <c r="J12" s="4" t="n">
        <f aca="false">-J6*Assumptions!J17/100</f>
        <v>-2118.12798230745</v>
      </c>
      <c r="K12" s="4" t="n">
        <f aca="false">-K6*Assumptions!K17/100</f>
        <v>-2076.686347871</v>
      </c>
      <c r="L12" s="4" t="n">
        <f aca="false">-L6*Assumptions!L17/100</f>
        <v>-2056.03747793478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8830.03716</v>
      </c>
      <c r="D13" s="0" t="n">
        <f aca="false">D11+D12</f>
        <v>8047.0782</v>
      </c>
      <c r="E13" s="0" t="n">
        <f aca="false">E11+E12</f>
        <v>5774.32233</v>
      </c>
      <c r="F13" s="0" t="n">
        <f aca="false">F11+F12</f>
        <v>6532.22660328</v>
      </c>
      <c r="G13" s="0" t="n">
        <f aca="false">G11+G12</f>
        <v>7191.9008454384</v>
      </c>
      <c r="H13" s="0" t="n">
        <f aca="false">H11+H12</f>
        <v>7725.73698399485</v>
      </c>
      <c r="I13" s="0" t="n">
        <f aca="false">I11+I12</f>
        <v>8136.32952258244</v>
      </c>
      <c r="J13" s="0" t="n">
        <f aca="false">J11+J12</f>
        <v>8495.53505947227</v>
      </c>
      <c r="K13" s="0" t="n">
        <f aca="false">K11+K12</f>
        <v>8802.31826995322</v>
      </c>
      <c r="L13" s="0" t="n">
        <f aca="false">L11+L12</f>
        <v>9094.94225533504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16</v>
      </c>
      <c r="D14" s="4" t="n">
        <f aca="false">Assumptions!D19</f>
        <v>16</v>
      </c>
      <c r="E14" s="4" t="n">
        <f aca="false">Assumptions!E19</f>
        <v>16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7417.2312144</v>
      </c>
      <c r="D15" s="0" t="n">
        <f aca="false">D13-MAX(0,D13)*D14/100</f>
        <v>6759.545688</v>
      </c>
      <c r="E15" s="0" t="n">
        <f aca="false">E13-MAX(0,E13)*E14/100</f>
        <v>4850.4307572</v>
      </c>
      <c r="F15" s="0" t="n">
        <f aca="false">F13-MAX(0,F13)*F14/100</f>
        <v>5421.7480807224</v>
      </c>
      <c r="G15" s="0" t="n">
        <f aca="false">G13-MAX(0,G13)*G14/100</f>
        <v>5969.27770171387</v>
      </c>
      <c r="H15" s="0" t="n">
        <f aca="false">H13-MAX(0,H13)*H14/100</f>
        <v>6412.36169671572</v>
      </c>
      <c r="I15" s="0" t="n">
        <f aca="false">I13-MAX(0,I13)*I14/100</f>
        <v>6753.15350374342</v>
      </c>
      <c r="J15" s="0" t="n">
        <f aca="false">J13-MAX(0,J13)*J14/100</f>
        <v>7051.29409936199</v>
      </c>
      <c r="K15" s="0" t="n">
        <f aca="false">K13-MAX(0,K13)*K14/100</f>
        <v>7305.92416406117</v>
      </c>
      <c r="L15" s="0" t="n">
        <f aca="false">L13-MAX(0,L13)*L14/100</f>
        <v>7548.80207192808</v>
      </c>
    </row>
    <row r="16" customFormat="false" ht="15" hidden="false" customHeight="false" outlineLevel="0" collapsed="false">
      <c r="A16" s="0" t="s">
        <v>128</v>
      </c>
      <c r="C16" s="0" t="n">
        <f aca="false">-C12</f>
        <v>2283.6303</v>
      </c>
      <c r="D16" s="0" t="n">
        <f aca="false">-D12</f>
        <v>2501.1189</v>
      </c>
      <c r="E16" s="0" t="n">
        <f aca="false">-E12</f>
        <v>2505.468672</v>
      </c>
      <c r="F16" s="0" t="n">
        <f aca="false">-F12</f>
        <v>2419.3431864</v>
      </c>
      <c r="G16" s="0" t="n">
        <f aca="false">-G12</f>
        <v>2348.3757862656</v>
      </c>
      <c r="H16" s="0" t="n">
        <f aca="false">-H12</f>
        <v>2256.95687172883</v>
      </c>
      <c r="I16" s="0" t="n">
        <f aca="false">-I12</f>
        <v>2168.19770244642</v>
      </c>
      <c r="J16" s="0" t="n">
        <f aca="false">-J12</f>
        <v>2118.12798230745</v>
      </c>
      <c r="K16" s="0" t="n">
        <f aca="false">-K12</f>
        <v>2076.686347871</v>
      </c>
      <c r="L16" s="0" t="n">
        <f aca="false">-L12</f>
        <v>2056.03747793478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-2370.62574</v>
      </c>
      <c r="D17" s="4" t="n">
        <f aca="false">-D6*Assumptions!D18/100</f>
        <v>-2066.1417</v>
      </c>
      <c r="E17" s="4" t="n">
        <f aca="false">-E6*Assumptions!E18/100</f>
        <v>-1761.65766</v>
      </c>
      <c r="F17" s="4" t="n">
        <f aca="false">-F6*Assumptions!F18/100</f>
        <v>-1814.5073898</v>
      </c>
      <c r="G17" s="4" t="n">
        <f aca="false">-G6*Assumptions!G18/100</f>
        <v>-1887.087685392</v>
      </c>
      <c r="H17" s="4" t="n">
        <f aca="false">-H6*Assumptions!H18/100</f>
        <v>-1953.13575438072</v>
      </c>
      <c r="I17" s="4" t="n">
        <f aca="false">-I6*Assumptions!I18/100</f>
        <v>-2011.72982701214</v>
      </c>
      <c r="J17" s="4" t="n">
        <f aca="false">-J6*Assumptions!J18/100</f>
        <v>-2072.08172182251</v>
      </c>
      <c r="K17" s="4" t="n">
        <f aca="false">-K6*Assumptions!K18/100</f>
        <v>-2123.88376486807</v>
      </c>
      <c r="L17" s="4" t="n">
        <f aca="false">-L6*Assumptions!L18/100</f>
        <v>-2176.98085898977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-610.029</v>
      </c>
      <c r="D18" s="4" t="n">
        <f aca="false">(D6-C6)*Assumptions!$B$23/100</f>
        <v>-0</v>
      </c>
      <c r="E18" s="4" t="n">
        <f aca="false">(E6-D6)*Assumptions!$B$23/100</f>
        <v>326.2329</v>
      </c>
      <c r="F18" s="4" t="n">
        <f aca="false">(F6-E6)*Assumptions!$B$23/100</f>
        <v>-88.0828829999999</v>
      </c>
      <c r="G18" s="4" t="n">
        <f aca="false">(G6-F6)*Assumptions!$B$23/100</f>
        <v>-120.96715932</v>
      </c>
      <c r="H18" s="4" t="n">
        <f aca="false">(H6-G6)*Assumptions!$B$23/100</f>
        <v>-110.0801149812</v>
      </c>
      <c r="I18" s="4" t="n">
        <f aca="false">(I6-H6)*Assumptions!$B$23/100</f>
        <v>-97.656787719036</v>
      </c>
      <c r="J18" s="4" t="n">
        <f aca="false">(J6-I6)*Assumptions!$B$23/100</f>
        <v>-100.586491350607</v>
      </c>
      <c r="K18" s="4" t="n">
        <f aca="false">(K6-J6)*Assumptions!$B$23/100</f>
        <v>-86.336738409271</v>
      </c>
      <c r="L18" s="4" t="n">
        <f aca="false">(L6-K6)*Assumptions!$B$23/100</f>
        <v>-88.4951568695024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6720.2067744</v>
      </c>
      <c r="D19" s="0" t="n">
        <f aca="false">D15+D16+D17+D18</f>
        <v>7194.522888</v>
      </c>
      <c r="E19" s="0" t="n">
        <f aca="false">E15+E16+E17+E18</f>
        <v>5920.4746692</v>
      </c>
      <c r="F19" s="0" t="n">
        <f aca="false">F15+F16+F17+F18</f>
        <v>5938.5009943224</v>
      </c>
      <c r="G19" s="0" t="n">
        <f aca="false">G15+G16+G17+G18</f>
        <v>6309.59864326747</v>
      </c>
      <c r="H19" s="0" t="n">
        <f aca="false">H15+H16+H17+H18</f>
        <v>6606.10269908264</v>
      </c>
      <c r="I19" s="0" t="n">
        <f aca="false">I15+I16+I17+I18</f>
        <v>6811.96459145867</v>
      </c>
      <c r="J19" s="0" t="n">
        <f aca="false">J15+J16+J17+J18</f>
        <v>6996.75386849633</v>
      </c>
      <c r="K19" s="0" t="n">
        <f aca="false">K15+K16+K17+K18</f>
        <v>7172.39000865483</v>
      </c>
      <c r="L19" s="0" t="n">
        <f aca="false">L15+L16+L17+L18</f>
        <v>7339.36353400359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6165.3273159633</v>
      </c>
      <c r="D21" s="0" t="n">
        <f aca="false">D19*D20</f>
        <v>6055.48597592795</v>
      </c>
      <c r="E21" s="0" t="n">
        <f aca="false">E19*E20</f>
        <v>4571.69273367623</v>
      </c>
      <c r="F21" s="0" t="n">
        <f aca="false">F19*F20</f>
        <v>4206.98382031373</v>
      </c>
      <c r="G21" s="0" t="n">
        <f aca="false">G19*G20</f>
        <v>4100.80619320499</v>
      </c>
      <c r="H21" s="0" t="n">
        <f aca="false">H19*H20</f>
        <v>3939.00319747158</v>
      </c>
      <c r="I21" s="0" t="n">
        <f aca="false">I19*I20</f>
        <v>3726.37790618801</v>
      </c>
      <c r="J21" s="0" t="n">
        <f aca="false">J19*J20</f>
        <v>3511.4348337683</v>
      </c>
      <c r="K21" s="0" t="n">
        <f aca="false">K19*K20</f>
        <v>3302.36760550985</v>
      </c>
      <c r="L21" s="0" t="n">
        <f aca="false">L19*L20</f>
        <v>3100.22647249925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42679.7060545232</v>
      </c>
    </row>
    <row r="31" customFormat="false" ht="15" hidden="false" customHeight="false" outlineLevel="0" collapsed="false">
      <c r="A31" s="0" t="s">
        <v>137</v>
      </c>
      <c r="B31" s="0" t="n">
        <f aca="false">L19</f>
        <v>7339.36353400359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115736.11726698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95411.7259420467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95411.7259420467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40302.9441424903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82982.6501970135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78094.6501970135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84.8854893445798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-0.698249300257439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3456.91111902522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3866.95280932676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92.846211005832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60182.7809788295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47.0155499369661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24</v>
      </c>
      <c r="D5" s="4" t="n">
        <f aca="false">Assumptions!D27</f>
        <v>8</v>
      </c>
      <c r="E5" s="4" t="n">
        <f aca="false">Assumptions!E27</f>
        <v>-5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17682</v>
      </c>
      <c r="C6" s="0" t="n">
        <f aca="false">B6*(1+C5/100)</f>
        <v>21925.68</v>
      </c>
      <c r="D6" s="0" t="n">
        <f aca="false">C6*(1+D5/100)</f>
        <v>23679.7344</v>
      </c>
      <c r="E6" s="0" t="n">
        <f aca="false">D6*(1+E5/100)</f>
        <v>22495.74768</v>
      </c>
      <c r="F6" s="0" t="n">
        <f aca="false">E6*(1+F5/100)</f>
        <v>23845.4925408</v>
      </c>
      <c r="G6" s="0" t="n">
        <f aca="false">F6*(1+G5/100)</f>
        <v>25276.222093248</v>
      </c>
      <c r="H6" s="0" t="n">
        <f aca="false">G6*(1+H5/100)</f>
        <v>26666.4143083766</v>
      </c>
      <c r="I6" s="0" t="n">
        <f aca="false">H6*(1+I5/100)</f>
        <v>27999.7350237955</v>
      </c>
      <c r="J6" s="0" t="n">
        <f aca="false">I6*(1+J5/100)</f>
        <v>29259.7230998663</v>
      </c>
      <c r="K6" s="0" t="n">
        <f aca="false">J6*(1+K5/100)</f>
        <v>30430.1120238609</v>
      </c>
      <c r="L6" s="0" t="n">
        <f aca="false">K6*(1+L5/100)</f>
        <v>31495.165944696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54</v>
      </c>
      <c r="D7" s="4" t="n">
        <f aca="false">Assumptions!D28</f>
        <v>55.5</v>
      </c>
      <c r="E7" s="4" t="n">
        <f aca="false">Assumptions!E28</f>
        <v>50</v>
      </c>
      <c r="F7" s="4" t="n">
        <f aca="false">Assumptions!F28</f>
        <v>52</v>
      </c>
      <c r="G7" s="4" t="n">
        <f aca="false">Assumptions!G28</f>
        <v>53</v>
      </c>
      <c r="H7" s="4" t="n">
        <f aca="false">Assumptions!H28</f>
        <v>53</v>
      </c>
      <c r="I7" s="4" t="n">
        <f aca="false">Assumptions!I28</f>
        <v>53</v>
      </c>
      <c r="J7" s="4" t="n">
        <f aca="false">Assumptions!J28</f>
        <v>53</v>
      </c>
      <c r="K7" s="4" t="n">
        <f aca="false">Assumptions!K28</f>
        <v>53</v>
      </c>
      <c r="L7" s="4" t="n">
        <f aca="false">Assumptions!L28</f>
        <v>53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11839.8672</v>
      </c>
      <c r="D8" s="0" t="n">
        <f aca="false">D6*D7/100</f>
        <v>13142.252592</v>
      </c>
      <c r="E8" s="0" t="n">
        <f aca="false">E6*E7/100</f>
        <v>11247.87384</v>
      </c>
      <c r="F8" s="0" t="n">
        <f aca="false">F6*F7/100</f>
        <v>12399.656121216</v>
      </c>
      <c r="G8" s="0" t="n">
        <f aca="false">G6*G7/100</f>
        <v>13396.3977094214</v>
      </c>
      <c r="H8" s="0" t="n">
        <f aca="false">H6*H7/100</f>
        <v>14133.1995834396</v>
      </c>
      <c r="I8" s="0" t="n">
        <f aca="false">I6*I7/100</f>
        <v>14839.8595626116</v>
      </c>
      <c r="J8" s="0" t="n">
        <f aca="false">J6*J7/100</f>
        <v>15507.6532429291</v>
      </c>
      <c r="K8" s="0" t="n">
        <f aca="false">K6*K7/100</f>
        <v>16127.9593726463</v>
      </c>
      <c r="L8" s="0" t="n">
        <f aca="false">L6*L7/100</f>
        <v>16692.4379506889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2.4</v>
      </c>
      <c r="D9" s="4" t="n">
        <f aca="false">Assumptions!D29</f>
        <v>2.3</v>
      </c>
      <c r="E9" s="4" t="n">
        <f aca="false">Assumptions!E29</f>
        <v>2.4</v>
      </c>
      <c r="F9" s="4" t="n">
        <f aca="false">Assumptions!F29</f>
        <v>2.3</v>
      </c>
      <c r="G9" s="4" t="n">
        <f aca="false">Assumptions!G29</f>
        <v>2.2</v>
      </c>
      <c r="H9" s="4" t="n">
        <f aca="false">Assumptions!H29</f>
        <v>2.2</v>
      </c>
      <c r="I9" s="4" t="n">
        <f aca="false">Assumptions!I29</f>
        <v>2.1</v>
      </c>
      <c r="J9" s="4" t="n">
        <f aca="false">Assumptions!J29</f>
        <v>2.1</v>
      </c>
      <c r="K9" s="4" t="n">
        <f aca="false">Assumptions!K29</f>
        <v>2.1</v>
      </c>
      <c r="L9" s="4" t="n">
        <f aca="false">Assumptions!L29</f>
        <v>2.1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-526.21632</v>
      </c>
      <c r="D10" s="0" t="n">
        <f aca="false">-D6*D9/100</f>
        <v>-544.6338912</v>
      </c>
      <c r="E10" s="0" t="n">
        <f aca="false">-E6*E9/100</f>
        <v>-539.89794432</v>
      </c>
      <c r="F10" s="0" t="n">
        <f aca="false">-F6*F9/100</f>
        <v>-548.4463284384</v>
      </c>
      <c r="G10" s="0" t="n">
        <f aca="false">-G6*G9/100</f>
        <v>-556.076886051456</v>
      </c>
      <c r="H10" s="0" t="n">
        <f aca="false">-H6*H9/100</f>
        <v>-586.661114784286</v>
      </c>
      <c r="I10" s="0" t="n">
        <f aca="false">-I6*I9/100</f>
        <v>-587.994435499705</v>
      </c>
      <c r="J10" s="0" t="n">
        <f aca="false">-J6*J9/100</f>
        <v>-614.454185097192</v>
      </c>
      <c r="K10" s="0" t="n">
        <f aca="false">-K6*K9/100</f>
        <v>-639.032352501079</v>
      </c>
      <c r="L10" s="0" t="n">
        <f aca="false">-L6*L9/100</f>
        <v>-661.398484838617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11313.65088</v>
      </c>
      <c r="D11" s="0" t="n">
        <f aca="false">D8+D10+D24</f>
        <v>12597.6187008</v>
      </c>
      <c r="E11" s="0" t="n">
        <f aca="false">E8+E10+E24</f>
        <v>10707.97589568</v>
      </c>
      <c r="F11" s="0" t="n">
        <f aca="false">F8+F10+F24</f>
        <v>11851.2097927776</v>
      </c>
      <c r="G11" s="0" t="n">
        <f aca="false">G8+G10+G24</f>
        <v>12840.32082337</v>
      </c>
      <c r="H11" s="0" t="n">
        <f aca="false">H8+H10+H24</f>
        <v>13546.5384686553</v>
      </c>
      <c r="I11" s="0" t="n">
        <f aca="false">I8+I10+I24</f>
        <v>14251.8651271119</v>
      </c>
      <c r="J11" s="0" t="n">
        <f aca="false">J8+J10+J24</f>
        <v>14893.1990578319</v>
      </c>
      <c r="K11" s="0" t="n">
        <f aca="false">K8+K10+K24</f>
        <v>15488.9270201452</v>
      </c>
      <c r="L11" s="0" t="n">
        <f aca="false">L8+L10+L24</f>
        <v>16031.0394658503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-2302.1964</v>
      </c>
      <c r="D12" s="4" t="n">
        <f aca="false">-D6*Assumptions!D31/100</f>
        <v>-2510.0518464</v>
      </c>
      <c r="E12" s="4" t="n">
        <f aca="false">-E6*Assumptions!E31/100</f>
        <v>-2587.0109832</v>
      </c>
      <c r="F12" s="4" t="n">
        <f aca="false">-F6*Assumptions!F31/100</f>
        <v>-2575.3131944064</v>
      </c>
      <c r="G12" s="4" t="n">
        <f aca="false">-G6*Assumptions!G31/100</f>
        <v>-2527.6222093248</v>
      </c>
      <c r="H12" s="4" t="n">
        <f aca="false">-H6*Assumptions!H31/100</f>
        <v>-2479.97653067903</v>
      </c>
      <c r="I12" s="4" t="n">
        <f aca="false">-I6*Assumptions!I31/100</f>
        <v>-2435.97694707021</v>
      </c>
      <c r="J12" s="4" t="n">
        <f aca="false">-J6*Assumptions!J31/100</f>
        <v>-2399.29729418903</v>
      </c>
      <c r="K12" s="4" t="n">
        <f aca="false">-K6*Assumptions!K31/100</f>
        <v>-2373.54873786115</v>
      </c>
      <c r="L12" s="4" t="n">
        <f aca="false">-L6*Assumptions!L31/100</f>
        <v>-2362.1374458522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9011.45448</v>
      </c>
      <c r="D13" s="0" t="n">
        <f aca="false">D11+D12</f>
        <v>10087.5668544</v>
      </c>
      <c r="E13" s="0" t="n">
        <f aca="false">E11+E12</f>
        <v>8120.96491248</v>
      </c>
      <c r="F13" s="0" t="n">
        <f aca="false">F11+F12</f>
        <v>9275.8965983712</v>
      </c>
      <c r="G13" s="0" t="n">
        <f aca="false">G11+G12</f>
        <v>10312.6986140452</v>
      </c>
      <c r="H13" s="0" t="n">
        <f aca="false">H11+H12</f>
        <v>11066.5619379763</v>
      </c>
      <c r="I13" s="0" t="n">
        <f aca="false">I11+I12</f>
        <v>11815.8881800417</v>
      </c>
      <c r="J13" s="0" t="n">
        <f aca="false">J11+J12</f>
        <v>12493.9017636429</v>
      </c>
      <c r="K13" s="0" t="n">
        <f aca="false">K11+K12</f>
        <v>13115.3782822841</v>
      </c>
      <c r="L13" s="0" t="n">
        <f aca="false">L11+L12</f>
        <v>13668.9020199981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7659.736308</v>
      </c>
      <c r="D15" s="0" t="n">
        <f aca="false">D13-MAX(0,D13)*D14/100</f>
        <v>8574.43182624</v>
      </c>
      <c r="E15" s="0" t="n">
        <f aca="false">E13-MAX(0,E13)*E14/100</f>
        <v>6902.820175608</v>
      </c>
      <c r="F15" s="0" t="n">
        <f aca="false">F13-MAX(0,F13)*F14/100</f>
        <v>7791.75314263181</v>
      </c>
      <c r="G15" s="0" t="n">
        <f aca="false">G13-MAX(0,G13)*G14/100</f>
        <v>8662.66683579795</v>
      </c>
      <c r="H15" s="0" t="n">
        <f aca="false">H13-MAX(0,H13)*H14/100</f>
        <v>9295.9120279001</v>
      </c>
      <c r="I15" s="0" t="n">
        <f aca="false">I13-MAX(0,I13)*I14/100</f>
        <v>9925.34607123502</v>
      </c>
      <c r="J15" s="0" t="n">
        <f aca="false">J13-MAX(0,J13)*J14/100</f>
        <v>10494.87748146</v>
      </c>
      <c r="K15" s="0" t="n">
        <f aca="false">K13-MAX(0,K13)*K14/100</f>
        <v>11016.9177571186</v>
      </c>
      <c r="L15" s="0" t="n">
        <f aca="false">L13-MAX(0,L13)*L14/100</f>
        <v>11481.8776967984</v>
      </c>
    </row>
    <row r="16" customFormat="false" ht="15" hidden="false" customHeight="false" outlineLevel="0" collapsed="false">
      <c r="A16" s="0" t="s">
        <v>128</v>
      </c>
      <c r="C16" s="0" t="n">
        <f aca="false">-C12</f>
        <v>2302.1964</v>
      </c>
      <c r="D16" s="0" t="n">
        <f aca="false">-D12</f>
        <v>2510.0518464</v>
      </c>
      <c r="E16" s="0" t="n">
        <f aca="false">-E12</f>
        <v>2587.0109832</v>
      </c>
      <c r="F16" s="0" t="n">
        <f aca="false">-F12</f>
        <v>2575.3131944064</v>
      </c>
      <c r="G16" s="0" t="n">
        <f aca="false">-G12</f>
        <v>2527.6222093248</v>
      </c>
      <c r="H16" s="0" t="n">
        <f aca="false">-H12</f>
        <v>2479.97653067903</v>
      </c>
      <c r="I16" s="0" t="n">
        <f aca="false">-I12</f>
        <v>2435.97694707021</v>
      </c>
      <c r="J16" s="0" t="n">
        <f aca="false">-J12</f>
        <v>2399.29729418903</v>
      </c>
      <c r="K16" s="0" t="n">
        <f aca="false">-K12</f>
        <v>2373.54873786115</v>
      </c>
      <c r="L16" s="0" t="n">
        <f aca="false">-L12</f>
        <v>2362.1374458522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-1973.3112</v>
      </c>
      <c r="D17" s="4" t="n">
        <f aca="false">-D6*Assumptions!D32/100</f>
        <v>-1775.98008</v>
      </c>
      <c r="E17" s="4" t="n">
        <f aca="false">-E6*Assumptions!E32/100</f>
        <v>-1687.181076</v>
      </c>
      <c r="F17" s="4" t="n">
        <f aca="false">-F6*Assumptions!F32/100</f>
        <v>-1669.184477856</v>
      </c>
      <c r="G17" s="4" t="n">
        <f aca="false">-G6*Assumptions!G32/100</f>
        <v>-1895.7166569936</v>
      </c>
      <c r="H17" s="4" t="n">
        <f aca="false">-H6*Assumptions!H32/100</f>
        <v>-2133.31314467013</v>
      </c>
      <c r="I17" s="4" t="n">
        <f aca="false">-I6*Assumptions!I32/100</f>
        <v>-2239.97880190364</v>
      </c>
      <c r="J17" s="4" t="n">
        <f aca="false">-J6*Assumptions!J32/100</f>
        <v>-2340.7778479893</v>
      </c>
      <c r="K17" s="4" t="n">
        <f aca="false">-K6*Assumptions!K32/100</f>
        <v>-2434.40896190887</v>
      </c>
      <c r="L17" s="4" t="n">
        <f aca="false">-L6*Assumptions!L32/100</f>
        <v>-2519.61327557568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-636.552</v>
      </c>
      <c r="D18" s="4" t="n">
        <f aca="false">(D6-C6)*Assumptions!$B$37/100</f>
        <v>-263.10816</v>
      </c>
      <c r="E18" s="4" t="n">
        <f aca="false">(E6-D6)*Assumptions!$B$37/100</f>
        <v>177.598008</v>
      </c>
      <c r="F18" s="4" t="n">
        <f aca="false">(F6-E6)*Assumptions!$B$37/100</f>
        <v>-202.46172912</v>
      </c>
      <c r="G18" s="4" t="n">
        <f aca="false">(G6-F6)*Assumptions!$B$37/100</f>
        <v>-214.6094328672</v>
      </c>
      <c r="H18" s="4" t="n">
        <f aca="false">(H6-G6)*Assumptions!$B$37/100</f>
        <v>-208.528832269296</v>
      </c>
      <c r="I18" s="4" t="n">
        <f aca="false">(I6-H6)*Assumptions!$B$37/100</f>
        <v>-199.998107312825</v>
      </c>
      <c r="J18" s="4" t="n">
        <f aca="false">(J6-I6)*Assumptions!$B$37/100</f>
        <v>-188.998211410619</v>
      </c>
      <c r="K18" s="4" t="n">
        <f aca="false">(K6-J6)*Assumptions!$B$37/100</f>
        <v>-175.558338599198</v>
      </c>
      <c r="L18" s="4" t="n">
        <f aca="false">(L6-K6)*Assumptions!$B$37/100</f>
        <v>-159.758088125269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7352.069508</v>
      </c>
      <c r="D19" s="0" t="n">
        <f aca="false">D15+D16+D17+D18</f>
        <v>9045.39543264</v>
      </c>
      <c r="E19" s="0" t="n">
        <f aca="false">E15+E16+E17+E18</f>
        <v>7980.248090808</v>
      </c>
      <c r="F19" s="0" t="n">
        <f aca="false">F15+F16+F17+F18</f>
        <v>8495.42013006221</v>
      </c>
      <c r="G19" s="0" t="n">
        <f aca="false">G15+G16+G17+G18</f>
        <v>9079.96295526195</v>
      </c>
      <c r="H19" s="0" t="n">
        <f aca="false">H15+H16+H17+H18</f>
        <v>9434.0465816397</v>
      </c>
      <c r="I19" s="0" t="n">
        <f aca="false">I15+I16+I17+I18</f>
        <v>9921.34610908876</v>
      </c>
      <c r="J19" s="0" t="n">
        <f aca="false">J15+J16+J17+J18</f>
        <v>10364.3987162491</v>
      </c>
      <c r="K19" s="0" t="n">
        <f aca="false">K15+K16+K17+K18</f>
        <v>10780.4991944717</v>
      </c>
      <c r="L19" s="0" t="n">
        <f aca="false">L15+L16+L17+L18</f>
        <v>11164.6437789496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6745.01789724771</v>
      </c>
      <c r="D21" s="0" t="n">
        <f aca="false">D19*D20</f>
        <v>7613.32836683781</v>
      </c>
      <c r="E21" s="0" t="n">
        <f aca="false">E19*E20</f>
        <v>6162.21574251078</v>
      </c>
      <c r="F21" s="0" t="n">
        <f aca="false">F19*F20</f>
        <v>6018.36979872684</v>
      </c>
      <c r="G21" s="0" t="n">
        <f aca="false">G19*G20</f>
        <v>5901.35291105102</v>
      </c>
      <c r="H21" s="0" t="n">
        <f aca="false">H19*H20</f>
        <v>5625.21373688831</v>
      </c>
      <c r="I21" s="0" t="n">
        <f aca="false">I19*I20</f>
        <v>5427.31607661455</v>
      </c>
      <c r="J21" s="0" t="n">
        <f aca="false">J19*J20</f>
        <v>5201.54222476917</v>
      </c>
      <c r="K21" s="0" t="n">
        <f aca="false">K19*K20</f>
        <v>4963.64130618787</v>
      </c>
      <c r="L21" s="0" t="n">
        <f aca="false">L19*L20</f>
        <v>4716.06618736905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58374.0642482031</v>
      </c>
    </row>
    <row r="31" customFormat="false" ht="15" hidden="false" customHeight="false" outlineLevel="0" collapsed="false">
      <c r="A31" s="0" t="s">
        <v>137</v>
      </c>
      <c r="B31" s="0" t="n">
        <f aca="false">L19</f>
        <v>11164.6437789496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191659.718205302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178634.300463194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178634.300463194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75457.0589979048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133831.123246108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128943.123246108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140.155568745769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-0.501775376823542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3661.4639142352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4796.05539483457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149.348524516498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95829.8591026511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69.2086210556584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25</v>
      </c>
      <c r="D5" s="4" t="n">
        <f aca="false">Assumptions!D41</f>
        <v>13</v>
      </c>
      <c r="E5" s="4" t="n">
        <f aca="false">Assumptions!E41</f>
        <v>0</v>
      </c>
      <c r="F5" s="4" t="n">
        <f aca="false">Assumptions!F41</f>
        <v>8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17682</v>
      </c>
      <c r="C6" s="0" t="n">
        <f aca="false">B6*(1+C5/100)</f>
        <v>22102.5</v>
      </c>
      <c r="D6" s="0" t="n">
        <f aca="false">C6*(1+D5/100)</f>
        <v>24975.825</v>
      </c>
      <c r="E6" s="0" t="n">
        <f aca="false">D6*(1+E5/100)</f>
        <v>24975.825</v>
      </c>
      <c r="F6" s="0" t="n">
        <f aca="false">E6*(1+F5/100)</f>
        <v>26973.891</v>
      </c>
      <c r="G6" s="0" t="n">
        <f aca="false">F6*(1+G5/100)</f>
        <v>29131.80228</v>
      </c>
      <c r="H6" s="0" t="n">
        <f aca="false">G6*(1+H5/100)</f>
        <v>31171.0284396</v>
      </c>
      <c r="I6" s="0" t="n">
        <f aca="false">H6*(1+I5/100)</f>
        <v>33197.145288174</v>
      </c>
      <c r="J6" s="0" t="n">
        <f aca="false">I6*(1+J5/100)</f>
        <v>35188.9740054645</v>
      </c>
      <c r="K6" s="0" t="n">
        <f aca="false">J6*(1+K5/100)</f>
        <v>36948.4227057377</v>
      </c>
      <c r="L6" s="0" t="n">
        <f aca="false">K6*(1+L5/100)</f>
        <v>38426.3596139672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54.5</v>
      </c>
      <c r="D7" s="4" t="n">
        <f aca="false">Assumptions!D42</f>
        <v>57.5</v>
      </c>
      <c r="E7" s="4" t="n">
        <f aca="false">Assumptions!E42</f>
        <v>55</v>
      </c>
      <c r="F7" s="4" t="n">
        <f aca="false">Assumptions!F42</f>
        <v>56.5</v>
      </c>
      <c r="G7" s="4" t="n">
        <f aca="false">Assumptions!G42</f>
        <v>57</v>
      </c>
      <c r="H7" s="4" t="n">
        <f aca="false">Assumptions!H42</f>
        <v>57.5</v>
      </c>
      <c r="I7" s="4" t="n">
        <f aca="false">Assumptions!I42</f>
        <v>57.5</v>
      </c>
      <c r="J7" s="4" t="n">
        <f aca="false">Assumptions!J42</f>
        <v>57.5</v>
      </c>
      <c r="K7" s="4" t="n">
        <f aca="false">Assumptions!K42</f>
        <v>57.5</v>
      </c>
      <c r="L7" s="4" t="n">
        <f aca="false">Assumptions!L42</f>
        <v>57.5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12045.8625</v>
      </c>
      <c r="D8" s="0" t="n">
        <f aca="false">D6*D7/100</f>
        <v>14361.099375</v>
      </c>
      <c r="E8" s="0" t="n">
        <f aca="false">E6*E7/100</f>
        <v>13736.70375</v>
      </c>
      <c r="F8" s="0" t="n">
        <f aca="false">F6*F7/100</f>
        <v>15240.248415</v>
      </c>
      <c r="G8" s="0" t="n">
        <f aca="false">G6*G7/100</f>
        <v>16605.1272996</v>
      </c>
      <c r="H8" s="0" t="n">
        <f aca="false">H6*H7/100</f>
        <v>17923.34135277</v>
      </c>
      <c r="I8" s="0" t="n">
        <f aca="false">I6*I7/100</f>
        <v>19088.3585407001</v>
      </c>
      <c r="J8" s="0" t="n">
        <f aca="false">J6*J7/100</f>
        <v>20233.6600531421</v>
      </c>
      <c r="K8" s="0" t="n">
        <f aca="false">K6*K7/100</f>
        <v>21245.3430557992</v>
      </c>
      <c r="L8" s="0" t="n">
        <f aca="false">L6*L7/100</f>
        <v>22095.1567780311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2.4</v>
      </c>
      <c r="D9" s="4" t="n">
        <f aca="false">Assumptions!D43</f>
        <v>2.2</v>
      </c>
      <c r="E9" s="4" t="n">
        <f aca="false">Assumptions!E43</f>
        <v>2.3</v>
      </c>
      <c r="F9" s="4" t="n">
        <f aca="false">Assumptions!F43</f>
        <v>2.2</v>
      </c>
      <c r="G9" s="4" t="n">
        <f aca="false">Assumptions!G43</f>
        <v>2.1</v>
      </c>
      <c r="H9" s="4" t="n">
        <f aca="false">Assumptions!H43</f>
        <v>2.1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-530.46</v>
      </c>
      <c r="D10" s="0" t="n">
        <f aca="false">-D6*D9/100</f>
        <v>-549.46815</v>
      </c>
      <c r="E10" s="0" t="n">
        <f aca="false">-E6*E9/100</f>
        <v>-574.443975</v>
      </c>
      <c r="F10" s="0" t="n">
        <f aca="false">-F6*F9/100</f>
        <v>-593.425602</v>
      </c>
      <c r="G10" s="0" t="n">
        <f aca="false">-G6*G9/100</f>
        <v>-611.76784788</v>
      </c>
      <c r="H10" s="0" t="n">
        <f aca="false">-H6*H9/100</f>
        <v>-654.5915972316</v>
      </c>
      <c r="I10" s="0" t="n">
        <f aca="false">-I6*I9/100</f>
        <v>-663.94290576348</v>
      </c>
      <c r="J10" s="0" t="n">
        <f aca="false">-J6*J9/100</f>
        <v>-703.779480109289</v>
      </c>
      <c r="K10" s="0" t="n">
        <f aca="false">-K6*K9/100</f>
        <v>-738.968454114754</v>
      </c>
      <c r="L10" s="0" t="n">
        <f aca="false">-L6*L9/100</f>
        <v>-768.527192279344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11515.4025</v>
      </c>
      <c r="D11" s="0" t="n">
        <f aca="false">D8+D10+D24</f>
        <v>13811.631225</v>
      </c>
      <c r="E11" s="0" t="n">
        <f aca="false">E8+E10+E24</f>
        <v>13162.259775</v>
      </c>
      <c r="F11" s="0" t="n">
        <f aca="false">F8+F10+F24</f>
        <v>14646.822813</v>
      </c>
      <c r="G11" s="0" t="n">
        <f aca="false">G8+G10+G24</f>
        <v>15993.35945172</v>
      </c>
      <c r="H11" s="0" t="n">
        <f aca="false">H8+H10+H24</f>
        <v>17268.7497555384</v>
      </c>
      <c r="I11" s="0" t="n">
        <f aca="false">I8+I10+I24</f>
        <v>18424.4156349366</v>
      </c>
      <c r="J11" s="0" t="n">
        <f aca="false">J8+J10+J24</f>
        <v>19529.8805730328</v>
      </c>
      <c r="K11" s="0" t="n">
        <f aca="false">K8+K10+K24</f>
        <v>20506.3746016844</v>
      </c>
      <c r="L11" s="0" t="n">
        <f aca="false">L8+L10+L24</f>
        <v>21326.6295857518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-2320.7625</v>
      </c>
      <c r="D12" s="4" t="n">
        <f aca="false">-D6*Assumptions!D45/100</f>
        <v>-2497.5825</v>
      </c>
      <c r="E12" s="4" t="n">
        <f aca="false">-E6*Assumptions!E45/100</f>
        <v>-2622.461625</v>
      </c>
      <c r="F12" s="4" t="n">
        <f aca="false">-F6*Assumptions!F45/100</f>
        <v>-2616.467427</v>
      </c>
      <c r="G12" s="4" t="n">
        <f aca="false">-G6*Assumptions!G45/100</f>
        <v>-2621.8622052</v>
      </c>
      <c r="H12" s="4" t="n">
        <f aca="false">-H6*Assumptions!H45/100</f>
        <v>-2618.3663889264</v>
      </c>
      <c r="I12" s="4" t="n">
        <f aca="false">-I6*Assumptions!I45/100</f>
        <v>-2655.77162305392</v>
      </c>
      <c r="J12" s="4" t="n">
        <f aca="false">-J6*Assumptions!J45/100</f>
        <v>-2709.55099842076</v>
      </c>
      <c r="K12" s="4" t="n">
        <f aca="false">-K6*Assumptions!K45/100</f>
        <v>-2771.13170293033</v>
      </c>
      <c r="L12" s="4" t="n">
        <f aca="false">-L6*Assumptions!L45/100</f>
        <v>-2805.1242518196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9194.64</v>
      </c>
      <c r="D13" s="0" t="n">
        <f aca="false">D11+D12</f>
        <v>11314.048725</v>
      </c>
      <c r="E13" s="0" t="n">
        <f aca="false">E11+E12</f>
        <v>10539.79815</v>
      </c>
      <c r="F13" s="0" t="n">
        <f aca="false">F11+F12</f>
        <v>12030.355386</v>
      </c>
      <c r="G13" s="0" t="n">
        <f aca="false">G11+G12</f>
        <v>13371.49724652</v>
      </c>
      <c r="H13" s="0" t="n">
        <f aca="false">H11+H12</f>
        <v>14650.383366612</v>
      </c>
      <c r="I13" s="0" t="n">
        <f aca="false">I11+I12</f>
        <v>15768.6440118827</v>
      </c>
      <c r="J13" s="0" t="n">
        <f aca="false">J11+J12</f>
        <v>16820.329574612</v>
      </c>
      <c r="K13" s="0" t="n">
        <f aca="false">K11+K12</f>
        <v>17735.2428987541</v>
      </c>
      <c r="L13" s="0" t="n">
        <f aca="false">L11+L12</f>
        <v>18521.5053339322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15.5</v>
      </c>
      <c r="G14" s="4" t="n">
        <f aca="false">Assumptions!G47</f>
        <v>15.5</v>
      </c>
      <c r="H14" s="4" t="n">
        <f aca="false">Assumptions!H47</f>
        <v>15.5</v>
      </c>
      <c r="I14" s="4" t="n">
        <f aca="false">Assumptions!I47</f>
        <v>15.5</v>
      </c>
      <c r="J14" s="4" t="n">
        <f aca="false">Assumptions!J47</f>
        <v>15.5</v>
      </c>
      <c r="K14" s="4" t="n">
        <f aca="false">Assumptions!K47</f>
        <v>15.5</v>
      </c>
      <c r="L14" s="4" t="n">
        <f aca="false">Assumptions!L47</f>
        <v>15.5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7815.444</v>
      </c>
      <c r="D15" s="0" t="n">
        <f aca="false">D13-MAX(0,D13)*D14/100</f>
        <v>9616.94141625</v>
      </c>
      <c r="E15" s="0" t="n">
        <f aca="false">E13-MAX(0,E13)*E14/100</f>
        <v>8958.8284275</v>
      </c>
      <c r="F15" s="0" t="n">
        <f aca="false">F13-MAX(0,F13)*F14/100</f>
        <v>10165.65030117</v>
      </c>
      <c r="G15" s="0" t="n">
        <f aca="false">G13-MAX(0,G13)*G14/100</f>
        <v>11298.9151733094</v>
      </c>
      <c r="H15" s="0" t="n">
        <f aca="false">H13-MAX(0,H13)*H14/100</f>
        <v>12379.5739447871</v>
      </c>
      <c r="I15" s="0" t="n">
        <f aca="false">I13-MAX(0,I13)*I14/100</f>
        <v>13324.5041900408</v>
      </c>
      <c r="J15" s="0" t="n">
        <f aca="false">J13-MAX(0,J13)*J14/100</f>
        <v>14213.1784905471</v>
      </c>
      <c r="K15" s="0" t="n">
        <f aca="false">K13-MAX(0,K13)*K14/100</f>
        <v>14986.2802494472</v>
      </c>
      <c r="L15" s="0" t="n">
        <f aca="false">L13-MAX(0,L13)*L14/100</f>
        <v>15650.6720071727</v>
      </c>
    </row>
    <row r="16" customFormat="false" ht="15" hidden="false" customHeight="false" outlineLevel="0" collapsed="false">
      <c r="A16" s="0" t="s">
        <v>128</v>
      </c>
      <c r="C16" s="0" t="n">
        <f aca="false">-C12</f>
        <v>2320.7625</v>
      </c>
      <c r="D16" s="0" t="n">
        <f aca="false">-D12</f>
        <v>2497.5825</v>
      </c>
      <c r="E16" s="0" t="n">
        <f aca="false">-E12</f>
        <v>2622.461625</v>
      </c>
      <c r="F16" s="0" t="n">
        <f aca="false">-F12</f>
        <v>2616.467427</v>
      </c>
      <c r="G16" s="0" t="n">
        <f aca="false">-G12</f>
        <v>2621.8622052</v>
      </c>
      <c r="H16" s="0" t="n">
        <f aca="false">-H12</f>
        <v>2618.3663889264</v>
      </c>
      <c r="I16" s="0" t="n">
        <f aca="false">-I12</f>
        <v>2655.77162305392</v>
      </c>
      <c r="J16" s="0" t="n">
        <f aca="false">-J12</f>
        <v>2709.55099842076</v>
      </c>
      <c r="K16" s="0" t="n">
        <f aca="false">-K12</f>
        <v>2771.13170293033</v>
      </c>
      <c r="L16" s="0" t="n">
        <f aca="false">-L12</f>
        <v>2805.1242518196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-1878.7125</v>
      </c>
      <c r="D17" s="4" t="n">
        <f aca="false">-D6*Assumptions!D46/100</f>
        <v>-1623.428625</v>
      </c>
      <c r="E17" s="4" t="n">
        <f aca="false">-E6*Assumptions!E46/100</f>
        <v>-1623.428625</v>
      </c>
      <c r="F17" s="4" t="n">
        <f aca="false">-F6*Assumptions!F46/100</f>
        <v>-1753.302915</v>
      </c>
      <c r="G17" s="4" t="n">
        <f aca="false">-G6*Assumptions!G46/100</f>
        <v>-2039.2261596</v>
      </c>
      <c r="H17" s="4" t="n">
        <f aca="false">-H6*Assumptions!H46/100</f>
        <v>-2337.82713297</v>
      </c>
      <c r="I17" s="4" t="n">
        <f aca="false">-I6*Assumptions!I46/100</f>
        <v>-2489.78589661305</v>
      </c>
      <c r="J17" s="4" t="n">
        <f aca="false">-J6*Assumptions!J46/100</f>
        <v>-2639.17305040983</v>
      </c>
      <c r="K17" s="4" t="n">
        <f aca="false">-K6*Assumptions!K46/100</f>
        <v>-2771.13170293033</v>
      </c>
      <c r="L17" s="4" t="n">
        <f aca="false">-L6*Assumptions!L46/100</f>
        <v>-2881.97697104754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-663.075</v>
      </c>
      <c r="D18" s="4" t="n">
        <f aca="false">(D6-C6)*Assumptions!$B$51/100</f>
        <v>-430.99875</v>
      </c>
      <c r="E18" s="4" t="n">
        <f aca="false">(E6-D6)*Assumptions!$B$51/100</f>
        <v>-0</v>
      </c>
      <c r="F18" s="4" t="n">
        <f aca="false">(F6-E6)*Assumptions!$B$51/100</f>
        <v>-299.7099</v>
      </c>
      <c r="G18" s="4" t="n">
        <f aca="false">(G6-F6)*Assumptions!$B$51/100</f>
        <v>-323.686692</v>
      </c>
      <c r="H18" s="4" t="n">
        <f aca="false">(H6-G6)*Assumptions!$B$51/100</f>
        <v>-305.88392394</v>
      </c>
      <c r="I18" s="4" t="n">
        <f aca="false">(I6-H6)*Assumptions!$B$51/100</f>
        <v>-303.9175272861</v>
      </c>
      <c r="J18" s="4" t="n">
        <f aca="false">(J6-I6)*Assumptions!$B$51/100</f>
        <v>-298.774307593567</v>
      </c>
      <c r="K18" s="4" t="n">
        <f aca="false">(K6-J6)*Assumptions!$B$51/100</f>
        <v>-263.917305040984</v>
      </c>
      <c r="L18" s="4" t="n">
        <f aca="false">(L6-K6)*Assumptions!$B$51/100</f>
        <v>-221.690536234426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7594.419</v>
      </c>
      <c r="D19" s="0" t="n">
        <f aca="false">D15+D16+D17+D18</f>
        <v>10060.09654125</v>
      </c>
      <c r="E19" s="0" t="n">
        <f aca="false">E15+E16+E17+E18</f>
        <v>9957.8614275</v>
      </c>
      <c r="F19" s="0" t="n">
        <f aca="false">F15+F16+F17+F18</f>
        <v>10729.10491317</v>
      </c>
      <c r="G19" s="0" t="n">
        <f aca="false">G15+G16+G17+G18</f>
        <v>11557.8645269094</v>
      </c>
      <c r="H19" s="0" t="n">
        <f aca="false">H15+H16+H17+H18</f>
        <v>12354.2292768035</v>
      </c>
      <c r="I19" s="0" t="n">
        <f aca="false">I15+I16+I17+I18</f>
        <v>13186.5723891956</v>
      </c>
      <c r="J19" s="0" t="n">
        <f aca="false">J15+J16+J17+J18</f>
        <v>13984.7821309645</v>
      </c>
      <c r="K19" s="0" t="n">
        <f aca="false">K15+K16+K17+K18</f>
        <v>14722.3629444062</v>
      </c>
      <c r="L19" s="0" t="n">
        <f aca="false">L15+L16+L17+L18</f>
        <v>15352.1287517103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6967.35688073395</v>
      </c>
      <c r="D21" s="0" t="n">
        <f aca="false">D19*D20</f>
        <v>8467.38198910024</v>
      </c>
      <c r="E21" s="0" t="n">
        <f aca="false">E19*E20</f>
        <v>7689.29609105278</v>
      </c>
      <c r="F21" s="0" t="n">
        <f aca="false">F19*F20</f>
        <v>7600.76841265309</v>
      </c>
      <c r="G21" s="0" t="n">
        <f aca="false">G19*G20</f>
        <v>7511.8189146227</v>
      </c>
      <c r="H21" s="0" t="n">
        <f aca="false">H19*H20</f>
        <v>7366.4232665326</v>
      </c>
      <c r="I21" s="0" t="n">
        <f aca="false">I19*I20</f>
        <v>7213.50666899536</v>
      </c>
      <c r="J21" s="0" t="n">
        <f aca="false">J19*J20</f>
        <v>7018.49058010136</v>
      </c>
      <c r="K21" s="0" t="n">
        <f aca="false">K19*K20</f>
        <v>6778.58487972603</v>
      </c>
      <c r="L21" s="0" t="n">
        <f aca="false">L19*L20</f>
        <v>6484.90509357647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73098.5327770946</v>
      </c>
    </row>
    <row r="31" customFormat="false" ht="15" hidden="false" customHeight="false" outlineLevel="0" collapsed="false">
      <c r="A31" s="0" t="s">
        <v>137</v>
      </c>
      <c r="B31" s="0" t="n">
        <f aca="false">L19</f>
        <v>15352.1287517103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288899.150145822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276338.317530786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276338.317530786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116728.291684376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189826.824461471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184938.824461471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201.020461371164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-0.285413027012321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3982.30790299768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6109.02523838937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211.989301742237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138169.158765393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92.123969996969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84.8854893445798</v>
      </c>
      <c r="C4" s="0" t="n">
        <f aca="false">B4/Assumptions!$B$2-1</f>
        <v>-0.698249300257439</v>
      </c>
      <c r="D4" s="4" t="n">
        <f aca="false">Assumptions!$B$24</f>
        <v>0.25</v>
      </c>
      <c r="E4" s="4" t="n">
        <f aca="false">DCF_Bear!$B$43</f>
        <v>92.846211005832</v>
      </c>
      <c r="F4" s="4" t="n">
        <f aca="false">DCF_Bear!$B$47</f>
        <v>47.0155499369661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140.155568745769</v>
      </c>
      <c r="C5" s="0" t="n">
        <f aca="false">B5/Assumptions!$B$2-1</f>
        <v>-0.501775376823542</v>
      </c>
      <c r="D5" s="4" t="n">
        <f aca="false">Assumptions!$B$38</f>
        <v>0.5</v>
      </c>
      <c r="E5" s="4" t="n">
        <f aca="false">DCF_Base!$B$43</f>
        <v>149.348524516498</v>
      </c>
      <c r="F5" s="4" t="n">
        <f aca="false">DCF_Base!$B$47</f>
        <v>69.2086210556584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201.020461371164</v>
      </c>
      <c r="C6" s="0" t="n">
        <f aca="false">B6/Assumptions!$B$2-1</f>
        <v>-0.285413027012321</v>
      </c>
      <c r="D6" s="4" t="n">
        <f aca="false">Assumptions!$B$52</f>
        <v>0.25</v>
      </c>
      <c r="E6" s="4" t="n">
        <f aca="false">DCF_Bull!$B$43</f>
        <v>211.989301742237</v>
      </c>
      <c r="F6" s="4" t="n">
        <f aca="false">DCF_Bull!$B$47</f>
        <v>92.123969996969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141.554272051821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150.883140445266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-0.987294314204922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1498.09946988185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69.389190511313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140.155568745769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124.10032333751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107.595335268999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94.7760650117495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69.2086210556584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163.258678961718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163.258678961718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163.258678961718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163.258678961718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163.258678961718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151.167029110975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151.167029110975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151.167029110975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151.167029110975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151.167029110975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132.832484603892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138.972608999774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140.155568745769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140.155568745769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140.155568745769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114.909914104922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119.198771746796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124.10032333751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129.755959788334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130.115863926114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101.006362114574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104.107055363716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107.595335268999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111.548719161654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116.066872181831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2026-10-02T09:55:18Z</dcterms:created>
  <dc:creator>openpyxl</dc:creator>
  <dc:description/>
  <dc:language>en-NZ</dc:language>
  <cp:lastModifiedBy/>
  <dcterms:modified xsi:type="dcterms:W3CDTF">2026-10-02T09:55:18Z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