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<sst xmlns="http://schemas.openxmlformats.org/spreadsheetml/2006/main" count="367" uniqueCount="175">
  <si>
    <t xml:space="preserve">Ticker</t>
  </si>
  <si>
    <t xml:space="preserve">ANTO.L</t>
  </si>
  <si>
    <t xml:space="preserve">Company</t>
  </si>
  <si>
    <t xml:space="preserve">Antofagasta plc</t>
  </si>
  <si>
    <t xml:space="preserve">Valuation date</t>
  </si>
  <si>
    <t xml:space="preserve">2026-10-05</t>
  </si>
  <si>
    <t xml:space="preserve">Current price</t>
  </si>
  <si>
    <t xml:space="preserve">Price as of</t>
  </si>
  <si>
    <t xml:space="preserve">2026-10-02T15:36:13Z (regular LSE close, Friday 2 October 2026; fetched Monday 5 October before the session's first print -- replace with the 5 October close when available; not an after-hours print)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</si>
  <si>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</si>
  <si>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</si>
  <si>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</si>
  <si>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</si>
  <si>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</si>
  <si>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</si>
  <si>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</si>
  <si>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</si>
  <si>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</si>
  <si>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</si>
  <si>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</si>
  <si>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</si>
  <si>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</si>
  <si>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2026-10-04T12:42:26Z</t>
  </si>
  <si>
    <t xml:space="preserve">Drivers file</t>
  </si>
  <si>
    <t xml:space="preserve">ANTO.L_Drivers.json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</si>
  <si>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</si>
  <si>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</si>
  <si>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</si>
  <si>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Through-cycle owner-FCF valuation of a top-5 pure-play copper miner at a cyclical peak. The model does not extrapolate FY2025/H1-26 record margins; it reverts realised prices to a mid-cycle level while crediting the +30% volume step-up and the post-peak capex decline, charges the ~35% minority leakage and attributable net debt exactly once, discounts USD flows at a USD WACC with no scenario-specific risk premium, and caps the terminal at 15x attributable FCF. The resulting value sits far below the market price: the difference is the price of copper staying above $5/lb in perpetuity plus the premium multiple (~25x P/E, ~9x EV/EBITDA on peak earnings) Antofagasta has carried for a decade on Luksic control, 50-year reserve life and scarce free float. A 15% hurdle entry price is correspondingly well below the IV.
key_risks_to_valuation: Mid-cycle copper price assumption (~$4.50/lb nominal): every $0.50/lb is roughly 8-9pp of EBITDA margin at ~850kt, worth ~$0.5bn of attributable FCF a year; Chilean tax and royalty reform could move the combined leakage several points either way (base 58.4%, bear 61%, bull 57%); Centinela Second Concentrator and Los Pelambres project timing and cost: a one-year slip removes most of the FY2028 revenue step and defers the capex decline; Terminal multiple: the 15x cyclical cap vs the market's premium; lifting the cap to the market multiple roughly doubles the value and is the whole gap to the price; NCI leakage assumed at 35% of post-tax profit; Centinela growth (30% NCI) lowers it slightly, a Los Pelambres-heavy mix raises it; Single-country climate/regulatory events (July 2026 Coquimbo 'state of catastrophe' shutdown) and water-scarcity capex that peers in water-rich jurisdictions do not carry; FX: value is built in USD and converted at GBPUSD 1.324; a 5% move in sterling moves the pence IV 5% with no change in the business</t>
  </si>
  <si>
    <t xml:space="preserve">Data sources</t>
  </si>
  <si>
    <t xml:space="preserve">price: Yahoo Finance chart API (query1.finance.yahoo.com/v8/finance/chart/ANTO.L) at inputs.price_as_of; 52-week range 2,496-4,475p. FX from Yahoo GBPUSD=X at the date in inputs.fx_note.
financials: research/ANTO.L/Reports/ANTO.L_Metrics.csv (core_metrics, FY2017-FY2025 annual, H1 FY2025, H1 FY2026, Q1/Q2 FY2026 KPIs); ANTO.L_Annual_FY2025.txt (borrowings note 21, EPS note, share-based payment policy, 2026 guidance pages); ANTO.L_HalfYear_H1-2026.txt p.22 (attributable borrowings, cash and net debt at 30 June 2026; Buenaventura associate note).
qualitative: research/ANTO.L/Reports/ANTO.L_Analysis.json (2026-10-04): growth drivers, FY2026 guidance (625-655kt, $3.4bn capex), Chilean tax-reform risk, July 2026 Los Pelambres shutdown, bull/bear cases.</t>
  </si>
  <si>
    <t xml:space="preserve">Scenario narrative: bear</t>
  </si>
  <si>
    <t xml:space="preserve">A China slowdown and the supply response to 2026 prices take copper to ~$3.75/lb in FY2027 while gold and molybdenum retrace; the Second Concentrator slips a year on the flotation-area geotechnical issues; the Chilean royalty package lands unfavourably (tax leakage 40%); committed capex cannot be cut, so FY2026-28 attributable FCF is near zero and the margin spends three years in the 47-50% trough band before a 48% terminal. Single-country concentration (the July 2026 Coquimbo shutdown) is the recurring reminder that all four mines share one regulator and one climate.</t>
  </si>
  <si>
    <t xml:space="preserve">Scenario narrative: base</t>
  </si>
  <si>
    <t xml:space="preserve">Copper reverts from the 2026 record toward a ~$4.50/lb nominal mid-cycle over FY2027-29 just as the Centinela Second Concentrator and Los Pelambres Growth Enabling Projects lift volume ~30% to ~850kt by FY2029, so group revenue climbs only modestly from the FY2026 peak and the EBITDA margin settles at 55% -- above the FY2017-24 average because the expanded Centinela is lower-cost and by-product credits are structurally larger, below FY2025/H1-26. Capex falls from $3.4bn to roughly D&amp;A by FY2031, turning the FY2025-26 negative FCF into ~$1.8-2.0bn a year of attributable FCF. Chile's tax/royalty reform is net-neutral; the ~35% minority leakage persists. The axes are the copper price path, project timing, and the Chilean fiscal regime.</t>
  </si>
  <si>
    <t xml:space="preserve">Scenario narrative: bull</t>
  </si>
  <si>
    <t xml:space="preserve">The structural copper deficit (electrification, grid, AI data centres; JPM's ~330kt 2026 shortfall) keeps copper above $5/lb through the decade's end and gold near records, so margins hold ~60% while volume rises 30% on schedule and Zaldivar's primary-sulphide leach adds a further leg from FY2030. Twin Metals and Cachorro/Encierro add long-dated optionality not in the numbers. Even here the terminal multiple is the 15x cyclical cap, not the market's current premium.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</si>
  <si>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</si>
  <si>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</si>
  <si>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</si>
  <si>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</si>
  <si>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</si>
  <si>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</si>
  <si>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</si>
  <si>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</si>
  <si>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</si>
  <si>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</si>
  <si>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</si>
  <si>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</si>
  <si>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</si>
  <si>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</si>
  <si>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</si>
  <si>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</si>
  <si>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</si>
  <si>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</si>
  <si>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</si>
  <si>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</si>
  <si>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</si>
  <si>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</si>
  <si>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</si>
  <si>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</si>
  <si>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</si>
  <si>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</si>
  <si>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</si>
  <si>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CopperProduction</t>
  </si>
  <si>
    <t xml:space="preserve">EBITDAMargin</t>
  </si>
  <si>
    <t xml:space="preserve">GainOnDisposalJV</t>
  </si>
  <si>
    <t xml:space="preserve">GoldProduction</t>
  </si>
  <si>
    <t xml:space="preserve">ImpairmentReversal</t>
  </si>
  <si>
    <t xml:space="preserve">ProfitAfterTaxTotal</t>
  </si>
  <si>
    <t xml:space="preserve">ProfitAttributableNCI</t>
  </si>
  <si>
    <t xml:space="preserve">TotalEquityInclNCI</t>
  </si>
  <si>
    <t xml:space="preserve">UnderlyingEBIT</t>
  </si>
  <si>
    <t xml:space="preserve">UnderlyingEPS</t>
  </si>
  <si>
    <t xml:space="preserve">UnderlyingNPAT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</si>
  <si>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</si>
  <si>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</si>
  <si>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</si>
  <si>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</si>
  <si>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</si>
  <si>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</si>
  <si>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</si>
  <si>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</si>
  <si>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</si>
  <si>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</si>
  <si>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</si>
  <si>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</si>
  <si>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</si>
  <si>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</si>
  <si>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</si>
  <si>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</si>
  <si>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</si>
  <si>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</si>
  <si>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</si>
  <si>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</si>
  <si>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</si>
  <si>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</si>
  <si>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</si>
  <si>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</si>
  <si>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</si>
  <si>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</si>
  <si>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</si>
  <si>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</si>
  <si>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</si>
  <si>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</si>
  <si>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</si>
  <si>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</si>
  <si>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</si>
  <si>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</si>
  <si>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</si>
  <si>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</si>
  <si>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</si>
  <si>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</si>
  <si>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</si>
  <si>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</si>
  <si>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</si>
  <si>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</si>
  <si>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</si>
  <si>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</si>
  <si>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</si>
  <si>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</si>
  <si>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ANTO.L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</si>
  <si>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</si>
  <si>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</si>
  <si>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</si>
  <si>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</si>
  <si>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</si>
  <si>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</si>
  <si>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</si>
  <si>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</si>
  <si>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</si>
  <si>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</si>
  <si>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</si>
  <si>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</si>
  <si>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</si>
  <si>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</si>
  <si>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</si>
  <si>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</si>
  <si>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</si>
  <si>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</si>
  <si>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</si>
  <si>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</si>
  <si>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</si>
  <si>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</si>
  <si>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</si>
  <si>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</si>
  <si>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</si>
  <si>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</si>
  <si>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</si>
  <si>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</si>
  <si>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</si>
  <si>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</si>
  <si>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ANTO.L owner-FCF component DCF: base case (millions, USD)</t>
  </si>
  <si>
    <t xml:space="preserve">ANTO.L owner-FCF component DCF: bull case (millions, USD)</t>
  </si>
  <si>
    <t xml:space="preserve">ANTO.L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</si>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</sst>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3802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  <c r="AJ1" s="2" t="s">
        <v>71</v>
      </c>
      <c r="AK1" s="2" t="s">
        <v>72</v>
      </c>
      <c r="AL1" s="2" t="s">
        <v>73</v>
      </c>
      <c r="AM1" s="2" t="s">
        <v>74</v>
      </c>
    </row>
    <row r="2" customFormat="false" ht="15" hidden="false" customHeight="false" outlineLevel="0" collapsed="false">
      <c r="A2" s="0" t="s">
        <v>75</v>
      </c>
      <c r="B2" s="0" t="n">
        <v>4749.4</v>
      </c>
      <c r="C2" s="0" t="n">
        <v>2356.4</v>
      </c>
      <c r="D2" s="0" t="n">
        <v>2393</v>
      </c>
      <c r="E2" s="0" t="n">
        <v>50.4</v>
      </c>
      <c r="F2" s="0" t="n">
        <v>1841.1</v>
      </c>
      <c r="G2" s="0" t="n">
        <v>38.8</v>
      </c>
      <c r="H2" s="0" t="n">
        <v>2586.6</v>
      </c>
      <c r="I2" s="0" t="n">
        <v>750.6</v>
      </c>
      <c r="J2" s="0" t="n">
        <v>15.8</v>
      </c>
      <c r="K2" s="0" t="n">
        <v>0.762</v>
      </c>
      <c r="L2" s="0" t="n">
        <v>2097.5</v>
      </c>
      <c r="M2" s="0" t="n">
        <v>901.3</v>
      </c>
      <c r="N2" s="0" t="n">
        <v>1196.2</v>
      </c>
      <c r="O2" s="0" t="n">
        <v>7318.4</v>
      </c>
      <c r="P2" s="0" t="n">
        <v>14209.7</v>
      </c>
      <c r="Q2" s="0" t="n">
        <v>5068.1</v>
      </c>
      <c r="R2" s="0" t="n">
        <v>2708.7</v>
      </c>
      <c r="S2" s="0" t="n">
        <v>2252.3</v>
      </c>
      <c r="T2" s="0" t="n">
        <v>985.857</v>
      </c>
      <c r="U2" s="0" t="n">
        <v>0</v>
      </c>
      <c r="AA2" s="0" t="s">
        <v>18</v>
      </c>
      <c r="AB2" s="0" t="s">
        <v>14</v>
      </c>
      <c r="AH2" s="0" t="n">
        <v>1197.7</v>
      </c>
      <c r="AI2" s="0" t="n">
        <v>447.1</v>
      </c>
      <c r="AJ2" s="0" t="n">
        <v>9141.6</v>
      </c>
    </row>
    <row r="3" customFormat="false" ht="15" hidden="false" customHeight="false" outlineLevel="0" collapsed="false">
      <c r="A3" s="0" t="s">
        <v>76</v>
      </c>
      <c r="B3" s="0" t="n">
        <v>4733.1</v>
      </c>
      <c r="C3" s="0" t="n">
        <v>2826.4</v>
      </c>
      <c r="D3" s="0" t="n">
        <v>1906.7</v>
      </c>
      <c r="E3" s="0" t="n">
        <v>40.3</v>
      </c>
      <c r="F3" s="0" t="n">
        <v>1345</v>
      </c>
      <c r="G3" s="0" t="n">
        <v>28.4</v>
      </c>
      <c r="H3" s="0" t="n">
        <v>2228.3</v>
      </c>
      <c r="I3" s="0" t="n">
        <v>543.7</v>
      </c>
      <c r="J3" s="0" t="n">
        <v>11.5</v>
      </c>
      <c r="K3" s="0" t="n">
        <v>0.551</v>
      </c>
      <c r="L3" s="0" t="n">
        <v>1310.8</v>
      </c>
      <c r="M3" s="0" t="n">
        <v>872.9</v>
      </c>
      <c r="N3" s="0" t="n">
        <v>437.9</v>
      </c>
      <c r="O3" s="0" t="n">
        <v>7359.4</v>
      </c>
      <c r="P3" s="0" t="n">
        <v>14102.5</v>
      </c>
      <c r="Q3" s="0" t="n">
        <v>4664.4</v>
      </c>
      <c r="R3" s="0" t="n">
        <v>2493.9</v>
      </c>
      <c r="S3" s="0" t="n">
        <v>1897.6</v>
      </c>
      <c r="T3" s="0" t="n">
        <v>985.857</v>
      </c>
      <c r="U3" s="0" t="n">
        <v>0</v>
      </c>
      <c r="AA3" s="0" t="s">
        <v>18</v>
      </c>
      <c r="AB3" s="0" t="s">
        <v>14</v>
      </c>
      <c r="AH3" s="0" t="n">
        <v>880.3</v>
      </c>
      <c r="AI3" s="0" t="n">
        <v>336.6</v>
      </c>
      <c r="AJ3" s="0" t="n">
        <v>9438.1</v>
      </c>
    </row>
    <row r="4" customFormat="false" ht="15" hidden="false" customHeight="false" outlineLevel="0" collapsed="false">
      <c r="A4" s="0" t="s">
        <v>77</v>
      </c>
      <c r="B4" s="0" t="n">
        <v>4964.5</v>
      </c>
      <c r="C4" s="0" t="n">
        <v>2963.6</v>
      </c>
      <c r="D4" s="0" t="n">
        <v>2000.9</v>
      </c>
      <c r="E4" s="0" t="n">
        <v>40.3</v>
      </c>
      <c r="F4" s="0" t="n">
        <v>1375.8</v>
      </c>
      <c r="G4" s="0" t="n">
        <v>27.7</v>
      </c>
      <c r="H4" s="0" t="n">
        <v>2438.9</v>
      </c>
      <c r="I4" s="0" t="n">
        <v>501.4</v>
      </c>
      <c r="J4" s="0" t="n">
        <v>10.1</v>
      </c>
      <c r="K4" s="0" t="n">
        <v>0.509</v>
      </c>
      <c r="L4" s="0" t="n">
        <v>2090.8</v>
      </c>
      <c r="M4" s="0" t="n">
        <v>1073.6</v>
      </c>
      <c r="N4" s="0" t="n">
        <v>1017.2</v>
      </c>
      <c r="O4" s="0" t="n">
        <v>7383.7</v>
      </c>
      <c r="P4" s="0" t="n">
        <v>14610.4</v>
      </c>
      <c r="Q4" s="0" t="n">
        <v>5209.4</v>
      </c>
      <c r="R4" s="0" t="n">
        <v>2756.8</v>
      </c>
      <c r="S4" s="0" t="n">
        <v>2193.4</v>
      </c>
      <c r="T4" s="0" t="n">
        <v>985.857</v>
      </c>
      <c r="U4" s="0" t="n">
        <v>0</v>
      </c>
      <c r="AA4" s="0" t="s">
        <v>18</v>
      </c>
      <c r="AB4" s="0" t="s">
        <v>14</v>
      </c>
      <c r="AH4" s="0" t="n">
        <v>843.1</v>
      </c>
      <c r="AI4" s="0" t="n">
        <v>341.7</v>
      </c>
      <c r="AJ4" s="0" t="n">
        <v>9401</v>
      </c>
    </row>
    <row r="5" customFormat="false" ht="15" hidden="false" customHeight="false" outlineLevel="0" collapsed="false">
      <c r="A5" s="0" t="s">
        <v>78</v>
      </c>
      <c r="B5" s="0" t="n">
        <v>5129.3</v>
      </c>
      <c r="C5" s="0" t="n">
        <v>2856.9</v>
      </c>
      <c r="D5" s="0" t="n">
        <v>2272.4</v>
      </c>
      <c r="E5" s="0" t="n">
        <v>44.3</v>
      </c>
      <c r="F5" s="0" t="n">
        <v>1592.2</v>
      </c>
      <c r="G5" s="0" t="n">
        <v>31</v>
      </c>
      <c r="H5" s="0" t="n">
        <v>2739.2</v>
      </c>
      <c r="I5" s="0" t="n">
        <v>506.4</v>
      </c>
      <c r="J5" s="0" t="n">
        <v>9.9</v>
      </c>
      <c r="K5" s="0" t="n">
        <v>0.513</v>
      </c>
      <c r="L5" s="0" t="n">
        <v>2058.7</v>
      </c>
      <c r="M5" s="0" t="n">
        <v>1305.9</v>
      </c>
      <c r="N5" s="0" t="n">
        <v>752.8</v>
      </c>
      <c r="O5" s="0" t="n">
        <v>7750.6</v>
      </c>
      <c r="P5" s="0" t="n">
        <v>16604.3</v>
      </c>
      <c r="Q5" s="0" t="n">
        <v>6523.2</v>
      </c>
      <c r="R5" s="0" t="n">
        <v>3754.8</v>
      </c>
      <c r="S5" s="0" t="n">
        <v>3672.8</v>
      </c>
      <c r="T5" s="0" t="n">
        <v>985.857</v>
      </c>
      <c r="U5" s="0" t="n">
        <v>0</v>
      </c>
      <c r="AA5" s="0" t="s">
        <v>18</v>
      </c>
      <c r="AB5" s="0" t="s">
        <v>14</v>
      </c>
      <c r="AH5" s="0" t="n">
        <v>893.9</v>
      </c>
      <c r="AI5" s="0" t="n">
        <v>387.5</v>
      </c>
      <c r="AJ5" s="0" t="n">
        <v>10081.1</v>
      </c>
      <c r="AL5" s="0" t="n">
        <v>0.554</v>
      </c>
      <c r="AM5" s="0" t="n">
        <v>546.6</v>
      </c>
    </row>
    <row r="6" customFormat="false" ht="15" hidden="false" customHeight="false" outlineLevel="0" collapsed="false">
      <c r="A6" s="0" t="s">
        <v>79</v>
      </c>
      <c r="B6" s="0" t="n">
        <v>7470.1</v>
      </c>
      <c r="C6" s="0" t="n">
        <v>3120.2</v>
      </c>
      <c r="D6" s="0" t="n">
        <v>4349.9</v>
      </c>
      <c r="E6" s="0" t="n">
        <v>58.2</v>
      </c>
      <c r="F6" s="0" t="n">
        <v>3401.4</v>
      </c>
      <c r="G6" s="0" t="n">
        <v>45.5</v>
      </c>
      <c r="H6" s="0" t="n">
        <v>4836.2</v>
      </c>
      <c r="I6" s="0" t="n">
        <v>1290.2</v>
      </c>
      <c r="J6" s="0" t="n">
        <v>17.3</v>
      </c>
      <c r="K6" s="0" t="n">
        <v>1.309</v>
      </c>
      <c r="L6" s="0" t="n">
        <v>3670.1</v>
      </c>
      <c r="M6" s="0" t="n">
        <v>1773</v>
      </c>
      <c r="N6" s="0" t="n">
        <v>1897.1</v>
      </c>
      <c r="O6" s="0" t="n">
        <v>8350.2</v>
      </c>
      <c r="P6" s="0" t="n">
        <v>17278.4</v>
      </c>
      <c r="Q6" s="0" t="n">
        <v>6249.4</v>
      </c>
      <c r="R6" s="0" t="n">
        <v>3172.6</v>
      </c>
      <c r="S6" s="0" t="n">
        <v>3713.1</v>
      </c>
      <c r="T6" s="0" t="n">
        <v>985.857</v>
      </c>
      <c r="U6" s="0" t="n">
        <v>0</v>
      </c>
      <c r="AA6" s="0" t="s">
        <v>18</v>
      </c>
      <c r="AB6" s="0" t="s">
        <v>14</v>
      </c>
      <c r="AH6" s="0" t="n">
        <v>2234.8</v>
      </c>
      <c r="AI6" s="0" t="n">
        <v>944.6</v>
      </c>
      <c r="AJ6" s="0" t="n">
        <v>11029</v>
      </c>
      <c r="AK6" s="0" t="n">
        <v>3579</v>
      </c>
      <c r="AL6" s="0" t="n">
        <v>1.425</v>
      </c>
      <c r="AM6" s="0" t="n">
        <v>1404.4</v>
      </c>
    </row>
    <row r="7" customFormat="false" ht="15" hidden="false" customHeight="false" outlineLevel="0" collapsed="false">
      <c r="A7" s="0" t="s">
        <v>80</v>
      </c>
      <c r="B7" s="0" t="n">
        <v>5862</v>
      </c>
      <c r="C7" s="0" t="n">
        <v>3432.7</v>
      </c>
      <c r="D7" s="0" t="n">
        <v>2429.3</v>
      </c>
      <c r="E7" s="0" t="n">
        <v>41.4</v>
      </c>
      <c r="F7" s="0" t="n">
        <v>1634.3</v>
      </c>
      <c r="G7" s="0" t="n">
        <v>27.9</v>
      </c>
      <c r="H7" s="0" t="n">
        <v>2929.7</v>
      </c>
      <c r="I7" s="0" t="n">
        <v>1533</v>
      </c>
      <c r="J7" s="0" t="n">
        <v>26.2</v>
      </c>
      <c r="K7" s="0" t="n">
        <v>1.555</v>
      </c>
      <c r="L7" s="0" t="n">
        <v>1876.9</v>
      </c>
      <c r="M7" s="0" t="n">
        <v>1879.2</v>
      </c>
      <c r="N7" s="0" t="n">
        <v>-2.3</v>
      </c>
      <c r="O7" s="0" t="n">
        <v>8627.5</v>
      </c>
      <c r="P7" s="0" t="n">
        <v>18238.3</v>
      </c>
      <c r="Q7" s="0" t="n">
        <v>6593.9</v>
      </c>
      <c r="R7" s="0" t="n">
        <v>3277</v>
      </c>
      <c r="S7" s="0" t="n">
        <v>2391.2</v>
      </c>
      <c r="T7" s="0" t="n">
        <v>985.857</v>
      </c>
      <c r="U7" s="0" t="n">
        <v>0</v>
      </c>
      <c r="AA7" s="0" t="s">
        <v>18</v>
      </c>
      <c r="AB7" s="0" t="s">
        <v>14</v>
      </c>
      <c r="AE7" s="0" t="n">
        <v>944.7</v>
      </c>
      <c r="AH7" s="0" t="n">
        <v>1955.3</v>
      </c>
      <c r="AI7" s="0" t="n">
        <v>422.3</v>
      </c>
      <c r="AJ7" s="0" t="n">
        <v>11644.4</v>
      </c>
      <c r="AL7" s="0" t="n">
        <v>0.597</v>
      </c>
      <c r="AM7" s="0" t="n">
        <v>588.3</v>
      </c>
    </row>
    <row r="8" customFormat="false" ht="15" hidden="false" customHeight="false" outlineLevel="0" collapsed="false">
      <c r="A8" s="0" t="s">
        <v>81</v>
      </c>
      <c r="B8" s="0" t="n">
        <v>6324.5</v>
      </c>
      <c r="C8" s="0" t="n">
        <v>3666.4</v>
      </c>
      <c r="D8" s="0" t="n">
        <v>2658.1</v>
      </c>
      <c r="E8" s="0" t="n">
        <v>42</v>
      </c>
      <c r="F8" s="0" t="n">
        <v>1782.8</v>
      </c>
      <c r="G8" s="0" t="n">
        <v>28.2</v>
      </c>
      <c r="H8" s="0" t="n">
        <v>3087.2</v>
      </c>
      <c r="I8" s="0" t="n">
        <v>835.1</v>
      </c>
      <c r="J8" s="0" t="n">
        <v>13.2</v>
      </c>
      <c r="K8" s="0" t="n">
        <v>0.847</v>
      </c>
      <c r="L8" s="0" t="n">
        <v>2333</v>
      </c>
      <c r="M8" s="0" t="n">
        <v>2129.2</v>
      </c>
      <c r="N8" s="0" t="n">
        <v>203.8</v>
      </c>
      <c r="O8" s="0" t="n">
        <v>8951.9</v>
      </c>
      <c r="P8" s="0" t="n">
        <v>19647.2</v>
      </c>
      <c r="Q8" s="0" t="n">
        <v>7598.8</v>
      </c>
      <c r="R8" s="0" t="n">
        <v>4079.2</v>
      </c>
      <c r="S8" s="0" t="n">
        <v>2919.4</v>
      </c>
      <c r="T8" s="0" t="n">
        <v>985.857</v>
      </c>
      <c r="U8" s="0" t="n">
        <v>0</v>
      </c>
      <c r="AA8" s="0" t="s">
        <v>18</v>
      </c>
      <c r="AB8" s="0" t="s">
        <v>14</v>
      </c>
      <c r="AH8" s="0" t="n">
        <v>1299.4</v>
      </c>
      <c r="AI8" s="0" t="n">
        <v>464.3</v>
      </c>
      <c r="AJ8" s="0" t="n">
        <v>12048.4</v>
      </c>
      <c r="AL8" s="0" t="n">
        <v>0.72</v>
      </c>
      <c r="AM8" s="0" t="n">
        <v>709.8</v>
      </c>
    </row>
    <row r="9" customFormat="false" ht="15" hidden="false" customHeight="false" outlineLevel="0" collapsed="false">
      <c r="A9" s="0" t="s">
        <v>82</v>
      </c>
      <c r="B9" s="0" t="n">
        <v>6613.4</v>
      </c>
      <c r="C9" s="0" t="n">
        <v>4109</v>
      </c>
      <c r="D9" s="0" t="n">
        <v>2504.4</v>
      </c>
      <c r="E9" s="0" t="n">
        <v>37.9</v>
      </c>
      <c r="F9" s="0" t="n">
        <v>2008.7</v>
      </c>
      <c r="G9" s="0" t="n">
        <v>30.4</v>
      </c>
      <c r="H9" s="0" t="n">
        <v>3426.8</v>
      </c>
      <c r="I9" s="0" t="n">
        <v>829.4</v>
      </c>
      <c r="J9" s="0" t="n">
        <v>12.5</v>
      </c>
      <c r="K9" s="0" t="n">
        <v>0.841</v>
      </c>
      <c r="L9" s="0" t="n">
        <v>2285.3</v>
      </c>
      <c r="M9" s="0" t="n">
        <v>2414.9</v>
      </c>
      <c r="N9" s="0" t="n">
        <v>-129.6</v>
      </c>
      <c r="O9" s="0" t="n">
        <v>9462.2</v>
      </c>
      <c r="P9" s="0" t="n">
        <v>22634.9</v>
      </c>
      <c r="Q9" s="0" t="n">
        <v>9680.7</v>
      </c>
      <c r="R9" s="0" t="n">
        <v>5945.4</v>
      </c>
      <c r="S9" s="0" t="n">
        <v>4316.3</v>
      </c>
      <c r="T9" s="0" t="n">
        <v>985.857</v>
      </c>
      <c r="U9" s="0" t="n">
        <v>0</v>
      </c>
      <c r="AA9" s="0" t="s">
        <v>18</v>
      </c>
      <c r="AB9" s="0" t="s">
        <v>14</v>
      </c>
      <c r="AG9" s="0" t="n">
        <v>371.4</v>
      </c>
      <c r="AH9" s="0" t="n">
        <v>1316</v>
      </c>
      <c r="AI9" s="0" t="n">
        <v>486.6</v>
      </c>
      <c r="AJ9" s="0" t="n">
        <v>12954.2</v>
      </c>
      <c r="AK9" s="0" t="n">
        <v>1637.3</v>
      </c>
      <c r="AL9" s="0" t="n">
        <v>0.628</v>
      </c>
      <c r="AM9" s="0" t="n">
        <v>619.5</v>
      </c>
    </row>
    <row r="10" customFormat="false" ht="15" hidden="false" customHeight="false" outlineLevel="0" collapsed="false">
      <c r="A10" s="0" t="s">
        <v>83</v>
      </c>
      <c r="B10" s="0" t="n">
        <v>8620.3</v>
      </c>
      <c r="C10" s="0" t="n">
        <v>4316.6</v>
      </c>
      <c r="D10" s="0" t="n">
        <v>4303.7</v>
      </c>
      <c r="E10" s="0" t="n">
        <v>49.9</v>
      </c>
      <c r="F10" s="0" t="n">
        <v>3373.6</v>
      </c>
      <c r="G10" s="0" t="n">
        <v>39.1</v>
      </c>
      <c r="H10" s="0" t="n">
        <v>5201.9</v>
      </c>
      <c r="I10" s="0" t="n">
        <v>1328.9</v>
      </c>
      <c r="J10" s="0" t="n">
        <v>15.4</v>
      </c>
      <c r="K10" s="0" t="n">
        <v>1.348</v>
      </c>
      <c r="L10" s="0" t="n">
        <v>3071.6</v>
      </c>
      <c r="M10" s="0" t="n">
        <v>3684.5</v>
      </c>
      <c r="N10" s="0" t="n">
        <v>-612.9</v>
      </c>
      <c r="O10" s="0" t="n">
        <v>10370.1</v>
      </c>
      <c r="P10" s="0" t="n">
        <v>26418.4</v>
      </c>
      <c r="Q10" s="0" t="n">
        <v>11988</v>
      </c>
      <c r="R10" s="0" t="n">
        <v>7659.4</v>
      </c>
      <c r="S10" s="0" t="n">
        <v>4909.9</v>
      </c>
      <c r="T10" s="0" t="n">
        <v>985.857</v>
      </c>
      <c r="U10" s="0" t="n">
        <v>0</v>
      </c>
      <c r="AA10" s="0" t="s">
        <v>18</v>
      </c>
      <c r="AB10" s="0" t="s">
        <v>14</v>
      </c>
      <c r="AH10" s="0" t="n">
        <v>2071.3</v>
      </c>
      <c r="AI10" s="0" t="n">
        <v>742.4</v>
      </c>
      <c r="AJ10" s="0" t="n">
        <v>14430.4</v>
      </c>
      <c r="AL10" s="0" t="n">
        <v>1.293</v>
      </c>
      <c r="AM10" s="0" t="n">
        <v>1274.4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84</v>
      </c>
      <c r="B1" s="2" t="s">
        <v>85</v>
      </c>
    </row>
    <row r="2" customFormat="false" ht="15" hidden="false" customHeight="false" outlineLevel="0" collapsed="false">
      <c r="A2" s="0" t="s">
        <v>86</v>
      </c>
      <c r="B2" s="3" t="n">
        <v>3802</v>
      </c>
    </row>
    <row r="3" customFormat="false" ht="15" hidden="false" customHeight="false" outlineLevel="0" collapsed="false">
      <c r="A3" s="0" t="s">
        <v>87</v>
      </c>
      <c r="B3" s="3" t="n">
        <v>985.857</v>
      </c>
    </row>
    <row r="4" customFormat="false" ht="15" hidden="false" customHeight="false" outlineLevel="0" collapsed="false">
      <c r="A4" s="0" t="s">
        <v>88</v>
      </c>
      <c r="B4" s="3" t="n">
        <v>2711.8</v>
      </c>
    </row>
    <row r="5" customFormat="false" ht="15" hidden="false" customHeight="false" outlineLevel="0" collapsed="false">
      <c r="A5" s="0" t="s">
        <v>89</v>
      </c>
      <c r="B5" s="3" t="n">
        <v>880</v>
      </c>
    </row>
    <row r="6" customFormat="false" ht="15" hidden="false" customHeight="false" outlineLevel="0" collapsed="false">
      <c r="A6" s="0" t="s">
        <v>90</v>
      </c>
      <c r="B6" s="3" t="n">
        <v>15</v>
      </c>
    </row>
    <row r="7" customFormat="false" ht="15" hidden="false" customHeight="false" outlineLevel="0" collapsed="false">
      <c r="A7" s="0" t="s">
        <v>91</v>
      </c>
      <c r="B7" s="3" t="n">
        <v>8620.3</v>
      </c>
    </row>
    <row r="8" customFormat="false" ht="15" hidden="false" customHeight="false" outlineLevel="0" collapsed="false">
      <c r="A8" s="0" t="s">
        <v>92</v>
      </c>
      <c r="B8" s="3" t="s">
        <v>83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75.53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13</v>
      </c>
      <c r="D13" s="3" t="n">
        <v>-10</v>
      </c>
      <c r="E13" s="3" t="n">
        <v>6</v>
      </c>
      <c r="F13" s="3" t="n">
        <v>0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108</v>
      </c>
      <c r="C14" s="3" t="n">
        <v>60</v>
      </c>
      <c r="D14" s="3" t="n">
        <v>50</v>
      </c>
      <c r="E14" s="3" t="n">
        <v>47</v>
      </c>
      <c r="F14" s="3" t="n">
        <v>47</v>
      </c>
      <c r="G14" s="3" t="n">
        <v>47</v>
      </c>
      <c r="H14" s="3" t="n">
        <v>48</v>
      </c>
      <c r="I14" s="3" t="n">
        <v>48</v>
      </c>
      <c r="J14" s="3" t="n">
        <v>48</v>
      </c>
      <c r="K14" s="3" t="n">
        <v>48</v>
      </c>
      <c r="L14" s="3" t="n">
        <v>48</v>
      </c>
    </row>
    <row r="15" customFormat="false" ht="15" hidden="false" customHeight="false" outlineLevel="0" collapsed="false">
      <c r="A15" s="0" t="s">
        <v>109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16</v>
      </c>
      <c r="D17" s="3" t="n">
        <v>20</v>
      </c>
      <c r="E17" s="3" t="n">
        <v>22</v>
      </c>
      <c r="F17" s="3" t="n">
        <v>22</v>
      </c>
      <c r="G17" s="3" t="n">
        <v>21.5</v>
      </c>
      <c r="H17" s="3" t="n">
        <v>21</v>
      </c>
      <c r="I17" s="3" t="n">
        <v>21</v>
      </c>
      <c r="J17" s="3" t="n">
        <v>21</v>
      </c>
      <c r="K17" s="3" t="n">
        <v>21</v>
      </c>
      <c r="L17" s="3" t="n">
        <v>21</v>
      </c>
    </row>
    <row r="18" customFormat="false" ht="15" hidden="false" customHeight="false" outlineLevel="0" collapsed="false">
      <c r="A18" s="0" t="s">
        <v>112</v>
      </c>
      <c r="C18" s="3" t="n">
        <v>35</v>
      </c>
      <c r="D18" s="3" t="n">
        <v>31</v>
      </c>
      <c r="E18" s="3" t="n">
        <v>25</v>
      </c>
      <c r="F18" s="3" t="n">
        <v>22</v>
      </c>
      <c r="G18" s="3" t="n">
        <v>21</v>
      </c>
      <c r="H18" s="3" t="n">
        <v>21</v>
      </c>
      <c r="I18" s="3" t="n">
        <v>21</v>
      </c>
      <c r="J18" s="3" t="n">
        <v>21</v>
      </c>
      <c r="K18" s="3" t="n">
        <v>21</v>
      </c>
      <c r="L18" s="3" t="n">
        <v>21</v>
      </c>
    </row>
    <row r="19" customFormat="false" ht="15" hidden="false" customHeight="false" outlineLevel="0" collapsed="false">
      <c r="A19" s="0" t="s">
        <v>113</v>
      </c>
      <c r="C19" s="3" t="n">
        <v>61</v>
      </c>
      <c r="D19" s="3" t="n">
        <v>61</v>
      </c>
      <c r="E19" s="3" t="n">
        <v>61</v>
      </c>
      <c r="F19" s="3" t="n">
        <v>61</v>
      </c>
      <c r="G19" s="3" t="n">
        <v>61</v>
      </c>
      <c r="H19" s="3" t="n">
        <v>61</v>
      </c>
      <c r="I19" s="3" t="n">
        <v>61</v>
      </c>
      <c r="J19" s="3" t="n">
        <v>61</v>
      </c>
      <c r="K19" s="3" t="n">
        <v>61</v>
      </c>
      <c r="L19" s="3" t="n">
        <v>61</v>
      </c>
    </row>
    <row r="20" customFormat="false" ht="15" hidden="false" customHeight="false" outlineLevel="0" collapsed="false">
      <c r="A20" s="0" t="s">
        <v>114</v>
      </c>
      <c r="B20" s="3" t="n">
        <v>9</v>
      </c>
    </row>
    <row r="21" customFormat="false" ht="15" hidden="false" customHeight="false" outlineLevel="0" collapsed="false">
      <c r="A21" s="0" t="s">
        <v>115</v>
      </c>
      <c r="B21" s="3" t="n">
        <v>2</v>
      </c>
    </row>
    <row r="22" customFormat="false" ht="15" hidden="false" customHeight="false" outlineLevel="0" collapsed="false">
      <c r="A22" s="0" t="s">
        <v>116</v>
      </c>
      <c r="B22" s="3" t="n">
        <v>15</v>
      </c>
    </row>
    <row r="23" customFormat="false" ht="15" hidden="false" customHeight="false" outlineLevel="0" collapsed="false">
      <c r="A23" s="0" t="s">
        <v>117</v>
      </c>
      <c r="B23" s="3" t="n">
        <v>-5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17</v>
      </c>
      <c r="D27" s="3" t="n">
        <v>1</v>
      </c>
      <c r="E27" s="3" t="n">
        <v>12</v>
      </c>
      <c r="F27" s="3" t="n">
        <v>3</v>
      </c>
      <c r="G27" s="3" t="n">
        <v>2.5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108</v>
      </c>
      <c r="C28" s="3" t="n">
        <v>62</v>
      </c>
      <c r="D28" s="3" t="n">
        <v>58</v>
      </c>
      <c r="E28" s="3" t="n">
        <v>56</v>
      </c>
      <c r="F28" s="3" t="n">
        <v>55</v>
      </c>
      <c r="G28" s="3" t="n">
        <v>55</v>
      </c>
      <c r="H28" s="3" t="n">
        <v>55</v>
      </c>
      <c r="I28" s="3" t="n">
        <v>55</v>
      </c>
      <c r="J28" s="3" t="n">
        <v>55</v>
      </c>
      <c r="K28" s="3" t="n">
        <v>55</v>
      </c>
      <c r="L28" s="3" t="n">
        <v>55</v>
      </c>
    </row>
    <row r="29" customFormat="false" ht="15" hidden="false" customHeight="false" outlineLevel="0" collapsed="false">
      <c r="A29" s="0" t="s">
        <v>109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15.5</v>
      </c>
      <c r="D31" s="3" t="n">
        <v>18.5</v>
      </c>
      <c r="E31" s="3" t="n">
        <v>20</v>
      </c>
      <c r="F31" s="3" t="n">
        <v>20</v>
      </c>
      <c r="G31" s="3" t="n">
        <v>20</v>
      </c>
      <c r="H31" s="3" t="n">
        <v>20</v>
      </c>
      <c r="I31" s="3" t="n">
        <v>20</v>
      </c>
      <c r="J31" s="3" t="n">
        <v>20</v>
      </c>
      <c r="K31" s="3" t="n">
        <v>20</v>
      </c>
      <c r="L31" s="3" t="n">
        <v>20</v>
      </c>
    </row>
    <row r="32" customFormat="false" ht="15" hidden="false" customHeight="false" outlineLevel="0" collapsed="false">
      <c r="A32" s="0" t="s">
        <v>112</v>
      </c>
      <c r="C32" s="3" t="n">
        <v>33.7</v>
      </c>
      <c r="D32" s="3" t="n">
        <v>28.5</v>
      </c>
      <c r="E32" s="3" t="n">
        <v>21</v>
      </c>
      <c r="F32" s="3" t="n">
        <v>19</v>
      </c>
      <c r="G32" s="3" t="n">
        <v>19.5</v>
      </c>
      <c r="H32" s="3" t="n">
        <v>20</v>
      </c>
      <c r="I32" s="3" t="n">
        <v>20</v>
      </c>
      <c r="J32" s="3" t="n">
        <v>20</v>
      </c>
      <c r="K32" s="3" t="n">
        <v>20</v>
      </c>
      <c r="L32" s="3" t="n">
        <v>20</v>
      </c>
    </row>
    <row r="33" customFormat="false" ht="15" hidden="false" customHeight="false" outlineLevel="0" collapsed="false">
      <c r="A33" s="0" t="s">
        <v>113</v>
      </c>
      <c r="C33" s="3" t="n">
        <v>58.4</v>
      </c>
      <c r="D33" s="3" t="n">
        <v>58.4</v>
      </c>
      <c r="E33" s="3" t="n">
        <v>58.4</v>
      </c>
      <c r="F33" s="3" t="n">
        <v>58.4</v>
      </c>
      <c r="G33" s="3" t="n">
        <v>58.4</v>
      </c>
      <c r="H33" s="3" t="n">
        <v>58.4</v>
      </c>
      <c r="I33" s="3" t="n">
        <v>58.4</v>
      </c>
      <c r="J33" s="3" t="n">
        <v>58.4</v>
      </c>
      <c r="K33" s="3" t="n">
        <v>58.4</v>
      </c>
      <c r="L33" s="3" t="n">
        <v>58.4</v>
      </c>
    </row>
    <row r="34" customFormat="false" ht="15" hidden="false" customHeight="false" outlineLevel="0" collapsed="false">
      <c r="A34" s="0" t="s">
        <v>114</v>
      </c>
      <c r="B34" s="3" t="n">
        <v>9</v>
      </c>
    </row>
    <row r="35" customFormat="false" ht="15" hidden="false" customHeight="false" outlineLevel="0" collapsed="false">
      <c r="A35" s="0" t="s">
        <v>115</v>
      </c>
      <c r="B35" s="3" t="n">
        <v>2.5</v>
      </c>
    </row>
    <row r="36" customFormat="false" ht="15" hidden="false" customHeight="false" outlineLevel="0" collapsed="false">
      <c r="A36" s="0" t="s">
        <v>116</v>
      </c>
      <c r="B36" s="3" t="n">
        <v>15</v>
      </c>
    </row>
    <row r="37" customFormat="false" ht="15" hidden="false" customHeight="false" outlineLevel="0" collapsed="false">
      <c r="A37" s="0" t="s">
        <v>117</v>
      </c>
      <c r="B37" s="3" t="n">
        <v>-5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21</v>
      </c>
      <c r="D41" s="3" t="n">
        <v>5</v>
      </c>
      <c r="E41" s="3" t="n">
        <v>14</v>
      </c>
      <c r="F41" s="3" t="n">
        <v>5</v>
      </c>
      <c r="G41" s="3" t="n">
        <v>3</v>
      </c>
      <c r="H41" s="3" t="n">
        <v>3</v>
      </c>
      <c r="I41" s="3" t="n">
        <v>3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108</v>
      </c>
      <c r="C42" s="3" t="n">
        <v>63.5</v>
      </c>
      <c r="D42" s="3" t="n">
        <v>61</v>
      </c>
      <c r="E42" s="3" t="n">
        <v>60</v>
      </c>
      <c r="F42" s="3" t="n">
        <v>60</v>
      </c>
      <c r="G42" s="3" t="n">
        <v>60</v>
      </c>
      <c r="H42" s="3" t="n">
        <v>59</v>
      </c>
      <c r="I42" s="3" t="n">
        <v>59</v>
      </c>
      <c r="J42" s="3" t="n">
        <v>58</v>
      </c>
      <c r="K42" s="3" t="n">
        <v>58</v>
      </c>
      <c r="L42" s="3" t="n">
        <v>58</v>
      </c>
    </row>
    <row r="43" customFormat="false" ht="15" hidden="false" customHeight="false" outlineLevel="0" collapsed="false">
      <c r="A43" s="0" t="s">
        <v>109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15</v>
      </c>
      <c r="D45" s="3" t="n">
        <v>18</v>
      </c>
      <c r="E45" s="3" t="n">
        <v>19</v>
      </c>
      <c r="F45" s="3" t="n">
        <v>19.5</v>
      </c>
      <c r="G45" s="3" t="n">
        <v>19.5</v>
      </c>
      <c r="H45" s="3" t="n">
        <v>19.5</v>
      </c>
      <c r="I45" s="3" t="n">
        <v>19.5</v>
      </c>
      <c r="J45" s="3" t="n">
        <v>19.5</v>
      </c>
      <c r="K45" s="3" t="n">
        <v>19.5</v>
      </c>
      <c r="L45" s="3" t="n">
        <v>19.5</v>
      </c>
    </row>
    <row r="46" customFormat="false" ht="15" hidden="false" customHeight="false" outlineLevel="0" collapsed="false">
      <c r="A46" s="0" t="s">
        <v>112</v>
      </c>
      <c r="C46" s="3" t="n">
        <v>32</v>
      </c>
      <c r="D46" s="3" t="n">
        <v>26</v>
      </c>
      <c r="E46" s="3" t="n">
        <v>19</v>
      </c>
      <c r="F46" s="3" t="n">
        <v>18</v>
      </c>
      <c r="G46" s="3" t="n">
        <v>18</v>
      </c>
      <c r="H46" s="3" t="n">
        <v>18.5</v>
      </c>
      <c r="I46" s="3" t="n">
        <v>19</v>
      </c>
      <c r="J46" s="3" t="n">
        <v>19</v>
      </c>
      <c r="K46" s="3" t="n">
        <v>19</v>
      </c>
      <c r="L46" s="3" t="n">
        <v>19</v>
      </c>
    </row>
    <row r="47" customFormat="false" ht="15" hidden="false" customHeight="false" outlineLevel="0" collapsed="false">
      <c r="A47" s="0" t="s">
        <v>113</v>
      </c>
      <c r="C47" s="3" t="n">
        <v>57.1</v>
      </c>
      <c r="D47" s="3" t="n">
        <v>57.1</v>
      </c>
      <c r="E47" s="3" t="n">
        <v>57.1</v>
      </c>
      <c r="F47" s="3" t="n">
        <v>57.1</v>
      </c>
      <c r="G47" s="3" t="n">
        <v>57.1</v>
      </c>
      <c r="H47" s="3" t="n">
        <v>57.1</v>
      </c>
      <c r="I47" s="3" t="n">
        <v>57.1</v>
      </c>
      <c r="J47" s="3" t="n">
        <v>57.1</v>
      </c>
      <c r="K47" s="3" t="n">
        <v>57.1</v>
      </c>
      <c r="L47" s="3" t="n">
        <v>57.1</v>
      </c>
    </row>
    <row r="48" customFormat="false" ht="15" hidden="false" customHeight="false" outlineLevel="0" collapsed="false">
      <c r="A48" s="0" t="s">
        <v>114</v>
      </c>
      <c r="B48" s="3" t="n">
        <v>9</v>
      </c>
    </row>
    <row r="49" customFormat="false" ht="15" hidden="false" customHeight="false" outlineLevel="0" collapsed="false">
      <c r="A49" s="0" t="s">
        <v>115</v>
      </c>
      <c r="B49" s="3" t="n">
        <v>3</v>
      </c>
    </row>
    <row r="50" customFormat="false" ht="15" hidden="false" customHeight="false" outlineLevel="0" collapsed="false">
      <c r="A50" s="0" t="s">
        <v>116</v>
      </c>
      <c r="B50" s="3" t="n">
        <v>15</v>
      </c>
    </row>
    <row r="51" customFormat="false" ht="15" hidden="false" customHeight="false" outlineLevel="0" collapsed="false">
      <c r="A51" s="0" t="s">
        <v>117</v>
      </c>
      <c r="B51" s="3" t="n">
        <v>-5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13</v>
      </c>
      <c r="D5" s="4" t="n">
        <f aca="false">Assumptions!D13</f>
        <v>-10</v>
      </c>
      <c r="E5" s="4" t="n">
        <f aca="false">Assumptions!E13</f>
        <v>6</v>
      </c>
      <c r="F5" s="4" t="n">
        <f aca="false">Assumptions!F13</f>
        <v>0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8620.3</v>
      </c>
      <c r="C6" s="0" t="n">
        <f aca="false">B6*(1+C5/100)</f>
        <v>9740.939</v>
      </c>
      <c r="D6" s="0" t="n">
        <f aca="false">C6*(1+D5/100)</f>
        <v>8766.8451</v>
      </c>
      <c r="E6" s="0" t="n">
        <f aca="false">D6*(1+E5/100)</f>
        <v>9292.855806</v>
      </c>
      <c r="F6" s="0" t="n">
        <f aca="false">E6*(1+F5/100)</f>
        <v>9292.855806</v>
      </c>
      <c r="G6" s="0" t="n">
        <f aca="false">F6*(1+G5/100)</f>
        <v>9478.71292212</v>
      </c>
      <c r="H6" s="0" t="n">
        <f aca="false">G6*(1+H5/100)</f>
        <v>9668.2871805624</v>
      </c>
      <c r="I6" s="0" t="n">
        <f aca="false">H6*(1+I5/100)</f>
        <v>9861.65292417365</v>
      </c>
      <c r="J6" s="0" t="n">
        <f aca="false">I6*(1+J5/100)</f>
        <v>10058.8859826571</v>
      </c>
      <c r="K6" s="0" t="n">
        <f aca="false">J6*(1+K5/100)</f>
        <v>10260.0637023103</v>
      </c>
      <c r="L6" s="0" t="n">
        <f aca="false">K6*(1+L5/100)</f>
        <v>10465.2649763565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60</v>
      </c>
      <c r="D7" s="4" t="n">
        <f aca="false">Assumptions!D14</f>
        <v>50</v>
      </c>
      <c r="E7" s="4" t="n">
        <f aca="false">Assumptions!E14</f>
        <v>47</v>
      </c>
      <c r="F7" s="4" t="n">
        <f aca="false">Assumptions!F14</f>
        <v>47</v>
      </c>
      <c r="G7" s="4" t="n">
        <f aca="false">Assumptions!G14</f>
        <v>47</v>
      </c>
      <c r="H7" s="4" t="n">
        <f aca="false">Assumptions!H14</f>
        <v>48</v>
      </c>
      <c r="I7" s="4" t="n">
        <f aca="false">Assumptions!I14</f>
        <v>48</v>
      </c>
      <c r="J7" s="4" t="n">
        <f aca="false">Assumptions!J14</f>
        <v>48</v>
      </c>
      <c r="K7" s="4" t="n">
        <f aca="false">Assumptions!K14</f>
        <v>48</v>
      </c>
      <c r="L7" s="4" t="n">
        <f aca="false">Assumptions!L14</f>
        <v>48</v>
      </c>
    </row>
    <row r="8" customFormat="false" ht="15" hidden="false" customHeight="false" outlineLevel="0" collapsed="false">
      <c r="A8" s="0" t="s">
        <v>44</v>
      </c>
      <c r="C8" s="0" t="n">
        <f aca="false">C6*C7/100</f>
        <v>5844.5634</v>
      </c>
      <c r="D8" s="0" t="n">
        <f aca="false">D6*D7/100</f>
        <v>4383.42255</v>
      </c>
      <c r="E8" s="0" t="n">
        <f aca="false">E6*E7/100</f>
        <v>4367.64222882</v>
      </c>
      <c r="F8" s="0" t="n">
        <f aca="false">F6*F7/100</f>
        <v>4367.64222882</v>
      </c>
      <c r="G8" s="0" t="n">
        <f aca="false">G6*G7/100</f>
        <v>4454.9950733964</v>
      </c>
      <c r="H8" s="0" t="n">
        <f aca="false">H6*H7/100</f>
        <v>4640.77784666995</v>
      </c>
      <c r="I8" s="0" t="n">
        <f aca="false">I6*I7/100</f>
        <v>4733.59340360335</v>
      </c>
      <c r="J8" s="0" t="n">
        <f aca="false">J6*J7/100</f>
        <v>4828.26527167542</v>
      </c>
      <c r="K8" s="0" t="n">
        <f aca="false">K6*K7/100</f>
        <v>4924.83057710893</v>
      </c>
      <c r="L8" s="0" t="n">
        <f aca="false">L6*L7/100</f>
        <v>5023.3271886511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5844.5634</v>
      </c>
      <c r="D11" s="0" t="n">
        <f aca="false">D8+D10+D24</f>
        <v>4383.42255</v>
      </c>
      <c r="E11" s="0" t="n">
        <f aca="false">E8+E10+E24</f>
        <v>4367.64222882</v>
      </c>
      <c r="F11" s="0" t="n">
        <f aca="false">F8+F10+F24</f>
        <v>4367.64222882</v>
      </c>
      <c r="G11" s="0" t="n">
        <f aca="false">G8+G10+G24</f>
        <v>4454.9950733964</v>
      </c>
      <c r="H11" s="0" t="n">
        <f aca="false">H8+H10+H24</f>
        <v>4640.77784666995</v>
      </c>
      <c r="I11" s="0" t="n">
        <f aca="false">I8+I10+I24</f>
        <v>4733.59340360335</v>
      </c>
      <c r="J11" s="0" t="n">
        <f aca="false">J8+J10+J24</f>
        <v>4828.26527167542</v>
      </c>
      <c r="K11" s="0" t="n">
        <f aca="false">K8+K10+K24</f>
        <v>4924.83057710893</v>
      </c>
      <c r="L11" s="0" t="n">
        <f aca="false">L8+L10+L24</f>
        <v>5023.3271886511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-1558.55024</v>
      </c>
      <c r="D12" s="4" t="n">
        <f aca="false">-D6*Assumptions!D17/100</f>
        <v>-1753.36902</v>
      </c>
      <c r="E12" s="4" t="n">
        <f aca="false">-E6*Assumptions!E17/100</f>
        <v>-2044.42827732</v>
      </c>
      <c r="F12" s="4" t="n">
        <f aca="false">-F6*Assumptions!F17/100</f>
        <v>-2044.42827732</v>
      </c>
      <c r="G12" s="4" t="n">
        <f aca="false">-G6*Assumptions!G17/100</f>
        <v>-2037.9232782558</v>
      </c>
      <c r="H12" s="4" t="n">
        <f aca="false">-H6*Assumptions!H17/100</f>
        <v>-2030.3403079181</v>
      </c>
      <c r="I12" s="4" t="n">
        <f aca="false">-I6*Assumptions!I17/100</f>
        <v>-2070.94711407647</v>
      </c>
      <c r="J12" s="4" t="n">
        <f aca="false">-J6*Assumptions!J17/100</f>
        <v>-2112.366056358</v>
      </c>
      <c r="K12" s="4" t="n">
        <f aca="false">-K6*Assumptions!K17/100</f>
        <v>-2154.61337748516</v>
      </c>
      <c r="L12" s="4" t="n">
        <f aca="false">-L6*Assumptions!L17/100</f>
        <v>-2197.70564503486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4286.01316</v>
      </c>
      <c r="D13" s="0" t="n">
        <f aca="false">D11+D12</f>
        <v>2630.05353</v>
      </c>
      <c r="E13" s="0" t="n">
        <f aca="false">E11+E12</f>
        <v>2323.2139515</v>
      </c>
      <c r="F13" s="0" t="n">
        <f aca="false">F11+F12</f>
        <v>2323.2139515</v>
      </c>
      <c r="G13" s="0" t="n">
        <f aca="false">G11+G12</f>
        <v>2417.0717951406</v>
      </c>
      <c r="H13" s="0" t="n">
        <f aca="false">H11+H12</f>
        <v>2610.43753875185</v>
      </c>
      <c r="I13" s="0" t="n">
        <f aca="false">I11+I12</f>
        <v>2662.64628952688</v>
      </c>
      <c r="J13" s="0" t="n">
        <f aca="false">J11+J12</f>
        <v>2715.89921531742</v>
      </c>
      <c r="K13" s="0" t="n">
        <f aca="false">K11+K12</f>
        <v>2770.21719962377</v>
      </c>
      <c r="L13" s="0" t="n">
        <f aca="false">L11+L12</f>
        <v>2825.62154361625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61</v>
      </c>
      <c r="D14" s="4" t="n">
        <f aca="false">Assumptions!D19</f>
        <v>61</v>
      </c>
      <c r="E14" s="4" t="n">
        <f aca="false">Assumptions!E19</f>
        <v>61</v>
      </c>
      <c r="F14" s="4" t="n">
        <f aca="false">Assumptions!F19</f>
        <v>61</v>
      </c>
      <c r="G14" s="4" t="n">
        <f aca="false">Assumptions!G19</f>
        <v>61</v>
      </c>
      <c r="H14" s="4" t="n">
        <f aca="false">Assumptions!H19</f>
        <v>61</v>
      </c>
      <c r="I14" s="4" t="n">
        <f aca="false">Assumptions!I19</f>
        <v>61</v>
      </c>
      <c r="J14" s="4" t="n">
        <f aca="false">Assumptions!J19</f>
        <v>61</v>
      </c>
      <c r="K14" s="4" t="n">
        <f aca="false">Assumptions!K19</f>
        <v>61</v>
      </c>
      <c r="L14" s="4" t="n">
        <f aca="false">Assumptions!L19</f>
        <v>61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1671.5451324</v>
      </c>
      <c r="D15" s="0" t="n">
        <f aca="false">D13-MAX(0,D13)*D14/100</f>
        <v>1025.7208767</v>
      </c>
      <c r="E15" s="0" t="n">
        <f aca="false">E13-MAX(0,E13)*E14/100</f>
        <v>906.053441085</v>
      </c>
      <c r="F15" s="0" t="n">
        <f aca="false">F13-MAX(0,F13)*F14/100</f>
        <v>906.053441085</v>
      </c>
      <c r="G15" s="0" t="n">
        <f aca="false">G13-MAX(0,G13)*G14/100</f>
        <v>942.658000104834</v>
      </c>
      <c r="H15" s="0" t="n">
        <f aca="false">H13-MAX(0,H13)*H14/100</f>
        <v>1018.07064011322</v>
      </c>
      <c r="I15" s="0" t="n">
        <f aca="false">I13-MAX(0,I13)*I14/100</f>
        <v>1038.43205291549</v>
      </c>
      <c r="J15" s="0" t="n">
        <f aca="false">J13-MAX(0,J13)*J14/100</f>
        <v>1059.20069397379</v>
      </c>
      <c r="K15" s="0" t="n">
        <f aca="false">K13-MAX(0,K13)*K14/100</f>
        <v>1080.38470785327</v>
      </c>
      <c r="L15" s="0" t="n">
        <f aca="false">L13-MAX(0,L13)*L14/100</f>
        <v>1101.99240201034</v>
      </c>
    </row>
    <row r="16" customFormat="false" ht="15" hidden="false" customHeight="false" outlineLevel="0" collapsed="false">
      <c r="A16" s="0" t="s">
        <v>129</v>
      </c>
      <c r="C16" s="0" t="n">
        <f aca="false">-C12</f>
        <v>1558.55024</v>
      </c>
      <c r="D16" s="0" t="n">
        <f aca="false">-D12</f>
        <v>1753.36902</v>
      </c>
      <c r="E16" s="0" t="n">
        <f aca="false">-E12</f>
        <v>2044.42827732</v>
      </c>
      <c r="F16" s="0" t="n">
        <f aca="false">-F12</f>
        <v>2044.42827732</v>
      </c>
      <c r="G16" s="0" t="n">
        <f aca="false">-G12</f>
        <v>2037.9232782558</v>
      </c>
      <c r="H16" s="0" t="n">
        <f aca="false">-H12</f>
        <v>2030.3403079181</v>
      </c>
      <c r="I16" s="0" t="n">
        <f aca="false">-I12</f>
        <v>2070.94711407647</v>
      </c>
      <c r="J16" s="0" t="n">
        <f aca="false">-J12</f>
        <v>2112.366056358</v>
      </c>
      <c r="K16" s="0" t="n">
        <f aca="false">-K12</f>
        <v>2154.61337748516</v>
      </c>
      <c r="L16" s="0" t="n">
        <f aca="false">-L12</f>
        <v>2197.70564503486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-3409.32865</v>
      </c>
      <c r="D17" s="4" t="n">
        <f aca="false">-D6*Assumptions!D18/100</f>
        <v>-2717.721981</v>
      </c>
      <c r="E17" s="4" t="n">
        <f aca="false">-E6*Assumptions!E18/100</f>
        <v>-2323.2139515</v>
      </c>
      <c r="F17" s="4" t="n">
        <f aca="false">-F6*Assumptions!F18/100</f>
        <v>-2044.42827732</v>
      </c>
      <c r="G17" s="4" t="n">
        <f aca="false">-G6*Assumptions!G18/100</f>
        <v>-1990.5297136452</v>
      </c>
      <c r="H17" s="4" t="n">
        <f aca="false">-H6*Assumptions!H18/100</f>
        <v>-2030.3403079181</v>
      </c>
      <c r="I17" s="4" t="n">
        <f aca="false">-I6*Assumptions!I18/100</f>
        <v>-2070.94711407647</v>
      </c>
      <c r="J17" s="4" t="n">
        <f aca="false">-J6*Assumptions!J18/100</f>
        <v>-2112.366056358</v>
      </c>
      <c r="K17" s="4" t="n">
        <f aca="false">-K6*Assumptions!K18/100</f>
        <v>-2154.61337748516</v>
      </c>
      <c r="L17" s="4" t="n">
        <f aca="false">-L6*Assumptions!L18/100</f>
        <v>-2197.70564503486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-56.03195</v>
      </c>
      <c r="D18" s="4" t="n">
        <f aca="false">(D6-C6)*Assumptions!$B$23/100</f>
        <v>48.704695</v>
      </c>
      <c r="E18" s="4" t="n">
        <f aca="false">(E6-D6)*Assumptions!$B$23/100</f>
        <v>-26.3005353</v>
      </c>
      <c r="F18" s="4" t="n">
        <f aca="false">(F6-E6)*Assumptions!$B$23/100</f>
        <v>-0</v>
      </c>
      <c r="G18" s="4" t="n">
        <f aca="false">(G6-F6)*Assumptions!$B$23/100</f>
        <v>-9.29285580599999</v>
      </c>
      <c r="H18" s="4" t="n">
        <f aca="false">(H6-G6)*Assumptions!$B$23/100</f>
        <v>-9.47871292212003</v>
      </c>
      <c r="I18" s="4" t="n">
        <f aca="false">(I6-H6)*Assumptions!$B$23/100</f>
        <v>-9.6682871805624</v>
      </c>
      <c r="J18" s="4" t="n">
        <f aca="false">(J6-I6)*Assumptions!$B$23/100</f>
        <v>-9.86165292417363</v>
      </c>
      <c r="K18" s="4" t="n">
        <f aca="false">(K6-J6)*Assumptions!$B$23/100</f>
        <v>-10.0588859826571</v>
      </c>
      <c r="L18" s="4" t="n">
        <f aca="false">(L6-K6)*Assumptions!$B$23/100</f>
        <v>-10.2600637023103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-235.2652276</v>
      </c>
      <c r="D19" s="0" t="n">
        <f aca="false">D15+D16+D17+D18</f>
        <v>110.0726107</v>
      </c>
      <c r="E19" s="0" t="n">
        <f aca="false">E15+E16+E17+E18</f>
        <v>600.967231605</v>
      </c>
      <c r="F19" s="0" t="n">
        <f aca="false">F15+F16+F17+F18</f>
        <v>906.053441085</v>
      </c>
      <c r="G19" s="0" t="n">
        <f aca="false">G15+G16+G17+G18</f>
        <v>980.758708909433</v>
      </c>
      <c r="H19" s="0" t="n">
        <f aca="false">H15+H16+H17+H18</f>
        <v>1008.5919271911</v>
      </c>
      <c r="I19" s="0" t="n">
        <f aca="false">I15+I16+I17+I18</f>
        <v>1028.76376573492</v>
      </c>
      <c r="J19" s="0" t="n">
        <f aca="false">J15+J16+J17+J18</f>
        <v>1049.33904104962</v>
      </c>
      <c r="K19" s="0" t="n">
        <f aca="false">K15+K16+K17+K18</f>
        <v>1070.32582187061</v>
      </c>
      <c r="L19" s="0" t="n">
        <f aca="false">L15+L16+L17+L18</f>
        <v>1091.73233830803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-215.839658348624</v>
      </c>
      <c r="D21" s="0" t="n">
        <f aca="false">D19*D20</f>
        <v>92.6459142328084</v>
      </c>
      <c r="E21" s="0" t="n">
        <f aca="false">E19*E20</f>
        <v>464.056968303412</v>
      </c>
      <c r="F21" s="0" t="n">
        <f aca="false">F19*F20</f>
        <v>641.871100236989</v>
      </c>
      <c r="G21" s="0" t="n">
        <f aca="false">G19*G20</f>
        <v>637.425867305683</v>
      </c>
      <c r="H21" s="0" t="n">
        <f aca="false">H19*H20</f>
        <v>601.390412338194</v>
      </c>
      <c r="I21" s="0" t="n">
        <f aca="false">I19*I20</f>
        <v>562.769009710971</v>
      </c>
      <c r="J21" s="0" t="n">
        <f aca="false">J19*J20</f>
        <v>526.627880646963</v>
      </c>
      <c r="K21" s="0" t="n">
        <f aca="false">K19*K20</f>
        <v>492.807741522846</v>
      </c>
      <c r="L21" s="0" t="n">
        <f aca="false">L19*L20</f>
        <v>461.15953793881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4264.91477388805</v>
      </c>
    </row>
    <row r="31" customFormat="false" ht="15" hidden="false" customHeight="false" outlineLevel="0" collapsed="false">
      <c r="A31" s="0" t="s">
        <v>138</v>
      </c>
      <c r="B31" s="0" t="n">
        <f aca="false">L19</f>
        <v>1091.73233830803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15908.0997867741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16375.9850746204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15908.0997867741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6719.75326710838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10984.6680409964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9152.86804099644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701.233670944631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-0.815561896121875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701.233670944631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8565.89988518605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253.203405999078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17</v>
      </c>
      <c r="D5" s="4" t="n">
        <f aca="false">Assumptions!D27</f>
        <v>1</v>
      </c>
      <c r="E5" s="4" t="n">
        <f aca="false">Assumptions!E27</f>
        <v>12</v>
      </c>
      <c r="F5" s="4" t="n">
        <f aca="false">Assumptions!F27</f>
        <v>3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8620.3</v>
      </c>
      <c r="C6" s="0" t="n">
        <f aca="false">B6*(1+C5/100)</f>
        <v>10085.751</v>
      </c>
      <c r="D6" s="0" t="n">
        <f aca="false">C6*(1+D5/100)</f>
        <v>10186.60851</v>
      </c>
      <c r="E6" s="0" t="n">
        <f aca="false">D6*(1+E5/100)</f>
        <v>11409.0015312</v>
      </c>
      <c r="F6" s="0" t="n">
        <f aca="false">E6*(1+F5/100)</f>
        <v>11751.271577136</v>
      </c>
      <c r="G6" s="0" t="n">
        <f aca="false">F6*(1+G5/100)</f>
        <v>12045.0533665644</v>
      </c>
      <c r="H6" s="0" t="n">
        <f aca="false">G6*(1+H5/100)</f>
        <v>12346.1797007285</v>
      </c>
      <c r="I6" s="0" t="n">
        <f aca="false">H6*(1+I5/100)</f>
        <v>12654.8341932467</v>
      </c>
      <c r="J6" s="0" t="n">
        <f aca="false">I6*(1+J5/100)</f>
        <v>12971.2050480779</v>
      </c>
      <c r="K6" s="0" t="n">
        <f aca="false">J6*(1+K5/100)</f>
        <v>13295.4851742798</v>
      </c>
      <c r="L6" s="0" t="n">
        <f aca="false">K6*(1+L5/100)</f>
        <v>13627.8723036368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62</v>
      </c>
      <c r="D7" s="4" t="n">
        <f aca="false">Assumptions!D28</f>
        <v>58</v>
      </c>
      <c r="E7" s="4" t="n">
        <f aca="false">Assumptions!E28</f>
        <v>56</v>
      </c>
      <c r="F7" s="4" t="n">
        <f aca="false">Assumptions!F28</f>
        <v>55</v>
      </c>
      <c r="G7" s="4" t="n">
        <f aca="false">Assumptions!G28</f>
        <v>55</v>
      </c>
      <c r="H7" s="4" t="n">
        <f aca="false">Assumptions!H28</f>
        <v>55</v>
      </c>
      <c r="I7" s="4" t="n">
        <f aca="false">Assumptions!I28</f>
        <v>55</v>
      </c>
      <c r="J7" s="4" t="n">
        <f aca="false">Assumptions!J28</f>
        <v>55</v>
      </c>
      <c r="K7" s="4" t="n">
        <f aca="false">Assumptions!K28</f>
        <v>55</v>
      </c>
      <c r="L7" s="4" t="n">
        <f aca="false">Assumptions!L28</f>
        <v>55</v>
      </c>
    </row>
    <row r="8" customFormat="false" ht="15" hidden="false" customHeight="false" outlineLevel="0" collapsed="false">
      <c r="A8" s="0" t="s">
        <v>44</v>
      </c>
      <c r="C8" s="0" t="n">
        <f aca="false">C6*C7/100</f>
        <v>6253.16562</v>
      </c>
      <c r="D8" s="0" t="n">
        <f aca="false">D6*D7/100</f>
        <v>5908.2329358</v>
      </c>
      <c r="E8" s="0" t="n">
        <f aca="false">E6*E7/100</f>
        <v>6389.040857472</v>
      </c>
      <c r="F8" s="0" t="n">
        <f aca="false">F6*F7/100</f>
        <v>6463.1993674248</v>
      </c>
      <c r="G8" s="0" t="n">
        <f aca="false">G6*G7/100</f>
        <v>6624.77935161042</v>
      </c>
      <c r="H8" s="0" t="n">
        <f aca="false">H6*H7/100</f>
        <v>6790.39883540068</v>
      </c>
      <c r="I8" s="0" t="n">
        <f aca="false">I6*I7/100</f>
        <v>6960.1588062857</v>
      </c>
      <c r="J8" s="0" t="n">
        <f aca="false">J6*J7/100</f>
        <v>7134.16277644284</v>
      </c>
      <c r="K8" s="0" t="n">
        <f aca="false">K6*K7/100</f>
        <v>7312.51684585391</v>
      </c>
      <c r="L8" s="0" t="n">
        <f aca="false">L6*L7/100</f>
        <v>7495.32976700026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6253.16562</v>
      </c>
      <c r="D11" s="0" t="n">
        <f aca="false">D8+D10+D24</f>
        <v>5908.2329358</v>
      </c>
      <c r="E11" s="0" t="n">
        <f aca="false">E8+E10+E24</f>
        <v>6389.040857472</v>
      </c>
      <c r="F11" s="0" t="n">
        <f aca="false">F8+F10+F24</f>
        <v>6463.1993674248</v>
      </c>
      <c r="G11" s="0" t="n">
        <f aca="false">G8+G10+G24</f>
        <v>6624.77935161042</v>
      </c>
      <c r="H11" s="0" t="n">
        <f aca="false">H8+H10+H24</f>
        <v>6790.39883540068</v>
      </c>
      <c r="I11" s="0" t="n">
        <f aca="false">I8+I10+I24</f>
        <v>6960.1588062857</v>
      </c>
      <c r="J11" s="0" t="n">
        <f aca="false">J8+J10+J24</f>
        <v>7134.16277644284</v>
      </c>
      <c r="K11" s="0" t="n">
        <f aca="false">K8+K10+K24</f>
        <v>7312.51684585391</v>
      </c>
      <c r="L11" s="0" t="n">
        <f aca="false">L8+L10+L24</f>
        <v>7495.32976700026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-1563.291405</v>
      </c>
      <c r="D12" s="4" t="n">
        <f aca="false">-D6*Assumptions!D31/100</f>
        <v>-1884.52257435</v>
      </c>
      <c r="E12" s="4" t="n">
        <f aca="false">-E6*Assumptions!E31/100</f>
        <v>-2281.80030624</v>
      </c>
      <c r="F12" s="4" t="n">
        <f aca="false">-F6*Assumptions!F31/100</f>
        <v>-2350.2543154272</v>
      </c>
      <c r="G12" s="4" t="n">
        <f aca="false">-G6*Assumptions!G31/100</f>
        <v>-2409.01067331288</v>
      </c>
      <c r="H12" s="4" t="n">
        <f aca="false">-H6*Assumptions!H31/100</f>
        <v>-2469.2359401457</v>
      </c>
      <c r="I12" s="4" t="n">
        <f aca="false">-I6*Assumptions!I31/100</f>
        <v>-2530.96683864934</v>
      </c>
      <c r="J12" s="4" t="n">
        <f aca="false">-J6*Assumptions!J31/100</f>
        <v>-2594.24100961558</v>
      </c>
      <c r="K12" s="4" t="n">
        <f aca="false">-K6*Assumptions!K31/100</f>
        <v>-2659.09703485597</v>
      </c>
      <c r="L12" s="4" t="n">
        <f aca="false">-L6*Assumptions!L31/100</f>
        <v>-2725.57446072737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4689.874215</v>
      </c>
      <c r="D13" s="0" t="n">
        <f aca="false">D11+D12</f>
        <v>4023.71036145</v>
      </c>
      <c r="E13" s="0" t="n">
        <f aca="false">E11+E12</f>
        <v>4107.240551232</v>
      </c>
      <c r="F13" s="0" t="n">
        <f aca="false">F11+F12</f>
        <v>4112.9450519976</v>
      </c>
      <c r="G13" s="0" t="n">
        <f aca="false">G11+G12</f>
        <v>4215.76867829754</v>
      </c>
      <c r="H13" s="0" t="n">
        <f aca="false">H11+H12</f>
        <v>4321.16289525498</v>
      </c>
      <c r="I13" s="0" t="n">
        <f aca="false">I11+I12</f>
        <v>4429.19196763635</v>
      </c>
      <c r="J13" s="0" t="n">
        <f aca="false">J11+J12</f>
        <v>4539.92176682726</v>
      </c>
      <c r="K13" s="0" t="n">
        <f aca="false">K11+K12</f>
        <v>4653.41981099794</v>
      </c>
      <c r="L13" s="0" t="n">
        <f aca="false">L11+L12</f>
        <v>4769.75530627289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58.4</v>
      </c>
      <c r="D14" s="4" t="n">
        <f aca="false">Assumptions!D33</f>
        <v>58.4</v>
      </c>
      <c r="E14" s="4" t="n">
        <f aca="false">Assumptions!E33</f>
        <v>58.4</v>
      </c>
      <c r="F14" s="4" t="n">
        <f aca="false">Assumptions!F33</f>
        <v>58.4</v>
      </c>
      <c r="G14" s="4" t="n">
        <f aca="false">Assumptions!G33</f>
        <v>58.4</v>
      </c>
      <c r="H14" s="4" t="n">
        <f aca="false">Assumptions!H33</f>
        <v>58.4</v>
      </c>
      <c r="I14" s="4" t="n">
        <f aca="false">Assumptions!I33</f>
        <v>58.4</v>
      </c>
      <c r="J14" s="4" t="n">
        <f aca="false">Assumptions!J33</f>
        <v>58.4</v>
      </c>
      <c r="K14" s="4" t="n">
        <f aca="false">Assumptions!K33</f>
        <v>58.4</v>
      </c>
      <c r="L14" s="4" t="n">
        <f aca="false">Assumptions!L33</f>
        <v>58.4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1950.98767344</v>
      </c>
      <c r="D15" s="0" t="n">
        <f aca="false">D13-MAX(0,D13)*D14/100</f>
        <v>1673.8635103632</v>
      </c>
      <c r="E15" s="0" t="n">
        <f aca="false">E13-MAX(0,E13)*E14/100</f>
        <v>1708.61206931251</v>
      </c>
      <c r="F15" s="0" t="n">
        <f aca="false">F13-MAX(0,F13)*F14/100</f>
        <v>1710.985141631</v>
      </c>
      <c r="G15" s="0" t="n">
        <f aca="false">G13-MAX(0,G13)*G14/100</f>
        <v>1753.75977017178</v>
      </c>
      <c r="H15" s="0" t="n">
        <f aca="false">H13-MAX(0,H13)*H14/100</f>
        <v>1797.60376442607</v>
      </c>
      <c r="I15" s="0" t="n">
        <f aca="false">I13-MAX(0,I13)*I14/100</f>
        <v>1842.54385853672</v>
      </c>
      <c r="J15" s="0" t="n">
        <f aca="false">J13-MAX(0,J13)*J14/100</f>
        <v>1888.60745500014</v>
      </c>
      <c r="K15" s="0" t="n">
        <f aca="false">K13-MAX(0,K13)*K14/100</f>
        <v>1935.82264137514</v>
      </c>
      <c r="L15" s="0" t="n">
        <f aca="false">L13-MAX(0,L13)*L14/100</f>
        <v>1984.21820740952</v>
      </c>
    </row>
    <row r="16" customFormat="false" ht="15" hidden="false" customHeight="false" outlineLevel="0" collapsed="false">
      <c r="A16" s="0" t="s">
        <v>129</v>
      </c>
      <c r="C16" s="0" t="n">
        <f aca="false">-C12</f>
        <v>1563.291405</v>
      </c>
      <c r="D16" s="0" t="n">
        <f aca="false">-D12</f>
        <v>1884.52257435</v>
      </c>
      <c r="E16" s="0" t="n">
        <f aca="false">-E12</f>
        <v>2281.80030624</v>
      </c>
      <c r="F16" s="0" t="n">
        <f aca="false">-F12</f>
        <v>2350.2543154272</v>
      </c>
      <c r="G16" s="0" t="n">
        <f aca="false">-G12</f>
        <v>2409.01067331288</v>
      </c>
      <c r="H16" s="0" t="n">
        <f aca="false">-H12</f>
        <v>2469.2359401457</v>
      </c>
      <c r="I16" s="0" t="n">
        <f aca="false">-I12</f>
        <v>2530.96683864934</v>
      </c>
      <c r="J16" s="0" t="n">
        <f aca="false">-J12</f>
        <v>2594.24100961558</v>
      </c>
      <c r="K16" s="0" t="n">
        <f aca="false">-K12</f>
        <v>2659.09703485597</v>
      </c>
      <c r="L16" s="0" t="n">
        <f aca="false">-L12</f>
        <v>2725.57446072737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-3398.898087</v>
      </c>
      <c r="D17" s="4" t="n">
        <f aca="false">-D6*Assumptions!D32/100</f>
        <v>-2903.18342535</v>
      </c>
      <c r="E17" s="4" t="n">
        <f aca="false">-E6*Assumptions!E32/100</f>
        <v>-2395.890321552</v>
      </c>
      <c r="F17" s="4" t="n">
        <f aca="false">-F6*Assumptions!F32/100</f>
        <v>-2232.74159965584</v>
      </c>
      <c r="G17" s="4" t="n">
        <f aca="false">-G6*Assumptions!G32/100</f>
        <v>-2348.78540648006</v>
      </c>
      <c r="H17" s="4" t="n">
        <f aca="false">-H6*Assumptions!H32/100</f>
        <v>-2469.2359401457</v>
      </c>
      <c r="I17" s="4" t="n">
        <f aca="false">-I6*Assumptions!I32/100</f>
        <v>-2530.96683864934</v>
      </c>
      <c r="J17" s="4" t="n">
        <f aca="false">-J6*Assumptions!J32/100</f>
        <v>-2594.24100961558</v>
      </c>
      <c r="K17" s="4" t="n">
        <f aca="false">-K6*Assumptions!K32/100</f>
        <v>-2659.09703485597</v>
      </c>
      <c r="L17" s="4" t="n">
        <f aca="false">-L6*Assumptions!L32/100</f>
        <v>-2725.57446072737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-73.27255</v>
      </c>
      <c r="D18" s="4" t="n">
        <f aca="false">(D6-C6)*Assumptions!$B$37/100</f>
        <v>-5.04287549999999</v>
      </c>
      <c r="E18" s="4" t="n">
        <f aca="false">(E6-D6)*Assumptions!$B$37/100</f>
        <v>-61.1196510600001</v>
      </c>
      <c r="F18" s="4" t="n">
        <f aca="false">(F6-E6)*Assumptions!$B$37/100</f>
        <v>-17.1135022968</v>
      </c>
      <c r="G18" s="4" t="n">
        <f aca="false">(G6-F6)*Assumptions!$B$37/100</f>
        <v>-14.68908947142</v>
      </c>
      <c r="H18" s="4" t="n">
        <f aca="false">(H6-G6)*Assumptions!$B$37/100</f>
        <v>-15.0563167082055</v>
      </c>
      <c r="I18" s="4" t="n">
        <f aca="false">(I6-H6)*Assumptions!$B$37/100</f>
        <v>-15.4327246259106</v>
      </c>
      <c r="J18" s="4" t="n">
        <f aca="false">(J6-I6)*Assumptions!$B$37/100</f>
        <v>-15.8185427415583</v>
      </c>
      <c r="K18" s="4" t="n">
        <f aca="false">(K6-J6)*Assumptions!$B$37/100</f>
        <v>-16.2140063100973</v>
      </c>
      <c r="L18" s="4" t="n">
        <f aca="false">(L6-K6)*Assumptions!$B$37/100</f>
        <v>-16.6193564678498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42.1084414399995</v>
      </c>
      <c r="D19" s="0" t="n">
        <f aca="false">D15+D16+D17+D18</f>
        <v>650.1597838632</v>
      </c>
      <c r="E19" s="0" t="n">
        <f aca="false">E15+E16+E17+E18</f>
        <v>1533.40240294051</v>
      </c>
      <c r="F19" s="0" t="n">
        <f aca="false">F15+F16+F17+F18</f>
        <v>1811.38435510556</v>
      </c>
      <c r="G19" s="0" t="n">
        <f aca="false">G15+G16+G17+G18</f>
        <v>1799.29594753318</v>
      </c>
      <c r="H19" s="0" t="n">
        <f aca="false">H15+H16+H17+H18</f>
        <v>1782.54744771787</v>
      </c>
      <c r="I19" s="0" t="n">
        <f aca="false">I15+I16+I17+I18</f>
        <v>1827.11113391081</v>
      </c>
      <c r="J19" s="0" t="n">
        <f aca="false">J15+J16+J17+J18</f>
        <v>1872.78891225858</v>
      </c>
      <c r="K19" s="0" t="n">
        <f aca="false">K15+K16+K17+K18</f>
        <v>1919.60863506505</v>
      </c>
      <c r="L19" s="0" t="n">
        <f aca="false">L15+L16+L17+L18</f>
        <v>1967.59885094167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38.6315976513757</v>
      </c>
      <c r="D21" s="0" t="n">
        <f aca="false">D19*D20</f>
        <v>547.226482504167</v>
      </c>
      <c r="E21" s="0" t="n">
        <f aca="false">E19*E20</f>
        <v>1184.0680038366</v>
      </c>
      <c r="F21" s="0" t="n">
        <f aca="false">F19*F20</f>
        <v>1283.23034408585</v>
      </c>
      <c r="G21" s="0" t="n">
        <f aca="false">G19*G20</f>
        <v>1169.41890954123</v>
      </c>
      <c r="H21" s="0" t="n">
        <f aca="false">H19*H20</f>
        <v>1062.8748016861</v>
      </c>
      <c r="I21" s="0" t="n">
        <f aca="false">I19*I20</f>
        <v>999.492359383718</v>
      </c>
      <c r="J21" s="0" t="n">
        <f aca="false">J19*J20</f>
        <v>939.889604007625</v>
      </c>
      <c r="K21" s="0" t="n">
        <f aca="false">K19*K20</f>
        <v>883.841141383317</v>
      </c>
      <c r="L21" s="0" t="n">
        <f aca="false">L19*L20</f>
        <v>831.135018273302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8939.80826235329</v>
      </c>
    </row>
    <row r="31" customFormat="false" ht="15" hidden="false" customHeight="false" outlineLevel="0" collapsed="false">
      <c r="A31" s="0" t="s">
        <v>138</v>
      </c>
      <c r="B31" s="0" t="n">
        <f aca="false">L19</f>
        <v>1967.59885094167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31027.5203417725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29513.9827641251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29513.9827641251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12467.0252740995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21406.8335364528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19575.0335364528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1499.71272000735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-0.605546365069083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1499.71272000735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16134.3105777217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668.440093470215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21</v>
      </c>
      <c r="D5" s="4" t="n">
        <f aca="false">Assumptions!D41</f>
        <v>5</v>
      </c>
      <c r="E5" s="4" t="n">
        <f aca="false">Assumptions!E41</f>
        <v>14</v>
      </c>
      <c r="F5" s="4" t="n">
        <f aca="false">Assumptions!F41</f>
        <v>5</v>
      </c>
      <c r="G5" s="4" t="n">
        <f aca="false">Assumptions!G41</f>
        <v>3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8620.3</v>
      </c>
      <c r="C6" s="0" t="n">
        <f aca="false">B6*(1+C5/100)</f>
        <v>10430.563</v>
      </c>
      <c r="D6" s="0" t="n">
        <f aca="false">C6*(1+D5/100)</f>
        <v>10952.09115</v>
      </c>
      <c r="E6" s="0" t="n">
        <f aca="false">D6*(1+E5/100)</f>
        <v>12485.383911</v>
      </c>
      <c r="F6" s="0" t="n">
        <f aca="false">E6*(1+F5/100)</f>
        <v>13109.65310655</v>
      </c>
      <c r="G6" s="0" t="n">
        <f aca="false">F6*(1+G5/100)</f>
        <v>13502.9426997465</v>
      </c>
      <c r="H6" s="0" t="n">
        <f aca="false">G6*(1+H5/100)</f>
        <v>13908.0309807389</v>
      </c>
      <c r="I6" s="0" t="n">
        <f aca="false">H6*(1+I5/100)</f>
        <v>14325.2719101611</v>
      </c>
      <c r="J6" s="0" t="n">
        <f aca="false">I6*(1+J5/100)</f>
        <v>14683.4037079151</v>
      </c>
      <c r="K6" s="0" t="n">
        <f aca="false">J6*(1+K5/100)</f>
        <v>15050.488800613</v>
      </c>
      <c r="L6" s="0" t="n">
        <f aca="false">K6*(1+L5/100)</f>
        <v>15426.7510206283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63.5</v>
      </c>
      <c r="D7" s="4" t="n">
        <f aca="false">Assumptions!D42</f>
        <v>61</v>
      </c>
      <c r="E7" s="4" t="n">
        <f aca="false">Assumptions!E42</f>
        <v>60</v>
      </c>
      <c r="F7" s="4" t="n">
        <f aca="false">Assumptions!F42</f>
        <v>60</v>
      </c>
      <c r="G7" s="4" t="n">
        <f aca="false">Assumptions!G42</f>
        <v>60</v>
      </c>
      <c r="H7" s="4" t="n">
        <f aca="false">Assumptions!H42</f>
        <v>59</v>
      </c>
      <c r="I7" s="4" t="n">
        <f aca="false">Assumptions!I42</f>
        <v>59</v>
      </c>
      <c r="J7" s="4" t="n">
        <f aca="false">Assumptions!J42</f>
        <v>58</v>
      </c>
      <c r="K7" s="4" t="n">
        <f aca="false">Assumptions!K42</f>
        <v>58</v>
      </c>
      <c r="L7" s="4" t="n">
        <f aca="false">Assumptions!L42</f>
        <v>58</v>
      </c>
    </row>
    <row r="8" customFormat="false" ht="15" hidden="false" customHeight="false" outlineLevel="0" collapsed="false">
      <c r="A8" s="0" t="s">
        <v>44</v>
      </c>
      <c r="C8" s="0" t="n">
        <f aca="false">C6*C7/100</f>
        <v>6623.407505</v>
      </c>
      <c r="D8" s="0" t="n">
        <f aca="false">D6*D7/100</f>
        <v>6680.7756015</v>
      </c>
      <c r="E8" s="0" t="n">
        <f aca="false">E6*E7/100</f>
        <v>7491.2303466</v>
      </c>
      <c r="F8" s="0" t="n">
        <f aca="false">F6*F7/100</f>
        <v>7865.79186393</v>
      </c>
      <c r="G8" s="0" t="n">
        <f aca="false">G6*G7/100</f>
        <v>8101.7656198479</v>
      </c>
      <c r="H8" s="0" t="n">
        <f aca="false">H6*H7/100</f>
        <v>8205.73827863595</v>
      </c>
      <c r="I8" s="0" t="n">
        <f aca="false">I6*I7/100</f>
        <v>8451.91042699503</v>
      </c>
      <c r="J8" s="0" t="n">
        <f aca="false">J6*J7/100</f>
        <v>8516.37415059075</v>
      </c>
      <c r="K8" s="0" t="n">
        <f aca="false">K6*K7/100</f>
        <v>8729.28350435552</v>
      </c>
      <c r="L8" s="0" t="n">
        <f aca="false">L6*L7/100</f>
        <v>8947.51559196441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6623.407505</v>
      </c>
      <c r="D11" s="0" t="n">
        <f aca="false">D8+D10+D24</f>
        <v>6680.7756015</v>
      </c>
      <c r="E11" s="0" t="n">
        <f aca="false">E8+E10+E24</f>
        <v>7491.2303466</v>
      </c>
      <c r="F11" s="0" t="n">
        <f aca="false">F8+F10+F24</f>
        <v>7865.79186393</v>
      </c>
      <c r="G11" s="0" t="n">
        <f aca="false">G8+G10+G24</f>
        <v>8101.7656198479</v>
      </c>
      <c r="H11" s="0" t="n">
        <f aca="false">H8+H10+H24</f>
        <v>8205.73827863595</v>
      </c>
      <c r="I11" s="0" t="n">
        <f aca="false">I8+I10+I24</f>
        <v>8451.91042699503</v>
      </c>
      <c r="J11" s="0" t="n">
        <f aca="false">J8+J10+J24</f>
        <v>8516.37415059075</v>
      </c>
      <c r="K11" s="0" t="n">
        <f aca="false">K8+K10+K24</f>
        <v>8729.28350435552</v>
      </c>
      <c r="L11" s="0" t="n">
        <f aca="false">L8+L10+L24</f>
        <v>8947.51559196441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-1564.58445</v>
      </c>
      <c r="D12" s="4" t="n">
        <f aca="false">-D6*Assumptions!D45/100</f>
        <v>-1971.376407</v>
      </c>
      <c r="E12" s="4" t="n">
        <f aca="false">-E6*Assumptions!E45/100</f>
        <v>-2372.22294309</v>
      </c>
      <c r="F12" s="4" t="n">
        <f aca="false">-F6*Assumptions!F45/100</f>
        <v>-2556.38235577725</v>
      </c>
      <c r="G12" s="4" t="n">
        <f aca="false">-G6*Assumptions!G45/100</f>
        <v>-2633.07382645057</v>
      </c>
      <c r="H12" s="4" t="n">
        <f aca="false">-H6*Assumptions!H45/100</f>
        <v>-2712.06604124408</v>
      </c>
      <c r="I12" s="4" t="n">
        <f aca="false">-I6*Assumptions!I45/100</f>
        <v>-2793.42802248141</v>
      </c>
      <c r="J12" s="4" t="n">
        <f aca="false">-J6*Assumptions!J45/100</f>
        <v>-2863.26372304344</v>
      </c>
      <c r="K12" s="4" t="n">
        <f aca="false">-K6*Assumptions!K45/100</f>
        <v>-2934.84531611953</v>
      </c>
      <c r="L12" s="4" t="n">
        <f aca="false">-L6*Assumptions!L45/100</f>
        <v>-3008.21644902252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5058.823055</v>
      </c>
      <c r="D13" s="0" t="n">
        <f aca="false">D11+D12</f>
        <v>4709.3991945</v>
      </c>
      <c r="E13" s="0" t="n">
        <f aca="false">E11+E12</f>
        <v>5119.00740351</v>
      </c>
      <c r="F13" s="0" t="n">
        <f aca="false">F11+F12</f>
        <v>5309.40950815275</v>
      </c>
      <c r="G13" s="0" t="n">
        <f aca="false">G11+G12</f>
        <v>5468.69179339733</v>
      </c>
      <c r="H13" s="0" t="n">
        <f aca="false">H11+H12</f>
        <v>5493.67223739186</v>
      </c>
      <c r="I13" s="0" t="n">
        <f aca="false">I11+I12</f>
        <v>5658.48240451362</v>
      </c>
      <c r="J13" s="0" t="n">
        <f aca="false">J11+J12</f>
        <v>5653.11042754731</v>
      </c>
      <c r="K13" s="0" t="n">
        <f aca="false">K11+K12</f>
        <v>5794.43818823599</v>
      </c>
      <c r="L13" s="0" t="n">
        <f aca="false">L11+L12</f>
        <v>5939.29914294189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57.1</v>
      </c>
      <c r="D14" s="4" t="n">
        <f aca="false">Assumptions!D47</f>
        <v>57.1</v>
      </c>
      <c r="E14" s="4" t="n">
        <f aca="false">Assumptions!E47</f>
        <v>57.1</v>
      </c>
      <c r="F14" s="4" t="n">
        <f aca="false">Assumptions!F47</f>
        <v>57.1</v>
      </c>
      <c r="G14" s="4" t="n">
        <f aca="false">Assumptions!G47</f>
        <v>57.1</v>
      </c>
      <c r="H14" s="4" t="n">
        <f aca="false">Assumptions!H47</f>
        <v>57.1</v>
      </c>
      <c r="I14" s="4" t="n">
        <f aca="false">Assumptions!I47</f>
        <v>57.1</v>
      </c>
      <c r="J14" s="4" t="n">
        <f aca="false">Assumptions!J47</f>
        <v>57.1</v>
      </c>
      <c r="K14" s="4" t="n">
        <f aca="false">Assumptions!K47</f>
        <v>57.1</v>
      </c>
      <c r="L14" s="4" t="n">
        <f aca="false">Assumptions!L47</f>
        <v>57.1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2170.235090595</v>
      </c>
      <c r="D15" s="0" t="n">
        <f aca="false">D13-MAX(0,D13)*D14/100</f>
        <v>2020.3322544405</v>
      </c>
      <c r="E15" s="0" t="n">
        <f aca="false">E13-MAX(0,E13)*E14/100</f>
        <v>2196.05417610579</v>
      </c>
      <c r="F15" s="0" t="n">
        <f aca="false">F13-MAX(0,F13)*F14/100</f>
        <v>2277.73667899753</v>
      </c>
      <c r="G15" s="0" t="n">
        <f aca="false">G13-MAX(0,G13)*G14/100</f>
        <v>2346.06877936746</v>
      </c>
      <c r="H15" s="0" t="n">
        <f aca="false">H13-MAX(0,H13)*H14/100</f>
        <v>2356.78538984111</v>
      </c>
      <c r="I15" s="0" t="n">
        <f aca="false">I13-MAX(0,I13)*I14/100</f>
        <v>2427.48895153634</v>
      </c>
      <c r="J15" s="0" t="n">
        <f aca="false">J13-MAX(0,J13)*J14/100</f>
        <v>2425.1843734178</v>
      </c>
      <c r="K15" s="0" t="n">
        <f aca="false">K13-MAX(0,K13)*K14/100</f>
        <v>2485.81398275324</v>
      </c>
      <c r="L15" s="0" t="n">
        <f aca="false">L13-MAX(0,L13)*L14/100</f>
        <v>2547.95933232207</v>
      </c>
    </row>
    <row r="16" customFormat="false" ht="15" hidden="false" customHeight="false" outlineLevel="0" collapsed="false">
      <c r="A16" s="0" t="s">
        <v>129</v>
      </c>
      <c r="C16" s="0" t="n">
        <f aca="false">-C12</f>
        <v>1564.58445</v>
      </c>
      <c r="D16" s="0" t="n">
        <f aca="false">-D12</f>
        <v>1971.376407</v>
      </c>
      <c r="E16" s="0" t="n">
        <f aca="false">-E12</f>
        <v>2372.22294309</v>
      </c>
      <c r="F16" s="0" t="n">
        <f aca="false">-F12</f>
        <v>2556.38235577725</v>
      </c>
      <c r="G16" s="0" t="n">
        <f aca="false">-G12</f>
        <v>2633.07382645057</v>
      </c>
      <c r="H16" s="0" t="n">
        <f aca="false">-H12</f>
        <v>2712.06604124408</v>
      </c>
      <c r="I16" s="0" t="n">
        <f aca="false">-I12</f>
        <v>2793.42802248141</v>
      </c>
      <c r="J16" s="0" t="n">
        <f aca="false">-J12</f>
        <v>2863.26372304344</v>
      </c>
      <c r="K16" s="0" t="n">
        <f aca="false">-K12</f>
        <v>2934.84531611953</v>
      </c>
      <c r="L16" s="0" t="n">
        <f aca="false">-L12</f>
        <v>3008.21644902252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-3337.78016</v>
      </c>
      <c r="D17" s="4" t="n">
        <f aca="false">-D6*Assumptions!D46/100</f>
        <v>-2847.543699</v>
      </c>
      <c r="E17" s="4" t="n">
        <f aca="false">-E6*Assumptions!E46/100</f>
        <v>-2372.22294309</v>
      </c>
      <c r="F17" s="4" t="n">
        <f aca="false">-F6*Assumptions!F46/100</f>
        <v>-2359.737559179</v>
      </c>
      <c r="G17" s="4" t="n">
        <f aca="false">-G6*Assumptions!G46/100</f>
        <v>-2430.52968595437</v>
      </c>
      <c r="H17" s="4" t="n">
        <f aca="false">-H6*Assumptions!H46/100</f>
        <v>-2572.9857314367</v>
      </c>
      <c r="I17" s="4" t="n">
        <f aca="false">-I6*Assumptions!I46/100</f>
        <v>-2721.8016629306</v>
      </c>
      <c r="J17" s="4" t="n">
        <f aca="false">-J6*Assumptions!J46/100</f>
        <v>-2789.84670450387</v>
      </c>
      <c r="K17" s="4" t="n">
        <f aca="false">-K6*Assumptions!K46/100</f>
        <v>-2859.59287211646</v>
      </c>
      <c r="L17" s="4" t="n">
        <f aca="false">-L6*Assumptions!L46/100</f>
        <v>-2931.08269391937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-90.51315</v>
      </c>
      <c r="D18" s="4" t="n">
        <f aca="false">(D6-C6)*Assumptions!$B$51/100</f>
        <v>-26.0764075</v>
      </c>
      <c r="E18" s="4" t="n">
        <f aca="false">(E6-D6)*Assumptions!$B$51/100</f>
        <v>-76.66463805</v>
      </c>
      <c r="F18" s="4" t="n">
        <f aca="false">(F6-E6)*Assumptions!$B$51/100</f>
        <v>-31.2134597775001</v>
      </c>
      <c r="G18" s="4" t="n">
        <f aca="false">(G6-F6)*Assumptions!$B$51/100</f>
        <v>-19.664479659825</v>
      </c>
      <c r="H18" s="4" t="n">
        <f aca="false">(H6-G6)*Assumptions!$B$51/100</f>
        <v>-20.2544140496198</v>
      </c>
      <c r="I18" s="4" t="n">
        <f aca="false">(I6-H6)*Assumptions!$B$51/100</f>
        <v>-20.8620464711084</v>
      </c>
      <c r="J18" s="4" t="n">
        <f aca="false">(J6-I6)*Assumptions!$B$51/100</f>
        <v>-17.9065898877013</v>
      </c>
      <c r="K18" s="4" t="n">
        <f aca="false">(K6-J6)*Assumptions!$B$51/100</f>
        <v>-18.3542546348938</v>
      </c>
      <c r="L18" s="4" t="n">
        <f aca="false">(L6-K6)*Assumptions!$B$51/100</f>
        <v>-18.8131110007661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306.526230595</v>
      </c>
      <c r="D19" s="0" t="n">
        <f aca="false">D15+D16+D17+D18</f>
        <v>1118.0885549405</v>
      </c>
      <c r="E19" s="0" t="n">
        <f aca="false">E15+E16+E17+E18</f>
        <v>2119.38953805579</v>
      </c>
      <c r="F19" s="0" t="n">
        <f aca="false">F15+F16+F17+F18</f>
        <v>2443.16801581828</v>
      </c>
      <c r="G19" s="0" t="n">
        <f aca="false">G15+G16+G17+G18</f>
        <v>2528.94844020383</v>
      </c>
      <c r="H19" s="0" t="n">
        <f aca="false">H15+H16+H17+H18</f>
        <v>2475.61128559888</v>
      </c>
      <c r="I19" s="0" t="n">
        <f aca="false">I15+I16+I17+I18</f>
        <v>2478.25326461604</v>
      </c>
      <c r="J19" s="0" t="n">
        <f aca="false">J15+J16+J17+J18</f>
        <v>2480.69480206967</v>
      </c>
      <c r="K19" s="0" t="n">
        <f aca="false">K15+K16+K17+K18</f>
        <v>2542.71217212141</v>
      </c>
      <c r="L19" s="0" t="n">
        <f aca="false">L15+L16+L17+L18</f>
        <v>2606.27997642445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281.216725316514</v>
      </c>
      <c r="D21" s="0" t="n">
        <f aca="false">D19*D20</f>
        <v>941.072767393737</v>
      </c>
      <c r="E21" s="0" t="n">
        <f aca="false">E19*E20</f>
        <v>1636.55758910093</v>
      </c>
      <c r="F21" s="0" t="n">
        <f aca="false">F19*F20</f>
        <v>1730.8018172738</v>
      </c>
      <c r="G21" s="0" t="n">
        <f aca="false">G19*G20</f>
        <v>1643.64296561871</v>
      </c>
      <c r="H21" s="0" t="n">
        <f aca="false">H19*H20</f>
        <v>1476.12612365606</v>
      </c>
      <c r="I21" s="0" t="n">
        <f aca="false">I19*I20</f>
        <v>1355.68940313972</v>
      </c>
      <c r="J21" s="0" t="n">
        <f aca="false">J19*J20</f>
        <v>1244.97707131828</v>
      </c>
      <c r="K21" s="0" t="n">
        <f aca="false">K19*K20</f>
        <v>1170.73531935893</v>
      </c>
      <c r="L21" s="0" t="n">
        <f aca="false">L19*L20</f>
        <v>1100.92082783753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12581.7406100142</v>
      </c>
    </row>
    <row r="31" customFormat="false" ht="15" hidden="false" customHeight="false" outlineLevel="0" collapsed="false">
      <c r="A31" s="0" t="s">
        <v>138</v>
      </c>
      <c r="B31" s="0" t="n">
        <f aca="false">L19</f>
        <v>2606.27997642445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44741.1395952863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39094.1996463667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39094.1996463667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16513.8124175629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29095.5530275771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27263.7530275771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2088.77277959471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-0.450612104262307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2088.77277959471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22370.5697976432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998.850269529397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701.233670944631</v>
      </c>
      <c r="C4" s="0" t="n">
        <f aca="false">B4/Assumptions!$B$2-1</f>
        <v>-0.815561896121875</v>
      </c>
      <c r="D4" s="4" t="n">
        <f aca="false">Assumptions!$B$24</f>
        <v>0.25</v>
      </c>
      <c r="E4" s="4" t="n">
        <f aca="false">DCF_Bear!$B$43</f>
        <v>701.233670944631</v>
      </c>
      <c r="F4" s="4" t="n">
        <f aca="false">DCF_Bear!$B$47</f>
        <v>253.203405999078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1499.71272000735</v>
      </c>
      <c r="C5" s="0" t="n">
        <f aca="false">B5/Assumptions!$B$2-1</f>
        <v>-0.605546365069083</v>
      </c>
      <c r="D5" s="4" t="n">
        <f aca="false">Assumptions!$B$38</f>
        <v>0.5</v>
      </c>
      <c r="E5" s="4" t="n">
        <f aca="false">DCF_Base!$B$43</f>
        <v>1499.71272000735</v>
      </c>
      <c r="F5" s="4" t="n">
        <f aca="false">DCF_Base!$B$47</f>
        <v>668.440093470215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2088.77277959471</v>
      </c>
      <c r="C6" s="0" t="n">
        <f aca="false">B6/Assumptions!$B$2-1</f>
        <v>-0.450612104262307</v>
      </c>
      <c r="D6" s="4" t="n">
        <f aca="false">Assumptions!$B$52</f>
        <v>0.25</v>
      </c>
      <c r="E6" s="4" t="n">
        <f aca="false">DCF_Bull!$B$43</f>
        <v>2088.77277959471</v>
      </c>
      <c r="F6" s="4" t="n">
        <f aca="false">DCF_Bull!$B$47</f>
        <v>998.850269529397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1447.35797263851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1447.35797263851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-1.62685532665359</v>
      </c>
    </row>
    <row r="11" customFormat="false" ht="15" hidden="false" customHeight="false" outlineLevel="0" collapsed="false">
      <c r="A11" s="0" t="s">
        <v>165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647.233465617226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1499.71272000735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1303.03662878751</v>
      </c>
      <c r="C16" s="3" t="n">
        <v>10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1115.60007185104</v>
      </c>
      <c r="C17" s="3" t="n">
        <v>11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967.988027798495</v>
      </c>
      <c r="C18" s="3" t="n">
        <v>12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668.440093470215</v>
      </c>
      <c r="C19" s="3" t="n">
        <v>15</v>
      </c>
    </row>
    <row r="21" customFormat="false" ht="15" hidden="false" customHeight="false" outlineLevel="0" collapsed="false">
      <c r="A21" s="2" t="s">
        <v>174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1774.00890646396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1774.00890646396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1774.00890646396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1774.00890646396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1774.00890646396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1630.44483908344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1630.44483908344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1630.44483908344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1630.44483908344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1630.44483908344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1406.32095937242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1472.42291982182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1499.71272000735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1499.71272000735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1499.71272000735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1202.75352547277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1249.76123015155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1303.03662878751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1363.92279865717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1380.52811771253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1042.62193350647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1077.08383216919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1115.60007185104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1158.93084149313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1208.0390470875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2026-10-04T12:42:26Z</dcterms:created>
  <dc:creator>openpyxl</dc:creator>
  <dc:description/>
  <dc:language>en-NZ</dc:language>
  <cp:lastModifiedBy/>
  <dcterms:modified xsi:type="dcterms:W3CDTF">2026-10-04T12:42:26Z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