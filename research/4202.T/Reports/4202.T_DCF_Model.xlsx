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<sst xmlns="http://schemas.openxmlformats.org/spreadsheetml/2006/main" count="370" uniqueCount="171">
  <si>
    <t xml:space="preserve">Ticker</t>
  </si>
  <si>
    <t xml:space="preserve">4202.T</t>
  </si>
  <si>
    <t xml:space="preserve">Company</t>
  </si>
  <si>
    <t xml:space="preserve">Daicel Corporation</t>
  </si>
  <si>
    <t xml:space="preserve">Valuation date</t>
  </si>
  <si>
    <t xml:space="preserve">2026-10-31</t>
  </si>
  <si>
    <t xml:space="preserve">Current price</t>
  </si>
  <si>
    <t xml:space="preserve">Price as of</t>
  </si>
  <si>
    <t xml:space="preserve">2026-10-30T06:30:00Z (TSE regular close, Friday 30 Oct 2026)</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</si>
  <si>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</si>
  <si>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</si>
  <si>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</si>
  <si>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</si>
  <si>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</si>
  <si>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</si>
  <si>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</si>
  <si>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</si>
  <si>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</si>
  <si>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</si>
  <si>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</si>
  <si>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</si>
  <si>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2026-10-31T01:14:27Z</t>
  </si>
  <si>
    <t xml:space="preserve">Drivers file</t>
  </si>
  <si>
    <t xml:space="preserve">4202.T_Drivers.json</t>
  </si>
  <si>
    <t xml:space="preserve">Convention</t>
  </si>
  <si>
    <t xml:space="preserve">Percents stored as percents; formulas divide by 100. Blue = input, green = link, black = formula.</t>
  </si>
  <si>
    <t xml:space="preserve">Methodology</t>
  </si>
  <si>
    <t xml:space="preserve">summary: Value Daicel on what an owner can take out after the capex programme, not on the P/E the market quotes. FY2026 earnings are impairment-depressed, but the DCF starts above that line (EBITDA) so the impairment matters only as evidence on execution. The honest picture is a leveraged, moderately cyclical chemicals group whose free cash flow has been consumed by five years of Polyplastics/COC investment and a 39%-of-sales working-capital base; the equity is worth what it is because capex is guided to fall by a third and margins to recover. The terminal is capped at 12-16x FCF so the valuation does not depend on a re-rating, and risk is charged once -- in the scenario flows and weights, not by stacking a premium on the JPY-built WACC.
key_risks_to_valuation: Capex path: every 1pp of revenue that capex stays above the modelled 8% long-run level removes roughly JPY6-7bn/yr of owner FCF, around a fifth of the base terminal cash flow; Accelerate 2030 is a JPY250bn envelope that management is already 'reviewing'.; Leverage amplifies everything: with JPY238bn of net debt, a 1pp swing in long-run EBITDA margin moves equity value by roughly 15-20% in the base case, and the bear case leaves little equity residual.; Margin recovery to 16.5% relies on Safety's margin tripling and COC's loss closing; both are management targets, not contracted outcomes, and the growth-driver EBITDA target was cut from +50% to +30% within days of being announced.; Yen: guidance assumes JPY150/USD; a return toward JPY130 would compress JPY-reported sales and margins (overseas plants in Germany, the US, China and India).; Structural decline of acetate tow (tobacco) and Chinese overcapacity in acetyl/POM may run faster than the modest revenue path assumes.; Working capital: inventories are 32% of revenue; the model assumes no release, but a further build (as in Q1 FY2027, +JPY12.5bn) would push FCF back toward zero.; Equity bridge items (investment securities JPY45bn after tax, NCI JPY15.5bn) together are ~JPY115/share and are taken at balance-sheet values.</t>
  </si>
  <si>
    <t xml:space="preserve">Data sources</t>
  </si>
  <si>
    <t xml:space="preserve">price: Yahoo Finance chart API at inputs.price_as_of; 52-week range 1112.5-1658.0 JPY
financials: 4202.T_Metrics.csv (core_metrics, millions JPY) for FY2015-FY2026 and Q1 FY2027; FY2026 tanshin (4202.T_Annual_FY2026.txt) for the cash-flow components, share counts and restricted-stock expense; Q1 FY2027 tanshin (4202.T_Quarterly_Q1-2027.txt) for the 2026-06-30 balance sheet and share count; Q1 FY2027 presentation for FY2027 guidance by segment and the capex/D&amp;A forecast (JPY63.5bn / JPY44.0bn); Materials segment briefing 2026-08-21 for the Accelerate 2030 capital-investment envelope (JPY80bn + 115bn + 55bn).
qualitative: 4202.T_Analysis.json (2026-10-31): segment mix, Accelerate 2030 targets, bull/bear axes, risk register.</t>
  </si>
  <si>
    <t xml:space="preserve">Scenario narrative: bear</t>
  </si>
  <si>
    <t xml:space="preserve">Yen strength, an auto downturn and Chinese overcapacity arrive together: revenue stalls for two years and the EBITDA margin sits at the 13.5-14% FY2020-21 trough; capex stays near JPY60bn as COC and CO-plant remediation continue; working capital keeps consuming cash. FCF hovers at JPY0-15bn for most of the decade and the terminal is capped at 12x. Because net debt is JPY238bn (2.8x FY2026 EBITDA), the equity residual approaches zero in this path even though the company is not insolvent (interest cover ~13x on JPY2.9bn of interest paid).</t>
  </si>
  <si>
    <t xml:space="preserve">Scenario narrative: base</t>
  </si>
  <si>
    <t xml:space="preserve">Daicel is a diversified chemicals group whose value now rests on three things: engineering plastics (HPP, 44% of sales) growing with AI-server, EV and medical content; Safety (airbag inflators) lifting its margin from ~6% toward management's 15% target on China/India volume and productivity; and the Materials segment (acetate tow, acetyl chain) managing a structural decline against Chinese capacity. Base assumes revenue grows 2.5-3.5% in a stable-yen world, the EBITDA margin recovers from the FY2026-27 trough (14.6%) to 16.5% -- the 10-year average less a haircut, crediting about half of the Accelerate 2030 self-help -- and capex falls from JPY63.5bn (FY2027 guidance) to ~8% of revenue (~1.05x D&amp;A) by FY2031, slightly above the plan's ~JPY47bn/yr run-rate. Owner FCF therefore climbs from ~JPY6bn in FY2027 to ~JPY30bn+ by FY2031; the first five years of this decade produce little cash and most of the value is in the terminal, which is capped at 15x FCF (Gordon at 7%/1.5% would allow ~18.5x). Working capital at 39% of revenue is assumed to keep absorbing cash as the business grows.</t>
  </si>
  <si>
    <t xml:space="preserve">Scenario narrative: bull</t>
  </si>
  <si>
    <t xml:space="preserve">Accelerate 2030 is delivered: HPP EBITDA hits JPY45bn by FY2028 and keeps compounding on AI-server LCP/PPS and EV PBT/PPS wins; Safety reaches a 15% operating margin and 30% inflator share by FY2030; COC turns to breakeven as EU PPWR packaging demand arrives; capex settles at the plan's ~JPY47bn/yr with no overruns; the inventory-reduction programme limits working-capital drag. EBITDA margin returns to the 18% of FY2017-2018 and revenue compounds 5-6% for several years. Terminal cap 16x with 2.0%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</si>
  <si>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</si>
  <si>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</si>
  <si>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</si>
  <si>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</si>
  <si>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</si>
  <si>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</si>
  <si>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</si>
  <si>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</si>
  <si>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</si>
  <si>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</si>
  <si>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</si>
  <si>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</si>
  <si>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</si>
  <si>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</si>
  <si>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</si>
  <si>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</si>
  <si>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</si>
  <si>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</si>
  <si>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</si>
  <si>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</si>
  <si>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</si>
  <si>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</si>
  <si>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</si>
  <si>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</si>
  <si>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</si>
  <si>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</si>
  <si>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</si>
  <si>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</si>
  <si>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</si>
  <si>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SegmentOperatingProfitOther</t>
  </si>
  <si>
    <t xml:space="preserve">SegmentRevenueOther</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</si>
  <si>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</si>
  <si>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</si>
  <si>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</si>
  <si>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</si>
  <si>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</si>
  <si>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</si>
  <si>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</si>
  <si>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</si>
  <si>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</si>
  <si>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</si>
  <si>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</si>
  <si>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</si>
  <si>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</si>
  <si>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</si>
  <si>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</si>
  <si>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</si>
  <si>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</si>
  <si>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</si>
  <si>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</si>
  <si>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</si>
  <si>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</si>
  <si>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</si>
  <si>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</si>
  <si>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</si>
  <si>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</si>
  <si>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</si>
  <si>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</si>
  <si>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</si>
  <si>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</si>
  <si>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</si>
  <si>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</si>
  <si>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</si>
  <si>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</si>
  <si>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</si>
  <si>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</si>
  <si>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</si>
  <si>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</si>
  <si>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</si>
  <si>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</si>
  <si>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</si>
  <si>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</si>
  <si>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</si>
  <si>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</si>
  <si>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</si>
  <si>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</si>
  <si>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</si>
  <si>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</si>
  <si>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</si>
  <si>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</si>
  <si>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4202.T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</si>
  <si>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</si>
  <si>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</si>
  <si>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</si>
  <si>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</si>
  <si>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</si>
  <si>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</si>
  <si>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</si>
  <si>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</si>
  <si>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</si>
  <si>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</si>
  <si>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</si>
  <si>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</si>
  <si>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</si>
  <si>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</si>
  <si>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</si>
  <si>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</si>
  <si>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</si>
  <si>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</si>
  <si>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</si>
  <si>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</si>
  <si>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</si>
  <si>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</si>
  <si>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</si>
  <si>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</si>
  <si>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</si>
  <si>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</si>
  <si>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</si>
  <si>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</si>
  <si>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</si>
  <si>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</si>
  <si>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4202.T owner-FCF component DCF: base case (millions, JPY)</t>
  </si>
  <si>
    <t xml:space="preserve">4202.T owner-FCF component DCF: bull case (millions, JPY)</t>
  </si>
  <si>
    <t xml:space="preserve">4202.T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</si>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</sst>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1453.5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443775</v>
      </c>
      <c r="C2" s="0" t="n">
        <v>327628</v>
      </c>
      <c r="D2" s="0" t="n">
        <v>116147</v>
      </c>
      <c r="E2" s="0" t="n">
        <v>26.2</v>
      </c>
      <c r="F2" s="0" t="n">
        <v>51303</v>
      </c>
      <c r="G2" s="0" t="n">
        <v>11.6</v>
      </c>
      <c r="H2" s="0" t="n">
        <v>75823</v>
      </c>
      <c r="I2" s="0" t="n">
        <v>31252</v>
      </c>
      <c r="J2" s="0" t="n">
        <v>7</v>
      </c>
      <c r="K2" s="0" t="n">
        <v>88.95</v>
      </c>
      <c r="L2" s="0" t="n">
        <v>57412</v>
      </c>
      <c r="M2" s="0" t="n">
        <v>29629</v>
      </c>
      <c r="N2" s="0" t="n">
        <v>27783</v>
      </c>
      <c r="O2" s="0" t="n">
        <v>324167</v>
      </c>
      <c r="P2" s="0" t="n">
        <v>565332</v>
      </c>
      <c r="Q2" s="0" t="n">
        <v>209154</v>
      </c>
      <c r="R2" s="0" t="n">
        <v>86954</v>
      </c>
      <c r="S2" s="0" t="n">
        <v>66737</v>
      </c>
      <c r="T2" s="0" t="n">
        <v>351.33</v>
      </c>
      <c r="AA2" s="0" t="s">
        <v>17</v>
      </c>
      <c r="AB2" s="0" t="s">
        <v>14</v>
      </c>
      <c r="AC2" s="0" t="n">
        <v>569</v>
      </c>
      <c r="AD2" s="0" t="n">
        <v>29060</v>
      </c>
    </row>
    <row r="3" customFormat="false" ht="15" hidden="false" customHeight="false" outlineLevel="0" collapsed="false">
      <c r="A3" s="0" t="s">
        <v>68</v>
      </c>
      <c r="B3" s="0" t="n">
        <v>449878</v>
      </c>
      <c r="C3" s="0" t="n">
        <v>316049</v>
      </c>
      <c r="D3" s="0" t="n">
        <v>133829</v>
      </c>
      <c r="E3" s="0" t="n">
        <v>29.7</v>
      </c>
      <c r="F3" s="0" t="n">
        <v>64349</v>
      </c>
      <c r="G3" s="0" t="n">
        <v>14.3</v>
      </c>
      <c r="H3" s="0" t="n">
        <v>89307</v>
      </c>
      <c r="I3" s="0" t="n">
        <v>40313</v>
      </c>
      <c r="J3" s="0" t="n">
        <v>9</v>
      </c>
      <c r="K3" s="0" t="n">
        <v>115.02</v>
      </c>
      <c r="L3" s="0" t="n">
        <v>65419</v>
      </c>
      <c r="M3" s="0" t="n">
        <v>35850</v>
      </c>
      <c r="N3" s="0" t="n">
        <v>29569</v>
      </c>
      <c r="O3" s="0" t="n">
        <v>337424</v>
      </c>
      <c r="P3" s="0" t="n">
        <v>560190</v>
      </c>
      <c r="Q3" s="0" t="n">
        <v>191469</v>
      </c>
      <c r="R3" s="0" t="n">
        <v>71266</v>
      </c>
      <c r="S3" s="0" t="n">
        <v>65237</v>
      </c>
      <c r="T3" s="0" t="n">
        <v>350.5</v>
      </c>
      <c r="AA3" s="0" t="s">
        <v>17</v>
      </c>
      <c r="AB3" s="0" t="s">
        <v>14</v>
      </c>
      <c r="AC3" s="0" t="n">
        <v>1156</v>
      </c>
      <c r="AD3" s="0" t="n">
        <v>34694</v>
      </c>
    </row>
    <row r="4" customFormat="false" ht="15" hidden="false" customHeight="false" outlineLevel="0" collapsed="false">
      <c r="A4" s="0" t="s">
        <v>69</v>
      </c>
      <c r="B4" s="0" t="n">
        <v>440061</v>
      </c>
      <c r="C4" s="0" t="n">
        <v>303229</v>
      </c>
      <c r="D4" s="0" t="n">
        <v>136832</v>
      </c>
      <c r="E4" s="0" t="n">
        <v>31.1</v>
      </c>
      <c r="F4" s="0" t="n">
        <v>64306</v>
      </c>
      <c r="G4" s="0" t="n">
        <v>14.6</v>
      </c>
      <c r="H4" s="0" t="n">
        <v>94232</v>
      </c>
      <c r="I4" s="0" t="n">
        <v>43198</v>
      </c>
      <c r="J4" s="0" t="n">
        <v>9.8</v>
      </c>
      <c r="K4" s="0" t="n">
        <v>124.61</v>
      </c>
      <c r="L4" s="0" t="n">
        <v>86168</v>
      </c>
      <c r="M4" s="0" t="n">
        <v>38013</v>
      </c>
      <c r="N4" s="0" t="n">
        <v>48155</v>
      </c>
      <c r="O4" s="0" t="n">
        <v>369620</v>
      </c>
      <c r="P4" s="0" t="n">
        <v>599708</v>
      </c>
      <c r="Q4" s="0" t="n">
        <v>200278</v>
      </c>
      <c r="R4" s="0" t="n">
        <v>72284</v>
      </c>
      <c r="S4" s="0" t="n">
        <v>96275</v>
      </c>
      <c r="T4" s="0" t="n">
        <v>346.66</v>
      </c>
      <c r="AA4" s="0" t="s">
        <v>17</v>
      </c>
      <c r="AB4" s="0" t="s">
        <v>14</v>
      </c>
      <c r="AC4" s="0" t="n">
        <v>812</v>
      </c>
      <c r="AD4" s="0" t="n">
        <v>37201</v>
      </c>
    </row>
    <row r="5" customFormat="false" ht="15" hidden="false" customHeight="false" outlineLevel="0" collapsed="false">
      <c r="A5" s="0" t="s">
        <v>70</v>
      </c>
      <c r="B5" s="0" t="n">
        <v>462956</v>
      </c>
      <c r="C5" s="0" t="n">
        <v>325754</v>
      </c>
      <c r="D5" s="0" t="n">
        <v>137201</v>
      </c>
      <c r="E5" s="0" t="n">
        <v>29.6</v>
      </c>
      <c r="F5" s="0" t="n">
        <v>58932</v>
      </c>
      <c r="G5" s="0" t="n">
        <v>12.7</v>
      </c>
      <c r="H5" s="0" t="n">
        <v>91161</v>
      </c>
      <c r="I5" s="0" t="n">
        <v>37062</v>
      </c>
      <c r="J5" s="0" t="n">
        <v>8</v>
      </c>
      <c r="K5" s="0" t="n">
        <v>107.81</v>
      </c>
      <c r="L5" s="0" t="n">
        <v>66888</v>
      </c>
      <c r="M5" s="0" t="n">
        <v>33432</v>
      </c>
      <c r="N5" s="0" t="n">
        <v>33456</v>
      </c>
      <c r="O5" s="0" t="n">
        <v>384876</v>
      </c>
      <c r="P5" s="0" t="n">
        <v>644078</v>
      </c>
      <c r="Q5" s="0" t="n">
        <v>230536</v>
      </c>
      <c r="R5" s="0" t="n">
        <v>99734</v>
      </c>
      <c r="S5" s="0" t="n">
        <v>128290</v>
      </c>
      <c r="T5" s="0" t="n">
        <v>343.76</v>
      </c>
      <c r="AA5" s="0" t="s">
        <v>17</v>
      </c>
      <c r="AB5" s="0" t="s">
        <v>14</v>
      </c>
      <c r="AC5" s="0" t="n">
        <v>1322</v>
      </c>
      <c r="AD5" s="0" t="n">
        <v>32110</v>
      </c>
    </row>
    <row r="6" customFormat="false" ht="15" hidden="false" customHeight="false" outlineLevel="0" collapsed="false">
      <c r="A6" s="0" t="s">
        <v>71</v>
      </c>
      <c r="B6" s="0" t="n">
        <v>464859</v>
      </c>
      <c r="C6" s="0" t="n">
        <v>331086</v>
      </c>
      <c r="D6" s="0" t="n">
        <v>133773</v>
      </c>
      <c r="E6" s="0" t="n">
        <v>28.8</v>
      </c>
      <c r="F6" s="0" t="n">
        <v>51171</v>
      </c>
      <c r="G6" s="0" t="n">
        <v>11</v>
      </c>
      <c r="H6" s="0" t="n">
        <v>81613</v>
      </c>
      <c r="I6" s="0" t="n">
        <v>35301</v>
      </c>
      <c r="J6" s="0" t="n">
        <v>7.6</v>
      </c>
      <c r="K6" s="0" t="n">
        <v>105.38</v>
      </c>
      <c r="L6" s="0" t="n">
        <v>58523</v>
      </c>
      <c r="M6" s="0" t="n">
        <v>43579</v>
      </c>
      <c r="N6" s="0" t="n">
        <v>14944</v>
      </c>
      <c r="O6" s="0" t="n">
        <v>393597</v>
      </c>
      <c r="P6" s="0" t="n">
        <v>654791</v>
      </c>
      <c r="Q6" s="0" t="n">
        <v>231547</v>
      </c>
      <c r="R6" s="0" t="n">
        <v>104293</v>
      </c>
      <c r="S6" s="0" t="n">
        <v>120016</v>
      </c>
      <c r="T6" s="0" t="n">
        <v>334.99</v>
      </c>
      <c r="AA6" s="0" t="s">
        <v>17</v>
      </c>
      <c r="AB6" s="0" t="s">
        <v>14</v>
      </c>
      <c r="AC6" s="0" t="n">
        <v>1932</v>
      </c>
      <c r="AD6" s="0" t="n">
        <v>41647</v>
      </c>
      <c r="AE6" s="0" t="n">
        <v>589</v>
      </c>
      <c r="AF6" s="0" t="n">
        <v>8364</v>
      </c>
    </row>
    <row r="7" customFormat="false" ht="15" hidden="false" customHeight="false" outlineLevel="0" collapsed="false">
      <c r="A7" s="0" t="s">
        <v>72</v>
      </c>
      <c r="B7" s="0" t="n">
        <v>412826</v>
      </c>
      <c r="C7" s="0" t="n">
        <v>301774</v>
      </c>
      <c r="D7" s="0" t="n">
        <v>111051</v>
      </c>
      <c r="E7" s="0" t="n">
        <v>26.9</v>
      </c>
      <c r="F7" s="0" t="n">
        <v>29644</v>
      </c>
      <c r="G7" s="0" t="n">
        <v>7.2</v>
      </c>
      <c r="H7" s="0" t="n">
        <v>59040</v>
      </c>
      <c r="I7" s="0" t="n">
        <v>4978</v>
      </c>
      <c r="J7" s="0" t="n">
        <v>1.2</v>
      </c>
      <c r="K7" s="0" t="n">
        <v>15.49</v>
      </c>
      <c r="L7" s="0" t="n">
        <v>57193</v>
      </c>
      <c r="M7" s="0" t="n">
        <v>46313</v>
      </c>
      <c r="N7" s="0" t="n">
        <v>10880</v>
      </c>
      <c r="O7" s="0" t="n">
        <v>362545</v>
      </c>
      <c r="P7" s="0" t="n">
        <v>597992</v>
      </c>
      <c r="Q7" s="0" t="n">
        <v>205408</v>
      </c>
      <c r="R7" s="0" t="n">
        <v>89438</v>
      </c>
      <c r="S7" s="0" t="n">
        <v>80674</v>
      </c>
      <c r="T7" s="0" t="n">
        <v>321.39</v>
      </c>
      <c r="AA7" s="0" t="s">
        <v>17</v>
      </c>
      <c r="AB7" s="0" t="s">
        <v>14</v>
      </c>
      <c r="AC7" s="0" t="n">
        <v>2186</v>
      </c>
      <c r="AD7" s="0" t="n">
        <v>44127</v>
      </c>
      <c r="AE7" s="0" t="n">
        <v>370</v>
      </c>
      <c r="AF7" s="0" t="n">
        <v>9884</v>
      </c>
    </row>
    <row r="8" customFormat="false" ht="15" hidden="false" customHeight="false" outlineLevel="0" collapsed="false">
      <c r="A8" s="0" t="s">
        <v>73</v>
      </c>
      <c r="B8" s="0" t="n">
        <v>393568</v>
      </c>
      <c r="C8" s="0" t="n">
        <v>282136</v>
      </c>
      <c r="D8" s="0" t="n">
        <v>111431</v>
      </c>
      <c r="E8" s="0" t="n">
        <v>28.3</v>
      </c>
      <c r="F8" s="0" t="n">
        <v>31723</v>
      </c>
      <c r="G8" s="0" t="n">
        <v>8.1</v>
      </c>
      <c r="H8" s="0" t="n">
        <v>58046</v>
      </c>
      <c r="I8" s="0" t="n">
        <v>19713</v>
      </c>
      <c r="J8" s="0" t="n">
        <v>5</v>
      </c>
      <c r="K8" s="0" t="n">
        <v>65.18</v>
      </c>
      <c r="L8" s="0" t="n">
        <v>57869</v>
      </c>
      <c r="M8" s="0" t="n">
        <v>36789</v>
      </c>
      <c r="N8" s="0" t="n">
        <v>21080</v>
      </c>
      <c r="O8" s="0" t="n">
        <v>237852</v>
      </c>
      <c r="P8" s="0" t="n">
        <v>640385</v>
      </c>
      <c r="Q8" s="0" t="n">
        <v>395384</v>
      </c>
      <c r="R8" s="0" t="n">
        <v>267598</v>
      </c>
      <c r="S8" s="0" t="n">
        <v>90747</v>
      </c>
      <c r="T8" s="0" t="n">
        <v>302.45</v>
      </c>
      <c r="AA8" s="0" t="s">
        <v>17</v>
      </c>
      <c r="AB8" s="0" t="s">
        <v>14</v>
      </c>
      <c r="AC8" s="0" t="n">
        <v>2091</v>
      </c>
      <c r="AD8" s="0" t="n">
        <v>34698</v>
      </c>
    </row>
    <row r="9" customFormat="false" ht="15" hidden="false" customHeight="false" outlineLevel="0" collapsed="false">
      <c r="A9" s="0" t="s">
        <v>74</v>
      </c>
      <c r="B9" s="0" t="n">
        <v>467937</v>
      </c>
      <c r="C9" s="0" t="n">
        <v>329329</v>
      </c>
      <c r="D9" s="0" t="n">
        <v>138607</v>
      </c>
      <c r="E9" s="0" t="n">
        <v>29.6</v>
      </c>
      <c r="F9" s="0" t="n">
        <v>50697</v>
      </c>
      <c r="G9" s="0" t="n">
        <v>10.8</v>
      </c>
      <c r="H9" s="0" t="n">
        <v>78187</v>
      </c>
      <c r="I9" s="0" t="n">
        <v>31254</v>
      </c>
      <c r="J9" s="0" t="n">
        <v>6.7</v>
      </c>
      <c r="K9" s="0" t="n">
        <v>104.14</v>
      </c>
      <c r="L9" s="0" t="n">
        <v>42993</v>
      </c>
      <c r="M9" s="0" t="n">
        <v>47471</v>
      </c>
      <c r="N9" s="0" t="n">
        <v>-4478</v>
      </c>
      <c r="O9" s="0" t="n">
        <v>272017</v>
      </c>
      <c r="P9" s="0" t="n">
        <v>698836</v>
      </c>
      <c r="Q9" s="0" t="n">
        <v>419292</v>
      </c>
      <c r="R9" s="0" t="n">
        <v>270499</v>
      </c>
      <c r="S9" s="0" t="n">
        <v>87986</v>
      </c>
      <c r="T9" s="0" t="n">
        <v>300.12</v>
      </c>
      <c r="AA9" s="0" t="s">
        <v>17</v>
      </c>
      <c r="AB9" s="0" t="s">
        <v>14</v>
      </c>
      <c r="AC9" s="0" t="n">
        <v>3977</v>
      </c>
      <c r="AD9" s="0" t="n">
        <v>43494</v>
      </c>
      <c r="AE9" s="0" t="n">
        <v>1766</v>
      </c>
      <c r="AF9" s="0" t="n">
        <v>11409</v>
      </c>
    </row>
    <row r="10" customFormat="false" ht="15" hidden="false" customHeight="false" outlineLevel="0" collapsed="false">
      <c r="A10" s="0" t="s">
        <v>75</v>
      </c>
      <c r="B10" s="0" t="n">
        <v>538026</v>
      </c>
      <c r="C10" s="0" t="n">
        <v>392214</v>
      </c>
      <c r="D10" s="0" t="n">
        <v>145811</v>
      </c>
      <c r="E10" s="0" t="n">
        <v>27.1</v>
      </c>
      <c r="F10" s="0" t="n">
        <v>47508</v>
      </c>
      <c r="G10" s="0" t="n">
        <v>8.8</v>
      </c>
      <c r="H10" s="0" t="n">
        <v>79024</v>
      </c>
      <c r="I10" s="0" t="n">
        <v>40682</v>
      </c>
      <c r="J10" s="0" t="n">
        <v>7.6</v>
      </c>
      <c r="K10" s="0" t="n">
        <v>138.87</v>
      </c>
      <c r="L10" s="0" t="n">
        <v>26847</v>
      </c>
      <c r="M10" s="0" t="n">
        <v>51923</v>
      </c>
      <c r="N10" s="0" t="n">
        <v>-25076</v>
      </c>
      <c r="O10" s="0" t="n">
        <v>295209</v>
      </c>
      <c r="P10" s="0" t="n">
        <v>765606</v>
      </c>
      <c r="Q10" s="0" t="n">
        <v>455170</v>
      </c>
      <c r="R10" s="0" t="n">
        <v>317832</v>
      </c>
      <c r="S10" s="0" t="n">
        <v>93493</v>
      </c>
      <c r="T10" s="0" t="n">
        <v>292.96</v>
      </c>
      <c r="AA10" s="0" t="s">
        <v>17</v>
      </c>
      <c r="AB10" s="0" t="s">
        <v>14</v>
      </c>
      <c r="AC10" s="0" t="n">
        <v>4537</v>
      </c>
      <c r="AD10" s="0" t="n">
        <v>47386</v>
      </c>
      <c r="AE10" s="0" t="n">
        <v>347</v>
      </c>
      <c r="AF10" s="0" t="n">
        <v>9051</v>
      </c>
    </row>
    <row r="11" customFormat="false" ht="15" hidden="false" customHeight="false" outlineLevel="0" collapsed="false">
      <c r="A11" s="0" t="s">
        <v>76</v>
      </c>
      <c r="B11" s="0" t="n">
        <v>558056</v>
      </c>
      <c r="C11" s="0" t="n">
        <v>398776</v>
      </c>
      <c r="D11" s="0" t="n">
        <v>159280</v>
      </c>
      <c r="E11" s="0" t="n">
        <v>28.5</v>
      </c>
      <c r="F11" s="0" t="n">
        <v>62393</v>
      </c>
      <c r="G11" s="0" t="n">
        <v>11.2</v>
      </c>
      <c r="H11" s="0" t="n">
        <v>96037</v>
      </c>
      <c r="I11" s="0" t="n">
        <v>55834</v>
      </c>
      <c r="J11" s="0" t="n">
        <v>10</v>
      </c>
      <c r="K11" s="0" t="n">
        <v>197.56</v>
      </c>
      <c r="L11" s="0" t="n">
        <v>76729</v>
      </c>
      <c r="M11" s="0" t="n">
        <v>69208</v>
      </c>
      <c r="N11" s="0" t="n">
        <v>7521</v>
      </c>
      <c r="O11" s="0" t="n">
        <v>358896</v>
      </c>
      <c r="P11" s="0" t="n">
        <v>839169</v>
      </c>
      <c r="Q11" s="0" t="n">
        <v>464308</v>
      </c>
      <c r="R11" s="0" t="n">
        <v>299790</v>
      </c>
      <c r="S11" s="0" t="n">
        <v>68408</v>
      </c>
      <c r="T11" s="0" t="n">
        <v>282.62</v>
      </c>
      <c r="AA11" s="0" t="s">
        <v>17</v>
      </c>
      <c r="AB11" s="0" t="s">
        <v>14</v>
      </c>
      <c r="AC11" s="0" t="n">
        <v>3590</v>
      </c>
      <c r="AD11" s="0" t="n">
        <v>65618</v>
      </c>
      <c r="AE11" s="0" t="n">
        <v>422</v>
      </c>
      <c r="AF11" s="0" t="n">
        <v>5676</v>
      </c>
    </row>
    <row r="12" customFormat="false" ht="15" hidden="false" customHeight="false" outlineLevel="0" collapsed="false">
      <c r="A12" s="0" t="s">
        <v>77</v>
      </c>
      <c r="B12" s="0" t="n">
        <v>586531</v>
      </c>
      <c r="C12" s="0" t="n">
        <v>421785</v>
      </c>
      <c r="D12" s="0" t="n">
        <v>164746</v>
      </c>
      <c r="E12" s="0" t="n">
        <v>28.1</v>
      </c>
      <c r="F12" s="0" t="n">
        <v>61011</v>
      </c>
      <c r="G12" s="0" t="n">
        <v>10.4</v>
      </c>
      <c r="H12" s="0" t="n">
        <v>102366</v>
      </c>
      <c r="I12" s="0" t="n">
        <v>49480</v>
      </c>
      <c r="J12" s="0" t="n">
        <v>8.4</v>
      </c>
      <c r="K12" s="0" t="n">
        <v>181.44</v>
      </c>
      <c r="L12" s="0" t="n">
        <v>93406</v>
      </c>
      <c r="M12" s="0" t="n">
        <v>72342</v>
      </c>
      <c r="N12" s="0" t="n">
        <v>21064</v>
      </c>
      <c r="O12" s="0" t="n">
        <v>359984</v>
      </c>
      <c r="P12" s="0" t="n">
        <v>813831</v>
      </c>
      <c r="Q12" s="0" t="n">
        <v>438794</v>
      </c>
      <c r="R12" s="0" t="n">
        <v>280919</v>
      </c>
      <c r="S12" s="0" t="n">
        <v>64767</v>
      </c>
      <c r="T12" s="0" t="n">
        <v>272.71</v>
      </c>
      <c r="AA12" s="0" t="s">
        <v>17</v>
      </c>
      <c r="AB12" s="0" t="s">
        <v>14</v>
      </c>
      <c r="AC12" s="0" t="n">
        <v>2379</v>
      </c>
      <c r="AD12" s="0" t="n">
        <v>69963</v>
      </c>
      <c r="AE12" s="0" t="n">
        <v>965</v>
      </c>
      <c r="AF12" s="0" t="n">
        <v>5767</v>
      </c>
    </row>
    <row r="13" customFormat="false" ht="15" hidden="false" customHeight="false" outlineLevel="0" collapsed="false">
      <c r="A13" s="0" t="s">
        <v>78</v>
      </c>
      <c r="B13" s="0" t="n">
        <v>579629</v>
      </c>
      <c r="C13" s="0" t="n">
        <v>433340</v>
      </c>
      <c r="D13" s="0" t="n">
        <v>146288</v>
      </c>
      <c r="E13" s="0" t="n">
        <v>25.2</v>
      </c>
      <c r="F13" s="0" t="n">
        <v>42069</v>
      </c>
      <c r="G13" s="0" t="n">
        <v>7.3</v>
      </c>
      <c r="H13" s="0" t="n">
        <v>85395</v>
      </c>
      <c r="I13" s="0" t="n">
        <v>10180</v>
      </c>
      <c r="J13" s="0" t="n">
        <v>1.8</v>
      </c>
      <c r="K13" s="0" t="n">
        <v>38.75</v>
      </c>
      <c r="L13" s="0" t="n">
        <v>67838</v>
      </c>
      <c r="M13" s="0" t="n">
        <v>68016</v>
      </c>
      <c r="N13" s="0" t="n">
        <v>-178</v>
      </c>
      <c r="O13" s="0" t="n">
        <v>355599</v>
      </c>
      <c r="P13" s="0" t="n">
        <v>833929</v>
      </c>
      <c r="Q13" s="0" t="n">
        <v>463549</v>
      </c>
      <c r="R13" s="0" t="n">
        <v>304251</v>
      </c>
      <c r="S13" s="0" t="n">
        <v>66830</v>
      </c>
      <c r="T13" s="0" t="n">
        <v>262.75</v>
      </c>
      <c r="AA13" s="0" t="s">
        <v>17</v>
      </c>
      <c r="AB13" s="0" t="s">
        <v>14</v>
      </c>
      <c r="AC13" s="0" t="n">
        <v>2689</v>
      </c>
      <c r="AD13" s="0" t="n">
        <v>65327</v>
      </c>
      <c r="AE13" s="0" t="n">
        <v>904</v>
      </c>
      <c r="AF13" s="0" t="n">
        <v>5448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1453.5</v>
      </c>
    </row>
    <row r="3" customFormat="false" ht="15" hidden="false" customHeight="false" outlineLevel="0" collapsed="false">
      <c r="A3" s="0" t="s">
        <v>82</v>
      </c>
      <c r="B3" s="3" t="n">
        <v>255.393</v>
      </c>
    </row>
    <row r="4" customFormat="false" ht="15" hidden="false" customHeight="false" outlineLevel="0" collapsed="false">
      <c r="A4" s="0" t="s">
        <v>83</v>
      </c>
      <c r="B4" s="3" t="n">
        <v>237741</v>
      </c>
    </row>
    <row r="5" customFormat="false" ht="15" hidden="false" customHeight="false" outlineLevel="0" collapsed="false">
      <c r="A5" s="0" t="s">
        <v>84</v>
      </c>
      <c r="B5" s="3" t="n">
        <v>29522</v>
      </c>
    </row>
    <row r="6" customFormat="false" ht="15" hidden="false" customHeight="false" outlineLevel="0" collapsed="false">
      <c r="A6" s="0" t="s">
        <v>85</v>
      </c>
      <c r="B6" s="3" t="n">
        <v>15</v>
      </c>
    </row>
    <row r="7" customFormat="false" ht="15" hidden="false" customHeight="false" outlineLevel="0" collapsed="false">
      <c r="A7" s="0" t="s">
        <v>86</v>
      </c>
      <c r="B7" s="3" t="n">
        <v>579629</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0</v>
      </c>
      <c r="D13" s="3" t="n">
        <v>0</v>
      </c>
      <c r="E13" s="3" t="n">
        <v>1</v>
      </c>
      <c r="F13" s="3" t="n">
        <v>1</v>
      </c>
      <c r="G13" s="3" t="n">
        <v>1.5</v>
      </c>
      <c r="H13" s="3" t="n">
        <v>1.5</v>
      </c>
      <c r="I13" s="3" t="n">
        <v>1.5</v>
      </c>
      <c r="J13" s="3" t="n">
        <v>1.5</v>
      </c>
      <c r="K13" s="3" t="n">
        <v>1.5</v>
      </c>
      <c r="L13" s="3" t="n">
        <v>1.5</v>
      </c>
    </row>
    <row r="14" customFormat="false" ht="15" hidden="false" customHeight="false" outlineLevel="0" collapsed="false">
      <c r="A14" s="0" t="s">
        <v>103</v>
      </c>
      <c r="C14" s="3" t="n">
        <v>14</v>
      </c>
      <c r="D14" s="3" t="n">
        <v>13.5</v>
      </c>
      <c r="E14" s="3" t="n">
        <v>13.5</v>
      </c>
      <c r="F14" s="3" t="n">
        <v>14</v>
      </c>
      <c r="G14" s="3" t="n">
        <v>14</v>
      </c>
      <c r="H14" s="3" t="n">
        <v>14</v>
      </c>
      <c r="I14" s="3" t="n">
        <v>14</v>
      </c>
      <c r="J14" s="3" t="n">
        <v>14</v>
      </c>
      <c r="K14" s="3" t="n">
        <v>14</v>
      </c>
      <c r="L14" s="3" t="n">
        <v>14</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0.28</v>
      </c>
      <c r="D16" s="3" t="n">
        <v>0.28</v>
      </c>
      <c r="E16" s="3" t="n">
        <v>0.28</v>
      </c>
      <c r="F16" s="3" t="n">
        <v>0.28</v>
      </c>
      <c r="G16" s="3" t="n">
        <v>0.28</v>
      </c>
      <c r="H16" s="3" t="n">
        <v>0.28</v>
      </c>
      <c r="I16" s="3" t="n">
        <v>0.28</v>
      </c>
      <c r="J16" s="3" t="n">
        <v>0.28</v>
      </c>
      <c r="K16" s="3" t="n">
        <v>0.28</v>
      </c>
      <c r="L16" s="3" t="n">
        <v>0.28</v>
      </c>
    </row>
    <row r="17" customFormat="false" ht="15" hidden="false" customHeight="false" outlineLevel="0" collapsed="false">
      <c r="A17" s="0" t="s">
        <v>106</v>
      </c>
      <c r="C17" s="3" t="n">
        <v>7.5</v>
      </c>
      <c r="D17" s="3" t="n">
        <v>7.5</v>
      </c>
      <c r="E17" s="3" t="n">
        <v>7.5</v>
      </c>
      <c r="F17" s="3" t="n">
        <v>7.5</v>
      </c>
      <c r="G17" s="3" t="n">
        <v>7.5</v>
      </c>
      <c r="H17" s="3" t="n">
        <v>7.5</v>
      </c>
      <c r="I17" s="3" t="n">
        <v>7.5</v>
      </c>
      <c r="J17" s="3" t="n">
        <v>7.5</v>
      </c>
      <c r="K17" s="3" t="n">
        <v>7.5</v>
      </c>
      <c r="L17" s="3" t="n">
        <v>7.5</v>
      </c>
    </row>
    <row r="18" customFormat="false" ht="15" hidden="false" customHeight="false" outlineLevel="0" collapsed="false">
      <c r="A18" s="0" t="s">
        <v>107</v>
      </c>
      <c r="C18" s="3" t="n">
        <v>10.7</v>
      </c>
      <c r="D18" s="3" t="n">
        <v>10</v>
      </c>
      <c r="E18" s="3" t="n">
        <v>9.5</v>
      </c>
      <c r="F18" s="3" t="n">
        <v>9</v>
      </c>
      <c r="G18" s="3" t="n">
        <v>8.5</v>
      </c>
      <c r="H18" s="3" t="n">
        <v>8</v>
      </c>
      <c r="I18" s="3" t="n">
        <v>8</v>
      </c>
      <c r="J18" s="3" t="n">
        <v>8</v>
      </c>
      <c r="K18" s="3" t="n">
        <v>8</v>
      </c>
      <c r="L18" s="3" t="n">
        <v>8</v>
      </c>
    </row>
    <row r="19" customFormat="false" ht="15" hidden="false" customHeight="false" outlineLevel="0" collapsed="false">
      <c r="A19" s="0" t="s">
        <v>108</v>
      </c>
      <c r="C19" s="3" t="n">
        <v>31</v>
      </c>
      <c r="D19" s="3" t="n">
        <v>31</v>
      </c>
      <c r="E19" s="3" t="n">
        <v>31</v>
      </c>
      <c r="F19" s="3" t="n">
        <v>31</v>
      </c>
      <c r="G19" s="3" t="n">
        <v>31</v>
      </c>
      <c r="H19" s="3" t="n">
        <v>31</v>
      </c>
      <c r="I19" s="3" t="n">
        <v>31</v>
      </c>
      <c r="J19" s="3" t="n">
        <v>31</v>
      </c>
      <c r="K19" s="3" t="n">
        <v>31</v>
      </c>
      <c r="L19" s="3" t="n">
        <v>31</v>
      </c>
    </row>
    <row r="20" customFormat="false" ht="15" hidden="false" customHeight="false" outlineLevel="0" collapsed="false">
      <c r="A20" s="0" t="s">
        <v>109</v>
      </c>
      <c r="B20" s="3" t="n">
        <v>7</v>
      </c>
    </row>
    <row r="21" customFormat="false" ht="15" hidden="false" customHeight="false" outlineLevel="0" collapsed="false">
      <c r="A21" s="0" t="s">
        <v>110</v>
      </c>
      <c r="B21" s="3" t="n">
        <v>1</v>
      </c>
    </row>
    <row r="22" customFormat="false" ht="15" hidden="false" customHeight="false" outlineLevel="0" collapsed="false">
      <c r="A22" s="0" t="s">
        <v>111</v>
      </c>
      <c r="B22" s="3" t="n">
        <v>12</v>
      </c>
    </row>
    <row r="23" customFormat="false" ht="15" hidden="false" customHeight="false" outlineLevel="0" collapsed="false">
      <c r="A23" s="0" t="s">
        <v>112</v>
      </c>
      <c r="B23" s="3" t="n">
        <v>-25</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2.7</v>
      </c>
      <c r="D27" s="3" t="n">
        <v>3.5</v>
      </c>
      <c r="E27" s="3" t="n">
        <v>3.5</v>
      </c>
      <c r="F27" s="3" t="n">
        <v>3</v>
      </c>
      <c r="G27" s="3" t="n">
        <v>3</v>
      </c>
      <c r="H27" s="3" t="n">
        <v>2.5</v>
      </c>
      <c r="I27" s="3" t="n">
        <v>2.5</v>
      </c>
      <c r="J27" s="3" t="n">
        <v>2</v>
      </c>
      <c r="K27" s="3" t="n">
        <v>2</v>
      </c>
      <c r="L27" s="3" t="n">
        <v>2</v>
      </c>
    </row>
    <row r="28" customFormat="false" ht="15" hidden="false" customHeight="false" outlineLevel="0" collapsed="false">
      <c r="A28" s="0" t="s">
        <v>103</v>
      </c>
      <c r="C28" s="3" t="n">
        <v>14.6</v>
      </c>
      <c r="D28" s="3" t="n">
        <v>15.2</v>
      </c>
      <c r="E28" s="3" t="n">
        <v>15.8</v>
      </c>
      <c r="F28" s="3" t="n">
        <v>16.2</v>
      </c>
      <c r="G28" s="3" t="n">
        <v>16.5</v>
      </c>
      <c r="H28" s="3" t="n">
        <v>16.5</v>
      </c>
      <c r="I28" s="3" t="n">
        <v>16.5</v>
      </c>
      <c r="J28" s="3" t="n">
        <v>16.5</v>
      </c>
      <c r="K28" s="3" t="n">
        <v>16.5</v>
      </c>
      <c r="L28" s="3" t="n">
        <v>16.5</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0.28</v>
      </c>
      <c r="D30" s="3" t="n">
        <v>0.28</v>
      </c>
      <c r="E30" s="3" t="n">
        <v>0.28</v>
      </c>
      <c r="F30" s="3" t="n">
        <v>0.28</v>
      </c>
      <c r="G30" s="3" t="n">
        <v>0.28</v>
      </c>
      <c r="H30" s="3" t="n">
        <v>0.28</v>
      </c>
      <c r="I30" s="3" t="n">
        <v>0.28</v>
      </c>
      <c r="J30" s="3" t="n">
        <v>0.28</v>
      </c>
      <c r="K30" s="3" t="n">
        <v>0.28</v>
      </c>
      <c r="L30" s="3" t="n">
        <v>0.28</v>
      </c>
    </row>
    <row r="31" customFormat="false" ht="15" hidden="false" customHeight="false" outlineLevel="0" collapsed="false">
      <c r="A31" s="0" t="s">
        <v>106</v>
      </c>
      <c r="C31" s="3" t="n">
        <v>7.4</v>
      </c>
      <c r="D31" s="3" t="n">
        <v>7.4</v>
      </c>
      <c r="E31" s="3" t="n">
        <v>7.5</v>
      </c>
      <c r="F31" s="3" t="n">
        <v>7.5</v>
      </c>
      <c r="G31" s="3" t="n">
        <v>7.5</v>
      </c>
      <c r="H31" s="3" t="n">
        <v>7.6</v>
      </c>
      <c r="I31" s="3" t="n">
        <v>7.6</v>
      </c>
      <c r="J31" s="3" t="n">
        <v>7.6</v>
      </c>
      <c r="K31" s="3" t="n">
        <v>7.6</v>
      </c>
      <c r="L31" s="3" t="n">
        <v>7.6</v>
      </c>
    </row>
    <row r="32" customFormat="false" ht="15" hidden="false" customHeight="false" outlineLevel="0" collapsed="false">
      <c r="A32" s="0" t="s">
        <v>107</v>
      </c>
      <c r="C32" s="3" t="n">
        <v>10.7</v>
      </c>
      <c r="D32" s="3" t="n">
        <v>9.6</v>
      </c>
      <c r="E32" s="3" t="n">
        <v>8.9</v>
      </c>
      <c r="F32" s="3" t="n">
        <v>8.4</v>
      </c>
      <c r="G32" s="3" t="n">
        <v>8</v>
      </c>
      <c r="H32" s="3" t="n">
        <v>8</v>
      </c>
      <c r="I32" s="3" t="n">
        <v>8</v>
      </c>
      <c r="J32" s="3" t="n">
        <v>8</v>
      </c>
      <c r="K32" s="3" t="n">
        <v>8</v>
      </c>
      <c r="L32" s="3" t="n">
        <v>8</v>
      </c>
    </row>
    <row r="33" customFormat="false" ht="15" hidden="false" customHeight="false" outlineLevel="0" collapsed="false">
      <c r="A33" s="0" t="s">
        <v>108</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109</v>
      </c>
      <c r="B34" s="3" t="n">
        <v>7</v>
      </c>
    </row>
    <row r="35" customFormat="false" ht="15" hidden="false" customHeight="false" outlineLevel="0" collapsed="false">
      <c r="A35" s="0" t="s">
        <v>110</v>
      </c>
      <c r="B35" s="3" t="n">
        <v>1.5</v>
      </c>
    </row>
    <row r="36" customFormat="false" ht="15" hidden="false" customHeight="false" outlineLevel="0" collapsed="false">
      <c r="A36" s="0" t="s">
        <v>111</v>
      </c>
      <c r="B36" s="3" t="n">
        <v>15</v>
      </c>
    </row>
    <row r="37" customFormat="false" ht="15" hidden="false" customHeight="false" outlineLevel="0" collapsed="false">
      <c r="A37" s="0" t="s">
        <v>112</v>
      </c>
      <c r="B37" s="3" t="n">
        <v>-20</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4.5</v>
      </c>
      <c r="D41" s="3" t="n">
        <v>6</v>
      </c>
      <c r="E41" s="3" t="n">
        <v>6</v>
      </c>
      <c r="F41" s="3" t="n">
        <v>5</v>
      </c>
      <c r="G41" s="3" t="n">
        <v>5</v>
      </c>
      <c r="H41" s="3" t="n">
        <v>4</v>
      </c>
      <c r="I41" s="3" t="n">
        <v>3.5</v>
      </c>
      <c r="J41" s="3" t="n">
        <v>3</v>
      </c>
      <c r="K41" s="3" t="n">
        <v>3</v>
      </c>
      <c r="L41" s="3" t="n">
        <v>2.5</v>
      </c>
    </row>
    <row r="42" customFormat="false" ht="15" hidden="false" customHeight="false" outlineLevel="0" collapsed="false">
      <c r="A42" s="0" t="s">
        <v>103</v>
      </c>
      <c r="C42" s="3" t="n">
        <v>15</v>
      </c>
      <c r="D42" s="3" t="n">
        <v>16</v>
      </c>
      <c r="E42" s="3" t="n">
        <v>17</v>
      </c>
      <c r="F42" s="3" t="n">
        <v>17.5</v>
      </c>
      <c r="G42" s="3" t="n">
        <v>18</v>
      </c>
      <c r="H42" s="3" t="n">
        <v>18</v>
      </c>
      <c r="I42" s="3" t="n">
        <v>18</v>
      </c>
      <c r="J42" s="3" t="n">
        <v>18</v>
      </c>
      <c r="K42" s="3" t="n">
        <v>18</v>
      </c>
      <c r="L42" s="3" t="n">
        <v>18</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0.28</v>
      </c>
      <c r="D44" s="3" t="n">
        <v>0.28</v>
      </c>
      <c r="E44" s="3" t="n">
        <v>0.28</v>
      </c>
      <c r="F44" s="3" t="n">
        <v>0.28</v>
      </c>
      <c r="G44" s="3" t="n">
        <v>0.28</v>
      </c>
      <c r="H44" s="3" t="n">
        <v>0.28</v>
      </c>
      <c r="I44" s="3" t="n">
        <v>0.28</v>
      </c>
      <c r="J44" s="3" t="n">
        <v>0.28</v>
      </c>
      <c r="K44" s="3" t="n">
        <v>0.28</v>
      </c>
      <c r="L44" s="3" t="n">
        <v>0.28</v>
      </c>
    </row>
    <row r="45" customFormat="false" ht="15" hidden="false" customHeight="false" outlineLevel="0" collapsed="false">
      <c r="A45" s="0" t="s">
        <v>106</v>
      </c>
      <c r="C45" s="3" t="n">
        <v>7.4</v>
      </c>
      <c r="D45" s="3" t="n">
        <v>7.3</v>
      </c>
      <c r="E45" s="3" t="n">
        <v>7.3</v>
      </c>
      <c r="F45" s="3" t="n">
        <v>7.3</v>
      </c>
      <c r="G45" s="3" t="n">
        <v>7.3</v>
      </c>
      <c r="H45" s="3" t="n">
        <v>7.3</v>
      </c>
      <c r="I45" s="3" t="n">
        <v>7.3</v>
      </c>
      <c r="J45" s="3" t="n">
        <v>7.3</v>
      </c>
      <c r="K45" s="3" t="n">
        <v>7.3</v>
      </c>
      <c r="L45" s="3" t="n">
        <v>7.3</v>
      </c>
    </row>
    <row r="46" customFormat="false" ht="15" hidden="false" customHeight="false" outlineLevel="0" collapsed="false">
      <c r="A46" s="0" t="s">
        <v>107</v>
      </c>
      <c r="C46" s="3" t="n">
        <v>10.5</v>
      </c>
      <c r="D46" s="3" t="n">
        <v>9</v>
      </c>
      <c r="E46" s="3" t="n">
        <v>8.2</v>
      </c>
      <c r="F46" s="3" t="n">
        <v>7.8</v>
      </c>
      <c r="G46" s="3" t="n">
        <v>7.5</v>
      </c>
      <c r="H46" s="3" t="n">
        <v>7.5</v>
      </c>
      <c r="I46" s="3" t="n">
        <v>7.5</v>
      </c>
      <c r="J46" s="3" t="n">
        <v>7.5</v>
      </c>
      <c r="K46" s="3" t="n">
        <v>7.5</v>
      </c>
      <c r="L46" s="3" t="n">
        <v>7.5</v>
      </c>
    </row>
    <row r="47" customFormat="false" ht="15" hidden="false" customHeight="false" outlineLevel="0" collapsed="false">
      <c r="A47" s="0" t="s">
        <v>108</v>
      </c>
      <c r="C47" s="3" t="n">
        <v>31</v>
      </c>
      <c r="D47" s="3" t="n">
        <v>31</v>
      </c>
      <c r="E47" s="3" t="n">
        <v>31</v>
      </c>
      <c r="F47" s="3" t="n">
        <v>31</v>
      </c>
      <c r="G47" s="3" t="n">
        <v>31</v>
      </c>
      <c r="H47" s="3" t="n">
        <v>31</v>
      </c>
      <c r="I47" s="3" t="n">
        <v>31</v>
      </c>
      <c r="J47" s="3" t="n">
        <v>31</v>
      </c>
      <c r="K47" s="3" t="n">
        <v>31</v>
      </c>
      <c r="L47" s="3" t="n">
        <v>31</v>
      </c>
    </row>
    <row r="48" customFormat="false" ht="15" hidden="false" customHeight="false" outlineLevel="0" collapsed="false">
      <c r="A48" s="0" t="s">
        <v>109</v>
      </c>
      <c r="B48" s="3" t="n">
        <v>7</v>
      </c>
    </row>
    <row r="49" customFormat="false" ht="15" hidden="false" customHeight="false" outlineLevel="0" collapsed="false">
      <c r="A49" s="0" t="s">
        <v>110</v>
      </c>
      <c r="B49" s="3" t="n">
        <v>2</v>
      </c>
    </row>
    <row r="50" customFormat="false" ht="15" hidden="false" customHeight="false" outlineLevel="0" collapsed="false">
      <c r="A50" s="0" t="s">
        <v>111</v>
      </c>
      <c r="B50" s="3" t="n">
        <v>16</v>
      </c>
    </row>
    <row r="51" customFormat="false" ht="15" hidden="false" customHeight="false" outlineLevel="0" collapsed="false">
      <c r="A51" s="0" t="s">
        <v>112</v>
      </c>
      <c r="B51" s="3" t="n">
        <v>-15</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0</v>
      </c>
      <c r="D5" s="4" t="n">
        <f aca="false">Assumptions!D13</f>
        <v>0</v>
      </c>
      <c r="E5" s="4" t="n">
        <f aca="false">Assumptions!E13</f>
        <v>1</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579629</v>
      </c>
      <c r="C6" s="0" t="n">
        <f aca="false">B6*(1+C5/100)</f>
        <v>579629</v>
      </c>
      <c r="D6" s="0" t="n">
        <f aca="false">C6*(1+D5/100)</f>
        <v>579629</v>
      </c>
      <c r="E6" s="0" t="n">
        <f aca="false">D6*(1+E5/100)</f>
        <v>585425.29</v>
      </c>
      <c r="F6" s="0" t="n">
        <f aca="false">E6*(1+F5/100)</f>
        <v>591279.5429</v>
      </c>
      <c r="G6" s="0" t="n">
        <f aca="false">F6*(1+G5/100)</f>
        <v>600148.7360435</v>
      </c>
      <c r="H6" s="0" t="n">
        <f aca="false">G6*(1+H5/100)</f>
        <v>609150.967084152</v>
      </c>
      <c r="I6" s="0" t="n">
        <f aca="false">H6*(1+I5/100)</f>
        <v>618288.231590415</v>
      </c>
      <c r="J6" s="0" t="n">
        <f aca="false">I6*(1+J5/100)</f>
        <v>627562.555064271</v>
      </c>
      <c r="K6" s="0" t="n">
        <f aca="false">J6*(1+K5/100)</f>
        <v>636975.993390235</v>
      </c>
      <c r="L6" s="0" t="n">
        <f aca="false">K6*(1+L5/100)</f>
        <v>646530.633291088</v>
      </c>
    </row>
    <row r="7" customFormat="false" ht="15" hidden="false" customHeight="false" outlineLevel="0" collapsed="false">
      <c r="A7" s="0" t="s">
        <v>103</v>
      </c>
      <c r="C7" s="4" t="n">
        <f aca="false">Assumptions!C14</f>
        <v>14</v>
      </c>
      <c r="D7" s="4" t="n">
        <f aca="false">Assumptions!D14</f>
        <v>13.5</v>
      </c>
      <c r="E7" s="4" t="n">
        <f aca="false">Assumptions!E14</f>
        <v>13.5</v>
      </c>
      <c r="F7" s="4" t="n">
        <f aca="false">Assumptions!F14</f>
        <v>14</v>
      </c>
      <c r="G7" s="4" t="n">
        <f aca="false">Assumptions!G14</f>
        <v>14</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43</v>
      </c>
      <c r="C8" s="0" t="n">
        <f aca="false">C6*C7/100</f>
        <v>81148.06</v>
      </c>
      <c r="D8" s="0" t="n">
        <f aca="false">D6*D7/100</f>
        <v>78249.915</v>
      </c>
      <c r="E8" s="0" t="n">
        <f aca="false">E6*E7/100</f>
        <v>79032.41415</v>
      </c>
      <c r="F8" s="0" t="n">
        <f aca="false">F6*F7/100</f>
        <v>82779.136006</v>
      </c>
      <c r="G8" s="0" t="n">
        <f aca="false">G6*G7/100</f>
        <v>84020.82304609</v>
      </c>
      <c r="H8" s="0" t="n">
        <f aca="false">H6*H7/100</f>
        <v>85281.1353917813</v>
      </c>
      <c r="I8" s="0" t="n">
        <f aca="false">I6*I7/100</f>
        <v>86560.3524226581</v>
      </c>
      <c r="J8" s="0" t="n">
        <f aca="false">J6*J7/100</f>
        <v>87858.7577089979</v>
      </c>
      <c r="K8" s="0" t="n">
        <f aca="false">K6*K7/100</f>
        <v>89176.6390746329</v>
      </c>
      <c r="L8" s="0" t="n">
        <f aca="false">L6*L7/100</f>
        <v>90514.2886607524</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79525.0988</v>
      </c>
      <c r="D11" s="0" t="n">
        <f aca="false">D8+D10+D24</f>
        <v>76626.9538</v>
      </c>
      <c r="E11" s="0" t="n">
        <f aca="false">E8+E10+E24</f>
        <v>77393.223338</v>
      </c>
      <c r="F11" s="0" t="n">
        <f aca="false">F8+F10+F24</f>
        <v>81123.55328588</v>
      </c>
      <c r="G11" s="0" t="n">
        <f aca="false">G8+G10+G24</f>
        <v>82340.4065851682</v>
      </c>
      <c r="H11" s="0" t="n">
        <f aca="false">H8+H10+H24</f>
        <v>83575.5126839457</v>
      </c>
      <c r="I11" s="0" t="n">
        <f aca="false">I8+I10+I24</f>
        <v>84829.1453742049</v>
      </c>
      <c r="J11" s="0" t="n">
        <f aca="false">J8+J10+J24</f>
        <v>86101.582554818</v>
      </c>
      <c r="K11" s="0" t="n">
        <f aca="false">K8+K10+K24</f>
        <v>87393.1062931402</v>
      </c>
      <c r="L11" s="0" t="n">
        <f aca="false">L8+L10+L24</f>
        <v>88704.0028875373</v>
      </c>
    </row>
    <row r="12" customFormat="false" ht="15" hidden="false" customHeight="false" outlineLevel="0" collapsed="false">
      <c r="A12" s="0" t="s">
        <v>121</v>
      </c>
      <c r="C12" s="4" t="n">
        <f aca="false">-C6*Assumptions!C17/100</f>
        <v>-43472.175</v>
      </c>
      <c r="D12" s="4" t="n">
        <f aca="false">-D6*Assumptions!D17/100</f>
        <v>-43472.175</v>
      </c>
      <c r="E12" s="4" t="n">
        <f aca="false">-E6*Assumptions!E17/100</f>
        <v>-43906.89675</v>
      </c>
      <c r="F12" s="4" t="n">
        <f aca="false">-F6*Assumptions!F17/100</f>
        <v>-44345.9657175</v>
      </c>
      <c r="G12" s="4" t="n">
        <f aca="false">-G6*Assumptions!G17/100</f>
        <v>-45011.1552032625</v>
      </c>
      <c r="H12" s="4" t="n">
        <f aca="false">-H6*Assumptions!H17/100</f>
        <v>-45686.3225313114</v>
      </c>
      <c r="I12" s="4" t="n">
        <f aca="false">-I6*Assumptions!I17/100</f>
        <v>-46371.6173692811</v>
      </c>
      <c r="J12" s="4" t="n">
        <f aca="false">-J6*Assumptions!J17/100</f>
        <v>-47067.1916298203</v>
      </c>
      <c r="K12" s="4" t="n">
        <f aca="false">-K6*Assumptions!K17/100</f>
        <v>-47773.1995042676</v>
      </c>
      <c r="L12" s="4" t="n">
        <f aca="false">-L6*Assumptions!L17/100</f>
        <v>-48489.7974968316</v>
      </c>
    </row>
    <row r="13" customFormat="false" ht="15" hidden="false" customHeight="false" outlineLevel="0" collapsed="false">
      <c r="A13" s="0" t="s">
        <v>122</v>
      </c>
      <c r="C13" s="0" t="n">
        <f aca="false">C11+C12</f>
        <v>36052.9238</v>
      </c>
      <c r="D13" s="0" t="n">
        <f aca="false">D11+D12</f>
        <v>33154.7788</v>
      </c>
      <c r="E13" s="0" t="n">
        <f aca="false">E11+E12</f>
        <v>33486.326588</v>
      </c>
      <c r="F13" s="0" t="n">
        <f aca="false">F11+F12</f>
        <v>36777.58756838</v>
      </c>
      <c r="G13" s="0" t="n">
        <f aca="false">G11+G12</f>
        <v>37329.2513819057</v>
      </c>
      <c r="H13" s="0" t="n">
        <f aca="false">H11+H12</f>
        <v>37889.1901526343</v>
      </c>
      <c r="I13" s="0" t="n">
        <f aca="false">I11+I12</f>
        <v>38457.5280049238</v>
      </c>
      <c r="J13" s="0" t="n">
        <f aca="false">J11+J12</f>
        <v>39034.3909249976</v>
      </c>
      <c r="K13" s="0" t="n">
        <f aca="false">K11+K12</f>
        <v>39619.9067888726</v>
      </c>
      <c r="L13" s="0" t="n">
        <f aca="false">L11+L12</f>
        <v>40214.2053907057</v>
      </c>
    </row>
    <row r="14" customFormat="false" ht="15" hidden="false" customHeight="false" outlineLevel="0" collapsed="false">
      <c r="A14" s="0" t="s">
        <v>108</v>
      </c>
      <c r="C14" s="4" t="n">
        <f aca="false">Assumptions!C19</f>
        <v>31</v>
      </c>
      <c r="D14" s="4" t="n">
        <f aca="false">Assumptions!D19</f>
        <v>31</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row>
    <row r="15" customFormat="false" ht="15" hidden="false" customHeight="false" outlineLevel="0" collapsed="false">
      <c r="A15" s="0" t="s">
        <v>123</v>
      </c>
      <c r="C15" s="0" t="n">
        <f aca="false">C13-MAX(0,C13)*C14/100</f>
        <v>24876.517422</v>
      </c>
      <c r="D15" s="0" t="n">
        <f aca="false">D13-MAX(0,D13)*D14/100</f>
        <v>22876.797372</v>
      </c>
      <c r="E15" s="0" t="n">
        <f aca="false">E13-MAX(0,E13)*E14/100</f>
        <v>23105.56534572</v>
      </c>
      <c r="F15" s="0" t="n">
        <f aca="false">F13-MAX(0,F13)*F14/100</f>
        <v>25376.5354221822</v>
      </c>
      <c r="G15" s="0" t="n">
        <f aca="false">G13-MAX(0,G13)*G14/100</f>
        <v>25757.1834535149</v>
      </c>
      <c r="H15" s="0" t="n">
        <f aca="false">H13-MAX(0,H13)*H14/100</f>
        <v>26143.5412053176</v>
      </c>
      <c r="I15" s="0" t="n">
        <f aca="false">I13-MAX(0,I13)*I14/100</f>
        <v>26535.6943233974</v>
      </c>
      <c r="J15" s="0" t="n">
        <f aca="false">J13-MAX(0,J13)*J14/100</f>
        <v>26933.7297382484</v>
      </c>
      <c r="K15" s="0" t="n">
        <f aca="false">K13-MAX(0,K13)*K14/100</f>
        <v>27337.7356843221</v>
      </c>
      <c r="L15" s="0" t="n">
        <f aca="false">L13-MAX(0,L13)*L14/100</f>
        <v>27747.8017195869</v>
      </c>
    </row>
    <row r="16" customFormat="false" ht="15" hidden="false" customHeight="false" outlineLevel="0" collapsed="false">
      <c r="A16" s="0" t="s">
        <v>124</v>
      </c>
      <c r="C16" s="0" t="n">
        <f aca="false">-C12</f>
        <v>43472.175</v>
      </c>
      <c r="D16" s="0" t="n">
        <f aca="false">-D12</f>
        <v>43472.175</v>
      </c>
      <c r="E16" s="0" t="n">
        <f aca="false">-E12</f>
        <v>43906.89675</v>
      </c>
      <c r="F16" s="0" t="n">
        <f aca="false">-F12</f>
        <v>44345.9657175</v>
      </c>
      <c r="G16" s="0" t="n">
        <f aca="false">-G12</f>
        <v>45011.1552032625</v>
      </c>
      <c r="H16" s="0" t="n">
        <f aca="false">-H12</f>
        <v>45686.3225313114</v>
      </c>
      <c r="I16" s="0" t="n">
        <f aca="false">-I12</f>
        <v>46371.6173692811</v>
      </c>
      <c r="J16" s="0" t="n">
        <f aca="false">-J12</f>
        <v>47067.1916298203</v>
      </c>
      <c r="K16" s="0" t="n">
        <f aca="false">-K12</f>
        <v>47773.1995042676</v>
      </c>
      <c r="L16" s="0" t="n">
        <f aca="false">-L12</f>
        <v>48489.7974968316</v>
      </c>
    </row>
    <row r="17" customFormat="false" ht="15" hidden="false" customHeight="false" outlineLevel="0" collapsed="false">
      <c r="A17" s="0" t="s">
        <v>125</v>
      </c>
      <c r="C17" s="4" t="n">
        <f aca="false">-C6*Assumptions!C18/100</f>
        <v>-62020.303</v>
      </c>
      <c r="D17" s="4" t="n">
        <f aca="false">-D6*Assumptions!D18/100</f>
        <v>-57962.9</v>
      </c>
      <c r="E17" s="4" t="n">
        <f aca="false">-E6*Assumptions!E18/100</f>
        <v>-55615.40255</v>
      </c>
      <c r="F17" s="4" t="n">
        <f aca="false">-F6*Assumptions!F18/100</f>
        <v>-53215.158861</v>
      </c>
      <c r="G17" s="4" t="n">
        <f aca="false">-G6*Assumptions!G18/100</f>
        <v>-51012.6425636975</v>
      </c>
      <c r="H17" s="4" t="n">
        <f aca="false">-H6*Assumptions!H18/100</f>
        <v>-48732.0773667322</v>
      </c>
      <c r="I17" s="4" t="n">
        <f aca="false">-I6*Assumptions!I18/100</f>
        <v>-49463.0585272332</v>
      </c>
      <c r="J17" s="4" t="n">
        <f aca="false">-J6*Assumptions!J18/100</f>
        <v>-50205.0044051417</v>
      </c>
      <c r="K17" s="4" t="n">
        <f aca="false">-K6*Assumptions!K18/100</f>
        <v>-50958.0794712188</v>
      </c>
      <c r="L17" s="4" t="n">
        <f aca="false">-L6*Assumptions!L18/100</f>
        <v>-51722.4506632871</v>
      </c>
    </row>
    <row r="18" customFormat="false" ht="15" hidden="false" customHeight="false" outlineLevel="0" collapsed="false">
      <c r="A18" s="0" t="s">
        <v>126</v>
      </c>
      <c r="C18" s="4" t="n">
        <f aca="false">(C6-B6)*Assumptions!$B$23/100</f>
        <v>-0</v>
      </c>
      <c r="D18" s="4" t="n">
        <f aca="false">(D6-C6)*Assumptions!$B$23/100</f>
        <v>-0</v>
      </c>
      <c r="E18" s="4" t="n">
        <f aca="false">(E6-D6)*Assumptions!$B$23/100</f>
        <v>-1449.07250000001</v>
      </c>
      <c r="F18" s="4" t="n">
        <f aca="false">(F6-E6)*Assumptions!$B$23/100</f>
        <v>-1463.56322499999</v>
      </c>
      <c r="G18" s="4" t="n">
        <f aca="false">(G6-F6)*Assumptions!$B$23/100</f>
        <v>-2217.29828587497</v>
      </c>
      <c r="H18" s="4" t="n">
        <f aca="false">(H6-G6)*Assumptions!$B$23/100</f>
        <v>-2250.55776016312</v>
      </c>
      <c r="I18" s="4" t="n">
        <f aca="false">(I6-H6)*Assumptions!$B$23/100</f>
        <v>-2284.31612656557</v>
      </c>
      <c r="J18" s="4" t="n">
        <f aca="false">(J6-I6)*Assumptions!$B$23/100</f>
        <v>-2318.58086846405</v>
      </c>
      <c r="K18" s="4" t="n">
        <f aca="false">(K6-J6)*Assumptions!$B$23/100</f>
        <v>-2353.35958149101</v>
      </c>
      <c r="L18" s="4" t="n">
        <f aca="false">(L6-K6)*Assumptions!$B$23/100</f>
        <v>-2388.65997521338</v>
      </c>
    </row>
    <row r="19" customFormat="false" ht="15" hidden="false" customHeight="false" outlineLevel="0" collapsed="false">
      <c r="A19" s="0" t="s">
        <v>127</v>
      </c>
      <c r="C19" s="0" t="n">
        <f aca="false">C15+C16+C17+C18</f>
        <v>6328.38942199999</v>
      </c>
      <c r="D19" s="0" t="n">
        <f aca="false">D15+D16+D17+D18</f>
        <v>8386.07237199999</v>
      </c>
      <c r="E19" s="0" t="n">
        <f aca="false">E15+E16+E17+E18</f>
        <v>9947.98704571999</v>
      </c>
      <c r="F19" s="0" t="n">
        <f aca="false">F15+F16+F17+F18</f>
        <v>15043.7790536822</v>
      </c>
      <c r="G19" s="0" t="n">
        <f aca="false">G15+G16+G17+G18</f>
        <v>17538.397807205</v>
      </c>
      <c r="H19" s="0" t="n">
        <f aca="false">H15+H16+H17+H18</f>
        <v>20847.2286097338</v>
      </c>
      <c r="I19" s="0" t="n">
        <f aca="false">I15+I16+I17+I18</f>
        <v>21159.9370388798</v>
      </c>
      <c r="J19" s="0" t="n">
        <f aca="false">J15+J16+J17+J18</f>
        <v>21477.336094463</v>
      </c>
      <c r="K19" s="0" t="n">
        <f aca="false">K15+K16+K17+K18</f>
        <v>21799.4961358799</v>
      </c>
      <c r="L19" s="0" t="n">
        <f aca="false">L15+L16+L17+L18</f>
        <v>22126.4885779181</v>
      </c>
    </row>
    <row r="20" customFormat="false" ht="15" hidden="false" customHeight="false" outlineLevel="0" collapsed="false">
      <c r="A20" s="0" t="s">
        <v>128</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129</v>
      </c>
      <c r="C21" s="0" t="n">
        <f aca="false">C19*C20</f>
        <v>5914.38263738317</v>
      </c>
      <c r="D21" s="0" t="n">
        <f aca="false">D19*D20</f>
        <v>7324.72038780678</v>
      </c>
      <c r="E21" s="0" t="n">
        <f aca="false">E19*E20</f>
        <v>8120.52070475893</v>
      </c>
      <c r="F21" s="0" t="n">
        <f aca="false">F19*F20</f>
        <v>11476.827011155</v>
      </c>
      <c r="G21" s="0" t="n">
        <f aca="false">G19*G20</f>
        <v>12504.6352468238</v>
      </c>
      <c r="H21" s="0" t="n">
        <f aca="false">H19*H20</f>
        <v>13891.3886722212</v>
      </c>
      <c r="I21" s="0" t="n">
        <f aca="false">I19*I20</f>
        <v>13177.3453292566</v>
      </c>
      <c r="J21" s="0" t="n">
        <f aca="false">J19*J20</f>
        <v>12500.0051487808</v>
      </c>
      <c r="K21" s="0" t="n">
        <f aca="false">K19*K20</f>
        <v>11857.4815196378</v>
      </c>
      <c r="L21" s="0" t="n">
        <f aca="false">L19*L20</f>
        <v>11247.9848060116</v>
      </c>
    </row>
    <row r="23" customFormat="false" ht="15" hidden="false" customHeight="false" outlineLevel="0" collapsed="false">
      <c r="A23" s="0" t="s">
        <v>105</v>
      </c>
      <c r="C23" s="4" t="n">
        <f aca="false">Assumptions!C16</f>
        <v>0.28</v>
      </c>
      <c r="D23" s="4" t="n">
        <f aca="false">Assumptions!D16</f>
        <v>0.28</v>
      </c>
      <c r="E23" s="4" t="n">
        <f aca="false">Assumptions!E16</f>
        <v>0.28</v>
      </c>
      <c r="F23" s="4" t="n">
        <f aca="false">Assumptions!F16</f>
        <v>0.28</v>
      </c>
      <c r="G23" s="4" t="n">
        <f aca="false">Assumptions!G16</f>
        <v>0.28</v>
      </c>
      <c r="H23" s="4" t="n">
        <f aca="false">Assumptions!H16</f>
        <v>0.28</v>
      </c>
      <c r="I23" s="4" t="n">
        <f aca="false">Assumptions!I16</f>
        <v>0.28</v>
      </c>
      <c r="J23" s="4" t="n">
        <f aca="false">Assumptions!J16</f>
        <v>0.28</v>
      </c>
      <c r="K23" s="4" t="n">
        <f aca="false">Assumptions!K16</f>
        <v>0.28</v>
      </c>
      <c r="L23" s="4" t="n">
        <f aca="false">Assumptions!L16</f>
        <v>0.28</v>
      </c>
    </row>
    <row r="24" customFormat="false" ht="15" hidden="false" customHeight="false" outlineLevel="0" collapsed="false">
      <c r="A24" s="0" t="s">
        <v>130</v>
      </c>
      <c r="C24" s="0" t="n">
        <f aca="false">-C6*C23/100</f>
        <v>-1622.9612</v>
      </c>
      <c r="D24" s="0" t="n">
        <f aca="false">-D6*D23/100</f>
        <v>-1622.9612</v>
      </c>
      <c r="E24" s="0" t="n">
        <f aca="false">-E6*E23/100</f>
        <v>-1639.190812</v>
      </c>
      <c r="F24" s="0" t="n">
        <f aca="false">-F6*F23/100</f>
        <v>-1655.58272012</v>
      </c>
      <c r="G24" s="0" t="n">
        <f aca="false">-G6*G23/100</f>
        <v>-1680.4164609218</v>
      </c>
      <c r="H24" s="0" t="n">
        <f aca="false">-H6*H23/100</f>
        <v>-1705.62270783563</v>
      </c>
      <c r="I24" s="0" t="n">
        <f aca="false">-I6*I23/100</f>
        <v>-1731.20704845316</v>
      </c>
      <c r="J24" s="0" t="n">
        <f aca="false">-J6*J23/100</f>
        <v>-1757.17515417996</v>
      </c>
      <c r="K24" s="0" t="n">
        <f aca="false">-K6*K23/100</f>
        <v>-1783.53278149266</v>
      </c>
      <c r="L24" s="0" t="n">
        <f aca="false">-L6*L23/100</f>
        <v>-1810.28577321505</v>
      </c>
    </row>
    <row r="26" customFormat="false" ht="15" hidden="false" customHeight="false" outlineLevel="0" collapsed="false">
      <c r="A26" s="2" t="s">
        <v>131</v>
      </c>
    </row>
    <row r="27" customFormat="false" ht="15" hidden="false" customHeight="false" outlineLevel="0" collapsed="false">
      <c r="A27" s="0" t="s">
        <v>109</v>
      </c>
      <c r="B27" s="4" t="n">
        <f aca="false">Assumptions!$B$20</f>
        <v>7</v>
      </c>
    </row>
    <row r="28" customFormat="false" ht="15" hidden="false" customHeight="false" outlineLevel="0" collapsed="false">
      <c r="A28" s="0" t="s">
        <v>110</v>
      </c>
      <c r="B28" s="4" t="n">
        <f aca="false">Assumptions!$B$21</f>
        <v>1</v>
      </c>
    </row>
    <row r="29" customFormat="false" ht="15" hidden="false" customHeight="false" outlineLevel="0" collapsed="false">
      <c r="A29" s="0" t="s">
        <v>111</v>
      </c>
      <c r="B29" s="4" t="n">
        <f aca="false">Assumptions!$B$22</f>
        <v>12</v>
      </c>
    </row>
    <row r="30" customFormat="false" ht="15" hidden="false" customHeight="false" outlineLevel="0" collapsed="false">
      <c r="A30" s="0" t="s">
        <v>132</v>
      </c>
      <c r="B30" s="0" t="n">
        <f aca="false">SUM(C21:L21)</f>
        <v>108015.291463836</v>
      </c>
    </row>
    <row r="31" customFormat="false" ht="15" hidden="false" customHeight="false" outlineLevel="0" collapsed="false">
      <c r="A31" s="0" t="s">
        <v>133</v>
      </c>
      <c r="B31" s="0" t="n">
        <f aca="false">L19</f>
        <v>22126.4885779181</v>
      </c>
    </row>
    <row r="32" customFormat="false" ht="15" hidden="false" customHeight="false" outlineLevel="0" collapsed="false">
      <c r="A32" s="0" t="s">
        <v>134</v>
      </c>
      <c r="B32" s="0" t="n">
        <f aca="false">IF(B27&gt;B28,B31*(1+B28/100)/((B27-B28)/100),B31*B29)</f>
        <v>372462.557728289</v>
      </c>
    </row>
    <row r="33" customFormat="false" ht="15" hidden="false" customHeight="false" outlineLevel="0" collapsed="false">
      <c r="A33" s="0" t="s">
        <v>135</v>
      </c>
      <c r="B33" s="0" t="n">
        <f aca="false">B31*B29</f>
        <v>265517.862935018</v>
      </c>
    </row>
    <row r="34" customFormat="false" ht="15" hidden="false" customHeight="false" outlineLevel="0" collapsed="false">
      <c r="A34" s="0" t="s">
        <v>136</v>
      </c>
      <c r="B34" s="0" t="n">
        <f aca="false">MAX(0,MIN(B32,B33))</f>
        <v>265517.862935018</v>
      </c>
    </row>
    <row r="35" customFormat="false" ht="15" hidden="false" customHeight="false" outlineLevel="0" collapsed="false">
      <c r="A35" s="0" t="s">
        <v>137</v>
      </c>
      <c r="B35" s="0" t="n">
        <f aca="false">B34/(1+B27/100)^L4</f>
        <v>134975.817672139</v>
      </c>
    </row>
    <row r="36" customFormat="false" ht="15" hidden="false" customHeight="false" outlineLevel="0" collapsed="false">
      <c r="A36" s="0" t="s">
        <v>138</v>
      </c>
      <c r="B36" s="0" t="n">
        <f aca="false">B30+B35</f>
        <v>242991.109135975</v>
      </c>
    </row>
    <row r="37" customFormat="false" ht="15" hidden="false" customHeight="false" outlineLevel="0" collapsed="false">
      <c r="A37" s="0" t="s">
        <v>139</v>
      </c>
      <c r="B37" s="0" t="n">
        <f aca="false">B36+Assumptions!$B$5-Assumptions!$B$4</f>
        <v>34772.1091359748</v>
      </c>
    </row>
    <row r="38" customFormat="false" ht="15" hidden="false" customHeight="false" outlineLevel="0" collapsed="false">
      <c r="A38" s="0" t="s">
        <v>140</v>
      </c>
      <c r="B38" s="0" t="n">
        <f aca="false">B37/Assumptions!$B$3*Assumptions!$B$10</f>
        <v>136.151378996193</v>
      </c>
    </row>
    <row r="39" customFormat="false" ht="15" hidden="false" customHeight="false" outlineLevel="0" collapsed="false">
      <c r="A39" s="0" t="s">
        <v>141</v>
      </c>
      <c r="B39" s="4" t="n">
        <f aca="false">B38/Assumptions!$B$2-1</f>
        <v>-0.906328600621814</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136.151378996193</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159626.810454981</v>
      </c>
    </row>
    <row r="47" customFormat="false" ht="15" hidden="false" customHeight="false" outlineLevel="0" collapsed="false">
      <c r="A47" s="0" t="s">
        <v>146</v>
      </c>
      <c r="B47" s="0" t="n">
        <f aca="false">(SUMPRODUCT(C19:L19/(1+B45/100)^C4:L4)+B46/(1+B45/100)^L4+Assumptions!$B$5-Assumptions!$B$4)/Assumptions!$B$3*Assumptions!$B$10</f>
        <v>-381.376829368537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2.7</v>
      </c>
      <c r="D5" s="4" t="n">
        <f aca="false">Assumptions!D27</f>
        <v>3.5</v>
      </c>
      <c r="E5" s="4" t="n">
        <f aca="false">Assumptions!E27</f>
        <v>3.5</v>
      </c>
      <c r="F5" s="4" t="n">
        <f aca="false">Assumptions!F27</f>
        <v>3</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579629</v>
      </c>
      <c r="C6" s="0" t="n">
        <f aca="false">B6*(1+C5/100)</f>
        <v>595278.983</v>
      </c>
      <c r="D6" s="0" t="n">
        <f aca="false">C6*(1+D5/100)</f>
        <v>616113.747405</v>
      </c>
      <c r="E6" s="0" t="n">
        <f aca="false">D6*(1+E5/100)</f>
        <v>637677.728564175</v>
      </c>
      <c r="F6" s="0" t="n">
        <f aca="false">E6*(1+F5/100)</f>
        <v>656808.0604211</v>
      </c>
      <c r="G6" s="0" t="n">
        <f aca="false">F6*(1+G5/100)</f>
        <v>676512.302233733</v>
      </c>
      <c r="H6" s="0" t="n">
        <f aca="false">G6*(1+H5/100)</f>
        <v>693425.109789576</v>
      </c>
      <c r="I6" s="0" t="n">
        <f aca="false">H6*(1+I5/100)</f>
        <v>710760.737534316</v>
      </c>
      <c r="J6" s="0" t="n">
        <f aca="false">I6*(1+J5/100)</f>
        <v>724975.952285002</v>
      </c>
      <c r="K6" s="0" t="n">
        <f aca="false">J6*(1+K5/100)</f>
        <v>739475.471330702</v>
      </c>
      <c r="L6" s="0" t="n">
        <f aca="false">K6*(1+L5/100)</f>
        <v>754264.980757316</v>
      </c>
    </row>
    <row r="7" customFormat="false" ht="15" hidden="false" customHeight="false" outlineLevel="0" collapsed="false">
      <c r="A7" s="0" t="s">
        <v>103</v>
      </c>
      <c r="C7" s="4" t="n">
        <f aca="false">Assumptions!C28</f>
        <v>14.6</v>
      </c>
      <c r="D7" s="4" t="n">
        <f aca="false">Assumptions!D28</f>
        <v>15.2</v>
      </c>
      <c r="E7" s="4" t="n">
        <f aca="false">Assumptions!E28</f>
        <v>15.8</v>
      </c>
      <c r="F7" s="4" t="n">
        <f aca="false">Assumptions!F28</f>
        <v>16.2</v>
      </c>
      <c r="G7" s="4" t="n">
        <f aca="false">Assumptions!G28</f>
        <v>16.5</v>
      </c>
      <c r="H7" s="4" t="n">
        <f aca="false">Assumptions!H28</f>
        <v>16.5</v>
      </c>
      <c r="I7" s="4" t="n">
        <f aca="false">Assumptions!I28</f>
        <v>16.5</v>
      </c>
      <c r="J7" s="4" t="n">
        <f aca="false">Assumptions!J28</f>
        <v>16.5</v>
      </c>
      <c r="K7" s="4" t="n">
        <f aca="false">Assumptions!K28</f>
        <v>16.5</v>
      </c>
      <c r="L7" s="4" t="n">
        <f aca="false">Assumptions!L28</f>
        <v>16.5</v>
      </c>
    </row>
    <row r="8" customFormat="false" ht="15" hidden="false" customHeight="false" outlineLevel="0" collapsed="false">
      <c r="A8" s="0" t="s">
        <v>43</v>
      </c>
      <c r="C8" s="0" t="n">
        <f aca="false">C6*C7/100</f>
        <v>86910.731518</v>
      </c>
      <c r="D8" s="0" t="n">
        <f aca="false">D6*D7/100</f>
        <v>93649.28960556</v>
      </c>
      <c r="E8" s="0" t="n">
        <f aca="false">E6*E7/100</f>
        <v>100753.08111314</v>
      </c>
      <c r="F8" s="0" t="n">
        <f aca="false">F6*F7/100</f>
        <v>106402.905788218</v>
      </c>
      <c r="G8" s="0" t="n">
        <f aca="false">G6*G7/100</f>
        <v>111624.529868566</v>
      </c>
      <c r="H8" s="0" t="n">
        <f aca="false">H6*H7/100</f>
        <v>114415.14311528</v>
      </c>
      <c r="I8" s="0" t="n">
        <f aca="false">I6*I7/100</f>
        <v>117275.521693162</v>
      </c>
      <c r="J8" s="0" t="n">
        <f aca="false">J6*J7/100</f>
        <v>119621.032127025</v>
      </c>
      <c r="K8" s="0" t="n">
        <f aca="false">K6*K7/100</f>
        <v>122013.452769566</v>
      </c>
      <c r="L8" s="0" t="n">
        <f aca="false">L6*L7/100</f>
        <v>124453.721824957</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85243.9503656</v>
      </c>
      <c r="D11" s="0" t="n">
        <f aca="false">D8+D10+D24</f>
        <v>91924.171112826</v>
      </c>
      <c r="E11" s="0" t="n">
        <f aca="false">E8+E10+E24</f>
        <v>98967.58347316</v>
      </c>
      <c r="F11" s="0" t="n">
        <f aca="false">F8+F10+F24</f>
        <v>104563.843219039</v>
      </c>
      <c r="G11" s="0" t="n">
        <f aca="false">G8+G10+G24</f>
        <v>109730.295422312</v>
      </c>
      <c r="H11" s="0" t="n">
        <f aca="false">H8+H10+H24</f>
        <v>112473.552807869</v>
      </c>
      <c r="I11" s="0" t="n">
        <f aca="false">I8+I10+I24</f>
        <v>115285.391628066</v>
      </c>
      <c r="J11" s="0" t="n">
        <f aca="false">J8+J10+J24</f>
        <v>117591.099460627</v>
      </c>
      <c r="K11" s="0" t="n">
        <f aca="false">K8+K10+K24</f>
        <v>119942.92144984</v>
      </c>
      <c r="L11" s="0" t="n">
        <f aca="false">L8+L10+L24</f>
        <v>122341.779878837</v>
      </c>
    </row>
    <row r="12" customFormat="false" ht="15" hidden="false" customHeight="false" outlineLevel="0" collapsed="false">
      <c r="A12" s="0" t="s">
        <v>121</v>
      </c>
      <c r="C12" s="4" t="n">
        <f aca="false">-C6*Assumptions!C31/100</f>
        <v>-44050.644742</v>
      </c>
      <c r="D12" s="4" t="n">
        <f aca="false">-D6*Assumptions!D31/100</f>
        <v>-45592.41730797</v>
      </c>
      <c r="E12" s="4" t="n">
        <f aca="false">-E6*Assumptions!E31/100</f>
        <v>-47825.8296423131</v>
      </c>
      <c r="F12" s="4" t="n">
        <f aca="false">-F6*Assumptions!F31/100</f>
        <v>-49260.6045315825</v>
      </c>
      <c r="G12" s="4" t="n">
        <f aca="false">-G6*Assumptions!G31/100</f>
        <v>-50738.42266753</v>
      </c>
      <c r="H12" s="4" t="n">
        <f aca="false">-H6*Assumptions!H31/100</f>
        <v>-52700.3083440078</v>
      </c>
      <c r="I12" s="4" t="n">
        <f aca="false">-I6*Assumptions!I31/100</f>
        <v>-54017.816052608</v>
      </c>
      <c r="J12" s="4" t="n">
        <f aca="false">-J6*Assumptions!J31/100</f>
        <v>-55098.1723736602</v>
      </c>
      <c r="K12" s="4" t="n">
        <f aca="false">-K6*Assumptions!K31/100</f>
        <v>-56200.1358211334</v>
      </c>
      <c r="L12" s="4" t="n">
        <f aca="false">-L6*Assumptions!L31/100</f>
        <v>-57324.138537556</v>
      </c>
    </row>
    <row r="13" customFormat="false" ht="15" hidden="false" customHeight="false" outlineLevel="0" collapsed="false">
      <c r="A13" s="0" t="s">
        <v>122</v>
      </c>
      <c r="C13" s="0" t="n">
        <f aca="false">C11+C12</f>
        <v>41193.3056236</v>
      </c>
      <c r="D13" s="0" t="n">
        <f aca="false">D11+D12</f>
        <v>46331.753804856</v>
      </c>
      <c r="E13" s="0" t="n">
        <f aca="false">E11+E12</f>
        <v>51141.7538308468</v>
      </c>
      <c r="F13" s="0" t="n">
        <f aca="false">F11+F12</f>
        <v>55303.2386874566</v>
      </c>
      <c r="G13" s="0" t="n">
        <f aca="false">G11+G12</f>
        <v>58991.8727547815</v>
      </c>
      <c r="H13" s="0" t="n">
        <f aca="false">H11+H12</f>
        <v>59773.2444638615</v>
      </c>
      <c r="I13" s="0" t="n">
        <f aca="false">I11+I12</f>
        <v>61267.575575458</v>
      </c>
      <c r="J13" s="0" t="n">
        <f aca="false">J11+J12</f>
        <v>62492.9270869672</v>
      </c>
      <c r="K13" s="0" t="n">
        <f aca="false">K11+K12</f>
        <v>63742.7856287065</v>
      </c>
      <c r="L13" s="0" t="n">
        <f aca="false">L11+L12</f>
        <v>65017.6413412806</v>
      </c>
    </row>
    <row r="14" customFormat="false" ht="15" hidden="false" customHeight="false" outlineLevel="0" collapsed="false">
      <c r="A14" s="0" t="s">
        <v>108</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123</v>
      </c>
      <c r="C15" s="0" t="n">
        <f aca="false">C13-MAX(0,C13)*C14/100</f>
        <v>28423.380880284</v>
      </c>
      <c r="D15" s="0" t="n">
        <f aca="false">D13-MAX(0,D13)*D14/100</f>
        <v>31968.9101253506</v>
      </c>
      <c r="E15" s="0" t="n">
        <f aca="false">E13-MAX(0,E13)*E14/100</f>
        <v>35287.8101432843</v>
      </c>
      <c r="F15" s="0" t="n">
        <f aca="false">F13-MAX(0,F13)*F14/100</f>
        <v>38159.2346943451</v>
      </c>
      <c r="G15" s="0" t="n">
        <f aca="false">G13-MAX(0,G13)*G14/100</f>
        <v>40704.3922007993</v>
      </c>
      <c r="H15" s="0" t="n">
        <f aca="false">H13-MAX(0,H13)*H14/100</f>
        <v>41243.5386800644</v>
      </c>
      <c r="I15" s="0" t="n">
        <f aca="false">I13-MAX(0,I13)*I14/100</f>
        <v>42274.627147066</v>
      </c>
      <c r="J15" s="0" t="n">
        <f aca="false">J13-MAX(0,J13)*J14/100</f>
        <v>43120.1196900074</v>
      </c>
      <c r="K15" s="0" t="n">
        <f aca="false">K13-MAX(0,K13)*K14/100</f>
        <v>43982.5220838075</v>
      </c>
      <c r="L15" s="0" t="n">
        <f aca="false">L13-MAX(0,L13)*L14/100</f>
        <v>44862.1725254836</v>
      </c>
    </row>
    <row r="16" customFormat="false" ht="15" hidden="false" customHeight="false" outlineLevel="0" collapsed="false">
      <c r="A16" s="0" t="s">
        <v>124</v>
      </c>
      <c r="C16" s="0" t="n">
        <f aca="false">-C12</f>
        <v>44050.644742</v>
      </c>
      <c r="D16" s="0" t="n">
        <f aca="false">-D12</f>
        <v>45592.41730797</v>
      </c>
      <c r="E16" s="0" t="n">
        <f aca="false">-E12</f>
        <v>47825.8296423131</v>
      </c>
      <c r="F16" s="0" t="n">
        <f aca="false">-F12</f>
        <v>49260.6045315825</v>
      </c>
      <c r="G16" s="0" t="n">
        <f aca="false">-G12</f>
        <v>50738.42266753</v>
      </c>
      <c r="H16" s="0" t="n">
        <f aca="false">-H12</f>
        <v>52700.3083440078</v>
      </c>
      <c r="I16" s="0" t="n">
        <f aca="false">-I12</f>
        <v>54017.816052608</v>
      </c>
      <c r="J16" s="0" t="n">
        <f aca="false">-J12</f>
        <v>55098.1723736602</v>
      </c>
      <c r="K16" s="0" t="n">
        <f aca="false">-K12</f>
        <v>56200.1358211334</v>
      </c>
      <c r="L16" s="0" t="n">
        <f aca="false">-L12</f>
        <v>57324.138537556</v>
      </c>
    </row>
    <row r="17" customFormat="false" ht="15" hidden="false" customHeight="false" outlineLevel="0" collapsed="false">
      <c r="A17" s="0" t="s">
        <v>125</v>
      </c>
      <c r="C17" s="4" t="n">
        <f aca="false">-C6*Assumptions!C32/100</f>
        <v>-63694.851181</v>
      </c>
      <c r="D17" s="4" t="n">
        <f aca="false">-D6*Assumptions!D32/100</f>
        <v>-59146.91975088</v>
      </c>
      <c r="E17" s="4" t="n">
        <f aca="false">-E6*Assumptions!E32/100</f>
        <v>-56753.3178422116</v>
      </c>
      <c r="F17" s="4" t="n">
        <f aca="false">-F6*Assumptions!F32/100</f>
        <v>-55171.8770753724</v>
      </c>
      <c r="G17" s="4" t="n">
        <f aca="false">-G6*Assumptions!G32/100</f>
        <v>-54120.9841786987</v>
      </c>
      <c r="H17" s="4" t="n">
        <f aca="false">-H6*Assumptions!H32/100</f>
        <v>-55474.0087831661</v>
      </c>
      <c r="I17" s="4" t="n">
        <f aca="false">-I6*Assumptions!I32/100</f>
        <v>-56860.8590027453</v>
      </c>
      <c r="J17" s="4" t="n">
        <f aca="false">-J6*Assumptions!J32/100</f>
        <v>-57998.0761828002</v>
      </c>
      <c r="K17" s="4" t="n">
        <f aca="false">-K6*Assumptions!K32/100</f>
        <v>-59158.0377064562</v>
      </c>
      <c r="L17" s="4" t="n">
        <f aca="false">-L6*Assumptions!L32/100</f>
        <v>-60341.1984605853</v>
      </c>
    </row>
    <row r="18" customFormat="false" ht="15" hidden="false" customHeight="false" outlineLevel="0" collapsed="false">
      <c r="A18" s="0" t="s">
        <v>126</v>
      </c>
      <c r="C18" s="4" t="n">
        <f aca="false">(C6-B6)*Assumptions!$B$37/100</f>
        <v>-3129.9966</v>
      </c>
      <c r="D18" s="4" t="n">
        <f aca="false">(D6-C6)*Assumptions!$B$37/100</f>
        <v>-4166.95288099998</v>
      </c>
      <c r="E18" s="4" t="n">
        <f aca="false">(E6-D6)*Assumptions!$B$37/100</f>
        <v>-4312.79623183499</v>
      </c>
      <c r="F18" s="4" t="n">
        <f aca="false">(F6-E6)*Assumptions!$B$37/100</f>
        <v>-3826.06637138505</v>
      </c>
      <c r="G18" s="4" t="n">
        <f aca="false">(G6-F6)*Assumptions!$B$37/100</f>
        <v>-3940.8483625266</v>
      </c>
      <c r="H18" s="4" t="n">
        <f aca="false">(H6-G6)*Assumptions!$B$37/100</f>
        <v>-3382.56151116865</v>
      </c>
      <c r="I18" s="4" t="n">
        <f aca="false">(I6-H6)*Assumptions!$B$37/100</f>
        <v>-3467.12554894786</v>
      </c>
      <c r="J18" s="4" t="n">
        <f aca="false">(J6-I6)*Assumptions!$B$37/100</f>
        <v>-2843.04295013726</v>
      </c>
      <c r="K18" s="4" t="n">
        <f aca="false">(K6-J6)*Assumptions!$B$37/100</f>
        <v>-2899.90380914002</v>
      </c>
      <c r="L18" s="4" t="n">
        <f aca="false">(L6-K6)*Assumptions!$B$37/100</f>
        <v>-2957.90188532281</v>
      </c>
    </row>
    <row r="19" customFormat="false" ht="15" hidden="false" customHeight="false" outlineLevel="0" collapsed="false">
      <c r="A19" s="0" t="s">
        <v>127</v>
      </c>
      <c r="C19" s="0" t="n">
        <f aca="false">C15+C16+C17+C18</f>
        <v>5649.177841284</v>
      </c>
      <c r="D19" s="0" t="n">
        <f aca="false">D15+D16+D17+D18</f>
        <v>14247.4548014406</v>
      </c>
      <c r="E19" s="0" t="n">
        <f aca="false">E15+E16+E17+E18</f>
        <v>22047.5257115509</v>
      </c>
      <c r="F19" s="0" t="n">
        <f aca="false">F15+F16+F17+F18</f>
        <v>28421.8957791701</v>
      </c>
      <c r="G19" s="0" t="n">
        <f aca="false">G15+G16+G17+G18</f>
        <v>33380.982327104</v>
      </c>
      <c r="H19" s="0" t="n">
        <f aca="false">H15+H16+H17+H18</f>
        <v>35087.2767297375</v>
      </c>
      <c r="I19" s="0" t="n">
        <f aca="false">I15+I16+I17+I18</f>
        <v>35964.4586479809</v>
      </c>
      <c r="J19" s="0" t="n">
        <f aca="false">J15+J16+J17+J18</f>
        <v>37377.1729307301</v>
      </c>
      <c r="K19" s="0" t="n">
        <f aca="false">K15+K16+K17+K18</f>
        <v>38124.7163893447</v>
      </c>
      <c r="L19" s="0" t="n">
        <f aca="false">L15+L16+L17+L18</f>
        <v>38887.2107171316</v>
      </c>
    </row>
    <row r="20" customFormat="false" ht="15" hidden="false" customHeight="false" outlineLevel="0" collapsed="false">
      <c r="A20" s="0" t="s">
        <v>128</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129</v>
      </c>
      <c r="C21" s="0" t="n">
        <f aca="false">C19*C20</f>
        <v>5279.60545914392</v>
      </c>
      <c r="D21" s="0" t="n">
        <f aca="false">D19*D20</f>
        <v>12444.2788029004</v>
      </c>
      <c r="E21" s="0" t="n">
        <f aca="false">E19*E20</f>
        <v>17997.3484290354</v>
      </c>
      <c r="F21" s="0" t="n">
        <f aca="false">F19*F20</f>
        <v>21682.9282072426</v>
      </c>
      <c r="G21" s="0" t="n">
        <f aca="false">G19*G20</f>
        <v>23800.1790568137</v>
      </c>
      <c r="H21" s="0" t="n">
        <f aca="false">H19*H20</f>
        <v>23380.1340037586</v>
      </c>
      <c r="I21" s="0" t="n">
        <f aca="false">I19*I20</f>
        <v>22396.8573400492</v>
      </c>
      <c r="J21" s="0" t="n">
        <f aca="false">J19*J20</f>
        <v>21753.8549485868</v>
      </c>
      <c r="K21" s="0" t="n">
        <f aca="false">K19*K20</f>
        <v>20737.3196706155</v>
      </c>
      <c r="L21" s="0" t="n">
        <f aca="false">L19*L20</f>
        <v>19768.2860411474</v>
      </c>
    </row>
    <row r="23" customFormat="false" ht="15" hidden="false" customHeight="false" outlineLevel="0" collapsed="false">
      <c r="A23" s="0" t="s">
        <v>105</v>
      </c>
      <c r="C23" s="4" t="n">
        <f aca="false">Assumptions!C30</f>
        <v>0.28</v>
      </c>
      <c r="D23" s="4" t="n">
        <f aca="false">Assumptions!D30</f>
        <v>0.28</v>
      </c>
      <c r="E23" s="4" t="n">
        <f aca="false">Assumptions!E30</f>
        <v>0.28</v>
      </c>
      <c r="F23" s="4" t="n">
        <f aca="false">Assumptions!F30</f>
        <v>0.28</v>
      </c>
      <c r="G23" s="4" t="n">
        <f aca="false">Assumptions!G30</f>
        <v>0.28</v>
      </c>
      <c r="H23" s="4" t="n">
        <f aca="false">Assumptions!H30</f>
        <v>0.28</v>
      </c>
      <c r="I23" s="4" t="n">
        <f aca="false">Assumptions!I30</f>
        <v>0.28</v>
      </c>
      <c r="J23" s="4" t="n">
        <f aca="false">Assumptions!J30</f>
        <v>0.28</v>
      </c>
      <c r="K23" s="4" t="n">
        <f aca="false">Assumptions!K30</f>
        <v>0.28</v>
      </c>
      <c r="L23" s="4" t="n">
        <f aca="false">Assumptions!L30</f>
        <v>0.28</v>
      </c>
    </row>
    <row r="24" customFormat="false" ht="15" hidden="false" customHeight="false" outlineLevel="0" collapsed="false">
      <c r="A24" s="0" t="s">
        <v>130</v>
      </c>
      <c r="C24" s="0" t="n">
        <f aca="false">-C6*C23/100</f>
        <v>-1666.7811524</v>
      </c>
      <c r="D24" s="0" t="n">
        <f aca="false">-D6*D23/100</f>
        <v>-1725.118492734</v>
      </c>
      <c r="E24" s="0" t="n">
        <f aca="false">-E6*E23/100</f>
        <v>-1785.49763997969</v>
      </c>
      <c r="F24" s="0" t="n">
        <f aca="false">-F6*F23/100</f>
        <v>-1839.06256917908</v>
      </c>
      <c r="G24" s="0" t="n">
        <f aca="false">-G6*G23/100</f>
        <v>-1894.23444625445</v>
      </c>
      <c r="H24" s="0" t="n">
        <f aca="false">-H6*H23/100</f>
        <v>-1941.59030741081</v>
      </c>
      <c r="I24" s="0" t="n">
        <f aca="false">-I6*I23/100</f>
        <v>-1990.13006509608</v>
      </c>
      <c r="J24" s="0" t="n">
        <f aca="false">-J6*J23/100</f>
        <v>-2029.93266639801</v>
      </c>
      <c r="K24" s="0" t="n">
        <f aca="false">-K6*K23/100</f>
        <v>-2070.53131972597</v>
      </c>
      <c r="L24" s="0" t="n">
        <f aca="false">-L6*L23/100</f>
        <v>-2111.94194612049</v>
      </c>
    </row>
    <row r="26" customFormat="false" ht="15" hidden="false" customHeight="false" outlineLevel="0" collapsed="false">
      <c r="A26" s="2" t="s">
        <v>131</v>
      </c>
    </row>
    <row r="27" customFormat="false" ht="15" hidden="false" customHeight="false" outlineLevel="0" collapsed="false">
      <c r="A27" s="0" t="s">
        <v>109</v>
      </c>
      <c r="B27" s="4" t="n">
        <f aca="false">Assumptions!$B$34</f>
        <v>7</v>
      </c>
    </row>
    <row r="28" customFormat="false" ht="15" hidden="false" customHeight="false" outlineLevel="0" collapsed="false">
      <c r="A28" s="0" t="s">
        <v>110</v>
      </c>
      <c r="B28" s="4" t="n">
        <f aca="false">Assumptions!$B$35</f>
        <v>1.5</v>
      </c>
    </row>
    <row r="29" customFormat="false" ht="15" hidden="false" customHeight="false" outlineLevel="0" collapsed="false">
      <c r="A29" s="0" t="s">
        <v>111</v>
      </c>
      <c r="B29" s="4" t="n">
        <f aca="false">Assumptions!$B$36</f>
        <v>15</v>
      </c>
    </row>
    <row r="30" customFormat="false" ht="15" hidden="false" customHeight="false" outlineLevel="0" collapsed="false">
      <c r="A30" s="0" t="s">
        <v>132</v>
      </c>
      <c r="B30" s="0" t="n">
        <f aca="false">SUM(C21:L21)</f>
        <v>189240.791959294</v>
      </c>
    </row>
    <row r="31" customFormat="false" ht="15" hidden="false" customHeight="false" outlineLevel="0" collapsed="false">
      <c r="A31" s="0" t="s">
        <v>133</v>
      </c>
      <c r="B31" s="0" t="n">
        <f aca="false">L19</f>
        <v>38887.2107171316</v>
      </c>
    </row>
    <row r="32" customFormat="false" ht="15" hidden="false" customHeight="false" outlineLevel="0" collapsed="false">
      <c r="A32" s="0" t="s">
        <v>134</v>
      </c>
      <c r="B32" s="0" t="n">
        <f aca="false">IF(B27&gt;B28,B31*(1+B28/100)/((B27-B28)/100),B31*B29)</f>
        <v>717645.797779792</v>
      </c>
    </row>
    <row r="33" customFormat="false" ht="15" hidden="false" customHeight="false" outlineLevel="0" collapsed="false">
      <c r="A33" s="0" t="s">
        <v>135</v>
      </c>
      <c r="B33" s="0" t="n">
        <f aca="false">B31*B29</f>
        <v>583308.160756974</v>
      </c>
    </row>
    <row r="34" customFormat="false" ht="15" hidden="false" customHeight="false" outlineLevel="0" collapsed="false">
      <c r="A34" s="0" t="s">
        <v>136</v>
      </c>
      <c r="B34" s="0" t="n">
        <f aca="false">MAX(0,MIN(B32,B33))</f>
        <v>583308.160756974</v>
      </c>
    </row>
    <row r="35" customFormat="false" ht="15" hidden="false" customHeight="false" outlineLevel="0" collapsed="false">
      <c r="A35" s="0" t="s">
        <v>137</v>
      </c>
      <c r="B35" s="0" t="n">
        <f aca="false">B34/(1+B27/100)^L4</f>
        <v>296524.290617212</v>
      </c>
    </row>
    <row r="36" customFormat="false" ht="15" hidden="false" customHeight="false" outlineLevel="0" collapsed="false">
      <c r="A36" s="0" t="s">
        <v>138</v>
      </c>
      <c r="B36" s="0" t="n">
        <f aca="false">B30+B35</f>
        <v>485765.082576505</v>
      </c>
    </row>
    <row r="37" customFormat="false" ht="15" hidden="false" customHeight="false" outlineLevel="0" collapsed="false">
      <c r="A37" s="0" t="s">
        <v>139</v>
      </c>
      <c r="B37" s="0" t="n">
        <f aca="false">B36+Assumptions!$B$5-Assumptions!$B$4</f>
        <v>277546.082576505</v>
      </c>
    </row>
    <row r="38" customFormat="false" ht="15" hidden="false" customHeight="false" outlineLevel="0" collapsed="false">
      <c r="A38" s="0" t="s">
        <v>140</v>
      </c>
      <c r="B38" s="0" t="n">
        <f aca="false">B37/Assumptions!$B$3*Assumptions!$B$10</f>
        <v>1086.74115021361</v>
      </c>
    </row>
    <row r="39" customFormat="false" ht="15" hidden="false" customHeight="false" outlineLevel="0" collapsed="false">
      <c r="A39" s="0" t="s">
        <v>141</v>
      </c>
      <c r="B39" s="4" t="n">
        <f aca="false">B38/Assumptions!$B$2-1</f>
        <v>-0.252328070028474</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1086.74115021361</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292374.213910286</v>
      </c>
    </row>
    <row r="47" customFormat="false" ht="15" hidden="false" customHeight="false" outlineLevel="0" collapsed="false">
      <c r="A47" s="0" t="s">
        <v>146</v>
      </c>
      <c r="B47" s="0" t="n">
        <f aca="false">(SUMPRODUCT(C19:L19/(1+B45/100)^C4:L4)+B46/(1+B45/100)^L4+Assumptions!$B$5-Assumptions!$B$4)/Assumptions!$B$3*Assumptions!$B$10</f>
        <v>-45.2712788405388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4.5</v>
      </c>
      <c r="D5" s="4" t="n">
        <f aca="false">Assumptions!D41</f>
        <v>6</v>
      </c>
      <c r="E5" s="4" t="n">
        <f aca="false">Assumptions!E41</f>
        <v>6</v>
      </c>
      <c r="F5" s="4" t="n">
        <f aca="false">Assumptions!F41</f>
        <v>5</v>
      </c>
      <c r="G5" s="4" t="n">
        <f aca="false">Assumptions!G41</f>
        <v>5</v>
      </c>
      <c r="H5" s="4" t="n">
        <f aca="false">Assumptions!H41</f>
        <v>4</v>
      </c>
      <c r="I5" s="4" t="n">
        <f aca="false">Assumptions!I41</f>
        <v>3.5</v>
      </c>
      <c r="J5" s="4" t="n">
        <f aca="false">Assumptions!J41</f>
        <v>3</v>
      </c>
      <c r="K5" s="4" t="n">
        <f aca="false">Assumptions!K41</f>
        <v>3</v>
      </c>
      <c r="L5" s="4" t="n">
        <f aca="false">Assumptions!L41</f>
        <v>2.5</v>
      </c>
    </row>
    <row r="6" customFormat="false" ht="15" hidden="false" customHeight="false" outlineLevel="0" collapsed="false">
      <c r="A6" s="0" t="s">
        <v>37</v>
      </c>
      <c r="B6" s="3" t="n">
        <v>579629</v>
      </c>
      <c r="C6" s="0" t="n">
        <f aca="false">B6*(1+C5/100)</f>
        <v>605712.305</v>
      </c>
      <c r="D6" s="0" t="n">
        <f aca="false">C6*(1+D5/100)</f>
        <v>642055.0433</v>
      </c>
      <c r="E6" s="0" t="n">
        <f aca="false">D6*(1+E5/100)</f>
        <v>680578.345898</v>
      </c>
      <c r="F6" s="0" t="n">
        <f aca="false">E6*(1+F5/100)</f>
        <v>714607.2631929</v>
      </c>
      <c r="G6" s="0" t="n">
        <f aca="false">F6*(1+G5/100)</f>
        <v>750337.626352545</v>
      </c>
      <c r="H6" s="0" t="n">
        <f aca="false">G6*(1+H5/100)</f>
        <v>780351.131406647</v>
      </c>
      <c r="I6" s="0" t="n">
        <f aca="false">H6*(1+I5/100)</f>
        <v>807663.42100588</v>
      </c>
      <c r="J6" s="0" t="n">
        <f aca="false">I6*(1+J5/100)</f>
        <v>831893.323636056</v>
      </c>
      <c r="K6" s="0" t="n">
        <f aca="false">J6*(1+K5/100)</f>
        <v>856850.123345138</v>
      </c>
      <c r="L6" s="0" t="n">
        <f aca="false">K6*(1+L5/100)</f>
        <v>878271.376428766</v>
      </c>
    </row>
    <row r="7" customFormat="false" ht="15" hidden="false" customHeight="false" outlineLevel="0" collapsed="false">
      <c r="A7" s="0" t="s">
        <v>103</v>
      </c>
      <c r="C7" s="4" t="n">
        <f aca="false">Assumptions!C42</f>
        <v>15</v>
      </c>
      <c r="D7" s="4" t="n">
        <f aca="false">Assumptions!D42</f>
        <v>16</v>
      </c>
      <c r="E7" s="4" t="n">
        <f aca="false">Assumptions!E42</f>
        <v>17</v>
      </c>
      <c r="F7" s="4" t="n">
        <f aca="false">Assumptions!F42</f>
        <v>17.5</v>
      </c>
      <c r="G7" s="4" t="n">
        <f aca="false">Assumptions!G42</f>
        <v>18</v>
      </c>
      <c r="H7" s="4" t="n">
        <f aca="false">Assumptions!H42</f>
        <v>18</v>
      </c>
      <c r="I7" s="4" t="n">
        <f aca="false">Assumptions!I42</f>
        <v>18</v>
      </c>
      <c r="J7" s="4" t="n">
        <f aca="false">Assumptions!J42</f>
        <v>18</v>
      </c>
      <c r="K7" s="4" t="n">
        <f aca="false">Assumptions!K42</f>
        <v>18</v>
      </c>
      <c r="L7" s="4" t="n">
        <f aca="false">Assumptions!L42</f>
        <v>18</v>
      </c>
    </row>
    <row r="8" customFormat="false" ht="15" hidden="false" customHeight="false" outlineLevel="0" collapsed="false">
      <c r="A8" s="0" t="s">
        <v>43</v>
      </c>
      <c r="C8" s="0" t="n">
        <f aca="false">C6*C7/100</f>
        <v>90856.84575</v>
      </c>
      <c r="D8" s="0" t="n">
        <f aca="false">D6*D7/100</f>
        <v>102728.806928</v>
      </c>
      <c r="E8" s="0" t="n">
        <f aca="false">E6*E7/100</f>
        <v>115698.31880266</v>
      </c>
      <c r="F8" s="0" t="n">
        <f aca="false">F6*F7/100</f>
        <v>125056.271058758</v>
      </c>
      <c r="G8" s="0" t="n">
        <f aca="false">G6*G7/100</f>
        <v>135060.772743458</v>
      </c>
      <c r="H8" s="0" t="n">
        <f aca="false">H6*H7/100</f>
        <v>140463.203653196</v>
      </c>
      <c r="I8" s="0" t="n">
        <f aca="false">I6*I7/100</f>
        <v>145379.415781058</v>
      </c>
      <c r="J8" s="0" t="n">
        <f aca="false">J6*J7/100</f>
        <v>149740.79825449</v>
      </c>
      <c r="K8" s="0" t="n">
        <f aca="false">K6*K7/100</f>
        <v>154233.022202125</v>
      </c>
      <c r="L8" s="0" t="n">
        <f aca="false">L6*L7/100</f>
        <v>158088.847757178</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89160.851296</v>
      </c>
      <c r="D11" s="0" t="n">
        <f aca="false">D8+D10+D24</f>
        <v>100931.05280676</v>
      </c>
      <c r="E11" s="0" t="n">
        <f aca="false">E8+E10+E24</f>
        <v>113792.699434146</v>
      </c>
      <c r="F11" s="0" t="n">
        <f aca="false">F8+F10+F24</f>
        <v>123055.370721817</v>
      </c>
      <c r="G11" s="0" t="n">
        <f aca="false">G8+G10+G24</f>
        <v>132959.827389671</v>
      </c>
      <c r="H11" s="0" t="n">
        <f aca="false">H8+H10+H24</f>
        <v>138278.220485258</v>
      </c>
      <c r="I11" s="0" t="n">
        <f aca="false">I8+I10+I24</f>
        <v>143117.958202242</v>
      </c>
      <c r="J11" s="0" t="n">
        <f aca="false">J8+J10+J24</f>
        <v>147411.496948309</v>
      </c>
      <c r="K11" s="0" t="n">
        <f aca="false">K8+K10+K24</f>
        <v>151833.841856758</v>
      </c>
      <c r="L11" s="0" t="n">
        <f aca="false">L8+L10+L24</f>
        <v>155629.687903177</v>
      </c>
    </row>
    <row r="12" customFormat="false" ht="15" hidden="false" customHeight="false" outlineLevel="0" collapsed="false">
      <c r="A12" s="0" t="s">
        <v>121</v>
      </c>
      <c r="C12" s="4" t="n">
        <f aca="false">-C6*Assumptions!C45/100</f>
        <v>-44822.71057</v>
      </c>
      <c r="D12" s="4" t="n">
        <f aca="false">-D6*Assumptions!D45/100</f>
        <v>-46870.0181609</v>
      </c>
      <c r="E12" s="4" t="n">
        <f aca="false">-E6*Assumptions!E45/100</f>
        <v>-49682.219250554</v>
      </c>
      <c r="F12" s="4" t="n">
        <f aca="false">-F6*Assumptions!F45/100</f>
        <v>-52166.3302130817</v>
      </c>
      <c r="G12" s="4" t="n">
        <f aca="false">-G6*Assumptions!G45/100</f>
        <v>-54774.6467237358</v>
      </c>
      <c r="H12" s="4" t="n">
        <f aca="false">-H6*Assumptions!H45/100</f>
        <v>-56965.6325926852</v>
      </c>
      <c r="I12" s="4" t="n">
        <f aca="false">-I6*Assumptions!I45/100</f>
        <v>-58959.4297334292</v>
      </c>
      <c r="J12" s="4" t="n">
        <f aca="false">-J6*Assumptions!J45/100</f>
        <v>-60728.2126254321</v>
      </c>
      <c r="K12" s="4" t="n">
        <f aca="false">-K6*Assumptions!K45/100</f>
        <v>-62550.059004195</v>
      </c>
      <c r="L12" s="4" t="n">
        <f aca="false">-L6*Assumptions!L45/100</f>
        <v>-64113.8104792999</v>
      </c>
    </row>
    <row r="13" customFormat="false" ht="15" hidden="false" customHeight="false" outlineLevel="0" collapsed="false">
      <c r="A13" s="0" t="s">
        <v>122</v>
      </c>
      <c r="C13" s="0" t="n">
        <f aca="false">C11+C12</f>
        <v>44338.140726</v>
      </c>
      <c r="D13" s="0" t="n">
        <f aca="false">D11+D12</f>
        <v>54061.03464586</v>
      </c>
      <c r="E13" s="0" t="n">
        <f aca="false">E11+E12</f>
        <v>64110.4801835916</v>
      </c>
      <c r="F13" s="0" t="n">
        <f aca="false">F11+F12</f>
        <v>70889.0405087357</v>
      </c>
      <c r="G13" s="0" t="n">
        <f aca="false">G11+G12</f>
        <v>78185.1806659352</v>
      </c>
      <c r="H13" s="0" t="n">
        <f aca="false">H11+H12</f>
        <v>81312.5878925726</v>
      </c>
      <c r="I13" s="0" t="n">
        <f aca="false">I11+I12</f>
        <v>84158.5284688127</v>
      </c>
      <c r="J13" s="0" t="n">
        <f aca="false">J11+J12</f>
        <v>86683.284322877</v>
      </c>
      <c r="K13" s="0" t="n">
        <f aca="false">K11+K12</f>
        <v>89283.7828525633</v>
      </c>
      <c r="L13" s="0" t="n">
        <f aca="false">L11+L12</f>
        <v>91515.8774238774</v>
      </c>
    </row>
    <row r="14" customFormat="false" ht="15" hidden="false" customHeight="false" outlineLevel="0" collapsed="false">
      <c r="A14" s="0" t="s">
        <v>108</v>
      </c>
      <c r="C14" s="4" t="n">
        <f aca="false">Assumptions!C47</f>
        <v>31</v>
      </c>
      <c r="D14" s="4" t="n">
        <f aca="false">Assumptions!D47</f>
        <v>31</v>
      </c>
      <c r="E14" s="4" t="n">
        <f aca="false">Assumptions!E47</f>
        <v>31</v>
      </c>
      <c r="F14" s="4" t="n">
        <f aca="false">Assumptions!F47</f>
        <v>31</v>
      </c>
      <c r="G14" s="4" t="n">
        <f aca="false">Assumptions!G47</f>
        <v>31</v>
      </c>
      <c r="H14" s="4" t="n">
        <f aca="false">Assumptions!H47</f>
        <v>31</v>
      </c>
      <c r="I14" s="4" t="n">
        <f aca="false">Assumptions!I47</f>
        <v>31</v>
      </c>
      <c r="J14" s="4" t="n">
        <f aca="false">Assumptions!J47</f>
        <v>31</v>
      </c>
      <c r="K14" s="4" t="n">
        <f aca="false">Assumptions!K47</f>
        <v>31</v>
      </c>
      <c r="L14" s="4" t="n">
        <f aca="false">Assumptions!L47</f>
        <v>31</v>
      </c>
    </row>
    <row r="15" customFormat="false" ht="15" hidden="false" customHeight="false" outlineLevel="0" collapsed="false">
      <c r="A15" s="0" t="s">
        <v>123</v>
      </c>
      <c r="C15" s="0" t="n">
        <f aca="false">C13-MAX(0,C13)*C14/100</f>
        <v>30593.31710094</v>
      </c>
      <c r="D15" s="0" t="n">
        <f aca="false">D13-MAX(0,D13)*D14/100</f>
        <v>37302.1139056434</v>
      </c>
      <c r="E15" s="0" t="n">
        <f aca="false">E13-MAX(0,E13)*E14/100</f>
        <v>44236.2313266782</v>
      </c>
      <c r="F15" s="0" t="n">
        <f aca="false">F13-MAX(0,F13)*F14/100</f>
        <v>48913.4379510276</v>
      </c>
      <c r="G15" s="0" t="n">
        <f aca="false">G13-MAX(0,G13)*G14/100</f>
        <v>53947.7746594953</v>
      </c>
      <c r="H15" s="0" t="n">
        <f aca="false">H13-MAX(0,H13)*H14/100</f>
        <v>56105.6856458751</v>
      </c>
      <c r="I15" s="0" t="n">
        <f aca="false">I13-MAX(0,I13)*I14/100</f>
        <v>58069.3846434807</v>
      </c>
      <c r="J15" s="0" t="n">
        <f aca="false">J13-MAX(0,J13)*J14/100</f>
        <v>59811.4661827852</v>
      </c>
      <c r="K15" s="0" t="n">
        <f aca="false">K13-MAX(0,K13)*K14/100</f>
        <v>61605.8101682687</v>
      </c>
      <c r="L15" s="0" t="n">
        <f aca="false">L13-MAX(0,L13)*L14/100</f>
        <v>63145.9554224754</v>
      </c>
    </row>
    <row r="16" customFormat="false" ht="15" hidden="false" customHeight="false" outlineLevel="0" collapsed="false">
      <c r="A16" s="0" t="s">
        <v>124</v>
      </c>
      <c r="C16" s="0" t="n">
        <f aca="false">-C12</f>
        <v>44822.71057</v>
      </c>
      <c r="D16" s="0" t="n">
        <f aca="false">-D12</f>
        <v>46870.0181609</v>
      </c>
      <c r="E16" s="0" t="n">
        <f aca="false">-E12</f>
        <v>49682.219250554</v>
      </c>
      <c r="F16" s="0" t="n">
        <f aca="false">-F12</f>
        <v>52166.3302130817</v>
      </c>
      <c r="G16" s="0" t="n">
        <f aca="false">-G12</f>
        <v>54774.6467237358</v>
      </c>
      <c r="H16" s="0" t="n">
        <f aca="false">-H12</f>
        <v>56965.6325926852</v>
      </c>
      <c r="I16" s="0" t="n">
        <f aca="false">-I12</f>
        <v>58959.4297334292</v>
      </c>
      <c r="J16" s="0" t="n">
        <f aca="false">-J12</f>
        <v>60728.2126254321</v>
      </c>
      <c r="K16" s="0" t="n">
        <f aca="false">-K12</f>
        <v>62550.059004195</v>
      </c>
      <c r="L16" s="0" t="n">
        <f aca="false">-L12</f>
        <v>64113.8104792999</v>
      </c>
    </row>
    <row r="17" customFormat="false" ht="15" hidden="false" customHeight="false" outlineLevel="0" collapsed="false">
      <c r="A17" s="0" t="s">
        <v>125</v>
      </c>
      <c r="C17" s="4" t="n">
        <f aca="false">-C6*Assumptions!C46/100</f>
        <v>-63599.792025</v>
      </c>
      <c r="D17" s="4" t="n">
        <f aca="false">-D6*Assumptions!D46/100</f>
        <v>-57784.953897</v>
      </c>
      <c r="E17" s="4" t="n">
        <f aca="false">-E6*Assumptions!E46/100</f>
        <v>-55807.424363636</v>
      </c>
      <c r="F17" s="4" t="n">
        <f aca="false">-F6*Assumptions!F46/100</f>
        <v>-55739.3665290462</v>
      </c>
      <c r="G17" s="4" t="n">
        <f aca="false">-G6*Assumptions!G46/100</f>
        <v>-56275.3219764409</v>
      </c>
      <c r="H17" s="4" t="n">
        <f aca="false">-H6*Assumptions!H46/100</f>
        <v>-58526.3348554985</v>
      </c>
      <c r="I17" s="4" t="n">
        <f aca="false">-I6*Assumptions!I46/100</f>
        <v>-60574.756575441</v>
      </c>
      <c r="J17" s="4" t="n">
        <f aca="false">-J6*Assumptions!J46/100</f>
        <v>-62391.9992727042</v>
      </c>
      <c r="K17" s="4" t="n">
        <f aca="false">-K6*Assumptions!K46/100</f>
        <v>-64263.7592508853</v>
      </c>
      <c r="L17" s="4" t="n">
        <f aca="false">-L6*Assumptions!L46/100</f>
        <v>-65870.3532321575</v>
      </c>
    </row>
    <row r="18" customFormat="false" ht="15" hidden="false" customHeight="false" outlineLevel="0" collapsed="false">
      <c r="A18" s="0" t="s">
        <v>126</v>
      </c>
      <c r="C18" s="4" t="n">
        <f aca="false">(C6-B6)*Assumptions!$B$51/100</f>
        <v>-3912.49574999999</v>
      </c>
      <c r="D18" s="4" t="n">
        <f aca="false">(D6-C6)*Assumptions!$B$51/100</f>
        <v>-5451.41074500001</v>
      </c>
      <c r="E18" s="4" t="n">
        <f aca="false">(E6-D6)*Assumptions!$B$51/100</f>
        <v>-5778.49538970001</v>
      </c>
      <c r="F18" s="4" t="n">
        <f aca="false">(F6-E6)*Assumptions!$B$51/100</f>
        <v>-5104.33759423501</v>
      </c>
      <c r="G18" s="4" t="n">
        <f aca="false">(G6-F6)*Assumptions!$B$51/100</f>
        <v>-5359.55447394675</v>
      </c>
      <c r="H18" s="4" t="n">
        <f aca="false">(H6-G6)*Assumptions!$B$51/100</f>
        <v>-4502.02575811527</v>
      </c>
      <c r="I18" s="4" t="n">
        <f aca="false">(I6-H6)*Assumptions!$B$51/100</f>
        <v>-4096.84343988489</v>
      </c>
      <c r="J18" s="4" t="n">
        <f aca="false">(J6-I6)*Assumptions!$B$51/100</f>
        <v>-3634.48539452646</v>
      </c>
      <c r="K18" s="4" t="n">
        <f aca="false">(K6-J6)*Assumptions!$B$51/100</f>
        <v>-3743.51995636225</v>
      </c>
      <c r="L18" s="4" t="n">
        <f aca="false">(L6-K6)*Assumptions!$B$51/100</f>
        <v>-3213.18796254426</v>
      </c>
    </row>
    <row r="19" customFormat="false" ht="15" hidden="false" customHeight="false" outlineLevel="0" collapsed="false">
      <c r="A19" s="0" t="s">
        <v>127</v>
      </c>
      <c r="C19" s="0" t="n">
        <f aca="false">C15+C16+C17+C18</f>
        <v>7903.73989594002</v>
      </c>
      <c r="D19" s="0" t="n">
        <f aca="false">D15+D16+D17+D18</f>
        <v>20935.7674245434</v>
      </c>
      <c r="E19" s="0" t="n">
        <f aca="false">E15+E16+E17+E18</f>
        <v>32332.5308238962</v>
      </c>
      <c r="F19" s="0" t="n">
        <f aca="false">F15+F16+F17+F18</f>
        <v>40236.0640408281</v>
      </c>
      <c r="G19" s="0" t="n">
        <f aca="false">G15+G16+G17+G18</f>
        <v>47087.5449328434</v>
      </c>
      <c r="H19" s="0" t="n">
        <f aca="false">H15+H16+H17+H18</f>
        <v>50042.9576249466</v>
      </c>
      <c r="I19" s="0" t="n">
        <f aca="false">I15+I16+I17+I18</f>
        <v>52357.2143615841</v>
      </c>
      <c r="J19" s="0" t="n">
        <f aca="false">J15+J16+J17+J18</f>
        <v>54513.1941409866</v>
      </c>
      <c r="K19" s="0" t="n">
        <f aca="false">K15+K16+K17+K18</f>
        <v>56148.5899652162</v>
      </c>
      <c r="L19" s="0" t="n">
        <f aca="false">L15+L16+L17+L18</f>
        <v>58176.2247070736</v>
      </c>
    </row>
    <row r="20" customFormat="false" ht="15" hidden="false" customHeight="false" outlineLevel="0" collapsed="false">
      <c r="A20" s="0" t="s">
        <v>128</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129</v>
      </c>
      <c r="C21" s="0" t="n">
        <f aca="false">C19*C20</f>
        <v>7386.67279994394</v>
      </c>
      <c r="D21" s="0" t="n">
        <f aca="false">D19*D20</f>
        <v>18286.1100747169</v>
      </c>
      <c r="E21" s="0" t="n">
        <f aca="false">E19*E20</f>
        <v>26392.9762660545</v>
      </c>
      <c r="F21" s="0" t="n">
        <f aca="false">F19*F20</f>
        <v>30695.9006083854</v>
      </c>
      <c r="G21" s="0" t="n">
        <f aca="false">G19*G20</f>
        <v>33572.7687629336</v>
      </c>
      <c r="H21" s="0" t="n">
        <f aca="false">H19*H20</f>
        <v>33345.7356701624</v>
      </c>
      <c r="I21" s="0" t="n">
        <f aca="false">I19*I20</f>
        <v>32605.4417294727</v>
      </c>
      <c r="J21" s="0" t="n">
        <f aca="false">J19*J20</f>
        <v>31727.1753089757</v>
      </c>
      <c r="K21" s="0" t="n">
        <f aca="false">K19*K20</f>
        <v>30541.1126806028</v>
      </c>
      <c r="L21" s="0" t="n">
        <f aca="false">L19*L20</f>
        <v>29573.8426489111</v>
      </c>
    </row>
    <row r="23" customFormat="false" ht="15" hidden="false" customHeight="false" outlineLevel="0" collapsed="false">
      <c r="A23" s="0" t="s">
        <v>105</v>
      </c>
      <c r="C23" s="4" t="n">
        <f aca="false">Assumptions!C44</f>
        <v>0.28</v>
      </c>
      <c r="D23" s="4" t="n">
        <f aca="false">Assumptions!D44</f>
        <v>0.28</v>
      </c>
      <c r="E23" s="4" t="n">
        <f aca="false">Assumptions!E44</f>
        <v>0.28</v>
      </c>
      <c r="F23" s="4" t="n">
        <f aca="false">Assumptions!F44</f>
        <v>0.28</v>
      </c>
      <c r="G23" s="4" t="n">
        <f aca="false">Assumptions!G44</f>
        <v>0.28</v>
      </c>
      <c r="H23" s="4" t="n">
        <f aca="false">Assumptions!H44</f>
        <v>0.28</v>
      </c>
      <c r="I23" s="4" t="n">
        <f aca="false">Assumptions!I44</f>
        <v>0.28</v>
      </c>
      <c r="J23" s="4" t="n">
        <f aca="false">Assumptions!J44</f>
        <v>0.28</v>
      </c>
      <c r="K23" s="4" t="n">
        <f aca="false">Assumptions!K44</f>
        <v>0.28</v>
      </c>
      <c r="L23" s="4" t="n">
        <f aca="false">Assumptions!L44</f>
        <v>0.28</v>
      </c>
    </row>
    <row r="24" customFormat="false" ht="15" hidden="false" customHeight="false" outlineLevel="0" collapsed="false">
      <c r="A24" s="0" t="s">
        <v>130</v>
      </c>
      <c r="C24" s="0" t="n">
        <f aca="false">-C6*C23/100</f>
        <v>-1695.994454</v>
      </c>
      <c r="D24" s="0" t="n">
        <f aca="false">-D6*D23/100</f>
        <v>-1797.75412124</v>
      </c>
      <c r="E24" s="0" t="n">
        <f aca="false">-E6*E23/100</f>
        <v>-1905.6193685144</v>
      </c>
      <c r="F24" s="0" t="n">
        <f aca="false">-F6*F23/100</f>
        <v>-2000.90033694012</v>
      </c>
      <c r="G24" s="0" t="n">
        <f aca="false">-G6*G23/100</f>
        <v>-2100.94535378713</v>
      </c>
      <c r="H24" s="0" t="n">
        <f aca="false">-H6*H23/100</f>
        <v>-2184.98316793861</v>
      </c>
      <c r="I24" s="0" t="n">
        <f aca="false">-I6*I23/100</f>
        <v>-2261.45757881646</v>
      </c>
      <c r="J24" s="0" t="n">
        <f aca="false">-J6*J23/100</f>
        <v>-2329.30130618096</v>
      </c>
      <c r="K24" s="0" t="n">
        <f aca="false">-K6*K23/100</f>
        <v>-2399.18034536639</v>
      </c>
      <c r="L24" s="0" t="n">
        <f aca="false">-L6*L23/100</f>
        <v>-2459.15985400055</v>
      </c>
    </row>
    <row r="26" customFormat="false" ht="15" hidden="false" customHeight="false" outlineLevel="0" collapsed="false">
      <c r="A26" s="2" t="s">
        <v>131</v>
      </c>
    </row>
    <row r="27" customFormat="false" ht="15" hidden="false" customHeight="false" outlineLevel="0" collapsed="false">
      <c r="A27" s="0" t="s">
        <v>109</v>
      </c>
      <c r="B27" s="4" t="n">
        <f aca="false">Assumptions!$B$48</f>
        <v>7</v>
      </c>
    </row>
    <row r="28" customFormat="false" ht="15" hidden="false" customHeight="false" outlineLevel="0" collapsed="false">
      <c r="A28" s="0" t="s">
        <v>110</v>
      </c>
      <c r="B28" s="4" t="n">
        <f aca="false">Assumptions!$B$49</f>
        <v>2</v>
      </c>
    </row>
    <row r="29" customFormat="false" ht="15" hidden="false" customHeight="false" outlineLevel="0" collapsed="false">
      <c r="A29" s="0" t="s">
        <v>111</v>
      </c>
      <c r="B29" s="4" t="n">
        <f aca="false">Assumptions!$B$50</f>
        <v>16</v>
      </c>
    </row>
    <row r="30" customFormat="false" ht="15" hidden="false" customHeight="false" outlineLevel="0" collapsed="false">
      <c r="A30" s="0" t="s">
        <v>132</v>
      </c>
      <c r="B30" s="0" t="n">
        <f aca="false">SUM(C21:L21)</f>
        <v>274127.736550159</v>
      </c>
    </row>
    <row r="31" customFormat="false" ht="15" hidden="false" customHeight="false" outlineLevel="0" collapsed="false">
      <c r="A31" s="0" t="s">
        <v>133</v>
      </c>
      <c r="B31" s="0" t="n">
        <f aca="false">L19</f>
        <v>58176.2247070736</v>
      </c>
    </row>
    <row r="32" customFormat="false" ht="15" hidden="false" customHeight="false" outlineLevel="0" collapsed="false">
      <c r="A32" s="0" t="s">
        <v>134</v>
      </c>
      <c r="B32" s="0" t="n">
        <f aca="false">IF(B27&gt;B28,B31*(1+B28/100)/((B27-B28)/100),B31*B29)</f>
        <v>1186794.9840243</v>
      </c>
    </row>
    <row r="33" customFormat="false" ht="15" hidden="false" customHeight="false" outlineLevel="0" collapsed="false">
      <c r="A33" s="0" t="s">
        <v>135</v>
      </c>
      <c r="B33" s="0" t="n">
        <f aca="false">B31*B29</f>
        <v>930819.595313178</v>
      </c>
    </row>
    <row r="34" customFormat="false" ht="15" hidden="false" customHeight="false" outlineLevel="0" collapsed="false">
      <c r="A34" s="0" t="s">
        <v>136</v>
      </c>
      <c r="B34" s="0" t="n">
        <f aca="false">MAX(0,MIN(B32,B33))</f>
        <v>930819.595313178</v>
      </c>
    </row>
    <row r="35" customFormat="false" ht="15" hidden="false" customHeight="false" outlineLevel="0" collapsed="false">
      <c r="A35" s="0" t="s">
        <v>137</v>
      </c>
      <c r="B35" s="0" t="n">
        <f aca="false">B34/(1+B27/100)^L4</f>
        <v>473181.482382578</v>
      </c>
    </row>
    <row r="36" customFormat="false" ht="15" hidden="false" customHeight="false" outlineLevel="0" collapsed="false">
      <c r="A36" s="0" t="s">
        <v>138</v>
      </c>
      <c r="B36" s="0" t="n">
        <f aca="false">B30+B35</f>
        <v>747309.218932737</v>
      </c>
    </row>
    <row r="37" customFormat="false" ht="15" hidden="false" customHeight="false" outlineLevel="0" collapsed="false">
      <c r="A37" s="0" t="s">
        <v>139</v>
      </c>
      <c r="B37" s="0" t="n">
        <f aca="false">B36+Assumptions!$B$5-Assumptions!$B$4</f>
        <v>539090.218932737</v>
      </c>
    </row>
    <row r="38" customFormat="false" ht="15" hidden="false" customHeight="false" outlineLevel="0" collapsed="false">
      <c r="A38" s="0" t="s">
        <v>140</v>
      </c>
      <c r="B38" s="0" t="n">
        <f aca="false">B37/Assumptions!$B$3*Assumptions!$B$10</f>
        <v>2110.82613436052</v>
      </c>
    </row>
    <row r="39" customFormat="false" ht="15" hidden="false" customHeight="false" outlineLevel="0" collapsed="false">
      <c r="A39" s="0" t="s">
        <v>141</v>
      </c>
      <c r="B39" s="4" t="n">
        <f aca="false">B38/Assumptions!$B$2-1</f>
        <v>0.45223676254594</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2110.82613436052</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456459.609240116</v>
      </c>
    </row>
    <row r="47" customFormat="false" ht="15" hidden="false" customHeight="false" outlineLevel="0" collapsed="false">
      <c r="A47" s="0" t="s">
        <v>146</v>
      </c>
      <c r="B47" s="0" t="n">
        <f aca="false">(SUMPRODUCT(C19:L19/(1+B45/100)^C4:L4)+B46/(1+B45/100)^L4+Assumptions!$B$5-Assumptions!$B$4)/Assumptions!$B$3*Assumptions!$B$10</f>
        <v>330.74058325898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136.151378996193</v>
      </c>
      <c r="C4" s="0" t="n">
        <f aca="false">B4/Assumptions!$B$2-1</f>
        <v>-0.906328600621814</v>
      </c>
      <c r="D4" s="4" t="n">
        <f aca="false">Assumptions!$B$24</f>
        <v>0.25</v>
      </c>
      <c r="E4" s="4" t="n">
        <f aca="false">DCF_Bear!$B$43</f>
        <v>136.151378996193</v>
      </c>
      <c r="F4" s="4" t="n">
        <f aca="false">DCF_Bear!$B$47</f>
        <v>-381.376829368537</v>
      </c>
    </row>
    <row r="5" customFormat="false" ht="15" hidden="false" customHeight="false" outlineLevel="0" collapsed="false">
      <c r="A5" s="0" t="s">
        <v>155</v>
      </c>
      <c r="B5" s="4" t="n">
        <f aca="false">DCF_Base!$B$38</f>
        <v>1086.74115021361</v>
      </c>
      <c r="C5" s="0" t="n">
        <f aca="false">B5/Assumptions!$B$2-1</f>
        <v>-0.252328070028474</v>
      </c>
      <c r="D5" s="4" t="n">
        <f aca="false">Assumptions!$B$38</f>
        <v>0.5</v>
      </c>
      <c r="E5" s="4" t="n">
        <f aca="false">DCF_Base!$B$43</f>
        <v>1086.74115021361</v>
      </c>
      <c r="F5" s="4" t="n">
        <f aca="false">DCF_Base!$B$47</f>
        <v>-45.2712788405388</v>
      </c>
    </row>
    <row r="6" customFormat="false" ht="15" hidden="false" customHeight="false" outlineLevel="0" collapsed="false">
      <c r="A6" s="0" t="s">
        <v>156</v>
      </c>
      <c r="B6" s="4" t="n">
        <f aca="false">DCF_Bull!$B$38</f>
        <v>2110.82613436052</v>
      </c>
      <c r="C6" s="0" t="n">
        <f aca="false">B6/Assumptions!$B$2-1</f>
        <v>0.45223676254594</v>
      </c>
      <c r="D6" s="4" t="n">
        <f aca="false">Assumptions!$B$52</f>
        <v>0.25</v>
      </c>
      <c r="E6" s="4" t="n">
        <f aca="false">DCF_Bull!$B$43</f>
        <v>2110.82613436052</v>
      </c>
      <c r="F6" s="4" t="n">
        <f aca="false">DCF_Bull!$B$47</f>
        <v>330.74058325898</v>
      </c>
    </row>
    <row r="8" customFormat="false" ht="15" hidden="false" customHeight="false" outlineLevel="0" collapsed="false">
      <c r="A8" s="0" t="s">
        <v>157</v>
      </c>
      <c r="B8" s="0" t="n">
        <f aca="false">SUMPRODUCT(B4:B6,D4:D6)</f>
        <v>1105.11495344599</v>
      </c>
    </row>
    <row r="9" customFormat="false" ht="15" hidden="false" customHeight="false" outlineLevel="0" collapsed="false">
      <c r="A9" s="0" t="s">
        <v>158</v>
      </c>
      <c r="B9" s="0" t="n">
        <f aca="false">SUMPRODUCT(E4:E6,D4:D6)</f>
        <v>1105.11495344599</v>
      </c>
    </row>
    <row r="10" customFormat="false" ht="15" hidden="false" customHeight="false" outlineLevel="0" collapsed="false">
      <c r="A10" s="0" t="s">
        <v>159</v>
      </c>
      <c r="B10" s="0" t="n">
        <f aca="false">1-Assumptions!$B$2/B8</f>
        <v>-0.315247789804739</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-35.2947009476589</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1086.74115021361</v>
      </c>
      <c r="C15" s="3" t="n">
        <v>7</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718.295476264492</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514.052295954636</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353.621793663503</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224.447242041089</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-45.2712788405388</v>
      </c>
      <c r="C20" s="3" t="n">
        <v>15</v>
      </c>
    </row>
    <row r="22" customFormat="false" ht="15" hidden="false" customHeight="false" outlineLevel="0" collapsed="false">
      <c r="A22" s="2" t="s">
        <v>170</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1418.42941627537</v>
      </c>
      <c r="C24" s="0" t="n">
        <f aca="false">(SUMPRODUCT(DCF_Base!$C$19:$L$19/(1+$A$24/100)^DCF_Base!$C$4:$L$4)+MAX(0,MIN(IF($A$24&gt;$C$23,DCF_Base!$L$19*(1+$C$23/100)/(($A$24-$C$23)/100),DCF_Base!$L$19*DCF_Base!$B$29),DCF_Base!$L$19*DCF_Base!$B$29))/(1+$A$24/100)^DCF_Base!$L$4+Assumptions!$B$5-Assumptions!$B$4)/Assumptions!$B$3*Assumptions!$B$10</f>
        <v>1418.42941627537</v>
      </c>
      <c r="D24" s="0" t="n">
        <f aca="false">(SUMPRODUCT(DCF_Base!$C$19:$L$19/(1+$A$24/100)^DCF_Base!$C$4:$L$4)+MAX(0,MIN(IF($A$24&gt;$D$23,DCF_Base!$L$19*(1+$D$23/100)/(($A$24-$D$23)/100),DCF_Base!$L$19*DCF_Base!$B$29),DCF_Base!$L$19*DCF_Base!$B$29))/(1+$A$24/100)^DCF_Base!$L$4+Assumptions!$B$5-Assumptions!$B$4)/Assumptions!$B$3*Assumptions!$B$10</f>
        <v>1418.42941627537</v>
      </c>
      <c r="E24" s="0" t="n">
        <f aca="false">(SUMPRODUCT(DCF_Base!$C$19:$L$19/(1+$A$24/100)^DCF_Base!$C$4:$L$4)+MAX(0,MIN(IF($A$24&gt;$E$23,DCF_Base!$L$19*(1+$E$23/100)/(($A$24-$E$23)/100),DCF_Base!$L$19*DCF_Base!$B$29),DCF_Base!$L$19*DCF_Base!$B$29))/(1+$A$24/100)^DCF_Base!$L$4+Assumptions!$B$5-Assumptions!$B$4)/Assumptions!$B$3*Assumptions!$B$10</f>
        <v>1418.42941627537</v>
      </c>
      <c r="F24" s="0" t="n">
        <f aca="false">(SUMPRODUCT(DCF_Base!$C$19:$L$19/(1+$A$24/100)^DCF_Base!$C$4:$L$4)+MAX(0,MIN(IF($A$24&gt;$F$23,DCF_Base!$L$19*(1+$F$23/100)/(($A$24-$F$23)/100),DCF_Base!$L$19*DCF_Base!$B$29),DCF_Base!$L$19*DCF_Base!$B$29))/(1+$A$24/100)^DCF_Base!$L$4+Assumptions!$B$5-Assumptions!$B$4)/Assumptions!$B$3*Assumptions!$B$10</f>
        <v>1418.42941627537</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1244.59249972478</v>
      </c>
      <c r="C25" s="0" t="n">
        <f aca="false">(SUMPRODUCT(DCF_Base!$C$19:$L$19/(1+$A$25/100)^DCF_Base!$C$4:$L$4)+MAX(0,MIN(IF($A$25&gt;$C$23,DCF_Base!$L$19*(1+$C$23/100)/(($A$25-$C$23)/100),DCF_Base!$L$19*DCF_Base!$B$29),DCF_Base!$L$19*DCF_Base!$B$29))/(1+$A$25/100)^DCF_Base!$L$4+Assumptions!$B$5-Assumptions!$B$4)/Assumptions!$B$3*Assumptions!$B$10</f>
        <v>1244.59249972478</v>
      </c>
      <c r="D25" s="0" t="n">
        <f aca="false">(SUMPRODUCT(DCF_Base!$C$19:$L$19/(1+$A$25/100)^DCF_Base!$C$4:$L$4)+MAX(0,MIN(IF($A$25&gt;$D$23,DCF_Base!$L$19*(1+$D$23/100)/(($A$25-$D$23)/100),DCF_Base!$L$19*DCF_Base!$B$29),DCF_Base!$L$19*DCF_Base!$B$29))/(1+$A$25/100)^DCF_Base!$L$4+Assumptions!$B$5-Assumptions!$B$4)/Assumptions!$B$3*Assumptions!$B$10</f>
        <v>1244.59249972478</v>
      </c>
      <c r="E25" s="0" t="n">
        <f aca="false">(SUMPRODUCT(DCF_Base!$C$19:$L$19/(1+$A$25/100)^DCF_Base!$C$4:$L$4)+MAX(0,MIN(IF($A$25&gt;$E$23,DCF_Base!$L$19*(1+$E$23/100)/(($A$25-$E$23)/100),DCF_Base!$L$19*DCF_Base!$B$29),DCF_Base!$L$19*DCF_Base!$B$29))/(1+$A$25/100)^DCF_Base!$L$4+Assumptions!$B$5-Assumptions!$B$4)/Assumptions!$B$3*Assumptions!$B$10</f>
        <v>1244.59249972478</v>
      </c>
      <c r="F25" s="0" t="n">
        <f aca="false">(SUMPRODUCT(DCF_Base!$C$19:$L$19/(1+$A$25/100)^DCF_Base!$C$4:$L$4)+MAX(0,MIN(IF($A$25&gt;$F$23,DCF_Base!$L$19*(1+$F$23/100)/(($A$25-$F$23)/100),DCF_Base!$L$19*DCF_Base!$B$29),DCF_Base!$L$19*DCF_Base!$B$29))/(1+$A$25/100)^DCF_Base!$L$4+Assumptions!$B$5-Assumptions!$B$4)/Assumptions!$B$3*Assumptions!$B$10</f>
        <v>1244.59249972478</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1086.74115021361</v>
      </c>
      <c r="C26" s="0" t="n">
        <f aca="false">(SUMPRODUCT(DCF_Base!$C$19:$L$19/(1+$A$26/100)^DCF_Base!$C$4:$L$4)+MAX(0,MIN(IF($A$26&gt;$C$23,DCF_Base!$L$19*(1+$C$23/100)/(($A$26-$C$23)/100),DCF_Base!$L$19*DCF_Base!$B$29),DCF_Base!$L$19*DCF_Base!$B$29))/(1+$A$26/100)^DCF_Base!$L$4+Assumptions!$B$5-Assumptions!$B$4)/Assumptions!$B$3*Assumptions!$B$10</f>
        <v>1086.74115021361</v>
      </c>
      <c r="D26" s="0" t="n">
        <f aca="false">(SUMPRODUCT(DCF_Base!$C$19:$L$19/(1+$A$26/100)^DCF_Base!$C$4:$L$4)+MAX(0,MIN(IF($A$26&gt;$D$23,DCF_Base!$L$19*(1+$D$23/100)/(($A$26-$D$23)/100),DCF_Base!$L$19*DCF_Base!$B$29),DCF_Base!$L$19*DCF_Base!$B$29))/(1+$A$26/100)^DCF_Base!$L$4+Assumptions!$B$5-Assumptions!$B$4)/Assumptions!$B$3*Assumptions!$B$10</f>
        <v>1086.74115021361</v>
      </c>
      <c r="E26" s="0" t="n">
        <f aca="false">(SUMPRODUCT(DCF_Base!$C$19:$L$19/(1+$A$26/100)^DCF_Base!$C$4:$L$4)+MAX(0,MIN(IF($A$26&gt;$E$23,DCF_Base!$L$19*(1+$E$23/100)/(($A$26-$E$23)/100),DCF_Base!$L$19*DCF_Base!$B$29),DCF_Base!$L$19*DCF_Base!$B$29))/(1+$A$26/100)^DCF_Base!$L$4+Assumptions!$B$5-Assumptions!$B$4)/Assumptions!$B$3*Assumptions!$B$10</f>
        <v>1086.74115021361</v>
      </c>
      <c r="F26" s="0" t="n">
        <f aca="false">(SUMPRODUCT(DCF_Base!$C$19:$L$19/(1+$A$26/100)^DCF_Base!$C$4:$L$4)+MAX(0,MIN(IF($A$26&gt;$F$23,DCF_Base!$L$19*(1+$F$23/100)/(($A$26-$F$23)/100),DCF_Base!$L$19*DCF_Base!$B$29),DCF_Base!$L$19*DCF_Base!$B$29))/(1+$A$26/100)^DCF_Base!$L$4+Assumptions!$B$5-Assumptions!$B$4)/Assumptions!$B$3*Assumptions!$B$10</f>
        <v>1086.74115021361</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830.393614334794</v>
      </c>
      <c r="C27" s="0" t="n">
        <f aca="false">(SUMPRODUCT(DCF_Base!$C$19:$L$19/(1+$A$27/100)^DCF_Base!$C$4:$L$4)+MAX(0,MIN(IF($A$27&gt;$C$23,DCF_Base!$L$19*(1+$C$23/100)/(($A$27-$C$23)/100),DCF_Base!$L$19*DCF_Base!$B$29),DCF_Base!$L$19*DCF_Base!$B$29))/(1+$A$27/100)^DCF_Base!$L$4+Assumptions!$B$5-Assumptions!$B$4)/Assumptions!$B$3*Assumptions!$B$10</f>
        <v>902.936479628929</v>
      </c>
      <c r="D27" s="0" t="n">
        <f aca="false">(SUMPRODUCT(DCF_Base!$C$19:$L$19/(1+$A$27/100)^DCF_Base!$C$4:$L$4)+MAX(0,MIN(IF($A$27&gt;$D$23,DCF_Base!$L$19*(1+$D$23/100)/(($A$27-$D$23)/100),DCF_Base!$L$19*DCF_Base!$B$29),DCF_Base!$L$19*DCF_Base!$B$29))/(1+$A$27/100)^DCF_Base!$L$4+Assumptions!$B$5-Assumptions!$B$4)/Assumptions!$B$3*Assumptions!$B$10</f>
        <v>943.238071459004</v>
      </c>
      <c r="E27" s="0" t="n">
        <f aca="false">(SUMPRODUCT(DCF_Base!$C$19:$L$19/(1+$A$27/100)^DCF_Base!$C$4:$L$4)+MAX(0,MIN(IF($A$27&gt;$E$23,DCF_Base!$L$19*(1+$E$23/100)/(($A$27-$E$23)/100),DCF_Base!$L$19*DCF_Base!$B$29),DCF_Base!$L$19*DCF_Base!$B$29))/(1+$A$27/100)^DCF_Base!$L$4+Assumptions!$B$5-Assumptions!$B$4)/Assumptions!$B$3*Assumptions!$B$10</f>
        <v>943.238071459004</v>
      </c>
      <c r="F27" s="0" t="n">
        <f aca="false">(SUMPRODUCT(DCF_Base!$C$19:$L$19/(1+$A$27/100)^DCF_Base!$C$4:$L$4)+MAX(0,MIN(IF($A$27&gt;$F$23,DCF_Base!$L$19*(1+$F$23/100)/(($A$27-$F$23)/100),DCF_Base!$L$19*DCF_Base!$B$29),DCF_Base!$L$19*DCF_Base!$B$29))/(1+$A$27/100)^DCF_Base!$L$4+Assumptions!$B$5-Assumptions!$B$4)/Assumptions!$B$3*Assumptions!$B$10</f>
        <v>943.238071459004</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608.324233438982</v>
      </c>
      <c r="C28" s="0" t="n">
        <f aca="false">(SUMPRODUCT(DCF_Base!$C$19:$L$19/(1+$A$28/100)^DCF_Base!$C$4:$L$4)+MAX(0,MIN(IF($A$28&gt;$C$23,DCF_Base!$L$19*(1+$C$23/100)/(($A$28-$C$23)/100),DCF_Base!$L$19*DCF_Base!$B$29),DCF_Base!$L$19*DCF_Base!$B$29))/(1+$A$28/100)^DCF_Base!$L$4+Assumptions!$B$5-Assumptions!$B$4)/Assumptions!$B$3*Assumptions!$B$10</f>
        <v>659.87325351344</v>
      </c>
      <c r="D28" s="0" t="n">
        <f aca="false">(SUMPRODUCT(DCF_Base!$C$19:$L$19/(1+$A$28/100)^DCF_Base!$C$4:$L$4)+MAX(0,MIN(IF($A$28&gt;$D$23,DCF_Base!$L$19*(1+$D$23/100)/(($A$28-$D$23)/100),DCF_Base!$L$19*DCF_Base!$B$29),DCF_Base!$L$19*DCF_Base!$B$29))/(1+$A$28/100)^DCF_Base!$L$4+Assumptions!$B$5-Assumptions!$B$4)/Assumptions!$B$3*Assumptions!$B$10</f>
        <v>718.295476264492</v>
      </c>
      <c r="E28" s="0" t="n">
        <f aca="false">(SUMPRODUCT(DCF_Base!$C$19:$L$19/(1+$A$28/100)^DCF_Base!$C$4:$L$4)+MAX(0,MIN(IF($A$28&gt;$E$23,DCF_Base!$L$19*(1+$E$23/100)/(($A$28-$E$23)/100),DCF_Base!$L$19*DCF_Base!$B$29),DCF_Base!$L$19*DCF_Base!$B$29))/(1+$A$28/100)^DCF_Base!$L$4+Assumptions!$B$5-Assumptions!$B$4)/Assumptions!$B$3*Assumptions!$B$10</f>
        <v>785.063730837123</v>
      </c>
      <c r="F28" s="0" t="n">
        <f aca="false">(SUMPRODUCT(DCF_Base!$C$19:$L$19/(1+$A$28/100)^DCF_Base!$C$4:$L$4)+MAX(0,MIN(IF($A$28&gt;$F$23,DCF_Base!$L$19*(1+$F$23/100)/(($A$28-$F$23)/100),DCF_Base!$L$19*DCF_Base!$B$29),DCF_Base!$L$19*DCF_Base!$B$29))/(1+$A$28/100)^DCF_Base!$L$4+Assumptions!$B$5-Assumptions!$B$4)/Assumptions!$B$3*Assumptions!$B$10</f>
        <v>812.628606578118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2026-10-31T01:14:27Z</dcterms:created>
  <dc:creator>openpyxl</dc:creator>
  <dc:description/>
  <dc:language>en-NZ</dc:language>
  <cp:lastModifiedBy/>
  <dcterms:modified xsi:type="dcterms:W3CDTF">2026-10-31T01:14:27Z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