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Notes" sheetId="1" state="visible" r:id="rId1"/>
    <sheet xmlns:r="http://schemas.openxmlformats.org/officeDocument/2006/relationships" name="Inputs &amp; Anchors" sheetId="2" state="visible" r:id="rId2"/>
    <sheet xmlns:r="http://schemas.openxmlformats.org/officeDocument/2006/relationships" name="Historical Financials" sheetId="3" state="visible" r:id="rId3"/>
    <sheet xmlns:r="http://schemas.openxmlformats.org/officeDocument/2006/relationships" name="Bear Scenario" sheetId="4" state="visible" r:id="rId4"/>
    <sheet xmlns:r="http://schemas.openxmlformats.org/officeDocument/2006/relationships" name="Base Scenario" sheetId="5" state="visible" r:id="rId5"/>
    <sheet xmlns:r="http://schemas.openxmlformats.org/officeDocument/2006/relationships" name="Bull Scenario" sheetId="6" state="visible" r:id="rId6"/>
    <sheet xmlns:r="http://schemas.openxmlformats.org/officeDocument/2006/relationships" name="Weighted Summary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</font>
    <font>
      <b val="1"/>
      <color rgb="00FFFFFF"/>
      <sz val="11"/>
    </font>
    <font>
      <b val="1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3" fillId="6" borderId="1" pivotButton="0" quotePrefix="0" xfId="0"/>
    <xf numFmtId="164" fontId="3" fillId="6" borderId="1" pivotButton="0" quotePrefix="0" xfId="0"/>
    <xf numFmtId="0" fontId="4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0" fontId="1" fillId="4" borderId="0" pivotButton="0" quotePrefix="0" xfId="0"/>
    <xf numFmtId="0" fontId="1" fillId="5" borderId="0" pivotButton="0" quotePrefix="0" xfId="0"/>
    <xf numFmtId="9" fontId="0" fillId="3" borderId="1" pivotButton="0" quotePrefix="0" xfId="0"/>
    <xf numFmtId="166" fontId="0" fillId="3" borderId="1" pivotButton="0" quotePrefix="0" xfId="0"/>
    <xf numFmtId="9" fontId="0" fillId="4" borderId="1" pivotButton="0" quotePrefix="0" xfId="0"/>
    <xf numFmtId="166" fontId="0" fillId="4" borderId="1" pivotButton="0" quotePrefix="0" xfId="0"/>
    <xf numFmtId="9" fontId="0" fillId="5" borderId="1" pivotButton="0" quotePrefix="0" xfId="0"/>
    <xf numFmtId="166" fontId="0" fillId="5" borderId="1" pivotButton="0" quotePrefix="0" xfId="0"/>
    <xf numFmtId="9" fontId="3" fillId="6" borderId="1" pivotButton="0" quotePrefix="0" xfId="0"/>
    <xf numFmtId="166" fontId="3" fillId="6" borderId="1" pivotButton="0" quotePrefix="0" xfId="0"/>
    <xf numFmtId="164" fontId="0" fillId="0" borderId="0" pivotButton="0" quotePrefix="0" xfId="0"/>
    <xf numFmtId="166" fontId="0" fillId="0" borderId="0" pivotButton="0" quotePrefix="0" xfId="0"/>
    <xf numFmtId="0" fontId="4" fillId="2" borderId="0" pivotButton="0" quotePrefix="0" xfId="0"/>
    <xf numFmtId="9" fontId="4" fillId="2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New Talisman Gold Mines Limited (NTL.NZ) — Asset/Scenario-Weighted Valuation</t>
        </is>
      </c>
    </row>
    <row r="2">
      <c r="A2" s="2" t="inlineStr">
        <is>
          <t>Valuation date: 2026-08-20   |   Current price: NZ$0.009 (Yahoo Finance, regularMarketTime 2026-08-20T04:15:35Z, NZX regular session)</t>
        </is>
      </c>
    </row>
    <row r="3">
      <c r="A3" s="2" t="inlineStr">
        <is>
          <t>Fiscal year end: 31 March   |   Currency: NZD   |   Shares on issue: 793,346,782 (per FY2026 Annual Report, incl. 8-Apr-2026 shortfall placement)</t>
        </is>
      </c>
    </row>
    <row r="4">
      <c r="A4" t="inlineStr"/>
    </row>
    <row r="5">
      <c r="A5" s="3" t="inlineStr">
        <is>
          <t>WHY THIS IS NOT A GROWTH-DCF MODEL</t>
        </is>
      </c>
    </row>
    <row r="6">
      <c r="A6" t="inlineStr">
        <is>
          <t>New Talisman is a pre-commercial, single-asset gold/silver explorer transitioning toward small-scale production. Free cash flow has been</t>
        </is>
      </c>
    </row>
    <row r="7">
      <c r="A7" t="inlineStr">
        <is>
          <t>negative in every one of the 9 disclosed fiscal years (FY2018-FY2026), including FY2026 (first-ever production revenue of NZ$52,790 vs.</t>
        </is>
      </c>
    </row>
    <row r="8">
      <c r="A8" t="inlineStr">
        <is>
          <t>~NZ$2.27m of operating/admin costs). The FY2025 and FY2026 audited financial statements both carry a FULL DISCLAIMER OF OPINION</t>
        </is>
      </c>
    </row>
    <row r="9">
      <c r="A9" t="inlineStr">
        <is>
          <t>(Baker Tilly Staples Rodway) because the auditor could not verify the recoverable amount of the NZ$15,583,116 Talisman Mine cash-</t>
        </is>
      </c>
    </row>
    <row r="10">
      <c r="A10" t="inlineStr">
        <is>
          <t>generating unit (CGU) — roughly 92% of total shareholders' equity. The company has been funded almost entirely by repeated dilutive</t>
        </is>
      </c>
    </row>
    <row r="11">
      <c r="A11" t="inlineStr">
        <is>
          <t>capital raises for 8 straight years and explicitly discloses that further capital is required, with no assurance it will be available.</t>
        </is>
      </c>
    </row>
    <row r="12">
      <c r="A12" t="inlineStr"/>
    </row>
    <row r="13">
      <c r="A13" t="inlineStr">
        <is>
          <t>A conventional owner-FCF DCF would either extrapolate a business that has never generated positive cash flow, or compound the</t>
        </is>
      </c>
    </row>
    <row r="14">
      <c r="A14" t="inlineStr">
        <is>
          <t>historical burn rate into a meaningless, ever-more-negative terminal value. This workbook instead builds a PROBABILITY-WEIGHTED</t>
        </is>
      </c>
    </row>
    <row r="15">
      <c r="A15" t="inlineStr">
        <is>
          <t>mix of three scenarios: (1) failure/wind-down (Bear), (2) muddle-through with continued dilutive funding but no durable profitability</t>
        </is>
      </c>
    </row>
    <row r="16">
      <c r="A16" t="inlineStr">
        <is>
          <t>(Base), and (3) successful production ramp monetizing the resource (Bull). This mirrors the approach used for the comparable NZX</t>
        </is>
      </c>
    </row>
    <row r="17">
      <c r="A17" t="inlineStr">
        <is>
          <t>distressed/going-concern names AFC.NZ and BGI.NZ, adapted because NTL.NZ (unlike those two dormant shells) retains a genuine</t>
        </is>
      </c>
    </row>
    <row r="18">
      <c r="A18" t="inlineStr">
        <is>
          <t>JORC-classified 350,000 oz gold-equivalent resource at ~17 g/t, a commissioned processing plant, and signed offtake agreements.</t>
        </is>
      </c>
    </row>
    <row r="19">
      <c r="A19" t="inlineStr"/>
    </row>
    <row r="20">
      <c r="A20" s="3" t="inlineStr">
        <is>
          <t>SCENARIO SUMMARY</t>
        </is>
      </c>
    </row>
    <row r="21">
      <c r="A21" t="inlineStr">
        <is>
          <t xml:space="preserve">  Bear (40% weight): CGU carrying value recovers only 10% in forced liquidation; no further capital raises; equity wiped down to a</t>
        </is>
      </c>
    </row>
    <row r="22">
      <c r="A22" t="inlineStr">
        <is>
          <t xml:space="preserve">    small residual after wind-down costs, debt and other liabilities.</t>
        </is>
      </c>
    </row>
    <row r="23">
      <c r="A23" t="inlineStr">
        <is>
          <t xml:space="preserve">  Base (45% weight): CGU carrying value haircut 40% (reflecting the unresolved audit disclaimer); company continues its unbroken</t>
        </is>
      </c>
    </row>
    <row r="24">
      <c r="A24" t="inlineStr">
        <is>
          <t xml:space="preserve">    8-year pattern of dilutive capital raises (18/15/12/8/5% annual dilution over 5 years, ~72% cumulative) without scaling to</t>
        </is>
      </c>
    </row>
    <row r="25">
      <c r="A25" t="inlineStr">
        <is>
          <t xml:space="preserve">    durable profitability within the horizon.</t>
        </is>
      </c>
    </row>
    <row r="26">
      <c r="A26" t="inlineStr">
        <is>
          <t xml:space="preserve">  Bull (15% weight): Narrow-vein execution problems from FY2026 are resolved; resource is valued via EV/oz (US$40/oz on the</t>
        </is>
      </c>
    </row>
    <row r="27">
      <c r="A27" t="inlineStr">
        <is>
          <t xml:space="preserve">    350,000 oz AuEq JORC resource, consistent with junior-miner/emerging-producer precedent) plus net cash, diluted by a lighter</t>
        </is>
      </c>
    </row>
    <row r="28">
      <c r="A28" t="inlineStr">
        <is>
          <t xml:space="preserve">    2-year capital-raise path.</t>
        </is>
      </c>
    </row>
    <row r="29">
      <c r="A29" t="inlineStr"/>
    </row>
    <row r="30">
      <c r="A30" s="3" t="inlineStr">
        <is>
          <t>KEY RISK FLAGS</t>
        </is>
      </c>
    </row>
    <row r="31">
      <c r="A31" t="inlineStr">
        <is>
          <t xml:space="preserve">  - Second consecutive year of a full AUDIT DISCLAIMER OF OPINION (FY2025 and FY2026) on the dominant balance-sheet asset.</t>
        </is>
      </c>
    </row>
    <row r="32">
      <c r="A32" t="inlineStr">
        <is>
          <t xml:space="preserve">  - Explicit going-concern uncertainty; FY2026 cash of NZ$1,176,627 against ~NZ$1,967,666 of annual operating cash outflow.</t>
        </is>
      </c>
    </row>
    <row r="33">
      <c r="A33" t="inlineStr">
        <is>
          <t xml:space="preserve">  - FY2026 first production revenue (NZ$52,790) covered roughly 2% of operating costs; first concentrate shipment realised a</t>
        </is>
      </c>
    </row>
    <row r="34">
      <c r="A34" t="inlineStr">
        <is>
          <t xml:space="preserve">    lower grade than planned (US$21.7k only); development at Mystery vein paused entirely.</t>
        </is>
      </c>
    </row>
    <row r="35">
      <c r="A35" t="inlineStr">
        <is>
          <t xml:space="preserve">  - 8-year unbroken history of dilutive capital raises; shares on issue grew from ~625m (Sep-2024) to 793.3m (Mar-2026).</t>
        </is>
      </c>
    </row>
    <row r="36">
      <c r="A36" t="inlineStr">
        <is>
          <t xml:space="preserve">  - ASX secondary listing suspended June 2024 for inadequate financial condition; NZX primary listing continues with periodic halts.</t>
        </is>
      </c>
    </row>
    <row r="37">
      <c r="A37" t="inlineStr"/>
    </row>
    <row r="38">
      <c r="A38" s="3" t="inlineStr">
        <is>
          <t>OUTPUT SUMMARY</t>
        </is>
      </c>
    </row>
    <row r="39">
      <c r="A39" s="4" t="inlineStr">
        <is>
          <t>Scenario</t>
        </is>
      </c>
      <c r="B39" s="4" t="inlineStr">
        <is>
          <t>Weight</t>
        </is>
      </c>
      <c r="C39" s="4" t="inlineStr">
        <is>
          <t>Intrinsic Value (NZD/sh)</t>
        </is>
      </c>
      <c r="D39" s="4" t="inlineStr">
        <is>
          <t>Upside vs Current</t>
        </is>
      </c>
    </row>
    <row r="40">
      <c r="A40" s="5" t="inlineStr">
        <is>
          <t>Bear</t>
        </is>
      </c>
      <c r="B40" s="5" t="inlineStr">
        <is>
          <t>40%</t>
        </is>
      </c>
      <c r="C40" s="6" t="n">
        <v>0.001786</v>
      </c>
      <c r="D40" s="5" t="inlineStr">
        <is>
          <t>-80.2%</t>
        </is>
      </c>
    </row>
    <row r="41">
      <c r="A41" s="7" t="inlineStr">
        <is>
          <t>Base</t>
        </is>
      </c>
      <c r="B41" s="7" t="inlineStr">
        <is>
          <t>45%</t>
        </is>
      </c>
      <c r="C41" s="8" t="n">
        <v>0.007858</v>
      </c>
      <c r="D41" s="7" t="inlineStr">
        <is>
          <t>-12.7%</t>
        </is>
      </c>
    </row>
    <row r="42">
      <c r="A42" s="9" t="inlineStr">
        <is>
          <t>Bull</t>
        </is>
      </c>
      <c r="B42" s="9" t="inlineStr">
        <is>
          <t>15%</t>
        </is>
      </c>
      <c r="C42" s="10" t="n">
        <v>0.025131</v>
      </c>
      <c r="D42" s="9" t="inlineStr">
        <is>
          <t>+179.2%</t>
        </is>
      </c>
    </row>
    <row r="43">
      <c r="A43" s="11" t="inlineStr">
        <is>
          <t>Probability-Weighted</t>
        </is>
      </c>
      <c r="B43" s="11" t="inlineStr">
        <is>
          <t>100%</t>
        </is>
      </c>
      <c r="C43" s="12" t="n">
        <v>0.008019999999999999</v>
      </c>
      <c r="D43" s="11" t="inlineStr">
        <is>
          <t>-10.9%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1" t="inlineStr">
        <is>
          <t>Inputs &amp; Anchors</t>
        </is>
      </c>
    </row>
    <row r="3">
      <c r="A3" s="13" t="inlineStr">
        <is>
          <t>Item</t>
        </is>
      </c>
      <c r="B3" s="13" t="inlineStr">
        <is>
          <t>Value</t>
        </is>
      </c>
      <c r="C3" s="13" t="inlineStr">
        <is>
          <t>Source / Note</t>
        </is>
      </c>
    </row>
    <row r="4">
      <c r="A4" s="14" t="inlineStr">
        <is>
          <t>Current price (NZD)</t>
        </is>
      </c>
      <c r="B4" s="15" t="n">
        <v>0.008999999999999999</v>
      </c>
      <c r="C4" s="14" t="inlineStr">
        <is>
          <t>Yahoo Finance regularMarketPrice, 2026-08-20T04:15:35Z</t>
        </is>
      </c>
    </row>
    <row r="5">
      <c r="A5" s="14" t="inlineStr">
        <is>
          <t>Shares on issue</t>
        </is>
      </c>
      <c r="B5" s="16" t="n">
        <v>793346782</v>
      </c>
      <c r="C5" s="14" t="inlineStr">
        <is>
          <t>FY2026 Annual Report, incl. 8-Apr-2026 shortfall placement of 1,740,063 shares</t>
        </is>
      </c>
    </row>
    <row r="6">
      <c r="A6" s="14" t="inlineStr">
        <is>
          <t>Market capitalisation (NZD)</t>
        </is>
      </c>
      <c r="B6" s="16">
        <f>B4*B5</f>
        <v/>
      </c>
      <c r="C6" s="14" t="inlineStr">
        <is>
          <t>price x shares</t>
        </is>
      </c>
    </row>
    <row r="7">
      <c r="A7" s="14" t="inlineStr">
        <is>
          <t>Balance sheet date</t>
        </is>
      </c>
      <c r="B7" s="14" t="inlineStr">
        <is>
          <t>2026-03-31</t>
        </is>
      </c>
      <c r="C7" s="14" t="inlineStr">
        <is>
          <t>FY2026 Annual Report</t>
        </is>
      </c>
    </row>
    <row r="8">
      <c r="A8" s="14" t="inlineStr">
        <is>
          <t>Cash &amp; equivalents (NZD)</t>
        </is>
      </c>
      <c r="B8" s="16" t="n">
        <v>1176627</v>
      </c>
      <c r="C8" s="14" t="inlineStr">
        <is>
          <t>FY2026 balance sheet</t>
        </is>
      </c>
    </row>
    <row r="9">
      <c r="A9" s="14" t="inlineStr">
        <is>
          <t>Total debt (NZD)</t>
        </is>
      </c>
      <c r="B9" s="16" t="n">
        <v>93133</v>
      </c>
      <c r="C9" s="14" t="inlineStr">
        <is>
          <t>FY2026 balance sheet</t>
        </is>
      </c>
    </row>
    <row r="10">
      <c r="A10" s="14" t="inlineStr">
        <is>
          <t>Net cash (NZD)</t>
        </is>
      </c>
      <c r="B10" s="16">
        <f>B8-B9</f>
        <v/>
      </c>
      <c r="C10" s="14" t="inlineStr">
        <is>
          <t>cash - debt</t>
        </is>
      </c>
    </row>
    <row r="11">
      <c r="A11" s="14" t="inlineStr">
        <is>
          <t>Other (non-debt) liabilities (NZD)</t>
        </is>
      </c>
      <c r="B11" s="16" t="n">
        <v>824764</v>
      </c>
      <c r="C11" s="14" t="inlineStr">
        <is>
          <t>Total liabilities 917,897 - total debt 93,133</t>
        </is>
      </c>
    </row>
    <row r="12">
      <c r="A12" s="14" t="inlineStr">
        <is>
          <t>Shareholders' equity (NZD)</t>
        </is>
      </c>
      <c r="B12" s="16" t="n">
        <v>16977146</v>
      </c>
      <c r="C12" s="14" t="inlineStr">
        <is>
          <t>FY2026 balance sheet</t>
        </is>
      </c>
    </row>
    <row r="13">
      <c r="A13" s="14" t="inlineStr">
        <is>
          <t>Talisman Mine CGU carrying value (NZD)</t>
        </is>
      </c>
      <c r="B13" s="16" t="n">
        <v>15583116</v>
      </c>
      <c r="C13" s="14" t="inlineStr">
        <is>
          <t>FY2026 Annual Report Note 12 / audit report</t>
        </is>
      </c>
    </row>
    <row r="14">
      <c r="A14" s="14" t="inlineStr">
        <is>
          <t>CGU as % of total equity</t>
        </is>
      </c>
      <c r="B14" s="17">
        <f>B13/B12</f>
        <v/>
      </c>
      <c r="C14" s="14" t="inlineStr"/>
    </row>
    <row r="15">
      <c r="A15" s="14" t="inlineStr">
        <is>
          <t>FY2026 revenue (NZD)</t>
        </is>
      </c>
      <c r="B15" s="16" t="n">
        <v>52790</v>
      </c>
      <c r="C15" s="14" t="inlineStr">
        <is>
          <t>First-ever gold concentrate + low-grade ore/tailings revenue</t>
        </is>
      </c>
    </row>
    <row r="16">
      <c r="A16" s="14" t="inlineStr">
        <is>
          <t>FY2026 operating cash flow (NZD)</t>
        </is>
      </c>
      <c r="B16" s="16" t="n">
        <v>-1967666</v>
      </c>
      <c r="C16" s="14" t="inlineStr">
        <is>
          <t>FY2026 cash flow statement</t>
        </is>
      </c>
    </row>
    <row r="17">
      <c r="A17" s="14" t="inlineStr">
        <is>
          <t>FY2026 capex (NZD)</t>
        </is>
      </c>
      <c r="B17" s="16" t="n">
        <v>-979157</v>
      </c>
      <c r="C17" s="14" t="inlineStr">
        <is>
          <t>FY2026 cash flow statement</t>
        </is>
      </c>
    </row>
    <row r="18">
      <c r="A18" s="14" t="inlineStr">
        <is>
          <t>FY2026 reported FCF (NZD)</t>
        </is>
      </c>
      <c r="B18" s="16" t="n">
        <v>-2946823</v>
      </c>
      <c r="C18" s="14" t="inlineStr">
        <is>
          <t>OCF + capex</t>
        </is>
      </c>
    </row>
    <row r="19">
      <c r="A19" s="14" t="inlineStr">
        <is>
          <t>Audit opinion FY2025</t>
        </is>
      </c>
      <c r="B19" s="14" t="inlineStr">
        <is>
          <t>Disclaimer of opinion</t>
        </is>
      </c>
      <c r="C19" s="14" t="inlineStr">
        <is>
          <t>Prior auditor</t>
        </is>
      </c>
    </row>
    <row r="20">
      <c r="A20" s="14" t="inlineStr">
        <is>
          <t>Audit opinion FY2026</t>
        </is>
      </c>
      <c r="B20" s="14" t="inlineStr">
        <is>
          <t>Disclaimer of opinion</t>
        </is>
      </c>
      <c r="C20" s="14" t="inlineStr">
        <is>
          <t>Baker Tilly Staples Rodway, 29-Jun-2026</t>
        </is>
      </c>
    </row>
    <row r="21">
      <c r="A21" s="14" t="inlineStr">
        <is>
          <t>JORC resource (oz AuEq)</t>
        </is>
      </c>
      <c r="B21" s="16" t="n">
        <v>350000</v>
      </c>
      <c r="C21" s="14" t="inlineStr">
        <is>
          <t>2019 JORC estimate, restated FY2019-FY2026 reports, ~17 g/t avg grade</t>
        </is>
      </c>
    </row>
    <row r="22">
      <c r="A22" s="14" t="inlineStr">
        <is>
          <t>ASX listing status</t>
        </is>
      </c>
      <c r="B22" s="14" t="inlineStr">
        <is>
          <t>Suspended since Jun-2024</t>
        </is>
      </c>
      <c r="C22" s="14" t="inlineStr">
        <is>
          <t>Inadequate financial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Historical Financials (FY2018-FY2026, whole NZD)</t>
        </is>
      </c>
    </row>
    <row r="3">
      <c r="A3" s="13" t="inlineStr">
        <is>
          <t>Metric</t>
        </is>
      </c>
      <c r="B3" s="13" t="inlineStr">
        <is>
          <t>FY2018</t>
        </is>
      </c>
      <c r="C3" s="13" t="inlineStr">
        <is>
          <t>FY2019</t>
        </is>
      </c>
      <c r="D3" s="13" t="inlineStr">
        <is>
          <t>FY2020</t>
        </is>
      </c>
      <c r="E3" s="13" t="inlineStr">
        <is>
          <t>FY2021</t>
        </is>
      </c>
      <c r="F3" s="13" t="inlineStr">
        <is>
          <t>FY2022</t>
        </is>
      </c>
      <c r="G3" s="13" t="inlineStr">
        <is>
          <t>FY2023</t>
        </is>
      </c>
      <c r="H3" s="13" t="inlineStr">
        <is>
          <t>FY2024</t>
        </is>
      </c>
      <c r="I3" s="13" t="inlineStr">
        <is>
          <t>FY2025</t>
        </is>
      </c>
      <c r="J3" s="13" t="inlineStr">
        <is>
          <t>FY2026</t>
        </is>
      </c>
    </row>
    <row r="4">
      <c r="A4" s="18" t="inlineStr">
        <is>
          <t>Revenue</t>
        </is>
      </c>
      <c r="B4" s="16" t="n">
        <v>128597</v>
      </c>
      <c r="C4" s="16" t="n">
        <v>86734</v>
      </c>
      <c r="D4" s="16" t="n">
        <v>39511</v>
      </c>
      <c r="E4" s="16" t="n">
        <v>2973</v>
      </c>
      <c r="F4" s="16" t="n">
        <v>1191</v>
      </c>
      <c r="G4" s="16" t="n">
        <v>6340</v>
      </c>
      <c r="H4" s="16" t="n">
        <v>43041</v>
      </c>
      <c r="I4" s="16" t="n">
        <v>23752</v>
      </c>
      <c r="J4" s="16" t="n">
        <v>52790</v>
      </c>
    </row>
    <row r="5">
      <c r="A5" s="18" t="inlineStr">
        <is>
          <t>Operating Income</t>
        </is>
      </c>
      <c r="B5" s="16" t="n">
        <v>-1002157</v>
      </c>
      <c r="C5" s="16" t="n">
        <v>-1203327</v>
      </c>
      <c r="D5" s="16" t="n">
        <v>-3710748</v>
      </c>
      <c r="E5" s="16" t="n">
        <v>-760919</v>
      </c>
      <c r="F5" s="16" t="n">
        <v>-1062790</v>
      </c>
      <c r="G5" s="16" t="n">
        <v>-1139219</v>
      </c>
      <c r="H5" s="16" t="n">
        <v>-857763</v>
      </c>
      <c r="I5" s="16" t="n">
        <v>23752</v>
      </c>
      <c r="J5" s="16" t="n">
        <v>-2212291</v>
      </c>
    </row>
    <row r="6">
      <c r="A6" s="18" t="inlineStr">
        <is>
          <t>Net Income</t>
        </is>
      </c>
      <c r="B6" s="16" t="n">
        <v>-1002157</v>
      </c>
      <c r="C6" s="16" t="n">
        <v>-1203327</v>
      </c>
      <c r="D6" s="16" t="n">
        <v>-3710748</v>
      </c>
      <c r="E6" s="16" t="n">
        <v>-762402</v>
      </c>
      <c r="F6" s="16" t="n">
        <v>-1065890</v>
      </c>
      <c r="G6" s="16" t="n">
        <v>-1199756</v>
      </c>
      <c r="H6" s="16" t="n">
        <v>-1330917</v>
      </c>
      <c r="I6" s="16" t="n">
        <v>4045269</v>
      </c>
      <c r="J6" s="16" t="n">
        <v>-2256601</v>
      </c>
    </row>
    <row r="7">
      <c r="A7" s="18" t="inlineStr">
        <is>
          <t>Operating Cash Flow</t>
        </is>
      </c>
      <c r="B7" s="16" t="n">
        <v>-956694</v>
      </c>
      <c r="C7" s="16" t="n">
        <v>-1078780</v>
      </c>
      <c r="D7" s="16" t="n">
        <v>-1232292</v>
      </c>
      <c r="E7" s="16" t="n">
        <v>-696068</v>
      </c>
      <c r="F7" s="16" t="n">
        <v>-888504</v>
      </c>
      <c r="G7" s="16" t="n">
        <v>-1139190</v>
      </c>
      <c r="H7" s="16" t="n">
        <v>-877716</v>
      </c>
      <c r="I7" s="16" t="n">
        <v>-1549800</v>
      </c>
      <c r="J7" s="16" t="n">
        <v>-1967666</v>
      </c>
    </row>
    <row r="8">
      <c r="A8" s="18" t="inlineStr">
        <is>
          <t>CapEx</t>
        </is>
      </c>
      <c r="B8" s="16" t="n">
        <v>-1884590</v>
      </c>
      <c r="C8" s="16" t="n">
        <v>-2484892</v>
      </c>
      <c r="D8" s="16" t="n">
        <v>-1136495</v>
      </c>
      <c r="E8" s="16" t="n">
        <v>-692955</v>
      </c>
      <c r="F8" s="16" t="n">
        <v>-558817</v>
      </c>
      <c r="G8" s="16" t="n">
        <v>-75720</v>
      </c>
      <c r="H8" s="16" t="n">
        <v>-753282</v>
      </c>
      <c r="I8" s="16" t="n">
        <v>-1086478</v>
      </c>
      <c r="J8" s="16" t="n">
        <v>-979157</v>
      </c>
    </row>
    <row r="9">
      <c r="A9" s="18" t="inlineStr">
        <is>
          <t>Free Cash Flow</t>
        </is>
      </c>
      <c r="B9" s="16" t="n">
        <v>-2841284</v>
      </c>
      <c r="C9" s="16" t="n">
        <v>-3563672</v>
      </c>
      <c r="D9" s="16" t="n">
        <v>-2368787</v>
      </c>
      <c r="E9" s="16" t="n">
        <v>-1389023</v>
      </c>
      <c r="F9" s="16" t="n">
        <v>-1447321</v>
      </c>
      <c r="G9" s="16" t="n">
        <v>-1214910</v>
      </c>
      <c r="H9" s="16" t="n">
        <v>-1630998</v>
      </c>
      <c r="I9" s="16" t="n">
        <v>-2636278</v>
      </c>
      <c r="J9" s="16" t="n">
        <v>-2946823</v>
      </c>
    </row>
    <row r="10">
      <c r="A10" s="18" t="inlineStr">
        <is>
          <t>Shareholders' Equity</t>
        </is>
      </c>
      <c r="B10" s="16" t="n">
        <v>17229806</v>
      </c>
      <c r="C10" s="16" t="n">
        <v>16028262</v>
      </c>
      <c r="D10" s="16" t="n">
        <v>15943035</v>
      </c>
      <c r="E10" s="16" t="n">
        <v>15203435</v>
      </c>
      <c r="F10" s="16" t="n">
        <v>14915789</v>
      </c>
      <c r="G10" s="16" t="n">
        <v>10804019</v>
      </c>
      <c r="H10" s="16" t="n">
        <v>8680698</v>
      </c>
      <c r="I10" s="16" t="n">
        <v>15640580</v>
      </c>
      <c r="J10" s="16" t="n">
        <v>16977146</v>
      </c>
    </row>
    <row r="11">
      <c r="A11" s="18" t="inlineStr">
        <is>
          <t>Total Debt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1017924</v>
      </c>
      <c r="H11" s="16" t="n">
        <v>723625</v>
      </c>
      <c r="I11" s="16" t="n">
        <v>202287</v>
      </c>
      <c r="J11" s="16" t="n">
        <v>93133</v>
      </c>
    </row>
    <row r="12">
      <c r="A12" s="18" t="inlineStr">
        <is>
          <t>Cash &amp; Equivalents</t>
        </is>
      </c>
      <c r="B12" s="16" t="n">
        <v>4828750</v>
      </c>
      <c r="C12" s="16" t="n">
        <v>1243656</v>
      </c>
      <c r="D12" s="16" t="n">
        <v>2495718</v>
      </c>
      <c r="E12" s="16" t="n">
        <v>1110695</v>
      </c>
      <c r="F12" s="16" t="n">
        <v>492507</v>
      </c>
      <c r="G12" s="16" t="n">
        <v>1987733</v>
      </c>
      <c r="H12" s="16" t="n">
        <v>587080</v>
      </c>
      <c r="I12" s="16" t="n">
        <v>640395</v>
      </c>
      <c r="J12" s="16" t="n">
        <v>1176627</v>
      </c>
    </row>
    <row r="13">
      <c r="A13" s="18" t="inlineStr">
        <is>
          <t>Shares Outstanding (period end)</t>
        </is>
      </c>
      <c r="B13" s="16" t="n">
        <v>2164503303</v>
      </c>
      <c r="C13" s="14" t="n"/>
      <c r="D13" s="14" t="n"/>
      <c r="E13" s="14" t="n"/>
      <c r="F13" s="14" t="n"/>
      <c r="G13" s="14" t="n"/>
      <c r="H13" s="16" t="n">
        <v>458029555</v>
      </c>
      <c r="I13" s="16" t="n">
        <v>641033914</v>
      </c>
      <c r="J13" s="16" t="n">
        <v>791606719</v>
      </c>
    </row>
    <row r="15">
      <c r="A15" s="2" t="inlineStr">
        <is>
          <t>Note: FY2023 preceded by a 10:1 share consolidation; pre-FY2023 per-share history not directly comparable.</t>
        </is>
      </c>
    </row>
    <row r="16">
      <c r="A16" s="2" t="inlineStr">
        <is>
          <t>Note: FY2025 net income of NZ$4,045,269 includes non-cash/non-operating items; FCF remained negative every year shown.</t>
        </is>
      </c>
    </row>
    <row r="17">
      <c r="A17" s="19" t="inlineStr">
        <is>
          <t>Free cash flow has been NEGATIVE in every fiscal year FY2018-FY2026 with no exception - no positive-FCF base year exists to project from.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20" t="inlineStr">
        <is>
          <t>Bear Scenario  (probability weight: 40%)</t>
        </is>
      </c>
    </row>
    <row r="3">
      <c r="A3" s="13" t="inlineStr">
        <is>
          <t>Line item</t>
        </is>
      </c>
      <c r="B3" s="13" t="inlineStr">
        <is>
          <t>Value</t>
        </is>
      </c>
      <c r="C3" s="13" t="inlineStr">
        <is>
          <t>Note</t>
        </is>
      </c>
    </row>
    <row r="4">
      <c r="A4" s="14" t="inlineStr">
        <is>
          <t>Talisman Mine CGU carrying value (NZD)</t>
        </is>
      </c>
      <c r="B4" s="16" t="n">
        <v>15583116</v>
      </c>
      <c r="C4" s="21" t="inlineStr">
        <is>
          <t>FY2026 Annual Report - the asset the auditor could not verify</t>
        </is>
      </c>
    </row>
    <row r="5">
      <c r="A5" s="14" t="inlineStr">
        <is>
          <t>Forced-liquidation recovery %</t>
        </is>
      </c>
      <c r="B5" s="22" t="n">
        <v>0.1</v>
      </c>
      <c r="C5" s="21" t="inlineStr">
        <is>
          <t>Distressed, single-asset, illiquid mining permit; no established buyer market at short notice</t>
        </is>
      </c>
    </row>
    <row r="6">
      <c r="A6" s="14" t="inlineStr">
        <is>
          <t>CGU recovered value (NZD)</t>
        </is>
      </c>
      <c r="B6" s="14">
        <f>B4*B5</f>
        <v/>
      </c>
      <c r="C6" s="21" t="inlineStr"/>
    </row>
    <row r="7">
      <c r="A7" s="14" t="inlineStr">
        <is>
          <t>Cash (NZD)</t>
        </is>
      </c>
      <c r="B7" s="16" t="n">
        <v>1176627</v>
      </c>
      <c r="C7" s="21" t="inlineStr">
        <is>
          <t>FY2026 balance sheet</t>
        </is>
      </c>
    </row>
    <row r="8">
      <c r="A8" s="14" t="inlineStr">
        <is>
          <t>Less: total debt (NZD)</t>
        </is>
      </c>
      <c r="B8" s="16" t="n">
        <v>-93133</v>
      </c>
      <c r="C8" s="21" t="inlineStr">
        <is>
          <t>FY2026 balance sheet</t>
        </is>
      </c>
    </row>
    <row r="9">
      <c r="A9" s="14" t="inlineStr">
        <is>
          <t>Less: other liabilities (NZD)</t>
        </is>
      </c>
      <c r="B9" s="16" t="n">
        <v>-824764</v>
      </c>
      <c r="C9" s="21" t="inlineStr">
        <is>
          <t>Total liabilities 917,897 - debt 93,133</t>
        </is>
      </c>
    </row>
    <row r="10">
      <c r="A10" s="14" t="inlineStr">
        <is>
          <t>Less: wind-down costs (NZD)</t>
        </is>
      </c>
      <c r="B10" s="16" t="n">
        <v>-400000</v>
      </c>
      <c r="C10" s="21" t="inlineStr">
        <is>
          <t>Liquidator/administrator + accelerated rehabilitation costs</t>
        </is>
      </c>
    </row>
    <row r="11">
      <c r="A11" s="14" t="inlineStr">
        <is>
          <t>Residual equity value (NZD)</t>
        </is>
      </c>
      <c r="B11" s="14">
        <f>B6+B7+B8+B9+B10</f>
        <v/>
      </c>
      <c r="C11" s="21" t="inlineStr"/>
    </row>
    <row r="12">
      <c r="A12" s="14" t="inlineStr">
        <is>
          <t>Shares outstanding (no further dilution)</t>
        </is>
      </c>
      <c r="B12" s="16" t="n">
        <v>793346782</v>
      </c>
      <c r="C12" s="21" t="inlineStr">
        <is>
          <t>Failure/wind-down assumed to crystallize before further raises complete</t>
        </is>
      </c>
    </row>
    <row r="13">
      <c r="A13" s="14" t="inlineStr">
        <is>
          <t>Intrinsic value per share (NZD)</t>
        </is>
      </c>
      <c r="B13" s="14">
        <f>B11/B12</f>
        <v/>
      </c>
      <c r="C13" s="21" t="inlineStr"/>
    </row>
    <row r="14">
      <c r="A14" s="14" t="inlineStr">
        <is>
          <t>Current price (NZD)</t>
        </is>
      </c>
      <c r="B14" s="22" t="n">
        <v>0.008999999999999999</v>
      </c>
      <c r="C14" s="21" t="inlineStr"/>
    </row>
    <row r="15">
      <c r="A15" s="14" t="inlineStr">
        <is>
          <t>Upside/(downside) vs current</t>
        </is>
      </c>
      <c r="B15" s="14">
        <f>B13/B14-1</f>
        <v/>
      </c>
      <c r="C15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23" t="inlineStr">
        <is>
          <t>Base Scenario  (probability weight: 45%)</t>
        </is>
      </c>
    </row>
    <row r="3">
      <c r="A3" s="13" t="inlineStr">
        <is>
          <t>Line item</t>
        </is>
      </c>
      <c r="B3" s="13" t="inlineStr">
        <is>
          <t>Value</t>
        </is>
      </c>
      <c r="C3" s="13" t="inlineStr">
        <is>
          <t>Note</t>
        </is>
      </c>
    </row>
    <row r="4">
      <c r="A4" s="14" t="inlineStr">
        <is>
          <t>FY2026 shareholders' equity (NZD)</t>
        </is>
      </c>
      <c r="B4" s="16" t="n">
        <v>16977146</v>
      </c>
      <c r="C4" s="21" t="inlineStr">
        <is>
          <t>Balance sheet anchor</t>
        </is>
      </c>
    </row>
    <row r="5">
      <c r="A5" s="14" t="inlineStr">
        <is>
          <t>Less: Talisman Mine CGU carrying value (NZD)</t>
        </is>
      </c>
      <c r="B5" s="16" t="n">
        <v>-15583116</v>
      </c>
      <c r="C5" s="21" t="inlineStr">
        <is>
          <t>Isolate the disputed asset</t>
        </is>
      </c>
    </row>
    <row r="6">
      <c r="A6" s="14" t="inlineStr">
        <is>
          <t>Equity excl. CGU (NZD)</t>
        </is>
      </c>
      <c r="B6" s="14">
        <f>B4+B5</f>
        <v/>
      </c>
      <c r="C6" s="21" t="inlineStr">
        <is>
          <t>Book value NOT subject to the audit disclaimer</t>
        </is>
      </c>
    </row>
    <row r="7">
      <c r="A7" s="14" t="inlineStr">
        <is>
          <t>CGU carrying value (NZD)</t>
        </is>
      </c>
      <c r="B7" s="16" t="n">
        <v>15583116</v>
      </c>
      <c r="C7" s="21" t="inlineStr"/>
    </row>
    <row r="8">
      <c r="A8" s="14" t="inlineStr">
        <is>
          <t>CGU haircut %</t>
        </is>
      </c>
      <c r="B8" s="22" t="n">
        <v>0.4</v>
      </c>
      <c r="C8" s="21" t="inlineStr">
        <is>
          <t>Reflects the unresolved 2nd-consecutive-year disclaimer of opinion on recoverability</t>
        </is>
      </c>
    </row>
    <row r="9">
      <c r="A9" s="14" t="inlineStr">
        <is>
          <t>CGU haircut value (NZD)</t>
        </is>
      </c>
      <c r="B9" s="14">
        <f>B7*(1-B8)</f>
        <v/>
      </c>
      <c r="C9" s="21" t="inlineStr"/>
    </row>
    <row r="10">
      <c r="A10" s="14" t="inlineStr">
        <is>
          <t>Equity value (haircut basis) (NZD)</t>
        </is>
      </c>
      <c r="B10" s="14">
        <f>B6+B9</f>
        <v/>
      </c>
      <c r="C10" s="21" t="inlineStr"/>
    </row>
    <row r="11">
      <c r="A11" s="14" t="inlineStr">
        <is>
          <t>Shares on issue today</t>
        </is>
      </c>
      <c r="B11" s="16" t="n">
        <v>793346782</v>
      </c>
      <c r="C11" s="21" t="inlineStr">
        <is>
          <t>FY2026 Annual Report</t>
        </is>
      </c>
    </row>
    <row r="12">
      <c r="A12" s="14" t="inlineStr">
        <is>
          <t>Year 1 dilution %</t>
        </is>
      </c>
      <c r="B12" s="22" t="n">
        <v>0.18</v>
      </c>
      <c r="C12" s="21" t="inlineStr">
        <is>
          <t>Continued dilutive raises - unbroken 8-year pattern</t>
        </is>
      </c>
    </row>
    <row r="13">
      <c r="A13" s="14" t="inlineStr">
        <is>
          <t>Year 2 dilution %</t>
        </is>
      </c>
      <c r="B13" s="22" t="n">
        <v>0.15</v>
      </c>
      <c r="C13" s="21" t="inlineStr"/>
    </row>
    <row r="14">
      <c r="A14" s="14" t="inlineStr">
        <is>
          <t>Year 3 dilution %</t>
        </is>
      </c>
      <c r="B14" s="22" t="n">
        <v>0.12</v>
      </c>
      <c r="C14" s="21" t="inlineStr"/>
    </row>
    <row r="15">
      <c r="A15" s="14" t="inlineStr">
        <is>
          <t>Year 4 dilution %</t>
        </is>
      </c>
      <c r="B15" s="22" t="n">
        <v>0.08</v>
      </c>
      <c r="C15" s="21" t="inlineStr"/>
    </row>
    <row r="16">
      <c r="A16" s="14" t="inlineStr">
        <is>
          <t>Year 5 dilution %</t>
        </is>
      </c>
      <c r="B16" s="22" t="n">
        <v>0.05</v>
      </c>
      <c r="C16" s="21" t="inlineStr"/>
    </row>
    <row r="17">
      <c r="A17" s="14" t="inlineStr">
        <is>
          <t>Shares after Y1</t>
        </is>
      </c>
      <c r="B17" s="14">
        <f>B11*(1+B12)</f>
        <v/>
      </c>
      <c r="C17" s="21" t="inlineStr"/>
    </row>
    <row r="18">
      <c r="A18" s="14" t="inlineStr">
        <is>
          <t>Shares after Y2</t>
        </is>
      </c>
      <c r="B18" s="14">
        <f>B17*(1+B13)</f>
        <v/>
      </c>
      <c r="C18" s="21" t="inlineStr"/>
    </row>
    <row r="19">
      <c r="A19" s="14" t="inlineStr">
        <is>
          <t>Shares after Y3</t>
        </is>
      </c>
      <c r="B19" s="14">
        <f>B18*(1+B14)</f>
        <v/>
      </c>
      <c r="C19" s="21" t="inlineStr"/>
    </row>
    <row r="20">
      <c r="A20" s="14" t="inlineStr">
        <is>
          <t>Shares after Y4</t>
        </is>
      </c>
      <c r="B20" s="14">
        <f>B19*(1+B15)</f>
        <v/>
      </c>
      <c r="C20" s="21" t="inlineStr"/>
    </row>
    <row r="21">
      <c r="A21" s="14" t="inlineStr">
        <is>
          <t>Shares after Y5 (diluted terminal count)</t>
        </is>
      </c>
      <c r="B21" s="14">
        <f>B20*(1+B16)</f>
        <v/>
      </c>
      <c r="C21" s="21" t="inlineStr"/>
    </row>
    <row r="22">
      <c r="A22" s="14" t="inlineStr">
        <is>
          <t>Intrinsic value per share (NZD)</t>
        </is>
      </c>
      <c r="B22" s="14">
        <f>B10/B21</f>
        <v/>
      </c>
      <c r="C22" s="21" t="inlineStr"/>
    </row>
    <row r="23">
      <c r="A23" s="14" t="inlineStr">
        <is>
          <t>Current price (NZD)</t>
        </is>
      </c>
      <c r="B23" s="22" t="n">
        <v>0.008999999999999999</v>
      </c>
      <c r="C23" s="21" t="inlineStr"/>
    </row>
    <row r="24">
      <c r="A24" s="14" t="inlineStr">
        <is>
          <t>Upside/(downside) vs current</t>
        </is>
      </c>
      <c r="B24" s="14">
        <f>B22/B23-1</f>
        <v/>
      </c>
      <c r="C24" s="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24" t="inlineStr">
        <is>
          <t>Bull Scenario  (probability weight: 15%)</t>
        </is>
      </c>
    </row>
    <row r="3">
      <c r="A3" s="13" t="inlineStr">
        <is>
          <t>Line item</t>
        </is>
      </c>
      <c r="B3" s="13" t="inlineStr">
        <is>
          <t>Value</t>
        </is>
      </c>
      <c r="C3" s="13" t="inlineStr">
        <is>
          <t>Note</t>
        </is>
      </c>
    </row>
    <row r="4">
      <c r="A4" s="14" t="inlineStr">
        <is>
          <t>JORC resource (oz AuEq)</t>
        </is>
      </c>
      <c r="B4" s="16" t="n">
        <v>350000</v>
      </c>
      <c r="C4" s="21" t="inlineStr">
        <is>
          <t>2019 JORC estimate restated FY2019-FY2026, ~17 g/t avg grade</t>
        </is>
      </c>
    </row>
    <row r="5">
      <c r="A5" s="14" t="inlineStr">
        <is>
          <t>EV per ounce assumption (USD/oz)</t>
        </is>
      </c>
      <c r="B5" s="16" t="n">
        <v>40</v>
      </c>
      <c r="C5" s="21" t="inlineStr">
        <is>
          <t>Emerging-producer precedent: plant commissioned + offtake signed, execution not yet proven at scale</t>
        </is>
      </c>
    </row>
    <row r="6">
      <c r="A6" s="14" t="inlineStr">
        <is>
          <t>USD:NZD exchange rate used</t>
        </is>
      </c>
      <c r="B6" s="22" t="n">
        <v>0.58</v>
      </c>
      <c r="C6" s="21" t="inlineStr">
        <is>
          <t>i.e. 1 USD = ~1.72 NZD</t>
        </is>
      </c>
    </row>
    <row r="7">
      <c r="A7" s="14" t="inlineStr">
        <is>
          <t>EV per ounce (NZD/oz)</t>
        </is>
      </c>
      <c r="B7" s="14">
        <f>B5/B6</f>
        <v/>
      </c>
      <c r="C7" s="21" t="inlineStr"/>
    </row>
    <row r="8">
      <c r="A8" s="14" t="inlineStr">
        <is>
          <t>Resource EV (NZD)</t>
        </is>
      </c>
      <c r="B8" s="14">
        <f>B4*B7</f>
        <v/>
      </c>
      <c r="C8" s="21" t="inlineStr"/>
    </row>
    <row r="9">
      <c r="A9" s="14" t="inlineStr">
        <is>
          <t>Net cash (NZD)</t>
        </is>
      </c>
      <c r="B9" s="16" t="n">
        <v>1083494</v>
      </c>
      <c r="C9" s="21" t="inlineStr">
        <is>
          <t>Cash 1,176,627 - debt 93,133, FY2026</t>
        </is>
      </c>
    </row>
    <row r="10">
      <c r="A10" s="14" t="inlineStr">
        <is>
          <t>Equity value (NZD)</t>
        </is>
      </c>
      <c r="B10" s="14">
        <f>B8+B9</f>
        <v/>
      </c>
      <c r="C10" s="21" t="inlineStr"/>
    </row>
    <row r="11">
      <c r="A11" s="14" t="inlineStr">
        <is>
          <t>Shares on issue today</t>
        </is>
      </c>
      <c r="B11" s="16" t="n">
        <v>793346782</v>
      </c>
      <c r="C11" s="21" t="inlineStr"/>
    </row>
    <row r="12">
      <c r="A12" s="14" t="inlineStr">
        <is>
          <t>Year 1 dilution %</t>
        </is>
      </c>
      <c r="B12" s="22" t="n">
        <v>0.15</v>
      </c>
      <c r="C12" s="21" t="inlineStr">
        <is>
          <t>Lighter raise path: funds the drilling/de-risking program only</t>
        </is>
      </c>
    </row>
    <row r="13">
      <c r="A13" s="14" t="inlineStr">
        <is>
          <t>Year 2 dilution %</t>
        </is>
      </c>
      <c r="B13" s="22" t="n">
        <v>0.1</v>
      </c>
      <c r="C13" s="21" t="inlineStr"/>
    </row>
    <row r="14">
      <c r="A14" s="14" t="inlineStr">
        <is>
          <t>Shares after Y1</t>
        </is>
      </c>
      <c r="B14" s="14">
        <f>B11*(1+B12)</f>
        <v/>
      </c>
      <c r="C14" s="21" t="inlineStr"/>
    </row>
    <row r="15">
      <c r="A15" s="14" t="inlineStr">
        <is>
          <t>Shares after Y2 (diluted terminal count, no further raises needed)</t>
        </is>
      </c>
      <c r="B15" s="14">
        <f>B14*(1+B13)</f>
        <v/>
      </c>
      <c r="C15" s="21" t="inlineStr"/>
    </row>
    <row r="16">
      <c r="A16" s="14" t="inlineStr">
        <is>
          <t>Intrinsic value per share (NZD)</t>
        </is>
      </c>
      <c r="B16" s="14">
        <f>B10/B15</f>
        <v/>
      </c>
      <c r="C16" s="21" t="inlineStr"/>
    </row>
    <row r="17">
      <c r="A17" s="14" t="inlineStr">
        <is>
          <t>Current price (NZD)</t>
        </is>
      </c>
      <c r="B17" s="22" t="n">
        <v>0.008999999999999999</v>
      </c>
      <c r="C17" s="21" t="inlineStr"/>
    </row>
    <row r="18">
      <c r="A18" s="14" t="inlineStr">
        <is>
          <t>Upside/(downside) vs current</t>
        </is>
      </c>
      <c r="B18" s="14">
        <f>B16/B17-1</f>
        <v/>
      </c>
      <c r="C18" s="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Probability-Weighted Valuation Summary</t>
        </is>
      </c>
    </row>
    <row r="3">
      <c r="A3" s="13" t="inlineStr">
        <is>
          <t>Scenario</t>
        </is>
      </c>
      <c r="B3" s="13" t="inlineStr">
        <is>
          <t>Weight</t>
        </is>
      </c>
      <c r="C3" s="13" t="inlineStr">
        <is>
          <t>Intrinsic Value (NZD)</t>
        </is>
      </c>
      <c r="D3" s="13" t="inlineStr">
        <is>
          <t>Weight x Value</t>
        </is>
      </c>
      <c r="E3" s="13" t="inlineStr">
        <is>
          <t>Upside vs Current</t>
        </is>
      </c>
    </row>
    <row r="4">
      <c r="A4" s="5" t="inlineStr">
        <is>
          <t>Bear</t>
        </is>
      </c>
      <c r="B4" s="25" t="n">
        <v>0.4</v>
      </c>
      <c r="C4" s="6">
        <f>'Bear Scenario'!B13</f>
        <v/>
      </c>
      <c r="D4" s="6">
        <f>B4*C4</f>
        <v/>
      </c>
      <c r="E4" s="26">
        <f>C4/0.009-1</f>
        <v/>
      </c>
    </row>
    <row r="5">
      <c r="A5" s="7" t="inlineStr">
        <is>
          <t>Base</t>
        </is>
      </c>
      <c r="B5" s="27" t="n">
        <v>0.45</v>
      </c>
      <c r="C5" s="8">
        <f>'Base Scenario'!B22</f>
        <v/>
      </c>
      <c r="D5" s="8">
        <f>B5*C5</f>
        <v/>
      </c>
      <c r="E5" s="28">
        <f>C5/0.009-1</f>
        <v/>
      </c>
    </row>
    <row r="6">
      <c r="A6" s="9" t="inlineStr">
        <is>
          <t>Bull</t>
        </is>
      </c>
      <c r="B6" s="29" t="n">
        <v>0.15</v>
      </c>
      <c r="C6" s="10">
        <f>'Bull Scenario'!B16</f>
        <v/>
      </c>
      <c r="D6" s="10">
        <f>B6*C6</f>
        <v/>
      </c>
      <c r="E6" s="30">
        <f>C6/0.009-1</f>
        <v/>
      </c>
    </row>
    <row r="7">
      <c r="A7" s="11" t="inlineStr">
        <is>
          <t>Probability-Weighted IV</t>
        </is>
      </c>
      <c r="B7" s="31">
        <f>SUM(B4:B6)</f>
        <v/>
      </c>
      <c r="C7" s="11" t="n"/>
      <c r="D7" s="12">
        <f>SUM(D4:D6)</f>
        <v/>
      </c>
      <c r="E7" s="32">
        <f>D7/0.009-1</f>
        <v/>
      </c>
    </row>
    <row r="10">
      <c r="A10" s="3" t="inlineStr">
        <is>
          <t>Current price (NZD)</t>
        </is>
      </c>
      <c r="B10" t="n">
        <v>0.008999999999999999</v>
      </c>
    </row>
    <row r="11">
      <c r="A11" s="3" t="inlineStr">
        <is>
          <t>Recommended entry price (= probability-weighted IV)</t>
        </is>
      </c>
      <c r="B11" s="33">
        <f>D7</f>
        <v/>
      </c>
    </row>
    <row r="12">
      <c r="A12" s="3" t="inlineStr">
        <is>
          <t>Entry price discount vs current</t>
        </is>
      </c>
      <c r="B12" s="34">
        <f>B11/B10-1</f>
        <v/>
      </c>
    </row>
    <row r="15">
      <c r="A15" s="2" t="inlineStr">
        <is>
          <t>No 15%-IRR entry-price / WACC discounting is applied - there is no distributable cash-flow stream to discount.</t>
        </is>
      </c>
    </row>
    <row r="16">
      <c r="A16" s="2" t="inlineStr">
        <is>
          <t>Entry price is instead reported as the probability-weighted intrinsic value itself, consistent with the AFC.NZ/BGI.NZ precedents.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Base-Case IV to CGU Haircut x Dilution Multiple</t>
        </is>
      </c>
    </row>
    <row r="2">
      <c r="A2" s="2" t="inlineStr">
        <is>
          <t>Rows = CGU haircut %; Columns = cumulative 5-year dilution multiple (1.0x = none, 1.72x = base case path, 2.2x = heavier)</t>
        </is>
      </c>
    </row>
    <row r="4">
      <c r="A4" s="35" t="inlineStr">
        <is>
          <t>CGU haircut % \ Dilution multiple</t>
        </is>
      </c>
      <c r="B4" s="13" t="inlineStr">
        <is>
          <t>1.0x</t>
        </is>
      </c>
      <c r="C4" s="13" t="inlineStr">
        <is>
          <t>1.2x</t>
        </is>
      </c>
      <c r="D4" s="13" t="inlineStr">
        <is>
          <t>1.5x</t>
        </is>
      </c>
      <c r="E4" s="13" t="inlineStr">
        <is>
          <t>1.72x</t>
        </is>
      </c>
      <c r="F4" s="13" t="inlineStr">
        <is>
          <t>2.2x</t>
        </is>
      </c>
    </row>
    <row r="5">
      <c r="A5" s="36" t="n">
        <v>0</v>
      </c>
      <c r="B5" s="22" t="n">
        <v>0.021399</v>
      </c>
      <c r="C5" s="22" t="n">
        <v>0.017833</v>
      </c>
      <c r="D5" s="22" t="n">
        <v>0.014266</v>
      </c>
      <c r="E5" s="22" t="n">
        <v>0.012442</v>
      </c>
      <c r="F5" s="37" t="n">
        <v>0.009727</v>
      </c>
    </row>
    <row r="6">
      <c r="A6" s="36" t="n">
        <v>0.25</v>
      </c>
      <c r="B6" s="22" t="n">
        <v>0.016489</v>
      </c>
      <c r="C6" s="22" t="n">
        <v>0.013741</v>
      </c>
      <c r="D6" s="22" t="n">
        <v>0.010993</v>
      </c>
      <c r="E6" s="37" t="n">
        <v>0.009587</v>
      </c>
      <c r="F6" s="22" t="n">
        <v>0.007495</v>
      </c>
    </row>
    <row r="7">
      <c r="A7" s="36" t="n">
        <v>0.4</v>
      </c>
      <c r="B7" s="22" t="n">
        <v>0.013543</v>
      </c>
      <c r="C7" s="22" t="n">
        <v>0.011285</v>
      </c>
      <c r="D7" s="37" t="n">
        <v>0.009028</v>
      </c>
      <c r="E7" s="22" t="n">
        <v>0.007874000000000001</v>
      </c>
      <c r="F7" s="22" t="n">
        <v>0.006156</v>
      </c>
    </row>
    <row r="8">
      <c r="A8" s="36" t="n">
        <v>0.75</v>
      </c>
      <c r="B8" s="22" t="n">
        <v>0.006668</v>
      </c>
      <c r="C8" s="22" t="n">
        <v>0.005556</v>
      </c>
      <c r="D8" s="22" t="n">
        <v>0.004445</v>
      </c>
      <c r="E8" s="22" t="n">
        <v>0.003877</v>
      </c>
      <c r="F8" s="22" t="n">
        <v>0.003031</v>
      </c>
    </row>
    <row r="9">
      <c r="A9" s="36" t="n">
        <v>1</v>
      </c>
      <c r="B9" s="22" t="n">
        <v>0.001757</v>
      </c>
      <c r="C9" s="22" t="n">
        <v>0.001464</v>
      </c>
      <c r="D9" s="22" t="n">
        <v>0.001171</v>
      </c>
      <c r="E9" s="22" t="n">
        <v>0.001022</v>
      </c>
      <c r="F9" s="22" t="n">
        <v>0.000799</v>
      </c>
    </row>
    <row r="11">
      <c r="A11" s="2" t="inlineStr">
        <is>
          <t>Current price NZ$0.009 highlighted (yellow) where matrix cells land within ~NZ$0.001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2026-08-20T04:51:50Z</dcterms:created>
  <dcterms:modified xsi:type="dcterms:W3CDTF">2026-08-20T04:51:50Z</dcterms:modified>
</cp:coreProperties>
</file>