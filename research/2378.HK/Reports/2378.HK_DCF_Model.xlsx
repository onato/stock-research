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<sst xmlns="http://schemas.openxmlformats.org/spreadsheetml/2006/main" count="365" uniqueCount="175">
  <si>
    <t xml:space="preserve">Ticker</t>
  </si>
  <si>
    <t xml:space="preserve">2378.HK</t>
  </si>
  <si>
    <t xml:space="preserve">Company</t>
  </si>
  <si>
    <t xml:space="preserve">Prudential plc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</si>
  <si>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</si>
  <si>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</si>
  <si>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</si>
  <si>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</si>
  <si>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(Friday); 52-week range 89.6-131.2, i.e. near the bottom of the range</t>
  </si>
  <si>
    <t xml:space="preserve">Balance sheet date</t>
  </si>
  <si>
    <t xml:space="preserve">2025-12-31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</si>
  <si>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</si>
  <si>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</si>
  <si>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</si>
  <si>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</si>
  <si>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</si>
  <si>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</si>
  <si>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</si>
  <si>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</si>
  <si>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</si>
  <si>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</si>
  <si>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</si>
  <si>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2026-10-18T03:24:38Z</t>
  </si>
  <si>
    <t xml:space="preserve">Drivers file</t>
  </si>
  <si>
    <t xml:space="preserve">2378.HK_Drivers.json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</si>
  <si>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</si>
  <si>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</si>
  <si>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</si>
  <si>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Prudential is valued as the free surplus it generates for shareholders after funding new business and central costs (net OFSG), capitalised at a 10% USD cost of equity. The engine is driven off adjusted operating profit (which already carries core-debt interest), converted to FCFE at the observed 56-64% net OFSG ratio rising with the in-force book. Statutory IFRS profit is not used: FY2025's $3,978m includes a $1,275m post-tax IPAMC IPO gain. Cross-check: Group TEV per share $14.53 (HKD ~114) at FY2025 and operating return on EV 15%; a mature Asian life insurer earning above its CoE on EV with 10%+ VNB growth would normally trade at or above 1.0x EV, while the stock sits at ~0.82x.
key_risks_to_valuation: Mainland China enforcement of offshore income tax / capital controls on HK visitor policies; China bancassurance commission and expense caps (CITIC Prudential NBP guided flat for 2026); Interest-rate sensitivity of guarantees on HK, Singapore and Taiwan participating/savings business; Conversion ratio: each 5pp of FCFE conversion is worth roughly 7% of value; USD reporting of a multi-currency Asian book: FX translation of earnings and remittances; JV/associate economics (50% CITIC Prudential, 22% ICICI Pru Life, ~33% IPAMC) not under management control</t>
  </si>
  <si>
    <t xml:space="preserve">Data sources</t>
  </si>
  <si>
    <t xml:space="preserve">price: Yahoo Finance chart API at inputs.price_as_of; 52-week range 89.6-131.2; FX Yahoo HKD=X; parity vs PRU.L and GBPHKD=X
financials: 2378.HK_Metrics.csv (core_metrics FY2018-FY2025) and kpis table; FY2025 Annual Report: key performance table (lines 120-165), free surplus movement table (2220-2262), net core structural borrowings (2356-2392), B4 EPS note (17612-17645), share capital (25930)
qualitative: 2378.HK_Analysis.json (2026-10-18): 2026 guidance, H1 2026 interim results, China bancassurance regulation, IPAMC sell-downs, Athene/Jackson transaction</t>
  </si>
  <si>
    <t xml:space="preserve">Scenario narrative: bear</t>
  </si>
  <si>
    <t xml:space="preserve">HK Mainland-visitor business hit by tax/capital-flow enforcement, China bancassurance caps persist, low rates raise guarantee costs: growth 5-6%, margin 28.5%, conversion ~56-60% as in FY2024.</t>
  </si>
  <si>
    <t xml:space="preserve">Scenario narrative: base</t>
  </si>
  <si>
    <t xml:space="preserve">Double-digit 2026 delivery on guidance (adj EPS growth helped by buybacks), then 8-9% fading to 4.5% revenue growth; adjusted operating margin edging up to 31.5%; FCFE conversion of after-tax operating profit rising from 62% to 70% as OFSG ramps. One-off IPAMC gain excluded; its cash proceeds added once.</t>
  </si>
  <si>
    <t xml:space="preserve">Scenario narrative: bull</t>
  </si>
  <si>
    <t xml:space="preserve">2027 objectives met in full: NBP at the top of 15-20% CAGR, gross OFSG &gt;$4.4bn, conversion toward 78%, margin to 33%, growth 10-12% for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</si>
  <si>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</si>
  <si>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</si>
  <si>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</si>
  <si>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</si>
  <si>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</si>
  <si>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</si>
  <si>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</si>
  <si>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</si>
  <si>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</si>
  <si>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</si>
  <si>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</si>
  <si>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</si>
  <si>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</si>
  <si>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</si>
  <si>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</si>
  <si>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</si>
  <si>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</si>
  <si>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</si>
  <si>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</si>
  <si>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</si>
  <si>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</si>
  <si>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</si>
  <si>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</si>
  <si>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</si>
  <si>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</si>
  <si>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</si>
  <si>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</si>
  <si>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APE</t>
  </si>
  <si>
    <t xml:space="preserve">AUM</t>
  </si>
  <si>
    <t xml:space="preserve">CapexIntangibles</t>
  </si>
  <si>
    <t xml:space="preserve">CapexPPE</t>
  </si>
  <si>
    <t xml:space="preserve">EmbeddedValue</t>
  </si>
  <si>
    <t xml:space="preserve">InsuranceServiceResult</t>
  </si>
  <si>
    <t xml:space="preserve">NetEarnedPremium</t>
  </si>
  <si>
    <t xml:space="preserve">NetIncomeContinuing</t>
  </si>
  <si>
    <t xml:space="preserve">NetIncomeDiscontinued</t>
  </si>
  <si>
    <t xml:space="preserve">NetIncomeInclNCI</t>
  </si>
  <si>
    <t xml:space="preserve">ShareIssuanceProceeds</t>
  </si>
  <si>
    <t xml:space="preserve">ValueOfNewBusiness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</si>
  <si>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</si>
  <si>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</si>
  <si>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</si>
  <si>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</si>
  <si>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</si>
  <si>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</si>
  <si>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</si>
  <si>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</si>
  <si>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</si>
  <si>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</si>
  <si>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</si>
  <si>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</si>
  <si>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</si>
  <si>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</si>
  <si>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</si>
  <si>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</si>
  <si>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</si>
  <si>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</si>
  <si>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</si>
  <si>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</si>
  <si>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</si>
  <si>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</si>
  <si>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</si>
  <si>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</si>
  <si>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</si>
  <si>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</si>
  <si>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</si>
  <si>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</si>
  <si>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</si>
  <si>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</si>
  <si>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</si>
  <si>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</si>
  <si>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</si>
  <si>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</si>
  <si>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</si>
  <si>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</si>
  <si>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</si>
  <si>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</si>
  <si>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</si>
  <si>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</si>
  <si>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</si>
  <si>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</si>
  <si>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</si>
  <si>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</si>
  <si>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</si>
  <si>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2378.HK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</si>
  <si>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</si>
  <si>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</si>
  <si>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</si>
  <si>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</si>
  <si>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</si>
  <si>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</si>
  <si>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</si>
  <si>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</si>
  <si>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</si>
  <si>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</si>
  <si>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</si>
  <si>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</si>
  <si>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</si>
  <si>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</si>
  <si>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</si>
  <si>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</si>
  <si>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</si>
  <si>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</si>
  <si>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</si>
  <si>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</si>
  <si>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</si>
  <si>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</si>
  <si>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</si>
  <si>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</si>
  <si>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</si>
  <si>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</si>
  <si>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</si>
  <si>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</si>
  <si>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</si>
  <si>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</si>
  <si>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2378.HK owner-FCF component DCF: base case (millions, USD)</t>
  </si>
  <si>
    <t xml:space="preserve">2378.HK owner-FCF component DCF: bull case (millions, USD)</t>
  </si>
  <si>
    <t xml:space="preserve">2378.HK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</si>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</sst>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93.65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</row>
    <row r="2" customFormat="false" ht="15" hidden="false" customHeight="false" outlineLevel="0" collapsed="false">
      <c r="A2" s="0" t="s">
        <v>76</v>
      </c>
      <c r="B2" s="0" t="n">
        <v>44431</v>
      </c>
      <c r="I2" s="0" t="n">
        <v>4019</v>
      </c>
      <c r="K2" s="0" t="n">
        <v>1.56</v>
      </c>
      <c r="L2" s="0" t="n">
        <v>3355</v>
      </c>
      <c r="O2" s="0" t="n">
        <v>21968</v>
      </c>
      <c r="P2" s="0" t="n">
        <v>647810</v>
      </c>
      <c r="Q2" s="0" t="n">
        <v>625819</v>
      </c>
      <c r="R2" s="0" t="n">
        <v>16050</v>
      </c>
      <c r="S2" s="0" t="n">
        <v>15442</v>
      </c>
      <c r="T2" s="0" t="n">
        <v>2575</v>
      </c>
      <c r="U2" s="0" t="n">
        <v>191</v>
      </c>
      <c r="AA2" s="0" t="s">
        <v>18</v>
      </c>
      <c r="AB2" s="0" t="s">
        <v>14</v>
      </c>
      <c r="AI2" s="0" t="n">
        <v>44431</v>
      </c>
      <c r="AJ2" s="0" t="n">
        <v>2877</v>
      </c>
      <c r="AK2" s="0" t="n">
        <v>1142</v>
      </c>
      <c r="AL2" s="0" t="n">
        <v>4023</v>
      </c>
    </row>
    <row r="3" customFormat="false" ht="15" hidden="false" customHeight="false" outlineLevel="0" collapsed="false">
      <c r="A3" s="0" t="s">
        <v>77</v>
      </c>
      <c r="B3" s="0" t="n">
        <v>43481</v>
      </c>
      <c r="F3" s="0" t="n">
        <v>5310</v>
      </c>
      <c r="I3" s="0" t="n">
        <v>783</v>
      </c>
      <c r="K3" s="0" t="n">
        <v>0.303</v>
      </c>
      <c r="L3" s="0" t="n">
        <v>-209</v>
      </c>
      <c r="O3" s="0" t="n">
        <v>19477</v>
      </c>
      <c r="P3" s="0" t="n">
        <v>454214</v>
      </c>
      <c r="Q3" s="0" t="n">
        <v>434545</v>
      </c>
      <c r="R3" s="0" t="n">
        <v>8239</v>
      </c>
      <c r="S3" s="0" t="n">
        <v>6965</v>
      </c>
      <c r="T3" s="0" t="n">
        <v>2587</v>
      </c>
      <c r="U3" s="0" t="n">
        <v>181</v>
      </c>
      <c r="AA3" s="0" t="s">
        <v>18</v>
      </c>
      <c r="AB3" s="0" t="s">
        <v>14</v>
      </c>
      <c r="AI3" s="0" t="n">
        <v>43481</v>
      </c>
      <c r="AJ3" s="0" t="n">
        <v>1944</v>
      </c>
      <c r="AK3" s="0" t="n">
        <v>-1161</v>
      </c>
      <c r="AL3" s="0" t="n">
        <v>792</v>
      </c>
    </row>
    <row r="4" customFormat="false" ht="15" hidden="false" customHeight="false" outlineLevel="0" collapsed="false">
      <c r="A4" s="0" t="s">
        <v>78</v>
      </c>
      <c r="B4" s="0" t="n">
        <v>21870</v>
      </c>
      <c r="F4" s="0" t="n">
        <v>2757</v>
      </c>
      <c r="I4" s="0" t="n">
        <v>2118</v>
      </c>
      <c r="K4" s="0" t="n">
        <v>0.816</v>
      </c>
      <c r="L4" s="0" t="n">
        <v>2773</v>
      </c>
      <c r="O4" s="0" t="n">
        <v>20878</v>
      </c>
      <c r="P4" s="0" t="n">
        <v>516097</v>
      </c>
      <c r="Q4" s="0" t="n">
        <v>493978</v>
      </c>
      <c r="R4" s="0" t="n">
        <v>9077</v>
      </c>
      <c r="S4" s="0" t="n">
        <v>8018</v>
      </c>
      <c r="T4" s="0" t="n">
        <v>2597</v>
      </c>
      <c r="U4" s="0" t="n">
        <v>103</v>
      </c>
      <c r="AA4" s="0" t="s">
        <v>18</v>
      </c>
      <c r="AB4" s="0" t="s">
        <v>14</v>
      </c>
      <c r="AI4" s="0" t="n">
        <v>21870</v>
      </c>
      <c r="AJ4" s="0" t="n">
        <v>2458</v>
      </c>
      <c r="AK4" s="0" t="n">
        <v>-340</v>
      </c>
      <c r="AL4" s="0" t="n">
        <v>2185</v>
      </c>
    </row>
    <row r="5" customFormat="false" ht="15" hidden="false" customHeight="false" outlineLevel="0" collapsed="false">
      <c r="A5" s="0" t="s">
        <v>79</v>
      </c>
      <c r="B5" s="0" t="n">
        <v>22373</v>
      </c>
      <c r="F5" s="0" t="n">
        <v>3233</v>
      </c>
      <c r="I5" s="0" t="n">
        <v>-2042</v>
      </c>
      <c r="K5" s="0" t="n">
        <v>-0.777</v>
      </c>
      <c r="L5" s="0" t="n">
        <v>278</v>
      </c>
      <c r="O5" s="0" t="n">
        <v>17088</v>
      </c>
      <c r="P5" s="0" t="n">
        <v>199102</v>
      </c>
      <c r="Q5" s="0" t="n">
        <v>181838</v>
      </c>
      <c r="R5" s="0" t="n">
        <v>6988</v>
      </c>
      <c r="S5" s="0" t="n">
        <v>7170</v>
      </c>
      <c r="T5" s="0" t="n">
        <v>2628</v>
      </c>
      <c r="U5" s="0" t="n">
        <v>100</v>
      </c>
      <c r="AA5" s="0" t="s">
        <v>18</v>
      </c>
      <c r="AB5" s="0" t="s">
        <v>14</v>
      </c>
      <c r="AD5" s="0" t="n">
        <v>258500</v>
      </c>
      <c r="AI5" s="0" t="n">
        <v>22373</v>
      </c>
      <c r="AJ5" s="0" t="n">
        <v>2192</v>
      </c>
      <c r="AK5" s="0" t="n">
        <v>-4234</v>
      </c>
      <c r="AL5" s="0" t="n">
        <v>-2813</v>
      </c>
      <c r="AM5" s="0" t="n">
        <v>2382</v>
      </c>
    </row>
    <row r="6" customFormat="false" ht="15" hidden="false" customHeight="false" outlineLevel="0" collapsed="false">
      <c r="A6" s="0" t="s">
        <v>80</v>
      </c>
      <c r="B6" s="0" t="n">
        <v>8549</v>
      </c>
      <c r="F6" s="0" t="n">
        <v>2722</v>
      </c>
      <c r="I6" s="0" t="n">
        <v>-1007</v>
      </c>
      <c r="K6" s="0" t="n">
        <v>-0.368</v>
      </c>
      <c r="L6" s="0" t="n">
        <v>1078</v>
      </c>
      <c r="M6" s="0" t="n">
        <v>332</v>
      </c>
      <c r="N6" s="0" t="n">
        <v>746</v>
      </c>
      <c r="O6" s="0" t="n">
        <v>16731</v>
      </c>
      <c r="P6" s="0" t="n">
        <v>160249</v>
      </c>
      <c r="Q6" s="0" t="n">
        <v>143351</v>
      </c>
      <c r="R6" s="0" t="n">
        <v>5076</v>
      </c>
      <c r="S6" s="0" t="n">
        <v>5514</v>
      </c>
      <c r="T6" s="0" t="n">
        <v>2750</v>
      </c>
      <c r="U6" s="0" t="n">
        <v>104</v>
      </c>
      <c r="AA6" s="0" t="s">
        <v>18</v>
      </c>
      <c r="AB6" s="0" t="s">
        <v>14</v>
      </c>
      <c r="AD6" s="0" t="n">
        <v>221400</v>
      </c>
      <c r="AE6" s="0" t="n">
        <v>298</v>
      </c>
      <c r="AF6" s="0" t="n">
        <v>34</v>
      </c>
      <c r="AH6" s="0" t="n">
        <v>2177</v>
      </c>
      <c r="AL6" s="0" t="n">
        <v>-997</v>
      </c>
    </row>
    <row r="7" customFormat="false" ht="15" hidden="false" customHeight="false" outlineLevel="0" collapsed="false">
      <c r="A7" s="0" t="s">
        <v>81</v>
      </c>
      <c r="B7" s="0" t="n">
        <v>9371</v>
      </c>
      <c r="F7" s="0" t="n">
        <v>2893</v>
      </c>
      <c r="I7" s="0" t="n">
        <v>1701</v>
      </c>
      <c r="K7" s="0" t="n">
        <v>0.621</v>
      </c>
      <c r="L7" s="0" t="n">
        <v>832</v>
      </c>
      <c r="M7" s="0" t="n">
        <v>459</v>
      </c>
      <c r="N7" s="0" t="n">
        <v>373</v>
      </c>
      <c r="O7" s="0" t="n">
        <v>17823</v>
      </c>
      <c r="P7" s="0" t="n">
        <v>174066</v>
      </c>
      <c r="Q7" s="0" t="n">
        <v>156083</v>
      </c>
      <c r="R7" s="0" t="n">
        <v>4874</v>
      </c>
      <c r="S7" s="0" t="n">
        <v>4751</v>
      </c>
      <c r="T7" s="0" t="n">
        <v>2754</v>
      </c>
      <c r="U7" s="0" t="n">
        <v>81</v>
      </c>
      <c r="AA7" s="0" t="s">
        <v>18</v>
      </c>
      <c r="AB7" s="0" t="s">
        <v>14</v>
      </c>
      <c r="AD7" s="0" t="n">
        <v>237100</v>
      </c>
      <c r="AE7" s="0" t="n">
        <v>415</v>
      </c>
      <c r="AF7" s="0" t="n">
        <v>44</v>
      </c>
      <c r="AH7" s="0" t="n">
        <v>2087</v>
      </c>
      <c r="AL7" s="0" t="n">
        <v>1712</v>
      </c>
    </row>
    <row r="8" customFormat="false" ht="15" hidden="false" customHeight="false" outlineLevel="0" collapsed="false">
      <c r="A8" s="0" t="s">
        <v>82</v>
      </c>
      <c r="B8" s="0" t="n">
        <v>10358</v>
      </c>
      <c r="F8" s="0" t="n">
        <v>3129</v>
      </c>
      <c r="I8" s="0" t="n">
        <v>2285</v>
      </c>
      <c r="K8" s="0" t="n">
        <v>0.841</v>
      </c>
      <c r="L8" s="0" t="n">
        <v>3609</v>
      </c>
      <c r="M8" s="0" t="n">
        <v>658</v>
      </c>
      <c r="N8" s="0" t="n">
        <v>2951</v>
      </c>
      <c r="O8" s="0" t="n">
        <v>17492</v>
      </c>
      <c r="P8" s="0" t="n">
        <v>181876</v>
      </c>
      <c r="Q8" s="0" t="n">
        <v>163202</v>
      </c>
      <c r="R8" s="0" t="n">
        <v>4722</v>
      </c>
      <c r="S8" s="0" t="n">
        <v>5772</v>
      </c>
      <c r="T8" s="0" t="n">
        <v>2658</v>
      </c>
      <c r="U8" s="0" t="n">
        <v>85</v>
      </c>
      <c r="AA8" s="0" t="s">
        <v>18</v>
      </c>
      <c r="AB8" s="0" t="s">
        <v>14</v>
      </c>
      <c r="AC8" s="0" t="n">
        <v>6202</v>
      </c>
      <c r="AD8" s="0" t="n">
        <v>258000</v>
      </c>
      <c r="AE8" s="0" t="n">
        <v>557</v>
      </c>
      <c r="AF8" s="0" t="n">
        <v>101</v>
      </c>
      <c r="AG8" s="0" t="n">
        <v>34300</v>
      </c>
      <c r="AL8" s="0" t="n">
        <v>2415</v>
      </c>
      <c r="AN8" s="0" t="n">
        <v>2464</v>
      </c>
    </row>
    <row r="9" customFormat="false" ht="15" hidden="false" customHeight="false" outlineLevel="0" collapsed="false">
      <c r="A9" s="0" t="s">
        <v>83</v>
      </c>
      <c r="B9" s="0" t="n">
        <v>11080</v>
      </c>
      <c r="F9" s="0" t="n">
        <v>3306</v>
      </c>
      <c r="I9" s="0" t="n">
        <v>3978</v>
      </c>
      <c r="K9" s="0" t="n">
        <v>1.542</v>
      </c>
      <c r="L9" s="0" t="n">
        <v>2450</v>
      </c>
      <c r="M9" s="0" t="n">
        <v>401</v>
      </c>
      <c r="N9" s="0" t="n">
        <v>2049</v>
      </c>
      <c r="O9" s="0" t="n">
        <v>20117</v>
      </c>
      <c r="P9" s="0" t="n">
        <v>212195</v>
      </c>
      <c r="Q9" s="0" t="n">
        <v>190835</v>
      </c>
      <c r="R9" s="0" t="n">
        <v>5290</v>
      </c>
      <c r="S9" s="0" t="n">
        <v>7706</v>
      </c>
      <c r="T9" s="0" t="n">
        <v>2548</v>
      </c>
      <c r="U9" s="0" t="n">
        <v>95</v>
      </c>
      <c r="AA9" s="0" t="s">
        <v>18</v>
      </c>
      <c r="AB9" s="0" t="s">
        <v>14</v>
      </c>
      <c r="AC9" s="0" t="n">
        <v>6661</v>
      </c>
      <c r="AD9" s="0" t="n">
        <v>277700</v>
      </c>
      <c r="AE9" s="0" t="n">
        <v>297</v>
      </c>
      <c r="AF9" s="0" t="n">
        <v>104</v>
      </c>
      <c r="AG9" s="0" t="n">
        <v>37800</v>
      </c>
      <c r="AL9" s="0" t="n">
        <v>4119</v>
      </c>
      <c r="AN9" s="0" t="n">
        <v>2782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93.65</v>
      </c>
    </row>
    <row r="3" customFormat="false" ht="15" hidden="false" customHeight="false" outlineLevel="0" collapsed="false">
      <c r="A3" s="0" t="s">
        <v>87</v>
      </c>
      <c r="B3" s="3" t="n">
        <v>2560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1400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11080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7.8479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6</v>
      </c>
      <c r="D13" s="3" t="n">
        <v>5</v>
      </c>
      <c r="E13" s="3" t="n">
        <v>5</v>
      </c>
      <c r="F13" s="3" t="n">
        <v>5</v>
      </c>
      <c r="G13" s="3" t="n">
        <v>4.5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29.6</v>
      </c>
      <c r="D14" s="3" t="n">
        <v>29.2</v>
      </c>
      <c r="E14" s="3" t="n">
        <v>28.9</v>
      </c>
      <c r="F14" s="3" t="n">
        <v>28.6</v>
      </c>
      <c r="G14" s="3" t="n">
        <v>28.5</v>
      </c>
      <c r="H14" s="3" t="n">
        <v>28.5</v>
      </c>
      <c r="I14" s="3" t="n">
        <v>28.5</v>
      </c>
      <c r="J14" s="3" t="n">
        <v>28.5</v>
      </c>
      <c r="K14" s="3" t="n">
        <v>28.5</v>
      </c>
      <c r="L14" s="3" t="n">
        <v>28.5</v>
      </c>
    </row>
    <row r="15" customFormat="false" ht="15" hidden="false" customHeight="false" outlineLevel="0" collapsed="false">
      <c r="A15" s="0" t="s">
        <v>109</v>
      </c>
      <c r="C15" s="3" t="n">
        <v>0.86</v>
      </c>
      <c r="D15" s="3" t="n">
        <v>0.86</v>
      </c>
      <c r="E15" s="3" t="n">
        <v>0.86</v>
      </c>
      <c r="F15" s="3" t="n">
        <v>0.86</v>
      </c>
      <c r="G15" s="3" t="n">
        <v>0.86</v>
      </c>
      <c r="H15" s="3" t="n">
        <v>0.86</v>
      </c>
      <c r="I15" s="3" t="n">
        <v>0.86</v>
      </c>
      <c r="J15" s="3" t="n">
        <v>0.86</v>
      </c>
      <c r="K15" s="3" t="n">
        <v>0.86</v>
      </c>
      <c r="L15" s="3" t="n">
        <v>0.86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10.22</v>
      </c>
      <c r="D18" s="3" t="n">
        <v>9.85</v>
      </c>
      <c r="E18" s="3" t="n">
        <v>9.53</v>
      </c>
      <c r="F18" s="3" t="n">
        <v>9.2</v>
      </c>
      <c r="G18" s="3" t="n">
        <v>8.95</v>
      </c>
      <c r="H18" s="3" t="n">
        <v>8.73</v>
      </c>
      <c r="I18" s="3" t="n">
        <v>8.73</v>
      </c>
      <c r="J18" s="3" t="n">
        <v>8.73</v>
      </c>
      <c r="K18" s="3" t="n">
        <v>8.73</v>
      </c>
      <c r="L18" s="3" t="n">
        <v>8.73</v>
      </c>
    </row>
    <row r="19" customFormat="false" ht="15" hidden="false" customHeight="false" outlineLevel="0" collapsed="false">
      <c r="A19" s="0" t="s">
        <v>113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3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10</v>
      </c>
      <c r="D27" s="3" t="n">
        <v>9</v>
      </c>
      <c r="E27" s="3" t="n">
        <v>8.5</v>
      </c>
      <c r="F27" s="3" t="n">
        <v>8</v>
      </c>
      <c r="G27" s="3" t="n">
        <v>7.5</v>
      </c>
      <c r="H27" s="3" t="n">
        <v>7</v>
      </c>
      <c r="I27" s="3" t="n">
        <v>6.5</v>
      </c>
      <c r="J27" s="3" t="n">
        <v>6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108</v>
      </c>
      <c r="C28" s="3" t="n">
        <v>30.7</v>
      </c>
      <c r="D28" s="3" t="n">
        <v>30.9</v>
      </c>
      <c r="E28" s="3" t="n">
        <v>31.1</v>
      </c>
      <c r="F28" s="3" t="n">
        <v>31.3</v>
      </c>
      <c r="G28" s="3" t="n">
        <v>31.5</v>
      </c>
      <c r="H28" s="3" t="n">
        <v>31.5</v>
      </c>
      <c r="I28" s="3" t="n">
        <v>31.5</v>
      </c>
      <c r="J28" s="3" t="n">
        <v>31.5</v>
      </c>
      <c r="K28" s="3" t="n">
        <v>31.5</v>
      </c>
      <c r="L28" s="3" t="n">
        <v>31.5</v>
      </c>
    </row>
    <row r="29" customFormat="false" ht="15" hidden="false" customHeight="false" outlineLevel="0" collapsed="false">
      <c r="A29" s="0" t="s">
        <v>109</v>
      </c>
      <c r="C29" s="3" t="n">
        <v>0.86</v>
      </c>
      <c r="D29" s="3" t="n">
        <v>0.86</v>
      </c>
      <c r="E29" s="3" t="n">
        <v>0.86</v>
      </c>
      <c r="F29" s="3" t="n">
        <v>0.86</v>
      </c>
      <c r="G29" s="3" t="n">
        <v>0.86</v>
      </c>
      <c r="H29" s="3" t="n">
        <v>0.86</v>
      </c>
      <c r="I29" s="3" t="n">
        <v>0.86</v>
      </c>
      <c r="J29" s="3" t="n">
        <v>0.86</v>
      </c>
      <c r="K29" s="3" t="n">
        <v>0.86</v>
      </c>
      <c r="L29" s="3" t="n">
        <v>0.86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8.96</v>
      </c>
      <c r="D32" s="3" t="n">
        <v>8.31</v>
      </c>
      <c r="E32" s="3" t="n">
        <v>7.64</v>
      </c>
      <c r="F32" s="3" t="n">
        <v>7.21</v>
      </c>
      <c r="G32" s="3" t="n">
        <v>7.26</v>
      </c>
      <c r="H32" s="3" t="n">
        <v>7.26</v>
      </c>
      <c r="I32" s="3" t="n">
        <v>7.26</v>
      </c>
      <c r="J32" s="3" t="n">
        <v>7.26</v>
      </c>
      <c r="K32" s="3" t="n">
        <v>7.26</v>
      </c>
      <c r="L32" s="3" t="n">
        <v>7.26</v>
      </c>
    </row>
    <row r="33" customFormat="false" ht="15" hidden="false" customHeight="false" outlineLevel="0" collapsed="false">
      <c r="A33" s="0" t="s">
        <v>113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3.5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12</v>
      </c>
      <c r="D41" s="3" t="n">
        <v>11</v>
      </c>
      <c r="E41" s="3" t="n">
        <v>10.5</v>
      </c>
      <c r="F41" s="3" t="n">
        <v>10</v>
      </c>
      <c r="G41" s="3" t="n">
        <v>9.5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108</v>
      </c>
      <c r="C42" s="3" t="n">
        <v>30.9</v>
      </c>
      <c r="D42" s="3" t="n">
        <v>31.4</v>
      </c>
      <c r="E42" s="3" t="n">
        <v>31.9</v>
      </c>
      <c r="F42" s="3" t="n">
        <v>32.4</v>
      </c>
      <c r="G42" s="3" t="n">
        <v>32.9</v>
      </c>
      <c r="H42" s="3" t="n">
        <v>33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109</v>
      </c>
      <c r="C43" s="3" t="n">
        <v>0.86</v>
      </c>
      <c r="D43" s="3" t="n">
        <v>0.86</v>
      </c>
      <c r="E43" s="3" t="n">
        <v>0.86</v>
      </c>
      <c r="F43" s="3" t="n">
        <v>0.86</v>
      </c>
      <c r="G43" s="3" t="n">
        <v>0.86</v>
      </c>
      <c r="H43" s="3" t="n">
        <v>0.86</v>
      </c>
      <c r="I43" s="3" t="n">
        <v>0.86</v>
      </c>
      <c r="J43" s="3" t="n">
        <v>0.86</v>
      </c>
      <c r="K43" s="3" t="n">
        <v>0.86</v>
      </c>
      <c r="L43" s="3" t="n">
        <v>0.86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8.31</v>
      </c>
      <c r="D46" s="3" t="n">
        <v>7.48</v>
      </c>
      <c r="E46" s="3" t="n">
        <v>6.87</v>
      </c>
      <c r="F46" s="3" t="n">
        <v>6.23</v>
      </c>
      <c r="G46" s="3" t="n">
        <v>5.82</v>
      </c>
      <c r="H46" s="3" t="n">
        <v>5.59</v>
      </c>
      <c r="I46" s="3" t="n">
        <v>5.59</v>
      </c>
      <c r="J46" s="3" t="n">
        <v>5.59</v>
      </c>
      <c r="K46" s="3" t="n">
        <v>5.59</v>
      </c>
      <c r="L46" s="3" t="n">
        <v>5.59</v>
      </c>
    </row>
    <row r="47" customFormat="false" ht="15" hidden="false" customHeight="false" outlineLevel="0" collapsed="false">
      <c r="A47" s="0" t="s">
        <v>113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4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6</v>
      </c>
      <c r="D5" s="4" t="n">
        <f aca="false">Assumptions!D13</f>
        <v>5</v>
      </c>
      <c r="E5" s="4" t="n">
        <f aca="false">Assumptions!E13</f>
        <v>5</v>
      </c>
      <c r="F5" s="4" t="n">
        <f aca="false">Assumptions!F13</f>
        <v>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11080</v>
      </c>
      <c r="C6" s="0" t="n">
        <f aca="false">B6*(1+C5/100)</f>
        <v>11744.8</v>
      </c>
      <c r="D6" s="0" t="n">
        <f aca="false">C6*(1+D5/100)</f>
        <v>12332.04</v>
      </c>
      <c r="E6" s="0" t="n">
        <f aca="false">D6*(1+E5/100)</f>
        <v>12948.642</v>
      </c>
      <c r="F6" s="0" t="n">
        <f aca="false">E6*(1+F5/100)</f>
        <v>13596.0741</v>
      </c>
      <c r="G6" s="0" t="n">
        <f aca="false">F6*(1+G5/100)</f>
        <v>14207.8974345</v>
      </c>
      <c r="H6" s="0" t="n">
        <f aca="false">G6*(1+H5/100)</f>
        <v>14776.21333188</v>
      </c>
      <c r="I6" s="0" t="n">
        <f aca="false">H6*(1+I5/100)</f>
        <v>15367.2618651552</v>
      </c>
      <c r="J6" s="0" t="n">
        <f aca="false">I6*(1+J5/100)</f>
        <v>15905.1160304356</v>
      </c>
      <c r="K6" s="0" t="n">
        <f aca="false">J6*(1+K5/100)</f>
        <v>16382.2695113487</v>
      </c>
      <c r="L6" s="0" t="n">
        <f aca="false">K6*(1+L5/100)</f>
        <v>16873.7375966892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29.6</v>
      </c>
      <c r="D7" s="4" t="n">
        <f aca="false">Assumptions!D14</f>
        <v>29.2</v>
      </c>
      <c r="E7" s="4" t="n">
        <f aca="false">Assumptions!E14</f>
        <v>28.9</v>
      </c>
      <c r="F7" s="4" t="n">
        <f aca="false">Assumptions!F14</f>
        <v>28.6</v>
      </c>
      <c r="G7" s="4" t="n">
        <f aca="false">Assumptions!G14</f>
        <v>28.5</v>
      </c>
      <c r="H7" s="4" t="n">
        <f aca="false">Assumptions!H14</f>
        <v>28.5</v>
      </c>
      <c r="I7" s="4" t="n">
        <f aca="false">Assumptions!I14</f>
        <v>28.5</v>
      </c>
      <c r="J7" s="4" t="n">
        <f aca="false">Assumptions!J14</f>
        <v>28.5</v>
      </c>
      <c r="K7" s="4" t="n">
        <f aca="false">Assumptions!K14</f>
        <v>28.5</v>
      </c>
      <c r="L7" s="4" t="n">
        <f aca="false">Assumptions!L14</f>
        <v>28.5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3476.4608</v>
      </c>
      <c r="D8" s="0" t="n">
        <f aca="false">D6*D7/100</f>
        <v>3600.95568</v>
      </c>
      <c r="E8" s="0" t="n">
        <f aca="false">E6*E7/100</f>
        <v>3742.157538</v>
      </c>
      <c r="F8" s="0" t="n">
        <f aca="false">F6*F7/100</f>
        <v>3888.4771926</v>
      </c>
      <c r="G8" s="0" t="n">
        <f aca="false">G6*G7/100</f>
        <v>4049.2507688325</v>
      </c>
      <c r="H8" s="0" t="n">
        <f aca="false">H6*H7/100</f>
        <v>4211.2207995858</v>
      </c>
      <c r="I8" s="0" t="n">
        <f aca="false">I6*I7/100</f>
        <v>4379.66963156923</v>
      </c>
      <c r="J8" s="0" t="n">
        <f aca="false">J6*J7/100</f>
        <v>4532.95806867416</v>
      </c>
      <c r="K8" s="0" t="n">
        <f aca="false">K6*K7/100</f>
        <v>4668.94681073438</v>
      </c>
      <c r="L8" s="0" t="n">
        <f aca="false">L6*L7/100</f>
        <v>4809.01521505641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0.86</v>
      </c>
      <c r="D9" s="4" t="n">
        <f aca="false">Assumptions!D15</f>
        <v>0.86</v>
      </c>
      <c r="E9" s="4" t="n">
        <f aca="false">Assumptions!E15</f>
        <v>0.86</v>
      </c>
      <c r="F9" s="4" t="n">
        <f aca="false">Assumptions!F15</f>
        <v>0.86</v>
      </c>
      <c r="G9" s="4" t="n">
        <f aca="false">Assumptions!G15</f>
        <v>0.86</v>
      </c>
      <c r="H9" s="4" t="n">
        <f aca="false">Assumptions!H15</f>
        <v>0.86</v>
      </c>
      <c r="I9" s="4" t="n">
        <f aca="false">Assumptions!I15</f>
        <v>0.86</v>
      </c>
      <c r="J9" s="4" t="n">
        <f aca="false">Assumptions!J15</f>
        <v>0.86</v>
      </c>
      <c r="K9" s="4" t="n">
        <f aca="false">Assumptions!K15</f>
        <v>0.86</v>
      </c>
      <c r="L9" s="4" t="n">
        <f aca="false">Assumptions!L15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-101.00528</v>
      </c>
      <c r="D10" s="0" t="n">
        <f aca="false">-D6*D9/100</f>
        <v>-106.055544</v>
      </c>
      <c r="E10" s="0" t="n">
        <f aca="false">-E6*E9/100</f>
        <v>-111.3583212</v>
      </c>
      <c r="F10" s="0" t="n">
        <f aca="false">-F6*F9/100</f>
        <v>-116.92623726</v>
      </c>
      <c r="G10" s="0" t="n">
        <f aca="false">-G6*G9/100</f>
        <v>-122.1879179367</v>
      </c>
      <c r="H10" s="0" t="n">
        <f aca="false">-H6*H9/100</f>
        <v>-127.075434654168</v>
      </c>
      <c r="I10" s="0" t="n">
        <f aca="false">-I6*I9/100</f>
        <v>-132.158452040335</v>
      </c>
      <c r="J10" s="0" t="n">
        <f aca="false">-J6*J9/100</f>
        <v>-136.783997861746</v>
      </c>
      <c r="K10" s="0" t="n">
        <f aca="false">-K6*K9/100</f>
        <v>-140.887517797599</v>
      </c>
      <c r="L10" s="0" t="n">
        <f aca="false">-L6*L9/100</f>
        <v>-145.114143331527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3375.45552</v>
      </c>
      <c r="D11" s="0" t="n">
        <f aca="false">D8+D10+D24</f>
        <v>3494.900136</v>
      </c>
      <c r="E11" s="0" t="n">
        <f aca="false">E8+E10+E24</f>
        <v>3630.7992168</v>
      </c>
      <c r="F11" s="0" t="n">
        <f aca="false">F8+F10+F24</f>
        <v>3771.55095534</v>
      </c>
      <c r="G11" s="0" t="n">
        <f aca="false">G8+G10+G24</f>
        <v>3927.0628508958</v>
      </c>
      <c r="H11" s="0" t="n">
        <f aca="false">H8+H10+H24</f>
        <v>4084.14536493163</v>
      </c>
      <c r="I11" s="0" t="n">
        <f aca="false">I8+I10+I24</f>
        <v>4247.5111795289</v>
      </c>
      <c r="J11" s="0" t="n">
        <f aca="false">J8+J10+J24</f>
        <v>4396.17407081241</v>
      </c>
      <c r="K11" s="0" t="n">
        <f aca="false">K8+K10+K24</f>
        <v>4528.05929293678</v>
      </c>
      <c r="L11" s="0" t="n">
        <f aca="false">L8+L10+L24</f>
        <v>4663.90107172489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3375.45552</v>
      </c>
      <c r="D13" s="0" t="n">
        <f aca="false">D11+D12</f>
        <v>3494.900136</v>
      </c>
      <c r="E13" s="0" t="n">
        <f aca="false">E11+E12</f>
        <v>3630.7992168</v>
      </c>
      <c r="F13" s="0" t="n">
        <f aca="false">F11+F12</f>
        <v>3771.55095534</v>
      </c>
      <c r="G13" s="0" t="n">
        <f aca="false">G11+G12</f>
        <v>3927.0628508958</v>
      </c>
      <c r="H13" s="0" t="n">
        <f aca="false">H11+H12</f>
        <v>4084.14536493163</v>
      </c>
      <c r="I13" s="0" t="n">
        <f aca="false">I11+I12</f>
        <v>4247.5111795289</v>
      </c>
      <c r="J13" s="0" t="n">
        <f aca="false">J11+J12</f>
        <v>4396.17407081241</v>
      </c>
      <c r="K13" s="0" t="n">
        <f aca="false">K11+K12</f>
        <v>4528.05929293678</v>
      </c>
      <c r="L13" s="0" t="n">
        <f aca="false">L11+L12</f>
        <v>4663.90107172489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2666.6098608</v>
      </c>
      <c r="D15" s="0" t="n">
        <f aca="false">D13-MAX(0,D13)*D14/100</f>
        <v>2760.97110744</v>
      </c>
      <c r="E15" s="0" t="n">
        <f aca="false">E13-MAX(0,E13)*E14/100</f>
        <v>2868.331381272</v>
      </c>
      <c r="F15" s="0" t="n">
        <f aca="false">F13-MAX(0,F13)*F14/100</f>
        <v>2979.5252547186</v>
      </c>
      <c r="G15" s="0" t="n">
        <f aca="false">G13-MAX(0,G13)*G14/100</f>
        <v>3102.37965220768</v>
      </c>
      <c r="H15" s="0" t="n">
        <f aca="false">H13-MAX(0,H13)*H14/100</f>
        <v>3226.47483829599</v>
      </c>
      <c r="I15" s="0" t="n">
        <f aca="false">I13-MAX(0,I13)*I14/100</f>
        <v>3355.53383182783</v>
      </c>
      <c r="J15" s="0" t="n">
        <f aca="false">J13-MAX(0,J13)*J14/100</f>
        <v>3472.9775159418</v>
      </c>
      <c r="K15" s="0" t="n">
        <f aca="false">K13-MAX(0,K13)*K14/100</f>
        <v>3577.16684142006</v>
      </c>
      <c r="L15" s="0" t="n">
        <f aca="false">L13-MAX(0,L13)*L14/100</f>
        <v>3684.48184666266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-1200.31856</v>
      </c>
      <c r="D17" s="4" t="n">
        <f aca="false">-D6*Assumptions!D18/100</f>
        <v>-1214.70594</v>
      </c>
      <c r="E17" s="4" t="n">
        <f aca="false">-E6*Assumptions!E18/100</f>
        <v>-1234.0055826</v>
      </c>
      <c r="F17" s="4" t="n">
        <f aca="false">-F6*Assumptions!F18/100</f>
        <v>-1250.8388172</v>
      </c>
      <c r="G17" s="4" t="n">
        <f aca="false">-G6*Assumptions!G18/100</f>
        <v>-1271.60682038775</v>
      </c>
      <c r="H17" s="4" t="n">
        <f aca="false">-H6*Assumptions!H18/100</f>
        <v>-1289.96342387312</v>
      </c>
      <c r="I17" s="4" t="n">
        <f aca="false">-I6*Assumptions!I18/100</f>
        <v>-1341.56196082805</v>
      </c>
      <c r="J17" s="4" t="n">
        <f aca="false">-J6*Assumptions!J18/100</f>
        <v>-1388.51662945703</v>
      </c>
      <c r="K17" s="4" t="n">
        <f aca="false">-K6*Assumptions!K18/100</f>
        <v>-1430.17212834074</v>
      </c>
      <c r="L17" s="4" t="n">
        <f aca="false">-L6*Assumptions!L18/100</f>
        <v>-1473.07729219096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1466.2913008</v>
      </c>
      <c r="D19" s="0" t="n">
        <f aca="false">D15+D16+D17+D18</f>
        <v>1546.26516744</v>
      </c>
      <c r="E19" s="0" t="n">
        <f aca="false">E15+E16+E17+E18</f>
        <v>1634.325798672</v>
      </c>
      <c r="F19" s="0" t="n">
        <f aca="false">F15+F16+F17+F18</f>
        <v>1728.6864375186</v>
      </c>
      <c r="G19" s="0" t="n">
        <f aca="false">G15+G16+G17+G18</f>
        <v>1830.77283181993</v>
      </c>
      <c r="H19" s="0" t="n">
        <f aca="false">H15+H16+H17+H18</f>
        <v>1936.51141442287</v>
      </c>
      <c r="I19" s="0" t="n">
        <f aca="false">I15+I16+I17+I18</f>
        <v>2013.97187099978</v>
      </c>
      <c r="J19" s="0" t="n">
        <f aca="false">J15+J16+J17+J18</f>
        <v>2084.46088648477</v>
      </c>
      <c r="K19" s="0" t="n">
        <f aca="false">K15+K16+K17+K18</f>
        <v>2146.99471307932</v>
      </c>
      <c r="L19" s="0" t="n">
        <f aca="false">L15+L16+L17+L18</f>
        <v>2211.4045544717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1332.99209163636</v>
      </c>
      <c r="D21" s="0" t="n">
        <f aca="false">D19*D20</f>
        <v>1277.90509705785</v>
      </c>
      <c r="E21" s="0" t="n">
        <f aca="false">E19*E20</f>
        <v>1227.89316203757</v>
      </c>
      <c r="F21" s="0" t="n">
        <f aca="false">F19*F20</f>
        <v>1180.71609693231</v>
      </c>
      <c r="G21" s="0" t="n">
        <f aca="false">G19*G20</f>
        <v>1136.76588895439</v>
      </c>
      <c r="H21" s="0" t="n">
        <f aca="false">H19*H20</f>
        <v>1093.11020869327</v>
      </c>
      <c r="I21" s="0" t="n">
        <f aca="false">I19*I20</f>
        <v>1033.48601549182</v>
      </c>
      <c r="J21" s="0" t="n">
        <f aca="false">J19*J20</f>
        <v>972.416387303669</v>
      </c>
      <c r="K21" s="0" t="n">
        <f aca="false">K19*K20</f>
        <v>910.535344475253</v>
      </c>
      <c r="L21" s="0" t="n">
        <f aca="false">L19*L20</f>
        <v>852.592186190465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11018.412478773</v>
      </c>
    </row>
    <row r="31" customFormat="false" ht="15" hidden="false" customHeight="false" outlineLevel="0" collapsed="false">
      <c r="A31" s="0" t="s">
        <v>138</v>
      </c>
      <c r="B31" s="0" t="n">
        <f aca="false">L19</f>
        <v>2211.4045544717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32539.2384443692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26536.8546536603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26536.8546536603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10231.1062342856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21249.5187130585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22649.5187130585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69.4340460578954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-0.258579326664225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737.926165643623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823.231681252413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74.2199095995576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18981.2224258821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45.8059271009259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10</v>
      </c>
      <c r="D5" s="4" t="n">
        <f aca="false">Assumptions!D27</f>
        <v>9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7.5</v>
      </c>
      <c r="H5" s="4" t="n">
        <f aca="false">Assumptions!H27</f>
        <v>7</v>
      </c>
      <c r="I5" s="4" t="n">
        <f aca="false">Assumptions!I27</f>
        <v>6.5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38</v>
      </c>
      <c r="B6" s="3" t="n">
        <v>11080</v>
      </c>
      <c r="C6" s="0" t="n">
        <f aca="false">B6*(1+C5/100)</f>
        <v>12188</v>
      </c>
      <c r="D6" s="0" t="n">
        <f aca="false">C6*(1+D5/100)</f>
        <v>13284.92</v>
      </c>
      <c r="E6" s="0" t="n">
        <f aca="false">D6*(1+E5/100)</f>
        <v>14414.1382</v>
      </c>
      <c r="F6" s="0" t="n">
        <f aca="false">E6*(1+F5/100)</f>
        <v>15567.269256</v>
      </c>
      <c r="G6" s="0" t="n">
        <f aca="false">F6*(1+G5/100)</f>
        <v>16734.8144502</v>
      </c>
      <c r="H6" s="0" t="n">
        <f aca="false">G6*(1+H5/100)</f>
        <v>17906.251461714</v>
      </c>
      <c r="I6" s="0" t="n">
        <f aca="false">H6*(1+I5/100)</f>
        <v>19070.1578067254</v>
      </c>
      <c r="J6" s="0" t="n">
        <f aca="false">I6*(1+J5/100)</f>
        <v>20214.3672751289</v>
      </c>
      <c r="K6" s="0" t="n">
        <f aca="false">J6*(1+K5/100)</f>
        <v>21225.0856388854</v>
      </c>
      <c r="L6" s="0" t="n">
        <f aca="false">K6*(1+L5/100)</f>
        <v>22180.2144926352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30.7</v>
      </c>
      <c r="D7" s="4" t="n">
        <f aca="false">Assumptions!D28</f>
        <v>30.9</v>
      </c>
      <c r="E7" s="4" t="n">
        <f aca="false">Assumptions!E28</f>
        <v>31.1</v>
      </c>
      <c r="F7" s="4" t="n">
        <f aca="false">Assumptions!F28</f>
        <v>31.3</v>
      </c>
      <c r="G7" s="4" t="n">
        <f aca="false">Assumptions!G28</f>
        <v>31.5</v>
      </c>
      <c r="H7" s="4" t="n">
        <f aca="false">Assumptions!H28</f>
        <v>31.5</v>
      </c>
      <c r="I7" s="4" t="n">
        <f aca="false">Assumptions!I28</f>
        <v>31.5</v>
      </c>
      <c r="J7" s="4" t="n">
        <f aca="false">Assumptions!J28</f>
        <v>31.5</v>
      </c>
      <c r="K7" s="4" t="n">
        <f aca="false">Assumptions!K28</f>
        <v>31.5</v>
      </c>
      <c r="L7" s="4" t="n">
        <f aca="false">Assumptions!L28</f>
        <v>31.5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3741.716</v>
      </c>
      <c r="D8" s="0" t="n">
        <f aca="false">D6*D7/100</f>
        <v>4105.04028</v>
      </c>
      <c r="E8" s="0" t="n">
        <f aca="false">E6*E7/100</f>
        <v>4482.7969802</v>
      </c>
      <c r="F8" s="0" t="n">
        <f aca="false">F6*F7/100</f>
        <v>4872.555277128</v>
      </c>
      <c r="G8" s="0" t="n">
        <f aca="false">G6*G7/100</f>
        <v>5271.466551813</v>
      </c>
      <c r="H8" s="0" t="n">
        <f aca="false">H6*H7/100</f>
        <v>5640.46921043991</v>
      </c>
      <c r="I8" s="0" t="n">
        <f aca="false">I6*I7/100</f>
        <v>6007.0997091185</v>
      </c>
      <c r="J8" s="0" t="n">
        <f aca="false">J6*J7/100</f>
        <v>6367.52569166562</v>
      </c>
      <c r="K8" s="0" t="n">
        <f aca="false">K6*K7/100</f>
        <v>6685.9019762489</v>
      </c>
      <c r="L8" s="0" t="n">
        <f aca="false">L6*L7/100</f>
        <v>6986.7675651801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0.86</v>
      </c>
      <c r="D9" s="4" t="n">
        <f aca="false">Assumptions!D29</f>
        <v>0.86</v>
      </c>
      <c r="E9" s="4" t="n">
        <f aca="false">Assumptions!E29</f>
        <v>0.86</v>
      </c>
      <c r="F9" s="4" t="n">
        <f aca="false">Assumptions!F29</f>
        <v>0.86</v>
      </c>
      <c r="G9" s="4" t="n">
        <f aca="false">Assumptions!G29</f>
        <v>0.86</v>
      </c>
      <c r="H9" s="4" t="n">
        <f aca="false">Assumptions!H29</f>
        <v>0.86</v>
      </c>
      <c r="I9" s="4" t="n">
        <f aca="false">Assumptions!I29</f>
        <v>0.86</v>
      </c>
      <c r="J9" s="4" t="n">
        <f aca="false">Assumptions!J29</f>
        <v>0.86</v>
      </c>
      <c r="K9" s="4" t="n">
        <f aca="false">Assumptions!K29</f>
        <v>0.86</v>
      </c>
      <c r="L9" s="4" t="n">
        <f aca="false">Assumptions!L29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-104.8168</v>
      </c>
      <c r="D10" s="0" t="n">
        <f aca="false">-D6*D9/100</f>
        <v>-114.250312</v>
      </c>
      <c r="E10" s="0" t="n">
        <f aca="false">-E6*E9/100</f>
        <v>-123.96158852</v>
      </c>
      <c r="F10" s="0" t="n">
        <f aca="false">-F6*F9/100</f>
        <v>-133.8785156016</v>
      </c>
      <c r="G10" s="0" t="n">
        <f aca="false">-G6*G9/100</f>
        <v>-143.91940427172</v>
      </c>
      <c r="H10" s="0" t="n">
        <f aca="false">-H6*H9/100</f>
        <v>-153.99376257074</v>
      </c>
      <c r="I10" s="0" t="n">
        <f aca="false">-I6*I9/100</f>
        <v>-164.003357137839</v>
      </c>
      <c r="J10" s="0" t="n">
        <f aca="false">-J6*J9/100</f>
        <v>-173.843558566109</v>
      </c>
      <c r="K10" s="0" t="n">
        <f aca="false">-K6*K9/100</f>
        <v>-182.535736494414</v>
      </c>
      <c r="L10" s="0" t="n">
        <f aca="false">-L6*L9/100</f>
        <v>-190.749844636663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3636.8992</v>
      </c>
      <c r="D11" s="0" t="n">
        <f aca="false">D8+D10+D24</f>
        <v>3990.789968</v>
      </c>
      <c r="E11" s="0" t="n">
        <f aca="false">E8+E10+E24</f>
        <v>4358.83539168</v>
      </c>
      <c r="F11" s="0" t="n">
        <f aca="false">F8+F10+F24</f>
        <v>4738.6767615264</v>
      </c>
      <c r="G11" s="0" t="n">
        <f aca="false">G8+G10+G24</f>
        <v>5127.54714754128</v>
      </c>
      <c r="H11" s="0" t="n">
        <f aca="false">H8+H10+H24</f>
        <v>5486.47544786917</v>
      </c>
      <c r="I11" s="0" t="n">
        <f aca="false">I8+I10+I24</f>
        <v>5843.09635198067</v>
      </c>
      <c r="J11" s="0" t="n">
        <f aca="false">J8+J10+J24</f>
        <v>6193.68213309951</v>
      </c>
      <c r="K11" s="0" t="n">
        <f aca="false">K8+K10+K24</f>
        <v>6503.36623975448</v>
      </c>
      <c r="L11" s="0" t="n">
        <f aca="false">L8+L10+L24</f>
        <v>6796.01772054343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3636.8992</v>
      </c>
      <c r="D13" s="0" t="n">
        <f aca="false">D11+D12</f>
        <v>3990.789968</v>
      </c>
      <c r="E13" s="0" t="n">
        <f aca="false">E11+E12</f>
        <v>4358.83539168</v>
      </c>
      <c r="F13" s="0" t="n">
        <f aca="false">F11+F12</f>
        <v>4738.6767615264</v>
      </c>
      <c r="G13" s="0" t="n">
        <f aca="false">G11+G12</f>
        <v>5127.54714754128</v>
      </c>
      <c r="H13" s="0" t="n">
        <f aca="false">H11+H12</f>
        <v>5486.47544786917</v>
      </c>
      <c r="I13" s="0" t="n">
        <f aca="false">I11+I12</f>
        <v>5843.09635198067</v>
      </c>
      <c r="J13" s="0" t="n">
        <f aca="false">J11+J12</f>
        <v>6193.68213309951</v>
      </c>
      <c r="K13" s="0" t="n">
        <f aca="false">K11+K12</f>
        <v>6503.36623975448</v>
      </c>
      <c r="L13" s="0" t="n">
        <f aca="false">L11+L12</f>
        <v>6796.01772054343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2873.150368</v>
      </c>
      <c r="D15" s="0" t="n">
        <f aca="false">D13-MAX(0,D13)*D14/100</f>
        <v>3152.72407472</v>
      </c>
      <c r="E15" s="0" t="n">
        <f aca="false">E13-MAX(0,E13)*E14/100</f>
        <v>3443.4799594272</v>
      </c>
      <c r="F15" s="0" t="n">
        <f aca="false">F13-MAX(0,F13)*F14/100</f>
        <v>3743.55464160586</v>
      </c>
      <c r="G15" s="0" t="n">
        <f aca="false">G13-MAX(0,G13)*G14/100</f>
        <v>4050.76224655761</v>
      </c>
      <c r="H15" s="0" t="n">
        <f aca="false">H13-MAX(0,H13)*H14/100</f>
        <v>4334.31560381664</v>
      </c>
      <c r="I15" s="0" t="n">
        <f aca="false">I13-MAX(0,I13)*I14/100</f>
        <v>4616.04611806473</v>
      </c>
      <c r="J15" s="0" t="n">
        <f aca="false">J13-MAX(0,J13)*J14/100</f>
        <v>4893.00888514861</v>
      </c>
      <c r="K15" s="0" t="n">
        <f aca="false">K13-MAX(0,K13)*K14/100</f>
        <v>5137.65932940604</v>
      </c>
      <c r="L15" s="0" t="n">
        <f aca="false">L13-MAX(0,L13)*L14/100</f>
        <v>5368.85399922931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-1092.0448</v>
      </c>
      <c r="D17" s="4" t="n">
        <f aca="false">-D6*Assumptions!D32/100</f>
        <v>-1103.976852</v>
      </c>
      <c r="E17" s="4" t="n">
        <f aca="false">-E6*Assumptions!E32/100</f>
        <v>-1101.24015848</v>
      </c>
      <c r="F17" s="4" t="n">
        <f aca="false">-F6*Assumptions!F32/100</f>
        <v>-1122.4001133576</v>
      </c>
      <c r="G17" s="4" t="n">
        <f aca="false">-G6*Assumptions!G32/100</f>
        <v>-1214.94752908452</v>
      </c>
      <c r="H17" s="4" t="n">
        <f aca="false">-H6*Assumptions!H32/100</f>
        <v>-1299.99385612044</v>
      </c>
      <c r="I17" s="4" t="n">
        <f aca="false">-I6*Assumptions!I32/100</f>
        <v>-1384.49345676826</v>
      </c>
      <c r="J17" s="4" t="n">
        <f aca="false">-J6*Assumptions!J32/100</f>
        <v>-1467.56306417436</v>
      </c>
      <c r="K17" s="4" t="n">
        <f aca="false">-K6*Assumptions!K32/100</f>
        <v>-1540.94121738308</v>
      </c>
      <c r="L17" s="4" t="n">
        <f aca="false">-L6*Assumptions!L32/100</f>
        <v>-1610.28357216532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1781.105568</v>
      </c>
      <c r="D19" s="0" t="n">
        <f aca="false">D15+D16+D17+D18</f>
        <v>2048.74722272</v>
      </c>
      <c r="E19" s="0" t="n">
        <f aca="false">E15+E16+E17+E18</f>
        <v>2342.2398009472</v>
      </c>
      <c r="F19" s="0" t="n">
        <f aca="false">F15+F16+F17+F18</f>
        <v>2621.15452824826</v>
      </c>
      <c r="G19" s="0" t="n">
        <f aca="false">G15+G16+G17+G18</f>
        <v>2835.81471747309</v>
      </c>
      <c r="H19" s="0" t="n">
        <f aca="false">H15+H16+H17+H18</f>
        <v>3034.32174769621</v>
      </c>
      <c r="I19" s="0" t="n">
        <f aca="false">I15+I16+I17+I18</f>
        <v>3231.55266129646</v>
      </c>
      <c r="J19" s="0" t="n">
        <f aca="false">J15+J16+J17+J18</f>
        <v>3425.44582097425</v>
      </c>
      <c r="K19" s="0" t="n">
        <f aca="false">K15+K16+K17+K18</f>
        <v>3596.71811202296</v>
      </c>
      <c r="L19" s="0" t="n">
        <f aca="false">L15+L16+L17+L18</f>
        <v>3758.57042706399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1619.18688</v>
      </c>
      <c r="D21" s="0" t="n">
        <f aca="false">D19*D20</f>
        <v>1693.17952290909</v>
      </c>
      <c r="E21" s="0" t="n">
        <f aca="false">E19*E20</f>
        <v>1759.7594297124</v>
      </c>
      <c r="F21" s="0" t="n">
        <f aca="false">F19*F20</f>
        <v>1790.28381138464</v>
      </c>
      <c r="G21" s="0" t="n">
        <f aca="false">G19*G20</f>
        <v>1760.81782632402</v>
      </c>
      <c r="H21" s="0" t="n">
        <f aca="false">H19*H20</f>
        <v>1712.79552196972</v>
      </c>
      <c r="I21" s="0" t="n">
        <f aca="false">I19*I20</f>
        <v>1658.29748263432</v>
      </c>
      <c r="J21" s="0" t="n">
        <f aca="false">J19*J20</f>
        <v>1597.99575599308</v>
      </c>
      <c r="K21" s="0" t="n">
        <f aca="false">K19*K20</f>
        <v>1525.35958526612</v>
      </c>
      <c r="L21" s="0" t="n">
        <f aca="false">L19*L20</f>
        <v>1449.09160600281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16566.7674221962</v>
      </c>
    </row>
    <row r="31" customFormat="false" ht="15" hidden="false" customHeight="false" outlineLevel="0" collapsed="false">
      <c r="A31" s="0" t="s">
        <v>138</v>
      </c>
      <c r="B31" s="0" t="n">
        <f aca="false">L19</f>
        <v>3758.57042706399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59848.0060309421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56378.5564059599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56378.5564059599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21736.3740900422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38303.1415122384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39703.1415122384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121.71339229449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0.299662491131771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866.787091349368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1171.02005921492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127.960465238597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33827.1338435759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70.2204304408796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12</v>
      </c>
      <c r="D5" s="4" t="n">
        <f aca="false">Assumptions!D41</f>
        <v>11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9.5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11080</v>
      </c>
      <c r="C6" s="0" t="n">
        <f aca="false">B6*(1+C5/100)</f>
        <v>12409.6</v>
      </c>
      <c r="D6" s="0" t="n">
        <f aca="false">C6*(1+D5/100)</f>
        <v>13774.656</v>
      </c>
      <c r="E6" s="0" t="n">
        <f aca="false">D6*(1+E5/100)</f>
        <v>15220.99488</v>
      </c>
      <c r="F6" s="0" t="n">
        <f aca="false">E6*(1+F5/100)</f>
        <v>16743.094368</v>
      </c>
      <c r="G6" s="0" t="n">
        <f aca="false">F6*(1+G5/100)</f>
        <v>18333.68833296</v>
      </c>
      <c r="H6" s="0" t="n">
        <f aca="false">G6*(1+H5/100)</f>
        <v>19983.7202829264</v>
      </c>
      <c r="I6" s="0" t="n">
        <f aca="false">H6*(1+I5/100)</f>
        <v>21582.4179055605</v>
      </c>
      <c r="J6" s="0" t="n">
        <f aca="false">I6*(1+J5/100)</f>
        <v>23093.1871589498</v>
      </c>
      <c r="K6" s="0" t="n">
        <f aca="false">J6*(1+K5/100)</f>
        <v>24478.7783884867</v>
      </c>
      <c r="L6" s="0" t="n">
        <f aca="false">K6*(1+L5/100)</f>
        <v>25702.7173079111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30.9</v>
      </c>
      <c r="D7" s="4" t="n">
        <f aca="false">Assumptions!D42</f>
        <v>31.4</v>
      </c>
      <c r="E7" s="4" t="n">
        <f aca="false">Assumptions!E42</f>
        <v>31.9</v>
      </c>
      <c r="F7" s="4" t="n">
        <f aca="false">Assumptions!F42</f>
        <v>32.4</v>
      </c>
      <c r="G7" s="4" t="n">
        <f aca="false">Assumptions!G42</f>
        <v>32.9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3834.5664</v>
      </c>
      <c r="D8" s="0" t="n">
        <f aca="false">D6*D7/100</f>
        <v>4325.241984</v>
      </c>
      <c r="E8" s="0" t="n">
        <f aca="false">E6*E7/100</f>
        <v>4855.49736672</v>
      </c>
      <c r="F8" s="0" t="n">
        <f aca="false">F6*F7/100</f>
        <v>5424.762575232</v>
      </c>
      <c r="G8" s="0" t="n">
        <f aca="false">G6*G7/100</f>
        <v>6031.78346154384</v>
      </c>
      <c r="H8" s="0" t="n">
        <f aca="false">H6*H7/100</f>
        <v>6594.62769336571</v>
      </c>
      <c r="I8" s="0" t="n">
        <f aca="false">I6*I7/100</f>
        <v>7122.19790883497</v>
      </c>
      <c r="J8" s="0" t="n">
        <f aca="false">J6*J7/100</f>
        <v>7620.75176245342</v>
      </c>
      <c r="K8" s="0" t="n">
        <f aca="false">K6*K7/100</f>
        <v>8077.99686820062</v>
      </c>
      <c r="L8" s="0" t="n">
        <f aca="false">L6*L7/100</f>
        <v>8481.89671161065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0.86</v>
      </c>
      <c r="D9" s="4" t="n">
        <f aca="false">Assumptions!D43</f>
        <v>0.86</v>
      </c>
      <c r="E9" s="4" t="n">
        <f aca="false">Assumptions!E43</f>
        <v>0.86</v>
      </c>
      <c r="F9" s="4" t="n">
        <f aca="false">Assumptions!F43</f>
        <v>0.86</v>
      </c>
      <c r="G9" s="4" t="n">
        <f aca="false">Assumptions!G43</f>
        <v>0.86</v>
      </c>
      <c r="H9" s="4" t="n">
        <f aca="false">Assumptions!H43</f>
        <v>0.86</v>
      </c>
      <c r="I9" s="4" t="n">
        <f aca="false">Assumptions!I43</f>
        <v>0.86</v>
      </c>
      <c r="J9" s="4" t="n">
        <f aca="false">Assumptions!J43</f>
        <v>0.86</v>
      </c>
      <c r="K9" s="4" t="n">
        <f aca="false">Assumptions!K43</f>
        <v>0.86</v>
      </c>
      <c r="L9" s="4" t="n">
        <f aca="false">Assumptions!L43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-106.72256</v>
      </c>
      <c r="D10" s="0" t="n">
        <f aca="false">-D6*D9/100</f>
        <v>-118.4620416</v>
      </c>
      <c r="E10" s="0" t="n">
        <f aca="false">-E6*E9/100</f>
        <v>-130.900555968</v>
      </c>
      <c r="F10" s="0" t="n">
        <f aca="false">-F6*F9/100</f>
        <v>-143.9906115648</v>
      </c>
      <c r="G10" s="0" t="n">
        <f aca="false">-G6*G9/100</f>
        <v>-157.669719663456</v>
      </c>
      <c r="H10" s="0" t="n">
        <f aca="false">-H6*H9/100</f>
        <v>-171.859994433167</v>
      </c>
      <c r="I10" s="0" t="n">
        <f aca="false">-I6*I9/100</f>
        <v>-185.60879398782</v>
      </c>
      <c r="J10" s="0" t="n">
        <f aca="false">-J6*J9/100</f>
        <v>-198.601409566968</v>
      </c>
      <c r="K10" s="0" t="n">
        <f aca="false">-K6*K9/100</f>
        <v>-210.517494140986</v>
      </c>
      <c r="L10" s="0" t="n">
        <f aca="false">-L6*L9/100</f>
        <v>-221.043368848035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3727.84384</v>
      </c>
      <c r="D11" s="0" t="n">
        <f aca="false">D8+D10+D24</f>
        <v>4206.7799424</v>
      </c>
      <c r="E11" s="0" t="n">
        <f aca="false">E8+E10+E24</f>
        <v>4724.596810752</v>
      </c>
      <c r="F11" s="0" t="n">
        <f aca="false">F8+F10+F24</f>
        <v>5280.7719636672</v>
      </c>
      <c r="G11" s="0" t="n">
        <f aca="false">G8+G10+G24</f>
        <v>5874.11374188039</v>
      </c>
      <c r="H11" s="0" t="n">
        <f aca="false">H8+H10+H24</f>
        <v>6422.76769893255</v>
      </c>
      <c r="I11" s="0" t="n">
        <f aca="false">I8+I10+I24</f>
        <v>6936.58911484715</v>
      </c>
      <c r="J11" s="0" t="n">
        <f aca="false">J8+J10+J24</f>
        <v>7422.15035288645</v>
      </c>
      <c r="K11" s="0" t="n">
        <f aca="false">K8+K10+K24</f>
        <v>7867.47937405964</v>
      </c>
      <c r="L11" s="0" t="n">
        <f aca="false">L8+L10+L24</f>
        <v>8260.85334276262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3727.84384</v>
      </c>
      <c r="D13" s="0" t="n">
        <f aca="false">D11+D12</f>
        <v>4206.7799424</v>
      </c>
      <c r="E13" s="0" t="n">
        <f aca="false">E11+E12</f>
        <v>4724.596810752</v>
      </c>
      <c r="F13" s="0" t="n">
        <f aca="false">F11+F12</f>
        <v>5280.7719636672</v>
      </c>
      <c r="G13" s="0" t="n">
        <f aca="false">G11+G12</f>
        <v>5874.11374188039</v>
      </c>
      <c r="H13" s="0" t="n">
        <f aca="false">H11+H12</f>
        <v>6422.76769893255</v>
      </c>
      <c r="I13" s="0" t="n">
        <f aca="false">I11+I12</f>
        <v>6936.58911484715</v>
      </c>
      <c r="J13" s="0" t="n">
        <f aca="false">J11+J12</f>
        <v>7422.15035288645</v>
      </c>
      <c r="K13" s="0" t="n">
        <f aca="false">K11+K12</f>
        <v>7867.47937405964</v>
      </c>
      <c r="L13" s="0" t="n">
        <f aca="false">L11+L12</f>
        <v>8260.85334276262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2944.9966336</v>
      </c>
      <c r="D15" s="0" t="n">
        <f aca="false">D13-MAX(0,D13)*D14/100</f>
        <v>3323.356154496</v>
      </c>
      <c r="E15" s="0" t="n">
        <f aca="false">E13-MAX(0,E13)*E14/100</f>
        <v>3732.43148049408</v>
      </c>
      <c r="F15" s="0" t="n">
        <f aca="false">F13-MAX(0,F13)*F14/100</f>
        <v>4171.80985129709</v>
      </c>
      <c r="G15" s="0" t="n">
        <f aca="false">G13-MAX(0,G13)*G14/100</f>
        <v>4640.5498560855</v>
      </c>
      <c r="H15" s="0" t="n">
        <f aca="false">H13-MAX(0,H13)*H14/100</f>
        <v>5073.98648215671</v>
      </c>
      <c r="I15" s="0" t="n">
        <f aca="false">I13-MAX(0,I13)*I14/100</f>
        <v>5479.90540072925</v>
      </c>
      <c r="J15" s="0" t="n">
        <f aca="false">J13-MAX(0,J13)*J14/100</f>
        <v>5863.4987787803</v>
      </c>
      <c r="K15" s="0" t="n">
        <f aca="false">K13-MAX(0,K13)*K14/100</f>
        <v>6215.30870550711</v>
      </c>
      <c r="L15" s="0" t="n">
        <f aca="false">L13-MAX(0,L13)*L14/100</f>
        <v>6526.07414078247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-1031.23776</v>
      </c>
      <c r="D17" s="4" t="n">
        <f aca="false">-D6*Assumptions!D46/100</f>
        <v>-1030.3442688</v>
      </c>
      <c r="E17" s="4" t="n">
        <f aca="false">-E6*Assumptions!E46/100</f>
        <v>-1045.682348256</v>
      </c>
      <c r="F17" s="4" t="n">
        <f aca="false">-F6*Assumptions!F46/100</f>
        <v>-1043.0947791264</v>
      </c>
      <c r="G17" s="4" t="n">
        <f aca="false">-G6*Assumptions!G46/100</f>
        <v>-1067.02066097827</v>
      </c>
      <c r="H17" s="4" t="n">
        <f aca="false">-H6*Assumptions!H46/100</f>
        <v>-1117.08996381559</v>
      </c>
      <c r="I17" s="4" t="n">
        <f aca="false">-I6*Assumptions!I46/100</f>
        <v>-1206.45716092083</v>
      </c>
      <c r="J17" s="4" t="n">
        <f aca="false">-J6*Assumptions!J46/100</f>
        <v>-1290.90916218529</v>
      </c>
      <c r="K17" s="4" t="n">
        <f aca="false">-K6*Assumptions!K46/100</f>
        <v>-1368.36371191641</v>
      </c>
      <c r="L17" s="4" t="n">
        <f aca="false">-L6*Assumptions!L46/100</f>
        <v>-1436.78189751223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1913.7588736</v>
      </c>
      <c r="D19" s="0" t="n">
        <f aca="false">D15+D16+D17+D18</f>
        <v>2293.011885696</v>
      </c>
      <c r="E19" s="0" t="n">
        <f aca="false">E15+E16+E17+E18</f>
        <v>2686.74913223808</v>
      </c>
      <c r="F19" s="0" t="n">
        <f aca="false">F15+F16+F17+F18</f>
        <v>3128.71507217069</v>
      </c>
      <c r="G19" s="0" t="n">
        <f aca="false">G15+G16+G17+G18</f>
        <v>3573.52919510723</v>
      </c>
      <c r="H19" s="0" t="n">
        <f aca="false">H15+H16+H17+H18</f>
        <v>3956.89651834113</v>
      </c>
      <c r="I19" s="0" t="n">
        <f aca="false">I15+I16+I17+I18</f>
        <v>4273.44823980842</v>
      </c>
      <c r="J19" s="0" t="n">
        <f aca="false">J15+J16+J17+J18</f>
        <v>4572.58961659501</v>
      </c>
      <c r="K19" s="0" t="n">
        <f aca="false">K15+K16+K17+K18</f>
        <v>4846.94499359071</v>
      </c>
      <c r="L19" s="0" t="n">
        <f aca="false">L15+L16+L17+L18</f>
        <v>5089.29224327024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1739.78079418182</v>
      </c>
      <c r="D21" s="0" t="n">
        <f aca="false">D19*D20</f>
        <v>1895.05114520331</v>
      </c>
      <c r="E21" s="0" t="n">
        <f aca="false">E19*E20</f>
        <v>2018.59438935994</v>
      </c>
      <c r="F21" s="0" t="n">
        <f aca="false">F19*F20</f>
        <v>2136.95449229608</v>
      </c>
      <c r="G21" s="0" t="n">
        <f aca="false">G19*G20</f>
        <v>2218.8804758165</v>
      </c>
      <c r="H21" s="0" t="n">
        <f aca="false">H19*H20</f>
        <v>2233.56492852412</v>
      </c>
      <c r="I21" s="0" t="n">
        <f aca="false">I19*I20</f>
        <v>2192.95465709641</v>
      </c>
      <c r="J21" s="0" t="n">
        <f aca="false">J19*J20</f>
        <v>2133.14680281196</v>
      </c>
      <c r="K21" s="0" t="n">
        <f aca="false">K19*K20</f>
        <v>2055.57782816426</v>
      </c>
      <c r="L21" s="0" t="n">
        <f aca="false">L19*L20</f>
        <v>1962.14247233861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20586.647985793</v>
      </c>
    </row>
    <row r="31" customFormat="false" ht="15" hidden="false" customHeight="false" outlineLevel="0" collapsed="false">
      <c r="A31" s="0" t="s">
        <v>138</v>
      </c>
      <c r="B31" s="0" t="n">
        <f aca="false">L19</f>
        <v>5089.29224327024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88214.3988833508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86517.9681355941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86517.9681355941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33356.4220297563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53943.0700155493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55343.0700155493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169.658937177746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0.811627732810955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948.926488672534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1477.17765055912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177.096367909885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48116.9448454641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90.3479596721085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69.4340460578954</v>
      </c>
      <c r="C4" s="0" t="n">
        <f aca="false">B4/Assumptions!$B$2-1</f>
        <v>-0.258579326664225</v>
      </c>
      <c r="D4" s="4" t="n">
        <f aca="false">Assumptions!$B$24</f>
        <v>0.25</v>
      </c>
      <c r="E4" s="4" t="n">
        <f aca="false">DCF_Bear!$B$43</f>
        <v>74.2199095995576</v>
      </c>
      <c r="F4" s="4" t="n">
        <f aca="false">DCF_Bear!$B$47</f>
        <v>45.8059271009259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121.71339229449</v>
      </c>
      <c r="C5" s="0" t="n">
        <f aca="false">B5/Assumptions!$B$2-1</f>
        <v>0.299662491131771</v>
      </c>
      <c r="D5" s="4" t="n">
        <f aca="false">Assumptions!$B$38</f>
        <v>0.5</v>
      </c>
      <c r="E5" s="4" t="n">
        <f aca="false">DCF_Base!$B$43</f>
        <v>127.960465238597</v>
      </c>
      <c r="F5" s="4" t="n">
        <f aca="false">DCF_Base!$B$47</f>
        <v>70.2204304408796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169.658937177746</v>
      </c>
      <c r="C6" s="0" t="n">
        <f aca="false">B6/Assumptions!$B$2-1</f>
        <v>0.811627732810955</v>
      </c>
      <c r="D6" s="4" t="n">
        <f aca="false">Assumptions!$B$52</f>
        <v>0.25</v>
      </c>
      <c r="E6" s="4" t="n">
        <f aca="false">DCF_Bull!$B$43</f>
        <v>177.096367909885</v>
      </c>
      <c r="F6" s="4" t="n">
        <f aca="false">DCF_Bull!$B$47</f>
        <v>90.3479596721085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120.629941956156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126.809301996659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0.223658749383812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-436.613852879758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69.1486869136984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130.660793827414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121.71339229449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108.680273665886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95.6180183052037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70.2204304408796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2.5</v>
      </c>
      <c r="C22" s="3" t="n">
        <v>3</v>
      </c>
      <c r="D22" s="3" t="n">
        <v>3.5</v>
      </c>
      <c r="E22" s="3" t="n">
        <v>4</v>
      </c>
      <c r="F22" s="3" t="n">
        <v>4.5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140.478580105787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140.478580105787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140.478580105787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140.478580105787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140.478580105787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130.660793827414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130.660793827414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130.660793827414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130.660793827414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130.660793827414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115.790305828475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120.444159480344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121.71339229449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121.71339229449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121.71339229449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101.614671355868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104.926672438689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108.680273665886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112.970103639825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113.54981039306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90.4724724536751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92.9023135502303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95.6180183052037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98.6731861545489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102.13570971714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2026-10-18T03:24:38Z</dcterms:created>
  <dc:creator>openpyxl</dc:creator>
  <dc:description/>
  <dc:language>en-NZ</dc:language>
  <cp:lastModifiedBy/>
  <dcterms:modified xsi:type="dcterms:W3CDTF">2026-10-18T03:24:38Z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