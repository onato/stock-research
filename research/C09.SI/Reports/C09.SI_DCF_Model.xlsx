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<sst xmlns="http://schemas.openxmlformats.org/spreadsheetml/2006/main" count="357" uniqueCount="164">
  <si>
    <t xml:space="preserve">Ticker</t>
  </si>
  <si>
    <t xml:space="preserve">C09.SI</t>
  </si>
  <si>
    <t xml:space="preserve">Company</t>
  </si>
  <si>
    <t xml:space="preserve">CapitaLand Investment Limited</t>
  </si>
  <si>
    <t xml:space="preserve">Valuation date</t>
  </si>
  <si>
    <t xml:space="preserve">2026-10-24</t>
  </si>
  <si>
    <t xml:space="preserve">Current price</t>
  </si>
  <si>
    <t xml:space="preserve">Price as of</t>
  </si>
  <si>
    <t xml:space="preserve">2026-10-23T09:06:27Z regular session (Yahoo symbol 9CI.SI)</t>
  </si>
  <si>
    <t xml:space="preserve">Balance sheet date</t>
  </si>
  <si>
    <t xml:space="preserve">2026-06-30</t>
  </si>
  <si>
    <t xml:space="preserve">Model</t>
  </si>
  <si>
    <t xml:space="preserve">Sum-of-parts: owner-FCF DCF of the Fee Income-related Business plus Real Estate Investment Business at haircut book (engine route with equity_bridge)</t>
  </si>
  <si>
    <t xml:space="preserve">Currency (model)</t>
  </si>
  <si>
    <t xml:space="preserve">SGD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</si>
  <si>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</si>
  <si>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</si>
  <si>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</si>
  <si>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</si>
  <si>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</si>
  <si>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</si>
  <si>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2026-10-24T00:31:01Z</t>
  </si>
  <si>
    <t xml:space="preserve">Drivers file</t>
  </si>
  <si>
    <t xml:space="preserve">C09.SI_Drivers.json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</si>
  <si>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</si>
  <si>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</si>
  <si>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</si>
  <si>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Sum of parts. The fee business is the asset the market should eventually pay a manager multiple for; it is valued on owner FCF with SBC expensed. The investment book is not a cash-flow stream to project -- it is a portfolio of mostly listed sponsor stakes and China-heavy property marked at a discount to book, consistent with recent divestment pricing. Consolidated net debt (incl. leases) and NCI are deducted once. Reported PATMI is dominated by revaluation and portfolio-gain noise and is not used.
key_risks_to_valuation: REIB haircut: the S$18.3bn associates/JVs/IP carrying value dominates the bridge; each 10% haircut change is ~S$0.36/share; China: ~two-thirds of the S$7-9bn non-core pool is in China, where divestments have cleared 13-20% below book; Event-driven fees: H1 2026 FRB revenue (+18%) included an India performance fee and divestment/acquisition fees that may not recur; Gearing: net debt/equity rose 0.35x -&gt; 0.43x -&gt; 0.45x while recycling lagged; Ticker collision: Yahoo C09.SI is City Developments; any automated price refresh on C09.SI writes CDL's price into this file</t>
  </si>
  <si>
    <t xml:space="preserve">Data sources</t>
  </si>
  <si>
    <t xml:space="preserve">price: Yahoo Finance chart API, symbol 9CI.SI (CapitaLand Investment), at inputs.price_as_of; 52-week range 2.29-3.18. Yahoo C09.SI is City Developments and must not be used.
financials: C09.SI_Annual_FY2025.txt (financial highlights, note 36 operating segments) and C09.SI_HalfYear_H1-2026.txt (balance sheet, note 4 segments, net debt note, note 17(b) diluted shares, note 19 NAV); Metrics.csv FY2021+ only
qualitative: C09.SI_Analysis.json (2026-10-24)</t>
  </si>
  <si>
    <t xml:space="preserve">Scenario narrative: bear</t>
  </si>
  <si>
    <t xml:space="preserve">APAC real-estate capital raising stalls again and China keeps bleeding: FRB growth slows to ~3%, event fees from the H1 2026 divestment wave do not repeat, and margins stay around 34-35% under growth spend. The bridge's 10-15% haircut on the investment book proves too small -- each further 10% haircut on the S$18.3bn REIB carrying value costs ~S$0.36/share, which this scenario does not include.</t>
  </si>
  <si>
    <t xml:space="preserve">Scenario narrative: base</t>
  </si>
  <si>
    <t xml:space="preserve">CLI's fee franchise keeps compounding at high single digits as listed REIT acquisitions, private funds (SCCP, Wingate) and Ascott's signed pipeline convert to FUM and fees, but the S$200bn FUM target slips a couple of years. The REIB book is recycled at roughly 10-15% below carrying value (China weighted), proceeds pay down debt rather than creating new value. Fee business EV of ~S$7bn plus the haircut investment book less S$6.6bn net debt and NCI.</t>
  </si>
  <si>
    <t xml:space="preserve">Scenario narrative: bull</t>
  </si>
  <si>
    <t xml:space="preserve">The asset-light pivot lands: S$200bn FUM by ~2029, &gt;S$1bn operating earnings around 2030, Ascott to S$500m fees, and China C-REIT listings let CLI exit China balance-sheet assets near book. FRB margins scale toward listed-funds levels (~44%). Investment book still valued at the same haircut book (bridge is common to all scenarios), so bull upside is understated if sponsor REIT stakes re-rate above NAV.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</si>
  <si>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</si>
  <si>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</si>
  <si>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</si>
  <si>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</si>
  <si>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</si>
  <si>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</si>
  <si>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</si>
  <si>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</si>
  <si>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</si>
  <si>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</si>
  <si>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</si>
  <si>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</si>
  <si>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</si>
  <si>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</si>
  <si>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</si>
  <si>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</si>
  <si>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</si>
  <si>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</si>
  <si>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</si>
  <si>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</si>
  <si>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</si>
  <si>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</si>
  <si>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</si>
  <si>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</si>
  <si>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</si>
  <si>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</si>
  <si>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</si>
  <si>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FY2016</t>
  </si>
  <si>
    <t xml:space="preserve">FY2017</t>
  </si>
  <si>
    <t xml:space="preserve">FY2018</t>
  </si>
  <si>
    <t xml:space="preserve">FY2019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</si>
  <si>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</si>
  <si>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</si>
  <si>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</si>
  <si>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</si>
  <si>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</si>
  <si>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</si>
  <si>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</si>
  <si>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</si>
  <si>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</si>
  <si>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</si>
  <si>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</si>
  <si>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</si>
  <si>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</si>
  <si>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</si>
  <si>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</si>
  <si>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SGD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</si>
  <si>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</si>
  <si>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</si>
  <si>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</si>
  <si>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</si>
  <si>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</si>
  <si>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</si>
  <si>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</si>
  <si>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</si>
  <si>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</si>
  <si>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</si>
  <si>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</si>
  <si>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</si>
  <si>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</si>
  <si>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</si>
  <si>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</si>
  <si>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</si>
  <si>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</si>
  <si>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</si>
  <si>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</si>
  <si>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</si>
  <si>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</si>
  <si>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</si>
  <si>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</si>
  <si>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</si>
  <si>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</si>
  <si>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</si>
  <si>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C09.SI owner-FCF component DCF: bear case (millions, SGD)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</si>
  <si>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</si>
  <si>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</si>
  <si>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</si>
  <si>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</si>
  <si>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</si>
  <si>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</si>
  <si>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</si>
  <si>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</si>
  <si>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</si>
  <si>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</si>
  <si>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</si>
  <si>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</si>
  <si>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</si>
  <si>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</si>
  <si>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</si>
  <si>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</si>
  <si>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</si>
  <si>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</si>
  <si>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</si>
  <si>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</si>
  <si>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</si>
  <si>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</si>
  <si>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</si>
  <si>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</si>
  <si>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</si>
  <si>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</si>
  <si>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</si>
  <si>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</si>
  <si>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</si>
  <si>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</si>
  <si>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C09.SI owner-FCF component DCF: base case (millions, SGD)</t>
  </si>
  <si>
    <t xml:space="preserve">C09.SI owner-FCF component DCF: bull case (millions, SGD)</t>
  </si>
  <si>
    <t xml:space="preserve">C09.SI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</si>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</sst>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2.4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B2" s="0" t="n">
        <v>5252.334</v>
      </c>
      <c r="C2" s="0" t="n">
        <v>3654.454</v>
      </c>
      <c r="D2" s="0" t="n">
        <v>1597.88</v>
      </c>
      <c r="E2" s="0" t="n">
        <v>30.4</v>
      </c>
      <c r="F2" s="0" t="n">
        <v>1651.736</v>
      </c>
      <c r="G2" s="0" t="n">
        <v>31.4</v>
      </c>
      <c r="I2" s="0" t="n">
        <v>1190.341</v>
      </c>
      <c r="J2" s="0" t="n">
        <v>22.7</v>
      </c>
      <c r="K2" s="0" t="n">
        <v>0.28</v>
      </c>
      <c r="L2" s="0" t="n">
        <v>3305.216</v>
      </c>
      <c r="M2" s="0" t="n">
        <v>75.941</v>
      </c>
      <c r="N2" s="0" t="n">
        <v>3229.275</v>
      </c>
      <c r="O2" s="0" t="n">
        <v>17604.845</v>
      </c>
      <c r="P2" s="0" t="n">
        <v>45740.771</v>
      </c>
      <c r="Q2" s="0" t="n">
        <v>21440.296</v>
      </c>
      <c r="R2" s="0" t="n">
        <v>14852.376</v>
      </c>
      <c r="S2" s="0" t="n">
        <v>4792.629</v>
      </c>
      <c r="T2" s="0" t="n">
        <v>4244.09</v>
      </c>
      <c r="U2" s="0" t="n">
        <v>46.8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4609.776</v>
      </c>
      <c r="C3" s="0" t="n">
        <v>2771.692</v>
      </c>
      <c r="D3" s="0" t="n">
        <v>1838.084</v>
      </c>
      <c r="E3" s="0" t="n">
        <v>39.9</v>
      </c>
      <c r="F3" s="0" t="n">
        <v>2233.882</v>
      </c>
      <c r="G3" s="0" t="n">
        <v>48.5</v>
      </c>
      <c r="I3" s="0" t="n">
        <v>1550.75</v>
      </c>
      <c r="J3" s="0" t="n">
        <v>33.6</v>
      </c>
      <c r="K3" s="0" t="n">
        <v>0.365</v>
      </c>
      <c r="L3" s="0" t="n">
        <v>2166.333</v>
      </c>
      <c r="M3" s="0" t="n">
        <v>149.276</v>
      </c>
      <c r="N3" s="0" t="n">
        <v>2017.057</v>
      </c>
      <c r="O3" s="0" t="n">
        <v>18382.374</v>
      </c>
      <c r="P3" s="0" t="n">
        <v>61445.669</v>
      </c>
      <c r="Q3" s="0" t="n">
        <v>29362.596</v>
      </c>
      <c r="R3" s="0" t="n">
        <v>21694.929</v>
      </c>
      <c r="S3" s="0" t="n">
        <v>6105.318</v>
      </c>
      <c r="T3" s="0" t="n">
        <v>4245.63</v>
      </c>
      <c r="U3" s="0" t="n">
        <v>55.333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5602.423</v>
      </c>
      <c r="C4" s="0" t="n">
        <v>2912.981</v>
      </c>
      <c r="D4" s="0" t="n">
        <v>2689.442</v>
      </c>
      <c r="E4" s="0" t="n">
        <v>48</v>
      </c>
      <c r="F4" s="0" t="n">
        <v>3185.591</v>
      </c>
      <c r="G4" s="0" t="n">
        <v>56.9</v>
      </c>
      <c r="I4" s="0" t="n">
        <v>1762.493</v>
      </c>
      <c r="J4" s="0" t="n">
        <v>31.5</v>
      </c>
      <c r="K4" s="0" t="n">
        <v>0.421</v>
      </c>
      <c r="L4" s="0" t="n">
        <v>553.394</v>
      </c>
      <c r="M4" s="0" t="n">
        <v>89.348</v>
      </c>
      <c r="N4" s="0" t="n">
        <v>464.046</v>
      </c>
      <c r="O4" s="0" t="n">
        <v>18952.712</v>
      </c>
      <c r="P4" s="0" t="n">
        <v>64647.557</v>
      </c>
      <c r="Q4" s="0" t="n">
        <v>31340.618</v>
      </c>
      <c r="R4" s="0" t="n">
        <v>23633.945</v>
      </c>
      <c r="S4" s="0" t="n">
        <v>5059.839</v>
      </c>
      <c r="T4" s="0" t="n">
        <v>4191.31</v>
      </c>
      <c r="U4" s="0" t="n">
        <v>50.421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6234.764</v>
      </c>
      <c r="C5" s="0" t="n">
        <v>3234.962</v>
      </c>
      <c r="D5" s="0" t="n">
        <v>2999.802</v>
      </c>
      <c r="E5" s="0" t="n">
        <v>48.1</v>
      </c>
      <c r="F5" s="0" t="n">
        <v>4078.835</v>
      </c>
      <c r="G5" s="0" t="n">
        <v>65.4</v>
      </c>
      <c r="I5" s="0" t="n">
        <v>2135.894</v>
      </c>
      <c r="J5" s="0" t="n">
        <v>34.3</v>
      </c>
      <c r="K5" s="0" t="n">
        <v>0.464</v>
      </c>
      <c r="L5" s="0" t="n">
        <v>2245.972</v>
      </c>
      <c r="M5" s="0" t="n">
        <v>81.465</v>
      </c>
      <c r="N5" s="0" t="n">
        <v>2164.507</v>
      </c>
      <c r="O5" s="0" t="n">
        <v>23359.47</v>
      </c>
      <c r="P5" s="0" t="n">
        <v>82345.917</v>
      </c>
      <c r="Q5" s="0" t="n">
        <v>42063.042</v>
      </c>
      <c r="R5" s="0" t="n">
        <v>31411.063</v>
      </c>
      <c r="S5" s="0" t="n">
        <v>6167.606</v>
      </c>
      <c r="T5" s="0" t="n">
        <v>4607.83</v>
      </c>
      <c r="U5" s="0" t="n">
        <v>66.734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2293</v>
      </c>
      <c r="C6" s="0" t="n">
        <v>1235</v>
      </c>
      <c r="D6" s="0" t="n">
        <v>1058</v>
      </c>
      <c r="E6" s="0" t="n">
        <v>46.1</v>
      </c>
      <c r="F6" s="0" t="n">
        <v>1091</v>
      </c>
      <c r="G6" s="0" t="n">
        <v>47.6</v>
      </c>
      <c r="I6" s="0" t="n">
        <v>1349</v>
      </c>
      <c r="J6" s="0" t="n">
        <v>58.8</v>
      </c>
      <c r="K6" s="0" t="n">
        <v>0.383</v>
      </c>
      <c r="L6" s="0" t="n">
        <v>667</v>
      </c>
      <c r="M6" s="0" t="n">
        <v>42</v>
      </c>
      <c r="N6" s="0" t="n">
        <v>625</v>
      </c>
      <c r="O6" s="0" t="n">
        <v>16044</v>
      </c>
      <c r="P6" s="0" t="n">
        <v>37646</v>
      </c>
      <c r="Q6" s="0" t="n">
        <v>17545</v>
      </c>
      <c r="R6" s="0" t="n">
        <v>13548</v>
      </c>
      <c r="S6" s="0" t="n">
        <v>3877</v>
      </c>
      <c r="U6" s="0" t="n">
        <v>58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2876</v>
      </c>
      <c r="C7" s="0" t="n">
        <v>1586</v>
      </c>
      <c r="D7" s="0" t="n">
        <v>1290</v>
      </c>
      <c r="E7" s="0" t="n">
        <v>44.9</v>
      </c>
      <c r="F7" s="0" t="n">
        <v>1289</v>
      </c>
      <c r="G7" s="0" t="n">
        <v>44.8</v>
      </c>
      <c r="I7" s="0" t="n">
        <v>861</v>
      </c>
      <c r="J7" s="0" t="n">
        <v>29.9</v>
      </c>
      <c r="K7" s="0" t="n">
        <v>0.168</v>
      </c>
      <c r="L7" s="0" t="n">
        <v>735</v>
      </c>
      <c r="M7" s="0" t="n">
        <v>156</v>
      </c>
      <c r="N7" s="0" t="n">
        <v>579</v>
      </c>
      <c r="O7" s="0" t="n">
        <v>15133</v>
      </c>
      <c r="P7" s="0" t="n">
        <v>35110</v>
      </c>
      <c r="Q7" s="0" t="n">
        <v>16181</v>
      </c>
      <c r="R7" s="0" t="n">
        <v>12590</v>
      </c>
      <c r="S7" s="0" t="n">
        <v>2668</v>
      </c>
      <c r="T7" s="0" t="n">
        <v>5129.26</v>
      </c>
      <c r="U7" s="0" t="n">
        <v>68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2784</v>
      </c>
      <c r="C8" s="0" t="n">
        <v>1524</v>
      </c>
      <c r="D8" s="0" t="n">
        <v>1260</v>
      </c>
      <c r="E8" s="0" t="n">
        <v>45.3</v>
      </c>
      <c r="F8" s="0" t="n">
        <v>689</v>
      </c>
      <c r="G8" s="0" t="n">
        <v>24.7</v>
      </c>
      <c r="I8" s="0" t="n">
        <v>181</v>
      </c>
      <c r="J8" s="0" t="n">
        <v>6.5</v>
      </c>
      <c r="K8" s="0" t="n">
        <v>0.035</v>
      </c>
      <c r="L8" s="0" t="n">
        <v>682</v>
      </c>
      <c r="M8" s="0" t="n">
        <v>23</v>
      </c>
      <c r="N8" s="0" t="n">
        <v>659</v>
      </c>
      <c r="O8" s="0" t="n">
        <v>13961</v>
      </c>
      <c r="P8" s="0" t="n">
        <v>34133</v>
      </c>
      <c r="Q8" s="0" t="n">
        <v>15896</v>
      </c>
      <c r="R8" s="0" t="n">
        <v>12590</v>
      </c>
      <c r="S8" s="0" t="n">
        <v>2460</v>
      </c>
      <c r="T8" s="0" t="n">
        <v>5116.42</v>
      </c>
      <c r="U8" s="0" t="n">
        <v>55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2815</v>
      </c>
      <c r="C9" s="0" t="n">
        <v>1550</v>
      </c>
      <c r="D9" s="0" t="n">
        <v>1265</v>
      </c>
      <c r="E9" s="0" t="n">
        <v>44.9</v>
      </c>
      <c r="F9" s="0" t="n">
        <v>661</v>
      </c>
      <c r="G9" s="0" t="n">
        <v>23.5</v>
      </c>
      <c r="I9" s="0" t="n">
        <v>479</v>
      </c>
      <c r="J9" s="0" t="n">
        <v>17</v>
      </c>
      <c r="K9" s="0" t="n">
        <v>0.095</v>
      </c>
      <c r="L9" s="0" t="n">
        <v>561</v>
      </c>
      <c r="M9" s="0" t="n">
        <v>19</v>
      </c>
      <c r="N9" s="0" t="n">
        <v>542</v>
      </c>
      <c r="O9" s="0" t="n">
        <v>13546</v>
      </c>
      <c r="P9" s="0" t="n">
        <v>24710</v>
      </c>
      <c r="Q9" s="0" t="n">
        <v>10299</v>
      </c>
      <c r="R9" s="0" t="n">
        <v>7901</v>
      </c>
      <c r="S9" s="0" t="n">
        <v>2308</v>
      </c>
      <c r="T9" s="0" t="n">
        <v>5028.16</v>
      </c>
      <c r="U9" s="0" t="n">
        <v>24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2133</v>
      </c>
      <c r="C10" s="0" t="n">
        <v>1132</v>
      </c>
      <c r="D10" s="0" t="n">
        <v>1001</v>
      </c>
      <c r="E10" s="0" t="n">
        <v>46.9</v>
      </c>
      <c r="F10" s="0" t="n">
        <v>466</v>
      </c>
      <c r="G10" s="0" t="n">
        <v>21.8</v>
      </c>
      <c r="I10" s="0" t="n">
        <v>145</v>
      </c>
      <c r="J10" s="0" t="n">
        <v>6.8</v>
      </c>
      <c r="K10" s="0" t="n">
        <v>0.029</v>
      </c>
      <c r="L10" s="0" t="n">
        <v>491</v>
      </c>
      <c r="M10" s="0" t="n">
        <v>12</v>
      </c>
      <c r="N10" s="0" t="n">
        <v>479</v>
      </c>
      <c r="O10" s="0" t="n">
        <v>12579</v>
      </c>
      <c r="P10" s="0" t="n">
        <v>24211</v>
      </c>
      <c r="Q10" s="0" t="n">
        <v>10687</v>
      </c>
      <c r="R10" s="0" t="n">
        <v>8349</v>
      </c>
      <c r="S10" s="0" t="n">
        <v>2022</v>
      </c>
      <c r="T10" s="0" t="n">
        <v>4986.91</v>
      </c>
      <c r="U10" s="0" t="n">
        <v>39</v>
      </c>
      <c r="AA10" s="0" t="s">
        <v>17</v>
      </c>
      <c r="AB1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72</v>
      </c>
      <c r="B1" s="2" t="s">
        <v>73</v>
      </c>
    </row>
    <row r="2" customFormat="false" ht="15" hidden="false" customHeight="false" outlineLevel="0" collapsed="false">
      <c r="A2" s="0" t="s">
        <v>74</v>
      </c>
      <c r="B2" s="3" t="n">
        <v>2.4</v>
      </c>
    </row>
    <row r="3" customFormat="false" ht="15" hidden="false" customHeight="false" outlineLevel="0" collapsed="false">
      <c r="A3" s="0" t="s">
        <v>75</v>
      </c>
      <c r="B3" s="3" t="n">
        <v>5061.572</v>
      </c>
    </row>
    <row r="4" customFormat="false" ht="15" hidden="false" customHeight="false" outlineLevel="0" collapsed="false">
      <c r="A4" s="0" t="s">
        <v>76</v>
      </c>
      <c r="B4" s="3" t="n">
        <v>6595</v>
      </c>
    </row>
    <row r="5" customFormat="false" ht="15" hidden="false" customHeight="false" outlineLevel="0" collapsed="false">
      <c r="A5" s="0" t="s">
        <v>77</v>
      </c>
      <c r="B5" s="3" t="n">
        <v>15037.8</v>
      </c>
    </row>
    <row r="6" customFormat="false" ht="15" hidden="false" customHeight="false" outlineLevel="0" collapsed="false">
      <c r="A6" s="0" t="s">
        <v>78</v>
      </c>
      <c r="B6" s="3" t="n">
        <v>15</v>
      </c>
    </row>
    <row r="7" customFormat="false" ht="15" hidden="false" customHeight="false" outlineLevel="0" collapsed="false">
      <c r="A7" s="0" t="s">
        <v>79</v>
      </c>
      <c r="B7" s="3" t="n">
        <v>1208</v>
      </c>
    </row>
    <row r="8" customFormat="false" ht="15" hidden="false" customHeight="false" outlineLevel="0" collapsed="false">
      <c r="A8" s="0" t="s">
        <v>80</v>
      </c>
      <c r="B8" s="3" t="s">
        <v>71</v>
      </c>
    </row>
    <row r="9" customFormat="false" ht="15" hidden="false" customHeight="false" outlineLevel="0" collapsed="false">
      <c r="A9" s="0" t="s">
        <v>81</v>
      </c>
      <c r="B9" s="3" t="s">
        <v>82</v>
      </c>
    </row>
    <row r="10" customFormat="false" ht="15" hidden="false" customHeight="false" outlineLevel="0" collapsed="false">
      <c r="A10" s="0" t="s">
        <v>83</v>
      </c>
      <c r="B10" s="3" t="n">
        <v>1</v>
      </c>
    </row>
    <row r="12" customFormat="false" ht="15" hidden="false" customHeight="false" outlineLevel="0" collapsed="false">
      <c r="A12" s="2" t="s">
        <v>84</v>
      </c>
      <c r="C12" s="2" t="s">
        <v>85</v>
      </c>
      <c r="D12" s="2" t="s">
        <v>86</v>
      </c>
      <c r="E12" s="2" t="s">
        <v>87</v>
      </c>
      <c r="F12" s="2" t="s">
        <v>88</v>
      </c>
      <c r="G12" s="2" t="s">
        <v>89</v>
      </c>
      <c r="H12" s="2" t="s">
        <v>90</v>
      </c>
      <c r="I12" s="2" t="s">
        <v>91</v>
      </c>
      <c r="J12" s="2" t="s">
        <v>92</v>
      </c>
      <c r="K12" s="2" t="s">
        <v>93</v>
      </c>
      <c r="L12" s="2" t="s">
        <v>94</v>
      </c>
    </row>
    <row r="13" customFormat="false" ht="15" hidden="false" customHeight="false" outlineLevel="0" collapsed="false">
      <c r="A13" s="0" t="s">
        <v>95</v>
      </c>
      <c r="C13" s="3" t="n">
        <v>6</v>
      </c>
      <c r="D13" s="3" t="n">
        <v>3</v>
      </c>
      <c r="E13" s="3" t="n">
        <v>3</v>
      </c>
      <c r="F13" s="3" t="n">
        <v>3</v>
      </c>
      <c r="G13" s="3" t="n">
        <v>3</v>
      </c>
      <c r="H13" s="3" t="n">
        <v>3</v>
      </c>
      <c r="I13" s="3" t="n">
        <v>2.5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96</v>
      </c>
      <c r="C14" s="3" t="n">
        <v>35</v>
      </c>
      <c r="D14" s="3" t="n">
        <v>34.5</v>
      </c>
      <c r="E14" s="3" t="n">
        <v>34.5</v>
      </c>
      <c r="F14" s="3" t="n">
        <v>34.5</v>
      </c>
      <c r="G14" s="3" t="n">
        <v>34.5</v>
      </c>
      <c r="H14" s="3" t="n">
        <v>34.5</v>
      </c>
      <c r="I14" s="3" t="n">
        <v>34.5</v>
      </c>
      <c r="J14" s="3" t="n">
        <v>34.5</v>
      </c>
      <c r="K14" s="3" t="n">
        <v>34.5</v>
      </c>
      <c r="L14" s="3" t="n">
        <v>34.5</v>
      </c>
    </row>
    <row r="15" customFormat="false" ht="15" hidden="false" customHeight="false" outlineLevel="0" collapsed="false">
      <c r="A15" s="0" t="s">
        <v>97</v>
      </c>
      <c r="C15" s="3" t="n">
        <v>3</v>
      </c>
      <c r="D15" s="3" t="n">
        <v>3</v>
      </c>
      <c r="E15" s="3" t="n">
        <v>2.9</v>
      </c>
      <c r="F15" s="3" t="n">
        <v>2.8</v>
      </c>
      <c r="G15" s="3" t="n">
        <v>2.7</v>
      </c>
      <c r="H15" s="3" t="n">
        <v>2.6</v>
      </c>
      <c r="I15" s="3" t="n">
        <v>2.5</v>
      </c>
      <c r="J15" s="3" t="n">
        <v>2.5</v>
      </c>
      <c r="K15" s="3" t="n">
        <v>2.5</v>
      </c>
      <c r="L15" s="3" t="n">
        <v>2.5</v>
      </c>
    </row>
    <row r="16" customFormat="false" ht="15" hidden="false" customHeight="false" outlineLevel="0" collapsed="false">
      <c r="A16" s="0" t="s">
        <v>98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99</v>
      </c>
      <c r="C17" s="3" t="n">
        <v>4</v>
      </c>
      <c r="D17" s="3" t="n">
        <v>4</v>
      </c>
      <c r="E17" s="3" t="n">
        <v>4</v>
      </c>
      <c r="F17" s="3" t="n">
        <v>4</v>
      </c>
      <c r="G17" s="3" t="n">
        <v>4</v>
      </c>
      <c r="H17" s="3" t="n">
        <v>4</v>
      </c>
      <c r="I17" s="3" t="n">
        <v>4</v>
      </c>
      <c r="J17" s="3" t="n">
        <v>4</v>
      </c>
      <c r="K17" s="3" t="n">
        <v>4</v>
      </c>
      <c r="L17" s="3" t="n">
        <v>4</v>
      </c>
    </row>
    <row r="18" customFormat="false" ht="15" hidden="false" customHeight="false" outlineLevel="0" collapsed="false">
      <c r="A18" s="0" t="s">
        <v>100</v>
      </c>
      <c r="C18" s="3" t="n">
        <v>5</v>
      </c>
      <c r="D18" s="3" t="n">
        <v>5</v>
      </c>
      <c r="E18" s="3" t="n">
        <v>5</v>
      </c>
      <c r="F18" s="3" t="n">
        <v>5</v>
      </c>
      <c r="G18" s="3" t="n">
        <v>5</v>
      </c>
      <c r="H18" s="3" t="n">
        <v>5</v>
      </c>
      <c r="I18" s="3" t="n">
        <v>5</v>
      </c>
      <c r="J18" s="3" t="n">
        <v>5</v>
      </c>
      <c r="K18" s="3" t="n">
        <v>5</v>
      </c>
      <c r="L18" s="3" t="n">
        <v>5</v>
      </c>
    </row>
    <row r="19" customFormat="false" ht="15" hidden="false" customHeight="false" outlineLevel="0" collapsed="false">
      <c r="A19" s="0" t="s">
        <v>101</v>
      </c>
      <c r="C19" s="3" t="n">
        <v>17</v>
      </c>
      <c r="D19" s="3" t="n">
        <v>17</v>
      </c>
      <c r="E19" s="3" t="n">
        <v>17</v>
      </c>
      <c r="F19" s="3" t="n">
        <v>17</v>
      </c>
      <c r="G19" s="3" t="n">
        <v>17</v>
      </c>
      <c r="H19" s="3" t="n">
        <v>17</v>
      </c>
      <c r="I19" s="3" t="n">
        <v>17</v>
      </c>
      <c r="J19" s="3" t="n">
        <v>17</v>
      </c>
      <c r="K19" s="3" t="n">
        <v>17</v>
      </c>
      <c r="L19" s="3" t="n">
        <v>17</v>
      </c>
    </row>
    <row r="20" customFormat="false" ht="15" hidden="false" customHeight="false" outlineLevel="0" collapsed="false">
      <c r="A20" s="0" t="s">
        <v>102</v>
      </c>
      <c r="B20" s="3" t="n">
        <v>8.5</v>
      </c>
    </row>
    <row r="21" customFormat="false" ht="15" hidden="false" customHeight="false" outlineLevel="0" collapsed="false">
      <c r="A21" s="0" t="s">
        <v>103</v>
      </c>
      <c r="B21" s="3" t="n">
        <v>2</v>
      </c>
    </row>
    <row r="22" customFormat="false" ht="15" hidden="false" customHeight="false" outlineLevel="0" collapsed="false">
      <c r="A22" s="0" t="s">
        <v>104</v>
      </c>
      <c r="B22" s="3" t="n">
        <v>13</v>
      </c>
    </row>
    <row r="23" customFormat="false" ht="15" hidden="false" customHeight="false" outlineLevel="0" collapsed="false">
      <c r="A23" s="0" t="s">
        <v>105</v>
      </c>
      <c r="B23" s="3" t="n">
        <v>-3</v>
      </c>
    </row>
    <row r="24" customFormat="false" ht="15" hidden="false" customHeight="false" outlineLevel="0" collapsed="false">
      <c r="A24" s="0" t="s">
        <v>106</v>
      </c>
      <c r="B24" s="3" t="n">
        <v>0.25</v>
      </c>
    </row>
    <row r="26" customFormat="false" ht="15" hidden="false" customHeight="false" outlineLevel="0" collapsed="false">
      <c r="A26" s="2" t="s">
        <v>107</v>
      </c>
      <c r="C26" s="2" t="s">
        <v>85</v>
      </c>
      <c r="D26" s="2" t="s">
        <v>86</v>
      </c>
      <c r="E26" s="2" t="s">
        <v>87</v>
      </c>
      <c r="F26" s="2" t="s">
        <v>88</v>
      </c>
      <c r="G26" s="2" t="s">
        <v>89</v>
      </c>
      <c r="H26" s="2" t="s">
        <v>90</v>
      </c>
      <c r="I26" s="2" t="s">
        <v>91</v>
      </c>
      <c r="J26" s="2" t="s">
        <v>92</v>
      </c>
      <c r="K26" s="2" t="s">
        <v>93</v>
      </c>
      <c r="L26" s="2" t="s">
        <v>94</v>
      </c>
    </row>
    <row r="27" customFormat="false" ht="15" hidden="false" customHeight="false" outlineLevel="0" collapsed="false">
      <c r="A27" s="0" t="s">
        <v>95</v>
      </c>
      <c r="C27" s="3" t="n">
        <v>12</v>
      </c>
      <c r="D27" s="3" t="n">
        <v>9</v>
      </c>
      <c r="E27" s="3" t="n">
        <v>8</v>
      </c>
      <c r="F27" s="3" t="n">
        <v>7</v>
      </c>
      <c r="G27" s="3" t="n">
        <v>6</v>
      </c>
      <c r="H27" s="3" t="n">
        <v>5.5</v>
      </c>
      <c r="I27" s="3" t="n">
        <v>5</v>
      </c>
      <c r="J27" s="3" t="n">
        <v>4.5</v>
      </c>
      <c r="K27" s="3" t="n">
        <v>4</v>
      </c>
      <c r="L27" s="3" t="n">
        <v>3.5</v>
      </c>
    </row>
    <row r="28" customFormat="false" ht="15" hidden="false" customHeight="false" outlineLevel="0" collapsed="false">
      <c r="A28" s="0" t="s">
        <v>96</v>
      </c>
      <c r="C28" s="3" t="n">
        <v>37.5</v>
      </c>
      <c r="D28" s="3" t="n">
        <v>38</v>
      </c>
      <c r="E28" s="3" t="n">
        <v>38.5</v>
      </c>
      <c r="F28" s="3" t="n">
        <v>39</v>
      </c>
      <c r="G28" s="3" t="n">
        <v>39.5</v>
      </c>
      <c r="H28" s="3" t="n">
        <v>40</v>
      </c>
      <c r="I28" s="3" t="n">
        <v>40</v>
      </c>
      <c r="J28" s="3" t="n">
        <v>40</v>
      </c>
      <c r="K28" s="3" t="n">
        <v>40</v>
      </c>
      <c r="L28" s="3" t="n">
        <v>40</v>
      </c>
    </row>
    <row r="29" customFormat="false" ht="15" hidden="false" customHeight="false" outlineLevel="0" collapsed="false">
      <c r="A29" s="0" t="s">
        <v>97</v>
      </c>
      <c r="C29" s="3" t="n">
        <v>3</v>
      </c>
      <c r="D29" s="3" t="n">
        <v>3</v>
      </c>
      <c r="E29" s="3" t="n">
        <v>2.9</v>
      </c>
      <c r="F29" s="3" t="n">
        <v>2.8</v>
      </c>
      <c r="G29" s="3" t="n">
        <v>2.7</v>
      </c>
      <c r="H29" s="3" t="n">
        <v>2.6</v>
      </c>
      <c r="I29" s="3" t="n">
        <v>2.5</v>
      </c>
      <c r="J29" s="3" t="n">
        <v>2.5</v>
      </c>
      <c r="K29" s="3" t="n">
        <v>2.5</v>
      </c>
      <c r="L29" s="3" t="n">
        <v>2.5</v>
      </c>
    </row>
    <row r="30" customFormat="false" ht="15" hidden="false" customHeight="false" outlineLevel="0" collapsed="false">
      <c r="A30" s="0" t="s">
        <v>98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99</v>
      </c>
      <c r="C31" s="3" t="n">
        <v>4</v>
      </c>
      <c r="D31" s="3" t="n">
        <v>4</v>
      </c>
      <c r="E31" s="3" t="n">
        <v>4</v>
      </c>
      <c r="F31" s="3" t="n">
        <v>4</v>
      </c>
      <c r="G31" s="3" t="n">
        <v>4</v>
      </c>
      <c r="H31" s="3" t="n">
        <v>4</v>
      </c>
      <c r="I31" s="3" t="n">
        <v>4</v>
      </c>
      <c r="J31" s="3" t="n">
        <v>4</v>
      </c>
      <c r="K31" s="3" t="n">
        <v>4</v>
      </c>
      <c r="L31" s="3" t="n">
        <v>4</v>
      </c>
    </row>
    <row r="32" customFormat="false" ht="15" hidden="false" customHeight="false" outlineLevel="0" collapsed="false">
      <c r="A32" s="0" t="s">
        <v>100</v>
      </c>
      <c r="C32" s="3" t="n">
        <v>5</v>
      </c>
      <c r="D32" s="3" t="n">
        <v>5</v>
      </c>
      <c r="E32" s="3" t="n">
        <v>5</v>
      </c>
      <c r="F32" s="3" t="n">
        <v>5</v>
      </c>
      <c r="G32" s="3" t="n">
        <v>5</v>
      </c>
      <c r="H32" s="3" t="n">
        <v>5</v>
      </c>
      <c r="I32" s="3" t="n">
        <v>5</v>
      </c>
      <c r="J32" s="3" t="n">
        <v>5</v>
      </c>
      <c r="K32" s="3" t="n">
        <v>5</v>
      </c>
      <c r="L32" s="3" t="n">
        <v>5</v>
      </c>
    </row>
    <row r="33" customFormat="false" ht="15" hidden="false" customHeight="false" outlineLevel="0" collapsed="false">
      <c r="A33" s="0" t="s">
        <v>101</v>
      </c>
      <c r="C33" s="3" t="n">
        <v>17</v>
      </c>
      <c r="D33" s="3" t="n">
        <v>17</v>
      </c>
      <c r="E33" s="3" t="n">
        <v>17</v>
      </c>
      <c r="F33" s="3" t="n">
        <v>17</v>
      </c>
      <c r="G33" s="3" t="n">
        <v>17</v>
      </c>
      <c r="H33" s="3" t="n">
        <v>17</v>
      </c>
      <c r="I33" s="3" t="n">
        <v>17</v>
      </c>
      <c r="J33" s="3" t="n">
        <v>17</v>
      </c>
      <c r="K33" s="3" t="n">
        <v>17</v>
      </c>
      <c r="L33" s="3" t="n">
        <v>17</v>
      </c>
    </row>
    <row r="34" customFormat="false" ht="15" hidden="false" customHeight="false" outlineLevel="0" collapsed="false">
      <c r="A34" s="0" t="s">
        <v>102</v>
      </c>
      <c r="B34" s="3" t="n">
        <v>8.5</v>
      </c>
    </row>
    <row r="35" customFormat="false" ht="15" hidden="false" customHeight="false" outlineLevel="0" collapsed="false">
      <c r="A35" s="0" t="s">
        <v>103</v>
      </c>
      <c r="B35" s="3" t="n">
        <v>2.5</v>
      </c>
    </row>
    <row r="36" customFormat="false" ht="15" hidden="false" customHeight="false" outlineLevel="0" collapsed="false">
      <c r="A36" s="0" t="s">
        <v>104</v>
      </c>
      <c r="B36" s="3" t="n">
        <v>16</v>
      </c>
    </row>
    <row r="37" customFormat="false" ht="15" hidden="false" customHeight="false" outlineLevel="0" collapsed="false">
      <c r="A37" s="0" t="s">
        <v>105</v>
      </c>
      <c r="B37" s="3" t="n">
        <v>-3</v>
      </c>
    </row>
    <row r="38" customFormat="false" ht="15" hidden="false" customHeight="false" outlineLevel="0" collapsed="false">
      <c r="A38" s="0" t="s">
        <v>106</v>
      </c>
      <c r="B38" s="3" t="n">
        <v>0.5</v>
      </c>
    </row>
    <row r="40" customFormat="false" ht="15" hidden="false" customHeight="false" outlineLevel="0" collapsed="false">
      <c r="A40" s="2" t="s">
        <v>108</v>
      </c>
      <c r="C40" s="2" t="s">
        <v>85</v>
      </c>
      <c r="D40" s="2" t="s">
        <v>86</v>
      </c>
      <c r="E40" s="2" t="s">
        <v>87</v>
      </c>
      <c r="F40" s="2" t="s">
        <v>88</v>
      </c>
      <c r="G40" s="2" t="s">
        <v>89</v>
      </c>
      <c r="H40" s="2" t="s">
        <v>90</v>
      </c>
      <c r="I40" s="2" t="s">
        <v>91</v>
      </c>
      <c r="J40" s="2" t="s">
        <v>92</v>
      </c>
      <c r="K40" s="2" t="s">
        <v>93</v>
      </c>
      <c r="L40" s="2" t="s">
        <v>94</v>
      </c>
    </row>
    <row r="41" customFormat="false" ht="15" hidden="false" customHeight="false" outlineLevel="0" collapsed="false">
      <c r="A41" s="0" t="s">
        <v>95</v>
      </c>
      <c r="C41" s="3" t="n">
        <v>15</v>
      </c>
      <c r="D41" s="3" t="n">
        <v>13</v>
      </c>
      <c r="E41" s="3" t="n">
        <v>12</v>
      </c>
      <c r="F41" s="3" t="n">
        <v>10</v>
      </c>
      <c r="G41" s="3" t="n">
        <v>9</v>
      </c>
      <c r="H41" s="3" t="n">
        <v>8</v>
      </c>
      <c r="I41" s="3" t="n">
        <v>7</v>
      </c>
      <c r="J41" s="3" t="n">
        <v>6</v>
      </c>
      <c r="K41" s="3" t="n">
        <v>5</v>
      </c>
      <c r="L41" s="3" t="n">
        <v>4</v>
      </c>
    </row>
    <row r="42" customFormat="false" ht="15" hidden="false" customHeight="false" outlineLevel="0" collapsed="false">
      <c r="A42" s="0" t="s">
        <v>96</v>
      </c>
      <c r="C42" s="3" t="n">
        <v>38.5</v>
      </c>
      <c r="D42" s="3" t="n">
        <v>39.5</v>
      </c>
      <c r="E42" s="3" t="n">
        <v>40.5</v>
      </c>
      <c r="F42" s="3" t="n">
        <v>41.5</v>
      </c>
      <c r="G42" s="3" t="n">
        <v>42.5</v>
      </c>
      <c r="H42" s="3" t="n">
        <v>43</v>
      </c>
      <c r="I42" s="3" t="n">
        <v>43.5</v>
      </c>
      <c r="J42" s="3" t="n">
        <v>44</v>
      </c>
      <c r="K42" s="3" t="n">
        <v>44</v>
      </c>
      <c r="L42" s="3" t="n">
        <v>44</v>
      </c>
    </row>
    <row r="43" customFormat="false" ht="15" hidden="false" customHeight="false" outlineLevel="0" collapsed="false">
      <c r="A43" s="0" t="s">
        <v>97</v>
      </c>
      <c r="C43" s="3" t="n">
        <v>3</v>
      </c>
      <c r="D43" s="3" t="n">
        <v>3</v>
      </c>
      <c r="E43" s="3" t="n">
        <v>2.9</v>
      </c>
      <c r="F43" s="3" t="n">
        <v>2.8</v>
      </c>
      <c r="G43" s="3" t="n">
        <v>2.7</v>
      </c>
      <c r="H43" s="3" t="n">
        <v>2.6</v>
      </c>
      <c r="I43" s="3" t="n">
        <v>2.5</v>
      </c>
      <c r="J43" s="3" t="n">
        <v>2.5</v>
      </c>
      <c r="K43" s="3" t="n">
        <v>2.5</v>
      </c>
      <c r="L43" s="3" t="n">
        <v>2.5</v>
      </c>
    </row>
    <row r="44" customFormat="false" ht="15" hidden="false" customHeight="false" outlineLevel="0" collapsed="false">
      <c r="A44" s="0" t="s">
        <v>98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99</v>
      </c>
      <c r="C45" s="3" t="n">
        <v>4</v>
      </c>
      <c r="D45" s="3" t="n">
        <v>4</v>
      </c>
      <c r="E45" s="3" t="n">
        <v>4</v>
      </c>
      <c r="F45" s="3" t="n">
        <v>4</v>
      </c>
      <c r="G45" s="3" t="n">
        <v>4</v>
      </c>
      <c r="H45" s="3" t="n">
        <v>4</v>
      </c>
      <c r="I45" s="3" t="n">
        <v>4</v>
      </c>
      <c r="J45" s="3" t="n">
        <v>4</v>
      </c>
      <c r="K45" s="3" t="n">
        <v>4</v>
      </c>
      <c r="L45" s="3" t="n">
        <v>4</v>
      </c>
    </row>
    <row r="46" customFormat="false" ht="15" hidden="false" customHeight="false" outlineLevel="0" collapsed="false">
      <c r="A46" s="0" t="s">
        <v>100</v>
      </c>
      <c r="C46" s="3" t="n">
        <v>5</v>
      </c>
      <c r="D46" s="3" t="n">
        <v>5</v>
      </c>
      <c r="E46" s="3" t="n">
        <v>5</v>
      </c>
      <c r="F46" s="3" t="n">
        <v>5</v>
      </c>
      <c r="G46" s="3" t="n">
        <v>5</v>
      </c>
      <c r="H46" s="3" t="n">
        <v>5</v>
      </c>
      <c r="I46" s="3" t="n">
        <v>5</v>
      </c>
      <c r="J46" s="3" t="n">
        <v>5</v>
      </c>
      <c r="K46" s="3" t="n">
        <v>5</v>
      </c>
      <c r="L46" s="3" t="n">
        <v>5</v>
      </c>
    </row>
    <row r="47" customFormat="false" ht="15" hidden="false" customHeight="false" outlineLevel="0" collapsed="false">
      <c r="A47" s="0" t="s">
        <v>101</v>
      </c>
      <c r="C47" s="3" t="n">
        <v>17</v>
      </c>
      <c r="D47" s="3" t="n">
        <v>17</v>
      </c>
      <c r="E47" s="3" t="n">
        <v>17</v>
      </c>
      <c r="F47" s="3" t="n">
        <v>17</v>
      </c>
      <c r="G47" s="3" t="n">
        <v>17</v>
      </c>
      <c r="H47" s="3" t="n">
        <v>17</v>
      </c>
      <c r="I47" s="3" t="n">
        <v>17</v>
      </c>
      <c r="J47" s="3" t="n">
        <v>17</v>
      </c>
      <c r="K47" s="3" t="n">
        <v>17</v>
      </c>
      <c r="L47" s="3" t="n">
        <v>17</v>
      </c>
    </row>
    <row r="48" customFormat="false" ht="15" hidden="false" customHeight="false" outlineLevel="0" collapsed="false">
      <c r="A48" s="0" t="s">
        <v>102</v>
      </c>
      <c r="B48" s="3" t="n">
        <v>8.5</v>
      </c>
    </row>
    <row r="49" customFormat="false" ht="15" hidden="false" customHeight="false" outlineLevel="0" collapsed="false">
      <c r="A49" s="0" t="s">
        <v>103</v>
      </c>
      <c r="B49" s="3" t="n">
        <v>3</v>
      </c>
    </row>
    <row r="50" customFormat="false" ht="15" hidden="false" customHeight="false" outlineLevel="0" collapsed="false">
      <c r="A50" s="0" t="s">
        <v>104</v>
      </c>
      <c r="B50" s="3" t="n">
        <v>18</v>
      </c>
    </row>
    <row r="51" customFormat="false" ht="15" hidden="false" customHeight="false" outlineLevel="0" collapsed="false">
      <c r="A51" s="0" t="s">
        <v>105</v>
      </c>
      <c r="B51" s="3" t="n">
        <v>-3</v>
      </c>
    </row>
    <row r="52" customFormat="false" ht="15" hidden="false" customHeight="false" outlineLevel="0" collapsed="false">
      <c r="A52" s="0" t="s">
        <v>106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109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Assumptions!C13</f>
        <v>6</v>
      </c>
      <c r="D5" s="4" t="n">
        <f aca="false">Assumptions!D13</f>
        <v>3</v>
      </c>
      <c r="E5" s="4" t="n">
        <f aca="false">Assumptions!E13</f>
        <v>3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1208</v>
      </c>
      <c r="C6" s="0" t="n">
        <f aca="false">B6*(1+C5/100)</f>
        <v>1280.48</v>
      </c>
      <c r="D6" s="0" t="n">
        <f aca="false">C6*(1+D5/100)</f>
        <v>1318.8944</v>
      </c>
      <c r="E6" s="0" t="n">
        <f aca="false">D6*(1+E5/100)</f>
        <v>1358.461232</v>
      </c>
      <c r="F6" s="0" t="n">
        <f aca="false">E6*(1+F5/100)</f>
        <v>1399.21506896</v>
      </c>
      <c r="G6" s="0" t="n">
        <f aca="false">F6*(1+G5/100)</f>
        <v>1441.1915210288</v>
      </c>
      <c r="H6" s="0" t="n">
        <f aca="false">G6*(1+H5/100)</f>
        <v>1484.42726665966</v>
      </c>
      <c r="I6" s="0" t="n">
        <f aca="false">H6*(1+I5/100)</f>
        <v>1521.53794832616</v>
      </c>
      <c r="J6" s="0" t="n">
        <f aca="false">I6*(1+J5/100)</f>
        <v>1559.57639703431</v>
      </c>
      <c r="K6" s="0" t="n">
        <f aca="false">J6*(1+K5/100)</f>
        <v>1598.56580696017</v>
      </c>
      <c r="L6" s="0" t="n">
        <f aca="false">K6*(1+L5/100)</f>
        <v>1638.52995213417</v>
      </c>
    </row>
    <row r="7" customFormat="false" ht="15" hidden="false" customHeight="false" outlineLevel="0" collapsed="false">
      <c r="A7" s="0" t="s">
        <v>96</v>
      </c>
      <c r="C7" s="4" t="n">
        <f aca="false">Assumptions!C14</f>
        <v>35</v>
      </c>
      <c r="D7" s="4" t="n">
        <f aca="false">Assumptions!D14</f>
        <v>34.5</v>
      </c>
      <c r="E7" s="4" t="n">
        <f aca="false">Assumptions!E14</f>
        <v>34.5</v>
      </c>
      <c r="F7" s="4" t="n">
        <f aca="false">Assumptions!F14</f>
        <v>34.5</v>
      </c>
      <c r="G7" s="4" t="n">
        <f aca="false">Assumptions!G14</f>
        <v>34.5</v>
      </c>
      <c r="H7" s="4" t="n">
        <f aca="false">Assumptions!H14</f>
        <v>34.5</v>
      </c>
      <c r="I7" s="4" t="n">
        <f aca="false">Assumptions!I14</f>
        <v>34.5</v>
      </c>
      <c r="J7" s="4" t="n">
        <f aca="false">Assumptions!J14</f>
        <v>34.5</v>
      </c>
      <c r="K7" s="4" t="n">
        <f aca="false">Assumptions!K14</f>
        <v>34.5</v>
      </c>
      <c r="L7" s="4" t="n">
        <f aca="false">Assumptions!L14</f>
        <v>34.5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448.168</v>
      </c>
      <c r="D8" s="0" t="n">
        <f aca="false">D6*D7/100</f>
        <v>455.018568</v>
      </c>
      <c r="E8" s="0" t="n">
        <f aca="false">E6*E7/100</f>
        <v>468.66912504</v>
      </c>
      <c r="F8" s="0" t="n">
        <f aca="false">F6*F7/100</f>
        <v>482.7291987912</v>
      </c>
      <c r="G8" s="0" t="n">
        <f aca="false">G6*G7/100</f>
        <v>497.211074754936</v>
      </c>
      <c r="H8" s="0" t="n">
        <f aca="false">H6*H7/100</f>
        <v>512.127406997584</v>
      </c>
      <c r="I8" s="0" t="n">
        <f aca="false">I6*I7/100</f>
        <v>524.930592172524</v>
      </c>
      <c r="J8" s="0" t="n">
        <f aca="false">J6*J7/100</f>
        <v>538.053856976837</v>
      </c>
      <c r="K8" s="0" t="n">
        <f aca="false">K6*K7/100</f>
        <v>551.505203401258</v>
      </c>
      <c r="L8" s="0" t="n">
        <f aca="false">L6*L7/100</f>
        <v>565.292833486289</v>
      </c>
    </row>
    <row r="9" customFormat="false" ht="15" hidden="false" customHeight="false" outlineLevel="0" collapsed="false">
      <c r="A9" s="0" t="s">
        <v>97</v>
      </c>
      <c r="C9" s="4" t="n">
        <f aca="false">Assumptions!C15</f>
        <v>3</v>
      </c>
      <c r="D9" s="4" t="n">
        <f aca="false">Assumptions!D15</f>
        <v>3</v>
      </c>
      <c r="E9" s="4" t="n">
        <f aca="false">Assumptions!E15</f>
        <v>2.9</v>
      </c>
      <c r="F9" s="4" t="n">
        <f aca="false">Assumptions!F15</f>
        <v>2.8</v>
      </c>
      <c r="G9" s="4" t="n">
        <f aca="false">Assumptions!G15</f>
        <v>2.7</v>
      </c>
      <c r="H9" s="4" t="n">
        <f aca="false">Assumptions!H15</f>
        <v>2.6</v>
      </c>
      <c r="I9" s="4" t="n">
        <f aca="false">Assumptions!I15</f>
        <v>2.5</v>
      </c>
      <c r="J9" s="4" t="n">
        <f aca="false">Assumptions!J15</f>
        <v>2.5</v>
      </c>
      <c r="K9" s="4" t="n">
        <f aca="false">Assumptions!K15</f>
        <v>2.5</v>
      </c>
      <c r="L9" s="4" t="n">
        <f aca="false">Assumptions!L15</f>
        <v>2.5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-38.4144</v>
      </c>
      <c r="D10" s="0" t="n">
        <f aca="false">-D6*D9/100</f>
        <v>-39.566832</v>
      </c>
      <c r="E10" s="0" t="n">
        <f aca="false">-E6*E9/100</f>
        <v>-39.395375728</v>
      </c>
      <c r="F10" s="0" t="n">
        <f aca="false">-F6*F9/100</f>
        <v>-39.17802193088</v>
      </c>
      <c r="G10" s="0" t="n">
        <f aca="false">-G6*G9/100</f>
        <v>-38.9121710677776</v>
      </c>
      <c r="H10" s="0" t="n">
        <f aca="false">-H6*H9/100</f>
        <v>-38.5951089331513</v>
      </c>
      <c r="I10" s="0" t="n">
        <f aca="false">-I6*I9/100</f>
        <v>-38.0384487081539</v>
      </c>
      <c r="J10" s="0" t="n">
        <f aca="false">-J6*J9/100</f>
        <v>-38.9894099258577</v>
      </c>
      <c r="K10" s="0" t="n">
        <f aca="false">-K6*K9/100</f>
        <v>-39.9641451740042</v>
      </c>
      <c r="L10" s="0" t="n">
        <f aca="false">-L6*L9/100</f>
        <v>-40.9632488033543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409.7536</v>
      </c>
      <c r="D11" s="0" t="n">
        <f aca="false">D8+D10+D24</f>
        <v>415.451736</v>
      </c>
      <c r="E11" s="0" t="n">
        <f aca="false">E8+E10+E24</f>
        <v>429.273749312</v>
      </c>
      <c r="F11" s="0" t="n">
        <f aca="false">F8+F10+F24</f>
        <v>443.55117686032</v>
      </c>
      <c r="G11" s="0" t="n">
        <f aca="false">G8+G10+G24</f>
        <v>458.298903687158</v>
      </c>
      <c r="H11" s="0" t="n">
        <f aca="false">H8+H10+H24</f>
        <v>473.532298064433</v>
      </c>
      <c r="I11" s="0" t="n">
        <f aca="false">I8+I10+I24</f>
        <v>486.89214346437</v>
      </c>
      <c r="J11" s="0" t="n">
        <f aca="false">J8+J10+J24</f>
        <v>499.064447050979</v>
      </c>
      <c r="K11" s="0" t="n">
        <f aca="false">K8+K10+K24</f>
        <v>511.541058227254</v>
      </c>
      <c r="L11" s="0" t="n">
        <f aca="false">L8+L10+L24</f>
        <v>524.329584682935</v>
      </c>
    </row>
    <row r="12" customFormat="false" ht="15" hidden="false" customHeight="false" outlineLevel="0" collapsed="false">
      <c r="A12" s="0" t="s">
        <v>114</v>
      </c>
      <c r="C12" s="4" t="n">
        <f aca="false">-C6*Assumptions!C17/100</f>
        <v>-51.2192</v>
      </c>
      <c r="D12" s="4" t="n">
        <f aca="false">-D6*Assumptions!D17/100</f>
        <v>-52.755776</v>
      </c>
      <c r="E12" s="4" t="n">
        <f aca="false">-E6*Assumptions!E17/100</f>
        <v>-54.33844928</v>
      </c>
      <c r="F12" s="4" t="n">
        <f aca="false">-F6*Assumptions!F17/100</f>
        <v>-55.9686027584</v>
      </c>
      <c r="G12" s="4" t="n">
        <f aca="false">-G6*Assumptions!G17/100</f>
        <v>-57.647660841152</v>
      </c>
      <c r="H12" s="4" t="n">
        <f aca="false">-H6*Assumptions!H17/100</f>
        <v>-59.3770906663866</v>
      </c>
      <c r="I12" s="4" t="n">
        <f aca="false">-I6*Assumptions!I17/100</f>
        <v>-60.8615179330462</v>
      </c>
      <c r="J12" s="4" t="n">
        <f aca="false">-J6*Assumptions!J17/100</f>
        <v>-62.3830558813724</v>
      </c>
      <c r="K12" s="4" t="n">
        <f aca="false">-K6*Assumptions!K17/100</f>
        <v>-63.9426322784067</v>
      </c>
      <c r="L12" s="4" t="n">
        <f aca="false">-L6*Assumptions!L17/100</f>
        <v>-65.5411980853668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358.5344</v>
      </c>
      <c r="D13" s="0" t="n">
        <f aca="false">D11+D12</f>
        <v>362.69596</v>
      </c>
      <c r="E13" s="0" t="n">
        <f aca="false">E11+E12</f>
        <v>374.935300032</v>
      </c>
      <c r="F13" s="0" t="n">
        <f aca="false">F11+F12</f>
        <v>387.58257410192</v>
      </c>
      <c r="G13" s="0" t="n">
        <f aca="false">G11+G12</f>
        <v>400.651242846006</v>
      </c>
      <c r="H13" s="0" t="n">
        <f aca="false">H11+H12</f>
        <v>414.155207398046</v>
      </c>
      <c r="I13" s="0" t="n">
        <f aca="false">I11+I12</f>
        <v>426.030625531324</v>
      </c>
      <c r="J13" s="0" t="n">
        <f aca="false">J11+J12</f>
        <v>436.681391169607</v>
      </c>
      <c r="K13" s="0" t="n">
        <f aca="false">K11+K12</f>
        <v>447.598425948847</v>
      </c>
      <c r="L13" s="0" t="n">
        <f aca="false">L11+L12</f>
        <v>458.788386597568</v>
      </c>
    </row>
    <row r="14" customFormat="false" ht="15" hidden="false" customHeight="false" outlineLevel="0" collapsed="false">
      <c r="A14" s="0" t="s">
        <v>101</v>
      </c>
      <c r="C14" s="4" t="n">
        <f aca="false">Assumptions!C19</f>
        <v>17</v>
      </c>
      <c r="D14" s="4" t="n">
        <f aca="false">Assumptions!D19</f>
        <v>17</v>
      </c>
      <c r="E14" s="4" t="n">
        <f aca="false">Assumptions!E19</f>
        <v>17</v>
      </c>
      <c r="F14" s="4" t="n">
        <f aca="false">Assumptions!F19</f>
        <v>17</v>
      </c>
      <c r="G14" s="4" t="n">
        <f aca="false">Assumptions!G19</f>
        <v>17</v>
      </c>
      <c r="H14" s="4" t="n">
        <f aca="false">Assumptions!H19</f>
        <v>17</v>
      </c>
      <c r="I14" s="4" t="n">
        <f aca="false">Assumptions!I19</f>
        <v>17</v>
      </c>
      <c r="J14" s="4" t="n">
        <f aca="false">Assumptions!J19</f>
        <v>17</v>
      </c>
      <c r="K14" s="4" t="n">
        <f aca="false">Assumptions!K19</f>
        <v>17</v>
      </c>
      <c r="L14" s="4" t="n">
        <f aca="false">Assumptions!L19</f>
        <v>17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297.583552</v>
      </c>
      <c r="D15" s="0" t="n">
        <f aca="false">D13-MAX(0,D13)*D14/100</f>
        <v>301.0376468</v>
      </c>
      <c r="E15" s="0" t="n">
        <f aca="false">E13-MAX(0,E13)*E14/100</f>
        <v>311.19629902656</v>
      </c>
      <c r="F15" s="0" t="n">
        <f aca="false">F13-MAX(0,F13)*F14/100</f>
        <v>321.693536504594</v>
      </c>
      <c r="G15" s="0" t="n">
        <f aca="false">G13-MAX(0,G13)*G14/100</f>
        <v>332.540531562185</v>
      </c>
      <c r="H15" s="0" t="n">
        <f aca="false">H13-MAX(0,H13)*H14/100</f>
        <v>343.748822140378</v>
      </c>
      <c r="I15" s="0" t="n">
        <f aca="false">I13-MAX(0,I13)*I14/100</f>
        <v>353.605419190999</v>
      </c>
      <c r="J15" s="0" t="n">
        <f aca="false">J13-MAX(0,J13)*J14/100</f>
        <v>362.445554670774</v>
      </c>
      <c r="K15" s="0" t="n">
        <f aca="false">K13-MAX(0,K13)*K14/100</f>
        <v>371.506693537543</v>
      </c>
      <c r="L15" s="0" t="n">
        <f aca="false">L13-MAX(0,L13)*L14/100</f>
        <v>380.794360875981</v>
      </c>
    </row>
    <row r="16" customFormat="false" ht="15" hidden="false" customHeight="false" outlineLevel="0" collapsed="false">
      <c r="A16" s="0" t="s">
        <v>117</v>
      </c>
      <c r="C16" s="0" t="n">
        <f aca="false">-C12</f>
        <v>51.2192</v>
      </c>
      <c r="D16" s="0" t="n">
        <f aca="false">-D12</f>
        <v>52.755776</v>
      </c>
      <c r="E16" s="0" t="n">
        <f aca="false">-E12</f>
        <v>54.33844928</v>
      </c>
      <c r="F16" s="0" t="n">
        <f aca="false">-F12</f>
        <v>55.9686027584</v>
      </c>
      <c r="G16" s="0" t="n">
        <f aca="false">-G12</f>
        <v>57.647660841152</v>
      </c>
      <c r="H16" s="0" t="n">
        <f aca="false">-H12</f>
        <v>59.3770906663866</v>
      </c>
      <c r="I16" s="0" t="n">
        <f aca="false">-I12</f>
        <v>60.8615179330462</v>
      </c>
      <c r="J16" s="0" t="n">
        <f aca="false">-J12</f>
        <v>62.3830558813724</v>
      </c>
      <c r="K16" s="0" t="n">
        <f aca="false">-K12</f>
        <v>63.9426322784067</v>
      </c>
      <c r="L16" s="0" t="n">
        <f aca="false">-L12</f>
        <v>65.5411980853668</v>
      </c>
    </row>
    <row r="17" customFormat="false" ht="15" hidden="false" customHeight="false" outlineLevel="0" collapsed="false">
      <c r="A17" s="0" t="s">
        <v>118</v>
      </c>
      <c r="C17" s="4" t="n">
        <f aca="false">-C6*Assumptions!C18/100</f>
        <v>-64.024</v>
      </c>
      <c r="D17" s="4" t="n">
        <f aca="false">-D6*Assumptions!D18/100</f>
        <v>-65.94472</v>
      </c>
      <c r="E17" s="4" t="n">
        <f aca="false">-E6*Assumptions!E18/100</f>
        <v>-67.9230616</v>
      </c>
      <c r="F17" s="4" t="n">
        <f aca="false">-F6*Assumptions!F18/100</f>
        <v>-69.960753448</v>
      </c>
      <c r="G17" s="4" t="n">
        <f aca="false">-G6*Assumptions!G18/100</f>
        <v>-72.05957605144</v>
      </c>
      <c r="H17" s="4" t="n">
        <f aca="false">-H6*Assumptions!H18/100</f>
        <v>-74.2213633329832</v>
      </c>
      <c r="I17" s="4" t="n">
        <f aca="false">-I6*Assumptions!I18/100</f>
        <v>-76.0768974163078</v>
      </c>
      <c r="J17" s="4" t="n">
        <f aca="false">-J6*Assumptions!J18/100</f>
        <v>-77.9788198517155</v>
      </c>
      <c r="K17" s="4" t="n">
        <f aca="false">-K6*Assumptions!K18/100</f>
        <v>-79.9282903480084</v>
      </c>
      <c r="L17" s="4" t="n">
        <f aca="false">-L6*Assumptions!L18/100</f>
        <v>-81.9264976067086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(C6-B6)*Assumptions!$B$23/100</f>
        <v>-2.1744</v>
      </c>
      <c r="D18" s="4" t="n">
        <f aca="false">(D6-C6)*Assumptions!$B$23/100</f>
        <v>-1.152432</v>
      </c>
      <c r="E18" s="4" t="n">
        <f aca="false">(E6-D6)*Assumptions!$B$23/100</f>
        <v>-1.18700496</v>
      </c>
      <c r="F18" s="4" t="n">
        <f aca="false">(F6-E6)*Assumptions!$B$23/100</f>
        <v>-1.2226151088</v>
      </c>
      <c r="G18" s="4" t="n">
        <f aca="false">(G6-F6)*Assumptions!$B$23/100</f>
        <v>-1.259293562064</v>
      </c>
      <c r="H18" s="4" t="n">
        <f aca="false">(H6-G6)*Assumptions!$B$23/100</f>
        <v>-1.29707236892592</v>
      </c>
      <c r="I18" s="4" t="n">
        <f aca="false">(I6-H6)*Assumptions!$B$23/100</f>
        <v>-1.11332044999474</v>
      </c>
      <c r="J18" s="4" t="n">
        <f aca="false">(J6-I6)*Assumptions!$B$23/100</f>
        <v>-1.14115346124461</v>
      </c>
      <c r="K18" s="4" t="n">
        <f aca="false">(K6-J6)*Assumptions!$B$23/100</f>
        <v>-1.16968229777573</v>
      </c>
      <c r="L18" s="4" t="n">
        <f aca="false">(L6-K6)*Assumptions!$B$23/100</f>
        <v>-1.19892435522012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282.604352</v>
      </c>
      <c r="D19" s="0" t="n">
        <f aca="false">D15+D16+D17+D18</f>
        <v>286.6962708</v>
      </c>
      <c r="E19" s="0" t="n">
        <f aca="false">E15+E16+E17+E18</f>
        <v>296.42468174656</v>
      </c>
      <c r="F19" s="0" t="n">
        <f aca="false">F15+F16+F17+F18</f>
        <v>306.478770706194</v>
      </c>
      <c r="G19" s="0" t="n">
        <f aca="false">G15+G16+G17+G18</f>
        <v>316.869322789833</v>
      </c>
      <c r="H19" s="0" t="n">
        <f aca="false">H15+H16+H17+H18</f>
        <v>327.607477104856</v>
      </c>
      <c r="I19" s="0" t="n">
        <f aca="false">I15+I16+I17+I18</f>
        <v>337.276719257742</v>
      </c>
      <c r="J19" s="0" t="n">
        <f aca="false">J15+J16+J17+J18</f>
        <v>345.708637239186</v>
      </c>
      <c r="K19" s="0" t="n">
        <f aca="false">K15+K16+K17+K18</f>
        <v>354.351353170165</v>
      </c>
      <c r="L19" s="0" t="n">
        <f aca="false">L15+L16+L17+L18</f>
        <v>363.21013699942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260.464840552995</v>
      </c>
      <c r="D21" s="0" t="n">
        <f aca="false">D19*D20</f>
        <v>243.535662936142</v>
      </c>
      <c r="E21" s="0" t="n">
        <f aca="false">E19*E20</f>
        <v>232.073283914133</v>
      </c>
      <c r="F21" s="0" t="n">
        <f aca="false">F19*F20</f>
        <v>221.147199615644</v>
      </c>
      <c r="G21" s="0" t="n">
        <f aca="false">G19*G20</f>
        <v>210.732492901885</v>
      </c>
      <c r="H21" s="0" t="n">
        <f aca="false">H19*H20</f>
        <v>200.80539473148</v>
      </c>
      <c r="I21" s="0" t="n">
        <f aca="false">I19*I20</f>
        <v>190.536506210878</v>
      </c>
      <c r="J21" s="0" t="n">
        <f aca="false">J19*J20</f>
        <v>179.999925222258</v>
      </c>
      <c r="K21" s="0" t="n">
        <f aca="false">K19*K20</f>
        <v>170.046012306741</v>
      </c>
      <c r="L21" s="0" t="n">
        <f aca="false">L19*L20</f>
        <v>160.642546188396</v>
      </c>
    </row>
    <row r="23" customFormat="false" ht="15" hidden="false" customHeight="false" outlineLevel="0" collapsed="false">
      <c r="A23" s="0" t="s">
        <v>98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103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104</v>
      </c>
      <c r="B29" s="4" t="n">
        <f aca="false">Assumptions!$B$22</f>
        <v>13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2069.98386458055</v>
      </c>
    </row>
    <row r="31" customFormat="false" ht="15" hidden="false" customHeight="false" outlineLevel="0" collapsed="false">
      <c r="A31" s="0" t="s">
        <v>126</v>
      </c>
      <c r="B31" s="0" t="n">
        <f aca="false">L19</f>
        <v>363.21013699942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5699.60522676012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4721.73178099245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4721.73178099245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2088.35310044915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4158.3369650297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12601.1369650297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2.48956983423918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0.0373207642663271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256.748032294121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284.304560741787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2.59646401514502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2849.80261338006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2.1158206433959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Assumptions!C27</f>
        <v>12</v>
      </c>
      <c r="D5" s="4" t="n">
        <f aca="false">Assumptions!D27</f>
        <v>9</v>
      </c>
      <c r="E5" s="4" t="n">
        <f aca="false">Assumptions!E27</f>
        <v>8</v>
      </c>
      <c r="F5" s="4" t="n">
        <f aca="false">Assumptions!F27</f>
        <v>7</v>
      </c>
      <c r="G5" s="4" t="n">
        <f aca="false">Assumptions!G27</f>
        <v>6</v>
      </c>
      <c r="H5" s="4" t="n">
        <f aca="false">Assumptions!H27</f>
        <v>5.5</v>
      </c>
      <c r="I5" s="4" t="n">
        <f aca="false">Assumptions!I27</f>
        <v>5</v>
      </c>
      <c r="J5" s="4" t="n">
        <f aca="false">Assumptions!J27</f>
        <v>4.5</v>
      </c>
      <c r="K5" s="4" t="n">
        <f aca="false">Assumptions!K27</f>
        <v>4</v>
      </c>
      <c r="L5" s="4" t="n">
        <f aca="false">Assumptions!L27</f>
        <v>3.5</v>
      </c>
    </row>
    <row r="6" customFormat="false" ht="15" hidden="false" customHeight="false" outlineLevel="0" collapsed="false">
      <c r="A6" s="0" t="s">
        <v>37</v>
      </c>
      <c r="B6" s="3" t="n">
        <v>1208</v>
      </c>
      <c r="C6" s="0" t="n">
        <f aca="false">B6*(1+C5/100)</f>
        <v>1352.96</v>
      </c>
      <c r="D6" s="0" t="n">
        <f aca="false">C6*(1+D5/100)</f>
        <v>1474.7264</v>
      </c>
      <c r="E6" s="0" t="n">
        <f aca="false">D6*(1+E5/100)</f>
        <v>1592.704512</v>
      </c>
      <c r="F6" s="0" t="n">
        <f aca="false">E6*(1+F5/100)</f>
        <v>1704.19382784</v>
      </c>
      <c r="G6" s="0" t="n">
        <f aca="false">F6*(1+G5/100)</f>
        <v>1806.4454575104</v>
      </c>
      <c r="H6" s="0" t="n">
        <f aca="false">G6*(1+H5/100)</f>
        <v>1905.79995767347</v>
      </c>
      <c r="I6" s="0" t="n">
        <f aca="false">H6*(1+I5/100)</f>
        <v>2001.08995555715</v>
      </c>
      <c r="J6" s="0" t="n">
        <f aca="false">I6*(1+J5/100)</f>
        <v>2091.13900355722</v>
      </c>
      <c r="K6" s="0" t="n">
        <f aca="false">J6*(1+K5/100)</f>
        <v>2174.78456369951</v>
      </c>
      <c r="L6" s="0" t="n">
        <f aca="false">K6*(1+L5/100)</f>
        <v>2250.90202342899</v>
      </c>
    </row>
    <row r="7" customFormat="false" ht="15" hidden="false" customHeight="false" outlineLevel="0" collapsed="false">
      <c r="A7" s="0" t="s">
        <v>96</v>
      </c>
      <c r="C7" s="4" t="n">
        <f aca="false">Assumptions!C28</f>
        <v>37.5</v>
      </c>
      <c r="D7" s="4" t="n">
        <f aca="false">Assumptions!D28</f>
        <v>38</v>
      </c>
      <c r="E7" s="4" t="n">
        <f aca="false">Assumptions!E28</f>
        <v>38.5</v>
      </c>
      <c r="F7" s="4" t="n">
        <f aca="false">Assumptions!F28</f>
        <v>39</v>
      </c>
      <c r="G7" s="4" t="n">
        <f aca="false">Assumptions!G28</f>
        <v>39.5</v>
      </c>
      <c r="H7" s="4" t="n">
        <f aca="false">Assumptions!H28</f>
        <v>40</v>
      </c>
      <c r="I7" s="4" t="n">
        <f aca="false">Assumptions!I28</f>
        <v>40</v>
      </c>
      <c r="J7" s="4" t="n">
        <f aca="false">Assumptions!J28</f>
        <v>40</v>
      </c>
      <c r="K7" s="4" t="n">
        <f aca="false">Assumptions!K28</f>
        <v>40</v>
      </c>
      <c r="L7" s="4" t="n">
        <f aca="false">Assumptions!L28</f>
        <v>40</v>
      </c>
    </row>
    <row r="8" customFormat="false" ht="15" hidden="false" customHeight="false" outlineLevel="0" collapsed="false">
      <c r="A8" s="0" t="s">
        <v>43</v>
      </c>
      <c r="C8" s="0" t="n">
        <f aca="false">C6*C7/100</f>
        <v>507.36</v>
      </c>
      <c r="D8" s="0" t="n">
        <f aca="false">D6*D7/100</f>
        <v>560.396032</v>
      </c>
      <c r="E8" s="0" t="n">
        <f aca="false">E6*E7/100</f>
        <v>613.19123712</v>
      </c>
      <c r="F8" s="0" t="n">
        <f aca="false">F6*F7/100</f>
        <v>664.6355928576</v>
      </c>
      <c r="G8" s="0" t="n">
        <f aca="false">G6*G7/100</f>
        <v>713.545955716608</v>
      </c>
      <c r="H8" s="0" t="n">
        <f aca="false">H6*H7/100</f>
        <v>762.319983069389</v>
      </c>
      <c r="I8" s="0" t="n">
        <f aca="false">I6*I7/100</f>
        <v>800.435982222859</v>
      </c>
      <c r="J8" s="0" t="n">
        <f aca="false">J6*J7/100</f>
        <v>836.455601422887</v>
      </c>
      <c r="K8" s="0" t="n">
        <f aca="false">K6*K7/100</f>
        <v>869.913825479803</v>
      </c>
      <c r="L8" s="0" t="n">
        <f aca="false">L6*L7/100</f>
        <v>900.360809371596</v>
      </c>
    </row>
    <row r="9" customFormat="false" ht="15" hidden="false" customHeight="false" outlineLevel="0" collapsed="false">
      <c r="A9" s="0" t="s">
        <v>97</v>
      </c>
      <c r="C9" s="4" t="n">
        <f aca="false">Assumptions!C29</f>
        <v>3</v>
      </c>
      <c r="D9" s="4" t="n">
        <f aca="false">Assumptions!D29</f>
        <v>3</v>
      </c>
      <c r="E9" s="4" t="n">
        <f aca="false">Assumptions!E29</f>
        <v>2.9</v>
      </c>
      <c r="F9" s="4" t="n">
        <f aca="false">Assumptions!F29</f>
        <v>2.8</v>
      </c>
      <c r="G9" s="4" t="n">
        <f aca="false">Assumptions!G29</f>
        <v>2.7</v>
      </c>
      <c r="H9" s="4" t="n">
        <f aca="false">Assumptions!H29</f>
        <v>2.6</v>
      </c>
      <c r="I9" s="4" t="n">
        <f aca="false">Assumptions!I29</f>
        <v>2.5</v>
      </c>
      <c r="J9" s="4" t="n">
        <f aca="false">Assumptions!J29</f>
        <v>2.5</v>
      </c>
      <c r="K9" s="4" t="n">
        <f aca="false">Assumptions!K29</f>
        <v>2.5</v>
      </c>
      <c r="L9" s="4" t="n">
        <f aca="false">Assumptions!L29</f>
        <v>2.5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-40.5888</v>
      </c>
      <c r="D10" s="0" t="n">
        <f aca="false">-D6*D9/100</f>
        <v>-44.241792</v>
      </c>
      <c r="E10" s="0" t="n">
        <f aca="false">-E6*E9/100</f>
        <v>-46.188430848</v>
      </c>
      <c r="F10" s="0" t="n">
        <f aca="false">-F6*F9/100</f>
        <v>-47.71742717952</v>
      </c>
      <c r="G10" s="0" t="n">
        <f aca="false">-G6*G9/100</f>
        <v>-48.7740273527808</v>
      </c>
      <c r="H10" s="0" t="n">
        <f aca="false">-H6*H9/100</f>
        <v>-49.5507988995103</v>
      </c>
      <c r="I10" s="0" t="n">
        <f aca="false">-I6*I9/100</f>
        <v>-50.0272488889287</v>
      </c>
      <c r="J10" s="0" t="n">
        <f aca="false">-J6*J9/100</f>
        <v>-52.2784750889305</v>
      </c>
      <c r="K10" s="0" t="n">
        <f aca="false">-K6*K9/100</f>
        <v>-54.3696140924877</v>
      </c>
      <c r="L10" s="0" t="n">
        <f aca="false">-L6*L9/100</f>
        <v>-56.2725505857247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466.7712</v>
      </c>
      <c r="D11" s="0" t="n">
        <f aca="false">D8+D10+D24</f>
        <v>516.15424</v>
      </c>
      <c r="E11" s="0" t="n">
        <f aca="false">E8+E10+E24</f>
        <v>567.002806272</v>
      </c>
      <c r="F11" s="0" t="n">
        <f aca="false">F8+F10+F24</f>
        <v>616.91816567808</v>
      </c>
      <c r="G11" s="0" t="n">
        <f aca="false">G8+G10+G24</f>
        <v>664.771928363828</v>
      </c>
      <c r="H11" s="0" t="n">
        <f aca="false">H8+H10+H24</f>
        <v>712.769184169879</v>
      </c>
      <c r="I11" s="0" t="n">
        <f aca="false">I8+I10+I24</f>
        <v>750.40873333393</v>
      </c>
      <c r="J11" s="0" t="n">
        <f aca="false">J8+J10+J24</f>
        <v>784.177126333957</v>
      </c>
      <c r="K11" s="0" t="n">
        <f aca="false">K8+K10+K24</f>
        <v>815.544211387315</v>
      </c>
      <c r="L11" s="0" t="n">
        <f aca="false">L8+L10+L24</f>
        <v>844.088258785871</v>
      </c>
    </row>
    <row r="12" customFormat="false" ht="15" hidden="false" customHeight="false" outlineLevel="0" collapsed="false">
      <c r="A12" s="0" t="s">
        <v>114</v>
      </c>
      <c r="C12" s="4" t="n">
        <f aca="false">-C6*Assumptions!C31/100</f>
        <v>-54.1184</v>
      </c>
      <c r="D12" s="4" t="n">
        <f aca="false">-D6*Assumptions!D31/100</f>
        <v>-58.989056</v>
      </c>
      <c r="E12" s="4" t="n">
        <f aca="false">-E6*Assumptions!E31/100</f>
        <v>-63.70818048</v>
      </c>
      <c r="F12" s="4" t="n">
        <f aca="false">-F6*Assumptions!F31/100</f>
        <v>-68.1677531136</v>
      </c>
      <c r="G12" s="4" t="n">
        <f aca="false">-G6*Assumptions!G31/100</f>
        <v>-72.257818300416</v>
      </c>
      <c r="H12" s="4" t="n">
        <f aca="false">-H6*Assumptions!H31/100</f>
        <v>-76.2319983069389</v>
      </c>
      <c r="I12" s="4" t="n">
        <f aca="false">-I6*Assumptions!I31/100</f>
        <v>-80.0435982222859</v>
      </c>
      <c r="J12" s="4" t="n">
        <f aca="false">-J6*Assumptions!J31/100</f>
        <v>-83.6455601422887</v>
      </c>
      <c r="K12" s="4" t="n">
        <f aca="false">-K6*Assumptions!K31/100</f>
        <v>-86.9913825479803</v>
      </c>
      <c r="L12" s="4" t="n">
        <f aca="false">-L6*Assumptions!L31/100</f>
        <v>-90.0360809371596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412.6528</v>
      </c>
      <c r="D13" s="0" t="n">
        <f aca="false">D11+D12</f>
        <v>457.165184</v>
      </c>
      <c r="E13" s="0" t="n">
        <f aca="false">E11+E12</f>
        <v>503.294625792</v>
      </c>
      <c r="F13" s="0" t="n">
        <f aca="false">F11+F12</f>
        <v>548.75041256448</v>
      </c>
      <c r="G13" s="0" t="n">
        <f aca="false">G11+G12</f>
        <v>592.514110063412</v>
      </c>
      <c r="H13" s="0" t="n">
        <f aca="false">H11+H12</f>
        <v>636.53718586294</v>
      </c>
      <c r="I13" s="0" t="n">
        <f aca="false">I11+I12</f>
        <v>670.365135111644</v>
      </c>
      <c r="J13" s="0" t="n">
        <f aca="false">J11+J12</f>
        <v>700.531566191668</v>
      </c>
      <c r="K13" s="0" t="n">
        <f aca="false">K11+K12</f>
        <v>728.552828839335</v>
      </c>
      <c r="L13" s="0" t="n">
        <f aca="false">L11+L12</f>
        <v>754.052177848712</v>
      </c>
    </row>
    <row r="14" customFormat="false" ht="15" hidden="false" customHeight="false" outlineLevel="0" collapsed="false">
      <c r="A14" s="0" t="s">
        <v>101</v>
      </c>
      <c r="C14" s="4" t="n">
        <f aca="false">Assumptions!C33</f>
        <v>17</v>
      </c>
      <c r="D14" s="4" t="n">
        <f aca="false">Assumptions!D33</f>
        <v>17</v>
      </c>
      <c r="E14" s="4" t="n">
        <f aca="false">Assumptions!E33</f>
        <v>17</v>
      </c>
      <c r="F14" s="4" t="n">
        <f aca="false">Assumptions!F33</f>
        <v>17</v>
      </c>
      <c r="G14" s="4" t="n">
        <f aca="false">Assumptions!G33</f>
        <v>17</v>
      </c>
      <c r="H14" s="4" t="n">
        <f aca="false">Assumptions!H33</f>
        <v>17</v>
      </c>
      <c r="I14" s="4" t="n">
        <f aca="false">Assumptions!I33</f>
        <v>17</v>
      </c>
      <c r="J14" s="4" t="n">
        <f aca="false">Assumptions!J33</f>
        <v>17</v>
      </c>
      <c r="K14" s="4" t="n">
        <f aca="false">Assumptions!K33</f>
        <v>17</v>
      </c>
      <c r="L14" s="4" t="n">
        <f aca="false">Assumptions!L33</f>
        <v>17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342.501824</v>
      </c>
      <c r="D15" s="0" t="n">
        <f aca="false">D13-MAX(0,D13)*D14/100</f>
        <v>379.44710272</v>
      </c>
      <c r="E15" s="0" t="n">
        <f aca="false">E13-MAX(0,E13)*E14/100</f>
        <v>417.73453940736</v>
      </c>
      <c r="F15" s="0" t="n">
        <f aca="false">F13-MAX(0,F13)*F14/100</f>
        <v>455.462842428519</v>
      </c>
      <c r="G15" s="0" t="n">
        <f aca="false">G13-MAX(0,G13)*G14/100</f>
        <v>491.786711352632</v>
      </c>
      <c r="H15" s="0" t="n">
        <f aca="false">H13-MAX(0,H13)*H14/100</f>
        <v>528.32586426624</v>
      </c>
      <c r="I15" s="0" t="n">
        <f aca="false">I13-MAX(0,I13)*I14/100</f>
        <v>556.403062142665</v>
      </c>
      <c r="J15" s="0" t="n">
        <f aca="false">J13-MAX(0,J13)*J14/100</f>
        <v>581.441199939085</v>
      </c>
      <c r="K15" s="0" t="n">
        <f aca="false">K13-MAX(0,K13)*K14/100</f>
        <v>604.698847936648</v>
      </c>
      <c r="L15" s="0" t="n">
        <f aca="false">L13-MAX(0,L13)*L14/100</f>
        <v>625.863307614431</v>
      </c>
    </row>
    <row r="16" customFormat="false" ht="15" hidden="false" customHeight="false" outlineLevel="0" collapsed="false">
      <c r="A16" s="0" t="s">
        <v>117</v>
      </c>
      <c r="C16" s="0" t="n">
        <f aca="false">-C12</f>
        <v>54.1184</v>
      </c>
      <c r="D16" s="0" t="n">
        <f aca="false">-D12</f>
        <v>58.989056</v>
      </c>
      <c r="E16" s="0" t="n">
        <f aca="false">-E12</f>
        <v>63.70818048</v>
      </c>
      <c r="F16" s="0" t="n">
        <f aca="false">-F12</f>
        <v>68.1677531136</v>
      </c>
      <c r="G16" s="0" t="n">
        <f aca="false">-G12</f>
        <v>72.257818300416</v>
      </c>
      <c r="H16" s="0" t="n">
        <f aca="false">-H12</f>
        <v>76.2319983069389</v>
      </c>
      <c r="I16" s="0" t="n">
        <f aca="false">-I12</f>
        <v>80.0435982222859</v>
      </c>
      <c r="J16" s="0" t="n">
        <f aca="false">-J12</f>
        <v>83.6455601422887</v>
      </c>
      <c r="K16" s="0" t="n">
        <f aca="false">-K12</f>
        <v>86.9913825479803</v>
      </c>
      <c r="L16" s="0" t="n">
        <f aca="false">-L12</f>
        <v>90.0360809371596</v>
      </c>
    </row>
    <row r="17" customFormat="false" ht="15" hidden="false" customHeight="false" outlineLevel="0" collapsed="false">
      <c r="A17" s="0" t="s">
        <v>118</v>
      </c>
      <c r="C17" s="4" t="n">
        <f aca="false">-C6*Assumptions!C32/100</f>
        <v>-67.648</v>
      </c>
      <c r="D17" s="4" t="n">
        <f aca="false">-D6*Assumptions!D32/100</f>
        <v>-73.73632</v>
      </c>
      <c r="E17" s="4" t="n">
        <f aca="false">-E6*Assumptions!E32/100</f>
        <v>-79.6352256</v>
      </c>
      <c r="F17" s="4" t="n">
        <f aca="false">-F6*Assumptions!F32/100</f>
        <v>-85.209691392</v>
      </c>
      <c r="G17" s="4" t="n">
        <f aca="false">-G6*Assumptions!G32/100</f>
        <v>-90.32227287552</v>
      </c>
      <c r="H17" s="4" t="n">
        <f aca="false">-H6*Assumptions!H32/100</f>
        <v>-95.2899978836736</v>
      </c>
      <c r="I17" s="4" t="n">
        <f aca="false">-I6*Assumptions!I32/100</f>
        <v>-100.054497777857</v>
      </c>
      <c r="J17" s="4" t="n">
        <f aca="false">-J6*Assumptions!J32/100</f>
        <v>-104.556950177861</v>
      </c>
      <c r="K17" s="4" t="n">
        <f aca="false">-K6*Assumptions!K32/100</f>
        <v>-108.739228184975</v>
      </c>
      <c r="L17" s="4" t="n">
        <f aca="false">-L6*Assumptions!L32/100</f>
        <v>-112.545101171449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(C6-B6)*Assumptions!$B$37/100</f>
        <v>-4.3488</v>
      </c>
      <c r="D18" s="4" t="n">
        <f aca="false">(D6-C6)*Assumptions!$B$37/100</f>
        <v>-3.65299200000001</v>
      </c>
      <c r="E18" s="4" t="n">
        <f aca="false">(E6-D6)*Assumptions!$B$37/100</f>
        <v>-3.53934336000001</v>
      </c>
      <c r="F18" s="4" t="n">
        <f aca="false">(F6-E6)*Assumptions!$B$37/100</f>
        <v>-3.34467947520001</v>
      </c>
      <c r="G18" s="4" t="n">
        <f aca="false">(G6-F6)*Assumptions!$B$37/100</f>
        <v>-3.06754889011201</v>
      </c>
      <c r="H18" s="4" t="n">
        <f aca="false">(H6-G6)*Assumptions!$B$37/100</f>
        <v>-2.98063500489216</v>
      </c>
      <c r="I18" s="4" t="n">
        <f aca="false">(I6-H6)*Assumptions!$B$37/100</f>
        <v>-2.85869993651021</v>
      </c>
      <c r="J18" s="4" t="n">
        <f aca="false">(J6-I6)*Assumptions!$B$37/100</f>
        <v>-2.70147144000214</v>
      </c>
      <c r="K18" s="4" t="n">
        <f aca="false">(K6-J6)*Assumptions!$B$37/100</f>
        <v>-2.50936680426867</v>
      </c>
      <c r="L18" s="4" t="n">
        <f aca="false">(L6-K6)*Assumptions!$B$37/100</f>
        <v>-2.28352379188448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324.623424</v>
      </c>
      <c r="D19" s="0" t="n">
        <f aca="false">D15+D16+D17+D18</f>
        <v>361.04684672</v>
      </c>
      <c r="E19" s="0" t="n">
        <f aca="false">E15+E16+E17+E18</f>
        <v>398.26815092736</v>
      </c>
      <c r="F19" s="0" t="n">
        <f aca="false">F15+F16+F17+F18</f>
        <v>435.076224674919</v>
      </c>
      <c r="G19" s="0" t="n">
        <f aca="false">G15+G16+G17+G18</f>
        <v>470.654707887416</v>
      </c>
      <c r="H19" s="0" t="n">
        <f aca="false">H15+H16+H17+H18</f>
        <v>506.287229684613</v>
      </c>
      <c r="I19" s="0" t="n">
        <f aca="false">I15+I16+I17+I18</f>
        <v>533.533462650583</v>
      </c>
      <c r="J19" s="0" t="n">
        <f aca="false">J15+J16+J17+J18</f>
        <v>557.82833846351</v>
      </c>
      <c r="K19" s="0" t="n">
        <f aca="false">K15+K16+K17+K18</f>
        <v>580.441635495384</v>
      </c>
      <c r="L19" s="0" t="n">
        <f aca="false">L15+L16+L17+L18</f>
        <v>601.070763588256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299.192095852535</v>
      </c>
      <c r="D21" s="0" t="n">
        <f aca="false">D19*D20</f>
        <v>306.693152727813</v>
      </c>
      <c r="E21" s="0" t="n">
        <f aca="false">E19*E20</f>
        <v>311.807360708062</v>
      </c>
      <c r="F21" s="0" t="n">
        <f aca="false">F19*F20</f>
        <v>313.939815421808</v>
      </c>
      <c r="G21" s="0" t="n">
        <f aca="false">G19*G20</f>
        <v>313.006759429682</v>
      </c>
      <c r="H21" s="0" t="n">
        <f aca="false">H19*H20</f>
        <v>310.326271862796</v>
      </c>
      <c r="I21" s="0" t="n">
        <f aca="false">I19*I20</f>
        <v>301.407112070337</v>
      </c>
      <c r="J21" s="0" t="n">
        <f aca="false">J19*J20</f>
        <v>290.444172908581</v>
      </c>
      <c r="K21" s="0" t="n">
        <f aca="false">K19*K20</f>
        <v>278.542143580851</v>
      </c>
      <c r="L21" s="0" t="n">
        <f aca="false">L19*L20</f>
        <v>265.844832140176</v>
      </c>
    </row>
    <row r="23" customFormat="false" ht="15" hidden="false" customHeight="false" outlineLevel="0" collapsed="false">
      <c r="A23" s="0" t="s">
        <v>98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103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104</v>
      </c>
      <c r="B29" s="4" t="n">
        <f aca="false">Assumptions!$B$36</f>
        <v>16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2991.20371670264</v>
      </c>
    </row>
    <row r="31" customFormat="false" ht="15" hidden="false" customHeight="false" outlineLevel="0" collapsed="false">
      <c r="A31" s="0" t="s">
        <v>126</v>
      </c>
      <c r="B31" s="0" t="n">
        <f aca="false">L19</f>
        <v>601.070763588256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10268.2922112994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9617.1322174121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9617.1322174121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4253.51731424281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7244.72103094545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15687.5210309454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3.09933772174839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0.291390717395163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314.853200939982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425.179026679446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3.24554372802854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4928.7802614237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2.34638793214316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Assumptions!C41</f>
        <v>15</v>
      </c>
      <c r="D5" s="4" t="n">
        <f aca="false">Assumptions!D41</f>
        <v>13</v>
      </c>
      <c r="E5" s="4" t="n">
        <f aca="false">Assumptions!E41</f>
        <v>12</v>
      </c>
      <c r="F5" s="4" t="n">
        <f aca="false">Assumptions!F41</f>
        <v>10</v>
      </c>
      <c r="G5" s="4" t="n">
        <f aca="false">Assumptions!G41</f>
        <v>9</v>
      </c>
      <c r="H5" s="4" t="n">
        <f aca="false">Assumptions!H41</f>
        <v>8</v>
      </c>
      <c r="I5" s="4" t="n">
        <f aca="false">Assumptions!I41</f>
        <v>7</v>
      </c>
      <c r="J5" s="4" t="n">
        <f aca="false">Assumptions!J41</f>
        <v>6</v>
      </c>
      <c r="K5" s="4" t="n">
        <f aca="false">Assumptions!K41</f>
        <v>5</v>
      </c>
      <c r="L5" s="4" t="n">
        <f aca="false">Assumptions!L41</f>
        <v>4</v>
      </c>
    </row>
    <row r="6" customFormat="false" ht="15" hidden="false" customHeight="false" outlineLevel="0" collapsed="false">
      <c r="A6" s="0" t="s">
        <v>37</v>
      </c>
      <c r="B6" s="3" t="n">
        <v>1208</v>
      </c>
      <c r="C6" s="0" t="n">
        <f aca="false">B6*(1+C5/100)</f>
        <v>1389.2</v>
      </c>
      <c r="D6" s="0" t="n">
        <f aca="false">C6*(1+D5/100)</f>
        <v>1569.796</v>
      </c>
      <c r="E6" s="0" t="n">
        <f aca="false">D6*(1+E5/100)</f>
        <v>1758.17152</v>
      </c>
      <c r="F6" s="0" t="n">
        <f aca="false">E6*(1+F5/100)</f>
        <v>1933.988672</v>
      </c>
      <c r="G6" s="0" t="n">
        <f aca="false">F6*(1+G5/100)</f>
        <v>2108.04765248</v>
      </c>
      <c r="H6" s="0" t="n">
        <f aca="false">G6*(1+H5/100)</f>
        <v>2276.6914646784</v>
      </c>
      <c r="I6" s="0" t="n">
        <f aca="false">H6*(1+I5/100)</f>
        <v>2436.05986720589</v>
      </c>
      <c r="J6" s="0" t="n">
        <f aca="false">I6*(1+J5/100)</f>
        <v>2582.22345923824</v>
      </c>
      <c r="K6" s="0" t="n">
        <f aca="false">J6*(1+K5/100)</f>
        <v>2711.33463220015</v>
      </c>
      <c r="L6" s="0" t="n">
        <f aca="false">K6*(1+L5/100)</f>
        <v>2819.78801748816</v>
      </c>
    </row>
    <row r="7" customFormat="false" ht="15" hidden="false" customHeight="false" outlineLevel="0" collapsed="false">
      <c r="A7" s="0" t="s">
        <v>96</v>
      </c>
      <c r="C7" s="4" t="n">
        <f aca="false">Assumptions!C42</f>
        <v>38.5</v>
      </c>
      <c r="D7" s="4" t="n">
        <f aca="false">Assumptions!D42</f>
        <v>39.5</v>
      </c>
      <c r="E7" s="4" t="n">
        <f aca="false">Assumptions!E42</f>
        <v>40.5</v>
      </c>
      <c r="F7" s="4" t="n">
        <f aca="false">Assumptions!F42</f>
        <v>41.5</v>
      </c>
      <c r="G7" s="4" t="n">
        <f aca="false">Assumptions!G42</f>
        <v>42.5</v>
      </c>
      <c r="H7" s="4" t="n">
        <f aca="false">Assumptions!H42</f>
        <v>43</v>
      </c>
      <c r="I7" s="4" t="n">
        <f aca="false">Assumptions!I42</f>
        <v>43.5</v>
      </c>
      <c r="J7" s="4" t="n">
        <f aca="false">Assumptions!J42</f>
        <v>44</v>
      </c>
      <c r="K7" s="4" t="n">
        <f aca="false">Assumptions!K42</f>
        <v>44</v>
      </c>
      <c r="L7" s="4" t="n">
        <f aca="false">Assumptions!L42</f>
        <v>44</v>
      </c>
    </row>
    <row r="8" customFormat="false" ht="15" hidden="false" customHeight="false" outlineLevel="0" collapsed="false">
      <c r="A8" s="0" t="s">
        <v>43</v>
      </c>
      <c r="C8" s="0" t="n">
        <f aca="false">C6*C7/100</f>
        <v>534.842</v>
      </c>
      <c r="D8" s="0" t="n">
        <f aca="false">D6*D7/100</f>
        <v>620.06942</v>
      </c>
      <c r="E8" s="0" t="n">
        <f aca="false">E6*E7/100</f>
        <v>712.0594656</v>
      </c>
      <c r="F8" s="0" t="n">
        <f aca="false">F6*F7/100</f>
        <v>802.60529888</v>
      </c>
      <c r="G8" s="0" t="n">
        <f aca="false">G6*G7/100</f>
        <v>895.920252304</v>
      </c>
      <c r="H8" s="0" t="n">
        <f aca="false">H6*H7/100</f>
        <v>978.977329811712</v>
      </c>
      <c r="I8" s="0" t="n">
        <f aca="false">I6*I7/100</f>
        <v>1059.68604223456</v>
      </c>
      <c r="J8" s="0" t="n">
        <f aca="false">J6*J7/100</f>
        <v>1136.17832206483</v>
      </c>
      <c r="K8" s="0" t="n">
        <f aca="false">K6*K7/100</f>
        <v>1192.98723816807</v>
      </c>
      <c r="L8" s="0" t="n">
        <f aca="false">L6*L7/100</f>
        <v>1240.70672769479</v>
      </c>
    </row>
    <row r="9" customFormat="false" ht="15" hidden="false" customHeight="false" outlineLevel="0" collapsed="false">
      <c r="A9" s="0" t="s">
        <v>97</v>
      </c>
      <c r="C9" s="4" t="n">
        <f aca="false">Assumptions!C43</f>
        <v>3</v>
      </c>
      <c r="D9" s="4" t="n">
        <f aca="false">Assumptions!D43</f>
        <v>3</v>
      </c>
      <c r="E9" s="4" t="n">
        <f aca="false">Assumptions!E43</f>
        <v>2.9</v>
      </c>
      <c r="F9" s="4" t="n">
        <f aca="false">Assumptions!F43</f>
        <v>2.8</v>
      </c>
      <c r="G9" s="4" t="n">
        <f aca="false">Assumptions!G43</f>
        <v>2.7</v>
      </c>
      <c r="H9" s="4" t="n">
        <f aca="false">Assumptions!H43</f>
        <v>2.6</v>
      </c>
      <c r="I9" s="4" t="n">
        <f aca="false">Assumptions!I43</f>
        <v>2.5</v>
      </c>
      <c r="J9" s="4" t="n">
        <f aca="false">Assumptions!J43</f>
        <v>2.5</v>
      </c>
      <c r="K9" s="4" t="n">
        <f aca="false">Assumptions!K43</f>
        <v>2.5</v>
      </c>
      <c r="L9" s="4" t="n">
        <f aca="false">Assumptions!L43</f>
        <v>2.5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-41.676</v>
      </c>
      <c r="D10" s="0" t="n">
        <f aca="false">-D6*D9/100</f>
        <v>-47.09388</v>
      </c>
      <c r="E10" s="0" t="n">
        <f aca="false">-E6*E9/100</f>
        <v>-50.98697408</v>
      </c>
      <c r="F10" s="0" t="n">
        <f aca="false">-F6*F9/100</f>
        <v>-54.151682816</v>
      </c>
      <c r="G10" s="0" t="n">
        <f aca="false">-G6*G9/100</f>
        <v>-56.91728661696</v>
      </c>
      <c r="H10" s="0" t="n">
        <f aca="false">-H6*H9/100</f>
        <v>-59.1939780816384</v>
      </c>
      <c r="I10" s="0" t="n">
        <f aca="false">-I6*I9/100</f>
        <v>-60.9014966801472</v>
      </c>
      <c r="J10" s="0" t="n">
        <f aca="false">-J6*J9/100</f>
        <v>-64.555586480956</v>
      </c>
      <c r="K10" s="0" t="n">
        <f aca="false">-K6*K9/100</f>
        <v>-67.7833658050039</v>
      </c>
      <c r="L10" s="0" t="n">
        <f aca="false">-L6*L9/100</f>
        <v>-70.494700437204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493.166</v>
      </c>
      <c r="D11" s="0" t="n">
        <f aca="false">D8+D10+D24</f>
        <v>572.97554</v>
      </c>
      <c r="E11" s="0" t="n">
        <f aca="false">E8+E10+E24</f>
        <v>661.07249152</v>
      </c>
      <c r="F11" s="0" t="n">
        <f aca="false">F8+F10+F24</f>
        <v>748.453616064</v>
      </c>
      <c r="G11" s="0" t="n">
        <f aca="false">G8+G10+G24</f>
        <v>839.00296568704</v>
      </c>
      <c r="H11" s="0" t="n">
        <f aca="false">H8+H10+H24</f>
        <v>919.783351730074</v>
      </c>
      <c r="I11" s="0" t="n">
        <f aca="false">I8+I10+I24</f>
        <v>998.784545554414</v>
      </c>
      <c r="J11" s="0" t="n">
        <f aca="false">J8+J10+J24</f>
        <v>1071.62273558387</v>
      </c>
      <c r="K11" s="0" t="n">
        <f aca="false">K8+K10+K24</f>
        <v>1125.20387236306</v>
      </c>
      <c r="L11" s="0" t="n">
        <f aca="false">L8+L10+L24</f>
        <v>1170.21202725759</v>
      </c>
    </row>
    <row r="12" customFormat="false" ht="15" hidden="false" customHeight="false" outlineLevel="0" collapsed="false">
      <c r="A12" s="0" t="s">
        <v>114</v>
      </c>
      <c r="C12" s="4" t="n">
        <f aca="false">-C6*Assumptions!C45/100</f>
        <v>-55.568</v>
      </c>
      <c r="D12" s="4" t="n">
        <f aca="false">-D6*Assumptions!D45/100</f>
        <v>-62.79184</v>
      </c>
      <c r="E12" s="4" t="n">
        <f aca="false">-E6*Assumptions!E45/100</f>
        <v>-70.3268608</v>
      </c>
      <c r="F12" s="4" t="n">
        <f aca="false">-F6*Assumptions!F45/100</f>
        <v>-77.35954688</v>
      </c>
      <c r="G12" s="4" t="n">
        <f aca="false">-G6*Assumptions!G45/100</f>
        <v>-84.3219060992</v>
      </c>
      <c r="H12" s="4" t="n">
        <f aca="false">-H6*Assumptions!H45/100</f>
        <v>-91.067658587136</v>
      </c>
      <c r="I12" s="4" t="n">
        <f aca="false">-I6*Assumptions!I45/100</f>
        <v>-97.4423946882355</v>
      </c>
      <c r="J12" s="4" t="n">
        <f aca="false">-J6*Assumptions!J45/100</f>
        <v>-103.28893836953</v>
      </c>
      <c r="K12" s="4" t="n">
        <f aca="false">-K6*Assumptions!K45/100</f>
        <v>-108.453385288006</v>
      </c>
      <c r="L12" s="4" t="n">
        <f aca="false">-L6*Assumptions!L45/100</f>
        <v>-112.791520699526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437.598</v>
      </c>
      <c r="D13" s="0" t="n">
        <f aca="false">D11+D12</f>
        <v>510.1837</v>
      </c>
      <c r="E13" s="0" t="n">
        <f aca="false">E11+E12</f>
        <v>590.74563072</v>
      </c>
      <c r="F13" s="0" t="n">
        <f aca="false">F11+F12</f>
        <v>671.094069184</v>
      </c>
      <c r="G13" s="0" t="n">
        <f aca="false">G11+G12</f>
        <v>754.68105958784</v>
      </c>
      <c r="H13" s="0" t="n">
        <f aca="false">H11+H12</f>
        <v>828.715693142938</v>
      </c>
      <c r="I13" s="0" t="n">
        <f aca="false">I11+I12</f>
        <v>901.342150866179</v>
      </c>
      <c r="J13" s="0" t="n">
        <f aca="false">J11+J12</f>
        <v>968.333797214341</v>
      </c>
      <c r="K13" s="0" t="n">
        <f aca="false">K11+K12</f>
        <v>1016.75048707506</v>
      </c>
      <c r="L13" s="0" t="n">
        <f aca="false">L11+L12</f>
        <v>1057.42050655806</v>
      </c>
    </row>
    <row r="14" customFormat="false" ht="15" hidden="false" customHeight="false" outlineLevel="0" collapsed="false">
      <c r="A14" s="0" t="s">
        <v>101</v>
      </c>
      <c r="C14" s="4" t="n">
        <f aca="false">Assumptions!C47</f>
        <v>17</v>
      </c>
      <c r="D14" s="4" t="n">
        <f aca="false">Assumptions!D47</f>
        <v>17</v>
      </c>
      <c r="E14" s="4" t="n">
        <f aca="false">Assumptions!E47</f>
        <v>17</v>
      </c>
      <c r="F14" s="4" t="n">
        <f aca="false">Assumptions!F47</f>
        <v>17</v>
      </c>
      <c r="G14" s="4" t="n">
        <f aca="false">Assumptions!G47</f>
        <v>17</v>
      </c>
      <c r="H14" s="4" t="n">
        <f aca="false">Assumptions!H47</f>
        <v>17</v>
      </c>
      <c r="I14" s="4" t="n">
        <f aca="false">Assumptions!I47</f>
        <v>17</v>
      </c>
      <c r="J14" s="4" t="n">
        <f aca="false">Assumptions!J47</f>
        <v>17</v>
      </c>
      <c r="K14" s="4" t="n">
        <f aca="false">Assumptions!K47</f>
        <v>17</v>
      </c>
      <c r="L14" s="4" t="n">
        <f aca="false">Assumptions!L47</f>
        <v>17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363.20634</v>
      </c>
      <c r="D15" s="0" t="n">
        <f aca="false">D13-MAX(0,D13)*D14/100</f>
        <v>423.452471</v>
      </c>
      <c r="E15" s="0" t="n">
        <f aca="false">E13-MAX(0,E13)*E14/100</f>
        <v>490.3188734976</v>
      </c>
      <c r="F15" s="0" t="n">
        <f aca="false">F13-MAX(0,F13)*F14/100</f>
        <v>557.00807742272</v>
      </c>
      <c r="G15" s="0" t="n">
        <f aca="false">G13-MAX(0,G13)*G14/100</f>
        <v>626.385279457907</v>
      </c>
      <c r="H15" s="0" t="n">
        <f aca="false">H13-MAX(0,H13)*H14/100</f>
        <v>687.834025308638</v>
      </c>
      <c r="I15" s="0" t="n">
        <f aca="false">I13-MAX(0,I13)*I14/100</f>
        <v>748.113985218928</v>
      </c>
      <c r="J15" s="0" t="n">
        <f aca="false">J13-MAX(0,J13)*J14/100</f>
        <v>803.717051687903</v>
      </c>
      <c r="K15" s="0" t="n">
        <f aca="false">K13-MAX(0,K13)*K14/100</f>
        <v>843.902904272298</v>
      </c>
      <c r="L15" s="0" t="n">
        <f aca="false">L13-MAX(0,L13)*L14/100</f>
        <v>877.65902044319</v>
      </c>
    </row>
    <row r="16" customFormat="false" ht="15" hidden="false" customHeight="false" outlineLevel="0" collapsed="false">
      <c r="A16" s="0" t="s">
        <v>117</v>
      </c>
      <c r="C16" s="0" t="n">
        <f aca="false">-C12</f>
        <v>55.568</v>
      </c>
      <c r="D16" s="0" t="n">
        <f aca="false">-D12</f>
        <v>62.79184</v>
      </c>
      <c r="E16" s="0" t="n">
        <f aca="false">-E12</f>
        <v>70.3268608</v>
      </c>
      <c r="F16" s="0" t="n">
        <f aca="false">-F12</f>
        <v>77.35954688</v>
      </c>
      <c r="G16" s="0" t="n">
        <f aca="false">-G12</f>
        <v>84.3219060992</v>
      </c>
      <c r="H16" s="0" t="n">
        <f aca="false">-H12</f>
        <v>91.067658587136</v>
      </c>
      <c r="I16" s="0" t="n">
        <f aca="false">-I12</f>
        <v>97.4423946882355</v>
      </c>
      <c r="J16" s="0" t="n">
        <f aca="false">-J12</f>
        <v>103.28893836953</v>
      </c>
      <c r="K16" s="0" t="n">
        <f aca="false">-K12</f>
        <v>108.453385288006</v>
      </c>
      <c r="L16" s="0" t="n">
        <f aca="false">-L12</f>
        <v>112.791520699526</v>
      </c>
    </row>
    <row r="17" customFormat="false" ht="15" hidden="false" customHeight="false" outlineLevel="0" collapsed="false">
      <c r="A17" s="0" t="s">
        <v>118</v>
      </c>
      <c r="C17" s="4" t="n">
        <f aca="false">-C6*Assumptions!C46/100</f>
        <v>-69.46</v>
      </c>
      <c r="D17" s="4" t="n">
        <f aca="false">-D6*Assumptions!D46/100</f>
        <v>-78.4898</v>
      </c>
      <c r="E17" s="4" t="n">
        <f aca="false">-E6*Assumptions!E46/100</f>
        <v>-87.908576</v>
      </c>
      <c r="F17" s="4" t="n">
        <f aca="false">-F6*Assumptions!F46/100</f>
        <v>-96.6994336</v>
      </c>
      <c r="G17" s="4" t="n">
        <f aca="false">-G6*Assumptions!G46/100</f>
        <v>-105.402382624</v>
      </c>
      <c r="H17" s="4" t="n">
        <f aca="false">-H6*Assumptions!H46/100</f>
        <v>-113.83457323392</v>
      </c>
      <c r="I17" s="4" t="n">
        <f aca="false">-I6*Assumptions!I46/100</f>
        <v>-121.802993360294</v>
      </c>
      <c r="J17" s="4" t="n">
        <f aca="false">-J6*Assumptions!J46/100</f>
        <v>-129.111172961912</v>
      </c>
      <c r="K17" s="4" t="n">
        <f aca="false">-K6*Assumptions!K46/100</f>
        <v>-135.566731610008</v>
      </c>
      <c r="L17" s="4" t="n">
        <f aca="false">-L6*Assumptions!L46/100</f>
        <v>-140.989400874408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(C6-B6)*Assumptions!$B$51/100</f>
        <v>-5.436</v>
      </c>
      <c r="D18" s="4" t="n">
        <f aca="false">(D6-C6)*Assumptions!$B$51/100</f>
        <v>-5.41787999999999</v>
      </c>
      <c r="E18" s="4" t="n">
        <f aca="false">(E6-D6)*Assumptions!$B$51/100</f>
        <v>-5.6512656</v>
      </c>
      <c r="F18" s="4" t="n">
        <f aca="false">(F6-E6)*Assumptions!$B$51/100</f>
        <v>-5.27451456</v>
      </c>
      <c r="G18" s="4" t="n">
        <f aca="false">(G6-F6)*Assumptions!$B$51/100</f>
        <v>-5.2217694144</v>
      </c>
      <c r="H18" s="4" t="n">
        <f aca="false">(H6-G6)*Assumptions!$B$51/100</f>
        <v>-5.059314365952</v>
      </c>
      <c r="I18" s="4" t="n">
        <f aca="false">(I6-H6)*Assumptions!$B$51/100</f>
        <v>-4.78105207582465</v>
      </c>
      <c r="J18" s="4" t="n">
        <f aca="false">(J6-I6)*Assumptions!$B$51/100</f>
        <v>-4.3849077609706</v>
      </c>
      <c r="K18" s="4" t="n">
        <f aca="false">(K6-J6)*Assumptions!$B$51/100</f>
        <v>-3.87333518885737</v>
      </c>
      <c r="L18" s="4" t="n">
        <f aca="false">(L6-K6)*Assumptions!$B$51/100</f>
        <v>-3.25360155864019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343.87834</v>
      </c>
      <c r="D19" s="0" t="n">
        <f aca="false">D15+D16+D17+D18</f>
        <v>402.336631</v>
      </c>
      <c r="E19" s="0" t="n">
        <f aca="false">E15+E16+E17+E18</f>
        <v>467.0858926976</v>
      </c>
      <c r="F19" s="0" t="n">
        <f aca="false">F15+F16+F17+F18</f>
        <v>532.39367614272</v>
      </c>
      <c r="G19" s="0" t="n">
        <f aca="false">G15+G16+G17+G18</f>
        <v>600.083033518707</v>
      </c>
      <c r="H19" s="0" t="n">
        <f aca="false">H15+H16+H17+H18</f>
        <v>660.007796295902</v>
      </c>
      <c r="I19" s="0" t="n">
        <f aca="false">I15+I16+I17+I18</f>
        <v>718.972334471045</v>
      </c>
      <c r="J19" s="0" t="n">
        <f aca="false">J15+J16+J17+J18</f>
        <v>773.50990933455</v>
      </c>
      <c r="K19" s="0" t="n">
        <f aca="false">K15+K16+K17+K18</f>
        <v>812.916222761439</v>
      </c>
      <c r="L19" s="0" t="n">
        <f aca="false">L15+L16+L17+L18</f>
        <v>846.207538709668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316.938562211982</v>
      </c>
      <c r="D21" s="0" t="n">
        <f aca="false">D19*D20</f>
        <v>341.766978275181</v>
      </c>
      <c r="E21" s="0" t="n">
        <f aca="false">E19*E20</f>
        <v>365.685328055698</v>
      </c>
      <c r="F21" s="0" t="n">
        <f aca="false">F19*F20</f>
        <v>384.161585811468</v>
      </c>
      <c r="G21" s="0" t="n">
        <f aca="false">G19*G20</f>
        <v>399.082475034657</v>
      </c>
      <c r="H21" s="0" t="n">
        <f aca="false">H19*H20</f>
        <v>404.548538489656</v>
      </c>
      <c r="I21" s="0" t="n">
        <f aca="false">I19*I20</f>
        <v>406.166417219284</v>
      </c>
      <c r="J21" s="0" t="n">
        <f aca="false">J19*J20</f>
        <v>402.742977296699</v>
      </c>
      <c r="K21" s="0" t="n">
        <f aca="false">K19*K20</f>
        <v>390.101973037081</v>
      </c>
      <c r="L21" s="0" t="n">
        <f aca="false">L19*L20</f>
        <v>374.265252465555</v>
      </c>
    </row>
    <row r="23" customFormat="false" ht="15" hidden="false" customHeight="false" outlineLevel="0" collapsed="false">
      <c r="A23" s="0" t="s">
        <v>98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103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104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3785.46008789726</v>
      </c>
    </row>
    <row r="31" customFormat="false" ht="15" hidden="false" customHeight="false" outlineLevel="0" collapsed="false">
      <c r="A31" s="0" t="s">
        <v>126</v>
      </c>
      <c r="B31" s="0" t="n">
        <f aca="false">L19</f>
        <v>846.207538709668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15847.1593612901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15231.735696774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15231.735696774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6736.77454437999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10522.2346322773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18965.0346322773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3.74686651346207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0.561194380609197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363.266640420571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583.893475927155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3.93399417189462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7263.28137392465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2.56837667581308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2" t="s">
        <v>143</v>
      </c>
      <c r="B3" s="2" t="s">
        <v>144</v>
      </c>
      <c r="C3" s="2" t="s">
        <v>134</v>
      </c>
      <c r="D3" s="2" t="s">
        <v>145</v>
      </c>
      <c r="E3" s="2" t="s">
        <v>137</v>
      </c>
      <c r="F3" s="2" t="s">
        <v>146</v>
      </c>
    </row>
    <row r="4" customFormat="false" ht="15" hidden="false" customHeight="false" outlineLevel="0" collapsed="false">
      <c r="A4" s="0" t="s">
        <v>147</v>
      </c>
      <c r="B4" s="4" t="n">
        <f aca="false">DCF_Bear!$B$38</f>
        <v>2.48956983423918</v>
      </c>
      <c r="C4" s="0" t="n">
        <f aca="false">B4/Assumptions!$B$2-1</f>
        <v>0.0373207642663271</v>
      </c>
      <c r="D4" s="4" t="n">
        <f aca="false">Assumptions!$B$24</f>
        <v>0.25</v>
      </c>
      <c r="E4" s="4" t="n">
        <f aca="false">DCF_Bear!$B$43</f>
        <v>2.59646401514502</v>
      </c>
      <c r="F4" s="4" t="n">
        <f aca="false">DCF_Bear!$B$47</f>
        <v>2.1158206433959</v>
      </c>
    </row>
    <row r="5" customFormat="false" ht="15" hidden="false" customHeight="false" outlineLevel="0" collapsed="false">
      <c r="A5" s="0" t="s">
        <v>148</v>
      </c>
      <c r="B5" s="4" t="n">
        <f aca="false">DCF_Base!$B$38</f>
        <v>3.09933772174839</v>
      </c>
      <c r="C5" s="0" t="n">
        <f aca="false">B5/Assumptions!$B$2-1</f>
        <v>0.291390717395163</v>
      </c>
      <c r="D5" s="4" t="n">
        <f aca="false">Assumptions!$B$38</f>
        <v>0.5</v>
      </c>
      <c r="E5" s="4" t="n">
        <f aca="false">DCF_Base!$B$43</f>
        <v>3.24554372802854</v>
      </c>
      <c r="F5" s="4" t="n">
        <f aca="false">DCF_Base!$B$47</f>
        <v>2.34638793214316</v>
      </c>
    </row>
    <row r="6" customFormat="false" ht="15" hidden="false" customHeight="false" outlineLevel="0" collapsed="false">
      <c r="A6" s="0" t="s">
        <v>149</v>
      </c>
      <c r="B6" s="4" t="n">
        <f aca="false">DCF_Bull!$B$38</f>
        <v>3.74686651346207</v>
      </c>
      <c r="C6" s="0" t="n">
        <f aca="false">B6/Assumptions!$B$2-1</f>
        <v>0.561194380609197</v>
      </c>
      <c r="D6" s="4" t="n">
        <f aca="false">Assumptions!$B$52</f>
        <v>0.25</v>
      </c>
      <c r="E6" s="4" t="n">
        <f aca="false">DCF_Bull!$B$43</f>
        <v>3.93399417189462</v>
      </c>
      <c r="F6" s="4" t="n">
        <f aca="false">DCF_Bull!$B$47</f>
        <v>2.56837667581308</v>
      </c>
    </row>
    <row r="8" customFormat="false" ht="15" hidden="false" customHeight="false" outlineLevel="0" collapsed="false">
      <c r="A8" s="0" t="s">
        <v>150</v>
      </c>
      <c r="B8" s="0" t="n">
        <f aca="false">SUMPRODUCT(B4:B6,D4:D6)</f>
        <v>3.10877794779951</v>
      </c>
    </row>
    <row r="9" customFormat="false" ht="15" hidden="false" customHeight="false" outlineLevel="0" collapsed="false">
      <c r="A9" s="0" t="s">
        <v>151</v>
      </c>
      <c r="B9" s="0" t="n">
        <f aca="false">SUMPRODUCT(E4:E6,D4:D6)</f>
        <v>3.25538641077418</v>
      </c>
    </row>
    <row r="10" customFormat="false" ht="15" hidden="false" customHeight="false" outlineLevel="0" collapsed="false">
      <c r="A10" s="0" t="s">
        <v>152</v>
      </c>
      <c r="B10" s="0" t="n">
        <f aca="false">1-Assumptions!$B$2/B8</f>
        <v>0.227992465110352</v>
      </c>
    </row>
    <row r="11" customFormat="false" ht="15" hidden="false" customHeight="false" outlineLevel="0" collapsed="false">
      <c r="A11" s="0" t="s">
        <v>153</v>
      </c>
      <c r="B11" s="0" t="n">
        <f aca="false">IF(ABS(B9-B8)&gt;0.01*ABS(B8),(Assumptions!$B$2-B8)/(B9-B8)*100,"n/a")</f>
        <v>-483.449545420835</v>
      </c>
    </row>
    <row r="12" customFormat="false" ht="15" hidden="false" customHeight="false" outlineLevel="0" collapsed="false">
      <c r="A12" s="0" t="s">
        <v>154</v>
      </c>
      <c r="B12" s="0" t="n">
        <f aca="false">SUMPRODUCT(F4:F6,D4:D6)</f>
        <v>2.34424329587383</v>
      </c>
    </row>
    <row r="14" customFormat="false" ht="15" hidden="false" customHeight="false" outlineLevel="0" collapsed="false">
      <c r="A14" s="2" t="s">
        <v>155</v>
      </c>
      <c r="C14" s="0" t="s">
        <v>156</v>
      </c>
    </row>
    <row r="15" customFormat="false" ht="15" hidden="false" customHeight="false" outlineLevel="0" collapsed="false">
      <c r="A15" s="0" t="s">
        <v>157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3.09933772174839</v>
      </c>
      <c r="C15" s="3" t="n">
        <v>8.5</v>
      </c>
    </row>
    <row r="16" customFormat="false" ht="15" hidden="false" customHeight="false" outlineLevel="0" collapsed="false">
      <c r="A16" s="0" t="s">
        <v>158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3.03557699371707</v>
      </c>
      <c r="C16" s="3" t="n">
        <v>9</v>
      </c>
    </row>
    <row r="17" customFormat="false" ht="15" hidden="false" customHeight="false" outlineLevel="0" collapsed="false">
      <c r="A17" s="0" t="s">
        <v>159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2.84293671798238</v>
      </c>
      <c r="C17" s="3" t="n">
        <v>10</v>
      </c>
    </row>
    <row r="18" customFormat="false" ht="15" hidden="false" customHeight="false" outlineLevel="0" collapsed="false">
      <c r="A18" s="0" t="s">
        <v>160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2.69608495126533</v>
      </c>
      <c r="C18" s="3" t="n">
        <v>11</v>
      </c>
    </row>
    <row r="19" customFormat="false" ht="15" hidden="false" customHeight="false" outlineLevel="0" collapsed="false">
      <c r="A19" s="0" t="s">
        <v>161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2.58053494205593</v>
      </c>
      <c r="C19" s="3" t="n">
        <v>12</v>
      </c>
    </row>
    <row r="20" customFormat="false" ht="15" hidden="false" customHeight="false" outlineLevel="0" collapsed="false">
      <c r="A20" s="0" t="s">
        <v>162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2.34638793214316</v>
      </c>
      <c r="C20" s="3" t="n">
        <v>15</v>
      </c>
    </row>
    <row r="22" customFormat="false" ht="15" hidden="false" customHeight="false" outlineLevel="0" collapsed="false">
      <c r="A22" s="2" t="s">
        <v>163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3.33444572080538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3.33444572080538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3.33444572080538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3.33444572080538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3.33444572080538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3.2113331410207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3.2113331410207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3.2113331410207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3.2113331410207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3.2113331410207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3.02055444093953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3.08317704876196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3.09933772174839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3.09933772174839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3.09933772174839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2.83860751331275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2.88233271954557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2.93230438381164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2.98996399642634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2.99733600169214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2.69771234129767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2.72931242639555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2.76486252213066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2.80515263063045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2.85119846891592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2026-10-24T00:31:01Z</dcterms:created>
  <dc:creator>openpyxl</dc:creator>
  <dc:description/>
  <dc:language>en-NZ</dc:language>
  <cp:lastModifiedBy/>
  <dcterms:modified xsi:type="dcterms:W3CDTF">2026-10-24T00:31:01Z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