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<sst xmlns="http://schemas.openxmlformats.org/spreadsheetml/2006/main" count="359" uniqueCount="167">
  <si>
    <t xml:space="preserve">Ticker</t>
  </si>
  <si>
    <t xml:space="preserve">6862.HK</t>
  </si>
  <si>
    <t xml:space="preserve">Company</t>
  </si>
  <si>
    <t xml:space="preserve">Haidilao International Holding Ltd.</t>
  </si>
  <si>
    <t xml:space="preserve">Valuation date</t>
  </si>
  <si>
    <t xml:space="preserve">2026-10-24</t>
  </si>
  <si>
    <t xml:space="preserve">Current price</t>
  </si>
  <si>
    <t xml:space="preserve">Price as of</t>
  </si>
  <si>
    <t xml:space="preserve">2026-10-23T08:08:08Z (HKEX regular close, 16:08 HKT)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</si>
  <si>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</si>
  <si>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</si>
  <si>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</si>
  <si>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</si>
  <si>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</si>
  <si>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</si>
  <si>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</si>
  <si>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</si>
  <si>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</si>
  <si>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</si>
  <si>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</si>
  <si>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</si>
  <si>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</si>
  <si>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2026-10-23T16:48:37Z</t>
  </si>
  <si>
    <t xml:space="preserve">Drivers file</t>
  </si>
  <si>
    <t xml:space="preserve">6862.HK_Drivers.json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</si>
  <si>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</si>
  <si>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</si>
  <si>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</si>
  <si>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Haidilao as a mature, net-cash restaurant operator on owner FCF after SBC, lease cash and stripped interest income, starting from the current compressed margin rather than the FY2023-24 peak, with a 15x terminal cap and a bear-heavy weighting. The investment case is the cash yield and balance sheet, not re-acceleration: the price is tested against what the business earns if the core brand merely stops shrinking, and against what it is worth if it does not.
key_risks_to_valuation: Same-store sales and table turnover keep falling (-6.7% / 4.1x-&gt;3.9x in FY2025) and the delivery/sub-brand growth that offsets it is lower margin; H1 FY2026 core EBITDA margin compressed ~2pp YoY (raw materials 37.9% -&gt; 40.5% of revenue, platform fees); the base case assumes only a partial recovery; Execution risk of reorganising the middle office, scaling two sub-brands, and accelerating openings simultaneously; the 2022 'Woodpecker' closure cycle is the precedent; Cash-basis lease charge (2.4% of revenue) is below the IFRS-16 ROU book only because the lease portfolio is amortising; renewal of the 1,300-store estate could lift it; RMB/HKD translation: all flows are CNY, the quote is HKD; a 5% CNY depreciation moves every HKD per-share value by ~5%; 30% cash tax rate embeds dividend withholding tax on the near-100% payout; a lower payout would lower the cash rate but also the yield argument; Related-party procurement (Yihai International and other Zhang Yong entities) and the RMB1.6bn private-fund portfolio carried at fair value</t>
  </si>
  <si>
    <t xml:space="preserve">Data sources</t>
  </si>
  <si>
    <t xml:space="preserve">price: Yahoo Finance chart API at inputs.price_as_of (HKEX regular close); 52-week range 8.925-17.86 HKD
fx: Yahoo Finance CNYHKD=X at 2026-10-23; see inputs.fx_note
financials: 6862.HK_Metrics.csv / core_metrics and kpis (FY2017-FY2025 annual, H1 FY2023-H1 FY2026 interim); FY2025 annual report cash flow statement, note on leases (total cash outflow RMB1,227.3m, ROU depreciation 742.7m, lease interest 186.0m), finance costs note; H1 FY2026 interim report statement of financial position, notes 11, 15, 16, 20
qualitative: 6862.HK_Analysis.json (2026-10-24): business model, SSS/turnover trend, delivery and sub-brand growth, H1 FY2026 and FY2025 results, management commentary on 2026 middle-office build-out and 2027 opening acceleration</t>
  </si>
  <si>
    <t xml:space="preserve">Scenario narrative: bear</t>
  </si>
  <si>
    <t xml:space="preserve">The axes that go wrong: structural traffic decline in hot pot dine-in, price-war competition and platform re-pricing, and a second failed diversification cycle. Revenue stagnates, margins compress to 13.5%, capex drops to maintenance. The balance sheet means this is a slow erosion of value, not distress; the dividend is cut with earnings.</t>
  </si>
  <si>
    <t xml:space="preserve">Scenario narrative: base</t>
  </si>
  <si>
    <t xml:space="preserve">Haidilao is a mature, cash-generative restaurant chain whose core dine-in brand is shrinking slowly while delivery and sub-brands fill the gap at lower margin. Revenue grows mid-single digits for two years on openings and delivery, then fades to 2.5%. Core EBITDA margin starts from the compressed H1 FY2026 run-rate (15.3%) and recovers less than 1pp. Capex steps up for the 2027-28 opening and refurbishment cycle, then normalises. The RMB6.7bn net cash pile and RMB1.6bn fund investments are added once, with interest income stripped from the flows.</t>
  </si>
  <si>
    <t xml:space="preserve">Scenario narrative: bull</t>
  </si>
  <si>
    <t xml:space="preserve">The axes that have to go right: SSS stabilisation in 2027, successful replication of the two proven sub-brand formats, delivery continuing to compound without margin dilution, and the middle-office reorganisation actually lowering unit costs. Core EBITDA margin recovers to 18.5% and revenue compounds ~5.5% over the decade.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</si>
  <si>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</si>
  <si>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</si>
  <si>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</si>
  <si>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</si>
  <si>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</si>
  <si>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</si>
  <si>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</si>
  <si>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</si>
  <si>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</si>
  <si>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</si>
  <si>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</si>
  <si>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</si>
  <si>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</si>
  <si>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</si>
  <si>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</si>
  <si>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</si>
  <si>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</si>
  <si>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</si>
  <si>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</si>
  <si>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</si>
  <si>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</si>
  <si>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</si>
  <si>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</si>
  <si>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</si>
  <si>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</si>
  <si>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</si>
  <si>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</si>
  <si>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LeasePrincipalRepaid</t>
  </si>
  <si>
    <t xml:space="preserve">SameStoreSalesGrowth</t>
  </si>
  <si>
    <t xml:space="preserve">StoreCount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</si>
  <si>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</si>
  <si>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</si>
  <si>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</si>
  <si>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</si>
  <si>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</si>
  <si>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</si>
  <si>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</si>
  <si>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</si>
  <si>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</si>
  <si>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</si>
  <si>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</si>
  <si>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</si>
  <si>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</si>
  <si>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</si>
  <si>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</si>
  <si>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</si>
  <si>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</si>
  <si>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</si>
  <si>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</si>
  <si>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</si>
  <si>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</si>
  <si>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</si>
  <si>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</si>
  <si>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</si>
  <si>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</si>
  <si>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</si>
  <si>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</si>
  <si>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</si>
  <si>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</si>
  <si>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</si>
  <si>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</si>
  <si>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</si>
  <si>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</si>
  <si>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</si>
  <si>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</si>
  <si>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</si>
  <si>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</si>
  <si>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</si>
  <si>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</si>
  <si>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</si>
  <si>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</si>
  <si>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</si>
  <si>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</si>
  <si>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</si>
  <si>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</si>
  <si>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</si>
  <si>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6862.HK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</si>
  <si>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</si>
  <si>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</si>
  <si>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</si>
  <si>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</si>
  <si>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</si>
  <si>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</si>
  <si>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</si>
  <si>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</si>
  <si>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</si>
  <si>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</si>
  <si>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</si>
  <si>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</si>
  <si>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</si>
  <si>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</si>
  <si>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</si>
  <si>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</si>
  <si>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</si>
  <si>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</si>
  <si>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</si>
  <si>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</si>
  <si>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</si>
  <si>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</si>
  <si>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</si>
  <si>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</si>
  <si>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</si>
  <si>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</si>
  <si>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</si>
  <si>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</si>
  <si>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</si>
  <si>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</si>
  <si>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6862.HK owner-FCF component DCF: base case (millions, CNY)</t>
  </si>
  <si>
    <t xml:space="preserve">6862.HK owner-FCF component DCF: bull case (millions, CNY)</t>
  </si>
  <si>
    <t xml:space="preserve">6862.HK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</si>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</sst>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9.23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46.2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  <c r="AE1" s="2" t="s">
        <v>66</v>
      </c>
    </row>
    <row r="2" customFormat="false" ht="15" hidden="false" customHeight="false" outlineLevel="0" collapsed="false">
      <c r="A2" s="0" t="s">
        <v>67</v>
      </c>
      <c r="B2" s="0" t="n">
        <v>10637.17</v>
      </c>
      <c r="F2" s="0" t="n">
        <v>1633.664</v>
      </c>
      <c r="G2" s="0" t="n">
        <v>15.4</v>
      </c>
      <c r="H2" s="0" t="n">
        <v>1993.503</v>
      </c>
      <c r="I2" s="0" t="n">
        <v>1027.845</v>
      </c>
      <c r="J2" s="0" t="n">
        <v>9.7</v>
      </c>
      <c r="K2" s="0" t="n">
        <v>0.21</v>
      </c>
      <c r="L2" s="0" t="n">
        <v>1399.716</v>
      </c>
      <c r="M2" s="0" t="n">
        <v>1242.904</v>
      </c>
      <c r="N2" s="0" t="n">
        <v>156.812</v>
      </c>
      <c r="O2" s="0" t="n">
        <v>1089.085</v>
      </c>
      <c r="P2" s="0" t="n">
        <v>3735.821</v>
      </c>
      <c r="Q2" s="0" t="n">
        <v>2644.84</v>
      </c>
      <c r="R2" s="0" t="n">
        <v>357.22</v>
      </c>
      <c r="S2" s="0" t="n">
        <v>282.032</v>
      </c>
      <c r="T2" s="0" t="n">
        <v>4795.4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68</v>
      </c>
      <c r="B3" s="0" t="n">
        <v>16969.1</v>
      </c>
      <c r="F3" s="0" t="n">
        <v>2293.061</v>
      </c>
      <c r="G3" s="0" t="n">
        <v>13.5</v>
      </c>
      <c r="H3" s="0" t="n">
        <v>2982.382</v>
      </c>
      <c r="I3" s="0" t="n">
        <v>1646.156</v>
      </c>
      <c r="J3" s="0" t="n">
        <v>9.7</v>
      </c>
      <c r="K3" s="0" t="n">
        <v>0.33</v>
      </c>
      <c r="L3" s="0" t="n">
        <v>2388.393</v>
      </c>
      <c r="M3" s="0" t="n">
        <v>2511.749</v>
      </c>
      <c r="N3" s="0" t="n">
        <v>-123.356</v>
      </c>
      <c r="O3" s="0" t="n">
        <v>8624.972</v>
      </c>
      <c r="P3" s="0" t="n">
        <v>11944.638</v>
      </c>
      <c r="Q3" s="0" t="n">
        <v>3315.08</v>
      </c>
      <c r="R3" s="0" t="n">
        <v>410.354</v>
      </c>
      <c r="S3" s="0" t="n">
        <v>4118.623</v>
      </c>
      <c r="T3" s="0" t="n">
        <v>4988.3</v>
      </c>
      <c r="U3" s="0" t="n">
        <v>0</v>
      </c>
      <c r="AA3" s="0" t="s">
        <v>18</v>
      </c>
      <c r="AB3" s="0" t="s">
        <v>14</v>
      </c>
    </row>
    <row r="4" customFormat="false" ht="15" hidden="false" customHeight="false" outlineLevel="0" collapsed="false">
      <c r="A4" s="0" t="s">
        <v>69</v>
      </c>
      <c r="B4" s="0" t="n">
        <v>26555.792</v>
      </c>
      <c r="F4" s="0" t="n">
        <v>3484.015</v>
      </c>
      <c r="G4" s="0" t="n">
        <v>13.1</v>
      </c>
      <c r="H4" s="0" t="n">
        <v>5375.339</v>
      </c>
      <c r="I4" s="0" t="n">
        <v>2344.711</v>
      </c>
      <c r="J4" s="0" t="n">
        <v>8.8</v>
      </c>
      <c r="K4" s="0" t="n">
        <v>0.44</v>
      </c>
      <c r="L4" s="0" t="n">
        <v>4580.484</v>
      </c>
      <c r="M4" s="0" t="n">
        <v>4880.807</v>
      </c>
      <c r="N4" s="0" t="n">
        <v>-300.323</v>
      </c>
      <c r="O4" s="0" t="n">
        <v>10623.001</v>
      </c>
      <c r="P4" s="0" t="n">
        <v>20613.933</v>
      </c>
      <c r="Q4" s="0" t="n">
        <v>9987.9</v>
      </c>
      <c r="R4" s="0" t="n">
        <v>122.174</v>
      </c>
      <c r="S4" s="0" t="n">
        <v>2221.962</v>
      </c>
      <c r="T4" s="0" t="n">
        <v>5300</v>
      </c>
      <c r="U4" s="0" t="n">
        <v>0</v>
      </c>
      <c r="AA4" s="0" t="s">
        <v>18</v>
      </c>
      <c r="AB4" s="0" t="s">
        <v>14</v>
      </c>
      <c r="AC4" s="0" t="n">
        <v>699.054</v>
      </c>
    </row>
    <row r="5" customFormat="false" ht="15" hidden="false" customHeight="false" outlineLevel="0" collapsed="false">
      <c r="A5" s="0" t="s">
        <v>70</v>
      </c>
      <c r="B5" s="0" t="n">
        <v>28614.255</v>
      </c>
      <c r="F5" s="0" t="n">
        <v>1180.701</v>
      </c>
      <c r="G5" s="0" t="n">
        <v>4.1</v>
      </c>
      <c r="H5" s="0" t="n">
        <v>4214.4</v>
      </c>
      <c r="I5" s="0" t="n">
        <v>309.271</v>
      </c>
      <c r="J5" s="0" t="n">
        <v>1.1</v>
      </c>
      <c r="K5" s="0" t="n">
        <v>0.06</v>
      </c>
      <c r="L5" s="0" t="n">
        <v>2921.451</v>
      </c>
      <c r="M5" s="0" t="n">
        <v>6069.722</v>
      </c>
      <c r="N5" s="0" t="n">
        <v>-3148.271</v>
      </c>
      <c r="O5" s="0" t="n">
        <v>10233.951</v>
      </c>
      <c r="P5" s="0" t="n">
        <v>27527.158</v>
      </c>
      <c r="Q5" s="0" t="n">
        <v>17289.9</v>
      </c>
      <c r="R5" s="0" t="n">
        <v>3989.368</v>
      </c>
      <c r="S5" s="0" t="n">
        <v>2920.868</v>
      </c>
      <c r="T5" s="0" t="n">
        <v>5300</v>
      </c>
      <c r="U5" s="0" t="n">
        <v>0</v>
      </c>
      <c r="AA5" s="0" t="s">
        <v>18</v>
      </c>
      <c r="AB5" s="0" t="s">
        <v>14</v>
      </c>
      <c r="AC5" s="0" t="n">
        <v>708.069</v>
      </c>
    </row>
    <row r="6" customFormat="false" ht="15" hidden="false" customHeight="false" outlineLevel="0" collapsed="false">
      <c r="A6" s="0" t="s">
        <v>71</v>
      </c>
      <c r="B6" s="0" t="n">
        <v>41111.624</v>
      </c>
      <c r="F6" s="0" t="n">
        <v>-3331.506</v>
      </c>
      <c r="G6" s="0" t="n">
        <v>-8.1</v>
      </c>
      <c r="H6" s="0" t="n">
        <v>1216.545</v>
      </c>
      <c r="I6" s="0" t="n">
        <v>-4163.175</v>
      </c>
      <c r="J6" s="0" t="n">
        <v>-10.1</v>
      </c>
      <c r="K6" s="0" t="n">
        <v>-0.78</v>
      </c>
      <c r="L6" s="0" t="n">
        <v>3806.125</v>
      </c>
      <c r="M6" s="0" t="n">
        <v>4429.589</v>
      </c>
      <c r="N6" s="0" t="n">
        <v>-623.464</v>
      </c>
      <c r="O6" s="0" t="n">
        <v>7914.56</v>
      </c>
      <c r="P6" s="0" t="n">
        <v>28021.525</v>
      </c>
      <c r="Q6" s="0" t="n">
        <v>20092.9</v>
      </c>
      <c r="R6" s="0" t="n">
        <v>3781.441</v>
      </c>
      <c r="S6" s="0" t="n">
        <v>5805.035</v>
      </c>
      <c r="T6" s="0" t="n">
        <v>5312</v>
      </c>
      <c r="U6" s="0" t="n">
        <v>0</v>
      </c>
      <c r="AA6" s="0" t="s">
        <v>18</v>
      </c>
      <c r="AB6" s="0" t="s">
        <v>14</v>
      </c>
      <c r="AC6" s="0" t="n">
        <v>969.89</v>
      </c>
    </row>
    <row r="7" customFormat="false" ht="15" hidden="false" customHeight="false" outlineLevel="0" collapsed="false">
      <c r="A7" s="0" t="s">
        <v>72</v>
      </c>
      <c r="B7" s="0" t="n">
        <v>31038.634</v>
      </c>
      <c r="F7" s="0" t="n">
        <v>2591.52</v>
      </c>
      <c r="G7" s="0" t="n">
        <v>8.3</v>
      </c>
      <c r="H7" s="0" t="n">
        <v>5912.682</v>
      </c>
      <c r="I7" s="0" t="n">
        <v>1374.477</v>
      </c>
      <c r="J7" s="0" t="n">
        <v>4.4</v>
      </c>
      <c r="K7" s="0" t="n">
        <v>0.25</v>
      </c>
      <c r="L7" s="0" t="n">
        <v>6152.295</v>
      </c>
      <c r="M7" s="0" t="n">
        <v>825.055</v>
      </c>
      <c r="N7" s="0" t="n">
        <v>5327.24</v>
      </c>
      <c r="O7" s="0" t="n">
        <v>7443.187</v>
      </c>
      <c r="P7" s="0" t="n">
        <v>21439.192</v>
      </c>
      <c r="Q7" s="0" t="n">
        <v>13983.1</v>
      </c>
      <c r="R7" s="0" t="n">
        <v>2556.242</v>
      </c>
      <c r="S7" s="0" t="n">
        <v>6621.203</v>
      </c>
      <c r="T7" s="0" t="n">
        <v>5415</v>
      </c>
      <c r="U7" s="0" t="n">
        <v>0</v>
      </c>
      <c r="X7" s="0" t="n">
        <v>31038.634</v>
      </c>
      <c r="AA7" s="0" t="s">
        <v>18</v>
      </c>
      <c r="AB7" s="0" t="s">
        <v>14</v>
      </c>
      <c r="AC7" s="0" t="n">
        <v>1067.553</v>
      </c>
    </row>
    <row r="8" customFormat="false" ht="15" hidden="false" customHeight="false" outlineLevel="0" collapsed="false">
      <c r="A8" s="0" t="s">
        <v>73</v>
      </c>
      <c r="B8" s="0" t="n">
        <v>41453.348</v>
      </c>
      <c r="F8" s="0" t="n">
        <v>6184.502</v>
      </c>
      <c r="G8" s="0" t="n">
        <v>14.9</v>
      </c>
      <c r="H8" s="0" t="n">
        <v>9129.901</v>
      </c>
      <c r="I8" s="0" t="n">
        <v>4499.08</v>
      </c>
      <c r="J8" s="0" t="n">
        <v>10.9</v>
      </c>
      <c r="K8" s="0" t="n">
        <v>0.83</v>
      </c>
      <c r="L8" s="0" t="n">
        <v>9000.35</v>
      </c>
      <c r="M8" s="0" t="n">
        <v>452.41</v>
      </c>
      <c r="N8" s="0" t="n">
        <v>8547.94</v>
      </c>
      <c r="O8" s="0" t="n">
        <v>11526.63</v>
      </c>
      <c r="P8" s="0" t="n">
        <v>24677.04</v>
      </c>
      <c r="Q8" s="0" t="n">
        <v>13160.1</v>
      </c>
      <c r="R8" s="0" t="n">
        <v>618.898</v>
      </c>
      <c r="S8" s="0" t="n">
        <v>9330.015</v>
      </c>
      <c r="T8" s="0" t="n">
        <v>5415</v>
      </c>
      <c r="U8" s="0" t="n">
        <v>0.958</v>
      </c>
      <c r="AA8" s="0" t="s">
        <v>18</v>
      </c>
      <c r="AB8" s="0" t="s">
        <v>14</v>
      </c>
      <c r="AC8" s="0" t="n">
        <v>880.634</v>
      </c>
    </row>
    <row r="9" customFormat="false" ht="15" hidden="false" customHeight="false" outlineLevel="0" collapsed="false">
      <c r="A9" s="0" t="s">
        <v>74</v>
      </c>
      <c r="B9" s="0" t="n">
        <v>42754.687</v>
      </c>
      <c r="F9" s="0" t="n">
        <v>6898.733</v>
      </c>
      <c r="G9" s="0" t="n">
        <v>16.1</v>
      </c>
      <c r="H9" s="0" t="n">
        <v>9457.229</v>
      </c>
      <c r="I9" s="0" t="n">
        <v>4708.084</v>
      </c>
      <c r="J9" s="0" t="n">
        <v>11</v>
      </c>
      <c r="K9" s="0" t="n">
        <v>0.87</v>
      </c>
      <c r="L9" s="0" t="n">
        <v>7634.465</v>
      </c>
      <c r="M9" s="0" t="n">
        <v>1299.048</v>
      </c>
      <c r="N9" s="0" t="n">
        <v>6335.417</v>
      </c>
      <c r="O9" s="0" t="n">
        <v>10433.794</v>
      </c>
      <c r="P9" s="0" t="n">
        <v>22781.296</v>
      </c>
      <c r="Q9" s="0" t="n">
        <v>12363.8</v>
      </c>
      <c r="R9" s="0" t="n">
        <v>97.549</v>
      </c>
      <c r="S9" s="0" t="n">
        <v>7474.82</v>
      </c>
      <c r="T9" s="0" t="n">
        <v>5415</v>
      </c>
      <c r="U9" s="0" t="n">
        <v>1.368</v>
      </c>
      <c r="AA9" s="0" t="s">
        <v>18</v>
      </c>
      <c r="AB9" s="0" t="s">
        <v>14</v>
      </c>
      <c r="AC9" s="0" t="n">
        <v>891.815</v>
      </c>
    </row>
    <row r="10" customFormat="false" ht="15" hidden="false" customHeight="false" outlineLevel="0" collapsed="false">
      <c r="A10" s="0" t="s">
        <v>75</v>
      </c>
      <c r="B10" s="0" t="n">
        <v>43225.355</v>
      </c>
      <c r="F10" s="0" t="n">
        <v>6049.9</v>
      </c>
      <c r="G10" s="0" t="n">
        <v>14</v>
      </c>
      <c r="H10" s="0" t="n">
        <v>8231.961</v>
      </c>
      <c r="I10" s="0" t="n">
        <v>4049.824</v>
      </c>
      <c r="J10" s="0" t="n">
        <v>9.4</v>
      </c>
      <c r="K10" s="0" t="n">
        <v>0.75</v>
      </c>
      <c r="L10" s="0" t="n">
        <v>5664.189</v>
      </c>
      <c r="M10" s="0" t="n">
        <v>1672.555</v>
      </c>
      <c r="N10" s="0" t="n">
        <v>3991.634</v>
      </c>
      <c r="O10" s="0" t="n">
        <v>10013.932</v>
      </c>
      <c r="P10" s="0" t="n">
        <v>22090.235</v>
      </c>
      <c r="Q10" s="0" t="n">
        <v>12085.1</v>
      </c>
      <c r="R10" s="0" t="n">
        <v>399.183</v>
      </c>
      <c r="S10" s="0" t="n">
        <v>6602.348</v>
      </c>
      <c r="U10" s="0" t="n">
        <v>58.753</v>
      </c>
      <c r="AA10" s="0" t="s">
        <v>18</v>
      </c>
      <c r="AB10" s="0" t="s">
        <v>14</v>
      </c>
      <c r="AC10" s="0" t="n">
        <v>1023.766</v>
      </c>
      <c r="AD10" s="0" t="n">
        <v>-6.7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76</v>
      </c>
      <c r="B1" s="2" t="s">
        <v>77</v>
      </c>
    </row>
    <row r="2" customFormat="false" ht="15" hidden="false" customHeight="false" outlineLevel="0" collapsed="false">
      <c r="A2" s="0" t="s">
        <v>78</v>
      </c>
      <c r="B2" s="3" t="n">
        <v>9.23</v>
      </c>
    </row>
    <row r="3" customFormat="false" ht="15" hidden="false" customHeight="false" outlineLevel="0" collapsed="false">
      <c r="A3" s="0" t="s">
        <v>79</v>
      </c>
      <c r="B3" s="3" t="n">
        <v>5415.478</v>
      </c>
    </row>
    <row r="4" customFormat="false" ht="15" hidden="false" customHeight="false" outlineLevel="0" collapsed="false">
      <c r="A4" s="0" t="s">
        <v>80</v>
      </c>
      <c r="B4" s="3" t="n">
        <v>-6675.6</v>
      </c>
    </row>
    <row r="5" customFormat="false" ht="15" hidden="false" customHeight="false" outlineLevel="0" collapsed="false">
      <c r="A5" s="0" t="s">
        <v>81</v>
      </c>
      <c r="B5" s="3" t="n">
        <v>1632.6</v>
      </c>
    </row>
    <row r="6" customFormat="false" ht="15" hidden="false" customHeight="false" outlineLevel="0" collapsed="false">
      <c r="A6" s="0" t="s">
        <v>82</v>
      </c>
      <c r="B6" s="3" t="n">
        <v>15</v>
      </c>
    </row>
    <row r="7" customFormat="false" ht="15" hidden="false" customHeight="false" outlineLevel="0" collapsed="false">
      <c r="A7" s="0" t="s">
        <v>83</v>
      </c>
      <c r="B7" s="3" t="n">
        <v>43225.355</v>
      </c>
    </row>
    <row r="8" customFormat="false" ht="15" hidden="false" customHeight="false" outlineLevel="0" collapsed="false">
      <c r="A8" s="0" t="s">
        <v>84</v>
      </c>
      <c r="B8" s="3" t="s">
        <v>75</v>
      </c>
    </row>
    <row r="9" customFormat="false" ht="15" hidden="false" customHeight="false" outlineLevel="0" collapsed="false">
      <c r="A9" s="0" t="s">
        <v>85</v>
      </c>
      <c r="B9" s="3" t="s">
        <v>86</v>
      </c>
    </row>
    <row r="10" customFormat="false" ht="15" hidden="false" customHeight="false" outlineLevel="0" collapsed="false">
      <c r="A10" s="0" t="s">
        <v>87</v>
      </c>
      <c r="B10" s="3" t="n">
        <v>1.1747</v>
      </c>
    </row>
    <row r="12" customFormat="false" ht="15" hidden="false" customHeight="false" outlineLevel="0" collapsed="false">
      <c r="A12" s="2" t="s">
        <v>88</v>
      </c>
      <c r="C12" s="2" t="s">
        <v>89</v>
      </c>
      <c r="D12" s="2" t="s">
        <v>90</v>
      </c>
      <c r="E12" s="2" t="s">
        <v>91</v>
      </c>
      <c r="F12" s="2" t="s">
        <v>92</v>
      </c>
      <c r="G12" s="2" t="s">
        <v>93</v>
      </c>
      <c r="H12" s="2" t="s">
        <v>94</v>
      </c>
      <c r="I12" s="2" t="s">
        <v>95</v>
      </c>
      <c r="J12" s="2" t="s">
        <v>96</v>
      </c>
      <c r="K12" s="2" t="s">
        <v>97</v>
      </c>
      <c r="L12" s="2" t="s">
        <v>98</v>
      </c>
    </row>
    <row r="13" customFormat="false" ht="15" hidden="false" customHeight="false" outlineLevel="0" collapsed="false">
      <c r="A13" s="0" t="s">
        <v>99</v>
      </c>
      <c r="C13" s="3" t="n">
        <v>4</v>
      </c>
      <c r="D13" s="3" t="n">
        <v>1</v>
      </c>
      <c r="E13" s="3" t="n">
        <v>0</v>
      </c>
      <c r="F13" s="3" t="n">
        <v>-1</v>
      </c>
      <c r="G13" s="3" t="n">
        <v>0</v>
      </c>
      <c r="H13" s="3" t="n">
        <v>1</v>
      </c>
      <c r="I13" s="3" t="n">
        <v>1</v>
      </c>
      <c r="J13" s="3" t="n">
        <v>1.5</v>
      </c>
      <c r="K13" s="3" t="n">
        <v>1.5</v>
      </c>
      <c r="L13" s="3" t="n">
        <v>1.5</v>
      </c>
    </row>
    <row r="14" customFormat="false" ht="15" hidden="false" customHeight="false" outlineLevel="0" collapsed="false">
      <c r="A14" s="0" t="s">
        <v>100</v>
      </c>
      <c r="C14" s="3" t="n">
        <v>15</v>
      </c>
      <c r="D14" s="3" t="n">
        <v>14.5</v>
      </c>
      <c r="E14" s="3" t="n">
        <v>14</v>
      </c>
      <c r="F14" s="3" t="n">
        <v>13.5</v>
      </c>
      <c r="G14" s="3" t="n">
        <v>13.5</v>
      </c>
      <c r="H14" s="3" t="n">
        <v>13.5</v>
      </c>
      <c r="I14" s="3" t="n">
        <v>13.5</v>
      </c>
      <c r="J14" s="3" t="n">
        <v>13.5</v>
      </c>
      <c r="K14" s="3" t="n">
        <v>13.5</v>
      </c>
      <c r="L14" s="3" t="n">
        <v>13.5</v>
      </c>
    </row>
    <row r="15" customFormat="false" ht="15" hidden="false" customHeight="false" outlineLevel="0" collapsed="false">
      <c r="A15" s="0" t="s">
        <v>101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102</v>
      </c>
      <c r="C16" s="3" t="n">
        <v>2.4</v>
      </c>
      <c r="D16" s="3" t="n">
        <v>2.4</v>
      </c>
      <c r="E16" s="3" t="n">
        <v>2.4</v>
      </c>
      <c r="F16" s="3" t="n">
        <v>2.4</v>
      </c>
      <c r="G16" s="3" t="n">
        <v>2.4</v>
      </c>
      <c r="H16" s="3" t="n">
        <v>2.4</v>
      </c>
      <c r="I16" s="3" t="n">
        <v>2.4</v>
      </c>
      <c r="J16" s="3" t="n">
        <v>2.4</v>
      </c>
      <c r="K16" s="3" t="n">
        <v>2.4</v>
      </c>
      <c r="L16" s="3" t="n">
        <v>2.4</v>
      </c>
    </row>
    <row r="17" customFormat="false" ht="15" hidden="false" customHeight="false" outlineLevel="0" collapsed="false">
      <c r="A17" s="0" t="s">
        <v>103</v>
      </c>
      <c r="C17" s="3" t="n">
        <v>3.4</v>
      </c>
      <c r="D17" s="3" t="n">
        <v>3.4</v>
      </c>
      <c r="E17" s="3" t="n">
        <v>3.3</v>
      </c>
      <c r="F17" s="3" t="n">
        <v>3.2</v>
      </c>
      <c r="G17" s="3" t="n">
        <v>3.1</v>
      </c>
      <c r="H17" s="3" t="n">
        <v>3</v>
      </c>
      <c r="I17" s="3" t="n">
        <v>3</v>
      </c>
      <c r="J17" s="3" t="n">
        <v>3</v>
      </c>
      <c r="K17" s="3" t="n">
        <v>3</v>
      </c>
      <c r="L17" s="3" t="n">
        <v>3</v>
      </c>
    </row>
    <row r="18" customFormat="false" ht="15" hidden="false" customHeight="false" outlineLevel="0" collapsed="false">
      <c r="A18" s="0" t="s">
        <v>104</v>
      </c>
      <c r="C18" s="3" t="n">
        <v>3.5</v>
      </c>
      <c r="D18" s="3" t="n">
        <v>3</v>
      </c>
      <c r="E18" s="3" t="n">
        <v>3</v>
      </c>
      <c r="F18" s="3" t="n">
        <v>3</v>
      </c>
      <c r="G18" s="3" t="n">
        <v>3</v>
      </c>
      <c r="H18" s="3" t="n">
        <v>3</v>
      </c>
      <c r="I18" s="3" t="n">
        <v>3</v>
      </c>
      <c r="J18" s="3" t="n">
        <v>3</v>
      </c>
      <c r="K18" s="3" t="n">
        <v>3</v>
      </c>
      <c r="L18" s="3" t="n">
        <v>3</v>
      </c>
    </row>
    <row r="19" customFormat="false" ht="15" hidden="false" customHeight="false" outlineLevel="0" collapsed="false">
      <c r="A19" s="0" t="s">
        <v>105</v>
      </c>
      <c r="C19" s="3" t="n">
        <v>30</v>
      </c>
      <c r="D19" s="3" t="n">
        <v>30</v>
      </c>
      <c r="E19" s="3" t="n">
        <v>30</v>
      </c>
      <c r="F19" s="3" t="n">
        <v>30</v>
      </c>
      <c r="G19" s="3" t="n">
        <v>30</v>
      </c>
      <c r="H19" s="3" t="n">
        <v>30</v>
      </c>
      <c r="I19" s="3" t="n">
        <v>30</v>
      </c>
      <c r="J19" s="3" t="n">
        <v>30</v>
      </c>
      <c r="K19" s="3" t="n">
        <v>30</v>
      </c>
      <c r="L19" s="3" t="n">
        <v>30</v>
      </c>
    </row>
    <row r="20" customFormat="false" ht="15" hidden="false" customHeight="false" outlineLevel="0" collapsed="false">
      <c r="A20" s="0" t="s">
        <v>106</v>
      </c>
      <c r="B20" s="3" t="n">
        <v>9</v>
      </c>
    </row>
    <row r="21" customFormat="false" ht="15" hidden="false" customHeight="false" outlineLevel="0" collapsed="false">
      <c r="A21" s="0" t="s">
        <v>107</v>
      </c>
      <c r="B21" s="3" t="n">
        <v>2.5</v>
      </c>
    </row>
    <row r="22" customFormat="false" ht="15" hidden="false" customHeight="false" outlineLevel="0" collapsed="false">
      <c r="A22" s="0" t="s">
        <v>108</v>
      </c>
      <c r="B22" s="3" t="n">
        <v>15</v>
      </c>
    </row>
    <row r="23" customFormat="false" ht="15" hidden="false" customHeight="false" outlineLevel="0" collapsed="false">
      <c r="A23" s="0" t="s">
        <v>109</v>
      </c>
      <c r="B23" s="3" t="n">
        <v>0</v>
      </c>
    </row>
    <row r="24" customFormat="false" ht="15" hidden="false" customHeight="false" outlineLevel="0" collapsed="false">
      <c r="A24" s="0" t="s">
        <v>110</v>
      </c>
      <c r="B24" s="3" t="n">
        <v>0.3</v>
      </c>
    </row>
    <row r="26" customFormat="false" ht="15" hidden="false" customHeight="false" outlineLevel="0" collapsed="false">
      <c r="A26" s="2" t="s">
        <v>111</v>
      </c>
      <c r="C26" s="2" t="s">
        <v>89</v>
      </c>
      <c r="D26" s="2" t="s">
        <v>90</v>
      </c>
      <c r="E26" s="2" t="s">
        <v>91</v>
      </c>
      <c r="F26" s="2" t="s">
        <v>92</v>
      </c>
      <c r="G26" s="2" t="s">
        <v>93</v>
      </c>
      <c r="H26" s="2" t="s">
        <v>94</v>
      </c>
      <c r="I26" s="2" t="s">
        <v>95</v>
      </c>
      <c r="J26" s="2" t="s">
        <v>96</v>
      </c>
      <c r="K26" s="2" t="s">
        <v>97</v>
      </c>
      <c r="L26" s="2" t="s">
        <v>98</v>
      </c>
    </row>
    <row r="27" customFormat="false" ht="15" hidden="false" customHeight="false" outlineLevel="0" collapsed="false">
      <c r="A27" s="0" t="s">
        <v>99</v>
      </c>
      <c r="C27" s="3" t="n">
        <v>6</v>
      </c>
      <c r="D27" s="3" t="n">
        <v>5</v>
      </c>
      <c r="E27" s="3" t="n">
        <v>4.5</v>
      </c>
      <c r="F27" s="3" t="n">
        <v>4</v>
      </c>
      <c r="G27" s="3" t="n">
        <v>3.5</v>
      </c>
      <c r="H27" s="3" t="n">
        <v>3</v>
      </c>
      <c r="I27" s="3" t="n">
        <v>3</v>
      </c>
      <c r="J27" s="3" t="n">
        <v>2.5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100</v>
      </c>
      <c r="C28" s="3" t="n">
        <v>15.8</v>
      </c>
      <c r="D28" s="3" t="n">
        <v>16</v>
      </c>
      <c r="E28" s="3" t="n">
        <v>16.2</v>
      </c>
      <c r="F28" s="3" t="n">
        <v>16.4</v>
      </c>
      <c r="G28" s="3" t="n">
        <v>16.5</v>
      </c>
      <c r="H28" s="3" t="n">
        <v>16.5</v>
      </c>
      <c r="I28" s="3" t="n">
        <v>16.5</v>
      </c>
      <c r="J28" s="3" t="n">
        <v>16.5</v>
      </c>
      <c r="K28" s="3" t="n">
        <v>16.5</v>
      </c>
      <c r="L28" s="3" t="n">
        <v>16.5</v>
      </c>
    </row>
    <row r="29" customFormat="false" ht="15" hidden="false" customHeight="false" outlineLevel="0" collapsed="false">
      <c r="A29" s="0" t="s">
        <v>101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102</v>
      </c>
      <c r="C30" s="3" t="n">
        <v>2.4</v>
      </c>
      <c r="D30" s="3" t="n">
        <v>2.4</v>
      </c>
      <c r="E30" s="3" t="n">
        <v>2.4</v>
      </c>
      <c r="F30" s="3" t="n">
        <v>2.4</v>
      </c>
      <c r="G30" s="3" t="n">
        <v>2.4</v>
      </c>
      <c r="H30" s="3" t="n">
        <v>2.4</v>
      </c>
      <c r="I30" s="3" t="n">
        <v>2.4</v>
      </c>
      <c r="J30" s="3" t="n">
        <v>2.4</v>
      </c>
      <c r="K30" s="3" t="n">
        <v>2.4</v>
      </c>
      <c r="L30" s="3" t="n">
        <v>2.4</v>
      </c>
    </row>
    <row r="31" customFormat="false" ht="15" hidden="false" customHeight="false" outlineLevel="0" collapsed="false">
      <c r="A31" s="0" t="s">
        <v>103</v>
      </c>
      <c r="C31" s="3" t="n">
        <v>3.3</v>
      </c>
      <c r="D31" s="3" t="n">
        <v>3.3</v>
      </c>
      <c r="E31" s="3" t="n">
        <v>3.4</v>
      </c>
      <c r="F31" s="3" t="n">
        <v>3.4</v>
      </c>
      <c r="G31" s="3" t="n">
        <v>3.5</v>
      </c>
      <c r="H31" s="3" t="n">
        <v>3.5</v>
      </c>
      <c r="I31" s="3" t="n">
        <v>3.5</v>
      </c>
      <c r="J31" s="3" t="n">
        <v>3.5</v>
      </c>
      <c r="K31" s="3" t="n">
        <v>3.4</v>
      </c>
      <c r="L31" s="3" t="n">
        <v>3.4</v>
      </c>
    </row>
    <row r="32" customFormat="false" ht="15" hidden="false" customHeight="false" outlineLevel="0" collapsed="false">
      <c r="A32" s="0" t="s">
        <v>104</v>
      </c>
      <c r="C32" s="3" t="n">
        <v>4</v>
      </c>
      <c r="D32" s="3" t="n">
        <v>4.5</v>
      </c>
      <c r="E32" s="3" t="n">
        <v>4.5</v>
      </c>
      <c r="F32" s="3" t="n">
        <v>4.2</v>
      </c>
      <c r="G32" s="3" t="n">
        <v>4</v>
      </c>
      <c r="H32" s="3" t="n">
        <v>4</v>
      </c>
      <c r="I32" s="3" t="n">
        <v>3.8</v>
      </c>
      <c r="J32" s="3" t="n">
        <v>3.8</v>
      </c>
      <c r="K32" s="3" t="n">
        <v>3.7</v>
      </c>
      <c r="L32" s="3" t="n">
        <v>3.7</v>
      </c>
    </row>
    <row r="33" customFormat="false" ht="15" hidden="false" customHeight="false" outlineLevel="0" collapsed="false">
      <c r="A33" s="0" t="s">
        <v>105</v>
      </c>
      <c r="C33" s="3" t="n">
        <v>30</v>
      </c>
      <c r="D33" s="3" t="n">
        <v>30</v>
      </c>
      <c r="E33" s="3" t="n">
        <v>30</v>
      </c>
      <c r="F33" s="3" t="n">
        <v>30</v>
      </c>
      <c r="G33" s="3" t="n">
        <v>30</v>
      </c>
      <c r="H33" s="3" t="n">
        <v>30</v>
      </c>
      <c r="I33" s="3" t="n">
        <v>30</v>
      </c>
      <c r="J33" s="3" t="n">
        <v>30</v>
      </c>
      <c r="K33" s="3" t="n">
        <v>30</v>
      </c>
      <c r="L33" s="3" t="n">
        <v>30</v>
      </c>
    </row>
    <row r="34" customFormat="false" ht="15" hidden="false" customHeight="false" outlineLevel="0" collapsed="false">
      <c r="A34" s="0" t="s">
        <v>106</v>
      </c>
      <c r="B34" s="3" t="n">
        <v>9</v>
      </c>
    </row>
    <row r="35" customFormat="false" ht="15" hidden="false" customHeight="false" outlineLevel="0" collapsed="false">
      <c r="A35" s="0" t="s">
        <v>107</v>
      </c>
      <c r="B35" s="3" t="n">
        <v>2.5</v>
      </c>
    </row>
    <row r="36" customFormat="false" ht="15" hidden="false" customHeight="false" outlineLevel="0" collapsed="false">
      <c r="A36" s="0" t="s">
        <v>108</v>
      </c>
      <c r="B36" s="3" t="n">
        <v>15</v>
      </c>
    </row>
    <row r="37" customFormat="false" ht="15" hidden="false" customHeight="false" outlineLevel="0" collapsed="false">
      <c r="A37" s="0" t="s">
        <v>109</v>
      </c>
      <c r="B37" s="3" t="n">
        <v>0</v>
      </c>
    </row>
    <row r="38" customFormat="false" ht="15" hidden="false" customHeight="false" outlineLevel="0" collapsed="false">
      <c r="A38" s="0" t="s">
        <v>110</v>
      </c>
      <c r="B38" s="3" t="n">
        <v>0.5</v>
      </c>
    </row>
    <row r="40" customFormat="false" ht="15" hidden="false" customHeight="false" outlineLevel="0" collapsed="false">
      <c r="A40" s="2" t="s">
        <v>112</v>
      </c>
      <c r="C40" s="2" t="s">
        <v>89</v>
      </c>
      <c r="D40" s="2" t="s">
        <v>90</v>
      </c>
      <c r="E40" s="2" t="s">
        <v>91</v>
      </c>
      <c r="F40" s="2" t="s">
        <v>92</v>
      </c>
      <c r="G40" s="2" t="s">
        <v>93</v>
      </c>
      <c r="H40" s="2" t="s">
        <v>94</v>
      </c>
      <c r="I40" s="2" t="s">
        <v>95</v>
      </c>
      <c r="J40" s="2" t="s">
        <v>96</v>
      </c>
      <c r="K40" s="2" t="s">
        <v>97</v>
      </c>
      <c r="L40" s="2" t="s">
        <v>98</v>
      </c>
    </row>
    <row r="41" customFormat="false" ht="15" hidden="false" customHeight="false" outlineLevel="0" collapsed="false">
      <c r="A41" s="0" t="s">
        <v>99</v>
      </c>
      <c r="C41" s="3" t="n">
        <v>8</v>
      </c>
      <c r="D41" s="3" t="n">
        <v>8</v>
      </c>
      <c r="E41" s="3" t="n">
        <v>7</v>
      </c>
      <c r="F41" s="3" t="n">
        <v>6</v>
      </c>
      <c r="G41" s="3" t="n">
        <v>5</v>
      </c>
      <c r="H41" s="3" t="n">
        <v>4.5</v>
      </c>
      <c r="I41" s="3" t="n">
        <v>4</v>
      </c>
      <c r="J41" s="3" t="n">
        <v>3.5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100</v>
      </c>
      <c r="C42" s="3" t="n">
        <v>16.5</v>
      </c>
      <c r="D42" s="3" t="n">
        <v>17</v>
      </c>
      <c r="E42" s="3" t="n">
        <v>17.5</v>
      </c>
      <c r="F42" s="3" t="n">
        <v>18</v>
      </c>
      <c r="G42" s="3" t="n">
        <v>18.5</v>
      </c>
      <c r="H42" s="3" t="n">
        <v>18.5</v>
      </c>
      <c r="I42" s="3" t="n">
        <v>18.5</v>
      </c>
      <c r="J42" s="3" t="n">
        <v>18.5</v>
      </c>
      <c r="K42" s="3" t="n">
        <v>18.5</v>
      </c>
      <c r="L42" s="3" t="n">
        <v>18.5</v>
      </c>
    </row>
    <row r="43" customFormat="false" ht="15" hidden="false" customHeight="false" outlineLevel="0" collapsed="false">
      <c r="A43" s="0" t="s">
        <v>101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102</v>
      </c>
      <c r="C44" s="3" t="n">
        <v>2.4</v>
      </c>
      <c r="D44" s="3" t="n">
        <v>2.4</v>
      </c>
      <c r="E44" s="3" t="n">
        <v>2.4</v>
      </c>
      <c r="F44" s="3" t="n">
        <v>2.4</v>
      </c>
      <c r="G44" s="3" t="n">
        <v>2.4</v>
      </c>
      <c r="H44" s="3" t="n">
        <v>2.4</v>
      </c>
      <c r="I44" s="3" t="n">
        <v>2.4</v>
      </c>
      <c r="J44" s="3" t="n">
        <v>2.4</v>
      </c>
      <c r="K44" s="3" t="n">
        <v>2.4</v>
      </c>
      <c r="L44" s="3" t="n">
        <v>2.4</v>
      </c>
    </row>
    <row r="45" customFormat="false" ht="15" hidden="false" customHeight="false" outlineLevel="0" collapsed="false">
      <c r="A45" s="0" t="s">
        <v>103</v>
      </c>
      <c r="C45" s="3" t="n">
        <v>3.3</v>
      </c>
      <c r="D45" s="3" t="n">
        <v>3.4</v>
      </c>
      <c r="E45" s="3" t="n">
        <v>3.5</v>
      </c>
      <c r="F45" s="3" t="n">
        <v>3.6</v>
      </c>
      <c r="G45" s="3" t="n">
        <v>3.7</v>
      </c>
      <c r="H45" s="3" t="n">
        <v>3.7</v>
      </c>
      <c r="I45" s="3" t="n">
        <v>3.7</v>
      </c>
      <c r="J45" s="3" t="n">
        <v>3.7</v>
      </c>
      <c r="K45" s="3" t="n">
        <v>3.6</v>
      </c>
      <c r="L45" s="3" t="n">
        <v>3.6</v>
      </c>
    </row>
    <row r="46" customFormat="false" ht="15" hidden="false" customHeight="false" outlineLevel="0" collapsed="false">
      <c r="A46" s="0" t="s">
        <v>104</v>
      </c>
      <c r="C46" s="3" t="n">
        <v>4.5</v>
      </c>
      <c r="D46" s="3" t="n">
        <v>5</v>
      </c>
      <c r="E46" s="3" t="n">
        <v>5</v>
      </c>
      <c r="F46" s="3" t="n">
        <v>4.8</v>
      </c>
      <c r="G46" s="3" t="n">
        <v>4.5</v>
      </c>
      <c r="H46" s="3" t="n">
        <v>4.2</v>
      </c>
      <c r="I46" s="3" t="n">
        <v>4</v>
      </c>
      <c r="J46" s="3" t="n">
        <v>4</v>
      </c>
      <c r="K46" s="3" t="n">
        <v>3.9</v>
      </c>
      <c r="L46" s="3" t="n">
        <v>3.9</v>
      </c>
    </row>
    <row r="47" customFormat="false" ht="15" hidden="false" customHeight="false" outlineLevel="0" collapsed="false">
      <c r="A47" s="0" t="s">
        <v>105</v>
      </c>
      <c r="C47" s="3" t="n">
        <v>30</v>
      </c>
      <c r="D47" s="3" t="n">
        <v>30</v>
      </c>
      <c r="E47" s="3" t="n">
        <v>30</v>
      </c>
      <c r="F47" s="3" t="n">
        <v>30</v>
      </c>
      <c r="G47" s="3" t="n">
        <v>30</v>
      </c>
      <c r="H47" s="3" t="n">
        <v>30</v>
      </c>
      <c r="I47" s="3" t="n">
        <v>30</v>
      </c>
      <c r="J47" s="3" t="n">
        <v>30</v>
      </c>
      <c r="K47" s="3" t="n">
        <v>30</v>
      </c>
      <c r="L47" s="3" t="n">
        <v>30</v>
      </c>
    </row>
    <row r="48" customFormat="false" ht="15" hidden="false" customHeight="false" outlineLevel="0" collapsed="false">
      <c r="A48" s="0" t="s">
        <v>106</v>
      </c>
      <c r="B48" s="3" t="n">
        <v>9</v>
      </c>
    </row>
    <row r="49" customFormat="false" ht="15" hidden="false" customHeight="false" outlineLevel="0" collapsed="false">
      <c r="A49" s="0" t="s">
        <v>107</v>
      </c>
      <c r="B49" s="3" t="n">
        <v>2.5</v>
      </c>
    </row>
    <row r="50" customFormat="false" ht="15" hidden="false" customHeight="false" outlineLevel="0" collapsed="false">
      <c r="A50" s="0" t="s">
        <v>108</v>
      </c>
      <c r="B50" s="3" t="n">
        <v>15</v>
      </c>
    </row>
    <row r="51" customFormat="false" ht="15" hidden="false" customHeight="false" outlineLevel="0" collapsed="false">
      <c r="A51" s="0" t="s">
        <v>109</v>
      </c>
      <c r="B51" s="3" t="n">
        <v>5</v>
      </c>
    </row>
    <row r="52" customFormat="false" ht="15" hidden="false" customHeight="false" outlineLevel="0" collapsed="false">
      <c r="A52" s="0" t="s">
        <v>110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113</v>
      </c>
    </row>
    <row r="3" customFormat="false" ht="15" hidden="false" customHeight="false" outlineLevel="0" collapsed="false">
      <c r="A3" s="0" t="s">
        <v>114</v>
      </c>
      <c r="B3" s="0" t="s">
        <v>75</v>
      </c>
      <c r="C3" s="2" t="s">
        <v>89</v>
      </c>
      <c r="D3" s="2" t="s">
        <v>90</v>
      </c>
      <c r="E3" s="2" t="s">
        <v>91</v>
      </c>
      <c r="F3" s="2" t="s">
        <v>92</v>
      </c>
      <c r="G3" s="2" t="s">
        <v>93</v>
      </c>
      <c r="H3" s="2" t="s">
        <v>94</v>
      </c>
      <c r="I3" s="2" t="s">
        <v>95</v>
      </c>
      <c r="J3" s="2" t="s">
        <v>96</v>
      </c>
      <c r="K3" s="2" t="s">
        <v>97</v>
      </c>
      <c r="L3" s="2" t="s">
        <v>98</v>
      </c>
    </row>
    <row r="4" customFormat="false" ht="15" hidden="false" customHeight="false" outlineLevel="0" collapsed="false">
      <c r="A4" s="0" t="s">
        <v>115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99</v>
      </c>
      <c r="C5" s="4" t="n">
        <f aca="false">Assumptions!C13</f>
        <v>4</v>
      </c>
      <c r="D5" s="4" t="n">
        <f aca="false">Assumptions!D13</f>
        <v>1</v>
      </c>
      <c r="E5" s="4" t="n">
        <f aca="false">Assumptions!E13</f>
        <v>0</v>
      </c>
      <c r="F5" s="4" t="n">
        <f aca="false">Assumptions!F13</f>
        <v>-1</v>
      </c>
      <c r="G5" s="4" t="n">
        <f aca="false">Assumptions!G13</f>
        <v>0</v>
      </c>
      <c r="H5" s="4" t="n">
        <f aca="false">Assumptions!H13</f>
        <v>1</v>
      </c>
      <c r="I5" s="4" t="n">
        <f aca="false">Assumptions!I13</f>
        <v>1</v>
      </c>
      <c r="J5" s="4" t="n">
        <f aca="false">Assumptions!J13</f>
        <v>1.5</v>
      </c>
      <c r="K5" s="4" t="n">
        <f aca="false">Assumptions!K13</f>
        <v>1.5</v>
      </c>
      <c r="L5" s="4" t="n">
        <f aca="false">Assumptions!L13</f>
        <v>1.5</v>
      </c>
    </row>
    <row r="6" customFormat="false" ht="15" hidden="false" customHeight="false" outlineLevel="0" collapsed="false">
      <c r="A6" s="0" t="s">
        <v>38</v>
      </c>
      <c r="B6" s="3" t="n">
        <v>43225.355</v>
      </c>
      <c r="C6" s="0" t="n">
        <f aca="false">B6*(1+C5/100)</f>
        <v>44954.3692</v>
      </c>
      <c r="D6" s="0" t="n">
        <f aca="false">C6*(1+D5/100)</f>
        <v>45403.912892</v>
      </c>
      <c r="E6" s="0" t="n">
        <f aca="false">D6*(1+E5/100)</f>
        <v>45403.912892</v>
      </c>
      <c r="F6" s="0" t="n">
        <f aca="false">E6*(1+F5/100)</f>
        <v>44949.87376308</v>
      </c>
      <c r="G6" s="0" t="n">
        <f aca="false">F6*(1+G5/100)</f>
        <v>44949.87376308</v>
      </c>
      <c r="H6" s="0" t="n">
        <f aca="false">G6*(1+H5/100)</f>
        <v>45399.3725007108</v>
      </c>
      <c r="I6" s="0" t="n">
        <f aca="false">H6*(1+I5/100)</f>
        <v>45853.3662257179</v>
      </c>
      <c r="J6" s="0" t="n">
        <f aca="false">I6*(1+J5/100)</f>
        <v>46541.1667191037</v>
      </c>
      <c r="K6" s="0" t="n">
        <f aca="false">J6*(1+K5/100)</f>
        <v>47239.2842198902</v>
      </c>
      <c r="L6" s="0" t="n">
        <f aca="false">K6*(1+L5/100)</f>
        <v>47947.8734831886</v>
      </c>
    </row>
    <row r="7" customFormat="false" ht="15" hidden="false" customHeight="false" outlineLevel="0" collapsed="false">
      <c r="A7" s="0" t="s">
        <v>100</v>
      </c>
      <c r="C7" s="4" t="n">
        <f aca="false">Assumptions!C14</f>
        <v>15</v>
      </c>
      <c r="D7" s="4" t="n">
        <f aca="false">Assumptions!D14</f>
        <v>14.5</v>
      </c>
      <c r="E7" s="4" t="n">
        <f aca="false">Assumptions!E14</f>
        <v>14</v>
      </c>
      <c r="F7" s="4" t="n">
        <f aca="false">Assumptions!F14</f>
        <v>13.5</v>
      </c>
      <c r="G7" s="4" t="n">
        <f aca="false">Assumptions!G14</f>
        <v>13.5</v>
      </c>
      <c r="H7" s="4" t="n">
        <f aca="false">Assumptions!H14</f>
        <v>13.5</v>
      </c>
      <c r="I7" s="4" t="n">
        <f aca="false">Assumptions!I14</f>
        <v>13.5</v>
      </c>
      <c r="J7" s="4" t="n">
        <f aca="false">Assumptions!J14</f>
        <v>13.5</v>
      </c>
      <c r="K7" s="4" t="n">
        <f aca="false">Assumptions!K14</f>
        <v>13.5</v>
      </c>
      <c r="L7" s="4" t="n">
        <f aca="false">Assumptions!L14</f>
        <v>13.5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6743.15538</v>
      </c>
      <c r="D8" s="0" t="n">
        <f aca="false">D6*D7/100</f>
        <v>6583.56736934</v>
      </c>
      <c r="E8" s="0" t="n">
        <f aca="false">E6*E7/100</f>
        <v>6356.54780488</v>
      </c>
      <c r="F8" s="0" t="n">
        <f aca="false">F6*F7/100</f>
        <v>6068.2329580158</v>
      </c>
      <c r="G8" s="0" t="n">
        <f aca="false">G6*G7/100</f>
        <v>6068.2329580158</v>
      </c>
      <c r="H8" s="0" t="n">
        <f aca="false">H6*H7/100</f>
        <v>6128.91528759596</v>
      </c>
      <c r="I8" s="0" t="n">
        <f aca="false">I6*I7/100</f>
        <v>6190.20444047192</v>
      </c>
      <c r="J8" s="0" t="n">
        <f aca="false">J6*J7/100</f>
        <v>6283.057507079</v>
      </c>
      <c r="K8" s="0" t="n">
        <f aca="false">K6*K7/100</f>
        <v>6377.30336968518</v>
      </c>
      <c r="L8" s="0" t="n">
        <f aca="false">L6*L7/100</f>
        <v>6472.96292023046</v>
      </c>
    </row>
    <row r="9" customFormat="false" ht="15" hidden="false" customHeight="false" outlineLevel="0" collapsed="false">
      <c r="A9" s="0" t="s">
        <v>101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116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117</v>
      </c>
      <c r="C11" s="0" t="n">
        <f aca="false">C8+C10+C24</f>
        <v>5664.2505192</v>
      </c>
      <c r="D11" s="0" t="n">
        <f aca="false">D8+D10+D24</f>
        <v>5493.873459932</v>
      </c>
      <c r="E11" s="0" t="n">
        <f aca="false">E8+E10+E24</f>
        <v>5266.853895472</v>
      </c>
      <c r="F11" s="0" t="n">
        <f aca="false">F8+F10+F24</f>
        <v>4989.43598770188</v>
      </c>
      <c r="G11" s="0" t="n">
        <f aca="false">G8+G10+G24</f>
        <v>4989.43598770188</v>
      </c>
      <c r="H11" s="0" t="n">
        <f aca="false">H8+H10+H24</f>
        <v>5039.3303475789</v>
      </c>
      <c r="I11" s="0" t="n">
        <f aca="false">I8+I10+I24</f>
        <v>5089.72365105469</v>
      </c>
      <c r="J11" s="0" t="n">
        <f aca="false">J8+J10+J24</f>
        <v>5166.06950582051</v>
      </c>
      <c r="K11" s="0" t="n">
        <f aca="false">K8+K10+K24</f>
        <v>5243.56054840782</v>
      </c>
      <c r="L11" s="0" t="n">
        <f aca="false">L8+L10+L24</f>
        <v>5322.21395663393</v>
      </c>
    </row>
    <row r="12" customFormat="false" ht="15" hidden="false" customHeight="false" outlineLevel="0" collapsed="false">
      <c r="A12" s="0" t="s">
        <v>118</v>
      </c>
      <c r="C12" s="4" t="n">
        <f aca="false">-C6*Assumptions!C17/100</f>
        <v>-1528.4485528</v>
      </c>
      <c r="D12" s="4" t="n">
        <f aca="false">-D6*Assumptions!D17/100</f>
        <v>-1543.733038328</v>
      </c>
      <c r="E12" s="4" t="n">
        <f aca="false">-E6*Assumptions!E17/100</f>
        <v>-1498.329125436</v>
      </c>
      <c r="F12" s="4" t="n">
        <f aca="false">-F6*Assumptions!F17/100</f>
        <v>-1438.39596041856</v>
      </c>
      <c r="G12" s="4" t="n">
        <f aca="false">-G6*Assumptions!G17/100</f>
        <v>-1393.44608665548</v>
      </c>
      <c r="H12" s="4" t="n">
        <f aca="false">-H6*Assumptions!H17/100</f>
        <v>-1361.98117502132</v>
      </c>
      <c r="I12" s="4" t="n">
        <f aca="false">-I6*Assumptions!I17/100</f>
        <v>-1375.60098677154</v>
      </c>
      <c r="J12" s="4" t="n">
        <f aca="false">-J6*Assumptions!J17/100</f>
        <v>-1396.23500157311</v>
      </c>
      <c r="K12" s="4" t="n">
        <f aca="false">-K6*Assumptions!K17/100</f>
        <v>-1417.17852659671</v>
      </c>
      <c r="L12" s="4" t="n">
        <f aca="false">-L6*Assumptions!L17/100</f>
        <v>-1438.43620449566</v>
      </c>
    </row>
    <row r="13" customFormat="false" ht="15" hidden="false" customHeight="false" outlineLevel="0" collapsed="false">
      <c r="A13" s="0" t="s">
        <v>119</v>
      </c>
      <c r="C13" s="0" t="n">
        <f aca="false">C11+C12</f>
        <v>4135.8019664</v>
      </c>
      <c r="D13" s="0" t="n">
        <f aca="false">D11+D12</f>
        <v>3950.140421604</v>
      </c>
      <c r="E13" s="0" t="n">
        <f aca="false">E11+E12</f>
        <v>3768.524770036</v>
      </c>
      <c r="F13" s="0" t="n">
        <f aca="false">F11+F12</f>
        <v>3551.04002728332</v>
      </c>
      <c r="G13" s="0" t="n">
        <f aca="false">G11+G12</f>
        <v>3595.9899010464</v>
      </c>
      <c r="H13" s="0" t="n">
        <f aca="false">H11+H12</f>
        <v>3677.34917255758</v>
      </c>
      <c r="I13" s="0" t="n">
        <f aca="false">I11+I12</f>
        <v>3714.12266428315</v>
      </c>
      <c r="J13" s="0" t="n">
        <f aca="false">J11+J12</f>
        <v>3769.8345042474</v>
      </c>
      <c r="K13" s="0" t="n">
        <f aca="false">K11+K12</f>
        <v>3826.38202181111</v>
      </c>
      <c r="L13" s="0" t="n">
        <f aca="false">L11+L12</f>
        <v>3883.77775213828</v>
      </c>
    </row>
    <row r="14" customFormat="false" ht="15" hidden="false" customHeight="false" outlineLevel="0" collapsed="false">
      <c r="A14" s="0" t="s">
        <v>105</v>
      </c>
      <c r="C14" s="4" t="n">
        <f aca="false">Assumptions!C19</f>
        <v>30</v>
      </c>
      <c r="D14" s="4" t="n">
        <f aca="false">Assumptions!D19</f>
        <v>30</v>
      </c>
      <c r="E14" s="4" t="n">
        <f aca="false">Assumptions!E19</f>
        <v>30</v>
      </c>
      <c r="F14" s="4" t="n">
        <f aca="false">Assumptions!F19</f>
        <v>30</v>
      </c>
      <c r="G14" s="4" t="n">
        <f aca="false">Assumptions!G19</f>
        <v>30</v>
      </c>
      <c r="H14" s="4" t="n">
        <f aca="false">Assumptions!H19</f>
        <v>30</v>
      </c>
      <c r="I14" s="4" t="n">
        <f aca="false">Assumptions!I19</f>
        <v>30</v>
      </c>
      <c r="J14" s="4" t="n">
        <f aca="false">Assumptions!J19</f>
        <v>30</v>
      </c>
      <c r="K14" s="4" t="n">
        <f aca="false">Assumptions!K19</f>
        <v>30</v>
      </c>
      <c r="L14" s="4" t="n">
        <f aca="false">Assumptions!L19</f>
        <v>30</v>
      </c>
    </row>
    <row r="15" customFormat="false" ht="15" hidden="false" customHeight="false" outlineLevel="0" collapsed="false">
      <c r="A15" s="0" t="s">
        <v>120</v>
      </c>
      <c r="C15" s="0" t="n">
        <f aca="false">C13-MAX(0,C13)*C14/100</f>
        <v>2895.06137648</v>
      </c>
      <c r="D15" s="0" t="n">
        <f aca="false">D13-MAX(0,D13)*D14/100</f>
        <v>2765.0982951228</v>
      </c>
      <c r="E15" s="0" t="n">
        <f aca="false">E13-MAX(0,E13)*E14/100</f>
        <v>2637.9673390252</v>
      </c>
      <c r="F15" s="0" t="n">
        <f aca="false">F13-MAX(0,F13)*F14/100</f>
        <v>2485.72801909832</v>
      </c>
      <c r="G15" s="0" t="n">
        <f aca="false">G13-MAX(0,G13)*G14/100</f>
        <v>2517.19293073248</v>
      </c>
      <c r="H15" s="0" t="n">
        <f aca="false">H13-MAX(0,H13)*H14/100</f>
        <v>2574.1444207903</v>
      </c>
      <c r="I15" s="0" t="n">
        <f aca="false">I13-MAX(0,I13)*I14/100</f>
        <v>2599.88586499821</v>
      </c>
      <c r="J15" s="0" t="n">
        <f aca="false">J13-MAX(0,J13)*J14/100</f>
        <v>2638.88415297318</v>
      </c>
      <c r="K15" s="0" t="n">
        <f aca="false">K13-MAX(0,K13)*K14/100</f>
        <v>2678.46741526778</v>
      </c>
      <c r="L15" s="0" t="n">
        <f aca="false">L13-MAX(0,L13)*L14/100</f>
        <v>2718.64442649679</v>
      </c>
    </row>
    <row r="16" customFormat="false" ht="15" hidden="false" customHeight="false" outlineLevel="0" collapsed="false">
      <c r="A16" s="0" t="s">
        <v>121</v>
      </c>
      <c r="C16" s="0" t="n">
        <f aca="false">-C12</f>
        <v>1528.4485528</v>
      </c>
      <c r="D16" s="0" t="n">
        <f aca="false">-D12</f>
        <v>1543.733038328</v>
      </c>
      <c r="E16" s="0" t="n">
        <f aca="false">-E12</f>
        <v>1498.329125436</v>
      </c>
      <c r="F16" s="0" t="n">
        <f aca="false">-F12</f>
        <v>1438.39596041856</v>
      </c>
      <c r="G16" s="0" t="n">
        <f aca="false">-G12</f>
        <v>1393.44608665548</v>
      </c>
      <c r="H16" s="0" t="n">
        <f aca="false">-H12</f>
        <v>1361.98117502132</v>
      </c>
      <c r="I16" s="0" t="n">
        <f aca="false">-I12</f>
        <v>1375.60098677154</v>
      </c>
      <c r="J16" s="0" t="n">
        <f aca="false">-J12</f>
        <v>1396.23500157311</v>
      </c>
      <c r="K16" s="0" t="n">
        <f aca="false">-K12</f>
        <v>1417.17852659671</v>
      </c>
      <c r="L16" s="0" t="n">
        <f aca="false">-L12</f>
        <v>1438.43620449566</v>
      </c>
    </row>
    <row r="17" customFormat="false" ht="15" hidden="false" customHeight="false" outlineLevel="0" collapsed="false">
      <c r="A17" s="0" t="s">
        <v>122</v>
      </c>
      <c r="C17" s="4" t="n">
        <f aca="false">-C6*Assumptions!C18/100</f>
        <v>-1573.402922</v>
      </c>
      <c r="D17" s="4" t="n">
        <f aca="false">-D6*Assumptions!D18/100</f>
        <v>-1362.11738676</v>
      </c>
      <c r="E17" s="4" t="n">
        <f aca="false">-E6*Assumptions!E18/100</f>
        <v>-1362.11738676</v>
      </c>
      <c r="F17" s="4" t="n">
        <f aca="false">-F6*Assumptions!F18/100</f>
        <v>-1348.4962128924</v>
      </c>
      <c r="G17" s="4" t="n">
        <f aca="false">-G6*Assumptions!G18/100</f>
        <v>-1348.4962128924</v>
      </c>
      <c r="H17" s="4" t="n">
        <f aca="false">-H6*Assumptions!H18/100</f>
        <v>-1361.98117502132</v>
      </c>
      <c r="I17" s="4" t="n">
        <f aca="false">-I6*Assumptions!I18/100</f>
        <v>-1375.60098677154</v>
      </c>
      <c r="J17" s="4" t="n">
        <f aca="false">-J6*Assumptions!J18/100</f>
        <v>-1396.23500157311</v>
      </c>
      <c r="K17" s="4" t="n">
        <f aca="false">-K6*Assumptions!K18/100</f>
        <v>-1417.17852659671</v>
      </c>
      <c r="L17" s="4" t="n">
        <f aca="false">-L6*Assumptions!L18/100</f>
        <v>-1438.43620449566</v>
      </c>
    </row>
    <row r="18" customFormat="false" ht="15" hidden="false" customHeight="false" outlineLevel="0" collapsed="false">
      <c r="A18" s="0" t="s">
        <v>123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-0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124</v>
      </c>
      <c r="C19" s="0" t="n">
        <f aca="false">C15+C16+C17+C18</f>
        <v>2850.10700728</v>
      </c>
      <c r="D19" s="0" t="n">
        <f aca="false">D15+D16+D17+D18</f>
        <v>2946.7139466908</v>
      </c>
      <c r="E19" s="0" t="n">
        <f aca="false">E15+E16+E17+E18</f>
        <v>2774.1790777012</v>
      </c>
      <c r="F19" s="0" t="n">
        <f aca="false">F15+F16+F17+F18</f>
        <v>2575.62776662448</v>
      </c>
      <c r="G19" s="0" t="n">
        <f aca="false">G15+G16+G17+G18</f>
        <v>2562.14280449556</v>
      </c>
      <c r="H19" s="0" t="n">
        <f aca="false">H15+H16+H17+H18</f>
        <v>2574.1444207903</v>
      </c>
      <c r="I19" s="0" t="n">
        <f aca="false">I15+I16+I17+I18</f>
        <v>2599.88586499821</v>
      </c>
      <c r="J19" s="0" t="n">
        <f aca="false">J15+J16+J17+J18</f>
        <v>2638.88415297318</v>
      </c>
      <c r="K19" s="0" t="n">
        <f aca="false">K15+K16+K17+K18</f>
        <v>2678.46741526778</v>
      </c>
      <c r="L19" s="0" t="n">
        <f aca="false">L15+L16+L17+L18</f>
        <v>2718.64442649679</v>
      </c>
    </row>
    <row r="20" customFormat="false" ht="15" hidden="false" customHeight="false" outlineLevel="0" collapsed="false">
      <c r="A20" s="0" t="s">
        <v>125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126</v>
      </c>
      <c r="C21" s="0" t="n">
        <f aca="false">C19*C20</f>
        <v>2614.77707089908</v>
      </c>
      <c r="D21" s="0" t="n">
        <f aca="false">D19*D20</f>
        <v>2480.19017480919</v>
      </c>
      <c r="E21" s="0" t="n">
        <f aca="false">E19*E20</f>
        <v>2142.17525453191</v>
      </c>
      <c r="F21" s="0" t="n">
        <f aca="false">F19*F20</f>
        <v>1824.63964419633</v>
      </c>
      <c r="G21" s="0" t="n">
        <f aca="false">G19*G20</f>
        <v>1665.21702482013</v>
      </c>
      <c r="H21" s="0" t="n">
        <f aca="false">H19*H20</f>
        <v>1534.87821278568</v>
      </c>
      <c r="I21" s="0" t="n">
        <f aca="false">I19*I20</f>
        <v>1422.22660083811</v>
      </c>
      <c r="J21" s="0" t="n">
        <f aca="false">J19*J20</f>
        <v>1324.36697234007</v>
      </c>
      <c r="K21" s="0" t="n">
        <f aca="false">K19*K20</f>
        <v>1233.24080451851</v>
      </c>
      <c r="L21" s="0" t="n">
        <f aca="false">L19*L20</f>
        <v>1148.38478585898</v>
      </c>
    </row>
    <row r="23" customFormat="false" ht="15" hidden="false" customHeight="false" outlineLevel="0" collapsed="false">
      <c r="A23" s="0" t="s">
        <v>102</v>
      </c>
      <c r="C23" s="4" t="n">
        <f aca="false">Assumptions!C16</f>
        <v>2.4</v>
      </c>
      <c r="D23" s="4" t="n">
        <f aca="false">Assumptions!D16</f>
        <v>2.4</v>
      </c>
      <c r="E23" s="4" t="n">
        <f aca="false">Assumptions!E16</f>
        <v>2.4</v>
      </c>
      <c r="F23" s="4" t="n">
        <f aca="false">Assumptions!F16</f>
        <v>2.4</v>
      </c>
      <c r="G23" s="4" t="n">
        <f aca="false">Assumptions!G16</f>
        <v>2.4</v>
      </c>
      <c r="H23" s="4" t="n">
        <f aca="false">Assumptions!H16</f>
        <v>2.4</v>
      </c>
      <c r="I23" s="4" t="n">
        <f aca="false">Assumptions!I16</f>
        <v>2.4</v>
      </c>
      <c r="J23" s="4" t="n">
        <f aca="false">Assumptions!J16</f>
        <v>2.4</v>
      </c>
      <c r="K23" s="4" t="n">
        <f aca="false">Assumptions!K16</f>
        <v>2.4</v>
      </c>
      <c r="L23" s="4" t="n">
        <f aca="false">Assumptions!L16</f>
        <v>2.4</v>
      </c>
    </row>
    <row r="24" customFormat="false" ht="15" hidden="false" customHeight="false" outlineLevel="0" collapsed="false">
      <c r="A24" s="0" t="s">
        <v>127</v>
      </c>
      <c r="C24" s="0" t="n">
        <f aca="false">-C6*C23/100</f>
        <v>-1078.9048608</v>
      </c>
      <c r="D24" s="0" t="n">
        <f aca="false">-D6*D23/100</f>
        <v>-1089.693909408</v>
      </c>
      <c r="E24" s="0" t="n">
        <f aca="false">-E6*E23/100</f>
        <v>-1089.693909408</v>
      </c>
      <c r="F24" s="0" t="n">
        <f aca="false">-F6*F23/100</f>
        <v>-1078.79697031392</v>
      </c>
      <c r="G24" s="0" t="n">
        <f aca="false">-G6*G23/100</f>
        <v>-1078.79697031392</v>
      </c>
      <c r="H24" s="0" t="n">
        <f aca="false">-H6*H23/100</f>
        <v>-1089.58494001706</v>
      </c>
      <c r="I24" s="0" t="n">
        <f aca="false">-I6*I23/100</f>
        <v>-1100.48078941723</v>
      </c>
      <c r="J24" s="0" t="n">
        <f aca="false">-J6*J23/100</f>
        <v>-1116.98800125849</v>
      </c>
      <c r="K24" s="0" t="n">
        <f aca="false">-K6*K23/100</f>
        <v>-1133.74282127737</v>
      </c>
      <c r="L24" s="0" t="n">
        <f aca="false">-L6*L23/100</f>
        <v>-1150.74896359653</v>
      </c>
    </row>
    <row r="26" customFormat="false" ht="15" hidden="false" customHeight="false" outlineLevel="0" collapsed="false">
      <c r="A26" s="2" t="s">
        <v>128</v>
      </c>
    </row>
    <row r="27" customFormat="false" ht="15" hidden="false" customHeight="false" outlineLevel="0" collapsed="false">
      <c r="A27" s="0" t="s">
        <v>106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107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108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129</v>
      </c>
      <c r="B30" s="0" t="n">
        <f aca="false">SUM(C21:L21)</f>
        <v>17390.096545598</v>
      </c>
    </row>
    <row r="31" customFormat="false" ht="15" hidden="false" customHeight="false" outlineLevel="0" collapsed="false">
      <c r="A31" s="0" t="s">
        <v>130</v>
      </c>
      <c r="B31" s="0" t="n">
        <f aca="false">L19</f>
        <v>2718.64442649679</v>
      </c>
    </row>
    <row r="32" customFormat="false" ht="15" hidden="false" customHeight="false" outlineLevel="0" collapsed="false">
      <c r="A32" s="0" t="s">
        <v>131</v>
      </c>
      <c r="B32" s="0" t="n">
        <f aca="false">IF(B27&gt;B28,B31*(1+B28/100)/((B27-B28)/100),B31*B29)</f>
        <v>42870.931340911</v>
      </c>
    </row>
    <row r="33" customFormat="false" ht="15" hidden="false" customHeight="false" outlineLevel="0" collapsed="false">
      <c r="A33" s="0" t="s">
        <v>132</v>
      </c>
      <c r="B33" s="0" t="n">
        <f aca="false">B31*B29</f>
        <v>40779.6663974519</v>
      </c>
    </row>
    <row r="34" customFormat="false" ht="15" hidden="false" customHeight="false" outlineLevel="0" collapsed="false">
      <c r="A34" s="0" t="s">
        <v>133</v>
      </c>
      <c r="B34" s="0" t="n">
        <f aca="false">MAX(0,MIN(B32,B33))</f>
        <v>40779.6663974519</v>
      </c>
    </row>
    <row r="35" customFormat="false" ht="15" hidden="false" customHeight="false" outlineLevel="0" collapsed="false">
      <c r="A35" s="0" t="s">
        <v>134</v>
      </c>
      <c r="B35" s="0" t="n">
        <f aca="false">B34/(1+B27/100)^L4</f>
        <v>17225.7717878847</v>
      </c>
    </row>
    <row r="36" customFormat="false" ht="15" hidden="false" customHeight="false" outlineLevel="0" collapsed="false">
      <c r="A36" s="0" t="s">
        <v>135</v>
      </c>
      <c r="B36" s="0" t="n">
        <f aca="false">B30+B35</f>
        <v>34615.8683334827</v>
      </c>
    </row>
    <row r="37" customFormat="false" ht="15" hidden="false" customHeight="false" outlineLevel="0" collapsed="false">
      <c r="A37" s="0" t="s">
        <v>136</v>
      </c>
      <c r="B37" s="0" t="n">
        <f aca="false">B36+Assumptions!$B$5-Assumptions!$B$4</f>
        <v>42924.0683334826</v>
      </c>
    </row>
    <row r="38" customFormat="false" ht="15" hidden="false" customHeight="false" outlineLevel="0" collapsed="false">
      <c r="A38" s="0" t="s">
        <v>137</v>
      </c>
      <c r="B38" s="0" t="n">
        <f aca="false">B37/Assumptions!$B$3*Assumptions!$B$10</f>
        <v>9.31088688225528</v>
      </c>
    </row>
    <row r="39" customFormat="false" ht="15" hidden="false" customHeight="false" outlineLevel="0" collapsed="false">
      <c r="A39" s="0" t="s">
        <v>138</v>
      </c>
      <c r="B39" s="4" t="n">
        <f aca="false">B38/Assumptions!$B$2-1</f>
        <v>0.00876347586731119</v>
      </c>
    </row>
    <row r="41" customFormat="false" ht="15" hidden="false" customHeight="false" outlineLevel="0" collapsed="false">
      <c r="A41" s="0" t="s">
        <v>139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140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141</v>
      </c>
      <c r="B43" s="0" t="n">
        <f aca="false">(B37+B41+B42)/Assumptions!$B$3*Assumptions!$B$10</f>
        <v>9.31088688225528</v>
      </c>
    </row>
    <row r="45" customFormat="false" ht="15" hidden="false" customHeight="false" outlineLevel="0" collapsed="false">
      <c r="A45" s="0" t="s">
        <v>82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142</v>
      </c>
      <c r="B46" s="0" t="n">
        <f aca="false">MAX(0,MIN(IF(B45&gt;B28,B31*(1+B28/100)/((B45-B28)/100),B31*B29),B31*B29))</f>
        <v>22292.8842972737</v>
      </c>
    </row>
    <row r="47" customFormat="false" ht="15" hidden="false" customHeight="false" outlineLevel="0" collapsed="false">
      <c r="A47" s="0" t="s">
        <v>143</v>
      </c>
      <c r="B47" s="0" t="n">
        <f aca="false">(SUMPRODUCT(C19:L19/(1+B45/100)^C4:L4)+B46/(1+B45/100)^L4+Assumptions!$B$5-Assumptions!$B$4)/Assumptions!$B$3*Assumptions!$B$10</f>
        <v>5.96126611334406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0" t="s">
        <v>114</v>
      </c>
      <c r="B3" s="0" t="s">
        <v>75</v>
      </c>
      <c r="C3" s="2" t="s">
        <v>89</v>
      </c>
      <c r="D3" s="2" t="s">
        <v>90</v>
      </c>
      <c r="E3" s="2" t="s">
        <v>91</v>
      </c>
      <c r="F3" s="2" t="s">
        <v>92</v>
      </c>
      <c r="G3" s="2" t="s">
        <v>93</v>
      </c>
      <c r="H3" s="2" t="s">
        <v>94</v>
      </c>
      <c r="I3" s="2" t="s">
        <v>95</v>
      </c>
      <c r="J3" s="2" t="s">
        <v>96</v>
      </c>
      <c r="K3" s="2" t="s">
        <v>97</v>
      </c>
      <c r="L3" s="2" t="s">
        <v>98</v>
      </c>
    </row>
    <row r="4" customFormat="false" ht="15" hidden="false" customHeight="false" outlineLevel="0" collapsed="false">
      <c r="A4" s="0" t="s">
        <v>115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99</v>
      </c>
      <c r="C5" s="4" t="n">
        <f aca="false">Assumptions!C27</f>
        <v>6</v>
      </c>
      <c r="D5" s="4" t="n">
        <f aca="false">Assumptions!D27</f>
        <v>5</v>
      </c>
      <c r="E5" s="4" t="n">
        <f aca="false">Assumptions!E27</f>
        <v>4.5</v>
      </c>
      <c r="F5" s="4" t="n">
        <f aca="false">Assumptions!F27</f>
        <v>4</v>
      </c>
      <c r="G5" s="4" t="n">
        <f aca="false">Assumptions!G27</f>
        <v>3.5</v>
      </c>
      <c r="H5" s="4" t="n">
        <f aca="false">Assumptions!H27</f>
        <v>3</v>
      </c>
      <c r="I5" s="4" t="n">
        <f aca="false">Assumptions!I27</f>
        <v>3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38</v>
      </c>
      <c r="B6" s="3" t="n">
        <v>43225.355</v>
      </c>
      <c r="C6" s="0" t="n">
        <f aca="false">B6*(1+C5/100)</f>
        <v>45818.8763</v>
      </c>
      <c r="D6" s="0" t="n">
        <f aca="false">C6*(1+D5/100)</f>
        <v>48109.820115</v>
      </c>
      <c r="E6" s="0" t="n">
        <f aca="false">D6*(1+E5/100)</f>
        <v>50274.762020175</v>
      </c>
      <c r="F6" s="0" t="n">
        <f aca="false">E6*(1+F5/100)</f>
        <v>52285.752500982</v>
      </c>
      <c r="G6" s="0" t="n">
        <f aca="false">F6*(1+G5/100)</f>
        <v>54115.7538385164</v>
      </c>
      <c r="H6" s="0" t="n">
        <f aca="false">G6*(1+H5/100)</f>
        <v>55739.2264536719</v>
      </c>
      <c r="I6" s="0" t="n">
        <f aca="false">H6*(1+I5/100)</f>
        <v>57411.403247282</v>
      </c>
      <c r="J6" s="0" t="n">
        <f aca="false">I6*(1+J5/100)</f>
        <v>58846.6883284641</v>
      </c>
      <c r="K6" s="0" t="n">
        <f aca="false">J6*(1+K5/100)</f>
        <v>60317.8555366757</v>
      </c>
      <c r="L6" s="0" t="n">
        <f aca="false">K6*(1+L5/100)</f>
        <v>61825.8019250925</v>
      </c>
    </row>
    <row r="7" customFormat="false" ht="15" hidden="false" customHeight="false" outlineLevel="0" collapsed="false">
      <c r="A7" s="0" t="s">
        <v>100</v>
      </c>
      <c r="C7" s="4" t="n">
        <f aca="false">Assumptions!C28</f>
        <v>15.8</v>
      </c>
      <c r="D7" s="4" t="n">
        <f aca="false">Assumptions!D28</f>
        <v>16</v>
      </c>
      <c r="E7" s="4" t="n">
        <f aca="false">Assumptions!E28</f>
        <v>16.2</v>
      </c>
      <c r="F7" s="4" t="n">
        <f aca="false">Assumptions!F28</f>
        <v>16.4</v>
      </c>
      <c r="G7" s="4" t="n">
        <f aca="false">Assumptions!G28</f>
        <v>16.5</v>
      </c>
      <c r="H7" s="4" t="n">
        <f aca="false">Assumptions!H28</f>
        <v>16.5</v>
      </c>
      <c r="I7" s="4" t="n">
        <f aca="false">Assumptions!I28</f>
        <v>16.5</v>
      </c>
      <c r="J7" s="4" t="n">
        <f aca="false">Assumptions!J28</f>
        <v>16.5</v>
      </c>
      <c r="K7" s="4" t="n">
        <f aca="false">Assumptions!K28</f>
        <v>16.5</v>
      </c>
      <c r="L7" s="4" t="n">
        <f aca="false">Assumptions!L28</f>
        <v>16.5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7239.3824554</v>
      </c>
      <c r="D8" s="0" t="n">
        <f aca="false">D6*D7/100</f>
        <v>7697.5712184</v>
      </c>
      <c r="E8" s="0" t="n">
        <f aca="false">E6*E7/100</f>
        <v>8144.51144726835</v>
      </c>
      <c r="F8" s="0" t="n">
        <f aca="false">F6*F7/100</f>
        <v>8574.86341016105</v>
      </c>
      <c r="G8" s="0" t="n">
        <f aca="false">G6*G7/100</f>
        <v>8929.0993833552</v>
      </c>
      <c r="H8" s="0" t="n">
        <f aca="false">H6*H7/100</f>
        <v>9196.97236485586</v>
      </c>
      <c r="I8" s="0" t="n">
        <f aca="false">I6*I7/100</f>
        <v>9472.88153580153</v>
      </c>
      <c r="J8" s="0" t="n">
        <f aca="false">J6*J7/100</f>
        <v>9709.70357419657</v>
      </c>
      <c r="K8" s="0" t="n">
        <f aca="false">K6*K7/100</f>
        <v>9952.44616355148</v>
      </c>
      <c r="L8" s="0" t="n">
        <f aca="false">L6*L7/100</f>
        <v>10201.2573176403</v>
      </c>
    </row>
    <row r="9" customFormat="false" ht="15" hidden="false" customHeight="false" outlineLevel="0" collapsed="false">
      <c r="A9" s="0" t="s">
        <v>101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116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117</v>
      </c>
      <c r="C11" s="0" t="n">
        <f aca="false">C8+C10+C24</f>
        <v>6139.7294242</v>
      </c>
      <c r="D11" s="0" t="n">
        <f aca="false">D8+D10+D24</f>
        <v>6542.93553564</v>
      </c>
      <c r="E11" s="0" t="n">
        <f aca="false">E8+E10+E24</f>
        <v>6937.91715878415</v>
      </c>
      <c r="F11" s="0" t="n">
        <f aca="false">F8+F10+F24</f>
        <v>7320.00535013748</v>
      </c>
      <c r="G11" s="0" t="n">
        <f aca="false">G8+G10+G24</f>
        <v>7630.32129123081</v>
      </c>
      <c r="H11" s="0" t="n">
        <f aca="false">H8+H10+H24</f>
        <v>7859.23092996773</v>
      </c>
      <c r="I11" s="0" t="n">
        <f aca="false">I8+I10+I24</f>
        <v>8095.00785786676</v>
      </c>
      <c r="J11" s="0" t="n">
        <f aca="false">J8+J10+J24</f>
        <v>8297.38305431343</v>
      </c>
      <c r="K11" s="0" t="n">
        <f aca="false">K8+K10+K24</f>
        <v>8504.81763067127</v>
      </c>
      <c r="L11" s="0" t="n">
        <f aca="false">L8+L10+L24</f>
        <v>8717.43807143805</v>
      </c>
    </row>
    <row r="12" customFormat="false" ht="15" hidden="false" customHeight="false" outlineLevel="0" collapsed="false">
      <c r="A12" s="0" t="s">
        <v>118</v>
      </c>
      <c r="C12" s="4" t="n">
        <f aca="false">-C6*Assumptions!C31/100</f>
        <v>-1512.0229179</v>
      </c>
      <c r="D12" s="4" t="n">
        <f aca="false">-D6*Assumptions!D31/100</f>
        <v>-1587.624063795</v>
      </c>
      <c r="E12" s="4" t="n">
        <f aca="false">-E6*Assumptions!E31/100</f>
        <v>-1709.34190868595</v>
      </c>
      <c r="F12" s="4" t="n">
        <f aca="false">-F6*Assumptions!F31/100</f>
        <v>-1777.71558503339</v>
      </c>
      <c r="G12" s="4" t="n">
        <f aca="false">-G6*Assumptions!G31/100</f>
        <v>-1894.05138434807</v>
      </c>
      <c r="H12" s="4" t="n">
        <f aca="false">-H6*Assumptions!H31/100</f>
        <v>-1950.87292587851</v>
      </c>
      <c r="I12" s="4" t="n">
        <f aca="false">-I6*Assumptions!I31/100</f>
        <v>-2009.39911365487</v>
      </c>
      <c r="J12" s="4" t="n">
        <f aca="false">-J6*Assumptions!J31/100</f>
        <v>-2059.63409149624</v>
      </c>
      <c r="K12" s="4" t="n">
        <f aca="false">-K6*Assumptions!K31/100</f>
        <v>-2050.80708824697</v>
      </c>
      <c r="L12" s="4" t="n">
        <f aca="false">-L6*Assumptions!L31/100</f>
        <v>-2102.07726545315</v>
      </c>
    </row>
    <row r="13" customFormat="false" ht="15" hidden="false" customHeight="false" outlineLevel="0" collapsed="false">
      <c r="A13" s="0" t="s">
        <v>119</v>
      </c>
      <c r="C13" s="0" t="n">
        <f aca="false">C11+C12</f>
        <v>4627.7065063</v>
      </c>
      <c r="D13" s="0" t="n">
        <f aca="false">D11+D12</f>
        <v>4955.311471845</v>
      </c>
      <c r="E13" s="0" t="n">
        <f aca="false">E11+E12</f>
        <v>5228.5752500982</v>
      </c>
      <c r="F13" s="0" t="n">
        <f aca="false">F11+F12</f>
        <v>5542.28976510409</v>
      </c>
      <c r="G13" s="0" t="n">
        <f aca="false">G11+G12</f>
        <v>5736.26990688273</v>
      </c>
      <c r="H13" s="0" t="n">
        <f aca="false">H11+H12</f>
        <v>5908.35800408922</v>
      </c>
      <c r="I13" s="0" t="n">
        <f aca="false">I11+I12</f>
        <v>6085.60874421189</v>
      </c>
      <c r="J13" s="0" t="n">
        <f aca="false">J11+J12</f>
        <v>6237.74896281719</v>
      </c>
      <c r="K13" s="0" t="n">
        <f aca="false">K11+K12</f>
        <v>6454.0105424243</v>
      </c>
      <c r="L13" s="0" t="n">
        <f aca="false">L11+L12</f>
        <v>6615.3608059849</v>
      </c>
    </row>
    <row r="14" customFormat="false" ht="15" hidden="false" customHeight="false" outlineLevel="0" collapsed="false">
      <c r="A14" s="0" t="s">
        <v>105</v>
      </c>
      <c r="C14" s="4" t="n">
        <f aca="false">Assumptions!C33</f>
        <v>30</v>
      </c>
      <c r="D14" s="4" t="n">
        <f aca="false">Assumptions!D33</f>
        <v>30</v>
      </c>
      <c r="E14" s="4" t="n">
        <f aca="false">Assumptions!E33</f>
        <v>30</v>
      </c>
      <c r="F14" s="4" t="n">
        <f aca="false">Assumptions!F33</f>
        <v>30</v>
      </c>
      <c r="G14" s="4" t="n">
        <f aca="false">Assumptions!G33</f>
        <v>30</v>
      </c>
      <c r="H14" s="4" t="n">
        <f aca="false">Assumptions!H33</f>
        <v>30</v>
      </c>
      <c r="I14" s="4" t="n">
        <f aca="false">Assumptions!I33</f>
        <v>30</v>
      </c>
      <c r="J14" s="4" t="n">
        <f aca="false">Assumptions!J33</f>
        <v>30</v>
      </c>
      <c r="K14" s="4" t="n">
        <f aca="false">Assumptions!K33</f>
        <v>30</v>
      </c>
      <c r="L14" s="4" t="n">
        <f aca="false">Assumptions!L33</f>
        <v>30</v>
      </c>
    </row>
    <row r="15" customFormat="false" ht="15" hidden="false" customHeight="false" outlineLevel="0" collapsed="false">
      <c r="A15" s="0" t="s">
        <v>120</v>
      </c>
      <c r="C15" s="0" t="n">
        <f aca="false">C13-MAX(0,C13)*C14/100</f>
        <v>3239.39455441</v>
      </c>
      <c r="D15" s="0" t="n">
        <f aca="false">D13-MAX(0,D13)*D14/100</f>
        <v>3468.7180302915</v>
      </c>
      <c r="E15" s="0" t="n">
        <f aca="false">E13-MAX(0,E13)*E14/100</f>
        <v>3660.00267506874</v>
      </c>
      <c r="F15" s="0" t="n">
        <f aca="false">F13-MAX(0,F13)*F14/100</f>
        <v>3879.60283557286</v>
      </c>
      <c r="G15" s="0" t="n">
        <f aca="false">G13-MAX(0,G13)*G14/100</f>
        <v>4015.38893481791</v>
      </c>
      <c r="H15" s="0" t="n">
        <f aca="false">H13-MAX(0,H13)*H14/100</f>
        <v>4135.85060286245</v>
      </c>
      <c r="I15" s="0" t="n">
        <f aca="false">I13-MAX(0,I13)*I14/100</f>
        <v>4259.92612094833</v>
      </c>
      <c r="J15" s="0" t="n">
        <f aca="false">J13-MAX(0,J13)*J14/100</f>
        <v>4366.42427397203</v>
      </c>
      <c r="K15" s="0" t="n">
        <f aca="false">K13-MAX(0,K13)*K14/100</f>
        <v>4517.80737969701</v>
      </c>
      <c r="L15" s="0" t="n">
        <f aca="false">L13-MAX(0,L13)*L14/100</f>
        <v>4630.75256418943</v>
      </c>
    </row>
    <row r="16" customFormat="false" ht="15" hidden="false" customHeight="false" outlineLevel="0" collapsed="false">
      <c r="A16" s="0" t="s">
        <v>121</v>
      </c>
      <c r="C16" s="0" t="n">
        <f aca="false">-C12</f>
        <v>1512.0229179</v>
      </c>
      <c r="D16" s="0" t="n">
        <f aca="false">-D12</f>
        <v>1587.624063795</v>
      </c>
      <c r="E16" s="0" t="n">
        <f aca="false">-E12</f>
        <v>1709.34190868595</v>
      </c>
      <c r="F16" s="0" t="n">
        <f aca="false">-F12</f>
        <v>1777.71558503339</v>
      </c>
      <c r="G16" s="0" t="n">
        <f aca="false">-G12</f>
        <v>1894.05138434807</v>
      </c>
      <c r="H16" s="0" t="n">
        <f aca="false">-H12</f>
        <v>1950.87292587851</v>
      </c>
      <c r="I16" s="0" t="n">
        <f aca="false">-I12</f>
        <v>2009.39911365487</v>
      </c>
      <c r="J16" s="0" t="n">
        <f aca="false">-J12</f>
        <v>2059.63409149624</v>
      </c>
      <c r="K16" s="0" t="n">
        <f aca="false">-K12</f>
        <v>2050.80708824697</v>
      </c>
      <c r="L16" s="0" t="n">
        <f aca="false">-L12</f>
        <v>2102.07726545315</v>
      </c>
    </row>
    <row r="17" customFormat="false" ht="15" hidden="false" customHeight="false" outlineLevel="0" collapsed="false">
      <c r="A17" s="0" t="s">
        <v>122</v>
      </c>
      <c r="C17" s="4" t="n">
        <f aca="false">-C6*Assumptions!C32/100</f>
        <v>-1832.755052</v>
      </c>
      <c r="D17" s="4" t="n">
        <f aca="false">-D6*Assumptions!D32/100</f>
        <v>-2164.941905175</v>
      </c>
      <c r="E17" s="4" t="n">
        <f aca="false">-E6*Assumptions!E32/100</f>
        <v>-2262.36429090788</v>
      </c>
      <c r="F17" s="4" t="n">
        <f aca="false">-F6*Assumptions!F32/100</f>
        <v>-2196.00160504124</v>
      </c>
      <c r="G17" s="4" t="n">
        <f aca="false">-G6*Assumptions!G32/100</f>
        <v>-2164.63015354065</v>
      </c>
      <c r="H17" s="4" t="n">
        <f aca="false">-H6*Assumptions!H32/100</f>
        <v>-2229.56905814687</v>
      </c>
      <c r="I17" s="4" t="n">
        <f aca="false">-I6*Assumptions!I32/100</f>
        <v>-2181.63332339672</v>
      </c>
      <c r="J17" s="4" t="n">
        <f aca="false">-J6*Assumptions!J32/100</f>
        <v>-2236.17415648163</v>
      </c>
      <c r="K17" s="4" t="n">
        <f aca="false">-K6*Assumptions!K32/100</f>
        <v>-2231.760654857</v>
      </c>
      <c r="L17" s="4" t="n">
        <f aca="false">-L6*Assumptions!L32/100</f>
        <v>-2287.55467122842</v>
      </c>
    </row>
    <row r="18" customFormat="false" ht="15" hidden="false" customHeight="false" outlineLevel="0" collapsed="false">
      <c r="A18" s="0" t="s">
        <v>123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124</v>
      </c>
      <c r="C19" s="0" t="n">
        <f aca="false">C15+C16+C17+C18</f>
        <v>2918.66242031</v>
      </c>
      <c r="D19" s="0" t="n">
        <f aca="false">D15+D16+D17+D18</f>
        <v>2891.4001889115</v>
      </c>
      <c r="E19" s="0" t="n">
        <f aca="false">E15+E16+E17+E18</f>
        <v>3106.98029284681</v>
      </c>
      <c r="F19" s="0" t="n">
        <f aca="false">F15+F16+F17+F18</f>
        <v>3461.31681556501</v>
      </c>
      <c r="G19" s="0" t="n">
        <f aca="false">G15+G16+G17+G18</f>
        <v>3744.81016562533</v>
      </c>
      <c r="H19" s="0" t="n">
        <f aca="false">H15+H16+H17+H18</f>
        <v>3857.15447059409</v>
      </c>
      <c r="I19" s="0" t="n">
        <f aca="false">I15+I16+I17+I18</f>
        <v>4087.69191120648</v>
      </c>
      <c r="J19" s="0" t="n">
        <f aca="false">J15+J16+J17+J18</f>
        <v>4189.88420898664</v>
      </c>
      <c r="K19" s="0" t="n">
        <f aca="false">K15+K16+K17+K18</f>
        <v>4336.85381308698</v>
      </c>
      <c r="L19" s="0" t="n">
        <f aca="false">L15+L16+L17+L18</f>
        <v>4445.27515841415</v>
      </c>
    </row>
    <row r="20" customFormat="false" ht="15" hidden="false" customHeight="false" outlineLevel="0" collapsed="false">
      <c r="A20" s="0" t="s">
        <v>125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126</v>
      </c>
      <c r="C21" s="0" t="n">
        <f aca="false">C19*C20</f>
        <v>2677.67194523853</v>
      </c>
      <c r="D21" s="0" t="n">
        <f aca="false">D19*D20</f>
        <v>2433.63369153396</v>
      </c>
      <c r="E21" s="0" t="n">
        <f aca="false">E19*E20</f>
        <v>2399.1588550116</v>
      </c>
      <c r="F21" s="0" t="n">
        <f aca="false">F19*F20</f>
        <v>2452.08409563015</v>
      </c>
      <c r="G21" s="0" t="n">
        <f aca="false">G19*G20</f>
        <v>2433.86966236901</v>
      </c>
      <c r="H21" s="0" t="n">
        <f aca="false">H19*H20</f>
        <v>2299.89518554136</v>
      </c>
      <c r="I21" s="0" t="n">
        <f aca="false">I19*I20</f>
        <v>2236.10745779897</v>
      </c>
      <c r="J21" s="0" t="n">
        <f aca="false">J19*J20</f>
        <v>2102.7616002238</v>
      </c>
      <c r="K21" s="0" t="n">
        <f aca="false">K19*K20</f>
        <v>1996.80797124644</v>
      </c>
      <c r="L21" s="0" t="n">
        <f aca="false">L19*L20</f>
        <v>1877.73226653908</v>
      </c>
    </row>
    <row r="23" customFormat="false" ht="15" hidden="false" customHeight="false" outlineLevel="0" collapsed="false">
      <c r="A23" s="0" t="s">
        <v>102</v>
      </c>
      <c r="C23" s="4" t="n">
        <f aca="false">Assumptions!C30</f>
        <v>2.4</v>
      </c>
      <c r="D23" s="4" t="n">
        <f aca="false">Assumptions!D30</f>
        <v>2.4</v>
      </c>
      <c r="E23" s="4" t="n">
        <f aca="false">Assumptions!E30</f>
        <v>2.4</v>
      </c>
      <c r="F23" s="4" t="n">
        <f aca="false">Assumptions!F30</f>
        <v>2.4</v>
      </c>
      <c r="G23" s="4" t="n">
        <f aca="false">Assumptions!G30</f>
        <v>2.4</v>
      </c>
      <c r="H23" s="4" t="n">
        <f aca="false">Assumptions!H30</f>
        <v>2.4</v>
      </c>
      <c r="I23" s="4" t="n">
        <f aca="false">Assumptions!I30</f>
        <v>2.4</v>
      </c>
      <c r="J23" s="4" t="n">
        <f aca="false">Assumptions!J30</f>
        <v>2.4</v>
      </c>
      <c r="K23" s="4" t="n">
        <f aca="false">Assumptions!K30</f>
        <v>2.4</v>
      </c>
      <c r="L23" s="4" t="n">
        <f aca="false">Assumptions!L30</f>
        <v>2.4</v>
      </c>
    </row>
    <row r="24" customFormat="false" ht="15" hidden="false" customHeight="false" outlineLevel="0" collapsed="false">
      <c r="A24" s="0" t="s">
        <v>127</v>
      </c>
      <c r="C24" s="0" t="n">
        <f aca="false">-C6*C23/100</f>
        <v>-1099.6530312</v>
      </c>
      <c r="D24" s="0" t="n">
        <f aca="false">-D6*D23/100</f>
        <v>-1154.63568276</v>
      </c>
      <c r="E24" s="0" t="n">
        <f aca="false">-E6*E23/100</f>
        <v>-1206.5942884842</v>
      </c>
      <c r="F24" s="0" t="n">
        <f aca="false">-F6*F23/100</f>
        <v>-1254.85806002357</v>
      </c>
      <c r="G24" s="0" t="n">
        <f aca="false">-G6*G23/100</f>
        <v>-1298.77809212439</v>
      </c>
      <c r="H24" s="0" t="n">
        <f aca="false">-H6*H23/100</f>
        <v>-1337.74143488812</v>
      </c>
      <c r="I24" s="0" t="n">
        <f aca="false">-I6*I23/100</f>
        <v>-1377.87367793477</v>
      </c>
      <c r="J24" s="0" t="n">
        <f aca="false">-J6*J23/100</f>
        <v>-1412.32051988314</v>
      </c>
      <c r="K24" s="0" t="n">
        <f aca="false">-K6*K23/100</f>
        <v>-1447.62853288022</v>
      </c>
      <c r="L24" s="0" t="n">
        <f aca="false">-L6*L23/100</f>
        <v>-1483.81924620222</v>
      </c>
    </row>
    <row r="26" customFormat="false" ht="15" hidden="false" customHeight="false" outlineLevel="0" collapsed="false">
      <c r="A26" s="2" t="s">
        <v>128</v>
      </c>
    </row>
    <row r="27" customFormat="false" ht="15" hidden="false" customHeight="false" outlineLevel="0" collapsed="false">
      <c r="A27" s="0" t="s">
        <v>106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107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108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129</v>
      </c>
      <c r="B30" s="0" t="n">
        <f aca="false">SUM(C21:L21)</f>
        <v>22909.7227311329</v>
      </c>
    </row>
    <row r="31" customFormat="false" ht="15" hidden="false" customHeight="false" outlineLevel="0" collapsed="false">
      <c r="A31" s="0" t="s">
        <v>130</v>
      </c>
      <c r="B31" s="0" t="n">
        <f aca="false">L19</f>
        <v>4445.27515841415</v>
      </c>
    </row>
    <row r="32" customFormat="false" ht="15" hidden="false" customHeight="false" outlineLevel="0" collapsed="false">
      <c r="A32" s="0" t="s">
        <v>131</v>
      </c>
      <c r="B32" s="0" t="n">
        <f aca="false">IF(B27&gt;B28,B31*(1+B28/100)/((B27-B28)/100),B31*B29)</f>
        <v>70098.5698057616</v>
      </c>
    </row>
    <row r="33" customFormat="false" ht="15" hidden="false" customHeight="false" outlineLevel="0" collapsed="false">
      <c r="A33" s="0" t="s">
        <v>132</v>
      </c>
      <c r="B33" s="0" t="n">
        <f aca="false">B31*B29</f>
        <v>66679.1273762123</v>
      </c>
    </row>
    <row r="34" customFormat="false" ht="15" hidden="false" customHeight="false" outlineLevel="0" collapsed="false">
      <c r="A34" s="0" t="s">
        <v>133</v>
      </c>
      <c r="B34" s="0" t="n">
        <f aca="false">MAX(0,MIN(B32,B33))</f>
        <v>66679.1273762123</v>
      </c>
    </row>
    <row r="35" customFormat="false" ht="15" hidden="false" customHeight="false" outlineLevel="0" collapsed="false">
      <c r="A35" s="0" t="s">
        <v>134</v>
      </c>
      <c r="B35" s="0" t="n">
        <f aca="false">B34/(1+B27/100)^L4</f>
        <v>28165.9839980863</v>
      </c>
    </row>
    <row r="36" customFormat="false" ht="15" hidden="false" customHeight="false" outlineLevel="0" collapsed="false">
      <c r="A36" s="0" t="s">
        <v>135</v>
      </c>
      <c r="B36" s="0" t="n">
        <f aca="false">B30+B35</f>
        <v>51075.7067292192</v>
      </c>
    </row>
    <row r="37" customFormat="false" ht="15" hidden="false" customHeight="false" outlineLevel="0" collapsed="false">
      <c r="A37" s="0" t="s">
        <v>136</v>
      </c>
      <c r="B37" s="0" t="n">
        <f aca="false">B36+Assumptions!$B$5-Assumptions!$B$4</f>
        <v>59383.9067292192</v>
      </c>
    </row>
    <row r="38" customFormat="false" ht="15" hidden="false" customHeight="false" outlineLevel="0" collapsed="false">
      <c r="A38" s="0" t="s">
        <v>137</v>
      </c>
      <c r="B38" s="0" t="n">
        <f aca="false">B37/Assumptions!$B$3*Assumptions!$B$10</f>
        <v>12.881277559398</v>
      </c>
    </row>
    <row r="39" customFormat="false" ht="15" hidden="false" customHeight="false" outlineLevel="0" collapsed="false">
      <c r="A39" s="0" t="s">
        <v>138</v>
      </c>
      <c r="B39" s="4" t="n">
        <f aca="false">B38/Assumptions!$B$2-1</f>
        <v>0.395588034604337</v>
      </c>
    </row>
    <row r="41" customFormat="false" ht="15" hidden="false" customHeight="false" outlineLevel="0" collapsed="false">
      <c r="A41" s="0" t="s">
        <v>139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140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141</v>
      </c>
      <c r="B43" s="0" t="n">
        <f aca="false">(B37+B41+B42)/Assumptions!$B$3*Assumptions!$B$10</f>
        <v>12.881277559398</v>
      </c>
    </row>
    <row r="45" customFormat="false" ht="15" hidden="false" customHeight="false" outlineLevel="0" collapsed="false">
      <c r="A45" s="0" t="s">
        <v>82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142</v>
      </c>
      <c r="B46" s="0" t="n">
        <f aca="false">MAX(0,MIN(IF(B45&gt;B28,B31*(1+B28/100)/((B45-B28)/100),B31*B29),B31*B29))</f>
        <v>36451.2562989961</v>
      </c>
    </row>
    <row r="47" customFormat="false" ht="15" hidden="false" customHeight="false" outlineLevel="0" collapsed="false">
      <c r="A47" s="0" t="s">
        <v>143</v>
      </c>
      <c r="B47" s="0" t="n">
        <f aca="false">(SUMPRODUCT(C19:L19/(1+B45/100)^C4:L4)+B46/(1+B45/100)^L4+Assumptions!$B$5-Assumptions!$B$4)/Assumptions!$B$3*Assumptions!$B$10</f>
        <v>7.55558790550943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0" t="s">
        <v>114</v>
      </c>
      <c r="B3" s="0" t="s">
        <v>75</v>
      </c>
      <c r="C3" s="2" t="s">
        <v>89</v>
      </c>
      <c r="D3" s="2" t="s">
        <v>90</v>
      </c>
      <c r="E3" s="2" t="s">
        <v>91</v>
      </c>
      <c r="F3" s="2" t="s">
        <v>92</v>
      </c>
      <c r="G3" s="2" t="s">
        <v>93</v>
      </c>
      <c r="H3" s="2" t="s">
        <v>94</v>
      </c>
      <c r="I3" s="2" t="s">
        <v>95</v>
      </c>
      <c r="J3" s="2" t="s">
        <v>96</v>
      </c>
      <c r="K3" s="2" t="s">
        <v>97</v>
      </c>
      <c r="L3" s="2" t="s">
        <v>98</v>
      </c>
    </row>
    <row r="4" customFormat="false" ht="15" hidden="false" customHeight="false" outlineLevel="0" collapsed="false">
      <c r="A4" s="0" t="s">
        <v>115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99</v>
      </c>
      <c r="C5" s="4" t="n">
        <f aca="false">Assumptions!C41</f>
        <v>8</v>
      </c>
      <c r="D5" s="4" t="n">
        <f aca="false">Assumptions!D41</f>
        <v>8</v>
      </c>
      <c r="E5" s="4" t="n">
        <f aca="false">Assumptions!E41</f>
        <v>7</v>
      </c>
      <c r="F5" s="4" t="n">
        <f aca="false">Assumptions!F41</f>
        <v>6</v>
      </c>
      <c r="G5" s="4" t="n">
        <f aca="false">Assumptions!G41</f>
        <v>5</v>
      </c>
      <c r="H5" s="4" t="n">
        <f aca="false">Assumptions!H41</f>
        <v>4.5</v>
      </c>
      <c r="I5" s="4" t="n">
        <f aca="false">Assumptions!I41</f>
        <v>4</v>
      </c>
      <c r="J5" s="4" t="n">
        <f aca="false">Assumptions!J41</f>
        <v>3.5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38</v>
      </c>
      <c r="B6" s="3" t="n">
        <v>43225.355</v>
      </c>
      <c r="C6" s="0" t="n">
        <f aca="false">B6*(1+C5/100)</f>
        <v>46683.3834</v>
      </c>
      <c r="D6" s="0" t="n">
        <f aca="false">C6*(1+D5/100)</f>
        <v>50418.054072</v>
      </c>
      <c r="E6" s="0" t="n">
        <f aca="false">D6*(1+E5/100)</f>
        <v>53947.31785704</v>
      </c>
      <c r="F6" s="0" t="n">
        <f aca="false">E6*(1+F5/100)</f>
        <v>57184.1569284624</v>
      </c>
      <c r="G6" s="0" t="n">
        <f aca="false">F6*(1+G5/100)</f>
        <v>60043.3647748855</v>
      </c>
      <c r="H6" s="0" t="n">
        <f aca="false">G6*(1+H5/100)</f>
        <v>62745.3161897554</v>
      </c>
      <c r="I6" s="0" t="n">
        <f aca="false">H6*(1+I5/100)</f>
        <v>65255.1288373456</v>
      </c>
      <c r="J6" s="0" t="n">
        <f aca="false">I6*(1+J5/100)</f>
        <v>67539.0583466527</v>
      </c>
      <c r="K6" s="0" t="n">
        <f aca="false">J6*(1+K5/100)</f>
        <v>69565.2300970523</v>
      </c>
      <c r="L6" s="0" t="n">
        <f aca="false">K6*(1+L5/100)</f>
        <v>71652.1869999638</v>
      </c>
    </row>
    <row r="7" customFormat="false" ht="15" hidden="false" customHeight="false" outlineLevel="0" collapsed="false">
      <c r="A7" s="0" t="s">
        <v>100</v>
      </c>
      <c r="C7" s="4" t="n">
        <f aca="false">Assumptions!C42</f>
        <v>16.5</v>
      </c>
      <c r="D7" s="4" t="n">
        <f aca="false">Assumptions!D42</f>
        <v>17</v>
      </c>
      <c r="E7" s="4" t="n">
        <f aca="false">Assumptions!E42</f>
        <v>17.5</v>
      </c>
      <c r="F7" s="4" t="n">
        <f aca="false">Assumptions!F42</f>
        <v>18</v>
      </c>
      <c r="G7" s="4" t="n">
        <f aca="false">Assumptions!G42</f>
        <v>18.5</v>
      </c>
      <c r="H7" s="4" t="n">
        <f aca="false">Assumptions!H42</f>
        <v>18.5</v>
      </c>
      <c r="I7" s="4" t="n">
        <f aca="false">Assumptions!I42</f>
        <v>18.5</v>
      </c>
      <c r="J7" s="4" t="n">
        <f aca="false">Assumptions!J42</f>
        <v>18.5</v>
      </c>
      <c r="K7" s="4" t="n">
        <f aca="false">Assumptions!K42</f>
        <v>18.5</v>
      </c>
      <c r="L7" s="4" t="n">
        <f aca="false">Assumptions!L42</f>
        <v>18.5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7702.758261</v>
      </c>
      <c r="D8" s="0" t="n">
        <f aca="false">D6*D7/100</f>
        <v>8571.06919224</v>
      </c>
      <c r="E8" s="0" t="n">
        <f aca="false">E6*E7/100</f>
        <v>9440.780624982</v>
      </c>
      <c r="F8" s="0" t="n">
        <f aca="false">F6*F7/100</f>
        <v>10293.1482471232</v>
      </c>
      <c r="G8" s="0" t="n">
        <f aca="false">G6*G7/100</f>
        <v>11108.0224833538</v>
      </c>
      <c r="H8" s="0" t="n">
        <f aca="false">H6*H7/100</f>
        <v>11607.8834951047</v>
      </c>
      <c r="I8" s="0" t="n">
        <f aca="false">I6*I7/100</f>
        <v>12072.1988349089</v>
      </c>
      <c r="J8" s="0" t="n">
        <f aca="false">J6*J7/100</f>
        <v>12494.7257941307</v>
      </c>
      <c r="K8" s="0" t="n">
        <f aca="false">K6*K7/100</f>
        <v>12869.5675679547</v>
      </c>
      <c r="L8" s="0" t="n">
        <f aca="false">L6*L7/100</f>
        <v>13255.6545949933</v>
      </c>
    </row>
    <row r="9" customFormat="false" ht="15" hidden="false" customHeight="false" outlineLevel="0" collapsed="false">
      <c r="A9" s="0" t="s">
        <v>101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116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117</v>
      </c>
      <c r="C11" s="0" t="n">
        <f aca="false">C8+C10+C24</f>
        <v>6582.3570594</v>
      </c>
      <c r="D11" s="0" t="n">
        <f aca="false">D8+D10+D24</f>
        <v>7361.035894512</v>
      </c>
      <c r="E11" s="0" t="n">
        <f aca="false">E8+E10+E24</f>
        <v>8146.04499641304</v>
      </c>
      <c r="F11" s="0" t="n">
        <f aca="false">F8+F10+F24</f>
        <v>8920.72848084014</v>
      </c>
      <c r="G11" s="0" t="n">
        <f aca="false">G8+G10+G24</f>
        <v>9666.98172875657</v>
      </c>
      <c r="H11" s="0" t="n">
        <f aca="false">H8+H10+H24</f>
        <v>10101.9959065506</v>
      </c>
      <c r="I11" s="0" t="n">
        <f aca="false">I8+I10+I24</f>
        <v>10506.0757428126</v>
      </c>
      <c r="J11" s="0" t="n">
        <f aca="false">J8+J10+J24</f>
        <v>10873.7883938111</v>
      </c>
      <c r="K11" s="0" t="n">
        <f aca="false">K8+K10+K24</f>
        <v>11200.0020456254</v>
      </c>
      <c r="L11" s="0" t="n">
        <f aca="false">L8+L10+L24</f>
        <v>11536.0021069942</v>
      </c>
    </row>
    <row r="12" customFormat="false" ht="15" hidden="false" customHeight="false" outlineLevel="0" collapsed="false">
      <c r="A12" s="0" t="s">
        <v>118</v>
      </c>
      <c r="C12" s="4" t="n">
        <f aca="false">-C6*Assumptions!C45/100</f>
        <v>-1540.5516522</v>
      </c>
      <c r="D12" s="4" t="n">
        <f aca="false">-D6*Assumptions!D45/100</f>
        <v>-1714.213838448</v>
      </c>
      <c r="E12" s="4" t="n">
        <f aca="false">-E6*Assumptions!E45/100</f>
        <v>-1888.1561249964</v>
      </c>
      <c r="F12" s="4" t="n">
        <f aca="false">-F6*Assumptions!F45/100</f>
        <v>-2058.62964942465</v>
      </c>
      <c r="G12" s="4" t="n">
        <f aca="false">-G6*Assumptions!G45/100</f>
        <v>-2221.60449667077</v>
      </c>
      <c r="H12" s="4" t="n">
        <f aca="false">-H6*Assumptions!H45/100</f>
        <v>-2321.57669902095</v>
      </c>
      <c r="I12" s="4" t="n">
        <f aca="false">-I6*Assumptions!I45/100</f>
        <v>-2414.43976698179</v>
      </c>
      <c r="J12" s="4" t="n">
        <f aca="false">-J6*Assumptions!J45/100</f>
        <v>-2498.94515882615</v>
      </c>
      <c r="K12" s="4" t="n">
        <f aca="false">-K6*Assumptions!K45/100</f>
        <v>-2504.34828349388</v>
      </c>
      <c r="L12" s="4" t="n">
        <f aca="false">-L6*Assumptions!L45/100</f>
        <v>-2579.4787319987</v>
      </c>
    </row>
    <row r="13" customFormat="false" ht="15" hidden="false" customHeight="false" outlineLevel="0" collapsed="false">
      <c r="A13" s="0" t="s">
        <v>119</v>
      </c>
      <c r="C13" s="0" t="n">
        <f aca="false">C11+C12</f>
        <v>5041.8054072</v>
      </c>
      <c r="D13" s="0" t="n">
        <f aca="false">D11+D12</f>
        <v>5646.822056064</v>
      </c>
      <c r="E13" s="0" t="n">
        <f aca="false">E11+E12</f>
        <v>6257.88887141664</v>
      </c>
      <c r="F13" s="0" t="n">
        <f aca="false">F11+F12</f>
        <v>6862.09883141549</v>
      </c>
      <c r="G13" s="0" t="n">
        <f aca="false">G11+G12</f>
        <v>7445.37723208581</v>
      </c>
      <c r="H13" s="0" t="n">
        <f aca="false">H11+H12</f>
        <v>7780.41920752967</v>
      </c>
      <c r="I13" s="0" t="n">
        <f aca="false">I11+I12</f>
        <v>8091.63597583085</v>
      </c>
      <c r="J13" s="0" t="n">
        <f aca="false">J11+J12</f>
        <v>8374.84323498493</v>
      </c>
      <c r="K13" s="0" t="n">
        <f aca="false">K11+K12</f>
        <v>8695.65376213154</v>
      </c>
      <c r="L13" s="0" t="n">
        <f aca="false">L11+L12</f>
        <v>8956.52337499548</v>
      </c>
    </row>
    <row r="14" customFormat="false" ht="15" hidden="false" customHeight="false" outlineLevel="0" collapsed="false">
      <c r="A14" s="0" t="s">
        <v>105</v>
      </c>
      <c r="C14" s="4" t="n">
        <f aca="false">Assumptions!C47</f>
        <v>30</v>
      </c>
      <c r="D14" s="4" t="n">
        <f aca="false">Assumptions!D47</f>
        <v>30</v>
      </c>
      <c r="E14" s="4" t="n">
        <f aca="false">Assumptions!E47</f>
        <v>30</v>
      </c>
      <c r="F14" s="4" t="n">
        <f aca="false">Assumptions!F47</f>
        <v>30</v>
      </c>
      <c r="G14" s="4" t="n">
        <f aca="false">Assumptions!G47</f>
        <v>30</v>
      </c>
      <c r="H14" s="4" t="n">
        <f aca="false">Assumptions!H47</f>
        <v>30</v>
      </c>
      <c r="I14" s="4" t="n">
        <f aca="false">Assumptions!I47</f>
        <v>30</v>
      </c>
      <c r="J14" s="4" t="n">
        <f aca="false">Assumptions!J47</f>
        <v>30</v>
      </c>
      <c r="K14" s="4" t="n">
        <f aca="false">Assumptions!K47</f>
        <v>30</v>
      </c>
      <c r="L14" s="4" t="n">
        <f aca="false">Assumptions!L47</f>
        <v>30</v>
      </c>
    </row>
    <row r="15" customFormat="false" ht="15" hidden="false" customHeight="false" outlineLevel="0" collapsed="false">
      <c r="A15" s="0" t="s">
        <v>120</v>
      </c>
      <c r="C15" s="0" t="n">
        <f aca="false">C13-MAX(0,C13)*C14/100</f>
        <v>3529.26378504</v>
      </c>
      <c r="D15" s="0" t="n">
        <f aca="false">D13-MAX(0,D13)*D14/100</f>
        <v>3952.7754392448</v>
      </c>
      <c r="E15" s="0" t="n">
        <f aca="false">E13-MAX(0,E13)*E14/100</f>
        <v>4380.52220999165</v>
      </c>
      <c r="F15" s="0" t="n">
        <f aca="false">F13-MAX(0,F13)*F14/100</f>
        <v>4803.46918199084</v>
      </c>
      <c r="G15" s="0" t="n">
        <f aca="false">G13-MAX(0,G13)*G14/100</f>
        <v>5211.76406246007</v>
      </c>
      <c r="H15" s="0" t="n">
        <f aca="false">H13-MAX(0,H13)*H14/100</f>
        <v>5446.29344527077</v>
      </c>
      <c r="I15" s="0" t="n">
        <f aca="false">I13-MAX(0,I13)*I14/100</f>
        <v>5664.1451830816</v>
      </c>
      <c r="J15" s="0" t="n">
        <f aca="false">J13-MAX(0,J13)*J14/100</f>
        <v>5862.39026448945</v>
      </c>
      <c r="K15" s="0" t="n">
        <f aca="false">K13-MAX(0,K13)*K14/100</f>
        <v>6086.95763349208</v>
      </c>
      <c r="L15" s="0" t="n">
        <f aca="false">L13-MAX(0,L13)*L14/100</f>
        <v>6269.56636249684</v>
      </c>
    </row>
    <row r="16" customFormat="false" ht="15" hidden="false" customHeight="false" outlineLevel="0" collapsed="false">
      <c r="A16" s="0" t="s">
        <v>121</v>
      </c>
      <c r="C16" s="0" t="n">
        <f aca="false">-C12</f>
        <v>1540.5516522</v>
      </c>
      <c r="D16" s="0" t="n">
        <f aca="false">-D12</f>
        <v>1714.213838448</v>
      </c>
      <c r="E16" s="0" t="n">
        <f aca="false">-E12</f>
        <v>1888.1561249964</v>
      </c>
      <c r="F16" s="0" t="n">
        <f aca="false">-F12</f>
        <v>2058.62964942465</v>
      </c>
      <c r="G16" s="0" t="n">
        <f aca="false">-G12</f>
        <v>2221.60449667077</v>
      </c>
      <c r="H16" s="0" t="n">
        <f aca="false">-H12</f>
        <v>2321.57669902095</v>
      </c>
      <c r="I16" s="0" t="n">
        <f aca="false">-I12</f>
        <v>2414.43976698179</v>
      </c>
      <c r="J16" s="0" t="n">
        <f aca="false">-J12</f>
        <v>2498.94515882615</v>
      </c>
      <c r="K16" s="0" t="n">
        <f aca="false">-K12</f>
        <v>2504.34828349388</v>
      </c>
      <c r="L16" s="0" t="n">
        <f aca="false">-L12</f>
        <v>2579.4787319987</v>
      </c>
    </row>
    <row r="17" customFormat="false" ht="15" hidden="false" customHeight="false" outlineLevel="0" collapsed="false">
      <c r="A17" s="0" t="s">
        <v>122</v>
      </c>
      <c r="C17" s="4" t="n">
        <f aca="false">-C6*Assumptions!C46/100</f>
        <v>-2100.752253</v>
      </c>
      <c r="D17" s="4" t="n">
        <f aca="false">-D6*Assumptions!D46/100</f>
        <v>-2520.9027036</v>
      </c>
      <c r="E17" s="4" t="n">
        <f aca="false">-E6*Assumptions!E46/100</f>
        <v>-2697.365892852</v>
      </c>
      <c r="F17" s="4" t="n">
        <f aca="false">-F6*Assumptions!F46/100</f>
        <v>-2744.8395325662</v>
      </c>
      <c r="G17" s="4" t="n">
        <f aca="false">-G6*Assumptions!G46/100</f>
        <v>-2701.95141486985</v>
      </c>
      <c r="H17" s="4" t="n">
        <f aca="false">-H6*Assumptions!H46/100</f>
        <v>-2635.30327996973</v>
      </c>
      <c r="I17" s="4" t="n">
        <f aca="false">-I6*Assumptions!I46/100</f>
        <v>-2610.20515349382</v>
      </c>
      <c r="J17" s="4" t="n">
        <f aca="false">-J6*Assumptions!J46/100</f>
        <v>-2701.56233386611</v>
      </c>
      <c r="K17" s="4" t="n">
        <f aca="false">-K6*Assumptions!K46/100</f>
        <v>-2713.04397378504</v>
      </c>
      <c r="L17" s="4" t="n">
        <f aca="false">-L6*Assumptions!L46/100</f>
        <v>-2794.43529299859</v>
      </c>
    </row>
    <row r="18" customFormat="false" ht="15" hidden="false" customHeight="false" outlineLevel="0" collapsed="false">
      <c r="A18" s="0" t="s">
        <v>123</v>
      </c>
      <c r="C18" s="4" t="n">
        <f aca="false">(C6-B6)*Assumptions!$B$51/100</f>
        <v>172.90142</v>
      </c>
      <c r="D18" s="4" t="n">
        <f aca="false">(D6-C6)*Assumptions!$B$51/100</f>
        <v>186.7335336</v>
      </c>
      <c r="E18" s="4" t="n">
        <f aca="false">(E6-D6)*Assumptions!$B$51/100</f>
        <v>176.463189252</v>
      </c>
      <c r="F18" s="4" t="n">
        <f aca="false">(F6-E6)*Assumptions!$B$51/100</f>
        <v>161.84195357112</v>
      </c>
      <c r="G18" s="4" t="n">
        <f aca="false">(G6-F6)*Assumptions!$B$51/100</f>
        <v>142.960392321156</v>
      </c>
      <c r="H18" s="4" t="n">
        <f aca="false">(H6-G6)*Assumptions!$B$51/100</f>
        <v>135.097570743492</v>
      </c>
      <c r="I18" s="4" t="n">
        <f aca="false">(I6-H6)*Assumptions!$B$51/100</f>
        <v>125.490632379511</v>
      </c>
      <c r="J18" s="4" t="n">
        <f aca="false">(J6-I6)*Assumptions!$B$51/100</f>
        <v>114.196475465355</v>
      </c>
      <c r="K18" s="4" t="n">
        <f aca="false">(K6-J6)*Assumptions!$B$51/100</f>
        <v>101.308587519979</v>
      </c>
      <c r="L18" s="4" t="n">
        <f aca="false">(L6-K6)*Assumptions!$B$51/100</f>
        <v>104.347845145578</v>
      </c>
    </row>
    <row r="19" customFormat="false" ht="15" hidden="false" customHeight="false" outlineLevel="0" collapsed="false">
      <c r="A19" s="0" t="s">
        <v>124</v>
      </c>
      <c r="C19" s="0" t="n">
        <f aca="false">C15+C16+C17+C18</f>
        <v>3141.96460424</v>
      </c>
      <c r="D19" s="0" t="n">
        <f aca="false">D15+D16+D17+D18</f>
        <v>3332.8201076928</v>
      </c>
      <c r="E19" s="0" t="n">
        <f aca="false">E15+E16+E17+E18</f>
        <v>3747.77563138805</v>
      </c>
      <c r="F19" s="0" t="n">
        <f aca="false">F15+F16+F17+F18</f>
        <v>4279.10125242042</v>
      </c>
      <c r="G19" s="0" t="n">
        <f aca="false">G15+G16+G17+G18</f>
        <v>4874.37753658214</v>
      </c>
      <c r="H19" s="0" t="n">
        <f aca="false">H15+H16+H17+H18</f>
        <v>5267.66443506548</v>
      </c>
      <c r="I19" s="0" t="n">
        <f aca="false">I15+I16+I17+I18</f>
        <v>5593.87042894907</v>
      </c>
      <c r="J19" s="0" t="n">
        <f aca="false">J15+J16+J17+J18</f>
        <v>5773.96956491485</v>
      </c>
      <c r="K19" s="0" t="n">
        <f aca="false">K15+K16+K17+K18</f>
        <v>5979.5705307209</v>
      </c>
      <c r="L19" s="0" t="n">
        <f aca="false">L15+L16+L17+L18</f>
        <v>6158.95764664253</v>
      </c>
    </row>
    <row r="20" customFormat="false" ht="15" hidden="false" customHeight="false" outlineLevel="0" collapsed="false">
      <c r="A20" s="0" t="s">
        <v>125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126</v>
      </c>
      <c r="C21" s="0" t="n">
        <f aca="false">C19*C20</f>
        <v>2882.53633416514</v>
      </c>
      <c r="D21" s="0" t="n">
        <f aca="false">D19*D20</f>
        <v>2805.16800580153</v>
      </c>
      <c r="E21" s="0" t="n">
        <f aca="false">E19*E20</f>
        <v>2893.97042953328</v>
      </c>
      <c r="F21" s="0" t="n">
        <f aca="false">F19*F20</f>
        <v>3031.42320791528</v>
      </c>
      <c r="G21" s="0" t="n">
        <f aca="false">G19*G20</f>
        <v>3168.01094969234</v>
      </c>
      <c r="H21" s="0" t="n">
        <f aca="false">H19*H20</f>
        <v>3140.93619159321</v>
      </c>
      <c r="I21" s="0" t="n">
        <f aca="false">I19*I20</f>
        <v>3060.03868585152</v>
      </c>
      <c r="J21" s="0" t="n">
        <f aca="false">J19*J20</f>
        <v>2897.76062448761</v>
      </c>
      <c r="K21" s="0" t="n">
        <f aca="false">K19*K20</f>
        <v>2753.16038192093</v>
      </c>
      <c r="L21" s="0" t="n">
        <f aca="false">L19*L20</f>
        <v>2601.61026915464</v>
      </c>
    </row>
    <row r="23" customFormat="false" ht="15" hidden="false" customHeight="false" outlineLevel="0" collapsed="false">
      <c r="A23" s="0" t="s">
        <v>102</v>
      </c>
      <c r="C23" s="4" t="n">
        <f aca="false">Assumptions!C44</f>
        <v>2.4</v>
      </c>
      <c r="D23" s="4" t="n">
        <f aca="false">Assumptions!D44</f>
        <v>2.4</v>
      </c>
      <c r="E23" s="4" t="n">
        <f aca="false">Assumptions!E44</f>
        <v>2.4</v>
      </c>
      <c r="F23" s="4" t="n">
        <f aca="false">Assumptions!F44</f>
        <v>2.4</v>
      </c>
      <c r="G23" s="4" t="n">
        <f aca="false">Assumptions!G44</f>
        <v>2.4</v>
      </c>
      <c r="H23" s="4" t="n">
        <f aca="false">Assumptions!H44</f>
        <v>2.4</v>
      </c>
      <c r="I23" s="4" t="n">
        <f aca="false">Assumptions!I44</f>
        <v>2.4</v>
      </c>
      <c r="J23" s="4" t="n">
        <f aca="false">Assumptions!J44</f>
        <v>2.4</v>
      </c>
      <c r="K23" s="4" t="n">
        <f aca="false">Assumptions!K44</f>
        <v>2.4</v>
      </c>
      <c r="L23" s="4" t="n">
        <f aca="false">Assumptions!L44</f>
        <v>2.4</v>
      </c>
    </row>
    <row r="24" customFormat="false" ht="15" hidden="false" customHeight="false" outlineLevel="0" collapsed="false">
      <c r="A24" s="0" t="s">
        <v>127</v>
      </c>
      <c r="C24" s="0" t="n">
        <f aca="false">-C6*C23/100</f>
        <v>-1120.4012016</v>
      </c>
      <c r="D24" s="0" t="n">
        <f aca="false">-D6*D23/100</f>
        <v>-1210.033297728</v>
      </c>
      <c r="E24" s="0" t="n">
        <f aca="false">-E6*E23/100</f>
        <v>-1294.73562856896</v>
      </c>
      <c r="F24" s="0" t="n">
        <f aca="false">-F6*F23/100</f>
        <v>-1372.4197662831</v>
      </c>
      <c r="G24" s="0" t="n">
        <f aca="false">-G6*G23/100</f>
        <v>-1441.04075459725</v>
      </c>
      <c r="H24" s="0" t="n">
        <f aca="false">-H6*H23/100</f>
        <v>-1505.88758855413</v>
      </c>
      <c r="I24" s="0" t="n">
        <f aca="false">-I6*I23/100</f>
        <v>-1566.12309209629</v>
      </c>
      <c r="J24" s="0" t="n">
        <f aca="false">-J6*J23/100</f>
        <v>-1620.93740031966</v>
      </c>
      <c r="K24" s="0" t="n">
        <f aca="false">-K6*K23/100</f>
        <v>-1669.56552232925</v>
      </c>
      <c r="L24" s="0" t="n">
        <f aca="false">-L6*L23/100</f>
        <v>-1719.65248799913</v>
      </c>
    </row>
    <row r="26" customFormat="false" ht="15" hidden="false" customHeight="false" outlineLevel="0" collapsed="false">
      <c r="A26" s="2" t="s">
        <v>128</v>
      </c>
    </row>
    <row r="27" customFormat="false" ht="15" hidden="false" customHeight="false" outlineLevel="0" collapsed="false">
      <c r="A27" s="0" t="s">
        <v>106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107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108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129</v>
      </c>
      <c r="B30" s="0" t="n">
        <f aca="false">SUM(C21:L21)</f>
        <v>29234.6150801155</v>
      </c>
    </row>
    <row r="31" customFormat="false" ht="15" hidden="false" customHeight="false" outlineLevel="0" collapsed="false">
      <c r="A31" s="0" t="s">
        <v>130</v>
      </c>
      <c r="B31" s="0" t="n">
        <f aca="false">L19</f>
        <v>6158.95764664253</v>
      </c>
    </row>
    <row r="32" customFormat="false" ht="15" hidden="false" customHeight="false" outlineLevel="0" collapsed="false">
      <c r="A32" s="0" t="s">
        <v>131</v>
      </c>
      <c r="B32" s="0" t="n">
        <f aca="false">IF(B27&gt;B28,B31*(1+B28/100)/((B27-B28)/100),B31*B29)</f>
        <v>97122.0244278244</v>
      </c>
    </row>
    <row r="33" customFormat="false" ht="15" hidden="false" customHeight="false" outlineLevel="0" collapsed="false">
      <c r="A33" s="0" t="s">
        <v>132</v>
      </c>
      <c r="B33" s="0" t="n">
        <f aca="false">B31*B29</f>
        <v>92384.3646996379</v>
      </c>
    </row>
    <row r="34" customFormat="false" ht="15" hidden="false" customHeight="false" outlineLevel="0" collapsed="false">
      <c r="A34" s="0" t="s">
        <v>133</v>
      </c>
      <c r="B34" s="0" t="n">
        <f aca="false">MAX(0,MIN(B32,B33))</f>
        <v>92384.3646996379</v>
      </c>
    </row>
    <row r="35" customFormat="false" ht="15" hidden="false" customHeight="false" outlineLevel="0" collapsed="false">
      <c r="A35" s="0" t="s">
        <v>134</v>
      </c>
      <c r="B35" s="0" t="n">
        <f aca="false">B34/(1+B27/100)^L4</f>
        <v>39024.1540373196</v>
      </c>
    </row>
    <row r="36" customFormat="false" ht="15" hidden="false" customHeight="false" outlineLevel="0" collapsed="false">
      <c r="A36" s="0" t="s">
        <v>135</v>
      </c>
      <c r="B36" s="0" t="n">
        <f aca="false">B30+B35</f>
        <v>68258.7691174351</v>
      </c>
    </row>
    <row r="37" customFormat="false" ht="15" hidden="false" customHeight="false" outlineLevel="0" collapsed="false">
      <c r="A37" s="0" t="s">
        <v>136</v>
      </c>
      <c r="B37" s="0" t="n">
        <f aca="false">B36+Assumptions!$B$5-Assumptions!$B$4</f>
        <v>76566.9691174351</v>
      </c>
    </row>
    <row r="38" customFormat="false" ht="15" hidden="false" customHeight="false" outlineLevel="0" collapsed="false">
      <c r="A38" s="0" t="s">
        <v>137</v>
      </c>
      <c r="B38" s="0" t="n">
        <f aca="false">B37/Assumptions!$B$3*Assumptions!$B$10</f>
        <v>16.6085465811607</v>
      </c>
    </row>
    <row r="39" customFormat="false" ht="15" hidden="false" customHeight="false" outlineLevel="0" collapsed="false">
      <c r="A39" s="0" t="s">
        <v>138</v>
      </c>
      <c r="B39" s="4" t="n">
        <f aca="false">B38/Assumptions!$B$2-1</f>
        <v>0.79940916372272</v>
      </c>
    </row>
    <row r="41" customFormat="false" ht="15" hidden="false" customHeight="false" outlineLevel="0" collapsed="false">
      <c r="A41" s="0" t="s">
        <v>139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140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141</v>
      </c>
      <c r="B43" s="0" t="n">
        <f aca="false">(B37+B41+B42)/Assumptions!$B$3*Assumptions!$B$10</f>
        <v>16.6085465811607</v>
      </c>
    </row>
    <row r="45" customFormat="false" ht="15" hidden="false" customHeight="false" outlineLevel="0" collapsed="false">
      <c r="A45" s="0" t="s">
        <v>82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142</v>
      </c>
      <c r="B46" s="0" t="n">
        <f aca="false">MAX(0,MIN(IF(B45&gt;B28,B31*(1+B28/100)/((B45-B28)/100),B31*B29),B31*B29))</f>
        <v>50503.4527024687</v>
      </c>
    </row>
    <row r="47" customFormat="false" ht="15" hidden="false" customHeight="false" outlineLevel="0" collapsed="false">
      <c r="A47" s="0" t="s">
        <v>143</v>
      </c>
      <c r="B47" s="0" t="n">
        <f aca="false">(SUMPRODUCT(C19:L19/(1+B45/100)^C4:L4)+B46/(1+B45/100)^L4+Assumptions!$B$5-Assumptions!$B$4)/Assumptions!$B$3*Assumptions!$B$10</f>
        <v>9.29879930990613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146</v>
      </c>
    </row>
    <row r="3" customFormat="false" ht="15" hidden="false" customHeight="false" outlineLevel="0" collapsed="false">
      <c r="A3" s="2" t="s">
        <v>147</v>
      </c>
      <c r="B3" s="2" t="s">
        <v>148</v>
      </c>
      <c r="C3" s="2" t="s">
        <v>138</v>
      </c>
      <c r="D3" s="2" t="s">
        <v>149</v>
      </c>
      <c r="E3" s="2" t="s">
        <v>141</v>
      </c>
      <c r="F3" s="2" t="s">
        <v>150</v>
      </c>
    </row>
    <row r="4" customFormat="false" ht="15" hidden="false" customHeight="false" outlineLevel="0" collapsed="false">
      <c r="A4" s="0" t="s">
        <v>151</v>
      </c>
      <c r="B4" s="4" t="n">
        <f aca="false">DCF_Bear!$B$38</f>
        <v>9.31088688225528</v>
      </c>
      <c r="C4" s="0" t="n">
        <f aca="false">B4/Assumptions!$B$2-1</f>
        <v>0.00876347586731119</v>
      </c>
      <c r="D4" s="4" t="n">
        <f aca="false">Assumptions!$B$24</f>
        <v>0.3</v>
      </c>
      <c r="E4" s="4" t="n">
        <f aca="false">DCF_Bear!$B$43</f>
        <v>9.31088688225528</v>
      </c>
      <c r="F4" s="4" t="n">
        <f aca="false">DCF_Bear!$B$47</f>
        <v>5.96126611334406</v>
      </c>
    </row>
    <row r="5" customFormat="false" ht="15" hidden="false" customHeight="false" outlineLevel="0" collapsed="false">
      <c r="A5" s="0" t="s">
        <v>152</v>
      </c>
      <c r="B5" s="4" t="n">
        <f aca="false">DCF_Base!$B$38</f>
        <v>12.881277559398</v>
      </c>
      <c r="C5" s="0" t="n">
        <f aca="false">B5/Assumptions!$B$2-1</f>
        <v>0.395588034604337</v>
      </c>
      <c r="D5" s="4" t="n">
        <f aca="false">Assumptions!$B$38</f>
        <v>0.5</v>
      </c>
      <c r="E5" s="4" t="n">
        <f aca="false">DCF_Base!$B$43</f>
        <v>12.881277559398</v>
      </c>
      <c r="F5" s="4" t="n">
        <f aca="false">DCF_Base!$B$47</f>
        <v>7.55558790550943</v>
      </c>
    </row>
    <row r="6" customFormat="false" ht="15" hidden="false" customHeight="false" outlineLevel="0" collapsed="false">
      <c r="A6" s="0" t="s">
        <v>153</v>
      </c>
      <c r="B6" s="4" t="n">
        <f aca="false">DCF_Bull!$B$38</f>
        <v>16.6085465811607</v>
      </c>
      <c r="C6" s="0" t="n">
        <f aca="false">B6/Assumptions!$B$2-1</f>
        <v>0.79940916372272</v>
      </c>
      <c r="D6" s="4" t="n">
        <f aca="false">Assumptions!$B$52</f>
        <v>0.2</v>
      </c>
      <c r="E6" s="4" t="n">
        <f aca="false">DCF_Bull!$B$43</f>
        <v>16.6085465811607</v>
      </c>
      <c r="F6" s="4" t="n">
        <f aca="false">DCF_Bull!$B$47</f>
        <v>9.29879930990613</v>
      </c>
    </row>
    <row r="8" customFormat="false" ht="15" hidden="false" customHeight="false" outlineLevel="0" collapsed="false">
      <c r="A8" s="0" t="s">
        <v>154</v>
      </c>
      <c r="B8" s="0" t="n">
        <f aca="false">SUMPRODUCT(B4:B6,D4:D6)</f>
        <v>12.5556141606077</v>
      </c>
    </row>
    <row r="9" customFormat="false" ht="15" hidden="false" customHeight="false" outlineLevel="0" collapsed="false">
      <c r="A9" s="0" t="s">
        <v>155</v>
      </c>
      <c r="B9" s="0" t="n">
        <f aca="false">SUMPRODUCT(E4:E6,D4:D6)</f>
        <v>12.5556141606077</v>
      </c>
    </row>
    <row r="10" customFormat="false" ht="15" hidden="false" customHeight="false" outlineLevel="0" collapsed="false">
      <c r="A10" s="0" t="s">
        <v>156</v>
      </c>
      <c r="B10" s="0" t="n">
        <f aca="false">1-Assumptions!$B$2/B8</f>
        <v>0.264870687970135</v>
      </c>
    </row>
    <row r="11" customFormat="false" ht="15" hidden="false" customHeight="false" outlineLevel="0" collapsed="false">
      <c r="A11" s="0" t="s">
        <v>157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158</v>
      </c>
      <c r="B12" s="0" t="n">
        <f aca="false">SUMPRODUCT(F4:F6,D4:D6)</f>
        <v>7.42593364873916</v>
      </c>
    </row>
    <row r="14" customFormat="false" ht="15" hidden="false" customHeight="false" outlineLevel="0" collapsed="false">
      <c r="A14" s="2" t="s">
        <v>159</v>
      </c>
      <c r="C14" s="0" t="s">
        <v>160</v>
      </c>
    </row>
    <row r="15" customFormat="false" ht="15" hidden="false" customHeight="false" outlineLevel="0" collapsed="false">
      <c r="A15" s="0" t="s">
        <v>161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12.881277559398</v>
      </c>
      <c r="C15" s="3" t="n">
        <v>9</v>
      </c>
    </row>
    <row r="16" customFormat="false" ht="15" hidden="false" customHeight="false" outlineLevel="0" collapsed="false">
      <c r="A16" s="0" t="s">
        <v>162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11.6223127380943</v>
      </c>
      <c r="C16" s="3" t="n">
        <v>10</v>
      </c>
    </row>
    <row r="17" customFormat="false" ht="15" hidden="false" customHeight="false" outlineLevel="0" collapsed="false">
      <c r="A17" s="0" t="s">
        <v>163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10.4222305276644</v>
      </c>
      <c r="C17" s="3" t="n">
        <v>11</v>
      </c>
    </row>
    <row r="18" customFormat="false" ht="15" hidden="false" customHeight="false" outlineLevel="0" collapsed="false">
      <c r="A18" s="0" t="s">
        <v>164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9.47668883001414</v>
      </c>
      <c r="C18" s="3" t="n">
        <v>12</v>
      </c>
    </row>
    <row r="19" customFormat="false" ht="15" hidden="false" customHeight="false" outlineLevel="0" collapsed="false">
      <c r="A19" s="0" t="s">
        <v>165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7.55558790550943</v>
      </c>
      <c r="C19" s="3" t="n">
        <v>15</v>
      </c>
    </row>
    <row r="21" customFormat="false" ht="15" hidden="false" customHeight="false" outlineLevel="0" collapsed="false">
      <c r="A21" s="2" t="s">
        <v>166</v>
      </c>
    </row>
    <row r="22" customFormat="false" ht="15" hidden="false" customHeight="false" outlineLevel="0" collapsed="false">
      <c r="B22" s="3" t="n">
        <v>1.5</v>
      </c>
      <c r="C22" s="3" t="n">
        <v>2</v>
      </c>
      <c r="D22" s="3" t="n">
        <v>2.5</v>
      </c>
      <c r="E22" s="3" t="n">
        <v>3</v>
      </c>
      <c r="F22" s="3" t="n">
        <v>3.5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14.6369168302201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14.6369168302201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14.6369168302201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14.6369168302201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14.6369168302201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13.7181880977951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13.7181880977951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13.7181880977951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13.7181880977951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13.7181880977951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12.2838912522604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12.7067166254942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12.881277559398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12.881277559398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12.881277559398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10.9808455213911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11.2815332792207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11.6223127380943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12.0117749768069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12.1179919510013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9.95542124736977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10.1758589630645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10.4222305276644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10.6993985378394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11.0135222827043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2026-10-23T16:48:37Z</dcterms:created>
  <dc:creator>openpyxl</dc:creator>
  <dc:description/>
  <dc:language>en-NZ</dc:language>
  <cp:lastModifiedBy/>
  <dcterms:modified xsi:type="dcterms:W3CDTF">2026-10-23T16:48:37Z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