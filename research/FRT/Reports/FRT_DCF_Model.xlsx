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<sst xmlns="http://schemas.openxmlformats.org/spreadsheetml/2006/main" count="387" uniqueCount="174">
  <si>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</si>
  <si>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FRT</t>
  </si>
  <si>
    <t xml:space="preserve">Company</t>
  </si>
  <si>
    <t xml:space="preserve">Federal Realty Investment Trust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</si>
  <si>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</si>
  <si>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</si>
  <si>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</si>
  <si>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</si>
  <si>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2026-09-25T20:00:03Z NYSE regular close (Yahoo v8 chart meta); 52-week range 90.03-128.21</t>
  </si>
  <si>
    <t xml:space="preserve">Balance sheet date</t>
  </si>
  <si>
    <t xml:space="preserve">2026-06-30</t>
  </si>
  <si>
    <t xml:space="preserve">Model</t>
  </si>
  <si>
    <t xml:space="preserve">REIT AFFO capitalisation at cost of equity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</si>
  <si>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</si>
  <si>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</si>
  <si>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</si>
  <si>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</si>
  <si>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</si>
  <si>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</si>
  <si>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</si>
  <si>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</si>
  <si>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2026-09-28T08:34:31Z</t>
  </si>
  <si>
    <t xml:space="preserve">Drivers file</t>
  </si>
  <si>
    <t xml:space="preserve">FRT_Drivers.json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</si>
  <si>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</si>
  <si>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</si>
  <si>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</si>
  <si>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Capitalise the distributable cash flow FRT actually produces for common shareholders -- AFFO, i.e. Core FFO after recurring re-leasing capital, maintenance capex and non-cash straight-line rent -- at a USD cost of equity, with no net-debt deduction because the flow is already after interest and preferred dividends. GAAP net income (gains on sale, real-estate depreciation), reported OCF less all capex (which mixes growth development spend into the series) and depreciated-cost book value are each recorded as cross-checks but not valued. The three scenarios vary the leasing/occupancy cycle, the refinancing coupon on 2027-2029 maturities and re-leasing capital intensity; the discount rate is held at 10.7% in all three so risk is charged once, in the flows. The valuation is deliberately more demanding than the market's ~5% AFFO yield: it asks what the stream is worth to an owner requiring an equity return, not what a yield-seeking buyer will pay.
key_risks_to_valuation: The AFFO bridge is a house reconstruction: FRT does not publish an AFFO reconciliation in its earnings release, and the tenant-improvement line it labels 'non-maintenance' is deducted here in full (US$80.1m FY2025). If a material share of that TI is first-generation redevelopment spend, AFFO is understated by up to ~US$0.5/share and every scenario is ~10% too low; if the Investor Day AFFO definition also deducts in-place lease amortisation, it is ~US$0.1/share too high.; Discount-rate sensitivity: at a 10.7% cost of equity the base value sits far below the price, and each 1pp on the rate moves the base value by roughly 12-15% (see the sensitivity grid). The market is capitalising FRT's AFFO at ~7.5-8% with growth; the required_return_table shows what today's price implies.; Refinancing coupon on the US$893m 2027 maturities, the US$1.0bn floating term loans (US$450m swapped to Mar-2028) and the US$485m 3.25% exchangeable notes due Jan-2029 -- each 1pp is ~1pp of FFO margin.; Growth rates are per-share-equivalent on a flat 86.8m diluted count; if ATM issuance (US$60m H1 2026) funds dilutive rather than accretive deployment, per-share growth undershoots the paths.; Development execution on the ~US$400m residential densification pipeline (entitlements, construction cost inflation, lease-up) and the assumed ~US$27m of stabilised POI.; Price is the 25-Sep-2026 regular close; the valuation date is the following Monday. Guidance is as of 31-Jul-2026; Q3 2026 results (early Nov) will refresh it.</t>
  </si>
  <si>
    <t xml:space="preserve">Data sources</t>
  </si>
  <si>
    <t xml:space="preserve">price: Yahoo Finance v8 chart API at inputs.price_as_of (NYSE regular close); 52-week range 90.03-128.21.
financials: SEC XBRL company facts via FRT_Metrics.csv (revenue, net income, OCF, equity, debt, shares through Q1 2026); FY2025 year-end earnings release (8-K filed 2026-02-12, ex-99.1) and Q2 2026 earnings release (8-K filed 2026-07-31, ex-99.1) for the Nareit/Core FFO reconciliations, capital-expenditure summaries, leasing costs, straight-line rent, dividends, debt maturities and 2026 guidance; Q2 2026 10-Q (filed 2026-07-31) for the 30-Jun-2026 balance sheet, cash-flow statement and diluted share tables; FY2020, FY2022 and FY2024 year-end releases for the FFO/share history; ^TNX via Yahoo for the risk-free rate.
qualitative: FRT_Analysis.json (2026-09-28): business model, moat, risks, growth drivers, Q2 2026 developments and guidance, bull/bear cases.</t>
  </si>
  <si>
    <t xml:space="preserve">Scenario narrative: bear</t>
  </si>
  <si>
    <t xml:space="preserve">A consumer/tariff-driven slowdown brings a wave of retailer bankruptcies; small-shop occupancy slips below 90% and releasing spreads compress to low single digits. Higher-for-longer rates reprice the US$893m of 2027 maturities and the 2029 exchangeable notes at 5.5-6%, compressing the Core FFO margin ~3pp, while re-tenanting vacated space pushes TI and leasing costs to 14% of revenue. FFO/share growth stalls at 1-2% from FY2027, AFFO conversion falls toward 69%, and the dividend payout of AFFO exceeds 95% -- the 59-year growth streak survives only through token increases. Exit at an 8.5% AFFO yield.</t>
  </si>
  <si>
    <t xml:space="preserve">Scenario narrative: base</t>
  </si>
  <si>
    <t xml:space="preserve">FRT executes the plan laid out at its May-2026 Investor Day: Core FFO/share lands at the ~US$7.52 guidance midpoint in FY2026 on record leasing and FY2025 acquisitions, then compounds ~4-5%/yr through FY2029 as the ~US$400m residential densification pipeline delivers ~US$27m of POI and comparable POI grows ~3.5%, before fading to 2.5% escalator-driven growth. Interest expense on the 2026-2027 refinancings caps the Core FFO margin near 47.5%, and the FFO-to-AFFO bridge stays at ~12% of revenue, so AFFO/share grows from US$5.21 (FY2025) to ~US$5.55 (FY2026E) and ~US$7.7 by FY2035. The dividend (US$4.64) stays ~85% covered by AFFO. Capitalised at a 10.7% cost of equity the stream is worth materially less than the market's ~20x AFFO multiple implies; the gap is the discount rate, not the business.</t>
  </si>
  <si>
    <t xml:space="preserve">Scenario narrative: bull</t>
  </si>
  <si>
    <t xml:space="preserve">The leasing supercycle in supply-constrained coastal retail persists: 2026's record volume commences through FY2027-FY2028 at mid-teens cash spreads, small-shop occupancy exceeds 93%, the residential pipeline delivers on time, and a Fed easing cycle lowers refinancing coupons and reopens accretive acquisitions in the new central markets at a sub-5% effective cost of capital. Core FFO/share compounds ~6%/yr through FY2029 (top of the Investor Day framework), the FFO margin expands ~1pp as interest expense lags revenue, and re-leasing capital intensity eases to 11.5% of revenue.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</si>
  <si>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</si>
  <si>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</si>
  <si>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</si>
  <si>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</si>
  <si>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</si>
  <si>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</si>
  <si>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</si>
  <si>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</si>
  <si>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</si>
  <si>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</si>
  <si>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</si>
  <si>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</si>
  <si>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</si>
  <si>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</si>
  <si>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</si>
  <si>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</si>
  <si>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</si>
  <si>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</si>
  <si>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</si>
  <si>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</si>
  <si>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</si>
  <si>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</si>
  <si>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</si>
  <si>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</si>
  <si>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</si>
  <si>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</si>
  <si>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</si>
  <si>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</si>
  <si>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</si>
  <si>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</si>
  <si>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</si>
  <si>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</si>
  <si>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</si>
  <si>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</si>
  <si>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</si>
  <si>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</si>
  <si>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</si>
  <si>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</si>
  <si>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</si>
  <si>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</si>
  <si>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</si>
  <si>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</si>
  <si>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</si>
  <si>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</si>
  <si>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</si>
  <si>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</si>
  <si>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</si>
  <si>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</si>
  <si>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</si>
  <si>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</si>
  <si>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</si>
  <si>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</si>
  <si>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</si>
  <si>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</si>
  <si>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</si>
  <si>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</si>
  <si>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</si>
  <si>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</si>
  <si>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</si>
  <si>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</si>
  <si>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</si>
  <si>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</si>
  <si>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</si>
  <si>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</si>
  <si>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</si>
  <si>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</si>
  <si>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</si>
  <si>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</si>
  <si>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</si>
  <si>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</si>
  <si>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</si>
  <si>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</si>
  <si>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</si>
  <si>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</si>
  <si>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</si>
  <si>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</si>
  <si>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</si>
  <si>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</si>
  <si>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</si>
  <si>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</si>
  <si>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</si>
  <si>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</si>
  <si>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</si>
  <si>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FRT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</si>
  <si>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</si>
  <si>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</si>
  <si>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</si>
  <si>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</si>
  <si>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</si>
  <si>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</si>
  <si>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</si>
  <si>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</si>
  <si>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</si>
  <si>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</si>
  <si>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</si>
  <si>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</si>
  <si>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</si>
  <si>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</si>
  <si>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</si>
  <si>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</si>
  <si>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</si>
  <si>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</si>
  <si>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</si>
  <si>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</si>
  <si>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</si>
  <si>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</si>
  <si>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</si>
  <si>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</si>
  <si>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</si>
  <si>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</si>
  <si>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</si>
  <si>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</si>
  <si>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</si>
  <si>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</si>
  <si>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FRT owner-FCF component DCF: base case (millions, USD)</t>
  </si>
  <si>
    <t xml:space="preserve">FRT owner-FCF component DCF: bull case (millions, USD)</t>
  </si>
  <si>
    <t xml:space="preserve">FRT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</si>
  <si>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</si>
  <si>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</si>
  <si>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</si>
  <si>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</si>
  <si>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</si>
  <si>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</si>
  <si>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</si>
  <si>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</si>
  <si>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</si>
  <si>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</si>
  <si>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</si>
  <si>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</si>
  <si>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</si>
  <si>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</si>
  <si>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</si>
  <si>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</si>
  <si>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10.7%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</si>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</sst>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110.52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1146.45</v>
      </c>
      <c r="S2" s="0" t="n">
        <v>50.691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519.611</v>
      </c>
      <c r="F3" s="0" t="n">
        <v>217.251</v>
      </c>
      <c r="G3" s="0" t="n">
        <v>41.8103157939305</v>
      </c>
      <c r="H3" s="0" t="n">
        <v>327.999</v>
      </c>
      <c r="I3" s="0" t="n">
        <v>135.153</v>
      </c>
      <c r="J3" s="0" t="n">
        <v>26.0104193329241</v>
      </c>
      <c r="K3" s="0" t="n">
        <v>2.19</v>
      </c>
      <c r="L3" s="0" t="n">
        <v>228.285</v>
      </c>
      <c r="O3" s="0" t="n">
        <v>1084.569</v>
      </c>
      <c r="S3" s="0" t="n">
        <v>15.223</v>
      </c>
      <c r="T3" s="0" t="n">
        <v>58.889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528.569</v>
      </c>
      <c r="F4" s="0" t="n">
        <v>209.529</v>
      </c>
      <c r="G4" s="0" t="n">
        <v>39.6408037550443</v>
      </c>
      <c r="H4" s="0" t="n">
        <v>323.972</v>
      </c>
      <c r="I4" s="0" t="n">
        <v>103.872</v>
      </c>
      <c r="J4" s="0" t="n">
        <v>19.6515497503637</v>
      </c>
      <c r="K4" s="0" t="n">
        <v>1.63</v>
      </c>
      <c r="L4" s="0" t="n">
        <v>256.765</v>
      </c>
      <c r="O4" s="0" t="n">
        <v>1151.738</v>
      </c>
      <c r="P4" s="0" t="n">
        <v>3222.309</v>
      </c>
      <c r="Q4" s="0" t="n">
        <v>2013.246</v>
      </c>
      <c r="S4" s="0" t="n">
        <v>135.389</v>
      </c>
      <c r="T4" s="0" t="n">
        <v>61.24205</v>
      </c>
      <c r="U4" s="0" t="n">
        <v>7.139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541.797</v>
      </c>
      <c r="F5" s="0" t="n">
        <v>229.218</v>
      </c>
      <c r="G5" s="0" t="n">
        <v>42.3069895182144</v>
      </c>
      <c r="H5" s="0" t="n">
        <v>348.096</v>
      </c>
      <c r="I5" s="0" t="n">
        <v>128.237</v>
      </c>
      <c r="J5" s="0" t="n">
        <v>23.6688279927722</v>
      </c>
      <c r="K5" s="0" t="n">
        <v>1.99</v>
      </c>
      <c r="L5" s="0" t="n">
        <v>256.735</v>
      </c>
      <c r="O5" s="0" t="n">
        <v>1115.768</v>
      </c>
      <c r="P5" s="0" t="n">
        <v>3159.553</v>
      </c>
      <c r="Q5" s="0" t="n">
        <v>1978.423</v>
      </c>
      <c r="S5" s="0" t="n">
        <v>15.797</v>
      </c>
      <c r="T5" s="0" t="n">
        <v>61.526418</v>
      </c>
      <c r="U5" s="0" t="n">
        <v>6.487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551.103</v>
      </c>
      <c r="F6" s="0" t="n">
        <v>226.462</v>
      </c>
      <c r="G6" s="0" t="n">
        <v>41.0924999501001</v>
      </c>
      <c r="H6" s="0" t="n">
        <v>352.35</v>
      </c>
      <c r="I6" s="0" t="n">
        <v>149.612</v>
      </c>
      <c r="J6" s="0" t="n">
        <v>27.1477382630833</v>
      </c>
      <c r="K6" s="0" t="n">
        <v>2.29</v>
      </c>
      <c r="L6" s="0" t="n">
        <v>244.711</v>
      </c>
      <c r="O6" s="0" t="n">
        <v>1240.604</v>
      </c>
      <c r="P6" s="0" t="n">
        <v>3666.21</v>
      </c>
      <c r="Q6" s="0" t="n">
        <v>2340.281</v>
      </c>
      <c r="R6" s="0" t="n">
        <v>2036.782</v>
      </c>
      <c r="S6" s="0" t="n">
        <v>67.806</v>
      </c>
      <c r="T6" s="0" t="n">
        <v>63.54415</v>
      </c>
      <c r="U6" s="0" t="n">
        <v>8.247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605.791</v>
      </c>
      <c r="F7" s="0" t="n">
        <v>253.862</v>
      </c>
      <c r="G7" s="0" t="n">
        <v>41.9058718270823</v>
      </c>
      <c r="H7" s="0" t="n">
        <v>395.563</v>
      </c>
      <c r="I7" s="0" t="n">
        <v>156.232</v>
      </c>
      <c r="J7" s="0" t="n">
        <v>25.7897525714314</v>
      </c>
      <c r="K7" s="0" t="n">
        <v>2.36</v>
      </c>
      <c r="L7" s="0" t="n">
        <v>296.633</v>
      </c>
      <c r="O7" s="0" t="n">
        <v>1310.593</v>
      </c>
      <c r="P7" s="0" t="n">
        <v>3898.565</v>
      </c>
      <c r="Q7" s="0" t="n">
        <v>2493.552</v>
      </c>
      <c r="R7" s="0" t="n">
        <v>2126.508</v>
      </c>
      <c r="S7" s="0" t="n">
        <v>36.988</v>
      </c>
      <c r="T7" s="0" t="n">
        <v>64.815446</v>
      </c>
      <c r="U7" s="0" t="n">
        <v>10.371</v>
      </c>
      <c r="V7" s="0" t="n">
        <v>2.84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637.413</v>
      </c>
      <c r="F8" s="0" t="n">
        <v>254.161</v>
      </c>
      <c r="G8" s="0" t="n">
        <v>39.8738337624115</v>
      </c>
      <c r="H8" s="0" t="n">
        <v>414.989</v>
      </c>
      <c r="I8" s="0" t="n">
        <v>167.608</v>
      </c>
      <c r="J8" s="0" t="n">
        <v>26.2950394798977</v>
      </c>
      <c r="K8" s="0" t="n">
        <v>2.47</v>
      </c>
      <c r="L8" s="0" t="n">
        <v>314.498</v>
      </c>
      <c r="O8" s="0" t="n">
        <v>1471.297</v>
      </c>
      <c r="P8" s="0" t="n">
        <v>4219.294</v>
      </c>
      <c r="Q8" s="0" t="n">
        <v>2643.572</v>
      </c>
      <c r="R8" s="0" t="n">
        <v>2248.513</v>
      </c>
      <c r="S8" s="0" t="n">
        <v>88.927</v>
      </c>
      <c r="T8" s="0" t="n">
        <v>66.701422</v>
      </c>
      <c r="U8" s="0" t="n">
        <v>11.199</v>
      </c>
      <c r="V8" s="0" t="n">
        <v>3.02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686.09</v>
      </c>
      <c r="F9" s="0" t="n">
        <v>271.037</v>
      </c>
      <c r="G9" s="0" t="n">
        <v>39.5045839467125</v>
      </c>
      <c r="H9" s="0" t="n">
        <v>441.851</v>
      </c>
      <c r="I9" s="0" t="n">
        <v>172.289</v>
      </c>
      <c r="J9" s="0" t="n">
        <v>25.1117200367299</v>
      </c>
      <c r="K9" s="0" t="n">
        <v>2.42</v>
      </c>
      <c r="L9" s="0" t="n">
        <v>346.13</v>
      </c>
      <c r="O9" s="0" t="n">
        <v>1692.556</v>
      </c>
      <c r="P9" s="0" t="n">
        <v>4546.87</v>
      </c>
      <c r="Q9" s="0" t="n">
        <v>2735.261</v>
      </c>
      <c r="R9" s="0" t="n">
        <v>2339.584</v>
      </c>
      <c r="S9" s="0" t="n">
        <v>47.951</v>
      </c>
      <c r="T9" s="0" t="n">
        <v>68.605783</v>
      </c>
      <c r="U9" s="0" t="n">
        <v>12.941</v>
      </c>
      <c r="V9" s="0" t="n">
        <v>3.3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744.012</v>
      </c>
      <c r="F10" s="0" t="n">
        <v>300.154</v>
      </c>
      <c r="G10" s="0" t="n">
        <v>40.3426288823299</v>
      </c>
      <c r="H10" s="0" t="n">
        <v>474.95</v>
      </c>
      <c r="I10" s="0" t="n">
        <v>218.424</v>
      </c>
      <c r="J10" s="0" t="n">
        <v>29.3575910065967</v>
      </c>
      <c r="K10" s="0" t="n">
        <v>3.04</v>
      </c>
      <c r="L10" s="0" t="n">
        <v>369.046</v>
      </c>
      <c r="O10" s="0" t="n">
        <v>1781.931</v>
      </c>
      <c r="P10" s="0" t="n">
        <v>4896.559</v>
      </c>
      <c r="Q10" s="0" t="n">
        <v>2977.312</v>
      </c>
      <c r="R10" s="0" t="n">
        <v>2559.794</v>
      </c>
      <c r="S10" s="0" t="n">
        <v>21.046</v>
      </c>
      <c r="T10" s="0" t="n">
        <v>69.493392</v>
      </c>
      <c r="U10" s="0" t="n">
        <v>12.074</v>
      </c>
      <c r="V10" s="0" t="n">
        <v>3.62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801.591</v>
      </c>
      <c r="F11" s="0" t="n">
        <v>320.995</v>
      </c>
      <c r="G11" s="0" t="n">
        <v>40.0447360312179</v>
      </c>
      <c r="H11" s="0" t="n">
        <v>514.58</v>
      </c>
      <c r="I11" s="0" t="n">
        <v>258.883</v>
      </c>
      <c r="J11" s="0" t="n">
        <v>32.2961460395638</v>
      </c>
      <c r="K11" s="0" t="n">
        <v>3.51</v>
      </c>
      <c r="L11" s="0" t="n">
        <v>427.672</v>
      </c>
      <c r="O11" s="0" t="n">
        <v>2075.835</v>
      </c>
      <c r="P11" s="0" t="n">
        <v>5423.279</v>
      </c>
      <c r="Q11" s="0" t="n">
        <v>3203.75</v>
      </c>
      <c r="R11" s="0" t="n">
        <v>2740.752</v>
      </c>
      <c r="S11" s="0" t="n">
        <v>23.368</v>
      </c>
      <c r="T11" s="0" t="n">
        <v>71.995897</v>
      </c>
      <c r="U11" s="0" t="n">
        <v>11.227</v>
      </c>
      <c r="V11" s="0" t="n">
        <v>3.84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857.348</v>
      </c>
      <c r="F12" s="0" t="n">
        <v>410.21</v>
      </c>
      <c r="G12" s="0" t="n">
        <v>47.8463820992176</v>
      </c>
      <c r="H12" s="0" t="n">
        <v>626.26</v>
      </c>
      <c r="I12" s="0" t="n">
        <v>297.87</v>
      </c>
      <c r="J12" s="0" t="n">
        <v>34.7431847977717</v>
      </c>
      <c r="K12" s="0" t="n">
        <v>3.97</v>
      </c>
      <c r="L12" s="0" t="n">
        <v>458.828</v>
      </c>
      <c r="O12" s="0" t="n">
        <v>2391.514</v>
      </c>
      <c r="P12" s="0" t="n">
        <v>6275.755</v>
      </c>
      <c r="Q12" s="0" t="n">
        <v>3743.084</v>
      </c>
      <c r="R12" s="0" t="n">
        <v>3231.58</v>
      </c>
      <c r="S12" s="0" t="n">
        <v>15.188</v>
      </c>
      <c r="T12" s="0" t="n">
        <v>73.090877</v>
      </c>
      <c r="U12" s="0" t="n">
        <v>12.371</v>
      </c>
      <c r="V12" s="0" t="n">
        <v>3.96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915.436</v>
      </c>
      <c r="F13" s="0" t="n">
        <v>361.636</v>
      </c>
      <c r="G13" s="0" t="n">
        <v>39.5042362327896</v>
      </c>
      <c r="H13" s="0" t="n">
        <v>605.881</v>
      </c>
      <c r="I13" s="0" t="n">
        <v>249.026</v>
      </c>
      <c r="J13" s="0" t="n">
        <v>27.2029939831949</v>
      </c>
      <c r="K13" s="0" t="n">
        <v>3.18</v>
      </c>
      <c r="L13" s="0" t="n">
        <v>516.688</v>
      </c>
      <c r="O13" s="0" t="n">
        <v>2467.33</v>
      </c>
      <c r="P13" s="0" t="n">
        <v>6289.644</v>
      </c>
      <c r="Q13" s="0" t="n">
        <v>3686.106</v>
      </c>
      <c r="R13" s="0" t="n">
        <v>3173.9</v>
      </c>
      <c r="S13" s="0" t="n">
        <v>64.087</v>
      </c>
      <c r="T13" s="0" t="n">
        <v>74.249633</v>
      </c>
      <c r="U13" s="0" t="n">
        <v>12.736</v>
      </c>
      <c r="V13" s="0" t="n">
        <v>4.04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935.788</v>
      </c>
      <c r="F14" s="0" t="n">
        <v>470.911</v>
      </c>
      <c r="G14" s="0" t="n">
        <v>50.322402082523</v>
      </c>
      <c r="H14" s="0" t="n">
        <v>710.669</v>
      </c>
      <c r="I14" s="0" t="n">
        <v>360.542</v>
      </c>
      <c r="J14" s="0" t="n">
        <v>38.5281709105054</v>
      </c>
      <c r="K14" s="0" t="n">
        <v>4.61</v>
      </c>
      <c r="L14" s="0" t="n">
        <v>461.919</v>
      </c>
      <c r="O14" s="0" t="n">
        <v>2636.132</v>
      </c>
      <c r="P14" s="0" t="n">
        <v>6794.992</v>
      </c>
      <c r="Q14" s="0" t="n">
        <v>4019.102</v>
      </c>
      <c r="R14" s="0" t="n">
        <v>3370.29</v>
      </c>
      <c r="S14" s="0" t="n">
        <v>127.432</v>
      </c>
      <c r="T14" s="0" t="n">
        <v>75.540804</v>
      </c>
      <c r="U14" s="0" t="n">
        <v>13.33</v>
      </c>
      <c r="V14" s="0" t="n">
        <v>4.14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835.494</v>
      </c>
      <c r="F15" s="0" t="n">
        <v>289.524</v>
      </c>
      <c r="G15" s="0" t="n">
        <v>34.6530316196167</v>
      </c>
      <c r="H15" s="0" t="n">
        <v>544.551</v>
      </c>
      <c r="I15" s="0" t="n">
        <v>135.888</v>
      </c>
      <c r="J15" s="0" t="n">
        <v>16.2643896904107</v>
      </c>
      <c r="K15" s="0" t="n">
        <v>1.62</v>
      </c>
      <c r="L15" s="0" t="n">
        <v>369.929</v>
      </c>
      <c r="O15" s="0" t="n">
        <v>2548.747</v>
      </c>
      <c r="P15" s="0" t="n">
        <v>7607.624</v>
      </c>
      <c r="Q15" s="0" t="n">
        <v>4921.157</v>
      </c>
      <c r="R15" s="0" t="n">
        <v>4308.505</v>
      </c>
      <c r="S15" s="0" t="n">
        <v>798.329</v>
      </c>
      <c r="T15" s="0" t="n">
        <v>76.727394</v>
      </c>
      <c r="U15" s="0" t="n">
        <v>13.243</v>
      </c>
      <c r="V15" s="0" t="n">
        <v>4.22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951.224</v>
      </c>
      <c r="F16" s="0" t="n">
        <v>394.725</v>
      </c>
      <c r="G16" s="0" t="n">
        <v>41.4965349907067</v>
      </c>
      <c r="H16" s="0" t="n">
        <v>674.701</v>
      </c>
      <c r="I16" s="0" t="n">
        <v>269.081</v>
      </c>
      <c r="J16" s="0" t="n">
        <v>28.2878691033868</v>
      </c>
      <c r="K16" s="0" t="n">
        <v>3.26</v>
      </c>
      <c r="L16" s="0" t="n">
        <v>471.352</v>
      </c>
      <c r="O16" s="0" t="n">
        <v>2663.148</v>
      </c>
      <c r="P16" s="0" t="n">
        <v>7622.32</v>
      </c>
      <c r="Q16" s="0" t="n">
        <v>4745.464</v>
      </c>
      <c r="R16" s="0" t="n">
        <v>4063.414</v>
      </c>
      <c r="S16" s="0" t="n">
        <v>162.132</v>
      </c>
      <c r="T16" s="0" t="n">
        <v>78.603305</v>
      </c>
      <c r="U16" s="0" t="n">
        <v>14.434</v>
      </c>
      <c r="V16" s="0" t="n">
        <v>4.26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1074.378</v>
      </c>
      <c r="F17" s="0" t="n">
        <v>526.408</v>
      </c>
      <c r="G17" s="0" t="n">
        <v>48.9965356699411</v>
      </c>
      <c r="H17" s="0" t="n">
        <v>828.817</v>
      </c>
      <c r="I17" s="0" t="n">
        <v>395.661</v>
      </c>
      <c r="J17" s="0" t="n">
        <v>36.8269826820728</v>
      </c>
      <c r="K17" s="0" t="n">
        <v>4.71</v>
      </c>
      <c r="L17" s="0" t="n">
        <v>516.769</v>
      </c>
      <c r="O17" s="0" t="n">
        <v>3034.015</v>
      </c>
      <c r="P17" s="0" t="n">
        <v>8233.991</v>
      </c>
      <c r="Q17" s="0" t="n">
        <v>5021.606</v>
      </c>
      <c r="R17" s="0" t="n">
        <v>4344.474</v>
      </c>
      <c r="S17" s="0" t="n">
        <v>85.558</v>
      </c>
      <c r="T17" s="0" t="n">
        <v>81.342959</v>
      </c>
      <c r="U17" s="0" t="n">
        <v>15.018</v>
      </c>
      <c r="V17" s="0" t="n">
        <v>4.3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1132.154</v>
      </c>
      <c r="F18" s="0" t="n">
        <v>406.47</v>
      </c>
      <c r="G18" s="0" t="n">
        <v>35.902359572991</v>
      </c>
      <c r="H18" s="0" t="n">
        <v>728.233</v>
      </c>
      <c r="I18" s="0" t="n">
        <v>247.217</v>
      </c>
      <c r="J18" s="0" t="n">
        <v>21.8359869770367</v>
      </c>
      <c r="K18" s="0" t="n">
        <v>2.8</v>
      </c>
      <c r="L18" s="0" t="n">
        <v>555.83</v>
      </c>
      <c r="O18" s="0" t="n">
        <v>3042.159</v>
      </c>
      <c r="P18" s="0" t="n">
        <v>8436.512</v>
      </c>
      <c r="Q18" s="0" t="n">
        <v>5210.99</v>
      </c>
      <c r="R18" s="0" t="n">
        <v>4615.731</v>
      </c>
      <c r="S18" s="0" t="n">
        <v>250.825</v>
      </c>
      <c r="T18" s="0" t="n">
        <v>82.775286</v>
      </c>
      <c r="U18" s="0" t="n">
        <v>15.427</v>
      </c>
      <c r="V18" s="0" t="n">
        <v>4.34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1202.452</v>
      </c>
      <c r="F19" s="0" t="n">
        <v>472.356</v>
      </c>
      <c r="G19" s="0" t="n">
        <v>39.2827322837003</v>
      </c>
      <c r="H19" s="0" t="n">
        <v>814.954</v>
      </c>
      <c r="I19" s="0" t="n">
        <v>304.334</v>
      </c>
      <c r="J19" s="0" t="n">
        <v>25.3094510217456</v>
      </c>
      <c r="K19" s="0" t="n">
        <v>3.42</v>
      </c>
      <c r="L19" s="0" t="n">
        <v>574.563</v>
      </c>
      <c r="O19" s="0" t="n">
        <v>3244.144</v>
      </c>
      <c r="P19" s="0" t="n">
        <v>8524.757</v>
      </c>
      <c r="Q19" s="0" t="n">
        <v>5100.327</v>
      </c>
      <c r="R19" s="0" t="n">
        <v>4496.724</v>
      </c>
      <c r="S19" s="0" t="n">
        <v>123.409</v>
      </c>
      <c r="T19" s="0" t="n">
        <v>85.66622</v>
      </c>
      <c r="U19" s="0" t="n">
        <v>17.379</v>
      </c>
      <c r="V19" s="0" t="n">
        <v>4.38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1278.975</v>
      </c>
      <c r="F20" s="0" t="n">
        <v>602.199</v>
      </c>
      <c r="G20" s="0" t="n">
        <v>47.0845012607752</v>
      </c>
      <c r="H20" s="0" t="n">
        <v>970.041</v>
      </c>
      <c r="I20" s="0" t="n">
        <v>423.648</v>
      </c>
      <c r="J20" s="0" t="n">
        <v>33.1240250982232</v>
      </c>
      <c r="K20" s="0" t="n">
        <v>4.68</v>
      </c>
      <c r="L20" s="0" t="n">
        <v>622.378</v>
      </c>
      <c r="O20" s="0" t="n">
        <v>3318.986</v>
      </c>
      <c r="P20" s="0" t="n">
        <v>9130.46</v>
      </c>
      <c r="Q20" s="0" t="n">
        <v>5629.819</v>
      </c>
      <c r="R20" s="0" t="n">
        <v>4963.602</v>
      </c>
      <c r="S20" s="0" t="n">
        <v>107.415</v>
      </c>
      <c r="T20" s="0" t="n">
        <v>86.405</v>
      </c>
      <c r="U20" s="0" t="n">
        <v>15.561</v>
      </c>
      <c r="V20" s="0" t="n">
        <v>4.46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110.52</v>
      </c>
    </row>
    <row r="3" customFormat="false" ht="15" hidden="false" customHeight="false" outlineLevel="0" collapsed="false">
      <c r="A3" s="0" t="s">
        <v>85</v>
      </c>
      <c r="B3" s="3" t="n">
        <v>86.803</v>
      </c>
    </row>
    <row r="4" customFormat="false" ht="15" hidden="false" customHeight="false" outlineLevel="0" collapsed="false">
      <c r="A4" s="0" t="s">
        <v>86</v>
      </c>
      <c r="B4" s="3" t="n">
        <v>0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1278.975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7</v>
      </c>
      <c r="D13" s="3" t="n">
        <v>2</v>
      </c>
      <c r="E13" s="3" t="n">
        <v>1</v>
      </c>
      <c r="F13" s="3" t="n">
        <v>1.5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46.9</v>
      </c>
      <c r="D14" s="3" t="n">
        <v>46</v>
      </c>
      <c r="E14" s="3" t="n">
        <v>45.2</v>
      </c>
      <c r="F14" s="3" t="n">
        <v>44.8</v>
      </c>
      <c r="G14" s="3" t="n">
        <v>44.5</v>
      </c>
      <c r="H14" s="3" t="n">
        <v>44.5</v>
      </c>
      <c r="I14" s="3" t="n">
        <v>44.5</v>
      </c>
      <c r="J14" s="3" t="n">
        <v>44.5</v>
      </c>
      <c r="K14" s="3" t="n">
        <v>44.5</v>
      </c>
      <c r="L14" s="3" t="n">
        <v>44.5</v>
      </c>
    </row>
    <row r="15" customFormat="false" ht="15" hidden="false" customHeight="false" outlineLevel="0" collapsed="false">
      <c r="A15" s="0" t="s">
        <v>107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110</v>
      </c>
      <c r="C18" s="3" t="n">
        <v>12.6</v>
      </c>
      <c r="D18" s="3" t="n">
        <v>13.2</v>
      </c>
      <c r="E18" s="3" t="n">
        <v>13.8</v>
      </c>
      <c r="F18" s="3" t="n">
        <v>14</v>
      </c>
      <c r="G18" s="3" t="n">
        <v>14</v>
      </c>
      <c r="H18" s="3" t="n">
        <v>14</v>
      </c>
      <c r="I18" s="3" t="n">
        <v>14</v>
      </c>
      <c r="J18" s="3" t="n">
        <v>14</v>
      </c>
      <c r="K18" s="3" t="n">
        <v>14</v>
      </c>
      <c r="L18" s="3" t="n">
        <v>14</v>
      </c>
    </row>
    <row r="19" customFormat="false" ht="15" hidden="false" customHeight="false" outlineLevel="0" collapsed="false">
      <c r="A19" s="0" t="s">
        <v>111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112</v>
      </c>
      <c r="B20" s="3" t="n">
        <v>10.7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14</v>
      </c>
    </row>
    <row r="23" customFormat="false" ht="15" hidden="false" customHeight="false" outlineLevel="0" collapsed="false">
      <c r="A23" s="0" t="s">
        <v>115</v>
      </c>
      <c r="B23" s="3" t="n">
        <v>0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8</v>
      </c>
      <c r="D27" s="3" t="n">
        <v>5</v>
      </c>
      <c r="E27" s="3" t="n">
        <v>4.5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47.2</v>
      </c>
      <c r="D28" s="3" t="n">
        <v>47.3</v>
      </c>
      <c r="E28" s="3" t="n">
        <v>47.4</v>
      </c>
      <c r="F28" s="3" t="n">
        <v>47.5</v>
      </c>
      <c r="G28" s="3" t="n">
        <v>47.5</v>
      </c>
      <c r="H28" s="3" t="n">
        <v>47.5</v>
      </c>
      <c r="I28" s="3" t="n">
        <v>47.5</v>
      </c>
      <c r="J28" s="3" t="n">
        <v>47.5</v>
      </c>
      <c r="K28" s="3" t="n">
        <v>47.5</v>
      </c>
      <c r="L28" s="3" t="n">
        <v>47.5</v>
      </c>
    </row>
    <row r="29" customFormat="false" ht="15" hidden="false" customHeight="false" outlineLevel="0" collapsed="false">
      <c r="A29" s="0" t="s">
        <v>107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110</v>
      </c>
      <c r="C32" s="3" t="n">
        <v>12.3</v>
      </c>
      <c r="D32" s="3" t="n">
        <v>12.3</v>
      </c>
      <c r="E32" s="3" t="n">
        <v>12.2</v>
      </c>
      <c r="F32" s="3" t="n">
        <v>12.2</v>
      </c>
      <c r="G32" s="3" t="n">
        <v>12.1</v>
      </c>
      <c r="H32" s="3" t="n">
        <v>12</v>
      </c>
      <c r="I32" s="3" t="n">
        <v>12</v>
      </c>
      <c r="J32" s="3" t="n">
        <v>12</v>
      </c>
      <c r="K32" s="3" t="n">
        <v>12</v>
      </c>
      <c r="L32" s="3" t="n">
        <v>12</v>
      </c>
    </row>
    <row r="33" customFormat="false" ht="15" hidden="false" customHeight="false" outlineLevel="0" collapsed="false">
      <c r="A33" s="0" t="s">
        <v>111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112</v>
      </c>
      <c r="B34" s="3" t="n">
        <v>10.7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20</v>
      </c>
    </row>
    <row r="37" customFormat="false" ht="15" hidden="false" customHeight="false" outlineLevel="0" collapsed="false">
      <c r="A37" s="0" t="s">
        <v>115</v>
      </c>
      <c r="B37" s="3" t="n">
        <v>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8.5</v>
      </c>
      <c r="D41" s="3" t="n">
        <v>6.5</v>
      </c>
      <c r="E41" s="3" t="n">
        <v>6</v>
      </c>
      <c r="F41" s="3" t="n">
        <v>5.5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47.4</v>
      </c>
      <c r="D42" s="3" t="n">
        <v>47.8</v>
      </c>
      <c r="E42" s="3" t="n">
        <v>48.2</v>
      </c>
      <c r="F42" s="3" t="n">
        <v>48.5</v>
      </c>
      <c r="G42" s="3" t="n">
        <v>48.7</v>
      </c>
      <c r="H42" s="3" t="n">
        <v>48.8</v>
      </c>
      <c r="I42" s="3" t="n">
        <v>48.8</v>
      </c>
      <c r="J42" s="3" t="n">
        <v>48.8</v>
      </c>
      <c r="K42" s="3" t="n">
        <v>48.8</v>
      </c>
      <c r="L42" s="3" t="n">
        <v>48.8</v>
      </c>
    </row>
    <row r="43" customFormat="false" ht="15" hidden="false" customHeight="false" outlineLevel="0" collapsed="false">
      <c r="A43" s="0" t="s">
        <v>107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110</v>
      </c>
      <c r="C46" s="3" t="n">
        <v>12</v>
      </c>
      <c r="D46" s="3" t="n">
        <v>11.9</v>
      </c>
      <c r="E46" s="3" t="n">
        <v>11.8</v>
      </c>
      <c r="F46" s="3" t="n">
        <v>11.7</v>
      </c>
      <c r="G46" s="3" t="n">
        <v>11.6</v>
      </c>
      <c r="H46" s="3" t="n">
        <v>11.5</v>
      </c>
      <c r="I46" s="3" t="n">
        <v>11.5</v>
      </c>
      <c r="J46" s="3" t="n">
        <v>11.5</v>
      </c>
      <c r="K46" s="3" t="n">
        <v>11.5</v>
      </c>
      <c r="L46" s="3" t="n">
        <v>11.5</v>
      </c>
    </row>
    <row r="47" customFormat="false" ht="15" hidden="false" customHeight="false" outlineLevel="0" collapsed="false">
      <c r="A47" s="0" t="s">
        <v>111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112</v>
      </c>
      <c r="B48" s="3" t="n">
        <v>10.7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22</v>
      </c>
    </row>
    <row r="51" customFormat="false" ht="15" hidden="false" customHeight="false" outlineLevel="0" collapsed="false">
      <c r="A51" s="0" t="s">
        <v>115</v>
      </c>
      <c r="B51" s="3" t="n">
        <v>0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7</v>
      </c>
      <c r="D5" s="4" t="n">
        <f aca="false">Assumptions!D13</f>
        <v>2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1278.975</v>
      </c>
      <c r="C6" s="0" t="n">
        <f aca="false">B6*(1+C5/100)</f>
        <v>1368.50325</v>
      </c>
      <c r="D6" s="0" t="n">
        <f aca="false">C6*(1+D5/100)</f>
        <v>1395.873315</v>
      </c>
      <c r="E6" s="0" t="n">
        <f aca="false">D6*(1+E5/100)</f>
        <v>1409.83204815</v>
      </c>
      <c r="F6" s="0" t="n">
        <f aca="false">E6*(1+F5/100)</f>
        <v>1430.97952887225</v>
      </c>
      <c r="G6" s="0" t="n">
        <f aca="false">F6*(1+G5/100)</f>
        <v>1459.59911944969</v>
      </c>
      <c r="H6" s="0" t="n">
        <f aca="false">G6*(1+H5/100)</f>
        <v>1488.79110183869</v>
      </c>
      <c r="I6" s="0" t="n">
        <f aca="false">H6*(1+I5/100)</f>
        <v>1518.56692387546</v>
      </c>
      <c r="J6" s="0" t="n">
        <f aca="false">I6*(1+J5/100)</f>
        <v>1548.93826235297</v>
      </c>
      <c r="K6" s="0" t="n">
        <f aca="false">J6*(1+K5/100)</f>
        <v>1579.91702760003</v>
      </c>
      <c r="L6" s="0" t="n">
        <f aca="false">K6*(1+L5/100)</f>
        <v>1611.51536815203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46.9</v>
      </c>
      <c r="D7" s="4" t="n">
        <f aca="false">Assumptions!D14</f>
        <v>46</v>
      </c>
      <c r="E7" s="4" t="n">
        <f aca="false">Assumptions!E14</f>
        <v>45.2</v>
      </c>
      <c r="F7" s="4" t="n">
        <f aca="false">Assumptions!F14</f>
        <v>44.8</v>
      </c>
      <c r="G7" s="4" t="n">
        <f aca="false">Assumptions!G14</f>
        <v>44.5</v>
      </c>
      <c r="H7" s="4" t="n">
        <f aca="false">Assumptions!H14</f>
        <v>44.5</v>
      </c>
      <c r="I7" s="4" t="n">
        <f aca="false">Assumptions!I14</f>
        <v>44.5</v>
      </c>
      <c r="J7" s="4" t="n">
        <f aca="false">Assumptions!J14</f>
        <v>44.5</v>
      </c>
      <c r="K7" s="4" t="n">
        <f aca="false">Assumptions!K14</f>
        <v>44.5</v>
      </c>
      <c r="L7" s="4" t="n">
        <f aca="false">Assumptions!L14</f>
        <v>44.5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641.82802425</v>
      </c>
      <c r="D8" s="0" t="n">
        <f aca="false">D6*D7/100</f>
        <v>642.1017249</v>
      </c>
      <c r="E8" s="0" t="n">
        <f aca="false">E6*E7/100</f>
        <v>637.2440857638</v>
      </c>
      <c r="F8" s="0" t="n">
        <f aca="false">F6*F7/100</f>
        <v>641.078828934768</v>
      </c>
      <c r="G8" s="0" t="n">
        <f aca="false">G6*G7/100</f>
        <v>649.521608155114</v>
      </c>
      <c r="H8" s="0" t="n">
        <f aca="false">H6*H7/100</f>
        <v>662.512040318217</v>
      </c>
      <c r="I8" s="0" t="n">
        <f aca="false">I6*I7/100</f>
        <v>675.762281124581</v>
      </c>
      <c r="J8" s="0" t="n">
        <f aca="false">J6*J7/100</f>
        <v>689.277526747072</v>
      </c>
      <c r="K8" s="0" t="n">
        <f aca="false">K6*K7/100</f>
        <v>703.063077282014</v>
      </c>
      <c r="L8" s="0" t="n">
        <f aca="false">L6*L7/100</f>
        <v>717.124338827654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641.82802425</v>
      </c>
      <c r="D11" s="0" t="n">
        <f aca="false">D8+D10+D24</f>
        <v>642.1017249</v>
      </c>
      <c r="E11" s="0" t="n">
        <f aca="false">E8+E10+E24</f>
        <v>637.2440857638</v>
      </c>
      <c r="F11" s="0" t="n">
        <f aca="false">F8+F10+F24</f>
        <v>641.078828934768</v>
      </c>
      <c r="G11" s="0" t="n">
        <f aca="false">G8+G10+G24</f>
        <v>649.521608155114</v>
      </c>
      <c r="H11" s="0" t="n">
        <f aca="false">H8+H10+H24</f>
        <v>662.512040318217</v>
      </c>
      <c r="I11" s="0" t="n">
        <f aca="false">I8+I10+I24</f>
        <v>675.762281124581</v>
      </c>
      <c r="J11" s="0" t="n">
        <f aca="false">J8+J10+J24</f>
        <v>689.277526747072</v>
      </c>
      <c r="K11" s="0" t="n">
        <f aca="false">K8+K10+K24</f>
        <v>703.063077282014</v>
      </c>
      <c r="L11" s="0" t="n">
        <f aca="false">L8+L10+L24</f>
        <v>717.124338827654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641.82802425</v>
      </c>
      <c r="D13" s="0" t="n">
        <f aca="false">D11+D12</f>
        <v>642.1017249</v>
      </c>
      <c r="E13" s="0" t="n">
        <f aca="false">E11+E12</f>
        <v>637.2440857638</v>
      </c>
      <c r="F13" s="0" t="n">
        <f aca="false">F11+F12</f>
        <v>641.078828934768</v>
      </c>
      <c r="G13" s="0" t="n">
        <f aca="false">G11+G12</f>
        <v>649.521608155114</v>
      </c>
      <c r="H13" s="0" t="n">
        <f aca="false">H11+H12</f>
        <v>662.512040318217</v>
      </c>
      <c r="I13" s="0" t="n">
        <f aca="false">I11+I12</f>
        <v>675.762281124581</v>
      </c>
      <c r="J13" s="0" t="n">
        <f aca="false">J11+J12</f>
        <v>689.277526747072</v>
      </c>
      <c r="K13" s="0" t="n">
        <f aca="false">K11+K12</f>
        <v>703.063077282014</v>
      </c>
      <c r="L13" s="0" t="n">
        <f aca="false">L11+L12</f>
        <v>717.124338827654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641.82802425</v>
      </c>
      <c r="D15" s="0" t="n">
        <f aca="false">D13-MAX(0,D13)*D14/100</f>
        <v>642.1017249</v>
      </c>
      <c r="E15" s="0" t="n">
        <f aca="false">E13-MAX(0,E13)*E14/100</f>
        <v>637.2440857638</v>
      </c>
      <c r="F15" s="0" t="n">
        <f aca="false">F13-MAX(0,F13)*F14/100</f>
        <v>641.078828934768</v>
      </c>
      <c r="G15" s="0" t="n">
        <f aca="false">G13-MAX(0,G13)*G14/100</f>
        <v>649.521608155114</v>
      </c>
      <c r="H15" s="0" t="n">
        <f aca="false">H13-MAX(0,H13)*H14/100</f>
        <v>662.512040318217</v>
      </c>
      <c r="I15" s="0" t="n">
        <f aca="false">I13-MAX(0,I13)*I14/100</f>
        <v>675.762281124581</v>
      </c>
      <c r="J15" s="0" t="n">
        <f aca="false">J13-MAX(0,J13)*J14/100</f>
        <v>689.277526747072</v>
      </c>
      <c r="K15" s="0" t="n">
        <f aca="false">K13-MAX(0,K13)*K14/100</f>
        <v>703.063077282014</v>
      </c>
      <c r="L15" s="0" t="n">
        <f aca="false">L13-MAX(0,L13)*L14/100</f>
        <v>717.124338827654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-172.4314095</v>
      </c>
      <c r="D17" s="4" t="n">
        <f aca="false">-D6*Assumptions!D18/100</f>
        <v>-184.25527758</v>
      </c>
      <c r="E17" s="4" t="n">
        <f aca="false">-E6*Assumptions!E18/100</f>
        <v>-194.5568226447</v>
      </c>
      <c r="F17" s="4" t="n">
        <f aca="false">-F6*Assumptions!F18/100</f>
        <v>-200.337134042115</v>
      </c>
      <c r="G17" s="4" t="n">
        <f aca="false">-G6*Assumptions!G18/100</f>
        <v>-204.343876722957</v>
      </c>
      <c r="H17" s="4" t="n">
        <f aca="false">-H6*Assumptions!H18/100</f>
        <v>-208.430754257416</v>
      </c>
      <c r="I17" s="4" t="n">
        <f aca="false">-I6*Assumptions!I18/100</f>
        <v>-212.599369342565</v>
      </c>
      <c r="J17" s="4" t="n">
        <f aca="false">-J6*Assumptions!J18/100</f>
        <v>-216.851356729416</v>
      </c>
      <c r="K17" s="4" t="n">
        <f aca="false">-K6*Assumptions!K18/100</f>
        <v>-221.188383864004</v>
      </c>
      <c r="L17" s="4" t="n">
        <f aca="false">-L6*Assumptions!L18/100</f>
        <v>-225.612151541285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469.39661475</v>
      </c>
      <c r="D19" s="0" t="n">
        <f aca="false">D15+D16+D17+D18</f>
        <v>457.84644732</v>
      </c>
      <c r="E19" s="0" t="n">
        <f aca="false">E15+E16+E17+E18</f>
        <v>442.6872631191</v>
      </c>
      <c r="F19" s="0" t="n">
        <f aca="false">F15+F16+F17+F18</f>
        <v>440.741694892653</v>
      </c>
      <c r="G19" s="0" t="n">
        <f aca="false">G15+G16+G17+G18</f>
        <v>445.177731432157</v>
      </c>
      <c r="H19" s="0" t="n">
        <f aca="false">H15+H16+H17+H18</f>
        <v>454.0812860608</v>
      </c>
      <c r="I19" s="0" t="n">
        <f aca="false">I15+I16+I17+I18</f>
        <v>463.162911782016</v>
      </c>
      <c r="J19" s="0" t="n">
        <f aca="false">J15+J16+J17+J18</f>
        <v>472.426170017656</v>
      </c>
      <c r="K19" s="0" t="n">
        <f aca="false">K15+K16+K17+K18</f>
        <v>481.87469341801</v>
      </c>
      <c r="L19" s="0" t="n">
        <f aca="false">L15+L16+L17+L18</f>
        <v>491.51218728637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0.903342366757001</v>
      </c>
      <c r="D20" s="0" t="n">
        <f aca="false">1/(1+$B$27/100)^D4</f>
        <v>0.81602743157814</v>
      </c>
      <c r="E20" s="0" t="n">
        <f aca="false">1/(1+$B$27/100)^E4</f>
        <v>0.737152151380434</v>
      </c>
      <c r="F20" s="0" t="n">
        <f aca="false">1/(1+$B$27/100)^F4</f>
        <v>0.665900769088016</v>
      </c>
      <c r="G20" s="0" t="n">
        <f aca="false">1/(1+$B$27/100)^G4</f>
        <v>0.601536376773275</v>
      </c>
      <c r="H20" s="0" t="n">
        <f aca="false">1/(1+$B$27/100)^H4</f>
        <v>0.543393294284802</v>
      </c>
      <c r="I20" s="0" t="n">
        <f aca="false">1/(1+$B$27/100)^I4</f>
        <v>0.490870184539116</v>
      </c>
      <c r="J20" s="0" t="n">
        <f aca="false">1/(1+$B$27/100)^J4</f>
        <v>0.443423834272011</v>
      </c>
      <c r="K20" s="0" t="n">
        <f aca="false">1/(1+$B$27/100)^K4</f>
        <v>0.400563535927743</v>
      </c>
      <c r="L20" s="0" t="n">
        <f aca="false">1/(1+$B$27/100)^L4</f>
        <v>0.36184601258152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424.025848915989</v>
      </c>
      <c r="D21" s="0" t="n">
        <f aca="false">D19*D20</f>
        <v>373.615260463716</v>
      </c>
      <c r="E21" s="0" t="n">
        <f aca="false">E19*E20</f>
        <v>326.327868396961</v>
      </c>
      <c r="F21" s="0" t="n">
        <f aca="false">F19*F20</f>
        <v>293.490233598173</v>
      </c>
      <c r="G21" s="0" t="n">
        <f aca="false">G19*G20</f>
        <v>267.790599585846</v>
      </c>
      <c r="H21" s="0" t="n">
        <f aca="false">H19*H20</f>
        <v>246.744725905658</v>
      </c>
      <c r="I21" s="0" t="n">
        <f aca="false">I19*I20</f>
        <v>227.352863978113</v>
      </c>
      <c r="J21" s="0" t="n">
        <f aca="false">J19*J20</f>
        <v>209.48502371967</v>
      </c>
      <c r="K21" s="0" t="n">
        <f aca="false">K19*K20</f>
        <v>193.021431069615</v>
      </c>
      <c r="L21" s="0" t="n">
        <f aca="false">L19*L20</f>
        <v>177.851725104794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10.7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2739.70558073853</v>
      </c>
    </row>
    <row r="31" customFormat="false" ht="15" hidden="false" customHeight="false" outlineLevel="0" collapsed="false">
      <c r="A31" s="0" t="s">
        <v>136</v>
      </c>
      <c r="B31" s="0" t="n">
        <f aca="false">L19</f>
        <v>491.51218728637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5762.55667852985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6881.17062200918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5762.55667852985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2085.15815640104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4824.86373713957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4824.86373713957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55.5840666467699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-0.497067800879751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55.5840666467699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3856.48023870844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37.5030268381197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8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1278.975</v>
      </c>
      <c r="C6" s="0" t="n">
        <f aca="false">B6*(1+C5/100)</f>
        <v>1381.293</v>
      </c>
      <c r="D6" s="0" t="n">
        <f aca="false">C6*(1+D5/100)</f>
        <v>1450.35765</v>
      </c>
      <c r="E6" s="0" t="n">
        <f aca="false">D6*(1+E5/100)</f>
        <v>1515.62374425</v>
      </c>
      <c r="F6" s="0" t="n">
        <f aca="false">E6*(1+F5/100)</f>
        <v>1576.24869402</v>
      </c>
      <c r="G6" s="0" t="n">
        <f aca="false">F6*(1+G5/100)</f>
        <v>1631.4173983107</v>
      </c>
      <c r="H6" s="0" t="n">
        <f aca="false">G6*(1+H5/100)</f>
        <v>1680.35992026002</v>
      </c>
      <c r="I6" s="0" t="n">
        <f aca="false">H6*(1+I5/100)</f>
        <v>1730.77071786782</v>
      </c>
      <c r="J6" s="0" t="n">
        <f aca="false">I6*(1+J5/100)</f>
        <v>1774.03998581452</v>
      </c>
      <c r="K6" s="0" t="n">
        <f aca="false">J6*(1+K5/100)</f>
        <v>1818.39098545988</v>
      </c>
      <c r="L6" s="0" t="n">
        <f aca="false">K6*(1+L5/100)</f>
        <v>1863.85076009638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47.2</v>
      </c>
      <c r="D7" s="4" t="n">
        <f aca="false">Assumptions!D28</f>
        <v>47.3</v>
      </c>
      <c r="E7" s="4" t="n">
        <f aca="false">Assumptions!E28</f>
        <v>47.4</v>
      </c>
      <c r="F7" s="4" t="n">
        <f aca="false">Assumptions!F28</f>
        <v>47.5</v>
      </c>
      <c r="G7" s="4" t="n">
        <f aca="false">Assumptions!G28</f>
        <v>47.5</v>
      </c>
      <c r="H7" s="4" t="n">
        <f aca="false">Assumptions!H28</f>
        <v>47.5</v>
      </c>
      <c r="I7" s="4" t="n">
        <f aca="false">Assumptions!I28</f>
        <v>47.5</v>
      </c>
      <c r="J7" s="4" t="n">
        <f aca="false">Assumptions!J28</f>
        <v>47.5</v>
      </c>
      <c r="K7" s="4" t="n">
        <f aca="false">Assumptions!K28</f>
        <v>47.5</v>
      </c>
      <c r="L7" s="4" t="n">
        <f aca="false">Assumptions!L28</f>
        <v>47.5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651.970296</v>
      </c>
      <c r="D8" s="0" t="n">
        <f aca="false">D6*D7/100</f>
        <v>686.01916845</v>
      </c>
      <c r="E8" s="0" t="n">
        <f aca="false">E6*E7/100</f>
        <v>718.4056547745</v>
      </c>
      <c r="F8" s="0" t="n">
        <f aca="false">F6*F7/100</f>
        <v>748.7181296595</v>
      </c>
      <c r="G8" s="0" t="n">
        <f aca="false">G6*G7/100</f>
        <v>774.923264197583</v>
      </c>
      <c r="H8" s="0" t="n">
        <f aca="false">H6*H7/100</f>
        <v>798.17096212351</v>
      </c>
      <c r="I8" s="0" t="n">
        <f aca="false">I6*I7/100</f>
        <v>822.116090987215</v>
      </c>
      <c r="J8" s="0" t="n">
        <f aca="false">J6*J7/100</f>
        <v>842.668993261896</v>
      </c>
      <c r="K8" s="0" t="n">
        <f aca="false">K6*K7/100</f>
        <v>863.735718093443</v>
      </c>
      <c r="L8" s="0" t="n">
        <f aca="false">L6*L7/100</f>
        <v>885.329111045779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651.970296</v>
      </c>
      <c r="D11" s="0" t="n">
        <f aca="false">D8+D10+D24</f>
        <v>686.01916845</v>
      </c>
      <c r="E11" s="0" t="n">
        <f aca="false">E8+E10+E24</f>
        <v>718.4056547745</v>
      </c>
      <c r="F11" s="0" t="n">
        <f aca="false">F8+F10+F24</f>
        <v>748.7181296595</v>
      </c>
      <c r="G11" s="0" t="n">
        <f aca="false">G8+G10+G24</f>
        <v>774.923264197583</v>
      </c>
      <c r="H11" s="0" t="n">
        <f aca="false">H8+H10+H24</f>
        <v>798.17096212351</v>
      </c>
      <c r="I11" s="0" t="n">
        <f aca="false">I8+I10+I24</f>
        <v>822.116090987215</v>
      </c>
      <c r="J11" s="0" t="n">
        <f aca="false">J8+J10+J24</f>
        <v>842.668993261896</v>
      </c>
      <c r="K11" s="0" t="n">
        <f aca="false">K8+K10+K24</f>
        <v>863.735718093443</v>
      </c>
      <c r="L11" s="0" t="n">
        <f aca="false">L8+L10+L24</f>
        <v>885.329111045779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651.970296</v>
      </c>
      <c r="D13" s="0" t="n">
        <f aca="false">D11+D12</f>
        <v>686.01916845</v>
      </c>
      <c r="E13" s="0" t="n">
        <f aca="false">E11+E12</f>
        <v>718.4056547745</v>
      </c>
      <c r="F13" s="0" t="n">
        <f aca="false">F11+F12</f>
        <v>748.7181296595</v>
      </c>
      <c r="G13" s="0" t="n">
        <f aca="false">G11+G12</f>
        <v>774.923264197583</v>
      </c>
      <c r="H13" s="0" t="n">
        <f aca="false">H11+H12</f>
        <v>798.17096212351</v>
      </c>
      <c r="I13" s="0" t="n">
        <f aca="false">I11+I12</f>
        <v>822.116090987215</v>
      </c>
      <c r="J13" s="0" t="n">
        <f aca="false">J11+J12</f>
        <v>842.668993261896</v>
      </c>
      <c r="K13" s="0" t="n">
        <f aca="false">K11+K12</f>
        <v>863.735718093443</v>
      </c>
      <c r="L13" s="0" t="n">
        <f aca="false">L11+L12</f>
        <v>885.329111045779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651.970296</v>
      </c>
      <c r="D15" s="0" t="n">
        <f aca="false">D13-MAX(0,D13)*D14/100</f>
        <v>686.01916845</v>
      </c>
      <c r="E15" s="0" t="n">
        <f aca="false">E13-MAX(0,E13)*E14/100</f>
        <v>718.4056547745</v>
      </c>
      <c r="F15" s="0" t="n">
        <f aca="false">F13-MAX(0,F13)*F14/100</f>
        <v>748.7181296595</v>
      </c>
      <c r="G15" s="0" t="n">
        <f aca="false">G13-MAX(0,G13)*G14/100</f>
        <v>774.923264197583</v>
      </c>
      <c r="H15" s="0" t="n">
        <f aca="false">H13-MAX(0,H13)*H14/100</f>
        <v>798.17096212351</v>
      </c>
      <c r="I15" s="0" t="n">
        <f aca="false">I13-MAX(0,I13)*I14/100</f>
        <v>822.116090987215</v>
      </c>
      <c r="J15" s="0" t="n">
        <f aca="false">J13-MAX(0,J13)*J14/100</f>
        <v>842.668993261896</v>
      </c>
      <c r="K15" s="0" t="n">
        <f aca="false">K13-MAX(0,K13)*K14/100</f>
        <v>863.735718093443</v>
      </c>
      <c r="L15" s="0" t="n">
        <f aca="false">L13-MAX(0,L13)*L14/100</f>
        <v>885.329111045779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-169.899039</v>
      </c>
      <c r="D17" s="4" t="n">
        <f aca="false">-D6*Assumptions!D32/100</f>
        <v>-178.39399095</v>
      </c>
      <c r="E17" s="4" t="n">
        <f aca="false">-E6*Assumptions!E32/100</f>
        <v>-184.9060967985</v>
      </c>
      <c r="F17" s="4" t="n">
        <f aca="false">-F6*Assumptions!F32/100</f>
        <v>-192.30234067044</v>
      </c>
      <c r="G17" s="4" t="n">
        <f aca="false">-G6*Assumptions!G32/100</f>
        <v>-197.401505195595</v>
      </c>
      <c r="H17" s="4" t="n">
        <f aca="false">-H6*Assumptions!H32/100</f>
        <v>-201.643190431203</v>
      </c>
      <c r="I17" s="4" t="n">
        <f aca="false">-I6*Assumptions!I32/100</f>
        <v>-207.692486144139</v>
      </c>
      <c r="J17" s="4" t="n">
        <f aca="false">-J6*Assumptions!J32/100</f>
        <v>-212.884798297742</v>
      </c>
      <c r="K17" s="4" t="n">
        <f aca="false">-K6*Assumptions!K32/100</f>
        <v>-218.206918255186</v>
      </c>
      <c r="L17" s="4" t="n">
        <f aca="false">-L6*Assumptions!L32/100</f>
        <v>-223.662091211565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482.071257</v>
      </c>
      <c r="D19" s="0" t="n">
        <f aca="false">D15+D16+D17+D18</f>
        <v>507.6251775</v>
      </c>
      <c r="E19" s="0" t="n">
        <f aca="false">E15+E16+E17+E18</f>
        <v>533.499557976</v>
      </c>
      <c r="F19" s="0" t="n">
        <f aca="false">F15+F16+F17+F18</f>
        <v>556.41578898906</v>
      </c>
      <c r="G19" s="0" t="n">
        <f aca="false">G15+G16+G17+G18</f>
        <v>577.521759001988</v>
      </c>
      <c r="H19" s="0" t="n">
        <f aca="false">H15+H16+H17+H18</f>
        <v>596.527771692307</v>
      </c>
      <c r="I19" s="0" t="n">
        <f aca="false">I15+I16+I17+I18</f>
        <v>614.423604843077</v>
      </c>
      <c r="J19" s="0" t="n">
        <f aca="false">J15+J16+J17+J18</f>
        <v>629.784194964154</v>
      </c>
      <c r="K19" s="0" t="n">
        <f aca="false">K15+K16+K17+K18</f>
        <v>645.528799838257</v>
      </c>
      <c r="L19" s="0" t="n">
        <f aca="false">L15+L16+L17+L18</f>
        <v>661.667019834214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0.903342366757001</v>
      </c>
      <c r="D20" s="0" t="n">
        <f aca="false">1/(1+$B$27/100)^D4</f>
        <v>0.81602743157814</v>
      </c>
      <c r="E20" s="0" t="n">
        <f aca="false">1/(1+$B$27/100)^E4</f>
        <v>0.737152151380434</v>
      </c>
      <c r="F20" s="0" t="n">
        <f aca="false">1/(1+$B$27/100)^F4</f>
        <v>0.665900769088016</v>
      </c>
      <c r="G20" s="0" t="n">
        <f aca="false">1/(1+$B$27/100)^G4</f>
        <v>0.601536376773275</v>
      </c>
      <c r="H20" s="0" t="n">
        <f aca="false">1/(1+$B$27/100)^H4</f>
        <v>0.543393294284802</v>
      </c>
      <c r="I20" s="0" t="n">
        <f aca="false">1/(1+$B$27/100)^I4</f>
        <v>0.490870184539116</v>
      </c>
      <c r="J20" s="0" t="n">
        <f aca="false">1/(1+$B$27/100)^J4</f>
        <v>0.443423834272011</v>
      </c>
      <c r="K20" s="0" t="n">
        <f aca="false">1/(1+$B$27/100)^K4</f>
        <v>0.400563535927743</v>
      </c>
      <c r="L20" s="0" t="n">
        <f aca="false">1/(1+$B$27/100)^L4</f>
        <v>0.36184601258152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435.475390243902</v>
      </c>
      <c r="D21" s="0" t="n">
        <f aca="false">D19*D20</f>
        <v>414.236069799722</v>
      </c>
      <c r="E21" s="0" t="n">
        <f aca="false">E19*E20</f>
        <v>393.270346922519</v>
      </c>
      <c r="F21" s="0" t="n">
        <f aca="false">F19*F20</f>
        <v>370.51770182053</v>
      </c>
      <c r="G21" s="0" t="n">
        <f aca="false">G19*G20</f>
        <v>347.400346417785</v>
      </c>
      <c r="H21" s="0" t="n">
        <f aca="false">H19*H20</f>
        <v>324.149190992255</v>
      </c>
      <c r="I21" s="0" t="n">
        <f aca="false">I19*I20</f>
        <v>301.60222829451</v>
      </c>
      <c r="J21" s="0" t="n">
        <f aca="false">J19*J20</f>
        <v>279.261322494917</v>
      </c>
      <c r="K21" s="0" t="n">
        <f aca="false">K19*K20</f>
        <v>258.575298606404</v>
      </c>
      <c r="L21" s="0" t="n">
        <f aca="false">L19*L20</f>
        <v>239.421572783708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10.7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3363.90946837625</v>
      </c>
    </row>
    <row r="31" customFormat="false" ht="15" hidden="false" customHeight="false" outlineLevel="0" collapsed="false">
      <c r="A31" s="0" t="s">
        <v>136</v>
      </c>
      <c r="B31" s="0" t="n">
        <f aca="false">L19</f>
        <v>661.667019834214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8270.83774792767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13233.3403966843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8270.83774792767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2992.76965979635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6356.6791281726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6356.6791281726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73.231099480117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-0.337395046325398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73.231099480117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5425.66956264055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47.7176036899192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8.5</v>
      </c>
      <c r="D5" s="4" t="n">
        <f aca="false">Assumptions!D41</f>
        <v>6.5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1278.975</v>
      </c>
      <c r="C6" s="0" t="n">
        <f aca="false">B6*(1+C5/100)</f>
        <v>1387.687875</v>
      </c>
      <c r="D6" s="0" t="n">
        <f aca="false">C6*(1+D5/100)</f>
        <v>1477.887586875</v>
      </c>
      <c r="E6" s="0" t="n">
        <f aca="false">D6*(1+E5/100)</f>
        <v>1566.5608420875</v>
      </c>
      <c r="F6" s="0" t="n">
        <f aca="false">E6*(1+F5/100)</f>
        <v>1652.72168840231</v>
      </c>
      <c r="G6" s="0" t="n">
        <f aca="false">F6*(1+G5/100)</f>
        <v>1735.35777282243</v>
      </c>
      <c r="H6" s="0" t="n">
        <f aca="false">G6*(1+H5/100)</f>
        <v>1804.77208373533</v>
      </c>
      <c r="I6" s="0" t="n">
        <f aca="false">H6*(1+I5/100)</f>
        <v>1867.93910666606</v>
      </c>
      <c r="J6" s="0" t="n">
        <f aca="false">I6*(1+J5/100)</f>
        <v>1923.97727986604</v>
      </c>
      <c r="K6" s="0" t="n">
        <f aca="false">J6*(1+K5/100)</f>
        <v>1981.69659826202</v>
      </c>
      <c r="L6" s="0" t="n">
        <f aca="false">K6*(1+L5/100)</f>
        <v>2041.14749620989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47.4</v>
      </c>
      <c r="D7" s="4" t="n">
        <f aca="false">Assumptions!D42</f>
        <v>47.8</v>
      </c>
      <c r="E7" s="4" t="n">
        <f aca="false">Assumptions!E42</f>
        <v>48.2</v>
      </c>
      <c r="F7" s="4" t="n">
        <f aca="false">Assumptions!F42</f>
        <v>48.5</v>
      </c>
      <c r="G7" s="4" t="n">
        <f aca="false">Assumptions!G42</f>
        <v>48.7</v>
      </c>
      <c r="H7" s="4" t="n">
        <f aca="false">Assumptions!H42</f>
        <v>48.8</v>
      </c>
      <c r="I7" s="4" t="n">
        <f aca="false">Assumptions!I42</f>
        <v>48.8</v>
      </c>
      <c r="J7" s="4" t="n">
        <f aca="false">Assumptions!J42</f>
        <v>48.8</v>
      </c>
      <c r="K7" s="4" t="n">
        <f aca="false">Assumptions!K42</f>
        <v>48.8</v>
      </c>
      <c r="L7" s="4" t="n">
        <f aca="false">Assumptions!L42</f>
        <v>48.8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657.76405275</v>
      </c>
      <c r="D8" s="0" t="n">
        <f aca="false">D6*D7/100</f>
        <v>706.43026652625</v>
      </c>
      <c r="E8" s="0" t="n">
        <f aca="false">E6*E7/100</f>
        <v>755.082325886175</v>
      </c>
      <c r="F8" s="0" t="n">
        <f aca="false">F6*F7/100</f>
        <v>801.570018875121</v>
      </c>
      <c r="G8" s="0" t="n">
        <f aca="false">G6*G7/100</f>
        <v>845.119235364522</v>
      </c>
      <c r="H8" s="0" t="n">
        <f aca="false">H6*H7/100</f>
        <v>880.728776862839</v>
      </c>
      <c r="I8" s="0" t="n">
        <f aca="false">I6*I7/100</f>
        <v>911.554284053038</v>
      </c>
      <c r="J8" s="0" t="n">
        <f aca="false">J6*J7/100</f>
        <v>938.900912574629</v>
      </c>
      <c r="K8" s="0" t="n">
        <f aca="false">K6*K7/100</f>
        <v>967.067939951868</v>
      </c>
      <c r="L8" s="0" t="n">
        <f aca="false">L6*L7/100</f>
        <v>996.079978150424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657.76405275</v>
      </c>
      <c r="D11" s="0" t="n">
        <f aca="false">D8+D10+D24</f>
        <v>706.43026652625</v>
      </c>
      <c r="E11" s="0" t="n">
        <f aca="false">E8+E10+E24</f>
        <v>755.082325886175</v>
      </c>
      <c r="F11" s="0" t="n">
        <f aca="false">F8+F10+F24</f>
        <v>801.570018875121</v>
      </c>
      <c r="G11" s="0" t="n">
        <f aca="false">G8+G10+G24</f>
        <v>845.119235364522</v>
      </c>
      <c r="H11" s="0" t="n">
        <f aca="false">H8+H10+H24</f>
        <v>880.728776862839</v>
      </c>
      <c r="I11" s="0" t="n">
        <f aca="false">I8+I10+I24</f>
        <v>911.554284053038</v>
      </c>
      <c r="J11" s="0" t="n">
        <f aca="false">J8+J10+J24</f>
        <v>938.900912574629</v>
      </c>
      <c r="K11" s="0" t="n">
        <f aca="false">K8+K10+K24</f>
        <v>967.067939951868</v>
      </c>
      <c r="L11" s="0" t="n">
        <f aca="false">L8+L10+L24</f>
        <v>996.079978150424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657.76405275</v>
      </c>
      <c r="D13" s="0" t="n">
        <f aca="false">D11+D12</f>
        <v>706.43026652625</v>
      </c>
      <c r="E13" s="0" t="n">
        <f aca="false">E11+E12</f>
        <v>755.082325886175</v>
      </c>
      <c r="F13" s="0" t="n">
        <f aca="false">F11+F12</f>
        <v>801.570018875121</v>
      </c>
      <c r="G13" s="0" t="n">
        <f aca="false">G11+G12</f>
        <v>845.119235364522</v>
      </c>
      <c r="H13" s="0" t="n">
        <f aca="false">H11+H12</f>
        <v>880.728776862839</v>
      </c>
      <c r="I13" s="0" t="n">
        <f aca="false">I11+I12</f>
        <v>911.554284053038</v>
      </c>
      <c r="J13" s="0" t="n">
        <f aca="false">J11+J12</f>
        <v>938.900912574629</v>
      </c>
      <c r="K13" s="0" t="n">
        <f aca="false">K11+K12</f>
        <v>967.067939951868</v>
      </c>
      <c r="L13" s="0" t="n">
        <f aca="false">L11+L12</f>
        <v>996.079978150424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657.76405275</v>
      </c>
      <c r="D15" s="0" t="n">
        <f aca="false">D13-MAX(0,D13)*D14/100</f>
        <v>706.43026652625</v>
      </c>
      <c r="E15" s="0" t="n">
        <f aca="false">E13-MAX(0,E13)*E14/100</f>
        <v>755.082325886175</v>
      </c>
      <c r="F15" s="0" t="n">
        <f aca="false">F13-MAX(0,F13)*F14/100</f>
        <v>801.570018875121</v>
      </c>
      <c r="G15" s="0" t="n">
        <f aca="false">G13-MAX(0,G13)*G14/100</f>
        <v>845.119235364522</v>
      </c>
      <c r="H15" s="0" t="n">
        <f aca="false">H13-MAX(0,H13)*H14/100</f>
        <v>880.728776862839</v>
      </c>
      <c r="I15" s="0" t="n">
        <f aca="false">I13-MAX(0,I13)*I14/100</f>
        <v>911.554284053038</v>
      </c>
      <c r="J15" s="0" t="n">
        <f aca="false">J13-MAX(0,J13)*J14/100</f>
        <v>938.900912574629</v>
      </c>
      <c r="K15" s="0" t="n">
        <f aca="false">K13-MAX(0,K13)*K14/100</f>
        <v>967.067939951868</v>
      </c>
      <c r="L15" s="0" t="n">
        <f aca="false">L13-MAX(0,L13)*L14/100</f>
        <v>996.079978150424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-166.522545</v>
      </c>
      <c r="D17" s="4" t="n">
        <f aca="false">-D6*Assumptions!D46/100</f>
        <v>-175.868622838125</v>
      </c>
      <c r="E17" s="4" t="n">
        <f aca="false">-E6*Assumptions!E46/100</f>
        <v>-184.854179366325</v>
      </c>
      <c r="F17" s="4" t="n">
        <f aca="false">-F6*Assumptions!F46/100</f>
        <v>-193.368437543071</v>
      </c>
      <c r="G17" s="4" t="n">
        <f aca="false">-G6*Assumptions!G46/100</f>
        <v>-201.301501647402</v>
      </c>
      <c r="H17" s="4" t="n">
        <f aca="false">-H6*Assumptions!H46/100</f>
        <v>-207.548789629562</v>
      </c>
      <c r="I17" s="4" t="n">
        <f aca="false">-I6*Assumptions!I46/100</f>
        <v>-214.812997266597</v>
      </c>
      <c r="J17" s="4" t="n">
        <f aca="false">-J6*Assumptions!J46/100</f>
        <v>-221.257387184595</v>
      </c>
      <c r="K17" s="4" t="n">
        <f aca="false">-K6*Assumptions!K46/100</f>
        <v>-227.895108800133</v>
      </c>
      <c r="L17" s="4" t="n">
        <f aca="false">-L6*Assumptions!L46/100</f>
        <v>-234.731962064137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491.24150775</v>
      </c>
      <c r="D19" s="0" t="n">
        <f aca="false">D15+D16+D17+D18</f>
        <v>530.561643688125</v>
      </c>
      <c r="E19" s="0" t="n">
        <f aca="false">E15+E16+E17+E18</f>
        <v>570.22814651985</v>
      </c>
      <c r="F19" s="0" t="n">
        <f aca="false">F15+F16+F17+F18</f>
        <v>608.201581332051</v>
      </c>
      <c r="G19" s="0" t="n">
        <f aca="false">G15+G16+G17+G18</f>
        <v>643.817733717121</v>
      </c>
      <c r="H19" s="0" t="n">
        <f aca="false">H15+H16+H17+H18</f>
        <v>673.179987233276</v>
      </c>
      <c r="I19" s="0" t="n">
        <f aca="false">I15+I16+I17+I18</f>
        <v>696.741286786441</v>
      </c>
      <c r="J19" s="0" t="n">
        <f aca="false">J15+J16+J17+J18</f>
        <v>717.643525390034</v>
      </c>
      <c r="K19" s="0" t="n">
        <f aca="false">K15+K16+K17+K18</f>
        <v>739.172831151735</v>
      </c>
      <c r="L19" s="0" t="n">
        <f aca="false">L15+L16+L17+L18</f>
        <v>761.348016086287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0.903342366757001</v>
      </c>
      <c r="D20" s="0" t="n">
        <f aca="false">1/(1+$B$27/100)^D4</f>
        <v>0.81602743157814</v>
      </c>
      <c r="E20" s="0" t="n">
        <f aca="false">1/(1+$B$27/100)^E4</f>
        <v>0.737152151380434</v>
      </c>
      <c r="F20" s="0" t="n">
        <f aca="false">1/(1+$B$27/100)^F4</f>
        <v>0.665900769088016</v>
      </c>
      <c r="G20" s="0" t="n">
        <f aca="false">1/(1+$B$27/100)^G4</f>
        <v>0.601536376773275</v>
      </c>
      <c r="H20" s="0" t="n">
        <f aca="false">1/(1+$B$27/100)^H4</f>
        <v>0.543393294284802</v>
      </c>
      <c r="I20" s="0" t="n">
        <f aca="false">1/(1+$B$27/100)^I4</f>
        <v>0.490870184539116</v>
      </c>
      <c r="J20" s="0" t="n">
        <f aca="false">1/(1+$B$27/100)^J4</f>
        <v>0.443423834272011</v>
      </c>
      <c r="K20" s="0" t="n">
        <f aca="false">1/(1+$B$27/100)^K4</f>
        <v>0.400563535927743</v>
      </c>
      <c r="L20" s="0" t="n">
        <f aca="false">1/(1+$B$27/100)^L4</f>
        <v>0.36184601258152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443.759266260163</v>
      </c>
      <c r="D21" s="0" t="n">
        <f aca="false">D19*D20</f>
        <v>432.952855392697</v>
      </c>
      <c r="E21" s="0" t="n">
        <f aca="false">E19*E20</f>
        <v>420.344904984784</v>
      </c>
      <c r="F21" s="0" t="n">
        <f aca="false">F19*F20</f>
        <v>405.00190076956</v>
      </c>
      <c r="G21" s="0" t="n">
        <f aca="false">G19*G20</f>
        <v>387.279786842578</v>
      </c>
      <c r="H21" s="0" t="n">
        <f aca="false">H19*H20</f>
        <v>365.801490909291</v>
      </c>
      <c r="I21" s="0" t="n">
        <f aca="false">I19*I20</f>
        <v>342.009524020882</v>
      </c>
      <c r="J21" s="0" t="n">
        <f aca="false">J19*J20</f>
        <v>318.220243668932</v>
      </c>
      <c r="K21" s="0" t="n">
        <f aca="false">K19*K20</f>
        <v>296.085682907859</v>
      </c>
      <c r="L21" s="0" t="n">
        <f aca="false">L19*L20</f>
        <v>275.490743807674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10.7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3686.94639956442</v>
      </c>
    </row>
    <row r="31" customFormat="false" ht="15" hidden="false" customHeight="false" outlineLevel="0" collapsed="false">
      <c r="A31" s="0" t="s">
        <v>136</v>
      </c>
      <c r="B31" s="0" t="n">
        <f aca="false">L19</f>
        <v>761.348016086287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10184.2656697257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16749.6563538983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10184.2656697257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3685.13592366109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7372.08232322551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7372.08232322551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84.9288886700404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-0.231551857853417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84.9288886700404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6534.90380474063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53.8267000330666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55.5840666467699</v>
      </c>
      <c r="C4" s="0" t="n">
        <f aca="false">B4/Assumptions!$B$2-1</f>
        <v>-0.497067800879751</v>
      </c>
      <c r="D4" s="4" t="n">
        <f aca="false">Assumptions!$B$24</f>
        <v>0.25</v>
      </c>
      <c r="E4" s="4" t="n">
        <f aca="false">DCF_Bear!$B$43</f>
        <v>55.5840666467699</v>
      </c>
      <c r="F4" s="4" t="n">
        <f aca="false">DCF_Bear!$B$47</f>
        <v>37.5030268381197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73.231099480117</v>
      </c>
      <c r="C5" s="0" t="n">
        <f aca="false">B5/Assumptions!$B$2-1</f>
        <v>-0.337395046325398</v>
      </c>
      <c r="D5" s="4" t="n">
        <f aca="false">Assumptions!$B$38</f>
        <v>0.5</v>
      </c>
      <c r="E5" s="4" t="n">
        <f aca="false">DCF_Base!$B$43</f>
        <v>73.231099480117</v>
      </c>
      <c r="F5" s="4" t="n">
        <f aca="false">DCF_Base!$B$47</f>
        <v>47.7176036899192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84.9288886700404</v>
      </c>
      <c r="C6" s="0" t="n">
        <f aca="false">B6/Assumptions!$B$2-1</f>
        <v>-0.231551857853417</v>
      </c>
      <c r="D6" s="4" t="n">
        <f aca="false">Assumptions!$B$52</f>
        <v>0.25</v>
      </c>
      <c r="E6" s="4" t="n">
        <f aca="false">DCF_Bull!$B$43</f>
        <v>84.9288886700404</v>
      </c>
      <c r="F6" s="4" t="n">
        <f aca="false">DCF_Bull!$B$47</f>
        <v>53.8267000330666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71.7437885692611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71.7437885692611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-0.54048179227815</v>
      </c>
    </row>
    <row r="11" customFormat="false" ht="15" hidden="false" customHeight="false" outlineLevel="0" collapsed="false">
      <c r="A11" s="0" t="s">
        <v>163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46.6912335627562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92.658341248898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80.1620354727798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73.231099480117</v>
      </c>
      <c r="C17" s="3" t="n">
        <v>10.7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70.6108590645535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63.074549000193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47.7176036899192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8.7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89.135011838235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92.8640906458422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97.1946337772569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102.284921317692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108.35411030821</v>
      </c>
    </row>
    <row r="25" customFormat="false" ht="15" hidden="false" customHeight="false" outlineLevel="0" collapsed="false">
      <c r="A25" s="3" t="n">
        <v>9.7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77.9340843364503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80.5577623245117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83.5458400331371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86.9798994893186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90.9678395029487</v>
      </c>
    </row>
    <row r="26" customFormat="false" ht="15" hidden="false" customHeight="false" outlineLevel="0" collapsed="false">
      <c r="A26" s="3" t="n">
        <v>10.7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69.1837147817069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71.0911029729117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73.231099480117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75.6490176116348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78.4027577058633</v>
      </c>
    </row>
    <row r="27" customFormat="false" ht="15" hidden="false" customHeight="false" outlineLevel="0" collapsed="false">
      <c r="A27" s="3" t="n">
        <v>11.7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62.1621789904364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63.5852425354418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65.1629869005564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66.9220811926957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68.8956991789983</v>
      </c>
    </row>
    <row r="28" customFormat="false" ht="15" hidden="false" customHeight="false" outlineLevel="0" collapsed="false">
      <c r="A28" s="3" t="n">
        <v>12.7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56.4055844791815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57.4899050892866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58.6805316415588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59.99390319922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61.4500325348877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2026-09-28T08:34:31Z</dcterms:created>
  <dc:creator>openpyxl</dc:creator>
  <dc:description/>
  <dc:language>en-NZ</dc:language>
  <cp:lastModifiedBy/>
  <dcterms:modified xsi:type="dcterms:W3CDTF">2026-09-28T08:34:31Z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