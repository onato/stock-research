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Historical Data" sheetId="3" r:id="rId3"/>
    <sheet name="Sanity Check" sheetId="4" r:id="rId4"/>
  </sheets>
  <calcPr calcId="124519" fullCalcOnLoad="1"/>
</workbook>
</file>

<file path=xl/sharedStrings.xml><?xml version="1.0" encoding="utf-8"?>
<sst xmlns="http://schemas.openxmlformats.org/spreadsheetml/2006/main" count="151" uniqueCount="121">
  <si>
    <t>0285.HK — BYD Electronic DCF Model (Base Case)</t>
  </si>
  <si>
    <t>Gray cells are INPUTS — adjust to see valuation update automatically. Financials in RMB millions; price in HKD.</t>
  </si>
  <si>
    <t>KEY INPUTS</t>
  </si>
  <si>
    <t>Current Market Price (HKD)</t>
  </si>
  <si>
    <t>HKD / RMB FX Rate (1 RMB = x HKD)</t>
  </si>
  <si>
    <t>Shares Outstanding (M)</t>
  </si>
  <si>
    <t>Cash &amp; Equivalents (RMB M)</t>
  </si>
  <si>
    <t>Total Interest-Bearing Debt (RMB M)</t>
  </si>
  <si>
    <t>Net Debt (RMB M)  [negative = net cash]</t>
  </si>
  <si>
    <t>Base Year FCF (RMB M)</t>
  </si>
  <si>
    <t>Normalized FCF = 60% of FY2025 net profit (RMB 3,514.6M)</t>
  </si>
  <si>
    <t>WACC</t>
  </si>
  <si>
    <t>Terminal Growth Rate</t>
  </si>
  <si>
    <t>FCF GROWTH ASSUMPTIONS (Base Case)</t>
  </si>
  <si>
    <t>Year 1</t>
  </si>
  <si>
    <t>Year 2</t>
  </si>
  <si>
    <t>Year 3</t>
  </si>
  <si>
    <t>Year 4</t>
  </si>
  <si>
    <t>Year 5</t>
  </si>
  <si>
    <t>FCF Growth Rate</t>
  </si>
  <si>
    <t>PROJECTIONS (RMB Millions)</t>
  </si>
  <si>
    <t>Base Year FCF</t>
  </si>
  <si>
    <t>Projected FCF</t>
  </si>
  <si>
    <t>Discount Factor</t>
  </si>
  <si>
    <t>PV of FCF</t>
  </si>
  <si>
    <t>VALUATION SUMMARY</t>
  </si>
  <si>
    <t>Sum of PV of FCF (RMB M)</t>
  </si>
  <si>
    <t>Terminal FCF  [Year 5 FCF × (1+g)]</t>
  </si>
  <si>
    <t>Terminal Value (RMB M)</t>
  </si>
  <si>
    <t>PV of Terminal Value (RMB M)</t>
  </si>
  <si>
    <t>Enterprise Value (RMB M)</t>
  </si>
  <si>
    <t>Less: Net Debt (RMB M)</t>
  </si>
  <si>
    <t>Equity Value (RMB M)</t>
  </si>
  <si>
    <t>Intrinsic Value / Share (RMB)</t>
  </si>
  <si>
    <t>Intrinsic Value / Share (HKD)</t>
  </si>
  <si>
    <t>Upside / (Downside) vs Market Price</t>
  </si>
  <si>
    <t>ENTRY PRICE ANALYSIS</t>
  </si>
  <si>
    <t>Terminal Value / Share (HKD)</t>
  </si>
  <si>
    <t>Entry Price for 15% CAGR (HKD)</t>
  </si>
  <si>
    <t>Current Price vs Entry Price</t>
  </si>
  <si>
    <t>Negative = current price above entry (expensive for 15% target)</t>
  </si>
  <si>
    <t>SCENARIO COMPARISON</t>
  </si>
  <si>
    <t>Bear</t>
  </si>
  <si>
    <t>Base</t>
  </si>
  <si>
    <t>Bull</t>
  </si>
  <si>
    <t>FCF Year 5 (RMB M)</t>
  </si>
  <si>
    <t>Intrinsic Value (RMB)</t>
  </si>
  <si>
    <t>Intrinsic Value (HKD)</t>
  </si>
  <si>
    <t>Upside vs HKD 21.66</t>
  </si>
  <si>
    <t>Probability-Weighted IV (HKD)</t>
  </si>
  <si>
    <t>Weights: Bull 25% | Base 50% | Bear 25%</t>
  </si>
  <si>
    <t>Sensitivity Analysis — Intrinsic Value (HKD/share)</t>
  </si>
  <si>
    <t>Base case growth rates: 8% / 10% / 11% / 10% / 8%. Adjust in DCF Model sheet.</t>
  </si>
  <si>
    <t>WACC \ Term G</t>
  </si>
  <si>
    <t>Green = &gt;10% above current HKD 21.66  |  Yellow = within 5%  |  Red = below -5%</t>
  </si>
  <si>
    <t>Current market price: HK$21.66</t>
  </si>
  <si>
    <t>Base case IV: HK$21.31 (WACC 10.5%, TG 3.0%)</t>
  </si>
  <si>
    <t>BYD Electronic — Historical Financials (RMB Millions)</t>
  </si>
  <si>
    <t>Period</t>
  </si>
  <si>
    <t>Revenue</t>
  </si>
  <si>
    <t>Gross Profit</t>
  </si>
  <si>
    <t>Gross Margin</t>
  </si>
  <si>
    <t>Net Profit</t>
  </si>
  <si>
    <t>Net Margin</t>
  </si>
  <si>
    <t>EPS (RMB)</t>
  </si>
  <si>
    <t>Shareholders' Equity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</si>
  <si>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</si>
  <si>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</si>
  <si>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</si>
  <si>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</si>
  <si>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</si>
  <si>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</si>
  <si>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</si>
  <si>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</si>
  <si>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</si>
  <si>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</si>
  <si>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</si>
  <si>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Growth Rate Summary</t>
  </si>
  <si>
    <t>Metric</t>
  </si>
  <si>
    <t>3-Year CAGR</t>
  </si>
  <si>
    <t>5-Year CAGR</t>
  </si>
  <si>
    <t>Note</t>
  </si>
  <si>
    <t>FY2022-FY2025 / FY2020-FY2025</t>
  </si>
  <si>
    <t>NP 5yr negative: FY2020 was anomalous peak</t>
  </si>
  <si>
    <t>SELECTED basis for DCF (3yr CAGR)</t>
  </si>
  <si>
    <t>Selected Growth Rate (Base):</t>
  </si>
  <si>
    <t>equity_3yr_cagr</t>
  </si>
  <si>
    <t>Sanity Check &amp; Valuation Philosophy</t>
  </si>
  <si>
    <t>Status: PASSED</t>
  </si>
  <si>
    <t>FY2025 Financials &amp; Current Market Multiples</t>
  </si>
  <si>
    <t>FY2025 Actual</t>
  </si>
  <si>
    <t>Sanity Range</t>
  </si>
  <si>
    <t>Status</t>
  </si>
  <si>
    <t>Net Profit (RMB M)</t>
  </si>
  <si>
    <t>N/A</t>
  </si>
  <si>
    <t>Shareholders' Equity (RMB M)</t>
  </si>
  <si>
    <t>Est. EBITDA (RMB M)</t>
  </si>
  <si>
    <t>Market Cap (RMB M @ HKD 21.66)</t>
  </si>
  <si>
    <t>EV (RMB M)</t>
  </si>
  <si>
    <t>Current P/E</t>
  </si>
  <si>
    <t>8x - 30x</t>
  </si>
  <si>
    <t>PASS</t>
  </si>
  <si>
    <t>Current EV/EBITDA</t>
  </si>
  <si>
    <t>4x - 15x</t>
  </si>
  <si>
    <t>Current P/B</t>
  </si>
  <si>
    <t>1.0x-5.0x</t>
  </si>
  <si>
    <t>Base Intrinsic Value Implied Multiples</t>
  </si>
  <si>
    <t>At Base IV</t>
  </si>
  <si>
    <t>Pass?</t>
  </si>
  <si>
    <t>Base IV (RMB/share)</t>
  </si>
  <si>
    <t>Base IV (HKD/share)</t>
  </si>
  <si>
    <t>Implied P/E</t>
  </si>
  <si>
    <t>Implied EV/EBITDA</t>
  </si>
  <si>
    <t>Implied P/B</t>
  </si>
  <si>
    <t>Valuation Philosophy</t>
  </si>
  <si>
    <t>1. BYD Electronic is a high-revenue, low-margin EMS business: RMB179B revenue generates only RMB3.5B net profit (~2% net margin). Small margin changes have outsized earnings impact.</t>
  </si>
  <si>
    <t>2. Equity CAGR (10.3% 3yr) is used as the primary growth anchor rather than revenue CAGR (18.75%) because revenue growth has not translated proportionally to shareholder value due to margin dilution from the Jabil acquisition integration and product mix shift.</t>
  </si>
  <si>
    <t>3. Net cash position (RMB6.4B) provides meaningful balance sheet support and reduces downside risk, adding ~HKD2.74/share of intrinsic value floor.</t>
  </si>
  <si>
    <t>4. NEV and AI data center are real growth drivers but remain early-stage contributors (&lt;16% and &lt;1% of revenue respectively). Base case does not price in transformational outcomes from these segments.</t>
  </si>
  <si>
    <t>5. The FY2025 FCF base of RMB2,109M (60% of net profit) is conservative vs. reported operating cash (RMB18.8B) but normalized for working capital volatility inherent in EMS businesses.</t>
  </si>
  <si>
    <t>6. At the current price of HKD21.66, the stock appears fairly valued in the base case (intrinsic value HKD21.31). The probability-weighted IV of HKD22.75 suggests modest upside (~5%), with the real return asymmetry being in the bull case (HKD33.55, +55%) if NEV/AI thesis materialises.</t>
  </si>
</sst>
</file>

<file path=xl/styles.xml><?xml version="1.0" encoding="utf-8"?>
<styleSheet xmlns="http://schemas.openxmlformats.org/spreadsheetml/2006/main">
  <numFmts count="6">
    <numFmt numFmtId="164" formatCode="#,##0.0"/>
    <numFmt numFmtId="165" formatCode="0.0%"/>
    <numFmt numFmtId="166" formatCode="#,##0.00"/>
    <numFmt numFmtId="167" formatCode="&quot;RMB &quot;#,##0.00"/>
    <numFmt numFmtId="168" formatCode="&quot;HK$&quot;#,##0.00"/>
    <numFmt numFmtId="169" formatCode="+0.0%;-0.0%;0.0%"/>
  </numFmts>
  <fonts count="11">
    <font>
      <sz val="11"/>
      <color theme="1"/>
      <name val="Calibri"/>
      <family val="2"/>
      <scheme val="minor"/>
    </font>
    <font>
      <b/>
      <sz val="16"/>
      <color rgb="FF2D3436"/>
      <name val="Calibri"/>
      <family val="2"/>
      <scheme val="minor"/>
    </font>
    <font>
      <i/>
      <sz val="10"/>
      <color rgb="FF636E72"/>
      <name val="Calibri"/>
      <family val="2"/>
      <scheme val="minor"/>
    </font>
    <font>
      <b/>
      <sz val="11"/>
      <color rgb="FF2D3436"/>
      <name val="Calibri"/>
      <family val="2"/>
      <scheme val="minor"/>
    </font>
    <font>
      <i/>
      <sz val="9"/>
      <color rgb="FF636E7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rgb="FF00B894"/>
      <name val="Calibri"/>
      <family val="2"/>
      <scheme val="minor"/>
    </font>
    <font>
      <b/>
      <sz val="11"/>
      <color rgb="FF636E72"/>
      <name val="Calibri"/>
      <family val="2"/>
      <scheme val="minor"/>
    </font>
    <font>
      <b/>
      <sz val="11"/>
      <color rgb="FF00B89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DCB6E"/>
        <bgColor indexed="64"/>
      </patternFill>
    </fill>
    <fill>
      <patternFill patternType="solid">
        <fgColor rgb="FFD6303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0" fontId="4" fillId="0" borderId="0" xfId="0" applyFont="1" applyAlignment="1">
      <alignment wrapText="1"/>
    </xf>
    <xf numFmtId="165" fontId="0" fillId="2" borderId="2" xfId="0" applyNumberFormat="1" applyFill="1" applyBorder="1"/>
    <xf numFmtId="0" fontId="5" fillId="3" borderId="2" xfId="0" applyFont="1" applyFill="1" applyBorder="1" applyAlignment="1">
      <alignment horizontal="center"/>
    </xf>
    <xf numFmtId="166" fontId="0" fillId="0" borderId="2" xfId="0" applyNumberFormat="1" applyBorder="1"/>
    <xf numFmtId="167" fontId="5" fillId="4" borderId="2" xfId="0" applyNumberFormat="1" applyFont="1" applyFill="1" applyBorder="1"/>
    <xf numFmtId="168" fontId="5" fillId="5" borderId="2" xfId="0" applyNumberFormat="1" applyFont="1" applyFill="1" applyBorder="1"/>
    <xf numFmtId="169" fontId="6" fillId="6" borderId="2" xfId="0" applyNumberFormat="1" applyFont="1" applyFill="1" applyBorder="1"/>
    <xf numFmtId="168" fontId="0" fillId="0" borderId="2" xfId="0" applyNumberFormat="1" applyBorder="1"/>
    <xf numFmtId="0" fontId="6" fillId="0" borderId="0" xfId="0" applyFont="1"/>
    <xf numFmtId="167" fontId="0" fillId="0" borderId="2" xfId="0" applyNumberFormat="1" applyBorder="1"/>
    <xf numFmtId="169" fontId="0" fillId="0" borderId="2" xfId="0" applyNumberFormat="1" applyBorder="1"/>
    <xf numFmtId="165" fontId="5" fillId="3" borderId="2" xfId="0" applyNumberFormat="1" applyFont="1" applyFill="1" applyBorder="1" applyAlignment="1">
      <alignment horizontal="center"/>
    </xf>
    <xf numFmtId="165" fontId="5" fillId="3" borderId="2" xfId="0" applyNumberFormat="1" applyFont="1" applyFill="1" applyBorder="1"/>
    <xf numFmtId="168" fontId="7" fillId="5" borderId="2" xfId="0" applyNumberFormat="1" applyFont="1" applyFill="1" applyBorder="1"/>
    <xf numFmtId="168" fontId="0" fillId="6" borderId="2" xfId="0" applyNumberFormat="1" applyFill="1" applyBorder="1"/>
    <xf numFmtId="168" fontId="7" fillId="7" borderId="2" xfId="0" applyNumberFormat="1" applyFont="1" applyFill="1" applyBorder="1"/>
    <xf numFmtId="165" fontId="0" fillId="0" borderId="2" xfId="0" applyNumberFormat="1" applyBorder="1"/>
    <xf numFmtId="0" fontId="0" fillId="0" borderId="2" xfId="0" applyBorder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8.7109375" customWidth="1"/>
    <col min="2" max="7" width="14.7109375" customWidth="1"/>
    <col min="8" max="8" width="22.7109375" customWidth="1"/>
  </cols>
  <sheetData>
    <row r="1" spans="1:8">
      <c r="A1" s="1" t="s">
        <v>0</v>
      </c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</row>
    <row r="5" spans="1:8">
      <c r="A5" t="s">
        <v>3</v>
      </c>
      <c r="B5" s="4">
        <v>21.66</v>
      </c>
    </row>
    <row r="6" spans="1:8">
      <c r="A6" t="s">
        <v>4</v>
      </c>
      <c r="B6" s="4">
        <v>1.088</v>
      </c>
    </row>
    <row r="7" spans="1:8">
      <c r="A7" t="s">
        <v>5</v>
      </c>
      <c r="B7" s="4">
        <v>2253.2</v>
      </c>
    </row>
    <row r="8" spans="1:8">
      <c r="A8" t="s">
        <v>6</v>
      </c>
      <c r="B8" s="4">
        <v>13552.2</v>
      </c>
    </row>
    <row r="9" spans="1:8">
      <c r="A9" t="s">
        <v>7</v>
      </c>
      <c r="B9" s="4">
        <v>7184</v>
      </c>
    </row>
    <row r="10" spans="1:8">
      <c r="A10" t="s">
        <v>8</v>
      </c>
      <c r="B10" s="5">
        <f>B9-B8</f>
        <v>0</v>
      </c>
    </row>
    <row r="11" spans="1:8">
      <c r="A11" t="s">
        <v>9</v>
      </c>
      <c r="B11" s="4">
        <v>2109</v>
      </c>
      <c r="H11" s="6" t="s">
        <v>10</v>
      </c>
    </row>
    <row r="13" spans="1:8">
      <c r="A13" t="s">
        <v>11</v>
      </c>
      <c r="B13" s="7">
        <v>0.105</v>
      </c>
    </row>
    <row r="14" spans="1:8">
      <c r="A14" t="s">
        <v>12</v>
      </c>
      <c r="B14" s="7">
        <v>0.03</v>
      </c>
    </row>
    <row r="16" spans="1:8">
      <c r="A16" s="3" t="s">
        <v>13</v>
      </c>
    </row>
    <row r="17" spans="1:7">
      <c r="A17" t="s">
        <v>19</v>
      </c>
      <c r="B17" s="8" t="s">
        <v>14</v>
      </c>
      <c r="C17" s="8" t="s">
        <v>15</v>
      </c>
      <c r="D17" s="8" t="s">
        <v>16</v>
      </c>
      <c r="E17" s="8" t="s">
        <v>17</v>
      </c>
      <c r="F17" s="8" t="s">
        <v>18</v>
      </c>
    </row>
    <row r="18" spans="1:7">
      <c r="B18" s="7">
        <v>0.08</v>
      </c>
      <c r="C18" s="7">
        <v>0.1</v>
      </c>
      <c r="D18" s="7">
        <v>0.11</v>
      </c>
      <c r="E18" s="7">
        <v>0.1</v>
      </c>
      <c r="F18" s="7">
        <v>0.08</v>
      </c>
    </row>
    <row r="20" spans="1:7">
      <c r="A20" s="3" t="s">
        <v>20</v>
      </c>
    </row>
    <row r="21" spans="1:7">
      <c r="A21" s="8" t="s">
        <v>21</v>
      </c>
      <c r="B21" s="8"/>
    </row>
    <row r="22" spans="1:7">
      <c r="A22" s="8" t="s">
        <v>22</v>
      </c>
      <c r="B22" s="5">
        <f>B11</f>
        <v>0</v>
      </c>
      <c r="C22" s="5">
        <f>B22*(1+C18)</f>
        <v>0</v>
      </c>
      <c r="D22" s="5">
        <f>C22*(1+D18)</f>
        <v>0</v>
      </c>
      <c r="E22" s="5">
        <f>D22*(1+E18)</f>
        <v>0</v>
      </c>
      <c r="F22" s="5">
        <f>E22*(1+F18)</f>
        <v>0</v>
      </c>
      <c r="G22" s="5">
        <f>F22*(1+G18)</f>
        <v>0</v>
      </c>
    </row>
    <row r="23" spans="1:7">
      <c r="A23" s="8" t="s">
        <v>23</v>
      </c>
      <c r="C23" s="9">
        <f>1/(1+$B$13)^1</f>
        <v>0</v>
      </c>
      <c r="D23" s="9">
        <f>1/(1+$B$13)^2</f>
        <v>0</v>
      </c>
      <c r="E23" s="9">
        <f>1/(1+$B$13)^3</f>
        <v>0</v>
      </c>
      <c r="F23" s="9">
        <f>1/(1+$B$13)^4</f>
        <v>0</v>
      </c>
      <c r="G23" s="9">
        <f>1/(1+$B$13)^5</f>
        <v>0</v>
      </c>
    </row>
    <row r="24" spans="1:7">
      <c r="A24" s="8" t="s">
        <v>24</v>
      </c>
      <c r="C24" s="5">
        <f>C22*C23</f>
        <v>0</v>
      </c>
      <c r="D24" s="5">
        <f>D22*D23</f>
        <v>0</v>
      </c>
      <c r="E24" s="5">
        <f>E22*E23</f>
        <v>0</v>
      </c>
      <c r="F24" s="5">
        <f>F22*F23</f>
        <v>0</v>
      </c>
      <c r="G24" s="5">
        <f>G22*G23</f>
        <v>0</v>
      </c>
    </row>
    <row r="27" spans="1:7">
      <c r="A27" s="3" t="s">
        <v>25</v>
      </c>
    </row>
    <row r="28" spans="1:7">
      <c r="A28" t="s">
        <v>26</v>
      </c>
      <c r="B28" s="5">
        <f>SUM(C24:G24)</f>
        <v>0</v>
      </c>
    </row>
    <row r="29" spans="1:7">
      <c r="A29" t="s">
        <v>27</v>
      </c>
      <c r="B29" s="5">
        <f>G22*(1+$B$14)</f>
        <v>0</v>
      </c>
    </row>
    <row r="30" spans="1:7">
      <c r="A30" t="s">
        <v>28</v>
      </c>
      <c r="B30" s="5">
        <f>B29/($B$13-$B$14)</f>
        <v>0</v>
      </c>
    </row>
    <row r="31" spans="1:7">
      <c r="A31" t="s">
        <v>29</v>
      </c>
      <c r="B31" s="5">
        <f>B30*G23</f>
        <v>0</v>
      </c>
    </row>
    <row r="32" spans="1:7">
      <c r="A32" t="s">
        <v>30</v>
      </c>
      <c r="B32" s="5">
        <f>B28+B31</f>
        <v>0</v>
      </c>
    </row>
    <row r="33" spans="1:8">
      <c r="A33" t="s">
        <v>31</v>
      </c>
      <c r="B33" s="5">
        <f>B10</f>
        <v>0</v>
      </c>
    </row>
    <row r="34" spans="1:8">
      <c r="A34" t="s">
        <v>32</v>
      </c>
      <c r="B34" s="5">
        <f>B32-B33</f>
        <v>0</v>
      </c>
    </row>
    <row r="35" spans="1:8">
      <c r="A35" t="s">
        <v>33</v>
      </c>
      <c r="B35" s="10">
        <f>B34/B7</f>
        <v>0</v>
      </c>
    </row>
    <row r="36" spans="1:8">
      <c r="A36" t="s">
        <v>34</v>
      </c>
      <c r="B36" s="11">
        <f>B35*B6</f>
        <v>0</v>
      </c>
    </row>
    <row r="37" spans="1:8">
      <c r="A37" t="s">
        <v>35</v>
      </c>
      <c r="B37" s="12">
        <f>(B36-B5)/B5</f>
        <v>0</v>
      </c>
    </row>
    <row r="40" spans="1:8">
      <c r="A40" s="3" t="s">
        <v>36</v>
      </c>
    </row>
    <row r="41" spans="1:8">
      <c r="A41" t="s">
        <v>37</v>
      </c>
      <c r="B41" s="13">
        <f>B30/B7*B6</f>
        <v>0</v>
      </c>
    </row>
    <row r="42" spans="1:8">
      <c r="A42" t="s">
        <v>38</v>
      </c>
      <c r="B42" s="11">
        <f>B41/(1.15^5)</f>
        <v>0</v>
      </c>
    </row>
    <row r="43" spans="1:8">
      <c r="A43" t="s">
        <v>39</v>
      </c>
      <c r="B43" s="12">
        <f>(B5-B42)/B5</f>
        <v>0</v>
      </c>
      <c r="H43" s="6" t="s">
        <v>40</v>
      </c>
    </row>
    <row r="46" spans="1:8">
      <c r="A46" s="3" t="s">
        <v>41</v>
      </c>
      <c r="B46" s="8" t="s">
        <v>42</v>
      </c>
      <c r="C46" s="8" t="s">
        <v>43</v>
      </c>
      <c r="D46" s="8" t="s">
        <v>44</v>
      </c>
    </row>
    <row r="47" spans="1:8">
      <c r="A47" s="14" t="s">
        <v>45</v>
      </c>
      <c r="B47" s="5">
        <v>2443.1</v>
      </c>
      <c r="C47" s="5">
        <v>3303.9</v>
      </c>
      <c r="D47" s="5">
        <v>4580.7</v>
      </c>
    </row>
    <row r="48" spans="1:8">
      <c r="A48" s="14" t="s">
        <v>46</v>
      </c>
      <c r="B48" s="15">
        <v>13.62</v>
      </c>
      <c r="C48" s="15">
        <v>19.59</v>
      </c>
      <c r="D48" s="15">
        <v>30.84</v>
      </c>
    </row>
    <row r="49" spans="1:8">
      <c r="A49" s="14" t="s">
        <v>47</v>
      </c>
      <c r="B49" s="13">
        <v>14.82</v>
      </c>
      <c r="C49" s="13">
        <v>21.31</v>
      </c>
      <c r="D49" s="13">
        <v>33.55</v>
      </c>
    </row>
    <row r="50" spans="1:8">
      <c r="A50" s="14" t="s">
        <v>48</v>
      </c>
      <c r="B50" s="16">
        <v>-0.316</v>
      </c>
      <c r="C50" s="16">
        <v>-0.016</v>
      </c>
      <c r="D50" s="16">
        <v>0.5489999999999999</v>
      </c>
    </row>
    <row r="52" spans="1:8">
      <c r="A52" t="s">
        <v>49</v>
      </c>
      <c r="B52" s="11">
        <v>22.75</v>
      </c>
      <c r="H52" s="6" t="s">
        <v>50</v>
      </c>
    </row>
  </sheetData>
  <mergeCells count="1"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1" width="16.7109375" customWidth="1"/>
    <col min="2" max="6" width="14.7109375" customWidth="1"/>
    <col min="7" max="7" width="30.7109375" customWidth="1"/>
  </cols>
  <sheetData>
    <row r="1" spans="1:6">
      <c r="A1" s="1" t="s">
        <v>51</v>
      </c>
    </row>
    <row r="2" spans="1:6">
      <c r="A2" s="2" t="s">
        <v>52</v>
      </c>
    </row>
    <row r="4" spans="1:6">
      <c r="A4" s="8" t="s">
        <v>53</v>
      </c>
      <c r="B4" s="17">
        <v>0.02</v>
      </c>
      <c r="C4" s="17">
        <v>0.025</v>
      </c>
      <c r="D4" s="17">
        <v>0.03</v>
      </c>
      <c r="E4" s="17">
        <v>0.035</v>
      </c>
      <c r="F4" s="17">
        <v>0.04</v>
      </c>
    </row>
    <row r="5" spans="1:6">
      <c r="A5" s="18">
        <v>0.08500000000000001</v>
      </c>
      <c r="B5" s="19">
        <v>24.94</v>
      </c>
      <c r="C5" s="19">
        <v>26.42</v>
      </c>
      <c r="D5" s="19">
        <v>28.16</v>
      </c>
      <c r="E5" s="19">
        <v>30.26</v>
      </c>
      <c r="F5" s="19">
        <v>32.82</v>
      </c>
    </row>
    <row r="6" spans="1:6">
      <c r="A6" s="18">
        <v>0.095</v>
      </c>
      <c r="B6" s="20">
        <v>21.93</v>
      </c>
      <c r="C6" s="20">
        <v>22.99</v>
      </c>
      <c r="D6" s="19">
        <v>24.21</v>
      </c>
      <c r="E6" s="19">
        <v>25.63</v>
      </c>
      <c r="F6" s="19">
        <v>27.32</v>
      </c>
    </row>
    <row r="7" spans="1:6">
      <c r="A7" s="18">
        <v>0.105</v>
      </c>
      <c r="B7" s="21">
        <v>19.64</v>
      </c>
      <c r="C7" s="21">
        <v>20.42</v>
      </c>
      <c r="D7" s="20">
        <v>21.31</v>
      </c>
      <c r="E7" s="20">
        <v>22.33</v>
      </c>
      <c r="F7" s="20">
        <v>23.51</v>
      </c>
    </row>
    <row r="8" spans="1:6">
      <c r="A8" s="18">
        <v>0.115</v>
      </c>
      <c r="B8" s="21">
        <v>17.82</v>
      </c>
      <c r="C8" s="21">
        <v>18.43</v>
      </c>
      <c r="D8" s="21">
        <v>19.1</v>
      </c>
      <c r="E8" s="21">
        <v>19.86</v>
      </c>
      <c r="F8" s="20">
        <v>20.72</v>
      </c>
    </row>
    <row r="9" spans="1:6">
      <c r="A9" s="18">
        <v>0.125</v>
      </c>
      <c r="B9" s="21">
        <v>16.36</v>
      </c>
      <c r="C9" s="21">
        <v>16.83</v>
      </c>
      <c r="D9" s="21">
        <v>17.36</v>
      </c>
      <c r="E9" s="21">
        <v>17.94</v>
      </c>
      <c r="F9" s="21">
        <v>18.59</v>
      </c>
    </row>
    <row r="10" spans="1:6">
      <c r="A10" s="6" t="s">
        <v>54</v>
      </c>
    </row>
    <row r="11" spans="1:6">
      <c r="A11" s="14" t="s">
        <v>55</v>
      </c>
    </row>
    <row r="12" spans="1:6">
      <c r="A12" s="14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cols>
    <col min="1" max="1" width="20.7109375" customWidth="1"/>
    <col min="2" max="14" width="14.7109375" customWidth="1"/>
  </cols>
  <sheetData>
    <row r="1" spans="1:8">
      <c r="A1" s="1" t="s">
        <v>57</v>
      </c>
    </row>
    <row r="3" spans="1:8">
      <c r="A3" s="8" t="s">
        <v>58</v>
      </c>
      <c r="B3" s="8" t="s">
        <v>59</v>
      </c>
      <c r="C3" s="8" t="s">
        <v>60</v>
      </c>
      <c r="D3" s="8" t="s">
        <v>61</v>
      </c>
      <c r="E3" s="8" t="s">
        <v>62</v>
      </c>
      <c r="F3" s="8" t="s">
        <v>63</v>
      </c>
      <c r="G3" s="8" t="s">
        <v>64</v>
      </c>
      <c r="H3" s="8" t="s">
        <v>65</v>
      </c>
    </row>
    <row r="4" spans="1:8">
      <c r="A4" s="14" t="s">
        <v>66</v>
      </c>
      <c r="B4" s="5">
        <v>29285.8</v>
      </c>
      <c r="C4" s="5">
        <v>1903.5</v>
      </c>
      <c r="D4" s="22">
        <v>0.065</v>
      </c>
      <c r="E4" s="5">
        <v>908.1</v>
      </c>
      <c r="F4" s="22">
        <v>0.03100820192721387</v>
      </c>
      <c r="G4" s="9">
        <v>0.4</v>
      </c>
      <c r="H4" s="5">
        <v>10547.8</v>
      </c>
    </row>
    <row r="5" spans="1:8">
      <c r="A5" s="14" t="s">
        <v>67</v>
      </c>
      <c r="B5" s="5">
        <v>36734.3</v>
      </c>
      <c r="C5" s="5">
        <v>2800.1</v>
      </c>
      <c r="D5" s="22">
        <v>0.076</v>
      </c>
      <c r="E5" s="5">
        <v>1233.5</v>
      </c>
      <c r="F5" s="22">
        <v>0.0335789711523018</v>
      </c>
      <c r="G5" s="9">
        <v>0.55</v>
      </c>
      <c r="H5" s="5">
        <v>11754.2</v>
      </c>
    </row>
    <row r="6" spans="1:8">
      <c r="A6" s="14" t="s">
        <v>68</v>
      </c>
      <c r="B6" s="5">
        <v>38774.4</v>
      </c>
      <c r="C6" s="5">
        <v>4263.9</v>
      </c>
      <c r="D6" s="22">
        <v>0.11</v>
      </c>
      <c r="E6" s="5">
        <v>2584.9</v>
      </c>
      <c r="F6" s="22">
        <v>0.06666511925394074</v>
      </c>
      <c r="G6" s="9">
        <v>1.15</v>
      </c>
      <c r="H6" s="5">
        <v>14191.3</v>
      </c>
    </row>
    <row r="7" spans="1:8">
      <c r="A7" s="14" t="s">
        <v>69</v>
      </c>
      <c r="B7" s="5">
        <v>41047.1</v>
      </c>
      <c r="C7" s="5">
        <v>4172</v>
      </c>
      <c r="D7" s="22">
        <v>0.102</v>
      </c>
      <c r="E7" s="5">
        <v>2188.6</v>
      </c>
      <c r="F7" s="22">
        <v>0.05331923570727286</v>
      </c>
      <c r="G7" s="23"/>
      <c r="H7" s="5">
        <v>15825.3</v>
      </c>
    </row>
    <row r="8" spans="1:8">
      <c r="A8" s="14" t="s">
        <v>70</v>
      </c>
      <c r="B8" s="5">
        <v>53028.4</v>
      </c>
      <c r="C8" s="5">
        <v>3957.3</v>
      </c>
      <c r="D8" s="22">
        <v>0.075</v>
      </c>
      <c r="E8" s="5">
        <v>1597.6</v>
      </c>
      <c r="F8" s="22">
        <v>0.03012725256654924</v>
      </c>
      <c r="G8" s="9">
        <v>0.71</v>
      </c>
      <c r="H8" s="5">
        <v>16989.5</v>
      </c>
    </row>
    <row r="9" spans="1:8">
      <c r="A9" s="14" t="s">
        <v>71</v>
      </c>
      <c r="B9" s="5">
        <v>73121.10000000001</v>
      </c>
      <c r="C9" s="5">
        <v>9628.799999999999</v>
      </c>
      <c r="D9" s="22">
        <v>0.132</v>
      </c>
      <c r="E9" s="5">
        <v>5441.4</v>
      </c>
      <c r="F9" s="22">
        <v>0.0744162765603909</v>
      </c>
      <c r="G9" s="9">
        <v>2.41</v>
      </c>
      <c r="H9" s="5">
        <v>22272.3</v>
      </c>
    </row>
    <row r="10" spans="1:8">
      <c r="A10" s="14" t="s">
        <v>72</v>
      </c>
      <c r="B10" s="5">
        <v>89057</v>
      </c>
      <c r="C10" s="5">
        <v>6029.2</v>
      </c>
      <c r="D10" s="22">
        <v>0.068</v>
      </c>
      <c r="E10" s="5">
        <v>2309.9</v>
      </c>
      <c r="F10" s="22">
        <v>0.02593732104158011</v>
      </c>
      <c r="G10" s="9">
        <v>1.03</v>
      </c>
      <c r="H10" s="5">
        <v>24027.1</v>
      </c>
    </row>
    <row r="11" spans="1:8">
      <c r="A11" s="14" t="s">
        <v>73</v>
      </c>
      <c r="B11" s="5">
        <v>107186.3</v>
      </c>
      <c r="C11" s="5">
        <v>6350.3</v>
      </c>
      <c r="D11" s="22">
        <v>0.059</v>
      </c>
      <c r="E11" s="5">
        <v>1857.6</v>
      </c>
      <c r="F11" s="22">
        <v>0.01733057303032197</v>
      </c>
      <c r="G11" s="9">
        <v>0.82</v>
      </c>
      <c r="H11" s="5">
        <v>25635.1</v>
      </c>
    </row>
    <row r="12" spans="1:8">
      <c r="A12" s="14" t="s">
        <v>74</v>
      </c>
      <c r="B12" s="5">
        <v>129957</v>
      </c>
      <c r="C12" s="5">
        <v>10434.1</v>
      </c>
      <c r="D12" s="22">
        <v>0.08</v>
      </c>
      <c r="E12" s="5">
        <v>4041.4</v>
      </c>
      <c r="F12" s="22">
        <v>0.03109797856213978</v>
      </c>
      <c r="G12" s="9">
        <v>1.79</v>
      </c>
      <c r="H12" s="5">
        <v>29330.4</v>
      </c>
    </row>
    <row r="13" spans="1:8">
      <c r="A13" s="14" t="s">
        <v>75</v>
      </c>
      <c r="B13" s="5">
        <v>177305.5</v>
      </c>
      <c r="C13" s="5">
        <v>12301.3</v>
      </c>
      <c r="D13" s="22">
        <v>0.06900000000000001</v>
      </c>
      <c r="E13" s="5">
        <v>4265.6</v>
      </c>
      <c r="F13" s="22">
        <v>0.02405791134510774</v>
      </c>
      <c r="G13" s="9">
        <v>1.89</v>
      </c>
      <c r="H13" s="5">
        <v>32401.7</v>
      </c>
    </row>
    <row r="14" spans="1:8">
      <c r="A14" s="14" t="s">
        <v>76</v>
      </c>
      <c r="B14" s="5">
        <v>179477.4</v>
      </c>
      <c r="C14" s="5">
        <v>10756.7</v>
      </c>
      <c r="D14" s="22">
        <v>0.06</v>
      </c>
      <c r="E14" s="5">
        <v>3514.6</v>
      </c>
      <c r="F14" s="22">
        <v>0.01958240981872927</v>
      </c>
      <c r="G14" s="9">
        <v>1.56</v>
      </c>
      <c r="H14" s="5">
        <v>34442</v>
      </c>
    </row>
    <row r="17" spans="1:4">
      <c r="A17" s="3" t="s">
        <v>77</v>
      </c>
    </row>
    <row r="18" spans="1:4">
      <c r="A18" s="8" t="s">
        <v>78</v>
      </c>
      <c r="B18" s="8" t="s">
        <v>79</v>
      </c>
      <c r="C18" s="8" t="s">
        <v>80</v>
      </c>
      <c r="D18" s="8" t="s">
        <v>81</v>
      </c>
    </row>
    <row r="19" spans="1:4">
      <c r="A19" s="14" t="s">
        <v>59</v>
      </c>
      <c r="B19" s="22">
        <v>0.1875</v>
      </c>
      <c r="C19" s="22">
        <v>0.1967</v>
      </c>
      <c r="D19" s="6" t="s">
        <v>82</v>
      </c>
    </row>
    <row r="20" spans="1:4">
      <c r="A20" s="14" t="s">
        <v>62</v>
      </c>
      <c r="B20" s="22">
        <v>0.2368</v>
      </c>
      <c r="C20" s="22">
        <v>-0.0837</v>
      </c>
      <c r="D20" s="6" t="s">
        <v>83</v>
      </c>
    </row>
    <row r="21" spans="1:4">
      <c r="A21" s="14" t="s">
        <v>65</v>
      </c>
      <c r="B21" s="22">
        <v>0.1034</v>
      </c>
      <c r="C21" s="22">
        <v>0.0911</v>
      </c>
      <c r="D21" s="6" t="s">
        <v>84</v>
      </c>
    </row>
    <row r="23" spans="1:4">
      <c r="A23" t="s">
        <v>85</v>
      </c>
      <c r="B23" s="22">
        <v>0.1034</v>
      </c>
      <c r="C23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cols>
    <col min="1" max="1" width="30.7109375" customWidth="1"/>
    <col min="2" max="4" width="18.7109375" customWidth="1"/>
    <col min="5" max="5" width="40.7109375" customWidth="1"/>
  </cols>
  <sheetData>
    <row r="1" spans="1:4">
      <c r="A1" s="1" t="s">
        <v>87</v>
      </c>
    </row>
    <row r="2" spans="1:4">
      <c r="A2" s="24" t="s">
        <v>88</v>
      </c>
    </row>
    <row r="4" spans="1:4">
      <c r="A4" s="3" t="s">
        <v>89</v>
      </c>
    </row>
    <row r="5" spans="1:4">
      <c r="A5" s="8" t="s">
        <v>78</v>
      </c>
      <c r="B5" s="8" t="s">
        <v>90</v>
      </c>
      <c r="C5" s="8" t="s">
        <v>91</v>
      </c>
      <c r="D5" s="8" t="s">
        <v>92</v>
      </c>
    </row>
    <row r="6" spans="1:4">
      <c r="A6" s="14" t="s">
        <v>93</v>
      </c>
      <c r="B6" s="9">
        <v>3514.6</v>
      </c>
      <c r="C6" t="s">
        <v>94</v>
      </c>
      <c r="D6" s="25" t="s">
        <v>94</v>
      </c>
    </row>
    <row r="7" spans="1:4">
      <c r="A7" s="14" t="s">
        <v>95</v>
      </c>
      <c r="B7" s="9">
        <v>34442</v>
      </c>
      <c r="C7" t="s">
        <v>94</v>
      </c>
      <c r="D7" s="25" t="s">
        <v>94</v>
      </c>
    </row>
    <row r="8" spans="1:4">
      <c r="A8" s="14" t="s">
        <v>96</v>
      </c>
      <c r="B8" s="9">
        <v>9368</v>
      </c>
      <c r="C8" t="s">
        <v>94</v>
      </c>
      <c r="D8" s="25" t="s">
        <v>94</v>
      </c>
    </row>
    <row r="9" spans="1:4">
      <c r="A9" s="14" t="s">
        <v>97</v>
      </c>
      <c r="B9" s="9">
        <v>44857</v>
      </c>
      <c r="C9" t="s">
        <v>94</v>
      </c>
      <c r="D9" s="25" t="s">
        <v>94</v>
      </c>
    </row>
    <row r="10" spans="1:4">
      <c r="A10" s="14" t="s">
        <v>98</v>
      </c>
      <c r="B10" s="9">
        <v>38489</v>
      </c>
      <c r="C10" t="s">
        <v>94</v>
      </c>
      <c r="D10" s="25" t="s">
        <v>94</v>
      </c>
    </row>
    <row r="11" spans="1:4">
      <c r="A11" s="14" t="s">
        <v>99</v>
      </c>
      <c r="B11" s="9">
        <v>12.8</v>
      </c>
      <c r="C11" t="s">
        <v>100</v>
      </c>
      <c r="D11" s="26" t="s">
        <v>101</v>
      </c>
    </row>
    <row r="12" spans="1:4">
      <c r="A12" s="14" t="s">
        <v>102</v>
      </c>
      <c r="B12" s="9">
        <v>4.1</v>
      </c>
      <c r="C12" t="s">
        <v>103</v>
      </c>
      <c r="D12" s="26" t="s">
        <v>101</v>
      </c>
    </row>
    <row r="13" spans="1:4">
      <c r="A13" s="14" t="s">
        <v>104</v>
      </c>
      <c r="B13" s="9">
        <v>1.3</v>
      </c>
      <c r="C13" t="s">
        <v>105</v>
      </c>
      <c r="D13" s="26" t="s">
        <v>101</v>
      </c>
    </row>
    <row r="15" spans="1:4">
      <c r="A15" s="3" t="s">
        <v>106</v>
      </c>
    </row>
    <row r="16" spans="1:4">
      <c r="A16" s="8" t="s">
        <v>78</v>
      </c>
      <c r="B16" s="8" t="s">
        <v>107</v>
      </c>
      <c r="C16" s="8" t="s">
        <v>91</v>
      </c>
      <c r="D16" s="8" t="s">
        <v>108</v>
      </c>
    </row>
    <row r="17" spans="1:5">
      <c r="A17" s="14" t="s">
        <v>109</v>
      </c>
      <c r="B17" s="9">
        <v>19.59</v>
      </c>
      <c r="D17" s="25"/>
    </row>
    <row r="18" spans="1:5">
      <c r="A18" s="14" t="s">
        <v>110</v>
      </c>
      <c r="B18" s="9">
        <v>21.31</v>
      </c>
      <c r="D18" s="25"/>
    </row>
    <row r="19" spans="1:5">
      <c r="A19" s="14" t="s">
        <v>111</v>
      </c>
      <c r="B19" s="9">
        <v>12.6</v>
      </c>
      <c r="C19" t="s">
        <v>100</v>
      </c>
      <c r="D19" s="26" t="s">
        <v>101</v>
      </c>
    </row>
    <row r="20" spans="1:5">
      <c r="A20" s="14" t="s">
        <v>112</v>
      </c>
      <c r="B20" s="9">
        <v>4</v>
      </c>
      <c r="C20" t="s">
        <v>103</v>
      </c>
      <c r="D20" s="26" t="s">
        <v>101</v>
      </c>
    </row>
    <row r="21" spans="1:5">
      <c r="A21" s="14" t="s">
        <v>113</v>
      </c>
      <c r="B21" s="9">
        <v>1.28</v>
      </c>
      <c r="C21" t="s">
        <v>105</v>
      </c>
      <c r="D21" s="26" t="s">
        <v>101</v>
      </c>
    </row>
    <row r="23" spans="1:5">
      <c r="A23" s="3" t="s">
        <v>114</v>
      </c>
    </row>
    <row r="24" spans="1:5">
      <c r="A24" s="6" t="s">
        <v>115</v>
      </c>
      <c r="B24" s="6"/>
      <c r="C24" s="6"/>
      <c r="D24" s="6"/>
      <c r="E24" s="6"/>
    </row>
    <row r="25" spans="1:5">
      <c r="A25" s="6" t="s">
        <v>116</v>
      </c>
      <c r="B25" s="6"/>
      <c r="C25" s="6"/>
      <c r="D25" s="6"/>
      <c r="E25" s="6"/>
    </row>
    <row r="26" spans="1:5">
      <c r="A26" s="6" t="s">
        <v>117</v>
      </c>
      <c r="B26" s="6"/>
      <c r="C26" s="6"/>
      <c r="D26" s="6"/>
      <c r="E26" s="6"/>
    </row>
    <row r="27" spans="1:5">
      <c r="A27" s="6" t="s">
        <v>118</v>
      </c>
      <c r="B27" s="6"/>
      <c r="C27" s="6"/>
      <c r="D27" s="6"/>
      <c r="E27" s="6"/>
    </row>
    <row r="28" spans="1:5">
      <c r="A28" s="6" t="s">
        <v>119</v>
      </c>
      <c r="B28" s="6"/>
      <c r="C28" s="6"/>
      <c r="D28" s="6"/>
      <c r="E28" s="6"/>
    </row>
    <row r="29" spans="1:5">
      <c r="A29" s="6" t="s">
        <v>120</v>
      </c>
      <c r="B29" s="6"/>
      <c r="C29" s="6"/>
      <c r="D29" s="6"/>
      <c r="E29" s="6"/>
    </row>
  </sheetData>
  <mergeCells count="6">
    <mergeCell ref="A24:E24"/>
    <mergeCell ref="A25:E25"/>
    <mergeCell ref="A26:E26"/>
    <mergeCell ref="A27:E27"/>
    <mergeCell ref="A28:E28"/>
    <mergeCell ref="A29:E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Sensitivity</vt:lpstr>
      <vt:lpstr>Historical Data</vt:lpstr>
      <vt:lpstr>Sanity 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2026-06-25T06:22:14Z</dcterms:created>
  <dcterms:modified xsi:type="dcterms:W3CDTF">2026-06-25T06:22:14Z</dcterms:modified>
</cp:coreProperties>
</file>