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<sst xmlns="http://schemas.openxmlformats.org/spreadsheetml/2006/main" count="360" uniqueCount="166">
  <si>
    <t xml:space="preserve">Ticker</t>
  </si>
  <si>
    <t xml:space="preserve">3990.HK</t>
  </si>
  <si>
    <t xml:space="preserve">Company</t>
  </si>
  <si>
    <t xml:space="preserve">Midea Real Estate Holding Limited</t>
  </si>
  <si>
    <t xml:space="preserve">Valuation date</t>
  </si>
  <si>
    <t xml:space="preserve">2026-10-23</t>
  </si>
  <si>
    <t xml:space="preserve">Current price</t>
  </si>
  <si>
    <t xml:space="preserve">Price as of</t>
  </si>
  <si>
    <t xml:space="preserve">2026-10-23T08:08:08Z (16:08 HKT, regular close; price is at the 52-week low of a 2.22-5.07 range)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</si>
  <si>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</si>
  <si>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</si>
  <si>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</si>
  <si>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</si>
  <si>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</si>
  <si>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</si>
  <si>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</si>
  <si>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</si>
  <si>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</si>
  <si>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</si>
  <si>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</si>
  <si>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</si>
  <si>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</si>
  <si>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2026-10-23T09:40:45Z</t>
  </si>
  <si>
    <t xml:space="preserve">Drivers file</t>
  </si>
  <si>
    <t xml:space="preserve">3990.HK_Drivers.json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</si>
  <si>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</si>
  <si>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</si>
  <si>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</si>
  <si>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business that exists after the October 2024 distribution in specie, not the developer that preceded it: a RMB4bn-revenue, 22-24% EBITDA-margin, net-cash property-services platform with ~RMB4.8bn of investment property at fair value and ~46% of revenue in recurring property-management fees. Owner FCF is built from components (margin, 2% D&amp;A, 1% capex, 31% cash tax, working capital on the revenue change) rather than carried forward from FY2025's working-capital-flattered RMB947m reported FCF. Terminal value is capped at 9-14x FCF because sub-scale China property managers have not commanded Gordon-growth multiples. Risk is charged once, in the flows and the 30/50/20 weighting, at an 11% CNY discount rate. All per-share values are computed in CNY and converted to HKD at the dated fx_rate.
key_risks_to_valuation: Connected-party dependence: project-management and construction-materials revenue flows from the controlling shareholder's private developer under framework agreements that expire December 2026; the H1 2026 -35% in that segment is the single largest driver of the bear case; Two clean years of history: FY2024 continuing and FY2025 are the only annual observations of the post-spinoff cost base and margin, and H1 2026 already softened (-5.7% revenue, -16.7% profit); Lumpy asset-operation revenue: RMB314m of H1 2026 revenue was industrial-park factory deliveries recognised at a point in time; the base and bear cases assume they do not recur at that scale; Real-estate technology (REMAC ASPACE) lost RMB110m in FY2025 and RMB48m in H1 2026; the base case assumes losses narrow, not that the unit becomes a growth engine; Near-100% dividend payout on a cash pile that fell from RMB1,601m to RMB1,119m in six months (partly RMB582m of net borrowing repayment and RMB187m into wealth-management products); a payout cut would not change intrinsic value but would likely hit the price; Investment properties (RMB4.8bn, fair-value model) sit inside the operating flows via asset-operation rental; a sharper China commercial-property downturn would hit both the rental line and the deferred-tax-protected book value; Currency: CNY flows against an HKD quote; the fx_rate is dated and is not refreshed by price-only updates; Discount-rate judgment: an 11% CNY WACC values even the bear case above the market price, i.e. the market is applying a much higher implied cost of equity (trailing P/E ~4.8x) for governance and China-property risk than this model charges</t>
  </si>
  <si>
    <t xml:space="preserve">Data sources</t>
  </si>
  <si>
    <t xml:space="preserve">price: Yahoo Finance chart API at inputs.price_as_of; 52-week range 2.22-5.07 HKD
fx: Yahoo Finance CNYHKD=X at the fx_note date
financials: 3990.HK_Metrics.csv (continuing-operations columns for FY2023 onward); 2025 Annual Report (consolidated income statement, cash flow statement, note 5 segment information, note 7 other gains, investment-property fair-value note); 2026 Interim Report (balance sheet at 30 June 2026, interim cash flow, note 6 segment information, note 18 FVTPL assets, note 22 borrowings, lease liabilities note 15, diluted EPS note on anti-dilutive options)
qualitative: 3990.HK_Analysis.json (2026-10-23): structural event, segment mix, connected-party risk, bull/bear points, H1 2026 management commentary</t>
  </si>
  <si>
    <t xml:space="preserve">Scenario narrative: bear</t>
  </si>
  <si>
    <t xml:space="preserve">The listed vehicle is a captive service arm whose client is shrinking. The controlling family's private developer keeps cutting launches, so project-management revenue falls ~40% a year to a residual, the connected-transaction agreements are renewed on worse terms after Dec 2026, real-estate technology is wound down, and H1 2026's factory deliveries prove to be a one-off. Revenue bottoms ~28% below FY2025 at an 18% EBITDA margin (property management and rental only) and grows 1% thereafter; the near-100% dividend payout becomes unsustainable and is cut. Terminal value capped at 9x with 1% growth. No scenario hits the zero-TV floor: the property-management base is profitable on its own.</t>
  </si>
  <si>
    <t xml:space="preserve">Scenario narrative: base</t>
  </si>
  <si>
    <t xml:space="preserve">The post-spinoff platform stabilises at roughly its current size. FY2026 revenue falls ~7% (H1 -5.7%, with the H1 industrial-park factory deliveries not repeating in H2 and project-management fees still tracking the controlling shareholder's smaller private development book), dips again in FY2027, then grows ~2.5-3% from FY2028 as property management (46% of revenue, ~84m sqm under management) and asset operation (maturing malls, light-asset parks) outweigh the decline of project management and a small, break-even real-estate technology unit. The EBITDA margin eases from an underlying 24% to 22.5% as the high-margin connected-party project fees shrink within the mix. Cash tax 31%, net cash and RMB406m of wealth-management products added, RMB273m of lease liabilities and RMB134m of NCI deducted. The axes are: how far the captive project-management stream falls, whether third-party and non-residential mandates replace it, and whether the asset-operation portfolio keeps lifting NOI.</t>
  </si>
  <si>
    <t xml:space="preserve">Scenario narrative: bull</t>
  </si>
  <si>
    <t xml:space="preserve">The light-asset pivot works. Third-party project-management mandates (Wuxi, Xuzhou) and non-residential property management (hospitals, elderly care, industrial parks) replace the shrinking connected-party pipeline from FY2027, asset operation scales with new parks and the matured flagship mall, and REMAC ASPACE's Hong Kong modular-construction certification turns the technology segment to breakeven. Revenue returns to 5-6% growth in FY2028-30 and the margin reaches 25.5%. A 14x cap and 2.5% terminal growth still assume no re-rating beyond a mid-tier property-services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</si>
  <si>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</si>
  <si>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</si>
  <si>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</si>
  <si>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</si>
  <si>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</si>
  <si>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</si>
  <si>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</si>
  <si>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</si>
  <si>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</si>
  <si>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</si>
  <si>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</si>
  <si>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</si>
  <si>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</si>
  <si>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</si>
  <si>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</si>
  <si>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</si>
  <si>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</si>
  <si>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</si>
  <si>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</si>
  <si>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</si>
  <si>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</si>
  <si>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</si>
  <si>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</si>
  <si>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</si>
  <si>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</si>
  <si>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</si>
  <si>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</si>
  <si>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NetIncomeTotal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</si>
  <si>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</si>
  <si>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</si>
  <si>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</si>
  <si>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</si>
  <si>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</si>
  <si>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</si>
  <si>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</si>
  <si>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</si>
  <si>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</si>
  <si>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</si>
  <si>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</si>
  <si>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</si>
  <si>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</si>
  <si>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</si>
  <si>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</si>
  <si>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</si>
  <si>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</si>
  <si>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</si>
  <si>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</si>
  <si>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</si>
  <si>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</si>
  <si>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</si>
  <si>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</si>
  <si>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</si>
  <si>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</si>
  <si>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</si>
  <si>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</si>
  <si>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</si>
  <si>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</si>
  <si>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</si>
  <si>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</si>
  <si>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</si>
  <si>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</si>
  <si>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</si>
  <si>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</si>
  <si>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</si>
  <si>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</si>
  <si>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</si>
  <si>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</si>
  <si>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</si>
  <si>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</si>
  <si>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</si>
  <si>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</si>
  <si>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</si>
  <si>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</si>
  <si>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</si>
  <si>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</si>
  <si>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3990.HK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</si>
  <si>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</si>
  <si>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</si>
  <si>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</si>
  <si>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</si>
  <si>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</si>
  <si>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</si>
  <si>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</si>
  <si>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</si>
  <si>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</si>
  <si>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</si>
  <si>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</si>
  <si>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</si>
  <si>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</si>
  <si>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</si>
  <si>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</si>
  <si>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</si>
  <si>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</si>
  <si>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</si>
  <si>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</si>
  <si>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</si>
  <si>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</si>
  <si>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</si>
  <si>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</si>
  <si>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</si>
  <si>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</si>
  <si>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</si>
  <si>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</si>
  <si>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</si>
  <si>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</si>
  <si>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</si>
  <si>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3990.HK owner-FCF component DCF: base case (millions, CNY)</t>
  </si>
  <si>
    <t xml:space="preserve">3990.HK owner-FCF component DCF: bull case (millions, CNY)</t>
  </si>
  <si>
    <t xml:space="preserve">3990.HK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</si>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</sst>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2.22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11992.34</v>
      </c>
      <c r="C2" s="0" t="n">
        <v>9263.426</v>
      </c>
      <c r="D2" s="0" t="n">
        <v>2728.914</v>
      </c>
      <c r="E2" s="0" t="n">
        <v>22.8</v>
      </c>
      <c r="F2" s="0" t="n">
        <v>1951.025</v>
      </c>
      <c r="G2" s="0" t="n">
        <v>16.3</v>
      </c>
      <c r="I2" s="0" t="n">
        <v>1007.387</v>
      </c>
      <c r="J2" s="0" t="n">
        <v>8.4</v>
      </c>
      <c r="K2" s="0" t="n">
        <v>1.34</v>
      </c>
      <c r="P2" s="0" t="n">
        <v>57888.411</v>
      </c>
      <c r="Q2" s="0" t="n">
        <v>54793.992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17716.924</v>
      </c>
      <c r="C3" s="0" t="n">
        <v>12819.864</v>
      </c>
      <c r="D3" s="0" t="n">
        <v>4897.06</v>
      </c>
      <c r="E3" s="0" t="n">
        <v>27.6</v>
      </c>
      <c r="F3" s="0" t="n">
        <v>3637.334</v>
      </c>
      <c r="G3" s="0" t="n">
        <v>20.5</v>
      </c>
      <c r="I3" s="0" t="n">
        <v>1912.442</v>
      </c>
      <c r="J3" s="0" t="n">
        <v>10.8</v>
      </c>
      <c r="K3" s="0" t="n">
        <v>2.54</v>
      </c>
      <c r="L3" s="0" t="n">
        <v>-7357.166</v>
      </c>
      <c r="M3" s="0" t="n">
        <v>83.327</v>
      </c>
      <c r="N3" s="0" t="n">
        <v>-7440.493</v>
      </c>
      <c r="O3" s="0" t="n">
        <v>10183.679</v>
      </c>
      <c r="P3" s="0" t="n">
        <v>112978.899</v>
      </c>
      <c r="Q3" s="0" t="n">
        <v>100814.119</v>
      </c>
      <c r="R3" s="0" t="n">
        <v>38254.948</v>
      </c>
      <c r="S3" s="0" t="n">
        <v>19917.383</v>
      </c>
      <c r="AA3" s="0" t="s">
        <v>18</v>
      </c>
      <c r="AB3" s="0" t="s">
        <v>14</v>
      </c>
      <c r="AC3" s="0" t="n">
        <v>1893.569</v>
      </c>
    </row>
    <row r="4" customFormat="false" ht="15" hidden="false" customHeight="false" outlineLevel="0" collapsed="false">
      <c r="A4" s="0" t="s">
        <v>67</v>
      </c>
      <c r="B4" s="0" t="n">
        <v>30119.811</v>
      </c>
      <c r="C4" s="0" t="n">
        <v>20265.888</v>
      </c>
      <c r="D4" s="0" t="n">
        <v>9853.923</v>
      </c>
      <c r="E4" s="0" t="n">
        <v>32.7</v>
      </c>
      <c r="F4" s="0" t="n">
        <v>6695.336</v>
      </c>
      <c r="G4" s="0" t="n">
        <v>22.2</v>
      </c>
      <c r="I4" s="0" t="n">
        <v>3209.997</v>
      </c>
      <c r="J4" s="0" t="n">
        <v>10.7</v>
      </c>
      <c r="K4" s="0" t="n">
        <v>3.08</v>
      </c>
      <c r="L4" s="0" t="n">
        <v>-16615.009</v>
      </c>
      <c r="M4" s="0" t="n">
        <v>221.793</v>
      </c>
      <c r="N4" s="0" t="n">
        <v>-16836.802</v>
      </c>
      <c r="O4" s="0" t="n">
        <v>16156.859</v>
      </c>
      <c r="P4" s="0" t="n">
        <v>177319.11</v>
      </c>
      <c r="Q4" s="0" t="n">
        <v>153734.674</v>
      </c>
      <c r="R4" s="0" t="n">
        <v>49509.306</v>
      </c>
      <c r="S4" s="0" t="n">
        <v>15439.152</v>
      </c>
      <c r="T4" s="0" t="n">
        <v>1042.03</v>
      </c>
      <c r="AA4" s="0" t="s">
        <v>18</v>
      </c>
      <c r="AB4" s="0" t="s">
        <v>14</v>
      </c>
      <c r="AC4" s="0" t="n">
        <v>3286.869</v>
      </c>
    </row>
    <row r="5" customFormat="false" ht="15" hidden="false" customHeight="false" outlineLevel="0" collapsed="false">
      <c r="A5" s="0" t="s">
        <v>68</v>
      </c>
      <c r="B5" s="0" t="n">
        <v>41138.57</v>
      </c>
      <c r="C5" s="0" t="n">
        <v>28131.087</v>
      </c>
      <c r="D5" s="0" t="n">
        <v>13007.483</v>
      </c>
      <c r="E5" s="0" t="n">
        <v>31.6</v>
      </c>
      <c r="F5" s="0" t="n">
        <v>7903.262</v>
      </c>
      <c r="G5" s="0" t="n">
        <v>19.2</v>
      </c>
      <c r="I5" s="0" t="n">
        <v>4305.164</v>
      </c>
      <c r="J5" s="0" t="n">
        <v>10.5</v>
      </c>
      <c r="K5" s="0" t="n">
        <v>3.61</v>
      </c>
      <c r="L5" s="0" t="n">
        <v>595.588</v>
      </c>
      <c r="M5" s="0" t="n">
        <v>290.495</v>
      </c>
      <c r="N5" s="0" t="n">
        <v>305.093</v>
      </c>
      <c r="O5" s="0" t="n">
        <v>19649.639</v>
      </c>
      <c r="P5" s="0" t="n">
        <v>249713.844</v>
      </c>
      <c r="Q5" s="0" t="n">
        <v>218575.551</v>
      </c>
      <c r="R5" s="0" t="n">
        <v>54651.717</v>
      </c>
      <c r="S5" s="0" t="n">
        <v>19097.265</v>
      </c>
      <c r="T5" s="0" t="n">
        <v>1192.65</v>
      </c>
      <c r="AA5" s="0" t="s">
        <v>18</v>
      </c>
      <c r="AB5" s="0" t="s">
        <v>14</v>
      </c>
      <c r="AC5" s="0" t="n">
        <v>4326.609</v>
      </c>
    </row>
    <row r="6" customFormat="false" ht="15" hidden="false" customHeight="false" outlineLevel="0" collapsed="false">
      <c r="A6" s="0" t="s">
        <v>69</v>
      </c>
      <c r="B6" s="0" t="n">
        <v>52483.611</v>
      </c>
      <c r="C6" s="0" t="n">
        <v>40825.617</v>
      </c>
      <c r="D6" s="0" t="n">
        <v>11657.994</v>
      </c>
      <c r="E6" s="0" t="n">
        <v>22.2</v>
      </c>
      <c r="F6" s="0" t="n">
        <v>6531.721</v>
      </c>
      <c r="G6" s="0" t="n">
        <v>12.4</v>
      </c>
      <c r="I6" s="0" t="n">
        <v>4326.482</v>
      </c>
      <c r="J6" s="0" t="n">
        <v>8.2</v>
      </c>
      <c r="K6" s="0" t="n">
        <v>3.52</v>
      </c>
      <c r="L6" s="0" t="n">
        <v>-2033.168</v>
      </c>
      <c r="M6" s="0" t="n">
        <v>47.595</v>
      </c>
      <c r="N6" s="0" t="n">
        <v>-2080.763</v>
      </c>
      <c r="O6" s="0" t="n">
        <v>22067.703</v>
      </c>
      <c r="P6" s="0" t="n">
        <v>283754.474</v>
      </c>
      <c r="Q6" s="0" t="n">
        <v>243535.086</v>
      </c>
      <c r="R6" s="0" t="n">
        <v>58640.256</v>
      </c>
      <c r="S6" s="0" t="n">
        <v>18595.105</v>
      </c>
      <c r="T6" s="0" t="n">
        <v>1230.57</v>
      </c>
      <c r="U6" s="0" t="n">
        <v>0</v>
      </c>
      <c r="AA6" s="0" t="s">
        <v>18</v>
      </c>
      <c r="AB6" s="0" t="s">
        <v>14</v>
      </c>
      <c r="AC6" s="0" t="n">
        <v>4825.498</v>
      </c>
    </row>
    <row r="7" customFormat="false" ht="15" hidden="false" customHeight="false" outlineLevel="0" collapsed="false">
      <c r="A7" s="0" t="s">
        <v>70</v>
      </c>
      <c r="B7" s="0" t="n">
        <v>73703.098</v>
      </c>
      <c r="C7" s="0" t="n">
        <v>60207.635</v>
      </c>
      <c r="D7" s="0" t="n">
        <v>13495.463</v>
      </c>
      <c r="E7" s="0" t="n">
        <v>18.3</v>
      </c>
      <c r="F7" s="0" t="n">
        <v>8021.879</v>
      </c>
      <c r="G7" s="0" t="n">
        <v>10.9</v>
      </c>
      <c r="I7" s="0" t="n">
        <v>3743.557</v>
      </c>
      <c r="J7" s="0" t="n">
        <v>5.1</v>
      </c>
      <c r="K7" s="0" t="n">
        <v>3.04</v>
      </c>
      <c r="L7" s="0" t="n">
        <v>3207.18</v>
      </c>
      <c r="M7" s="0" t="n">
        <v>159.001</v>
      </c>
      <c r="N7" s="0" t="n">
        <v>3048.179</v>
      </c>
      <c r="O7" s="0" t="n">
        <v>23511.72</v>
      </c>
      <c r="P7" s="0" t="n">
        <v>288519.853</v>
      </c>
      <c r="Q7" s="0" t="n">
        <v>240710.232</v>
      </c>
      <c r="R7" s="0" t="n">
        <v>56323.548</v>
      </c>
      <c r="S7" s="0" t="n">
        <v>26288.551</v>
      </c>
      <c r="T7" s="0" t="n">
        <v>1229.7</v>
      </c>
      <c r="U7" s="0" t="n">
        <v>164.132</v>
      </c>
      <c r="AA7" s="0" t="s">
        <v>18</v>
      </c>
      <c r="AB7" s="0" t="s">
        <v>14</v>
      </c>
      <c r="AC7" s="0" t="n">
        <v>5302.81</v>
      </c>
    </row>
    <row r="8" customFormat="false" ht="15" hidden="false" customHeight="false" outlineLevel="0" collapsed="false">
      <c r="A8" s="0" t="s">
        <v>71</v>
      </c>
      <c r="B8" s="0" t="n">
        <v>73630.848</v>
      </c>
      <c r="C8" s="0" t="n">
        <v>62324.407</v>
      </c>
      <c r="D8" s="0" t="n">
        <v>11306.441</v>
      </c>
      <c r="E8" s="0" t="n">
        <v>15.4</v>
      </c>
      <c r="F8" s="0" t="n">
        <v>6831.1</v>
      </c>
      <c r="G8" s="0" t="n">
        <v>9.3</v>
      </c>
      <c r="I8" s="0" t="n">
        <v>1726.363</v>
      </c>
      <c r="J8" s="0" t="n">
        <v>2.3</v>
      </c>
      <c r="K8" s="0" t="n">
        <v>1.34</v>
      </c>
      <c r="L8" s="0" t="n">
        <v>3044.363</v>
      </c>
      <c r="M8" s="0" t="n">
        <v>207.04</v>
      </c>
      <c r="N8" s="0" t="n">
        <v>2837.323</v>
      </c>
      <c r="O8" s="0" t="n">
        <v>24864.82</v>
      </c>
      <c r="P8" s="0" t="n">
        <v>251938.754</v>
      </c>
      <c r="Q8" s="0" t="n">
        <v>201624.905</v>
      </c>
      <c r="R8" s="0" t="n">
        <v>48454.552</v>
      </c>
      <c r="S8" s="0" t="n">
        <v>21810.599</v>
      </c>
      <c r="T8" s="0" t="n">
        <v>1285.41</v>
      </c>
      <c r="U8" s="0" t="n">
        <v>82.107</v>
      </c>
      <c r="AA8" s="0" t="s">
        <v>18</v>
      </c>
      <c r="AB8" s="0" t="s">
        <v>14</v>
      </c>
      <c r="AC8" s="0" t="n">
        <v>3576.773</v>
      </c>
    </row>
    <row r="9" customFormat="false" ht="15" hidden="false" customHeight="false" outlineLevel="0" collapsed="false">
      <c r="A9" s="0" t="s">
        <v>72</v>
      </c>
      <c r="B9" s="0" t="n">
        <v>73564.495</v>
      </c>
      <c r="C9" s="0" t="n">
        <v>65080.929</v>
      </c>
      <c r="D9" s="0" t="n">
        <v>8483.566</v>
      </c>
      <c r="E9" s="0" t="n">
        <v>11.5</v>
      </c>
      <c r="F9" s="0" t="n">
        <v>4306.607</v>
      </c>
      <c r="G9" s="0" t="n">
        <v>5.9</v>
      </c>
      <c r="I9" s="0" t="n">
        <v>913.584</v>
      </c>
      <c r="J9" s="0" t="n">
        <v>1.2</v>
      </c>
      <c r="K9" s="0" t="n">
        <v>0.66</v>
      </c>
      <c r="L9" s="0" t="n">
        <v>3634.835</v>
      </c>
      <c r="M9" s="0" t="n">
        <v>200.148</v>
      </c>
      <c r="N9" s="0" t="n">
        <v>3434.687</v>
      </c>
      <c r="O9" s="0" t="n">
        <v>25309.314</v>
      </c>
      <c r="P9" s="0" t="n">
        <v>201579.205</v>
      </c>
      <c r="Q9" s="0" t="n">
        <v>151460.458</v>
      </c>
      <c r="R9" s="0" t="n">
        <v>38068.964</v>
      </c>
      <c r="S9" s="0" t="n">
        <v>17553.071</v>
      </c>
      <c r="T9" s="0" t="n">
        <v>1381.3</v>
      </c>
      <c r="U9" s="0" t="n">
        <v>19.05</v>
      </c>
      <c r="X9" s="0" t="n">
        <v>2794.219</v>
      </c>
      <c r="AA9" s="0" t="s">
        <v>18</v>
      </c>
      <c r="AB9" s="0" t="s">
        <v>14</v>
      </c>
      <c r="AC9" s="0" t="n">
        <v>2125.068</v>
      </c>
    </row>
    <row r="10" customFormat="false" ht="15" hidden="false" customHeight="false" outlineLevel="0" collapsed="false">
      <c r="A10" s="0" t="s">
        <v>73</v>
      </c>
      <c r="B10" s="0" t="n">
        <v>3725.8</v>
      </c>
      <c r="C10" s="0" t="n">
        <v>2394.115</v>
      </c>
      <c r="D10" s="0" t="n">
        <v>1331.685</v>
      </c>
      <c r="E10" s="0" t="n">
        <v>35.7</v>
      </c>
      <c r="F10" s="0" t="n">
        <v>820.776</v>
      </c>
      <c r="G10" s="0" t="n">
        <v>22</v>
      </c>
      <c r="I10" s="0" t="n">
        <v>-2057.887</v>
      </c>
      <c r="J10" s="0" t="n">
        <v>-55.2</v>
      </c>
      <c r="K10" s="0" t="n">
        <v>-1.44</v>
      </c>
      <c r="L10" s="0" t="n">
        <v>-2260.268</v>
      </c>
      <c r="M10" s="0" t="n">
        <v>107.871</v>
      </c>
      <c r="N10" s="0" t="n">
        <v>-2368.139</v>
      </c>
      <c r="O10" s="0" t="n">
        <v>4896.757</v>
      </c>
      <c r="P10" s="0" t="n">
        <v>9724.5</v>
      </c>
      <c r="Q10" s="0" t="n">
        <v>4643.054</v>
      </c>
      <c r="R10" s="0" t="n">
        <v>635.383</v>
      </c>
      <c r="S10" s="0" t="n">
        <v>1033.953</v>
      </c>
      <c r="T10" s="0" t="n">
        <v>1430.642</v>
      </c>
      <c r="U10" s="0" t="n">
        <v>-1.308</v>
      </c>
      <c r="X10" s="0" t="n">
        <v>3725.8</v>
      </c>
      <c r="AA10" s="0" t="s">
        <v>18</v>
      </c>
      <c r="AB10" s="0" t="s">
        <v>14</v>
      </c>
      <c r="AC10" s="0" t="n">
        <v>-2350.407</v>
      </c>
    </row>
    <row r="11" customFormat="false" ht="15" hidden="false" customHeight="false" outlineLevel="0" collapsed="false">
      <c r="A11" s="0" t="s">
        <v>74</v>
      </c>
      <c r="B11" s="0" t="n">
        <v>4149.102</v>
      </c>
      <c r="C11" s="0" t="n">
        <v>2783.744</v>
      </c>
      <c r="D11" s="0" t="n">
        <v>1365.358</v>
      </c>
      <c r="E11" s="0" t="n">
        <v>32.9</v>
      </c>
      <c r="F11" s="0" t="n">
        <v>829.851</v>
      </c>
      <c r="G11" s="0" t="n">
        <v>20</v>
      </c>
      <c r="I11" s="0" t="n">
        <v>559.303</v>
      </c>
      <c r="J11" s="0" t="n">
        <v>13.5</v>
      </c>
      <c r="K11" s="0" t="n">
        <v>0.39</v>
      </c>
      <c r="L11" s="0" t="n">
        <v>975.688</v>
      </c>
      <c r="M11" s="0" t="n">
        <v>28.596</v>
      </c>
      <c r="N11" s="0" t="n">
        <v>947.092</v>
      </c>
      <c r="O11" s="0" t="n">
        <v>4905.783</v>
      </c>
      <c r="P11" s="0" t="n">
        <v>9628.62</v>
      </c>
      <c r="Q11" s="0" t="n">
        <v>4592.849</v>
      </c>
      <c r="R11" s="0" t="n">
        <v>591.92</v>
      </c>
      <c r="S11" s="0" t="n">
        <v>1601.39</v>
      </c>
      <c r="T11" s="0" t="n">
        <v>1430.642</v>
      </c>
      <c r="U11" s="0" t="n">
        <v>0.299</v>
      </c>
      <c r="X11" s="0" t="n">
        <v>4149.102</v>
      </c>
      <c r="AA11" s="0" t="s">
        <v>18</v>
      </c>
      <c r="AB11" s="0" t="s">
        <v>14</v>
      </c>
      <c r="AC11" s="0" t="n">
        <v>575.689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2.22</v>
      </c>
    </row>
    <row r="3" customFormat="false" ht="15" hidden="false" customHeight="false" outlineLevel="0" collapsed="false">
      <c r="A3" s="0" t="s">
        <v>78</v>
      </c>
      <c r="B3" s="3" t="n">
        <v>1430.642</v>
      </c>
    </row>
    <row r="4" customFormat="false" ht="15" hidden="false" customHeight="false" outlineLevel="0" collapsed="false">
      <c r="A4" s="0" t="s">
        <v>79</v>
      </c>
      <c r="B4" s="3" t="n">
        <v>-795.581</v>
      </c>
    </row>
    <row r="5" customFormat="false" ht="15" hidden="false" customHeight="false" outlineLevel="0" collapsed="false">
      <c r="A5" s="0" t="s">
        <v>80</v>
      </c>
      <c r="B5" s="3" t="n">
        <v>271.737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4149.102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1.1745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-12</v>
      </c>
      <c r="D13" s="3" t="n">
        <v>-9</v>
      </c>
      <c r="E13" s="3" t="n">
        <v>-5</v>
      </c>
      <c r="F13" s="3" t="n">
        <v>-2</v>
      </c>
      <c r="G13" s="3" t="n">
        <v>0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99</v>
      </c>
      <c r="C14" s="3" t="n">
        <v>22</v>
      </c>
      <c r="D14" s="3" t="n">
        <v>20.5</v>
      </c>
      <c r="E14" s="3" t="n">
        <v>19.5</v>
      </c>
      <c r="F14" s="3" t="n">
        <v>18.5</v>
      </c>
      <c r="G14" s="3" t="n">
        <v>18</v>
      </c>
      <c r="H14" s="3" t="n">
        <v>18</v>
      </c>
      <c r="I14" s="3" t="n">
        <v>18</v>
      </c>
      <c r="J14" s="3" t="n">
        <v>18</v>
      </c>
      <c r="K14" s="3" t="n">
        <v>18</v>
      </c>
      <c r="L14" s="3" t="n">
        <v>18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103</v>
      </c>
      <c r="C18" s="3" t="n">
        <v>0.8</v>
      </c>
      <c r="D18" s="3" t="n">
        <v>0.8</v>
      </c>
      <c r="E18" s="3" t="n">
        <v>0.8</v>
      </c>
      <c r="F18" s="3" t="n">
        <v>0.8</v>
      </c>
      <c r="G18" s="3" t="n">
        <v>0.8</v>
      </c>
      <c r="H18" s="3" t="n">
        <v>0.8</v>
      </c>
      <c r="I18" s="3" t="n">
        <v>0.8</v>
      </c>
      <c r="J18" s="3" t="n">
        <v>0.8</v>
      </c>
      <c r="K18" s="3" t="n">
        <v>0.8</v>
      </c>
      <c r="L18" s="3" t="n">
        <v>0.8</v>
      </c>
    </row>
    <row r="19" customFormat="false" ht="15" hidden="false" customHeight="false" outlineLevel="0" collapsed="false">
      <c r="A19" s="0" t="s">
        <v>104</v>
      </c>
      <c r="C19" s="3" t="n">
        <v>31</v>
      </c>
      <c r="D19" s="3" t="n">
        <v>31</v>
      </c>
      <c r="E19" s="3" t="n">
        <v>31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105</v>
      </c>
      <c r="B20" s="3" t="n">
        <v>11</v>
      </c>
    </row>
    <row r="21" customFormat="false" ht="15" hidden="false" customHeight="false" outlineLevel="0" collapsed="false">
      <c r="A21" s="0" t="s">
        <v>106</v>
      </c>
      <c r="B21" s="3" t="n">
        <v>1</v>
      </c>
    </row>
    <row r="22" customFormat="false" ht="15" hidden="false" customHeight="false" outlineLevel="0" collapsed="false">
      <c r="A22" s="0" t="s">
        <v>107</v>
      </c>
      <c r="B22" s="3" t="n">
        <v>9</v>
      </c>
    </row>
    <row r="23" customFormat="false" ht="15" hidden="false" customHeight="false" outlineLevel="0" collapsed="false">
      <c r="A23" s="0" t="s">
        <v>108</v>
      </c>
      <c r="B23" s="3" t="n">
        <v>10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-7</v>
      </c>
      <c r="D27" s="3" t="n">
        <v>-2</v>
      </c>
      <c r="E27" s="3" t="n">
        <v>1</v>
      </c>
      <c r="F27" s="3" t="n">
        <v>2.5</v>
      </c>
      <c r="G27" s="3" t="n">
        <v>3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23</v>
      </c>
      <c r="D28" s="3" t="n">
        <v>22.5</v>
      </c>
      <c r="E28" s="3" t="n">
        <v>22.5</v>
      </c>
      <c r="F28" s="3" t="n">
        <v>22.5</v>
      </c>
      <c r="G28" s="3" t="n">
        <v>22.5</v>
      </c>
      <c r="H28" s="3" t="n">
        <v>22.5</v>
      </c>
      <c r="I28" s="3" t="n">
        <v>22.5</v>
      </c>
      <c r="J28" s="3" t="n">
        <v>22.5</v>
      </c>
      <c r="K28" s="3" t="n">
        <v>22.5</v>
      </c>
      <c r="L28" s="3" t="n">
        <v>22.5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2</v>
      </c>
      <c r="D31" s="3" t="n">
        <v>2</v>
      </c>
      <c r="E31" s="3" t="n">
        <v>2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103</v>
      </c>
      <c r="C32" s="3" t="n">
        <v>1</v>
      </c>
      <c r="D32" s="3" t="n">
        <v>1</v>
      </c>
      <c r="E32" s="3" t="n">
        <v>1</v>
      </c>
      <c r="F32" s="3" t="n">
        <v>1</v>
      </c>
      <c r="G32" s="3" t="n">
        <v>1</v>
      </c>
      <c r="H32" s="3" t="n">
        <v>1</v>
      </c>
      <c r="I32" s="3" t="n">
        <v>1</v>
      </c>
      <c r="J32" s="3" t="n">
        <v>1</v>
      </c>
      <c r="K32" s="3" t="n">
        <v>1</v>
      </c>
      <c r="L32" s="3" t="n">
        <v>1</v>
      </c>
    </row>
    <row r="33" customFormat="false" ht="15" hidden="false" customHeight="false" outlineLevel="0" collapsed="false">
      <c r="A33" s="0" t="s">
        <v>104</v>
      </c>
      <c r="C33" s="3" t="n">
        <v>31</v>
      </c>
      <c r="D33" s="3" t="n">
        <v>31</v>
      </c>
      <c r="E33" s="3" t="n">
        <v>31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105</v>
      </c>
      <c r="B34" s="3" t="n">
        <v>11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12</v>
      </c>
    </row>
    <row r="37" customFormat="false" ht="15" hidden="false" customHeight="false" outlineLevel="0" collapsed="false">
      <c r="A37" s="0" t="s">
        <v>108</v>
      </c>
      <c r="B37" s="3" t="n">
        <v>10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-3</v>
      </c>
      <c r="D41" s="3" t="n">
        <v>3</v>
      </c>
      <c r="E41" s="3" t="n">
        <v>5</v>
      </c>
      <c r="F41" s="3" t="n">
        <v>6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24</v>
      </c>
      <c r="D42" s="3" t="n">
        <v>24.5</v>
      </c>
      <c r="E42" s="3" t="n">
        <v>25</v>
      </c>
      <c r="F42" s="3" t="n">
        <v>25</v>
      </c>
      <c r="G42" s="3" t="n">
        <v>25.5</v>
      </c>
      <c r="H42" s="3" t="n">
        <v>25.5</v>
      </c>
      <c r="I42" s="3" t="n">
        <v>25.5</v>
      </c>
      <c r="J42" s="3" t="n">
        <v>25.5</v>
      </c>
      <c r="K42" s="3" t="n">
        <v>25.5</v>
      </c>
      <c r="L42" s="3" t="n">
        <v>25.5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2</v>
      </c>
      <c r="D45" s="3" t="n">
        <v>2</v>
      </c>
      <c r="E45" s="3" t="n">
        <v>2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103</v>
      </c>
      <c r="C46" s="3" t="n">
        <v>1.5</v>
      </c>
      <c r="D46" s="3" t="n">
        <v>1.5</v>
      </c>
      <c r="E46" s="3" t="n">
        <v>1.5</v>
      </c>
      <c r="F46" s="3" t="n">
        <v>1.5</v>
      </c>
      <c r="G46" s="3" t="n">
        <v>1.5</v>
      </c>
      <c r="H46" s="3" t="n">
        <v>1.5</v>
      </c>
      <c r="I46" s="3" t="n">
        <v>1.5</v>
      </c>
      <c r="J46" s="3" t="n">
        <v>1.5</v>
      </c>
      <c r="K46" s="3" t="n">
        <v>1.5</v>
      </c>
      <c r="L46" s="3" t="n">
        <v>1.5</v>
      </c>
    </row>
    <row r="47" customFormat="false" ht="15" hidden="false" customHeight="false" outlineLevel="0" collapsed="false">
      <c r="A47" s="0" t="s">
        <v>104</v>
      </c>
      <c r="C47" s="3" t="n">
        <v>31</v>
      </c>
      <c r="D47" s="3" t="n">
        <v>31</v>
      </c>
      <c r="E47" s="3" t="n">
        <v>31</v>
      </c>
      <c r="F47" s="3" t="n">
        <v>31</v>
      </c>
      <c r="G47" s="3" t="n">
        <v>31</v>
      </c>
      <c r="H47" s="3" t="n">
        <v>31</v>
      </c>
      <c r="I47" s="3" t="n">
        <v>31</v>
      </c>
      <c r="J47" s="3" t="n">
        <v>31</v>
      </c>
      <c r="K47" s="3" t="n">
        <v>31</v>
      </c>
      <c r="L47" s="3" t="n">
        <v>31</v>
      </c>
    </row>
    <row r="48" customFormat="false" ht="15" hidden="false" customHeight="false" outlineLevel="0" collapsed="false">
      <c r="A48" s="0" t="s">
        <v>105</v>
      </c>
      <c r="B48" s="3" t="n">
        <v>11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14</v>
      </c>
    </row>
    <row r="51" customFormat="false" ht="15" hidden="false" customHeight="false" outlineLevel="0" collapsed="false">
      <c r="A51" s="0" t="s">
        <v>108</v>
      </c>
      <c r="B51" s="3" t="n">
        <v>10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-12</v>
      </c>
      <c r="D5" s="4" t="n">
        <f aca="false">Assumptions!D13</f>
        <v>-9</v>
      </c>
      <c r="E5" s="4" t="n">
        <f aca="false">Assumptions!E13</f>
        <v>-5</v>
      </c>
      <c r="F5" s="4" t="n">
        <f aca="false">Assumptions!F13</f>
        <v>-2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4149.102</v>
      </c>
      <c r="C6" s="0" t="n">
        <f aca="false">B6*(1+C5/100)</f>
        <v>3651.20976</v>
      </c>
      <c r="D6" s="0" t="n">
        <f aca="false">C6*(1+D5/100)</f>
        <v>3322.6008816</v>
      </c>
      <c r="E6" s="0" t="n">
        <f aca="false">D6*(1+E5/100)</f>
        <v>3156.47083752</v>
      </c>
      <c r="F6" s="0" t="n">
        <f aca="false">E6*(1+F5/100)</f>
        <v>3093.3414207696</v>
      </c>
      <c r="G6" s="0" t="n">
        <f aca="false">F6*(1+G5/100)</f>
        <v>3093.3414207696</v>
      </c>
      <c r="H6" s="0" t="n">
        <f aca="false">G6*(1+H5/100)</f>
        <v>3124.2748349773</v>
      </c>
      <c r="I6" s="0" t="n">
        <f aca="false">H6*(1+I5/100)</f>
        <v>3155.51758332707</v>
      </c>
      <c r="J6" s="0" t="n">
        <f aca="false">I6*(1+J5/100)</f>
        <v>3187.07275916034</v>
      </c>
      <c r="K6" s="0" t="n">
        <f aca="false">J6*(1+K5/100)</f>
        <v>3218.94348675194</v>
      </c>
      <c r="L6" s="0" t="n">
        <f aca="false">K6*(1+L5/100)</f>
        <v>3251.13292161946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22</v>
      </c>
      <c r="D7" s="4" t="n">
        <f aca="false">Assumptions!D14</f>
        <v>20.5</v>
      </c>
      <c r="E7" s="4" t="n">
        <f aca="false">Assumptions!E14</f>
        <v>19.5</v>
      </c>
      <c r="F7" s="4" t="n">
        <f aca="false">Assumptions!F14</f>
        <v>18.5</v>
      </c>
      <c r="G7" s="4" t="n">
        <f aca="false">Assumptions!G14</f>
        <v>18</v>
      </c>
      <c r="H7" s="4" t="n">
        <f aca="false">Assumptions!H14</f>
        <v>18</v>
      </c>
      <c r="I7" s="4" t="n">
        <f aca="false">Assumptions!I14</f>
        <v>18</v>
      </c>
      <c r="J7" s="4" t="n">
        <f aca="false">Assumptions!J14</f>
        <v>18</v>
      </c>
      <c r="K7" s="4" t="n">
        <f aca="false">Assumptions!K14</f>
        <v>18</v>
      </c>
      <c r="L7" s="4" t="n">
        <f aca="false">Assumptions!L14</f>
        <v>18</v>
      </c>
    </row>
    <row r="8" customFormat="false" ht="15" hidden="false" customHeight="false" outlineLevel="0" collapsed="false">
      <c r="A8" s="0" t="s">
        <v>44</v>
      </c>
      <c r="C8" s="0" t="n">
        <f aca="false">C6*C7/100</f>
        <v>803.2661472</v>
      </c>
      <c r="D8" s="0" t="n">
        <f aca="false">D6*D7/100</f>
        <v>681.133180728</v>
      </c>
      <c r="E8" s="0" t="n">
        <f aca="false">E6*E7/100</f>
        <v>615.5118133164</v>
      </c>
      <c r="F8" s="0" t="n">
        <f aca="false">F6*F7/100</f>
        <v>572.268162842376</v>
      </c>
      <c r="G8" s="0" t="n">
        <f aca="false">G6*G7/100</f>
        <v>556.801455738528</v>
      </c>
      <c r="H8" s="0" t="n">
        <f aca="false">H6*H7/100</f>
        <v>562.369470295913</v>
      </c>
      <c r="I8" s="0" t="n">
        <f aca="false">I6*I7/100</f>
        <v>567.993164998872</v>
      </c>
      <c r="J8" s="0" t="n">
        <f aca="false">J6*J7/100</f>
        <v>573.673096648861</v>
      </c>
      <c r="K8" s="0" t="n">
        <f aca="false">K6*K7/100</f>
        <v>579.40982761535</v>
      </c>
      <c r="L8" s="0" t="n">
        <f aca="false">L6*L7/100</f>
        <v>585.203925891503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803.2661472</v>
      </c>
      <c r="D11" s="0" t="n">
        <f aca="false">D8+D10+D24</f>
        <v>681.133180728</v>
      </c>
      <c r="E11" s="0" t="n">
        <f aca="false">E8+E10+E24</f>
        <v>615.5118133164</v>
      </c>
      <c r="F11" s="0" t="n">
        <f aca="false">F8+F10+F24</f>
        <v>572.268162842376</v>
      </c>
      <c r="G11" s="0" t="n">
        <f aca="false">G8+G10+G24</f>
        <v>556.801455738528</v>
      </c>
      <c r="H11" s="0" t="n">
        <f aca="false">H8+H10+H24</f>
        <v>562.369470295913</v>
      </c>
      <c r="I11" s="0" t="n">
        <f aca="false">I8+I10+I24</f>
        <v>567.993164998872</v>
      </c>
      <c r="J11" s="0" t="n">
        <f aca="false">J8+J10+J24</f>
        <v>573.673096648861</v>
      </c>
      <c r="K11" s="0" t="n">
        <f aca="false">K8+K10+K24</f>
        <v>579.40982761535</v>
      </c>
      <c r="L11" s="0" t="n">
        <f aca="false">L8+L10+L24</f>
        <v>585.203925891503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-73.0241952</v>
      </c>
      <c r="D12" s="4" t="n">
        <f aca="false">-D6*Assumptions!D17/100</f>
        <v>-66.452017632</v>
      </c>
      <c r="E12" s="4" t="n">
        <f aca="false">-E6*Assumptions!E17/100</f>
        <v>-63.1294167504</v>
      </c>
      <c r="F12" s="4" t="n">
        <f aca="false">-F6*Assumptions!F17/100</f>
        <v>-61.866828415392</v>
      </c>
      <c r="G12" s="4" t="n">
        <f aca="false">-G6*Assumptions!G17/100</f>
        <v>-61.866828415392</v>
      </c>
      <c r="H12" s="4" t="n">
        <f aca="false">-H6*Assumptions!H17/100</f>
        <v>-62.4854966995459</v>
      </c>
      <c r="I12" s="4" t="n">
        <f aca="false">-I6*Assumptions!I17/100</f>
        <v>-63.1103516665414</v>
      </c>
      <c r="J12" s="4" t="n">
        <f aca="false">-J6*Assumptions!J17/100</f>
        <v>-63.7414551832068</v>
      </c>
      <c r="K12" s="4" t="n">
        <f aca="false">-K6*Assumptions!K17/100</f>
        <v>-64.3788697350389</v>
      </c>
      <c r="L12" s="4" t="n">
        <f aca="false">-L6*Assumptions!L17/100</f>
        <v>-65.0226584323893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730.241952</v>
      </c>
      <c r="D13" s="0" t="n">
        <f aca="false">D11+D12</f>
        <v>614.681163096</v>
      </c>
      <c r="E13" s="0" t="n">
        <f aca="false">E11+E12</f>
        <v>552.382396566</v>
      </c>
      <c r="F13" s="0" t="n">
        <f aca="false">F11+F12</f>
        <v>510.401334426984</v>
      </c>
      <c r="G13" s="0" t="n">
        <f aca="false">G11+G12</f>
        <v>494.934627323136</v>
      </c>
      <c r="H13" s="0" t="n">
        <f aca="false">H11+H12</f>
        <v>499.883973596367</v>
      </c>
      <c r="I13" s="0" t="n">
        <f aca="false">I11+I12</f>
        <v>504.882813332331</v>
      </c>
      <c r="J13" s="0" t="n">
        <f aca="false">J11+J12</f>
        <v>509.931641465654</v>
      </c>
      <c r="K13" s="0" t="n">
        <f aca="false">K11+K12</f>
        <v>515.030957880311</v>
      </c>
      <c r="L13" s="0" t="n">
        <f aca="false">L11+L12</f>
        <v>520.181267459114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31</v>
      </c>
      <c r="D14" s="4" t="n">
        <f aca="false">Assumptions!D19</f>
        <v>31</v>
      </c>
      <c r="E14" s="4" t="n">
        <f aca="false">Assumptions!E19</f>
        <v>31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503.86694688</v>
      </c>
      <c r="D15" s="0" t="n">
        <f aca="false">D13-MAX(0,D13)*D14/100</f>
        <v>424.13000253624</v>
      </c>
      <c r="E15" s="0" t="n">
        <f aca="false">E13-MAX(0,E13)*E14/100</f>
        <v>381.14385363054</v>
      </c>
      <c r="F15" s="0" t="n">
        <f aca="false">F13-MAX(0,F13)*F14/100</f>
        <v>352.176920754619</v>
      </c>
      <c r="G15" s="0" t="n">
        <f aca="false">G13-MAX(0,G13)*G14/100</f>
        <v>341.504892852964</v>
      </c>
      <c r="H15" s="0" t="n">
        <f aca="false">H13-MAX(0,H13)*H14/100</f>
        <v>344.919941781493</v>
      </c>
      <c r="I15" s="0" t="n">
        <f aca="false">I13-MAX(0,I13)*I14/100</f>
        <v>348.369141199308</v>
      </c>
      <c r="J15" s="0" t="n">
        <f aca="false">J13-MAX(0,J13)*J14/100</f>
        <v>351.852832611302</v>
      </c>
      <c r="K15" s="0" t="n">
        <f aca="false">K13-MAX(0,K13)*K14/100</f>
        <v>355.371360937415</v>
      </c>
      <c r="L15" s="0" t="n">
        <f aca="false">L13-MAX(0,L13)*L14/100</f>
        <v>358.925074546789</v>
      </c>
    </row>
    <row r="16" customFormat="false" ht="15" hidden="false" customHeight="false" outlineLevel="0" collapsed="false">
      <c r="A16" s="0" t="s">
        <v>120</v>
      </c>
      <c r="C16" s="0" t="n">
        <f aca="false">-C12</f>
        <v>73.0241952</v>
      </c>
      <c r="D16" s="0" t="n">
        <f aca="false">-D12</f>
        <v>66.452017632</v>
      </c>
      <c r="E16" s="0" t="n">
        <f aca="false">-E12</f>
        <v>63.1294167504</v>
      </c>
      <c r="F16" s="0" t="n">
        <f aca="false">-F12</f>
        <v>61.866828415392</v>
      </c>
      <c r="G16" s="0" t="n">
        <f aca="false">-G12</f>
        <v>61.866828415392</v>
      </c>
      <c r="H16" s="0" t="n">
        <f aca="false">-H12</f>
        <v>62.4854966995459</v>
      </c>
      <c r="I16" s="0" t="n">
        <f aca="false">-I12</f>
        <v>63.1103516665414</v>
      </c>
      <c r="J16" s="0" t="n">
        <f aca="false">-J12</f>
        <v>63.7414551832068</v>
      </c>
      <c r="K16" s="0" t="n">
        <f aca="false">-K12</f>
        <v>64.3788697350389</v>
      </c>
      <c r="L16" s="0" t="n">
        <f aca="false">-L12</f>
        <v>65.0226584323893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-29.20967808</v>
      </c>
      <c r="D17" s="4" t="n">
        <f aca="false">-D6*Assumptions!D18/100</f>
        <v>-26.5808070528</v>
      </c>
      <c r="E17" s="4" t="n">
        <f aca="false">-E6*Assumptions!E18/100</f>
        <v>-25.25176670016</v>
      </c>
      <c r="F17" s="4" t="n">
        <f aca="false">-F6*Assumptions!F18/100</f>
        <v>-24.7467313661568</v>
      </c>
      <c r="G17" s="4" t="n">
        <f aca="false">-G6*Assumptions!G18/100</f>
        <v>-24.7467313661568</v>
      </c>
      <c r="H17" s="4" t="n">
        <f aca="false">-H6*Assumptions!H18/100</f>
        <v>-24.9941986798184</v>
      </c>
      <c r="I17" s="4" t="n">
        <f aca="false">-I6*Assumptions!I18/100</f>
        <v>-25.2441406666166</v>
      </c>
      <c r="J17" s="4" t="n">
        <f aca="false">-J6*Assumptions!J18/100</f>
        <v>-25.4965820732827</v>
      </c>
      <c r="K17" s="4" t="n">
        <f aca="false">-K6*Assumptions!K18/100</f>
        <v>-25.7515478940155</v>
      </c>
      <c r="L17" s="4" t="n">
        <f aca="false">-L6*Assumptions!L18/100</f>
        <v>-26.0090633729557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-49.789224</v>
      </c>
      <c r="D18" s="4" t="n">
        <f aca="false">(D6-C6)*Assumptions!$B$23/100</f>
        <v>-32.86088784</v>
      </c>
      <c r="E18" s="4" t="n">
        <f aca="false">(E6-D6)*Assumptions!$B$23/100</f>
        <v>-16.613004408</v>
      </c>
      <c r="F18" s="4" t="n">
        <f aca="false">(F6-E6)*Assumptions!$B$23/100</f>
        <v>-6.31294167504002</v>
      </c>
      <c r="G18" s="4" t="n">
        <f aca="false">(G6-F6)*Assumptions!$B$23/100</f>
        <v>0</v>
      </c>
      <c r="H18" s="4" t="n">
        <f aca="false">(H6-G6)*Assumptions!$B$23/100</f>
        <v>3.09334142076959</v>
      </c>
      <c r="I18" s="4" t="n">
        <f aca="false">(I6-H6)*Assumptions!$B$23/100</f>
        <v>3.12427483497731</v>
      </c>
      <c r="J18" s="4" t="n">
        <f aca="false">(J6-I6)*Assumptions!$B$23/100</f>
        <v>3.15551758332708</v>
      </c>
      <c r="K18" s="4" t="n">
        <f aca="false">(K6-J6)*Assumptions!$B$23/100</f>
        <v>3.18707275916036</v>
      </c>
      <c r="L18" s="4" t="n">
        <f aca="false">(L6-K6)*Assumptions!$B$23/100</f>
        <v>3.21894348675196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497.89224</v>
      </c>
      <c r="D19" s="0" t="n">
        <f aca="false">D15+D16+D17+D18</f>
        <v>431.14032527544</v>
      </c>
      <c r="E19" s="0" t="n">
        <f aca="false">E15+E16+E17+E18</f>
        <v>402.40849927278</v>
      </c>
      <c r="F19" s="0" t="n">
        <f aca="false">F15+F16+F17+F18</f>
        <v>382.984076128814</v>
      </c>
      <c r="G19" s="0" t="n">
        <f aca="false">G15+G16+G17+G18</f>
        <v>378.624989902199</v>
      </c>
      <c r="H19" s="0" t="n">
        <f aca="false">H15+H16+H17+H18</f>
        <v>385.504581221991</v>
      </c>
      <c r="I19" s="0" t="n">
        <f aca="false">I15+I16+I17+I18</f>
        <v>389.359627034211</v>
      </c>
      <c r="J19" s="0" t="n">
        <f aca="false">J15+J16+J17+J18</f>
        <v>393.253223304553</v>
      </c>
      <c r="K19" s="0" t="n">
        <f aca="false">K15+K16+K17+K18</f>
        <v>397.185755537598</v>
      </c>
      <c r="L19" s="0" t="n">
        <f aca="false">L15+L16+L17+L18</f>
        <v>401.157613092974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448.551567567568</v>
      </c>
      <c r="D21" s="0" t="n">
        <f aca="false">D19*D20</f>
        <v>349.923159869686</v>
      </c>
      <c r="E21" s="0" t="n">
        <f aca="false">E19*E20</f>
        <v>294.237626430506</v>
      </c>
      <c r="F21" s="0" t="n">
        <f aca="false">F19*F20</f>
        <v>252.283473550357</v>
      </c>
      <c r="G21" s="0" t="n">
        <f aca="false">G19*G20</f>
        <v>224.695503093618</v>
      </c>
      <c r="H21" s="0" t="n">
        <f aca="false">H19*H20</f>
        <v>206.106491620584</v>
      </c>
      <c r="I21" s="0" t="n">
        <f aca="false">I19*I20</f>
        <v>187.538339222334</v>
      </c>
      <c r="J21" s="0" t="n">
        <f aca="false">J19*J20</f>
        <v>170.642993346448</v>
      </c>
      <c r="K21" s="0" t="n">
        <f aca="false">K19*K20</f>
        <v>155.269750702624</v>
      </c>
      <c r="L21" s="0" t="n">
        <f aca="false">L19*L20</f>
        <v>141.281484873558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2430.53039027728</v>
      </c>
    </row>
    <row r="31" customFormat="false" ht="15" hidden="false" customHeight="false" outlineLevel="0" collapsed="false">
      <c r="A31" s="0" t="s">
        <v>129</v>
      </c>
      <c r="B31" s="0" t="n">
        <f aca="false">L19</f>
        <v>401.157613092974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4051.69189223904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3610.41851783677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3610.41851783677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1271.53336386203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3702.06375413931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4769.38175413931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3.9154721238693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0.763726181923106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3.9154721238693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2894.0656373136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3.17473953986531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-7</v>
      </c>
      <c r="D5" s="4" t="n">
        <f aca="false">Assumptions!D27</f>
        <v>-2</v>
      </c>
      <c r="E5" s="4" t="n">
        <f aca="false">Assumptions!E27</f>
        <v>1</v>
      </c>
      <c r="F5" s="4" t="n">
        <f aca="false">Assumptions!F27</f>
        <v>2.5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4149.102</v>
      </c>
      <c r="C6" s="0" t="n">
        <f aca="false">B6*(1+C5/100)</f>
        <v>3858.66486</v>
      </c>
      <c r="D6" s="0" t="n">
        <f aca="false">C6*(1+D5/100)</f>
        <v>3781.4915628</v>
      </c>
      <c r="E6" s="0" t="n">
        <f aca="false">D6*(1+E5/100)</f>
        <v>3819.306478428</v>
      </c>
      <c r="F6" s="0" t="n">
        <f aca="false">E6*(1+F5/100)</f>
        <v>3914.7891403887</v>
      </c>
      <c r="G6" s="0" t="n">
        <f aca="false">F6*(1+G5/100)</f>
        <v>4032.23281460036</v>
      </c>
      <c r="H6" s="0" t="n">
        <f aca="false">G6*(1+H5/100)</f>
        <v>4153.19979903837</v>
      </c>
      <c r="I6" s="0" t="n">
        <f aca="false">H6*(1+I5/100)</f>
        <v>4277.79579300952</v>
      </c>
      <c r="J6" s="0" t="n">
        <f aca="false">I6*(1+J5/100)</f>
        <v>4384.74068783476</v>
      </c>
      <c r="K6" s="0" t="n">
        <f aca="false">J6*(1+K5/100)</f>
        <v>4494.35920503063</v>
      </c>
      <c r="L6" s="0" t="n">
        <f aca="false">K6*(1+L5/100)</f>
        <v>4606.71818515639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23</v>
      </c>
      <c r="D7" s="4" t="n">
        <f aca="false">Assumptions!D28</f>
        <v>22.5</v>
      </c>
      <c r="E7" s="4" t="n">
        <f aca="false">Assumptions!E28</f>
        <v>22.5</v>
      </c>
      <c r="F7" s="4" t="n">
        <f aca="false">Assumptions!F28</f>
        <v>22.5</v>
      </c>
      <c r="G7" s="4" t="n">
        <f aca="false">Assumptions!G28</f>
        <v>22.5</v>
      </c>
      <c r="H7" s="4" t="n">
        <f aca="false">Assumptions!H28</f>
        <v>22.5</v>
      </c>
      <c r="I7" s="4" t="n">
        <f aca="false">Assumptions!I28</f>
        <v>22.5</v>
      </c>
      <c r="J7" s="4" t="n">
        <f aca="false">Assumptions!J28</f>
        <v>22.5</v>
      </c>
      <c r="K7" s="4" t="n">
        <f aca="false">Assumptions!K28</f>
        <v>22.5</v>
      </c>
      <c r="L7" s="4" t="n">
        <f aca="false">Assumptions!L28</f>
        <v>22.5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887.4929178</v>
      </c>
      <c r="D8" s="0" t="n">
        <f aca="false">D6*D7/100</f>
        <v>850.83560163</v>
      </c>
      <c r="E8" s="0" t="n">
        <f aca="false">E6*E7/100</f>
        <v>859.3439576463</v>
      </c>
      <c r="F8" s="0" t="n">
        <f aca="false">F6*F7/100</f>
        <v>880.827556587457</v>
      </c>
      <c r="G8" s="0" t="n">
        <f aca="false">G6*G7/100</f>
        <v>907.252383285081</v>
      </c>
      <c r="H8" s="0" t="n">
        <f aca="false">H6*H7/100</f>
        <v>934.469954783633</v>
      </c>
      <c r="I8" s="0" t="n">
        <f aca="false">I6*I7/100</f>
        <v>962.504053427142</v>
      </c>
      <c r="J8" s="0" t="n">
        <f aca="false">J6*J7/100</f>
        <v>986.566654762821</v>
      </c>
      <c r="K8" s="0" t="n">
        <f aca="false">K6*K7/100</f>
        <v>1011.23082113189</v>
      </c>
      <c r="L8" s="0" t="n">
        <f aca="false">L6*L7/100</f>
        <v>1036.51159166019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887.4929178</v>
      </c>
      <c r="D11" s="0" t="n">
        <f aca="false">D8+D10+D24</f>
        <v>850.83560163</v>
      </c>
      <c r="E11" s="0" t="n">
        <f aca="false">E8+E10+E24</f>
        <v>859.3439576463</v>
      </c>
      <c r="F11" s="0" t="n">
        <f aca="false">F8+F10+F24</f>
        <v>880.827556587457</v>
      </c>
      <c r="G11" s="0" t="n">
        <f aca="false">G8+G10+G24</f>
        <v>907.252383285081</v>
      </c>
      <c r="H11" s="0" t="n">
        <f aca="false">H8+H10+H24</f>
        <v>934.469954783633</v>
      </c>
      <c r="I11" s="0" t="n">
        <f aca="false">I8+I10+I24</f>
        <v>962.504053427142</v>
      </c>
      <c r="J11" s="0" t="n">
        <f aca="false">J8+J10+J24</f>
        <v>986.566654762821</v>
      </c>
      <c r="K11" s="0" t="n">
        <f aca="false">K8+K10+K24</f>
        <v>1011.23082113189</v>
      </c>
      <c r="L11" s="0" t="n">
        <f aca="false">L8+L10+L24</f>
        <v>1036.51159166019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-77.1732972</v>
      </c>
      <c r="D12" s="4" t="n">
        <f aca="false">-D6*Assumptions!D31/100</f>
        <v>-75.629831256</v>
      </c>
      <c r="E12" s="4" t="n">
        <f aca="false">-E6*Assumptions!E31/100</f>
        <v>-76.38612956856</v>
      </c>
      <c r="F12" s="4" t="n">
        <f aca="false">-F6*Assumptions!F31/100</f>
        <v>-78.295782807774</v>
      </c>
      <c r="G12" s="4" t="n">
        <f aca="false">-G6*Assumptions!G31/100</f>
        <v>-80.6446562920072</v>
      </c>
      <c r="H12" s="4" t="n">
        <f aca="false">-H6*Assumptions!H31/100</f>
        <v>-83.0639959807674</v>
      </c>
      <c r="I12" s="4" t="n">
        <f aca="false">-I6*Assumptions!I31/100</f>
        <v>-85.5559158601904</v>
      </c>
      <c r="J12" s="4" t="n">
        <f aca="false">-J6*Assumptions!J31/100</f>
        <v>-87.6948137566952</v>
      </c>
      <c r="K12" s="4" t="n">
        <f aca="false">-K6*Assumptions!K31/100</f>
        <v>-89.8871841006126</v>
      </c>
      <c r="L12" s="4" t="n">
        <f aca="false">-L6*Assumptions!L31/100</f>
        <v>-92.1343637031279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810.3196206</v>
      </c>
      <c r="D13" s="0" t="n">
        <f aca="false">D11+D12</f>
        <v>775.205770374</v>
      </c>
      <c r="E13" s="0" t="n">
        <f aca="false">E11+E12</f>
        <v>782.95782807774</v>
      </c>
      <c r="F13" s="0" t="n">
        <f aca="false">F11+F12</f>
        <v>802.531773779683</v>
      </c>
      <c r="G13" s="0" t="n">
        <f aca="false">G11+G12</f>
        <v>826.607726993074</v>
      </c>
      <c r="H13" s="0" t="n">
        <f aca="false">H11+H12</f>
        <v>851.405958802866</v>
      </c>
      <c r="I13" s="0" t="n">
        <f aca="false">I11+I12</f>
        <v>876.948137566952</v>
      </c>
      <c r="J13" s="0" t="n">
        <f aca="false">J11+J12</f>
        <v>898.871841006126</v>
      </c>
      <c r="K13" s="0" t="n">
        <f aca="false">K11+K12</f>
        <v>921.343637031279</v>
      </c>
      <c r="L13" s="0" t="n">
        <f aca="false">L11+L12</f>
        <v>944.377227957061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31</v>
      </c>
      <c r="D14" s="4" t="n">
        <f aca="false">Assumptions!D33</f>
        <v>31</v>
      </c>
      <c r="E14" s="4" t="n">
        <f aca="false">Assumptions!E33</f>
        <v>31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559.120538214</v>
      </c>
      <c r="D15" s="0" t="n">
        <f aca="false">D13-MAX(0,D13)*D14/100</f>
        <v>534.89198155806</v>
      </c>
      <c r="E15" s="0" t="n">
        <f aca="false">E13-MAX(0,E13)*E14/100</f>
        <v>540.240901373641</v>
      </c>
      <c r="F15" s="0" t="n">
        <f aca="false">F13-MAX(0,F13)*F14/100</f>
        <v>553.746923907982</v>
      </c>
      <c r="G15" s="0" t="n">
        <f aca="false">G13-MAX(0,G13)*G14/100</f>
        <v>570.359331625221</v>
      </c>
      <c r="H15" s="0" t="n">
        <f aca="false">H13-MAX(0,H13)*H14/100</f>
        <v>587.470111573977</v>
      </c>
      <c r="I15" s="0" t="n">
        <f aca="false">I13-MAX(0,I13)*I14/100</f>
        <v>605.094214921197</v>
      </c>
      <c r="J15" s="0" t="n">
        <f aca="false">J13-MAX(0,J13)*J14/100</f>
        <v>620.221570294227</v>
      </c>
      <c r="K15" s="0" t="n">
        <f aca="false">K13-MAX(0,K13)*K14/100</f>
        <v>635.727109551582</v>
      </c>
      <c r="L15" s="0" t="n">
        <f aca="false">L13-MAX(0,L13)*L14/100</f>
        <v>651.620287290372</v>
      </c>
    </row>
    <row r="16" customFormat="false" ht="15" hidden="false" customHeight="false" outlineLevel="0" collapsed="false">
      <c r="A16" s="0" t="s">
        <v>120</v>
      </c>
      <c r="C16" s="0" t="n">
        <f aca="false">-C12</f>
        <v>77.1732972</v>
      </c>
      <c r="D16" s="0" t="n">
        <f aca="false">-D12</f>
        <v>75.629831256</v>
      </c>
      <c r="E16" s="0" t="n">
        <f aca="false">-E12</f>
        <v>76.38612956856</v>
      </c>
      <c r="F16" s="0" t="n">
        <f aca="false">-F12</f>
        <v>78.295782807774</v>
      </c>
      <c r="G16" s="0" t="n">
        <f aca="false">-G12</f>
        <v>80.6446562920072</v>
      </c>
      <c r="H16" s="0" t="n">
        <f aca="false">-H12</f>
        <v>83.0639959807674</v>
      </c>
      <c r="I16" s="0" t="n">
        <f aca="false">-I12</f>
        <v>85.5559158601904</v>
      </c>
      <c r="J16" s="0" t="n">
        <f aca="false">-J12</f>
        <v>87.6948137566952</v>
      </c>
      <c r="K16" s="0" t="n">
        <f aca="false">-K12</f>
        <v>89.8871841006126</v>
      </c>
      <c r="L16" s="0" t="n">
        <f aca="false">-L12</f>
        <v>92.1343637031279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-38.5866486</v>
      </c>
      <c r="D17" s="4" t="n">
        <f aca="false">-D6*Assumptions!D32/100</f>
        <v>-37.814915628</v>
      </c>
      <c r="E17" s="4" t="n">
        <f aca="false">-E6*Assumptions!E32/100</f>
        <v>-38.19306478428</v>
      </c>
      <c r="F17" s="4" t="n">
        <f aca="false">-F6*Assumptions!F32/100</f>
        <v>-39.147891403887</v>
      </c>
      <c r="G17" s="4" t="n">
        <f aca="false">-G6*Assumptions!G32/100</f>
        <v>-40.3223281460036</v>
      </c>
      <c r="H17" s="4" t="n">
        <f aca="false">-H6*Assumptions!H32/100</f>
        <v>-41.5319979903837</v>
      </c>
      <c r="I17" s="4" t="n">
        <f aca="false">-I6*Assumptions!I32/100</f>
        <v>-42.7779579300952</v>
      </c>
      <c r="J17" s="4" t="n">
        <f aca="false">-J6*Assumptions!J32/100</f>
        <v>-43.8474068783476</v>
      </c>
      <c r="K17" s="4" t="n">
        <f aca="false">-K6*Assumptions!K32/100</f>
        <v>-44.9435920503063</v>
      </c>
      <c r="L17" s="4" t="n">
        <f aca="false">-L6*Assumptions!L32/100</f>
        <v>-46.0671818515639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-29.043714</v>
      </c>
      <c r="D18" s="4" t="n">
        <f aca="false">(D6-C6)*Assumptions!$B$37/100</f>
        <v>-7.71732972</v>
      </c>
      <c r="E18" s="4" t="n">
        <f aca="false">(E6-D6)*Assumptions!$B$37/100</f>
        <v>3.78149156280001</v>
      </c>
      <c r="F18" s="4" t="n">
        <f aca="false">(F6-E6)*Assumptions!$B$37/100</f>
        <v>9.54826619606997</v>
      </c>
      <c r="G18" s="4" t="n">
        <f aca="false">(G6-F6)*Assumptions!$B$37/100</f>
        <v>11.7443674211661</v>
      </c>
      <c r="H18" s="4" t="n">
        <f aca="false">(H6-G6)*Assumptions!$B$37/100</f>
        <v>12.0966984438011</v>
      </c>
      <c r="I18" s="4" t="n">
        <f aca="false">(I6-H6)*Assumptions!$B$37/100</f>
        <v>12.4595993971151</v>
      </c>
      <c r="J18" s="4" t="n">
        <f aca="false">(J6-I6)*Assumptions!$B$37/100</f>
        <v>10.6944894825238</v>
      </c>
      <c r="K18" s="4" t="n">
        <f aca="false">(K6-J6)*Assumptions!$B$37/100</f>
        <v>10.9618517195869</v>
      </c>
      <c r="L18" s="4" t="n">
        <f aca="false">(L6-K6)*Assumptions!$B$37/100</f>
        <v>11.2358980125765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568.663472814</v>
      </c>
      <c r="D19" s="0" t="n">
        <f aca="false">D15+D16+D17+D18</f>
        <v>564.98956746606</v>
      </c>
      <c r="E19" s="0" t="n">
        <f aca="false">E15+E16+E17+E18</f>
        <v>582.215457720721</v>
      </c>
      <c r="F19" s="0" t="n">
        <f aca="false">F15+F16+F17+F18</f>
        <v>602.443081507939</v>
      </c>
      <c r="G19" s="0" t="n">
        <f aca="false">G15+G16+G17+G18</f>
        <v>622.426027192391</v>
      </c>
      <c r="H19" s="0" t="n">
        <f aca="false">H15+H16+H17+H18</f>
        <v>641.098808008162</v>
      </c>
      <c r="I19" s="0" t="n">
        <f aca="false">I15+I16+I17+I18</f>
        <v>660.331772248407</v>
      </c>
      <c r="J19" s="0" t="n">
        <f aca="false">J15+J16+J17+J18</f>
        <v>674.763466655098</v>
      </c>
      <c r="K19" s="0" t="n">
        <f aca="false">K15+K16+K17+K18</f>
        <v>691.632553321476</v>
      </c>
      <c r="L19" s="0" t="n">
        <f aca="false">L15+L16+L17+L18</f>
        <v>708.923367154512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512.309434967567</v>
      </c>
      <c r="D21" s="0" t="n">
        <f aca="false">D19*D20</f>
        <v>458.55820750431</v>
      </c>
      <c r="E21" s="0" t="n">
        <f aca="false">E19*E20</f>
        <v>425.710924745579</v>
      </c>
      <c r="F21" s="0" t="n">
        <f aca="false">F19*F20</f>
        <v>396.84791794864</v>
      </c>
      <c r="G21" s="0" t="n">
        <f aca="false">G19*G20</f>
        <v>369.379552455537</v>
      </c>
      <c r="H21" s="0" t="n">
        <f aca="false">H19*H20</f>
        <v>342.757602729011</v>
      </c>
      <c r="I21" s="0" t="n">
        <f aca="false">I19*I20</f>
        <v>318.054352081876</v>
      </c>
      <c r="J21" s="0" t="n">
        <f aca="false">J19*J20</f>
        <v>292.797746915553</v>
      </c>
      <c r="K21" s="0" t="n">
        <f aca="false">K19*K20</f>
        <v>270.376297827425</v>
      </c>
      <c r="L21" s="0" t="n">
        <f aca="false">L19*L20</f>
        <v>249.671806552352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3636.46384372785</v>
      </c>
    </row>
    <row r="31" customFormat="false" ht="15" hidden="false" customHeight="false" outlineLevel="0" collapsed="false">
      <c r="A31" s="0" t="s">
        <v>129</v>
      </c>
      <c r="B31" s="0" t="n">
        <f aca="false">L19</f>
        <v>708.923367154512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8034.46482775114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8507.08040585415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8034.46482775114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2829.61380759332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6466.07765132117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7533.39565132117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6.18461725049084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1.78586362634722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6.18461725049084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5562.32180382771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4.53046189947646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-3</v>
      </c>
      <c r="D5" s="4" t="n">
        <f aca="false">Assumptions!D41</f>
        <v>3</v>
      </c>
      <c r="E5" s="4" t="n">
        <f aca="false">Assumptions!E41</f>
        <v>5</v>
      </c>
      <c r="F5" s="4" t="n">
        <f aca="false">Assumptions!F41</f>
        <v>6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4149.102</v>
      </c>
      <c r="C6" s="0" t="n">
        <f aca="false">B6*(1+C5/100)</f>
        <v>4024.62894</v>
      </c>
      <c r="D6" s="0" t="n">
        <f aca="false">C6*(1+D5/100)</f>
        <v>4145.3678082</v>
      </c>
      <c r="E6" s="0" t="n">
        <f aca="false">D6*(1+E5/100)</f>
        <v>4352.63619861</v>
      </c>
      <c r="F6" s="0" t="n">
        <f aca="false">E6*(1+F5/100)</f>
        <v>4613.7943705266</v>
      </c>
      <c r="G6" s="0" t="n">
        <f aca="false">F6*(1+G5/100)</f>
        <v>4890.6220327582</v>
      </c>
      <c r="H6" s="0" t="n">
        <f aca="false">G6*(1+H5/100)</f>
        <v>5135.15313439611</v>
      </c>
      <c r="I6" s="0" t="n">
        <f aca="false">H6*(1+I5/100)</f>
        <v>5366.23502544393</v>
      </c>
      <c r="J6" s="0" t="n">
        <f aca="false">I6*(1+J5/100)</f>
        <v>5580.88442646169</v>
      </c>
      <c r="K6" s="0" t="n">
        <f aca="false">J6*(1+K5/100)</f>
        <v>5776.21538138785</v>
      </c>
      <c r="L6" s="0" t="n">
        <f aca="false">K6*(1+L5/100)</f>
        <v>5949.50184282948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24</v>
      </c>
      <c r="D7" s="4" t="n">
        <f aca="false">Assumptions!D42</f>
        <v>24.5</v>
      </c>
      <c r="E7" s="4" t="n">
        <f aca="false">Assumptions!E42</f>
        <v>25</v>
      </c>
      <c r="F7" s="4" t="n">
        <f aca="false">Assumptions!F42</f>
        <v>25</v>
      </c>
      <c r="G7" s="4" t="n">
        <f aca="false">Assumptions!G42</f>
        <v>25.5</v>
      </c>
      <c r="H7" s="4" t="n">
        <f aca="false">Assumptions!H42</f>
        <v>25.5</v>
      </c>
      <c r="I7" s="4" t="n">
        <f aca="false">Assumptions!I42</f>
        <v>25.5</v>
      </c>
      <c r="J7" s="4" t="n">
        <f aca="false">Assumptions!J42</f>
        <v>25.5</v>
      </c>
      <c r="K7" s="4" t="n">
        <f aca="false">Assumptions!K42</f>
        <v>25.5</v>
      </c>
      <c r="L7" s="4" t="n">
        <f aca="false">Assumptions!L42</f>
        <v>25.5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965.9109456</v>
      </c>
      <c r="D8" s="0" t="n">
        <f aca="false">D6*D7/100</f>
        <v>1015.615113009</v>
      </c>
      <c r="E8" s="0" t="n">
        <f aca="false">E6*E7/100</f>
        <v>1088.1590496525</v>
      </c>
      <c r="F8" s="0" t="n">
        <f aca="false">F6*F7/100</f>
        <v>1153.44859263165</v>
      </c>
      <c r="G8" s="0" t="n">
        <f aca="false">G6*G7/100</f>
        <v>1247.10861835334</v>
      </c>
      <c r="H8" s="0" t="n">
        <f aca="false">H6*H7/100</f>
        <v>1309.46404927101</v>
      </c>
      <c r="I8" s="0" t="n">
        <f aca="false">I6*I7/100</f>
        <v>1368.3899314882</v>
      </c>
      <c r="J8" s="0" t="n">
        <f aca="false">J6*J7/100</f>
        <v>1423.12552874773</v>
      </c>
      <c r="K8" s="0" t="n">
        <f aca="false">K6*K7/100</f>
        <v>1472.9349222539</v>
      </c>
      <c r="L8" s="0" t="n">
        <f aca="false">L6*L7/100</f>
        <v>1517.12296992152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965.9109456</v>
      </c>
      <c r="D11" s="0" t="n">
        <f aca="false">D8+D10+D24</f>
        <v>1015.615113009</v>
      </c>
      <c r="E11" s="0" t="n">
        <f aca="false">E8+E10+E24</f>
        <v>1088.1590496525</v>
      </c>
      <c r="F11" s="0" t="n">
        <f aca="false">F8+F10+F24</f>
        <v>1153.44859263165</v>
      </c>
      <c r="G11" s="0" t="n">
        <f aca="false">G8+G10+G24</f>
        <v>1247.10861835334</v>
      </c>
      <c r="H11" s="0" t="n">
        <f aca="false">H8+H10+H24</f>
        <v>1309.46404927101</v>
      </c>
      <c r="I11" s="0" t="n">
        <f aca="false">I8+I10+I24</f>
        <v>1368.3899314882</v>
      </c>
      <c r="J11" s="0" t="n">
        <f aca="false">J8+J10+J24</f>
        <v>1423.12552874773</v>
      </c>
      <c r="K11" s="0" t="n">
        <f aca="false">K8+K10+K24</f>
        <v>1472.9349222539</v>
      </c>
      <c r="L11" s="0" t="n">
        <f aca="false">L8+L10+L24</f>
        <v>1517.12296992152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-80.4925788</v>
      </c>
      <c r="D12" s="4" t="n">
        <f aca="false">-D6*Assumptions!D45/100</f>
        <v>-82.907356164</v>
      </c>
      <c r="E12" s="4" t="n">
        <f aca="false">-E6*Assumptions!E45/100</f>
        <v>-87.0527239722</v>
      </c>
      <c r="F12" s="4" t="n">
        <f aca="false">-F6*Assumptions!F45/100</f>
        <v>-92.275887410532</v>
      </c>
      <c r="G12" s="4" t="n">
        <f aca="false">-G6*Assumptions!G45/100</f>
        <v>-97.8124406551639</v>
      </c>
      <c r="H12" s="4" t="n">
        <f aca="false">-H6*Assumptions!H45/100</f>
        <v>-102.703062687922</v>
      </c>
      <c r="I12" s="4" t="n">
        <f aca="false">-I6*Assumptions!I45/100</f>
        <v>-107.324700508879</v>
      </c>
      <c r="J12" s="4" t="n">
        <f aca="false">-J6*Assumptions!J45/100</f>
        <v>-111.617688529234</v>
      </c>
      <c r="K12" s="4" t="n">
        <f aca="false">-K6*Assumptions!K45/100</f>
        <v>-115.524307627757</v>
      </c>
      <c r="L12" s="4" t="n">
        <f aca="false">-L6*Assumptions!L45/100</f>
        <v>-118.99003685659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885.4183668</v>
      </c>
      <c r="D13" s="0" t="n">
        <f aca="false">D11+D12</f>
        <v>932.707756845</v>
      </c>
      <c r="E13" s="0" t="n">
        <f aca="false">E11+E12</f>
        <v>1001.1063256803</v>
      </c>
      <c r="F13" s="0" t="n">
        <f aca="false">F11+F12</f>
        <v>1061.17270522112</v>
      </c>
      <c r="G13" s="0" t="n">
        <f aca="false">G11+G12</f>
        <v>1149.29617769818</v>
      </c>
      <c r="H13" s="0" t="n">
        <f aca="false">H11+H12</f>
        <v>1206.76098658309</v>
      </c>
      <c r="I13" s="0" t="n">
        <f aca="false">I11+I12</f>
        <v>1261.06523097932</v>
      </c>
      <c r="J13" s="0" t="n">
        <f aca="false">J11+J12</f>
        <v>1311.5078402185</v>
      </c>
      <c r="K13" s="0" t="n">
        <f aca="false">K11+K12</f>
        <v>1357.41061462614</v>
      </c>
      <c r="L13" s="0" t="n">
        <f aca="false">L11+L12</f>
        <v>1398.13293306493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31</v>
      </c>
      <c r="D14" s="4" t="n">
        <f aca="false">Assumptions!D47</f>
        <v>31</v>
      </c>
      <c r="E14" s="4" t="n">
        <f aca="false">Assumptions!E47</f>
        <v>31</v>
      </c>
      <c r="F14" s="4" t="n">
        <f aca="false">Assumptions!F47</f>
        <v>31</v>
      </c>
      <c r="G14" s="4" t="n">
        <f aca="false">Assumptions!G47</f>
        <v>31</v>
      </c>
      <c r="H14" s="4" t="n">
        <f aca="false">Assumptions!H47</f>
        <v>31</v>
      </c>
      <c r="I14" s="4" t="n">
        <f aca="false">Assumptions!I47</f>
        <v>31</v>
      </c>
      <c r="J14" s="4" t="n">
        <f aca="false">Assumptions!J47</f>
        <v>31</v>
      </c>
      <c r="K14" s="4" t="n">
        <f aca="false">Assumptions!K47</f>
        <v>31</v>
      </c>
      <c r="L14" s="4" t="n">
        <f aca="false">Assumptions!L47</f>
        <v>31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610.938673092</v>
      </c>
      <c r="D15" s="0" t="n">
        <f aca="false">D13-MAX(0,D13)*D14/100</f>
        <v>643.56835222305</v>
      </c>
      <c r="E15" s="0" t="n">
        <f aca="false">E13-MAX(0,E13)*E14/100</f>
        <v>690.763364719407</v>
      </c>
      <c r="F15" s="0" t="n">
        <f aca="false">F13-MAX(0,F13)*F14/100</f>
        <v>732.209166602572</v>
      </c>
      <c r="G15" s="0" t="n">
        <f aca="false">G13-MAX(0,G13)*G14/100</f>
        <v>793.014362611742</v>
      </c>
      <c r="H15" s="0" t="n">
        <f aca="false">H13-MAX(0,H13)*H14/100</f>
        <v>832.665080742329</v>
      </c>
      <c r="I15" s="0" t="n">
        <f aca="false">I13-MAX(0,I13)*I14/100</f>
        <v>870.135009375734</v>
      </c>
      <c r="J15" s="0" t="n">
        <f aca="false">J13-MAX(0,J13)*J14/100</f>
        <v>904.940409750763</v>
      </c>
      <c r="K15" s="0" t="n">
        <f aca="false">K13-MAX(0,K13)*K14/100</f>
        <v>936.613324092039</v>
      </c>
      <c r="L15" s="0" t="n">
        <f aca="false">L13-MAX(0,L13)*L14/100</f>
        <v>964.711723814801</v>
      </c>
    </row>
    <row r="16" customFormat="false" ht="15" hidden="false" customHeight="false" outlineLevel="0" collapsed="false">
      <c r="A16" s="0" t="s">
        <v>120</v>
      </c>
      <c r="C16" s="0" t="n">
        <f aca="false">-C12</f>
        <v>80.4925788</v>
      </c>
      <c r="D16" s="0" t="n">
        <f aca="false">-D12</f>
        <v>82.907356164</v>
      </c>
      <c r="E16" s="0" t="n">
        <f aca="false">-E12</f>
        <v>87.0527239722</v>
      </c>
      <c r="F16" s="0" t="n">
        <f aca="false">-F12</f>
        <v>92.275887410532</v>
      </c>
      <c r="G16" s="0" t="n">
        <f aca="false">-G12</f>
        <v>97.8124406551639</v>
      </c>
      <c r="H16" s="0" t="n">
        <f aca="false">-H12</f>
        <v>102.703062687922</v>
      </c>
      <c r="I16" s="0" t="n">
        <f aca="false">-I12</f>
        <v>107.324700508879</v>
      </c>
      <c r="J16" s="0" t="n">
        <f aca="false">-J12</f>
        <v>111.617688529234</v>
      </c>
      <c r="K16" s="0" t="n">
        <f aca="false">-K12</f>
        <v>115.524307627757</v>
      </c>
      <c r="L16" s="0" t="n">
        <f aca="false">-L12</f>
        <v>118.99003685659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-60.3694341</v>
      </c>
      <c r="D17" s="4" t="n">
        <f aca="false">-D6*Assumptions!D46/100</f>
        <v>-62.180517123</v>
      </c>
      <c r="E17" s="4" t="n">
        <f aca="false">-E6*Assumptions!E46/100</f>
        <v>-65.28954297915</v>
      </c>
      <c r="F17" s="4" t="n">
        <f aca="false">-F6*Assumptions!F46/100</f>
        <v>-69.206915557899</v>
      </c>
      <c r="G17" s="4" t="n">
        <f aca="false">-G6*Assumptions!G46/100</f>
        <v>-73.3593304913729</v>
      </c>
      <c r="H17" s="4" t="n">
        <f aca="false">-H6*Assumptions!H46/100</f>
        <v>-77.0272970159416</v>
      </c>
      <c r="I17" s="4" t="n">
        <f aca="false">-I6*Assumptions!I46/100</f>
        <v>-80.493525381659</v>
      </c>
      <c r="J17" s="4" t="n">
        <f aca="false">-J6*Assumptions!J46/100</f>
        <v>-83.7132663969253</v>
      </c>
      <c r="K17" s="4" t="n">
        <f aca="false">-K6*Assumptions!K46/100</f>
        <v>-86.6432307208177</v>
      </c>
      <c r="L17" s="4" t="n">
        <f aca="false">-L6*Assumptions!L46/100</f>
        <v>-89.2425276424423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-12.447306</v>
      </c>
      <c r="D18" s="4" t="n">
        <f aca="false">(D6-C6)*Assumptions!$B$51/100</f>
        <v>12.07388682</v>
      </c>
      <c r="E18" s="4" t="n">
        <f aca="false">(E6-D6)*Assumptions!$B$51/100</f>
        <v>20.726839041</v>
      </c>
      <c r="F18" s="4" t="n">
        <f aca="false">(F6-E6)*Assumptions!$B$51/100</f>
        <v>26.1158171916601</v>
      </c>
      <c r="G18" s="4" t="n">
        <f aca="false">(G6-F6)*Assumptions!$B$51/100</f>
        <v>27.6827662231596</v>
      </c>
      <c r="H18" s="4" t="n">
        <f aca="false">(H6-G6)*Assumptions!$B$51/100</f>
        <v>24.453110163791</v>
      </c>
      <c r="I18" s="4" t="n">
        <f aca="false">(I6-H6)*Assumptions!$B$51/100</f>
        <v>23.1081891047825</v>
      </c>
      <c r="J18" s="4" t="n">
        <f aca="false">(J6-I6)*Assumptions!$B$51/100</f>
        <v>21.4649401017758</v>
      </c>
      <c r="K18" s="4" t="n">
        <f aca="false">(K6-J6)*Assumptions!$B$51/100</f>
        <v>19.5330954926159</v>
      </c>
      <c r="L18" s="4" t="n">
        <f aca="false">(L6-K6)*Assumptions!$B$51/100</f>
        <v>17.3286461441636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618.614511792</v>
      </c>
      <c r="D19" s="0" t="n">
        <f aca="false">D15+D16+D17+D18</f>
        <v>676.36907808405</v>
      </c>
      <c r="E19" s="0" t="n">
        <f aca="false">E15+E16+E17+E18</f>
        <v>733.253384753457</v>
      </c>
      <c r="F19" s="0" t="n">
        <f aca="false">F15+F16+F17+F18</f>
        <v>781.393955646865</v>
      </c>
      <c r="G19" s="0" t="n">
        <f aca="false">G15+G16+G17+G18</f>
        <v>845.150238998692</v>
      </c>
      <c r="H19" s="0" t="n">
        <f aca="false">H15+H16+H17+H18</f>
        <v>882.7939565781</v>
      </c>
      <c r="I19" s="0" t="n">
        <f aca="false">I15+I16+I17+I18</f>
        <v>920.074373607736</v>
      </c>
      <c r="J19" s="0" t="n">
        <f aca="false">J15+J16+J17+J18</f>
        <v>954.309771984847</v>
      </c>
      <c r="K19" s="0" t="n">
        <f aca="false">K15+K16+K17+K18</f>
        <v>985.027496491595</v>
      </c>
      <c r="L19" s="0" t="n">
        <f aca="false">L15+L16+L17+L18</f>
        <v>1011.78787917311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557.310370983784</v>
      </c>
      <c r="D21" s="0" t="n">
        <f aca="false">D19*D20</f>
        <v>548.956316925615</v>
      </c>
      <c r="E21" s="0" t="n">
        <f aca="false">E19*E20</f>
        <v>536.148555241477</v>
      </c>
      <c r="F21" s="0" t="n">
        <f aca="false">F19*F20</f>
        <v>514.728401594274</v>
      </c>
      <c r="G21" s="0" t="n">
        <f aca="false">G19*G20</f>
        <v>501.555531742782</v>
      </c>
      <c r="H21" s="0" t="n">
        <f aca="false">H19*H20</f>
        <v>471.977699039048</v>
      </c>
      <c r="I21" s="0" t="n">
        <f aca="false">I19*I20</f>
        <v>443.161560693253</v>
      </c>
      <c r="J21" s="0" t="n">
        <f aca="false">J19*J20</f>
        <v>414.100295740348</v>
      </c>
      <c r="K21" s="0" t="n">
        <f aca="false">K19*K20</f>
        <v>385.071648927755</v>
      </c>
      <c r="L21" s="0" t="n">
        <f aca="false">L19*L20</f>
        <v>356.335986856906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4729.34636774524</v>
      </c>
    </row>
    <row r="31" customFormat="false" ht="15" hidden="false" customHeight="false" outlineLevel="0" collapsed="false">
      <c r="A31" s="0" t="s">
        <v>129</v>
      </c>
      <c r="B31" s="0" t="n">
        <f aca="false">L19</f>
        <v>1011.78787917311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12200.9714841463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14165.0303084236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12200.9714841463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4296.99278268622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9026.33915043146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10093.6571504315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8.2864897879286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2.73265305762549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8.2864897879286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8296.66060921952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5.81747072123662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3.9154721238693</v>
      </c>
      <c r="C4" s="0" t="n">
        <f aca="false">B4/Assumptions!$B$2-1</f>
        <v>0.763726181923106</v>
      </c>
      <c r="D4" s="4" t="n">
        <f aca="false">Assumptions!$B$24</f>
        <v>0.3</v>
      </c>
      <c r="E4" s="4" t="n">
        <f aca="false">DCF_Bear!$B$43</f>
        <v>3.9154721238693</v>
      </c>
      <c r="F4" s="4" t="n">
        <f aca="false">DCF_Bear!$B$47</f>
        <v>3.17473953986531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6.18461725049084</v>
      </c>
      <c r="C5" s="0" t="n">
        <f aca="false">B5/Assumptions!$B$2-1</f>
        <v>1.78586362634722</v>
      </c>
      <c r="D5" s="4" t="n">
        <f aca="false">Assumptions!$B$38</f>
        <v>0.5</v>
      </c>
      <c r="E5" s="4" t="n">
        <f aca="false">DCF_Base!$B$43</f>
        <v>6.18461725049084</v>
      </c>
      <c r="F5" s="4" t="n">
        <f aca="false">DCF_Base!$B$47</f>
        <v>4.53046189947646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8.2864897879286</v>
      </c>
      <c r="C6" s="0" t="n">
        <f aca="false">B6/Assumptions!$B$2-1</f>
        <v>2.73265305762549</v>
      </c>
      <c r="D6" s="4" t="n">
        <f aca="false">Assumptions!$B$52</f>
        <v>0.2</v>
      </c>
      <c r="E6" s="4" t="n">
        <f aca="false">DCF_Bull!$B$43</f>
        <v>8.2864897879286</v>
      </c>
      <c r="F6" s="4" t="n">
        <f aca="false">DCF_Bull!$B$47</f>
        <v>5.81747072123662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5.92424821999193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5.92424821999193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0.625268908802909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4.38114695594515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7.09226042193984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6.68968218425342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6.18461725049084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5.64639841095051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4.53046189947646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7.09226042193984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7.09226042193984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7.09226042193984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7.09226042193984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7.09226042193984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6.51516024866989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6.67648304626811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6.68968218425342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6.68968218425342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6.68968218425342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5.93182018778654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6.051566164857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6.18461725049084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6.32126431141209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6.32126431141209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5.45560364665303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5.54645829631849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5.64639841095051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5.75685853764905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5.87959201175853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5.05965865924513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5.12985367382779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5.2064300533725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5.29029942144528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5.38255572632535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2026-10-23T09:40:45Z</dcterms:created>
  <dc:creator>openpyxl</dc:creator>
  <dc:description/>
  <dc:language>en-NZ</dc:language>
  <cp:lastModifiedBy/>
  <dcterms:modified xsi:type="dcterms:W3CDTF">2026-10-23T09:40:45Z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