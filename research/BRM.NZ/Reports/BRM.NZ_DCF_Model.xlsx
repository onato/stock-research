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 Model" sheetId="1" state="visible" r:id="rId1"/>
    <sheet xmlns:r="http://schemas.openxmlformats.org/officeDocument/2006/relationships" name="Sensitivity" sheetId="2" state="visible" r:id="rId2"/>
    <sheet xmlns:r="http://schemas.openxmlformats.org/officeDocument/2006/relationships" name="Historical" sheetId="3" state="visible" r:id="rId3"/>
    <sheet xmlns:r="http://schemas.openxmlformats.org/officeDocument/2006/relationships" name="Model_Inf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55" customWidth="1" min="1" max="1"/>
    <col width="16" customWidth="1" min="2" max="2"/>
    <col width="16" customWidth="1" min="3" max="3"/>
    <col width="16" customWidth="1" min="4" max="4"/>
    <col width="16" customWidth="1" min="5" max="5"/>
    <col width="16" customWidth="1" min="6" max="6"/>
  </cols>
  <sheetData>
    <row r="1">
      <c r="A1" s="1" t="inlineStr">
        <is>
          <t>BRM.NZ — Barramundi Limited — NAV Valuation Model</t>
        </is>
      </c>
    </row>
    <row r="2">
      <c r="A2" t="inlineStr">
        <is>
          <t>NOT an FCF DCF — this is a closed-end investment company (LIC). Gray cells are INPUTS.</t>
        </is>
      </c>
    </row>
    <row r="3">
      <c r="A3" t="inlineStr">
        <is>
          <t>All figures in NZD (single-currency ticker, no FX conversion needed).</t>
        </is>
      </c>
    </row>
    <row r="5">
      <c r="A5" s="1" t="inlineStr">
        <is>
          <t>KEY INPUTS</t>
        </is>
      </c>
    </row>
    <row r="6">
      <c r="A6" t="inlineStr">
        <is>
          <t>BRM.NZ Share Price (NZD)</t>
        </is>
      </c>
      <c r="B6" s="2" t="n">
        <v>0.45</v>
      </c>
    </row>
    <row r="7">
      <c r="A7" t="inlineStr">
        <is>
          <t>Current NAV/share, undiluted (NZD)</t>
        </is>
      </c>
      <c r="B7" s="2" t="n">
        <v>0.5325</v>
      </c>
    </row>
    <row r="8">
      <c r="A8" t="inlineStr">
        <is>
          <t>NAV as-of date memo (text)</t>
        </is>
      </c>
      <c r="B8" s="2" t="inlineStr">
        <is>
          <t>Sept-2026 (avg of 16-Sep $0.5301 / 23-Sep $0.5348)</t>
        </is>
      </c>
    </row>
    <row r="9">
      <c r="A9" t="inlineStr">
        <is>
          <t>Shares Outstanding (M)</t>
        </is>
      </c>
      <c r="B9" s="2" t="n">
        <v>345.956908</v>
      </c>
    </row>
    <row r="10">
      <c r="A10" t="inlineStr">
        <is>
          <t>Net Assets (NZD M)</t>
        </is>
      </c>
      <c r="B10" s="2" t="n">
        <v>218.907</v>
      </c>
    </row>
    <row r="11">
      <c r="A11" t="inlineStr">
        <is>
          <t>Total Debt (NZD M)</t>
        </is>
      </c>
      <c r="B11" s="2" t="n">
        <v>0</v>
      </c>
    </row>
    <row r="12">
      <c r="A12" t="inlineStr">
        <is>
          <t>Warrants on Issue (BRMWI, count, lapsed Aug-2026)</t>
        </is>
      </c>
      <c r="B12" s="2" t="n">
        <v>85179108</v>
      </c>
    </row>
    <row r="13">
      <c r="A13" t="inlineStr">
        <is>
          <t>Management Fee % p.a.</t>
        </is>
      </c>
      <c r="B13" s="2" t="n">
        <v>0.0125</v>
      </c>
    </row>
    <row r="14">
      <c r="A14" t="inlineStr">
        <is>
          <t>Distribution Policy % of avg NAV p.a. (~4x2%/qtr)</t>
        </is>
      </c>
      <c r="B14" s="2" t="n">
        <v>0.08</v>
      </c>
    </row>
    <row r="15">
      <c r="A15" t="inlineStr">
        <is>
          <t>Current P/NAV (price vs current NAV)</t>
        </is>
      </c>
      <c r="B15">
        <f>B6/B7-1</f>
        <v/>
      </c>
    </row>
    <row r="17">
      <c r="A17" s="1" t="inlineStr">
        <is>
          <t>SCENARIO ASSUMPTIONS</t>
        </is>
      </c>
    </row>
    <row r="18">
      <c r="B18" s="1" t="inlineStr">
        <is>
          <t>Base</t>
        </is>
      </c>
      <c r="C18" s="1" t="inlineStr">
        <is>
          <t>Bull</t>
        </is>
      </c>
      <c r="D18" s="1" t="inlineStr">
        <is>
          <t>Bear</t>
        </is>
      </c>
    </row>
    <row r="19">
      <c r="A19" t="inlineStr">
        <is>
          <t>Total Return % p.a.</t>
        </is>
      </c>
      <c r="B19" s="2" t="n">
        <v>0.055</v>
      </c>
      <c r="C19" s="2" t="n">
        <v>0.09</v>
      </c>
      <c r="D19" s="2" t="n">
        <v>0.01</v>
      </c>
    </row>
    <row r="20">
      <c r="A20" t="inlineStr">
        <is>
          <t>Dividend Yield % (of avg NAV)</t>
        </is>
      </c>
      <c r="B20" s="2" t="n">
        <v>0.08</v>
      </c>
      <c r="C20" s="2" t="n">
        <v>0.08</v>
      </c>
      <c r="D20" s="2" t="n">
        <v>0.08</v>
      </c>
    </row>
    <row r="21">
      <c r="A21" t="inlineStr">
        <is>
          <t>Implied NAV Growth %</t>
        </is>
      </c>
      <c r="B21">
        <f>B19-B20</f>
        <v/>
      </c>
      <c r="C21">
        <f>C19-C20</f>
        <v/>
      </c>
      <c r="D21">
        <f>D19-D20</f>
        <v/>
      </c>
    </row>
    <row r="22">
      <c r="A22" t="inlineStr">
        <is>
          <t>Exit Discount to NAV %</t>
        </is>
      </c>
      <c r="B22" s="2" t="n">
        <v>0.12</v>
      </c>
      <c r="C22" s="2" t="n">
        <v>0.06</v>
      </c>
      <c r="D22" s="2" t="n">
        <v>0.2</v>
      </c>
    </row>
    <row r="23">
      <c r="A23" t="inlineStr">
        <is>
          <t>Cost of Equity %</t>
        </is>
      </c>
      <c r="B23" s="2" t="n">
        <v>0.1</v>
      </c>
      <c r="C23" s="2" t="n">
        <v>0.095</v>
      </c>
      <c r="D23" s="2" t="n">
        <v>0.11</v>
      </c>
    </row>
    <row r="25">
      <c r="A25" s="1" t="inlineStr">
        <is>
          <t>PROJECTIONS (Base Case)</t>
        </is>
      </c>
    </row>
    <row r="26">
      <c r="B26" s="1" t="inlineStr">
        <is>
          <t>FY2027</t>
        </is>
      </c>
      <c r="C26" s="1" t="inlineStr">
        <is>
          <t>FY2028</t>
        </is>
      </c>
      <c r="D26" s="1" t="inlineStr">
        <is>
          <t>FY2029</t>
        </is>
      </c>
      <c r="E26" s="1" t="inlineStr">
        <is>
          <t>FY2030</t>
        </is>
      </c>
      <c r="F26" s="1" t="inlineStr">
        <is>
          <t>FY2031</t>
        </is>
      </c>
    </row>
    <row r="27">
      <c r="A27" t="inlineStr">
        <is>
          <t>NAV per Share (NZD)</t>
        </is>
      </c>
      <c r="B27">
        <f>$B$7*(1+$B$21)</f>
        <v/>
      </c>
      <c r="C27">
        <f>B27*(1+$B$21)</f>
        <v/>
      </c>
      <c r="D27">
        <f>C27*(1+$B$21)</f>
        <v/>
      </c>
      <c r="E27">
        <f>D27*(1+$B$21)</f>
        <v/>
      </c>
      <c r="F27">
        <f>E27*(1+$B$21)</f>
        <v/>
      </c>
    </row>
    <row r="28">
      <c r="A28" t="inlineStr">
        <is>
          <t>Dividend per Share (NZD, avg-NAV basis)</t>
        </is>
      </c>
      <c r="B28">
        <f>($B$7+B27)/2*$B$20</f>
        <v/>
      </c>
      <c r="C28">
        <f>(B27+C27)/2*$B$20</f>
        <v/>
      </c>
      <c r="D28">
        <f>(C27+D27)/2*$B$20</f>
        <v/>
      </c>
      <c r="E28">
        <f>(D27+E27)/2*$B$20</f>
        <v/>
      </c>
      <c r="F28">
        <f>(E27+F27)/2*$B$20</f>
        <v/>
      </c>
    </row>
    <row r="30">
      <c r="A30" s="1" t="inlineStr">
        <is>
          <t>VALUATION — Headline (current NAV x fair discount)</t>
        </is>
      </c>
    </row>
    <row r="31">
      <c r="B31" s="1" t="inlineStr">
        <is>
          <t>Base</t>
        </is>
      </c>
      <c r="C31" s="1" t="inlineStr">
        <is>
          <t>Bull</t>
        </is>
      </c>
      <c r="D31" s="1" t="inlineStr">
        <is>
          <t>Bear</t>
        </is>
      </c>
    </row>
    <row r="32">
      <c r="A32" t="inlineStr">
        <is>
          <t>Intrinsic Value (NZD)</t>
        </is>
      </c>
      <c r="B32">
        <f>$B$7*(1-B22)</f>
        <v/>
      </c>
      <c r="C32">
        <f>$B$7*(1-C22)</f>
        <v/>
      </c>
      <c r="D32">
        <f>$B$7*(1-D22)</f>
        <v/>
      </c>
    </row>
    <row r="33">
      <c r="A33" t="inlineStr">
        <is>
          <t>Upside/(Downside) vs BRM.NZ price</t>
        </is>
      </c>
      <c r="B33">
        <f>B32/$B$6-1</f>
        <v/>
      </c>
      <c r="C33">
        <f>C32/$B$6-1</f>
        <v/>
      </c>
      <c r="D33">
        <f>D32/$B$6-1</f>
        <v/>
      </c>
    </row>
    <row r="35">
      <c r="A35" s="1" t="inlineStr">
        <is>
          <t>5-YEAR IRR BUILD (memo cross-check)</t>
        </is>
      </c>
    </row>
    <row r="36">
      <c r="B36" s="1" t="inlineStr">
        <is>
          <t>Base</t>
        </is>
      </c>
      <c r="C36" s="1" t="inlineStr">
        <is>
          <t>Bull</t>
        </is>
      </c>
      <c r="D36" s="1" t="inlineStr">
        <is>
          <t>Bear</t>
        </is>
      </c>
    </row>
    <row r="37">
      <c r="A37" t="inlineStr">
        <is>
          <t>Year-5 NAV (NZD)</t>
        </is>
      </c>
      <c r="B37">
        <f>$B$7*(1+B21)^5</f>
        <v/>
      </c>
      <c r="C37">
        <f>$B$7*(1+C21)^5</f>
        <v/>
      </c>
      <c r="D37">
        <f>$B$7*(1+D21)^5</f>
        <v/>
      </c>
    </row>
    <row r="38">
      <c r="A38" t="inlineStr">
        <is>
          <t>Year-5 Exit Price (NZD)</t>
        </is>
      </c>
      <c r="B38">
        <f>B37*(1-B22)</f>
        <v/>
      </c>
      <c r="C38">
        <f>C37*(1-C22)</f>
        <v/>
      </c>
      <c r="D38">
        <f>D37*(1-D22)</f>
        <v/>
      </c>
    </row>
    <row r="39">
      <c r="A39" t="inlineStr">
        <is>
          <t>PV of Dividends @ CoE (NZD)</t>
        </is>
      </c>
      <c r="B39">
        <f t="array" ref="B39">SUMPRODUCT(B28:F28,1/(1+B23)^{1,2,3,4,5})</f>
        <v/>
      </c>
      <c r="C39">
        <f t="array" ref="C39">SUMPRODUCT(B42:F42,1/(1+C23)^{1,2,3,4,5})</f>
        <v/>
      </c>
      <c r="D39">
        <f t="array" ref="D39">SUMPRODUCT(B44:F44,1/(1+D23)^{1,2,3,4,5})</f>
        <v/>
      </c>
    </row>
    <row r="40">
      <c r="A40" t="inlineStr">
        <is>
          <t>PV of Exit Value @ CoE (NZD)</t>
        </is>
      </c>
      <c r="B40">
        <f>B38/(1+B23)^5</f>
        <v/>
      </c>
      <c r="C40">
        <f>C38/(1+C23)^5</f>
        <v/>
      </c>
      <c r="D40">
        <f>D38/(1+D23)^5</f>
        <v/>
      </c>
    </row>
    <row r="41">
      <c r="A41" t="inlineStr">
        <is>
          <t>Bull dividend stream (helper)</t>
        </is>
      </c>
      <c r="B41">
        <f>$B$7*(1+C21)</f>
        <v/>
      </c>
      <c r="C41">
        <f>B41*(1+C21)</f>
        <v/>
      </c>
      <c r="D41">
        <f>C41*(1+C21)</f>
        <v/>
      </c>
      <c r="E41">
        <f>D41*(1+C21)</f>
        <v/>
      </c>
      <c r="F41">
        <f>E41*(1+C21)</f>
        <v/>
      </c>
    </row>
    <row r="42">
      <c r="A42" t="inlineStr">
        <is>
          <t>Bull NAV path (helper)</t>
        </is>
      </c>
      <c r="B42">
        <f>($B$7+B41)/2*$C$20</f>
        <v/>
      </c>
      <c r="C42">
        <f>(B41+C41)/2*$C$20</f>
        <v/>
      </c>
      <c r="D42">
        <f>(C41+D41)/2*$C$20</f>
        <v/>
      </c>
      <c r="E42">
        <f>(D41+E41)/2*$C$20</f>
        <v/>
      </c>
      <c r="F42">
        <f>(E41+F41)/2*$C$20</f>
        <v/>
      </c>
    </row>
    <row r="43">
      <c r="A43" t="inlineStr">
        <is>
          <t>Bear NAV path (helper)</t>
        </is>
      </c>
      <c r="B43">
        <f>$B$7*(1+D21)</f>
        <v/>
      </c>
      <c r="C43">
        <f>B43*(1+D21)</f>
        <v/>
      </c>
      <c r="D43">
        <f>C43*(1+D21)</f>
        <v/>
      </c>
      <c r="E43">
        <f>D43*(1+D21)</f>
        <v/>
      </c>
      <c r="F43">
        <f>E43*(1+D21)</f>
        <v/>
      </c>
    </row>
    <row r="44">
      <c r="A44" t="inlineStr">
        <is>
          <t>Bear dividend stream (helper)</t>
        </is>
      </c>
      <c r="B44">
        <f>($B$7+B43)/2*$D$20</f>
        <v/>
      </c>
      <c r="C44">
        <f>(B43+C43)/2*$D$20</f>
        <v/>
      </c>
      <c r="D44">
        <f>(C43+D43)/2*$D$20</f>
        <v/>
      </c>
      <c r="E44">
        <f>(D43+E43)/2*$D$20</f>
        <v/>
      </c>
      <c r="F44">
        <f>(E43+F43)/2*$D$20</f>
        <v/>
      </c>
    </row>
    <row r="46">
      <c r="A46" t="inlineStr">
        <is>
          <t>Fair Value, 5yr IRR build (NZD)</t>
        </is>
      </c>
      <c r="B46">
        <f>B39+B40</f>
        <v/>
      </c>
      <c r="C46">
        <f>C39+C40</f>
        <v/>
      </c>
      <c r="D46">
        <f>D39+D40</f>
        <v/>
      </c>
    </row>
    <row r="48">
      <c r="A48" s="1" t="inlineStr">
        <is>
          <t>ENTRY PRICE (15% IRR Target, Base Case)</t>
        </is>
      </c>
    </row>
    <row r="49">
      <c r="A49" t="inlineStr">
        <is>
          <t>Hurdle Rate</t>
        </is>
      </c>
      <c r="B49" s="2" t="n">
        <v>0.15</v>
      </c>
    </row>
    <row r="50">
      <c r="A50" t="inlineStr">
        <is>
          <t>PV of Dividends @ 15% (NZD)</t>
        </is>
      </c>
      <c r="B50">
        <f t="array" ref="B50">SUMPRODUCT(B28:F28,1/(1+$B$49)^{1,2,3,4,5})</f>
        <v/>
      </c>
    </row>
    <row r="51">
      <c r="A51" t="inlineStr">
        <is>
          <t>PV of Exit Value @ 15% (NZD)</t>
        </is>
      </c>
      <c r="B51">
        <f>B38/(1+$B$49)^5</f>
        <v/>
      </c>
    </row>
    <row r="52">
      <c r="A52" t="inlineStr">
        <is>
          <t>Entry Price (NZD)</t>
        </is>
      </c>
      <c r="B52" s="3">
        <f>B50+B51</f>
        <v/>
      </c>
    </row>
    <row r="53">
      <c r="A53" t="inlineStr">
        <is>
          <t>Discount to Current Price</t>
        </is>
      </c>
      <c r="B53">
        <f>B52/$B$6-1</f>
        <v/>
      </c>
    </row>
    <row r="55">
      <c r="A55" t="inlineStr">
        <is>
          <t>NOTE: A 15% IRR hurdle implies buying at a much deeper discount to NAV than</t>
        </is>
      </c>
    </row>
    <row r="56">
      <c r="A56" t="inlineStr">
        <is>
          <t>BRM has historically traded at, given FY2026's severe underperformance.</t>
        </is>
      </c>
    </row>
    <row r="57">
      <c r="A57" t="inlineStr">
        <is>
          <t>Judge this ticker on total return vs its ~10% cost of equity instead.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5" customWidth="1" min="1" max="1"/>
    <col width="16" customWidth="1" min="2" max="2"/>
    <col width="16" customWidth="1" min="3" max="3"/>
    <col width="16" customWidth="1" min="4" max="4"/>
    <col width="16" customWidth="1" min="5" max="5"/>
    <col width="16" customWidth="1" min="6" max="6"/>
  </cols>
  <sheetData>
    <row r="1">
      <c r="A1" s="1" t="inlineStr">
        <is>
          <t>Sensitivity Analysis — Fair Value (NZD)</t>
        </is>
      </c>
    </row>
    <row r="2">
      <c r="A2" t="inlineStr">
        <is>
          <t>5yr IRR-build fair value at base-case 10.0% cost of equity</t>
        </is>
      </c>
    </row>
    <row r="3">
      <c r="A3" t="inlineStr">
        <is>
          <t>Discount \ Return</t>
        </is>
      </c>
      <c r="B3" t="n">
        <v>0.01</v>
      </c>
      <c r="C3" t="n">
        <v>0.03</v>
      </c>
      <c r="D3" t="n">
        <v>0.055</v>
      </c>
      <c r="E3" t="n">
        <v>0.075</v>
      </c>
      <c r="F3" t="n">
        <v>0.095</v>
      </c>
    </row>
    <row r="4">
      <c r="A4" t="n">
        <v>0.2</v>
      </c>
      <c r="B4" t="n">
        <v>0.3214</v>
      </c>
      <c r="C4" t="n">
        <v>0.3485</v>
      </c>
      <c r="D4" t="n">
        <v>0.3855</v>
      </c>
      <c r="E4" t="n">
        <v>0.4176</v>
      </c>
      <c r="F4" t="n">
        <v>0.4521</v>
      </c>
    </row>
    <row r="5">
      <c r="A5" t="n">
        <v>0.16</v>
      </c>
      <c r="B5" t="n">
        <v>0.3306</v>
      </c>
      <c r="C5" t="n">
        <v>0.3588</v>
      </c>
      <c r="D5" t="n">
        <v>0.3971</v>
      </c>
      <c r="E5" t="n">
        <v>0.4305</v>
      </c>
      <c r="F5" t="n">
        <v>0.4664</v>
      </c>
    </row>
    <row r="6">
      <c r="A6" t="n">
        <v>0.12</v>
      </c>
      <c r="B6" t="n">
        <v>0.3398</v>
      </c>
      <c r="C6" t="n">
        <v>0.369</v>
      </c>
      <c r="D6" t="n">
        <v>0.4088</v>
      </c>
      <c r="E6" t="n">
        <v>0.4434</v>
      </c>
      <c r="F6" t="n">
        <v>0.4806</v>
      </c>
    </row>
    <row r="7">
      <c r="A7" t="n">
        <v>0.08</v>
      </c>
      <c r="B7" t="n">
        <v>0.349</v>
      </c>
      <c r="C7" t="n">
        <v>0.3792</v>
      </c>
      <c r="D7" t="n">
        <v>0.4204</v>
      </c>
      <c r="E7" t="n">
        <v>0.4563</v>
      </c>
      <c r="F7" t="n">
        <v>0.4949</v>
      </c>
    </row>
    <row r="8">
      <c r="A8" t="n">
        <v>0.04</v>
      </c>
      <c r="B8" t="n">
        <v>0.3582</v>
      </c>
      <c r="C8" t="n">
        <v>0.3895</v>
      </c>
      <c r="D8" t="n">
        <v>0.4321</v>
      </c>
      <c r="E8" t="n">
        <v>0.4692</v>
      </c>
      <c r="F8" t="n">
        <v>0.5091</v>
      </c>
    </row>
    <row r="10">
      <c r="A10" t="inlineStr">
        <is>
          <t>Values are the 5-year IRR-build fair value in NZD, not the headline current-NAV</t>
        </is>
      </c>
    </row>
    <row r="11">
      <c r="A11" t="inlineStr">
        <is>
          <t>intrinsic value — they capture NAV compounding (or decay) over the horizon.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5" customWidth="1" min="1" max="1"/>
    <col width="16" customWidth="1" min="2" max="2"/>
    <col width="16" customWidth="1" min="3" max="3"/>
    <col width="16" customWidth="1" min="4" max="4"/>
    <col width="16" customWidth="1" min="5" max="5"/>
    <col width="16" customWidth="1" min="6" max="6"/>
  </cols>
  <sheetData>
    <row r="1">
      <c r="A1" s="1" t="inlineStr">
        <is>
          <t>Historical NAV, Price &amp; Discount</t>
        </is>
      </c>
    </row>
    <row r="2">
      <c r="A2" s="1" t="inlineStr">
        <is>
          <t>Fiscal Year</t>
        </is>
      </c>
      <c r="B2" s="1" t="inlineStr">
        <is>
          <t>NAV/share (NZD)</t>
        </is>
      </c>
      <c r="C2" s="1" t="inlineStr">
        <is>
          <t>Share Price (NZD)</t>
        </is>
      </c>
      <c r="D2" s="1" t="inlineStr">
        <is>
          <t>Discount to NAV %</t>
        </is>
      </c>
      <c r="E2" s="1" t="inlineStr">
        <is>
          <t>Adjusted NAV Return %</t>
        </is>
      </c>
      <c r="F2" s="1" t="inlineStr">
        <is>
          <t>Benchmark Return %</t>
        </is>
      </c>
    </row>
    <row r="3">
      <c r="A3" t="inlineStr">
        <is>
          <t>FY2018</t>
        </is>
      </c>
      <c r="B3" t="n">
        <v>0.7074</v>
      </c>
    </row>
    <row r="4">
      <c r="A4" t="inlineStr">
        <is>
          <t>FY2019</t>
        </is>
      </c>
      <c r="B4" t="n">
        <v>0.6875</v>
      </c>
    </row>
    <row r="5">
      <c r="A5" t="inlineStr">
        <is>
          <t>FY2020</t>
        </is>
      </c>
      <c r="B5" t="n">
        <v>0.678</v>
      </c>
    </row>
    <row r="6">
      <c r="A6" t="inlineStr">
        <is>
          <t>FY2021</t>
        </is>
      </c>
      <c r="B6" t="n">
        <v>0.8687</v>
      </c>
    </row>
    <row r="7">
      <c r="A7" t="inlineStr">
        <is>
          <t>FY2022</t>
        </is>
      </c>
      <c r="B7" t="n">
        <v>0.6358</v>
      </c>
    </row>
    <row r="8">
      <c r="A8" t="inlineStr">
        <is>
          <t>FY2023</t>
        </is>
      </c>
      <c r="B8" t="n">
        <v>0.722</v>
      </c>
    </row>
    <row r="9">
      <c r="A9" t="inlineStr">
        <is>
          <t>FY2024</t>
        </is>
      </c>
      <c r="B9" t="n">
        <v>0.7619</v>
      </c>
    </row>
    <row r="10">
      <c r="A10" t="inlineStr">
        <is>
          <t>FY2025</t>
        </is>
      </c>
      <c r="B10" t="n">
        <v>0.7063</v>
      </c>
      <c r="E10" t="n">
        <v>0.039</v>
      </c>
      <c r="F10" t="n">
        <v>0.135</v>
      </c>
    </row>
    <row r="11">
      <c r="A11" t="inlineStr">
        <is>
          <t>H1 FY2026</t>
        </is>
      </c>
      <c r="B11" t="n">
        <v>0.6328</v>
      </c>
      <c r="E11" t="n">
        <v>-0.066</v>
      </c>
      <c r="F11" t="n">
        <v>0.056</v>
      </c>
    </row>
    <row r="12">
      <c r="A12" t="inlineStr">
        <is>
          <t>FY2026</t>
        </is>
      </c>
      <c r="E12" t="n">
        <v>-0.182</v>
      </c>
      <c r="F12" t="n">
        <v>0.092</v>
      </c>
    </row>
    <row r="14">
      <c r="A14" t="inlineStr">
        <is>
          <t>Current NAV (Sept-2026, avg of two weekly prints):</t>
        </is>
      </c>
      <c r="B14" t="n">
        <v>0.5325</v>
      </c>
    </row>
    <row r="15">
      <c r="A15" t="inlineStr">
        <is>
          <t>Current Discount (approx, 25-Sep-2026):</t>
        </is>
      </c>
      <c r="B15">
        <f>0.45/0.5325-1</f>
        <v/>
      </c>
    </row>
    <row r="16">
      <c r="A16" t="inlineStr">
        <is>
          <t>Discount range through Sept-2026 (per Analysis JSON):</t>
        </is>
      </c>
      <c r="B16" t="inlineStr">
        <is>
          <t>16% to 21%</t>
        </is>
      </c>
    </row>
    <row r="17">
      <c r="A17" t="inlineStr">
        <is>
          <t>Data as of 2026-09-25. FY2018-FY2025/H1FY2026 NAV from core_metrics (corrected series); FY2026 full-year adjusted NAV return and benchmark from Analysis JSON (FY2026 annual report not yet extracted into this research folder).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5" customWidth="1" min="1" max="1"/>
    <col width="16" customWidth="1" min="2" max="2"/>
    <col width="16" customWidth="1" min="3" max="3"/>
    <col width="16" customWidth="1" min="4" max="4"/>
    <col width="16" customWidth="1" min="5" max="5"/>
    <col width="16" customWidth="1" min="6" max="6"/>
  </cols>
  <sheetData>
    <row r="1">
      <c r="A1" s="1" t="inlineStr">
        <is>
          <t>Model Provenance &amp; Methodology</t>
        </is>
      </c>
    </row>
    <row r="2">
      <c r="A2" t="inlineStr">
        <is>
          <t>Ticker</t>
        </is>
      </c>
      <c r="B2" t="inlineStr">
        <is>
          <t>BRM.NZ (NZX Main Board, single listing)</t>
        </is>
      </c>
    </row>
    <row r="3">
      <c r="A3" t="inlineStr">
        <is>
          <t>Company</t>
        </is>
      </c>
      <c r="B3" t="inlineStr">
        <is>
          <t>Barramundi Limited</t>
        </is>
      </c>
    </row>
    <row r="4">
      <c r="A4" t="inlineStr">
        <is>
          <t>Model type</t>
        </is>
      </c>
      <c r="B4" t="inlineStr">
        <is>
          <t>NAV-compounding + exit-discount model — NOT an FCF/WACC DCF. Barramundi is an externally-managed (Fisher Funds), closed-end investment company with no debt, no SBC, no capex/working-capital cycle. See valuation_philosophy in the JSON.</t>
        </is>
      </c>
    </row>
    <row r="5">
      <c r="A5" t="inlineStr">
        <is>
          <t>Built by</t>
        </is>
      </c>
      <c r="B5" t="inlineStr">
        <is>
          <t>dcf-analyst agent, following the AFI.NZ / MLN.NZ / BIT.NZ NAV-compounding schema convention used across LIC tickers in this research folder.</t>
        </is>
      </c>
    </row>
    <row r="6">
      <c r="A6" t="inlineStr">
        <is>
          <t>Data vintage</t>
        </is>
      </c>
      <c r="B6" t="inlineStr">
        <is>
          <t>NAV $0.5325/share as at Sept-2026 (average of two weekly disclosed prints: $0.5301 16-Sep-2026 and $0.5348 23-Sep-2026, per BRM.NZ_Analysis.json). Share price NZD $0.45 as at 2026-09-25T04:33:51Z (live Yahoo regularMarketPrice, regular NZX close). Shares outstanding 345,956,908 as at 31-Dec-2025 (H1 FY2026 interim report, most recent disclosed count).</t>
        </is>
      </c>
    </row>
    <row r="7">
      <c r="A7" t="inlineStr">
        <is>
          <t>Key methodology choices</t>
        </is>
      </c>
      <c r="B7" t="inlineStr">
        <is>
          <t>(1) BRM's 2%-of-average-NAV-per-quarter (~8%/yr) distribution policy is modelled explicitly on an average-NAV basis (matching sister fund MLN.NZ's convention) — it is the primary total-return delivery mechanism, and NAV per share was essentially flat over the seven years to FY2025 (-0.02%/yr CAGR) before FY2026's severe -18.2% adjusted NAV return broke sharply below that trend. Implied NAV growth in every scenario = total return less the 8% payout, negative in all three scenarios given BRM's currently depressed total-return outlook. (2) Exit discount scenarios are anchored to BRM's own currently observed extreme range (16-21% through Sept-2026, against a 6% Board buyback trigger): bull=6% (par with the trigger threshold, i.e. a meaningful but not complete normalisation), base=12% (partial normalisation), bear=20% (further widening beyond the current extreme, consistent with the warrant tranche's near-total lapse signalling weak investor appetite). (3) Cost of equity ~9.5-11%, appropriate for a small, illiquid, single-country LIC under active governance stress, modestly higher than MLN.NZ's global-equity 9-10.5% range. (4) Entry price uses the corrected formula (post 2026-07-21 fix): PV of interim dividends + PV of year-5 exit value, both at the 15% hurdle, not terminal value alone. (5) Probability weights are bear-tilted (20/50/30 vs the house 25/50/25 LIC default) given the now-confirmed, five-consecutive-quarter severity of underperformance and the absence yet of any confirmed turnaround evidence.</t>
        </is>
      </c>
    </row>
    <row r="8">
      <c r="A8" t="inlineStr">
        <is>
          <t>FY2026 annual result</t>
        </is>
      </c>
      <c r="B8" t="inlineStr">
        <is>
          <t>Year to 30-Jun-2026: net loss after tax $42.9m (loss on investments $46.0m against $6.6m dividend/interest/other income, less $3.5m expenses/fees/tax); adjusted NAV return -18.2% (gross -17.0%) vs benchmark +9.2% — one of the worst relative years in the fund's history, following FY2025 (+3.9% vs +13.5%) and H1 FY2026 (-6.6% vs +5.6%). Sourced from the qualitative Analysis JSON (company announcement, 24-Aug-2026); no FY2026 annual report PDF has yet been extracted into this research folder, so this figure is not yet line-referenced to a filing extract the way the FY2018-FY2025 series is.</t>
        </is>
      </c>
    </row>
    <row r="9">
      <c r="A9" t="inlineStr">
        <is>
          <t>Warrant tranche outcome</t>
        </is>
      </c>
      <c r="B9" t="inlineStr">
        <is>
          <t>85,179,108 BRMWI warrants (1-for-4, issued Aug-2025, final strike cut $0.70 -&gt; $0.65) expired 7-Aug-2026 with only 83,274 exercised (0.1%) — almost the entire tranche lapsed as the share price/NAV remained well below even the reduced strike. Treated as direct market evidence of weak investor appetite near current NAV levels in the scenario narratives, not modelled as mechanical dilution since it did not occur.</t>
        </is>
      </c>
    </row>
    <row r="10">
      <c r="A10" t="inlineStr">
        <is>
          <t>Corrected data note</t>
        </is>
      </c>
      <c r="B10" t="inlineStr">
        <is>
          <t>This model was built after EPS, DPS and shares-outstanding scale corrections were applied to BRM.NZ_Metrics.csv/core_metrics (EPS/DPS had been stored in cents; shares outstanding had been stored as a raw count on a millions-denominated row). No historical per-share driver from the prior (2026-08-09) BRM.NZ_DCF.json was carried forward without re-deriving it from the corrected series — see the JSON's reconciliation block.</t>
        </is>
      </c>
    </row>
    <row r="11">
      <c r="A11" t="inlineStr">
        <is>
          <t>What to refresh after next report</t>
        </is>
      </c>
      <c r="B11" t="inlineStr">
        <is>
          <t>FY2026 Annual Report (year to 30-Jun-2026) once extracted into this research folder: line-reference the $42.9m net loss and -18.2% adjusted NAV return figures currently sourced only from the qualitative Analysis JSON; update NAV/share, shares outstanding (post any FY2026 buybacks/DRP), management/performance fee actually charged, and check for any evidence the Board's 'extensive engagement' with Fisher Funds has produced a demonstrated performance change. Also refresh the live share price and current NAV print at each re-run.</t>
        </is>
      </c>
    </row>
    <row r="12">
      <c r="A12" t="inlineStr">
        <is>
          <t>Cell colour conventions</t>
        </is>
      </c>
      <c r="B12" t="inlineStr">
        <is>
          <t>Gray-shaded cells = editable inputs. White cells with borders = formulas (do not hand-edit). Green cell = headline entry-price result. Small italic gray rows (41-44) are helper calculation paths for bull/bear dividend streams, not primary inputs.</t>
        </is>
      </c>
    </row>
    <row r="13">
      <c r="A13" t="inlineStr">
        <is>
          <t>Staleness warning</t>
        </is>
      </c>
      <c r="B13" t="inlineStr">
        <is>
          <t>All figures in this workbook were current as of 2026-09-25 and WILL go stale — NAV, discount, dividend yield, and share price all move continuously for a listed investment company, and BRM.NZ specifically has shown a rapidly widening discount (11-13% in July 2026 to 16-21% by September 2026) within weeks. Re-verify before relying on any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2026-09-25T10:45:06Z</dcterms:created>
  <dcterms:modified xsi:type="dcterms:W3CDTF">2026-09-25T10:45:06Z</dcterms:modified>
</cp:coreProperties>
</file>