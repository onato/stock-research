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<sst xmlns="http://schemas.openxmlformats.org/spreadsheetml/2006/main" count="356" uniqueCount="164">
  <si>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</si>
  <si>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1044.HK</t>
  </si>
  <si>
    <t xml:space="preserve">Company</t>
  </si>
  <si>
    <t xml:space="preserve">Hengan International Group Company Limited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</si>
  <si>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</si>
  <si>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</si>
  <si>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</si>
  <si>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</si>
  <si>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2026-10-09T08:08:06Z (HKEX regular close, Friday 9 Oct 2026; 52-week range 19.18-29.96)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</si>
  <si>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</si>
  <si>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</si>
  <si>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</si>
  <si>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</si>
  <si>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</si>
  <si>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</si>
  <si>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</si>
  <si>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</si>
  <si>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</si>
  <si>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</si>
  <si>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</si>
  <si>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</si>
  <si>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</si>
  <si>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2026-10-11T14:15:54Z</t>
  </si>
  <si>
    <t xml:space="preserve">Drivers file</t>
  </si>
  <si>
    <t xml:space="preserve">1044.HK_Drivers.json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</si>
  <si>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</si>
  <si>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</si>
  <si>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</si>
  <si>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Hengan as a flat-to-slowly-shrinking consumer-staples annuity: owner FCF built from a 16% owner EBITDA margin that excludes the treasury income (deposit interest, derivative gains) whose source asset is credited once as net cash; no margin re-expansion toward the FY2019-21 levels; 9% CNY cost of equity with the China/hygiene-share-loss risk carried in a 30% bear weight rather than stacked onto the discount rate; terminal value capped at 15x FCF. The gap between the model and the price is the market's discount for Chinese consumer exposure, the gross-debt carry trade and the question of whether the RMB1.40 dividend survives.
key_risks_to_valuation: Hygiene (sanitary napkin) share loss accelerates: it is the highest-margin segment and its segment profit fell 12.6% in FY2025 and its external revenue 2.8% in H1 FY2026.; Tissue price war / private label keeps the largest segment (60% of revenue) at low-20s gross margin; FY2025's recovery in tissue segment profit (RMB265m -&gt; 652m) may not hold.; Pulp and petrochemical input costs: a spike (Middle East oil, import pulp) reverses the +3pp H1 FY2026 gross-margin gain; FY2022 shows the sensitivity (EBITDA margin fell ~10pp).; Dividend sustainability: RMB1.6bn/yr exceeded FY2024 owner FCF and is only 1.4x covered in the base case; a cut would likely de-rate the stock even if intrinsic value is unaffected.; Treasury carry trade: RMB21.4bn of gross borrowings (RMB5bn of 180-day CP) against RMB27.8bn of deposits and FX derivatives; a funding-market or RMB shock could strand the structure even though net cash is RMB6.4bn.; Government grants (RMB190-465m/yr) are inside the EBITDA base; their discontinuation is ~0.8-2pp of margin.; Currency: value is in CNY and quoted in HKD; a 5% CNY depreciation moves the HKD value 5% before any operating change.</t>
  </si>
  <si>
    <t xml:space="preserve">Data sources</t>
  </si>
  <si>
    <t xml:space="preserve">price: Yahoo Finance chart API at inputs.price_as_of (HKEX regular close); 52-week range 19.18-29.96 HKD. FX CNYHKD=X from the same API at 2026-10-11.
financials: research/1044.HK/Reports/1044.HK_Metrics.csv (FY2017-FY2025 annual, H1 FY2023-H1 FY2026 interim, RMB millions); Interim Report 2026 (1044.HK_HalfYear_H1-2026.txt) for the 30 June 2026 balance sheet, segment table, other-income note and liquidity paragraph; Annual Report 2025 (1044.HK_Annual_FY2025.txt) income statement lines 5464-5500, OCF reconciliation 5836-5860, segment table 7828-7835, other income note 6 at 8110-8142.
qualitative: No Analysis.json existed at build time; business and outlook judgments are drawn from the CEO's Report / Outlook sections of the Annual Report 2025 (lines 785-800, 1798-1857) and the Interim Report 2026 MD&amp;A (lines 2940-2970, 3412-3461, 3873-3930).</t>
  </si>
  <si>
    <t xml:space="preserve">Scenario narrative: bear</t>
  </si>
  <si>
    <t xml:space="preserve">The decline is structural: sanitary napkin share keeps leaking to new domestic brands, tissue remains a commodity price war, a pulp/oil spike undoes the H1 FY2026 margin gain, and promotional spend rises to defend shelf. Revenue compounds negative to ~RMB19.7bn by FY2030 and owner EBITDA settles at 13%. Owner FCF (~RMB1.5bn) falls below the RMB1.6bn dividend, forcing a cut or a run-down of the net cash; the treasury carry trade (RMB21bn gross borrowings against RMB28bn deposits) becomes a governance question rather than a yield enhancer.</t>
  </si>
  <si>
    <t xml:space="preserve">Scenario narrative: base</t>
  </si>
  <si>
    <t xml:space="preserve">Hengan is a mature, cash-generative Chinese hygiene and tissue franchise whose revenue has been flat for six years and whose core margin has halved since FY2020. The base case takes the H1 FY2026 top-line decline (-6.1%) as mostly cyclical (weak consumption, destocking, hygiene share loss slowing), lets FY2026 finish -4.5% and FY2027 flat, then grows 1-2% on price/mix. The owner EBITDA margin holds at 16% (FY2025 15.7%, H1 FY2026 17.0%): pulp stays benign and premium mix offsets tissue competition. Capex runs at maintenance (~4.4%) and owner FCF of ~RMB2.2-2.4bn/yr covers the RMB1.6bn dividend 1.4x. Value is the flows plus RMB6.4bn of net cash; the market price capitalises the operating business at ~5.6x owner FCF.</t>
  </si>
  <si>
    <t xml:space="preserve">Scenario narrative: bull</t>
  </si>
  <si>
    <t xml:space="preserve">Premiumisation works: the Q-MO / Tianshan Cotton / Fluffy Cube series and the new oriental-cotton napkins lift mix, tissue consolidation and domestic pulp supply keep gross margin at or above 35%, consumption-promotion policy and rural omni-channel penetration return the group to 3-3.5% growth from FY2028, and owner EBITDA reaches 18.5%. Dividend cover rises toward 1.8x and the balance-sheet cash becomes surplus to be returned.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</si>
  <si>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</si>
  <si>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</si>
  <si>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</si>
  <si>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</si>
  <si>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</si>
  <si>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</si>
  <si>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</si>
  <si>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</si>
  <si>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</si>
  <si>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</si>
  <si>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</si>
  <si>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</si>
  <si>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</si>
  <si>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</si>
  <si>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</si>
  <si>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</si>
  <si>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</si>
  <si>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</si>
  <si>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</si>
  <si>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</si>
  <si>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</si>
  <si>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</si>
  <si>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</si>
  <si>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</si>
  <si>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</si>
  <si>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</si>
  <si>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</si>
  <si>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</si>
  <si>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</si>
  <si>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</si>
  <si>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</si>
  <si>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</si>
  <si>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</si>
  <si>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</si>
  <si>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</si>
  <si>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</si>
  <si>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</si>
  <si>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</si>
  <si>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</si>
  <si>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</si>
  <si>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</si>
  <si>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</si>
  <si>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</si>
  <si>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</si>
  <si>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</si>
  <si>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</si>
  <si>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</si>
  <si>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</si>
  <si>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</si>
  <si>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</si>
  <si>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</si>
  <si>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</si>
  <si>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</si>
  <si>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</si>
  <si>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</si>
  <si>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</si>
  <si>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</si>
  <si>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</si>
  <si>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</si>
  <si>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</si>
  <si>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</si>
  <si>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</si>
  <si>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</si>
  <si>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</si>
  <si>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</si>
  <si>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</si>
  <si>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</si>
  <si>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</si>
  <si>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</si>
  <si>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</si>
  <si>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</si>
  <si>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</si>
  <si>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</si>
  <si>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1044.HK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</si>
  <si>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</si>
  <si>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</si>
  <si>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</si>
  <si>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</si>
  <si>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</si>
  <si>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</si>
  <si>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</si>
  <si>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</si>
  <si>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</si>
  <si>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</si>
  <si>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</si>
  <si>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</si>
  <si>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</si>
  <si>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</si>
  <si>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</si>
  <si>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</si>
  <si>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</si>
  <si>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</si>
  <si>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</si>
  <si>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</si>
  <si>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</si>
  <si>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</si>
  <si>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</si>
  <si>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</si>
  <si>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</si>
  <si>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</si>
  <si>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</si>
  <si>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</si>
  <si>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</si>
  <si>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</si>
  <si>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1044.HK owner-FCF component DCF: base case (millions, CNY)</t>
  </si>
  <si>
    <t xml:space="preserve">1044.HK owner-FCF component DCF: bull case (millions, CNY)</t>
  </si>
  <si>
    <t xml:space="preserve">1044.HK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</si>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</sst>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19.55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18079.56</v>
      </c>
      <c r="C2" s="0" t="n">
        <v>10525.679</v>
      </c>
      <c r="D2" s="0" t="n">
        <v>7553.881</v>
      </c>
      <c r="E2" s="0" t="n">
        <v>41.8</v>
      </c>
      <c r="F2" s="0" t="n">
        <v>5271.574</v>
      </c>
      <c r="G2" s="0" t="n">
        <v>29.2</v>
      </c>
      <c r="I2" s="0" t="n">
        <v>3794.041</v>
      </c>
      <c r="J2" s="0" t="n">
        <v>21</v>
      </c>
      <c r="K2" s="0" t="n">
        <v>3.149</v>
      </c>
      <c r="L2" s="0" t="n">
        <v>4026.237</v>
      </c>
      <c r="M2" s="0" t="n">
        <v>888.776</v>
      </c>
      <c r="N2" s="0" t="n">
        <v>3137.461</v>
      </c>
      <c r="O2" s="0" t="n">
        <v>16106.418</v>
      </c>
      <c r="P2" s="0" t="n">
        <v>38898.04</v>
      </c>
      <c r="Q2" s="0" t="n">
        <v>22553.739</v>
      </c>
      <c r="R2" s="0" t="n">
        <v>19078.155</v>
      </c>
      <c r="S2" s="0" t="n">
        <v>18429.716</v>
      </c>
      <c r="T2" s="0" t="n">
        <v>1204.8</v>
      </c>
      <c r="U2" s="0" t="n">
        <v>37.843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20513.881</v>
      </c>
      <c r="C3" s="0" t="n">
        <v>12678.128</v>
      </c>
      <c r="D3" s="0" t="n">
        <v>7835.753</v>
      </c>
      <c r="E3" s="0" t="n">
        <v>38.2</v>
      </c>
      <c r="F3" s="0" t="n">
        <v>5429.224</v>
      </c>
      <c r="G3" s="0" t="n">
        <v>26.5</v>
      </c>
      <c r="H3" s="0" t="n">
        <v>6198.317</v>
      </c>
      <c r="I3" s="0" t="n">
        <v>3799.805</v>
      </c>
      <c r="J3" s="0" t="n">
        <v>18.5</v>
      </c>
      <c r="K3" s="0" t="n">
        <v>3.151</v>
      </c>
      <c r="L3" s="0" t="n">
        <v>3961.901</v>
      </c>
      <c r="M3" s="0" t="n">
        <v>701.354</v>
      </c>
      <c r="N3" s="0" t="n">
        <v>3260.547</v>
      </c>
      <c r="O3" s="0" t="n">
        <v>16725.16</v>
      </c>
      <c r="P3" s="0" t="n">
        <v>45652.152</v>
      </c>
      <c r="Q3" s="0" t="n">
        <v>28653.473</v>
      </c>
      <c r="R3" s="0" t="n">
        <v>24262.364</v>
      </c>
      <c r="S3" s="0" t="n">
        <v>21576.83</v>
      </c>
      <c r="T3" s="0" t="n">
        <v>1205.9</v>
      </c>
      <c r="U3" s="0" t="n">
        <v>26.683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22492.845</v>
      </c>
      <c r="C4" s="0" t="n">
        <v>13803.888</v>
      </c>
      <c r="D4" s="0" t="n">
        <v>8688.957</v>
      </c>
      <c r="E4" s="0" t="n">
        <v>38.6</v>
      </c>
      <c r="F4" s="0" t="n">
        <v>5680.296</v>
      </c>
      <c r="G4" s="0" t="n">
        <v>25.3</v>
      </c>
      <c r="H4" s="0" t="n">
        <v>6496.43</v>
      </c>
      <c r="I4" s="0" t="n">
        <v>3907.723</v>
      </c>
      <c r="J4" s="0" t="n">
        <v>17.4</v>
      </c>
      <c r="K4" s="0" t="n">
        <v>3.285</v>
      </c>
      <c r="L4" s="0" t="n">
        <v>3415.858</v>
      </c>
      <c r="M4" s="0" t="n">
        <v>898.14</v>
      </c>
      <c r="N4" s="0" t="n">
        <v>2517.718</v>
      </c>
      <c r="O4" s="0" t="n">
        <v>17872.941</v>
      </c>
      <c r="P4" s="0" t="n">
        <v>43238.775</v>
      </c>
      <c r="Q4" s="0" t="n">
        <v>25086.897</v>
      </c>
      <c r="R4" s="0" t="n">
        <v>21608.441</v>
      </c>
      <c r="S4" s="0" t="n">
        <v>20540.27</v>
      </c>
      <c r="T4" s="0" t="n">
        <v>1189.6</v>
      </c>
      <c r="U4" s="0" t="n">
        <v>11.606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22374.001</v>
      </c>
      <c r="C5" s="0" t="n">
        <v>12918.146</v>
      </c>
      <c r="D5" s="0" t="n">
        <v>9455.855</v>
      </c>
      <c r="E5" s="0" t="n">
        <v>42.3</v>
      </c>
      <c r="F5" s="0" t="n">
        <v>6392.388</v>
      </c>
      <c r="G5" s="0" t="n">
        <v>28.6</v>
      </c>
      <c r="H5" s="0" t="n">
        <v>7229.69</v>
      </c>
      <c r="I5" s="0" t="n">
        <v>4594.815</v>
      </c>
      <c r="J5" s="0" t="n">
        <v>20.5</v>
      </c>
      <c r="K5" s="0" t="n">
        <v>3.864</v>
      </c>
      <c r="L5" s="0" t="n">
        <v>5041.666</v>
      </c>
      <c r="M5" s="0" t="n">
        <v>760.696</v>
      </c>
      <c r="N5" s="0" t="n">
        <v>4280.97</v>
      </c>
      <c r="O5" s="0" t="n">
        <v>19411.39</v>
      </c>
      <c r="P5" s="0" t="n">
        <v>44440.925</v>
      </c>
      <c r="Q5" s="0" t="n">
        <v>24779.451</v>
      </c>
      <c r="R5" s="0" t="n">
        <v>20836.3</v>
      </c>
      <c r="S5" s="0" t="n">
        <v>20483.739</v>
      </c>
      <c r="T5" s="0" t="n">
        <v>1189.1</v>
      </c>
      <c r="U5" s="0" t="n">
        <v>4.641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20790.144</v>
      </c>
      <c r="C6" s="0" t="n">
        <v>13017.826</v>
      </c>
      <c r="D6" s="0" t="n">
        <v>7772.318</v>
      </c>
      <c r="E6" s="0" t="n">
        <v>37.4</v>
      </c>
      <c r="F6" s="0" t="n">
        <v>4543.591</v>
      </c>
      <c r="G6" s="0" t="n">
        <v>21.9</v>
      </c>
      <c r="H6" s="0" t="n">
        <v>5414.492</v>
      </c>
      <c r="I6" s="0" t="n">
        <v>3273.601</v>
      </c>
      <c r="J6" s="0" t="n">
        <v>15.7</v>
      </c>
      <c r="K6" s="0" t="n">
        <v>2.786</v>
      </c>
      <c r="L6" s="0" t="n">
        <v>4603.606</v>
      </c>
      <c r="M6" s="0" t="n">
        <v>781.334</v>
      </c>
      <c r="N6" s="0" t="n">
        <v>3822.272</v>
      </c>
      <c r="O6" s="0" t="n">
        <v>19037.04</v>
      </c>
      <c r="P6" s="0" t="n">
        <v>42292.748</v>
      </c>
      <c r="Q6" s="0" t="n">
        <v>23012.298</v>
      </c>
      <c r="R6" s="0" t="n">
        <v>18227.095</v>
      </c>
      <c r="S6" s="0" t="n">
        <v>18246.687</v>
      </c>
      <c r="T6" s="0" t="n">
        <v>1175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22615.878</v>
      </c>
      <c r="C7" s="0" t="n">
        <v>14926.379</v>
      </c>
      <c r="D7" s="0" t="n">
        <v>7689.499</v>
      </c>
      <c r="E7" s="0" t="n">
        <v>34</v>
      </c>
      <c r="F7" s="0" t="n">
        <v>2869.154</v>
      </c>
      <c r="G7" s="0" t="n">
        <v>12.7</v>
      </c>
      <c r="H7" s="0" t="n">
        <v>3756.147</v>
      </c>
      <c r="I7" s="0" t="n">
        <v>1925.249</v>
      </c>
      <c r="J7" s="0" t="n">
        <v>8.5</v>
      </c>
      <c r="K7" s="0" t="n">
        <v>1.657</v>
      </c>
      <c r="L7" s="0" t="n">
        <v>3809.862</v>
      </c>
      <c r="M7" s="0" t="n">
        <v>1244.657</v>
      </c>
      <c r="N7" s="0" t="n">
        <v>2565.205</v>
      </c>
      <c r="O7" s="0" t="n">
        <v>19523.607</v>
      </c>
      <c r="P7" s="0" t="n">
        <v>42337.242</v>
      </c>
      <c r="Q7" s="0" t="n">
        <v>22561.505</v>
      </c>
      <c r="R7" s="0" t="n">
        <v>17029.952</v>
      </c>
      <c r="S7" s="0" t="n">
        <v>18667.492</v>
      </c>
      <c r="T7" s="0" t="n">
        <v>1161.9</v>
      </c>
      <c r="U7" s="0" t="n">
        <v>66.189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23767.936</v>
      </c>
      <c r="C8" s="0" t="n">
        <v>15757.248</v>
      </c>
      <c r="D8" s="0" t="n">
        <v>8010.688</v>
      </c>
      <c r="E8" s="0" t="n">
        <v>33.7</v>
      </c>
      <c r="F8" s="0" t="n">
        <v>3977.931</v>
      </c>
      <c r="G8" s="0" t="n">
        <v>16.7</v>
      </c>
      <c r="H8" s="0" t="n">
        <v>4877.751</v>
      </c>
      <c r="I8" s="0" t="n">
        <v>2800.533</v>
      </c>
      <c r="J8" s="0" t="n">
        <v>11.8</v>
      </c>
      <c r="K8" s="0" t="n">
        <v>2.415</v>
      </c>
      <c r="L8" s="0" t="n">
        <v>3875.375</v>
      </c>
      <c r="M8" s="0" t="n">
        <v>1469.761</v>
      </c>
      <c r="N8" s="0" t="n">
        <v>2405.614</v>
      </c>
      <c r="O8" s="0" t="n">
        <v>20395.84</v>
      </c>
      <c r="P8" s="0" t="n">
        <v>40215.901</v>
      </c>
      <c r="Q8" s="0" t="n">
        <v>19586.05</v>
      </c>
      <c r="R8" s="0" t="n">
        <v>14237.625</v>
      </c>
      <c r="S8" s="0" t="n">
        <v>18189.943</v>
      </c>
      <c r="T8" s="0" t="n">
        <v>1159.6</v>
      </c>
      <c r="U8" s="0" t="n">
        <v>44.996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22669.215</v>
      </c>
      <c r="C9" s="0" t="n">
        <v>15344.275</v>
      </c>
      <c r="D9" s="0" t="n">
        <v>7324.94</v>
      </c>
      <c r="E9" s="0" t="n">
        <v>32.3</v>
      </c>
      <c r="F9" s="0" t="n">
        <v>3354.591</v>
      </c>
      <c r="G9" s="0" t="n">
        <v>14.8</v>
      </c>
      <c r="H9" s="0" t="n">
        <v>4341.5</v>
      </c>
      <c r="I9" s="0" t="n">
        <v>2298.535</v>
      </c>
      <c r="J9" s="0" t="n">
        <v>10.1</v>
      </c>
      <c r="K9" s="0" t="n">
        <v>2.015</v>
      </c>
      <c r="L9" s="0" t="n">
        <v>3072.38</v>
      </c>
      <c r="M9" s="0" t="n">
        <v>1551.648</v>
      </c>
      <c r="N9" s="0" t="n">
        <v>1520.732</v>
      </c>
      <c r="O9" s="0" t="n">
        <v>20920.95</v>
      </c>
      <c r="P9" s="0" t="n">
        <v>39804.411</v>
      </c>
      <c r="Q9" s="0" t="n">
        <v>18658.83</v>
      </c>
      <c r="R9" s="0" t="n">
        <v>13089.848</v>
      </c>
      <c r="S9" s="0" t="n">
        <v>14261.723</v>
      </c>
      <c r="T9" s="0" t="n">
        <v>1140.7</v>
      </c>
      <c r="U9" s="0" t="n">
        <v>8.873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23068.869</v>
      </c>
      <c r="C10" s="0" t="n">
        <v>15262.995</v>
      </c>
      <c r="D10" s="0" t="n">
        <v>7805.874</v>
      </c>
      <c r="E10" s="0" t="n">
        <v>33.8</v>
      </c>
      <c r="F10" s="0" t="n">
        <v>3484.096</v>
      </c>
      <c r="G10" s="0" t="n">
        <v>15.1</v>
      </c>
      <c r="H10" s="0" t="n">
        <v>4535.154</v>
      </c>
      <c r="I10" s="0" t="n">
        <v>2535.047</v>
      </c>
      <c r="J10" s="0" t="n">
        <v>11</v>
      </c>
      <c r="K10" s="0" t="n">
        <v>2.227</v>
      </c>
      <c r="L10" s="0" t="n">
        <v>3241.14</v>
      </c>
      <c r="M10" s="0" t="n">
        <v>960.666</v>
      </c>
      <c r="N10" s="0" t="n">
        <v>2280.474</v>
      </c>
      <c r="O10" s="0" t="n">
        <v>21751.533</v>
      </c>
      <c r="P10" s="0" t="n">
        <v>43181.599</v>
      </c>
      <c r="Q10" s="0" t="n">
        <v>21208.776</v>
      </c>
      <c r="R10" s="0" t="n">
        <v>15734.06</v>
      </c>
      <c r="S10" s="0" t="n">
        <v>15615.635</v>
      </c>
      <c r="T10" s="0" t="n">
        <v>1138.3</v>
      </c>
      <c r="U10" s="0" t="n">
        <v>2.513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19.55</v>
      </c>
    </row>
    <row r="3" customFormat="false" ht="15" hidden="false" customHeight="false" outlineLevel="0" collapsed="false">
      <c r="A3" s="0" t="s">
        <v>76</v>
      </c>
      <c r="B3" s="3" t="n">
        <v>1135.929</v>
      </c>
    </row>
    <row r="4" customFormat="false" ht="15" hidden="false" customHeight="false" outlineLevel="0" collapsed="false">
      <c r="A4" s="0" t="s">
        <v>77</v>
      </c>
      <c r="B4" s="3" t="n">
        <v>-6413.57</v>
      </c>
    </row>
    <row r="5" customFormat="false" ht="15" hidden="false" customHeight="false" outlineLevel="0" collapsed="false">
      <c r="A5" s="0" t="s">
        <v>78</v>
      </c>
      <c r="B5" s="3" t="n">
        <v>-212.643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23068.869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1.1722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-7</v>
      </c>
      <c r="D13" s="3" t="n">
        <v>-4</v>
      </c>
      <c r="E13" s="3" t="n">
        <v>-2.5</v>
      </c>
      <c r="F13" s="3" t="n">
        <v>-1.5</v>
      </c>
      <c r="G13" s="3" t="n">
        <v>-1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97</v>
      </c>
      <c r="C14" s="3" t="n">
        <v>15.5</v>
      </c>
      <c r="D14" s="3" t="n">
        <v>14.5</v>
      </c>
      <c r="E14" s="3" t="n">
        <v>13.5</v>
      </c>
      <c r="F14" s="3" t="n">
        <v>13</v>
      </c>
      <c r="G14" s="3" t="n">
        <v>13</v>
      </c>
      <c r="H14" s="3" t="n">
        <v>13</v>
      </c>
      <c r="I14" s="3" t="n">
        <v>13</v>
      </c>
      <c r="J14" s="3" t="n">
        <v>13</v>
      </c>
      <c r="K14" s="3" t="n">
        <v>13</v>
      </c>
      <c r="L14" s="3" t="n">
        <v>13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4.6</v>
      </c>
      <c r="D17" s="3" t="n">
        <v>4.7</v>
      </c>
      <c r="E17" s="3" t="n">
        <v>4.7</v>
      </c>
      <c r="F17" s="3" t="n">
        <v>4.7</v>
      </c>
      <c r="G17" s="3" t="n">
        <v>4.7</v>
      </c>
      <c r="H17" s="3" t="n">
        <v>4.7</v>
      </c>
      <c r="I17" s="3" t="n">
        <v>4.7</v>
      </c>
      <c r="J17" s="3" t="n">
        <v>4.7</v>
      </c>
      <c r="K17" s="3" t="n">
        <v>4.7</v>
      </c>
      <c r="L17" s="3" t="n">
        <v>4.7</v>
      </c>
    </row>
    <row r="18" customFormat="false" ht="15" hidden="false" customHeight="false" outlineLevel="0" collapsed="false">
      <c r="A18" s="0" t="s">
        <v>101</v>
      </c>
      <c r="C18" s="3" t="n">
        <v>4.2</v>
      </c>
      <c r="D18" s="3" t="n">
        <v>4.2</v>
      </c>
      <c r="E18" s="3" t="n">
        <v>4.2</v>
      </c>
      <c r="F18" s="3" t="n">
        <v>4.2</v>
      </c>
      <c r="G18" s="3" t="n">
        <v>4.2</v>
      </c>
      <c r="H18" s="3" t="n">
        <v>4.2</v>
      </c>
      <c r="I18" s="3" t="n">
        <v>4.2</v>
      </c>
      <c r="J18" s="3" t="n">
        <v>4.2</v>
      </c>
      <c r="K18" s="3" t="n">
        <v>4.2</v>
      </c>
      <c r="L18" s="3" t="n">
        <v>4.2</v>
      </c>
    </row>
    <row r="19" customFormat="false" ht="15" hidden="false" customHeight="false" outlineLevel="0" collapsed="false">
      <c r="A19" s="0" t="s">
        <v>102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0.5</v>
      </c>
    </row>
    <row r="22" customFormat="false" ht="15" hidden="false" customHeight="false" outlineLevel="0" collapsed="false">
      <c r="A22" s="0" t="s">
        <v>105</v>
      </c>
      <c r="B22" s="3" t="n">
        <v>15</v>
      </c>
    </row>
    <row r="23" customFormat="false" ht="15" hidden="false" customHeight="false" outlineLevel="0" collapsed="false">
      <c r="A23" s="0" t="s">
        <v>106</v>
      </c>
      <c r="B23" s="3" t="n">
        <v>-12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-4.5</v>
      </c>
      <c r="D27" s="3" t="n">
        <v>-0.5</v>
      </c>
      <c r="E27" s="3" t="n">
        <v>1</v>
      </c>
      <c r="F27" s="3" t="n">
        <v>1.5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16.3</v>
      </c>
      <c r="D28" s="3" t="n">
        <v>16</v>
      </c>
      <c r="E28" s="3" t="n">
        <v>16</v>
      </c>
      <c r="F28" s="3" t="n">
        <v>16</v>
      </c>
      <c r="G28" s="3" t="n">
        <v>16</v>
      </c>
      <c r="H28" s="3" t="n">
        <v>16</v>
      </c>
      <c r="I28" s="3" t="n">
        <v>16</v>
      </c>
      <c r="J28" s="3" t="n">
        <v>16</v>
      </c>
      <c r="K28" s="3" t="n">
        <v>16</v>
      </c>
      <c r="L28" s="3" t="n">
        <v>16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4.6</v>
      </c>
      <c r="D31" s="3" t="n">
        <v>4.6</v>
      </c>
      <c r="E31" s="3" t="n">
        <v>4.5</v>
      </c>
      <c r="F31" s="3" t="n">
        <v>4.5</v>
      </c>
      <c r="G31" s="3" t="n">
        <v>4.5</v>
      </c>
      <c r="H31" s="3" t="n">
        <v>4.5</v>
      </c>
      <c r="I31" s="3" t="n">
        <v>4.5</v>
      </c>
      <c r="J31" s="3" t="n">
        <v>4.5</v>
      </c>
      <c r="K31" s="3" t="n">
        <v>4.5</v>
      </c>
      <c r="L31" s="3" t="n">
        <v>4.5</v>
      </c>
    </row>
    <row r="32" customFormat="false" ht="15" hidden="false" customHeight="false" outlineLevel="0" collapsed="false">
      <c r="A32" s="0" t="s">
        <v>101</v>
      </c>
      <c r="C32" s="3" t="n">
        <v>4.3</v>
      </c>
      <c r="D32" s="3" t="n">
        <v>4.3</v>
      </c>
      <c r="E32" s="3" t="n">
        <v>4.4</v>
      </c>
      <c r="F32" s="3" t="n">
        <v>4.4</v>
      </c>
      <c r="G32" s="3" t="n">
        <v>4.4</v>
      </c>
      <c r="H32" s="3" t="n">
        <v>4.4</v>
      </c>
      <c r="I32" s="3" t="n">
        <v>4.4</v>
      </c>
      <c r="J32" s="3" t="n">
        <v>4.4</v>
      </c>
      <c r="K32" s="3" t="n">
        <v>4.4</v>
      </c>
      <c r="L32" s="3" t="n">
        <v>4.4</v>
      </c>
    </row>
    <row r="33" customFormat="false" ht="15" hidden="false" customHeight="false" outlineLevel="0" collapsed="false">
      <c r="A33" s="0" t="s">
        <v>102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-12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-3</v>
      </c>
      <c r="D41" s="3" t="n">
        <v>2</v>
      </c>
      <c r="E41" s="3" t="n">
        <v>3.5</v>
      </c>
      <c r="F41" s="3" t="n">
        <v>3.5</v>
      </c>
      <c r="G41" s="3" t="n">
        <v>3</v>
      </c>
      <c r="H41" s="3" t="n">
        <v>3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97</v>
      </c>
      <c r="C42" s="3" t="n">
        <v>17</v>
      </c>
      <c r="D42" s="3" t="n">
        <v>17.5</v>
      </c>
      <c r="E42" s="3" t="n">
        <v>18</v>
      </c>
      <c r="F42" s="3" t="n">
        <v>18.5</v>
      </c>
      <c r="G42" s="3" t="n">
        <v>18.5</v>
      </c>
      <c r="H42" s="3" t="n">
        <v>18.5</v>
      </c>
      <c r="I42" s="3" t="n">
        <v>18.5</v>
      </c>
      <c r="J42" s="3" t="n">
        <v>18.5</v>
      </c>
      <c r="K42" s="3" t="n">
        <v>18.5</v>
      </c>
      <c r="L42" s="3" t="n">
        <v>18.5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4.6</v>
      </c>
      <c r="D45" s="3" t="n">
        <v>4.5</v>
      </c>
      <c r="E45" s="3" t="n">
        <v>4.5</v>
      </c>
      <c r="F45" s="3" t="n">
        <v>4.5</v>
      </c>
      <c r="G45" s="3" t="n">
        <v>4.5</v>
      </c>
      <c r="H45" s="3" t="n">
        <v>4.5</v>
      </c>
      <c r="I45" s="3" t="n">
        <v>4.5</v>
      </c>
      <c r="J45" s="3" t="n">
        <v>4.5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101</v>
      </c>
      <c r="C46" s="3" t="n">
        <v>4.3</v>
      </c>
      <c r="D46" s="3" t="n">
        <v>4.5</v>
      </c>
      <c r="E46" s="3" t="n">
        <v>4.5</v>
      </c>
      <c r="F46" s="3" t="n">
        <v>4.5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102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15</v>
      </c>
    </row>
    <row r="51" customFormat="false" ht="15" hidden="false" customHeight="false" outlineLevel="0" collapsed="false">
      <c r="A51" s="0" t="s">
        <v>106</v>
      </c>
      <c r="B51" s="3" t="n">
        <v>-12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-7</v>
      </c>
      <c r="D5" s="4" t="n">
        <f aca="false">Assumptions!D13</f>
        <v>-4</v>
      </c>
      <c r="E5" s="4" t="n">
        <f aca="false">Assumptions!E13</f>
        <v>-2.5</v>
      </c>
      <c r="F5" s="4" t="n">
        <f aca="false">Assumptions!F13</f>
        <v>-1.5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23068.869</v>
      </c>
      <c r="C6" s="0" t="n">
        <f aca="false">B6*(1+C5/100)</f>
        <v>21454.04817</v>
      </c>
      <c r="D6" s="0" t="n">
        <f aca="false">C6*(1+D5/100)</f>
        <v>20595.8862432</v>
      </c>
      <c r="E6" s="0" t="n">
        <f aca="false">D6*(1+E5/100)</f>
        <v>20080.98908712</v>
      </c>
      <c r="F6" s="0" t="n">
        <f aca="false">E6*(1+F5/100)</f>
        <v>19779.7742508132</v>
      </c>
      <c r="G6" s="0" t="n">
        <f aca="false">F6*(1+G5/100)</f>
        <v>19581.9765083051</v>
      </c>
      <c r="H6" s="0" t="n">
        <f aca="false">G6*(1+H5/100)</f>
        <v>19581.9765083051</v>
      </c>
      <c r="I6" s="0" t="n">
        <f aca="false">H6*(1+I5/100)</f>
        <v>19581.9765083051</v>
      </c>
      <c r="J6" s="0" t="n">
        <f aca="false">I6*(1+J5/100)</f>
        <v>19581.9765083051</v>
      </c>
      <c r="K6" s="0" t="n">
        <f aca="false">J6*(1+K5/100)</f>
        <v>19581.9765083051</v>
      </c>
      <c r="L6" s="0" t="n">
        <f aca="false">K6*(1+L5/100)</f>
        <v>19581.9765083051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15.5</v>
      </c>
      <c r="D7" s="4" t="n">
        <f aca="false">Assumptions!D14</f>
        <v>14.5</v>
      </c>
      <c r="E7" s="4" t="n">
        <f aca="false">Assumptions!E14</f>
        <v>13.5</v>
      </c>
      <c r="F7" s="4" t="n">
        <f aca="false">Assumptions!F14</f>
        <v>13</v>
      </c>
      <c r="G7" s="4" t="n">
        <f aca="false">Assumptions!G14</f>
        <v>13</v>
      </c>
      <c r="H7" s="4" t="n">
        <f aca="false">Assumptions!H14</f>
        <v>13</v>
      </c>
      <c r="I7" s="4" t="n">
        <f aca="false">Assumptions!I14</f>
        <v>13</v>
      </c>
      <c r="J7" s="4" t="n">
        <f aca="false">Assumptions!J14</f>
        <v>13</v>
      </c>
      <c r="K7" s="4" t="n">
        <f aca="false">Assumptions!K14</f>
        <v>13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3325.37746635</v>
      </c>
      <c r="D8" s="0" t="n">
        <f aca="false">D6*D7/100</f>
        <v>2986.403505264</v>
      </c>
      <c r="E8" s="0" t="n">
        <f aca="false">E6*E7/100</f>
        <v>2710.9335267612</v>
      </c>
      <c r="F8" s="0" t="n">
        <f aca="false">F6*F7/100</f>
        <v>2571.37065260572</v>
      </c>
      <c r="G8" s="0" t="n">
        <f aca="false">G6*G7/100</f>
        <v>2545.65694607966</v>
      </c>
      <c r="H8" s="0" t="n">
        <f aca="false">H6*H7/100</f>
        <v>2545.65694607966</v>
      </c>
      <c r="I8" s="0" t="n">
        <f aca="false">I6*I7/100</f>
        <v>2545.65694607966</v>
      </c>
      <c r="J8" s="0" t="n">
        <f aca="false">J6*J7/100</f>
        <v>2545.65694607966</v>
      </c>
      <c r="K8" s="0" t="n">
        <f aca="false">K6*K7/100</f>
        <v>2545.65694607966</v>
      </c>
      <c r="L8" s="0" t="n">
        <f aca="false">L6*L7/100</f>
        <v>2545.65694607966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3325.37746635</v>
      </c>
      <c r="D11" s="0" t="n">
        <f aca="false">D8+D10+D24</f>
        <v>2986.403505264</v>
      </c>
      <c r="E11" s="0" t="n">
        <f aca="false">E8+E10+E24</f>
        <v>2710.9335267612</v>
      </c>
      <c r="F11" s="0" t="n">
        <f aca="false">F8+F10+F24</f>
        <v>2571.37065260572</v>
      </c>
      <c r="G11" s="0" t="n">
        <f aca="false">G8+G10+G24</f>
        <v>2545.65694607966</v>
      </c>
      <c r="H11" s="0" t="n">
        <f aca="false">H8+H10+H24</f>
        <v>2545.65694607966</v>
      </c>
      <c r="I11" s="0" t="n">
        <f aca="false">I8+I10+I24</f>
        <v>2545.65694607966</v>
      </c>
      <c r="J11" s="0" t="n">
        <f aca="false">J8+J10+J24</f>
        <v>2545.65694607966</v>
      </c>
      <c r="K11" s="0" t="n">
        <f aca="false">K8+K10+K24</f>
        <v>2545.65694607966</v>
      </c>
      <c r="L11" s="0" t="n">
        <f aca="false">L8+L10+L24</f>
        <v>2545.65694607966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-986.88621582</v>
      </c>
      <c r="D12" s="4" t="n">
        <f aca="false">-D6*Assumptions!D17/100</f>
        <v>-968.0066534304</v>
      </c>
      <c r="E12" s="4" t="n">
        <f aca="false">-E6*Assumptions!E17/100</f>
        <v>-943.80648709464</v>
      </c>
      <c r="F12" s="4" t="n">
        <f aca="false">-F6*Assumptions!F17/100</f>
        <v>-929.64938978822</v>
      </c>
      <c r="G12" s="4" t="n">
        <f aca="false">-G6*Assumptions!G17/100</f>
        <v>-920.352895890338</v>
      </c>
      <c r="H12" s="4" t="n">
        <f aca="false">-H6*Assumptions!H17/100</f>
        <v>-920.352895890338</v>
      </c>
      <c r="I12" s="4" t="n">
        <f aca="false">-I6*Assumptions!I17/100</f>
        <v>-920.352895890338</v>
      </c>
      <c r="J12" s="4" t="n">
        <f aca="false">-J6*Assumptions!J17/100</f>
        <v>-920.352895890338</v>
      </c>
      <c r="K12" s="4" t="n">
        <f aca="false">-K6*Assumptions!K17/100</f>
        <v>-920.352895890338</v>
      </c>
      <c r="L12" s="4" t="n">
        <f aca="false">-L6*Assumptions!L17/100</f>
        <v>-920.352895890338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2338.49125053</v>
      </c>
      <c r="D13" s="0" t="n">
        <f aca="false">D11+D12</f>
        <v>2018.3968518336</v>
      </c>
      <c r="E13" s="0" t="n">
        <f aca="false">E11+E12</f>
        <v>1767.12703966656</v>
      </c>
      <c r="F13" s="0" t="n">
        <f aca="false">F11+F12</f>
        <v>1641.7212628175</v>
      </c>
      <c r="G13" s="0" t="n">
        <f aca="false">G11+G12</f>
        <v>1625.30405018932</v>
      </c>
      <c r="H13" s="0" t="n">
        <f aca="false">H11+H12</f>
        <v>1625.30405018932</v>
      </c>
      <c r="I13" s="0" t="n">
        <f aca="false">I11+I12</f>
        <v>1625.30405018932</v>
      </c>
      <c r="J13" s="0" t="n">
        <f aca="false">J11+J12</f>
        <v>1625.30405018932</v>
      </c>
      <c r="K13" s="0" t="n">
        <f aca="false">K11+K12</f>
        <v>1625.30405018932</v>
      </c>
      <c r="L13" s="0" t="n">
        <f aca="false">L11+L12</f>
        <v>1625.30405018932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1824.0231754134</v>
      </c>
      <c r="D15" s="0" t="n">
        <f aca="false">D13-MAX(0,D13)*D14/100</f>
        <v>1574.34954443021</v>
      </c>
      <c r="E15" s="0" t="n">
        <f aca="false">E13-MAX(0,E13)*E14/100</f>
        <v>1378.35909093992</v>
      </c>
      <c r="F15" s="0" t="n">
        <f aca="false">F13-MAX(0,F13)*F14/100</f>
        <v>1280.54258499765</v>
      </c>
      <c r="G15" s="0" t="n">
        <f aca="false">G13-MAX(0,G13)*G14/100</f>
        <v>1267.73715914767</v>
      </c>
      <c r="H15" s="0" t="n">
        <f aca="false">H13-MAX(0,H13)*H14/100</f>
        <v>1267.73715914767</v>
      </c>
      <c r="I15" s="0" t="n">
        <f aca="false">I13-MAX(0,I13)*I14/100</f>
        <v>1267.73715914767</v>
      </c>
      <c r="J15" s="0" t="n">
        <f aca="false">J13-MAX(0,J13)*J14/100</f>
        <v>1267.73715914767</v>
      </c>
      <c r="K15" s="0" t="n">
        <f aca="false">K13-MAX(0,K13)*K14/100</f>
        <v>1267.73715914767</v>
      </c>
      <c r="L15" s="0" t="n">
        <f aca="false">L13-MAX(0,L13)*L14/100</f>
        <v>1267.73715914767</v>
      </c>
    </row>
    <row r="16" customFormat="false" ht="15" hidden="false" customHeight="false" outlineLevel="0" collapsed="false">
      <c r="A16" s="0" t="s">
        <v>118</v>
      </c>
      <c r="C16" s="0" t="n">
        <f aca="false">-C12</f>
        <v>986.88621582</v>
      </c>
      <c r="D16" s="0" t="n">
        <f aca="false">-D12</f>
        <v>968.0066534304</v>
      </c>
      <c r="E16" s="0" t="n">
        <f aca="false">-E12</f>
        <v>943.80648709464</v>
      </c>
      <c r="F16" s="0" t="n">
        <f aca="false">-F12</f>
        <v>929.64938978822</v>
      </c>
      <c r="G16" s="0" t="n">
        <f aca="false">-G12</f>
        <v>920.352895890338</v>
      </c>
      <c r="H16" s="0" t="n">
        <f aca="false">-H12</f>
        <v>920.352895890338</v>
      </c>
      <c r="I16" s="0" t="n">
        <f aca="false">-I12</f>
        <v>920.352895890338</v>
      </c>
      <c r="J16" s="0" t="n">
        <f aca="false">-J12</f>
        <v>920.352895890338</v>
      </c>
      <c r="K16" s="0" t="n">
        <f aca="false">-K12</f>
        <v>920.352895890338</v>
      </c>
      <c r="L16" s="0" t="n">
        <f aca="false">-L12</f>
        <v>920.352895890338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-901.07002314</v>
      </c>
      <c r="D17" s="4" t="n">
        <f aca="false">-D6*Assumptions!D18/100</f>
        <v>-865.0272222144</v>
      </c>
      <c r="E17" s="4" t="n">
        <f aca="false">-E6*Assumptions!E18/100</f>
        <v>-843.40154165904</v>
      </c>
      <c r="F17" s="4" t="n">
        <f aca="false">-F6*Assumptions!F18/100</f>
        <v>-830.750518534154</v>
      </c>
      <c r="G17" s="4" t="n">
        <f aca="false">-G6*Assumptions!G18/100</f>
        <v>-822.443013348813</v>
      </c>
      <c r="H17" s="4" t="n">
        <f aca="false">-H6*Assumptions!H18/100</f>
        <v>-822.443013348813</v>
      </c>
      <c r="I17" s="4" t="n">
        <f aca="false">-I6*Assumptions!I18/100</f>
        <v>-822.443013348813</v>
      </c>
      <c r="J17" s="4" t="n">
        <f aca="false">-J6*Assumptions!J18/100</f>
        <v>-822.443013348813</v>
      </c>
      <c r="K17" s="4" t="n">
        <f aca="false">-K6*Assumptions!K18/100</f>
        <v>-822.443013348813</v>
      </c>
      <c r="L17" s="4" t="n">
        <f aca="false">-L6*Assumptions!L18/100</f>
        <v>-822.443013348813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193.7784996</v>
      </c>
      <c r="D18" s="4" t="n">
        <f aca="false">(D6-C6)*Assumptions!$B$23/100</f>
        <v>102.979431216</v>
      </c>
      <c r="E18" s="4" t="n">
        <f aca="false">(E6-D6)*Assumptions!$B$23/100</f>
        <v>61.7876587296002</v>
      </c>
      <c r="F18" s="4" t="n">
        <f aca="false">(F6-E6)*Assumptions!$B$23/100</f>
        <v>36.1457803568161</v>
      </c>
      <c r="G18" s="4" t="n">
        <f aca="false">(G6-F6)*Assumptions!$B$23/100</f>
        <v>23.735729100976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2103.6178676934</v>
      </c>
      <c r="D19" s="0" t="n">
        <f aca="false">D15+D16+D17+D18</f>
        <v>1780.30840686221</v>
      </c>
      <c r="E19" s="0" t="n">
        <f aca="false">E15+E16+E17+E18</f>
        <v>1540.55169510512</v>
      </c>
      <c r="F19" s="0" t="n">
        <f aca="false">F15+F16+F17+F18</f>
        <v>1415.58723660853</v>
      </c>
      <c r="G19" s="0" t="n">
        <f aca="false">G15+G16+G17+G18</f>
        <v>1389.38277079017</v>
      </c>
      <c r="H19" s="0" t="n">
        <f aca="false">H15+H16+H17+H18</f>
        <v>1365.64704168919</v>
      </c>
      <c r="I19" s="0" t="n">
        <f aca="false">I15+I16+I17+I18</f>
        <v>1365.64704168919</v>
      </c>
      <c r="J19" s="0" t="n">
        <f aca="false">J15+J16+J17+J18</f>
        <v>1365.64704168919</v>
      </c>
      <c r="K19" s="0" t="n">
        <f aca="false">K15+K16+K17+K18</f>
        <v>1365.64704168919</v>
      </c>
      <c r="L19" s="0" t="n">
        <f aca="false">L15+L16+L17+L18</f>
        <v>1365.64704168919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1929.92464926</v>
      </c>
      <c r="D21" s="0" t="n">
        <f aca="false">D19*D20</f>
        <v>1498.44996790018</v>
      </c>
      <c r="E21" s="0" t="n">
        <f aca="false">E19*E20</f>
        <v>1189.58856914024</v>
      </c>
      <c r="F21" s="0" t="n">
        <f aca="false">F19*F20</f>
        <v>1002.83768687559</v>
      </c>
      <c r="G21" s="0" t="n">
        <f aca="false">G19*G20</f>
        <v>903.003470318692</v>
      </c>
      <c r="H21" s="0" t="n">
        <f aca="false">H19*H20</f>
        <v>814.290711008525</v>
      </c>
      <c r="I21" s="0" t="n">
        <f aca="false">I19*I20</f>
        <v>747.055698172959</v>
      </c>
      <c r="J21" s="0" t="n">
        <f aca="false">J19*J20</f>
        <v>685.372200158678</v>
      </c>
      <c r="K21" s="0" t="n">
        <f aca="false">K19*K20</f>
        <v>628.781835007961</v>
      </c>
      <c r="L21" s="0" t="n">
        <f aca="false">L19*L20</f>
        <v>576.864068814643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9976.16885665748</v>
      </c>
    </row>
    <row r="31" customFormat="false" ht="15" hidden="false" customHeight="false" outlineLevel="0" collapsed="false">
      <c r="A31" s="0" t="s">
        <v>127</v>
      </c>
      <c r="B31" s="0" t="n">
        <f aca="false">L19</f>
        <v>1365.64704168919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16146.7679635017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20484.7056253379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16146.7679635017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6820.56928422019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16796.7381408777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22997.6651408777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23.7319965227904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0.213912865615878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23.7319965227904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9465.34673722511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17.0321159506855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-4.5</v>
      </c>
      <c r="D5" s="4" t="n">
        <f aca="false">Assumptions!D27</f>
        <v>-0.5</v>
      </c>
      <c r="E5" s="4" t="n">
        <f aca="false">Assumptions!E27</f>
        <v>1</v>
      </c>
      <c r="F5" s="4" t="n">
        <f aca="false">Assumptions!F27</f>
        <v>1.5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23068.869</v>
      </c>
      <c r="C6" s="0" t="n">
        <f aca="false">B6*(1+C5/100)</f>
        <v>22030.769895</v>
      </c>
      <c r="D6" s="0" t="n">
        <f aca="false">C6*(1+D5/100)</f>
        <v>21920.616045525</v>
      </c>
      <c r="E6" s="0" t="n">
        <f aca="false">D6*(1+E5/100)</f>
        <v>22139.8222059803</v>
      </c>
      <c r="F6" s="0" t="n">
        <f aca="false">E6*(1+F5/100)</f>
        <v>22471.91953907</v>
      </c>
      <c r="G6" s="0" t="n">
        <f aca="false">F6*(1+G5/100)</f>
        <v>22921.3579298514</v>
      </c>
      <c r="H6" s="0" t="n">
        <f aca="false">G6*(1+H5/100)</f>
        <v>23379.7850884484</v>
      </c>
      <c r="I6" s="0" t="n">
        <f aca="false">H6*(1+I5/100)</f>
        <v>23847.3807902174</v>
      </c>
      <c r="J6" s="0" t="n">
        <f aca="false">I6*(1+J5/100)</f>
        <v>24324.3284060217</v>
      </c>
      <c r="K6" s="0" t="n">
        <f aca="false">J6*(1+K5/100)</f>
        <v>24810.8149741421</v>
      </c>
      <c r="L6" s="0" t="n">
        <f aca="false">K6*(1+L5/100)</f>
        <v>25307.031273625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16.3</v>
      </c>
      <c r="D7" s="4" t="n">
        <f aca="false">Assumptions!D28</f>
        <v>16</v>
      </c>
      <c r="E7" s="4" t="n">
        <f aca="false">Assumptions!E28</f>
        <v>16</v>
      </c>
      <c r="F7" s="4" t="n">
        <f aca="false">Assumptions!F28</f>
        <v>16</v>
      </c>
      <c r="G7" s="4" t="n">
        <f aca="false">Assumptions!G28</f>
        <v>16</v>
      </c>
      <c r="H7" s="4" t="n">
        <f aca="false">Assumptions!H28</f>
        <v>16</v>
      </c>
      <c r="I7" s="4" t="n">
        <f aca="false">Assumptions!I28</f>
        <v>16</v>
      </c>
      <c r="J7" s="4" t="n">
        <f aca="false">Assumptions!J28</f>
        <v>16</v>
      </c>
      <c r="K7" s="4" t="n">
        <f aca="false">Assumptions!K28</f>
        <v>16</v>
      </c>
      <c r="L7" s="4" t="n">
        <f aca="false">Assumptions!L28</f>
        <v>16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3591.015492885</v>
      </c>
      <c r="D8" s="0" t="n">
        <f aca="false">D6*D7/100</f>
        <v>3507.298567284</v>
      </c>
      <c r="E8" s="0" t="n">
        <f aca="false">E6*E7/100</f>
        <v>3542.37155295684</v>
      </c>
      <c r="F8" s="0" t="n">
        <f aca="false">F6*F7/100</f>
        <v>3595.50712625119</v>
      </c>
      <c r="G8" s="0" t="n">
        <f aca="false">G6*G7/100</f>
        <v>3667.41726877622</v>
      </c>
      <c r="H8" s="0" t="n">
        <f aca="false">H6*H7/100</f>
        <v>3740.76561415174</v>
      </c>
      <c r="I8" s="0" t="n">
        <f aca="false">I6*I7/100</f>
        <v>3815.58092643478</v>
      </c>
      <c r="J8" s="0" t="n">
        <f aca="false">J6*J7/100</f>
        <v>3891.89254496347</v>
      </c>
      <c r="K8" s="0" t="n">
        <f aca="false">K6*K7/100</f>
        <v>3969.73039586274</v>
      </c>
      <c r="L8" s="0" t="n">
        <f aca="false">L6*L7/100</f>
        <v>4049.12500378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3591.015492885</v>
      </c>
      <c r="D11" s="0" t="n">
        <f aca="false">D8+D10+D24</f>
        <v>3507.298567284</v>
      </c>
      <c r="E11" s="0" t="n">
        <f aca="false">E8+E10+E24</f>
        <v>3542.37155295684</v>
      </c>
      <c r="F11" s="0" t="n">
        <f aca="false">F8+F10+F24</f>
        <v>3595.50712625119</v>
      </c>
      <c r="G11" s="0" t="n">
        <f aca="false">G8+G10+G24</f>
        <v>3667.41726877622</v>
      </c>
      <c r="H11" s="0" t="n">
        <f aca="false">H8+H10+H24</f>
        <v>3740.76561415174</v>
      </c>
      <c r="I11" s="0" t="n">
        <f aca="false">I8+I10+I24</f>
        <v>3815.58092643478</v>
      </c>
      <c r="J11" s="0" t="n">
        <f aca="false">J8+J10+J24</f>
        <v>3891.89254496347</v>
      </c>
      <c r="K11" s="0" t="n">
        <f aca="false">K8+K10+K24</f>
        <v>3969.73039586274</v>
      </c>
      <c r="L11" s="0" t="n">
        <f aca="false">L8+L10+L24</f>
        <v>4049.12500378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-1013.41541517</v>
      </c>
      <c r="D12" s="4" t="n">
        <f aca="false">-D6*Assumptions!D31/100</f>
        <v>-1008.34833809415</v>
      </c>
      <c r="E12" s="4" t="n">
        <f aca="false">-E6*Assumptions!E31/100</f>
        <v>-996.291999269111</v>
      </c>
      <c r="F12" s="4" t="n">
        <f aca="false">-F6*Assumptions!F31/100</f>
        <v>-1011.23637925815</v>
      </c>
      <c r="G12" s="4" t="n">
        <f aca="false">-G6*Assumptions!G31/100</f>
        <v>-1031.46110684331</v>
      </c>
      <c r="H12" s="4" t="n">
        <f aca="false">-H6*Assumptions!H31/100</f>
        <v>-1052.09032898018</v>
      </c>
      <c r="I12" s="4" t="n">
        <f aca="false">-I6*Assumptions!I31/100</f>
        <v>-1073.13213555978</v>
      </c>
      <c r="J12" s="4" t="n">
        <f aca="false">-J6*Assumptions!J31/100</f>
        <v>-1094.59477827098</v>
      </c>
      <c r="K12" s="4" t="n">
        <f aca="false">-K6*Assumptions!K31/100</f>
        <v>-1116.4866738364</v>
      </c>
      <c r="L12" s="4" t="n">
        <f aca="false">-L6*Assumptions!L31/100</f>
        <v>-1138.81640731312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2577.600077715</v>
      </c>
      <c r="D13" s="0" t="n">
        <f aca="false">D11+D12</f>
        <v>2498.95022918985</v>
      </c>
      <c r="E13" s="0" t="n">
        <f aca="false">E11+E12</f>
        <v>2546.07955368773</v>
      </c>
      <c r="F13" s="0" t="n">
        <f aca="false">F11+F12</f>
        <v>2584.27074699304</v>
      </c>
      <c r="G13" s="0" t="n">
        <f aca="false">G11+G12</f>
        <v>2635.95616193291</v>
      </c>
      <c r="H13" s="0" t="n">
        <f aca="false">H11+H12</f>
        <v>2688.67528517156</v>
      </c>
      <c r="I13" s="0" t="n">
        <f aca="false">I11+I12</f>
        <v>2742.448790875</v>
      </c>
      <c r="J13" s="0" t="n">
        <f aca="false">J11+J12</f>
        <v>2797.2977666925</v>
      </c>
      <c r="K13" s="0" t="n">
        <f aca="false">K11+K12</f>
        <v>2853.24372202635</v>
      </c>
      <c r="L13" s="0" t="n">
        <f aca="false">L11+L12</f>
        <v>2910.30859646687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2010.5280606177</v>
      </c>
      <c r="D15" s="0" t="n">
        <f aca="false">D13-MAX(0,D13)*D14/100</f>
        <v>1949.18117876808</v>
      </c>
      <c r="E15" s="0" t="n">
        <f aca="false">E13-MAX(0,E13)*E14/100</f>
        <v>1985.94205187643</v>
      </c>
      <c r="F15" s="0" t="n">
        <f aca="false">F13-MAX(0,F13)*F14/100</f>
        <v>2015.73118265458</v>
      </c>
      <c r="G15" s="0" t="n">
        <f aca="false">G13-MAX(0,G13)*G14/100</f>
        <v>2056.04580630767</v>
      </c>
      <c r="H15" s="0" t="n">
        <f aca="false">H13-MAX(0,H13)*H14/100</f>
        <v>2097.16672243382</v>
      </c>
      <c r="I15" s="0" t="n">
        <f aca="false">I13-MAX(0,I13)*I14/100</f>
        <v>2139.1100568825</v>
      </c>
      <c r="J15" s="0" t="n">
        <f aca="false">J13-MAX(0,J13)*J14/100</f>
        <v>2181.89225802015</v>
      </c>
      <c r="K15" s="0" t="n">
        <f aca="false">K13-MAX(0,K13)*K14/100</f>
        <v>2225.53010318055</v>
      </c>
      <c r="L15" s="0" t="n">
        <f aca="false">L13-MAX(0,L13)*L14/100</f>
        <v>2270.04070524416</v>
      </c>
    </row>
    <row r="16" customFormat="false" ht="15" hidden="false" customHeight="false" outlineLevel="0" collapsed="false">
      <c r="A16" s="0" t="s">
        <v>118</v>
      </c>
      <c r="C16" s="0" t="n">
        <f aca="false">-C12</f>
        <v>1013.41541517</v>
      </c>
      <c r="D16" s="0" t="n">
        <f aca="false">-D12</f>
        <v>1008.34833809415</v>
      </c>
      <c r="E16" s="0" t="n">
        <f aca="false">-E12</f>
        <v>996.291999269111</v>
      </c>
      <c r="F16" s="0" t="n">
        <f aca="false">-F12</f>
        <v>1011.23637925815</v>
      </c>
      <c r="G16" s="0" t="n">
        <f aca="false">-G12</f>
        <v>1031.46110684331</v>
      </c>
      <c r="H16" s="0" t="n">
        <f aca="false">-H12</f>
        <v>1052.09032898018</v>
      </c>
      <c r="I16" s="0" t="n">
        <f aca="false">-I12</f>
        <v>1073.13213555978</v>
      </c>
      <c r="J16" s="0" t="n">
        <f aca="false">-J12</f>
        <v>1094.59477827098</v>
      </c>
      <c r="K16" s="0" t="n">
        <f aca="false">-K12</f>
        <v>1116.4866738364</v>
      </c>
      <c r="L16" s="0" t="n">
        <f aca="false">-L12</f>
        <v>1138.81640731312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-947.323105485</v>
      </c>
      <c r="D17" s="4" t="n">
        <f aca="false">-D6*Assumptions!D32/100</f>
        <v>-942.586489957575</v>
      </c>
      <c r="E17" s="4" t="n">
        <f aca="false">-E6*Assumptions!E32/100</f>
        <v>-974.152177063131</v>
      </c>
      <c r="F17" s="4" t="n">
        <f aca="false">-F6*Assumptions!F32/100</f>
        <v>-988.764459719078</v>
      </c>
      <c r="G17" s="4" t="n">
        <f aca="false">-G6*Assumptions!G32/100</f>
        <v>-1008.53974891346</v>
      </c>
      <c r="H17" s="4" t="n">
        <f aca="false">-H6*Assumptions!H32/100</f>
        <v>-1028.71054389173</v>
      </c>
      <c r="I17" s="4" t="n">
        <f aca="false">-I6*Assumptions!I32/100</f>
        <v>-1049.28475476956</v>
      </c>
      <c r="J17" s="4" t="n">
        <f aca="false">-J6*Assumptions!J32/100</f>
        <v>-1070.27044986495</v>
      </c>
      <c r="K17" s="4" t="n">
        <f aca="false">-K6*Assumptions!K32/100</f>
        <v>-1091.67585886225</v>
      </c>
      <c r="L17" s="4" t="n">
        <f aca="false">-L6*Assumptions!L32/100</f>
        <v>-1113.5093760395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124.5718926</v>
      </c>
      <c r="D18" s="4" t="n">
        <f aca="false">(D6-C6)*Assumptions!$B$37/100</f>
        <v>13.2184619369998</v>
      </c>
      <c r="E18" s="4" t="n">
        <f aca="false">(E6-D6)*Assumptions!$B$37/100</f>
        <v>-26.3047392546301</v>
      </c>
      <c r="F18" s="4" t="n">
        <f aca="false">(F6-E6)*Assumptions!$B$37/100</f>
        <v>-39.8516799707644</v>
      </c>
      <c r="G18" s="4" t="n">
        <f aca="false">(G6-F6)*Assumptions!$B$37/100</f>
        <v>-53.9326068937681</v>
      </c>
      <c r="H18" s="4" t="n">
        <f aca="false">(H6-G6)*Assumptions!$B$37/100</f>
        <v>-55.0112590316433</v>
      </c>
      <c r="I18" s="4" t="n">
        <f aca="false">(I6-H6)*Assumptions!$B$37/100</f>
        <v>-56.1114842122763</v>
      </c>
      <c r="J18" s="4" t="n">
        <f aca="false">(J6-I6)*Assumptions!$B$37/100</f>
        <v>-57.2337138965217</v>
      </c>
      <c r="K18" s="4" t="n">
        <f aca="false">(K6-J6)*Assumptions!$B$37/100</f>
        <v>-58.3783881744523</v>
      </c>
      <c r="L18" s="4" t="n">
        <f aca="false">(L6-K6)*Assumptions!$B$37/100</f>
        <v>-59.5459559379412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2201.1922629027</v>
      </c>
      <c r="D19" s="0" t="n">
        <f aca="false">D15+D16+D17+D18</f>
        <v>2028.16148884166</v>
      </c>
      <c r="E19" s="0" t="n">
        <f aca="false">E15+E16+E17+E18</f>
        <v>1981.77713482778</v>
      </c>
      <c r="F19" s="0" t="n">
        <f aca="false">F15+F16+F17+F18</f>
        <v>1998.35142222288</v>
      </c>
      <c r="G19" s="0" t="n">
        <f aca="false">G15+G16+G17+G18</f>
        <v>2025.03455734375</v>
      </c>
      <c r="H19" s="0" t="n">
        <f aca="false">H15+H16+H17+H18</f>
        <v>2065.53524849063</v>
      </c>
      <c r="I19" s="0" t="n">
        <f aca="false">I15+I16+I17+I18</f>
        <v>2106.84595346044</v>
      </c>
      <c r="J19" s="0" t="n">
        <f aca="false">J15+J16+J17+J18</f>
        <v>2148.98287252965</v>
      </c>
      <c r="K19" s="0" t="n">
        <f aca="false">K15+K16+K17+K18</f>
        <v>2191.96252998024</v>
      </c>
      <c r="L19" s="0" t="n">
        <f aca="false">L15+L16+L17+L18</f>
        <v>2235.80178057984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2019.44244303</v>
      </c>
      <c r="D21" s="0" t="n">
        <f aca="false">D19*D20</f>
        <v>1707.06294827174</v>
      </c>
      <c r="E21" s="0" t="n">
        <f aca="false">E19*E20</f>
        <v>1530.29556467676</v>
      </c>
      <c r="F21" s="0" t="n">
        <f aca="false">F19*F20</f>
        <v>1415.68252807068</v>
      </c>
      <c r="G21" s="0" t="n">
        <f aca="false">G19*G20</f>
        <v>1316.13351715648</v>
      </c>
      <c r="H21" s="0" t="n">
        <f aca="false">H19*H20</f>
        <v>1231.6111811923</v>
      </c>
      <c r="I21" s="0" t="n">
        <f aca="false">I19*I20</f>
        <v>1152.51688515243</v>
      </c>
      <c r="J21" s="0" t="n">
        <f aca="false">J19*J20</f>
        <v>1078.50203931695</v>
      </c>
      <c r="K21" s="0" t="n">
        <f aca="false">K19*K20</f>
        <v>1009.24044046173</v>
      </c>
      <c r="L21" s="0" t="n">
        <f aca="false">L19*L20</f>
        <v>944.42683419355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13404.9143815226</v>
      </c>
    </row>
    <row r="31" customFormat="false" ht="15" hidden="false" customHeight="false" outlineLevel="0" collapsed="false">
      <c r="A31" s="0" t="s">
        <v>127</v>
      </c>
      <c r="B31" s="0" t="n">
        <f aca="false">L19</f>
        <v>2235.80178057984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32578.825945592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33537.0267086977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32578.825945592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13761.6481553917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27166.5625369144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33367.4895369144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34.4329365965399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0.761275529234778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34.4329365965399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17542.4447399342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21.6710724378019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-3</v>
      </c>
      <c r="D5" s="4" t="n">
        <f aca="false">Assumptions!D41</f>
        <v>2</v>
      </c>
      <c r="E5" s="4" t="n">
        <f aca="false">Assumptions!E41</f>
        <v>3.5</v>
      </c>
      <c r="F5" s="4" t="n">
        <f aca="false">Assumptions!F41</f>
        <v>3.5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23068.869</v>
      </c>
      <c r="C6" s="0" t="n">
        <f aca="false">B6*(1+C5/100)</f>
        <v>22376.80293</v>
      </c>
      <c r="D6" s="0" t="n">
        <f aca="false">C6*(1+D5/100)</f>
        <v>22824.3389886</v>
      </c>
      <c r="E6" s="0" t="n">
        <f aca="false">D6*(1+E5/100)</f>
        <v>23623.190853201</v>
      </c>
      <c r="F6" s="0" t="n">
        <f aca="false">E6*(1+F5/100)</f>
        <v>24450.002533063</v>
      </c>
      <c r="G6" s="0" t="n">
        <f aca="false">F6*(1+G5/100)</f>
        <v>25183.5026090549</v>
      </c>
      <c r="H6" s="0" t="n">
        <f aca="false">G6*(1+H5/100)</f>
        <v>25939.0076873266</v>
      </c>
      <c r="I6" s="0" t="n">
        <f aca="false">H6*(1+I5/100)</f>
        <v>26587.4828795097</v>
      </c>
      <c r="J6" s="0" t="n">
        <f aca="false">I6*(1+J5/100)</f>
        <v>27252.1699514975</v>
      </c>
      <c r="K6" s="0" t="n">
        <f aca="false">J6*(1+K5/100)</f>
        <v>27933.4742002849</v>
      </c>
      <c r="L6" s="0" t="n">
        <f aca="false">K6*(1+L5/100)</f>
        <v>28631.811055292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17</v>
      </c>
      <c r="D7" s="4" t="n">
        <f aca="false">Assumptions!D42</f>
        <v>17.5</v>
      </c>
      <c r="E7" s="4" t="n">
        <f aca="false">Assumptions!E42</f>
        <v>18</v>
      </c>
      <c r="F7" s="4" t="n">
        <f aca="false">Assumptions!F42</f>
        <v>18.5</v>
      </c>
      <c r="G7" s="4" t="n">
        <f aca="false">Assumptions!G42</f>
        <v>18.5</v>
      </c>
      <c r="H7" s="4" t="n">
        <f aca="false">Assumptions!H42</f>
        <v>18.5</v>
      </c>
      <c r="I7" s="4" t="n">
        <f aca="false">Assumptions!I42</f>
        <v>18.5</v>
      </c>
      <c r="J7" s="4" t="n">
        <f aca="false">Assumptions!J42</f>
        <v>18.5</v>
      </c>
      <c r="K7" s="4" t="n">
        <f aca="false">Assumptions!K42</f>
        <v>18.5</v>
      </c>
      <c r="L7" s="4" t="n">
        <f aca="false">Assumptions!L42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3804.0564981</v>
      </c>
      <c r="D8" s="0" t="n">
        <f aca="false">D6*D7/100</f>
        <v>3994.259323005</v>
      </c>
      <c r="E8" s="0" t="n">
        <f aca="false">E6*E7/100</f>
        <v>4252.17435357618</v>
      </c>
      <c r="F8" s="0" t="n">
        <f aca="false">F6*F7/100</f>
        <v>4523.25046861666</v>
      </c>
      <c r="G8" s="0" t="n">
        <f aca="false">G6*G7/100</f>
        <v>4658.94798267516</v>
      </c>
      <c r="H8" s="0" t="n">
        <f aca="false">H6*H7/100</f>
        <v>4798.71642215542</v>
      </c>
      <c r="I8" s="0" t="n">
        <f aca="false">I6*I7/100</f>
        <v>4918.6843327093</v>
      </c>
      <c r="J8" s="0" t="n">
        <f aca="false">J6*J7/100</f>
        <v>5041.65144102703</v>
      </c>
      <c r="K8" s="0" t="n">
        <f aca="false">K6*K7/100</f>
        <v>5167.69272705271</v>
      </c>
      <c r="L8" s="0" t="n">
        <f aca="false">L6*L7/100</f>
        <v>5296.88504522902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3804.0564981</v>
      </c>
      <c r="D11" s="0" t="n">
        <f aca="false">D8+D10+D24</f>
        <v>3994.259323005</v>
      </c>
      <c r="E11" s="0" t="n">
        <f aca="false">E8+E10+E24</f>
        <v>4252.17435357618</v>
      </c>
      <c r="F11" s="0" t="n">
        <f aca="false">F8+F10+F24</f>
        <v>4523.25046861666</v>
      </c>
      <c r="G11" s="0" t="n">
        <f aca="false">G8+G10+G24</f>
        <v>4658.94798267516</v>
      </c>
      <c r="H11" s="0" t="n">
        <f aca="false">H8+H10+H24</f>
        <v>4798.71642215542</v>
      </c>
      <c r="I11" s="0" t="n">
        <f aca="false">I8+I10+I24</f>
        <v>4918.6843327093</v>
      </c>
      <c r="J11" s="0" t="n">
        <f aca="false">J8+J10+J24</f>
        <v>5041.65144102703</v>
      </c>
      <c r="K11" s="0" t="n">
        <f aca="false">K8+K10+K24</f>
        <v>5167.69272705271</v>
      </c>
      <c r="L11" s="0" t="n">
        <f aca="false">L8+L10+L24</f>
        <v>5296.88504522902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-1029.33293478</v>
      </c>
      <c r="D12" s="4" t="n">
        <f aca="false">-D6*Assumptions!D45/100</f>
        <v>-1027.095254487</v>
      </c>
      <c r="E12" s="4" t="n">
        <f aca="false">-E6*Assumptions!E45/100</f>
        <v>-1063.04358839404</v>
      </c>
      <c r="F12" s="4" t="n">
        <f aca="false">-F6*Assumptions!F45/100</f>
        <v>-1100.25011398784</v>
      </c>
      <c r="G12" s="4" t="n">
        <f aca="false">-G6*Assumptions!G45/100</f>
        <v>-1133.25761740747</v>
      </c>
      <c r="H12" s="4" t="n">
        <f aca="false">-H6*Assumptions!H45/100</f>
        <v>-1167.2553459297</v>
      </c>
      <c r="I12" s="4" t="n">
        <f aca="false">-I6*Assumptions!I45/100</f>
        <v>-1196.43672957794</v>
      </c>
      <c r="J12" s="4" t="n">
        <f aca="false">-J6*Assumptions!J45/100</f>
        <v>-1226.34764781739</v>
      </c>
      <c r="K12" s="4" t="n">
        <f aca="false">-K6*Assumptions!K45/100</f>
        <v>-1257.00633901282</v>
      </c>
      <c r="L12" s="4" t="n">
        <f aca="false">-L6*Assumptions!L45/100</f>
        <v>-1288.43149748814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2774.72356332</v>
      </c>
      <c r="D13" s="0" t="n">
        <f aca="false">D11+D12</f>
        <v>2967.164068518</v>
      </c>
      <c r="E13" s="0" t="n">
        <f aca="false">E11+E12</f>
        <v>3189.13076518213</v>
      </c>
      <c r="F13" s="0" t="n">
        <f aca="false">F11+F12</f>
        <v>3423.00035462882</v>
      </c>
      <c r="G13" s="0" t="n">
        <f aca="false">G11+G12</f>
        <v>3525.69036526769</v>
      </c>
      <c r="H13" s="0" t="n">
        <f aca="false">H11+H12</f>
        <v>3631.46107622572</v>
      </c>
      <c r="I13" s="0" t="n">
        <f aca="false">I11+I12</f>
        <v>3722.24760313136</v>
      </c>
      <c r="J13" s="0" t="n">
        <f aca="false">J11+J12</f>
        <v>3815.30379320965</v>
      </c>
      <c r="K13" s="0" t="n">
        <f aca="false">K11+K12</f>
        <v>3910.68638803989</v>
      </c>
      <c r="L13" s="0" t="n">
        <f aca="false">L11+L12</f>
        <v>4008.45354774088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2164.2843793896</v>
      </c>
      <c r="D15" s="0" t="n">
        <f aca="false">D13-MAX(0,D13)*D14/100</f>
        <v>2314.38797344404</v>
      </c>
      <c r="E15" s="0" t="n">
        <f aca="false">E13-MAX(0,E13)*E14/100</f>
        <v>2487.52199684206</v>
      </c>
      <c r="F15" s="0" t="n">
        <f aca="false">F13-MAX(0,F13)*F14/100</f>
        <v>2669.94027661048</v>
      </c>
      <c r="G15" s="0" t="n">
        <f aca="false">G13-MAX(0,G13)*G14/100</f>
        <v>2750.0384849088</v>
      </c>
      <c r="H15" s="0" t="n">
        <f aca="false">H13-MAX(0,H13)*H14/100</f>
        <v>2832.53963945606</v>
      </c>
      <c r="I15" s="0" t="n">
        <f aca="false">I13-MAX(0,I13)*I14/100</f>
        <v>2903.35313044246</v>
      </c>
      <c r="J15" s="0" t="n">
        <f aca="false">J13-MAX(0,J13)*J14/100</f>
        <v>2975.93695870352</v>
      </c>
      <c r="K15" s="0" t="n">
        <f aca="false">K13-MAX(0,K13)*K14/100</f>
        <v>3050.33538267111</v>
      </c>
      <c r="L15" s="0" t="n">
        <f aca="false">L13-MAX(0,L13)*L14/100</f>
        <v>3126.59376723789</v>
      </c>
    </row>
    <row r="16" customFormat="false" ht="15" hidden="false" customHeight="false" outlineLevel="0" collapsed="false">
      <c r="A16" s="0" t="s">
        <v>118</v>
      </c>
      <c r="C16" s="0" t="n">
        <f aca="false">-C12</f>
        <v>1029.33293478</v>
      </c>
      <c r="D16" s="0" t="n">
        <f aca="false">-D12</f>
        <v>1027.095254487</v>
      </c>
      <c r="E16" s="0" t="n">
        <f aca="false">-E12</f>
        <v>1063.04358839404</v>
      </c>
      <c r="F16" s="0" t="n">
        <f aca="false">-F12</f>
        <v>1100.25011398784</v>
      </c>
      <c r="G16" s="0" t="n">
        <f aca="false">-G12</f>
        <v>1133.25761740747</v>
      </c>
      <c r="H16" s="0" t="n">
        <f aca="false">-H12</f>
        <v>1167.2553459297</v>
      </c>
      <c r="I16" s="0" t="n">
        <f aca="false">-I12</f>
        <v>1196.43672957794</v>
      </c>
      <c r="J16" s="0" t="n">
        <f aca="false">-J12</f>
        <v>1226.34764781739</v>
      </c>
      <c r="K16" s="0" t="n">
        <f aca="false">-K12</f>
        <v>1257.00633901282</v>
      </c>
      <c r="L16" s="0" t="n">
        <f aca="false">-L12</f>
        <v>1288.43149748814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-962.20252599</v>
      </c>
      <c r="D17" s="4" t="n">
        <f aca="false">-D6*Assumptions!D46/100</f>
        <v>-1027.095254487</v>
      </c>
      <c r="E17" s="4" t="n">
        <f aca="false">-E6*Assumptions!E46/100</f>
        <v>-1063.04358839404</v>
      </c>
      <c r="F17" s="4" t="n">
        <f aca="false">-F6*Assumptions!F46/100</f>
        <v>-1100.25011398784</v>
      </c>
      <c r="G17" s="4" t="n">
        <f aca="false">-G6*Assumptions!G46/100</f>
        <v>-1133.25761740747</v>
      </c>
      <c r="H17" s="4" t="n">
        <f aca="false">-H6*Assumptions!H46/100</f>
        <v>-1167.2553459297</v>
      </c>
      <c r="I17" s="4" t="n">
        <f aca="false">-I6*Assumptions!I46/100</f>
        <v>-1196.43672957794</v>
      </c>
      <c r="J17" s="4" t="n">
        <f aca="false">-J6*Assumptions!J46/100</f>
        <v>-1226.34764781739</v>
      </c>
      <c r="K17" s="4" t="n">
        <f aca="false">-K6*Assumptions!K46/100</f>
        <v>-1257.00633901282</v>
      </c>
      <c r="L17" s="4" t="n">
        <f aca="false">-L6*Assumptions!L46/100</f>
        <v>-1288.43149748814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83.0479284000001</v>
      </c>
      <c r="D18" s="4" t="n">
        <f aca="false">(D6-C6)*Assumptions!$B$51/100</f>
        <v>-53.7043270319999</v>
      </c>
      <c r="E18" s="4" t="n">
        <f aca="false">(E6-D6)*Assumptions!$B$51/100</f>
        <v>-95.8622237521198</v>
      </c>
      <c r="F18" s="4" t="n">
        <f aca="false">(F6-E6)*Assumptions!$B$51/100</f>
        <v>-99.2174015834439</v>
      </c>
      <c r="G18" s="4" t="n">
        <f aca="false">(G6-F6)*Assumptions!$B$51/100</f>
        <v>-88.020009119027</v>
      </c>
      <c r="H18" s="4" t="n">
        <f aca="false">(H6-G6)*Assumptions!$B$51/100</f>
        <v>-90.660609392598</v>
      </c>
      <c r="I18" s="4" t="n">
        <f aca="false">(I6-H6)*Assumptions!$B$51/100</f>
        <v>-77.8170230619796</v>
      </c>
      <c r="J18" s="4" t="n">
        <f aca="false">(J6-I6)*Assumptions!$B$51/100</f>
        <v>-79.7624486385289</v>
      </c>
      <c r="K18" s="4" t="n">
        <f aca="false">(K6-J6)*Assumptions!$B$51/100</f>
        <v>-81.756509854492</v>
      </c>
      <c r="L18" s="4" t="n">
        <f aca="false">(L6-K6)*Assumptions!$B$51/100</f>
        <v>-83.8004226008545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2314.4627165796</v>
      </c>
      <c r="D19" s="0" t="n">
        <f aca="false">D15+D16+D17+D18</f>
        <v>2260.68364641204</v>
      </c>
      <c r="E19" s="0" t="n">
        <f aca="false">E15+E16+E17+E18</f>
        <v>2391.65977308995</v>
      </c>
      <c r="F19" s="0" t="n">
        <f aca="false">F15+F16+F17+F18</f>
        <v>2570.72287502704</v>
      </c>
      <c r="G19" s="0" t="n">
        <f aca="false">G15+G16+G17+G18</f>
        <v>2662.01847578977</v>
      </c>
      <c r="H19" s="0" t="n">
        <f aca="false">H15+H16+H17+H18</f>
        <v>2741.87903006346</v>
      </c>
      <c r="I19" s="0" t="n">
        <f aca="false">I15+I16+I17+I18</f>
        <v>2825.53610738048</v>
      </c>
      <c r="J19" s="0" t="n">
        <f aca="false">J15+J16+J17+J18</f>
        <v>2896.17451006499</v>
      </c>
      <c r="K19" s="0" t="n">
        <f aca="false">K15+K16+K17+K18</f>
        <v>2968.57887281662</v>
      </c>
      <c r="L19" s="0" t="n">
        <f aca="false">L15+L16+L17+L18</f>
        <v>3042.79334463704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2123.36029044</v>
      </c>
      <c r="D21" s="0" t="n">
        <f aca="false">D19*D20</f>
        <v>1902.77219628991</v>
      </c>
      <c r="E21" s="0" t="n">
        <f aca="false">E19*E20</f>
        <v>1846.80016670665</v>
      </c>
      <c r="F21" s="0" t="n">
        <f aca="false">F19*F20</f>
        <v>1821.16489533116</v>
      </c>
      <c r="G21" s="0" t="n">
        <f aca="false">G19*G20</f>
        <v>1730.12935832185</v>
      </c>
      <c r="H21" s="0" t="n">
        <f aca="false">H19*H20</f>
        <v>1634.89287988212</v>
      </c>
      <c r="I21" s="0" t="n">
        <f aca="false">I19*I20</f>
        <v>1545.66501077841</v>
      </c>
      <c r="J21" s="0" t="n">
        <f aca="false">J19*J20</f>
        <v>1453.49232664942</v>
      </c>
      <c r="K21" s="0" t="n">
        <f aca="false">K19*K20</f>
        <v>1366.81617872996</v>
      </c>
      <c r="L21" s="0" t="n">
        <f aca="false">L19*L20</f>
        <v>1285.30879192496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16710.4020950544</v>
      </c>
    </row>
    <row r="31" customFormat="false" ht="15" hidden="false" customHeight="false" outlineLevel="0" collapsed="false">
      <c r="A31" s="0" t="s">
        <v>127</v>
      </c>
      <c r="B31" s="0" t="n">
        <f aca="false">L19</f>
        <v>3042.79334463704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47982.5104346609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45641.9001695555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45641.9001695555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19279.6318788744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35990.0339739289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42190.9609739289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43.5381475898929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1.2270152219894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43.5381475898929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24950.9054260237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26.0527627426337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23.7319965227904</v>
      </c>
      <c r="C4" s="0" t="n">
        <f aca="false">B4/Assumptions!$B$2-1</f>
        <v>0.213912865615878</v>
      </c>
      <c r="D4" s="4" t="n">
        <f aca="false">Assumptions!$B$24</f>
        <v>0.3</v>
      </c>
      <c r="E4" s="4" t="n">
        <f aca="false">DCF_Bear!$B$43</f>
        <v>23.7319965227904</v>
      </c>
      <c r="F4" s="4" t="n">
        <f aca="false">DCF_Bear!$B$47</f>
        <v>17.0321159506855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34.4329365965399</v>
      </c>
      <c r="C5" s="0" t="n">
        <f aca="false">B5/Assumptions!$B$2-1</f>
        <v>0.761275529234778</v>
      </c>
      <c r="D5" s="4" t="n">
        <f aca="false">Assumptions!$B$38</f>
        <v>0.5</v>
      </c>
      <c r="E5" s="4" t="n">
        <f aca="false">DCF_Base!$B$43</f>
        <v>34.4329365965399</v>
      </c>
      <c r="F5" s="4" t="n">
        <f aca="false">DCF_Base!$B$47</f>
        <v>21.6710724378019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43.5381475898929</v>
      </c>
      <c r="C6" s="0" t="n">
        <f aca="false">B6/Assumptions!$B$2-1</f>
        <v>1.2270152219894</v>
      </c>
      <c r="D6" s="4" t="n">
        <f aca="false">Assumptions!$B$52</f>
        <v>0.2</v>
      </c>
      <c r="E6" s="4" t="n">
        <f aca="false">DCF_Bull!$B$43</f>
        <v>43.5381475898929</v>
      </c>
      <c r="F6" s="4" t="n">
        <f aca="false">DCF_Bull!$B$47</f>
        <v>26.0527627426337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33.0436967730857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33.0436967730857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0.408359175601574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21.1557235526333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34.4329365965399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30.9796841280522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28.2926694339368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26.1420593018986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21.6710724378019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39.1433589313732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39.1433589313732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39.1433589313732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39.1433589313732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39.1433589313732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36.2874536238264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36.8981259282442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36.8981259282442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36.8981259282442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36.8981259282442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32.535980327399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33.4212265863314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34.4329365965399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34.8506150411214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34.8506150411214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29.6206913001187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30.2602173367933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30.9796841280522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31.7950798248123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32.7269606211095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27.2905153304796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27.7652199058014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28.2926694339368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28.8821718477352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29.5453620632584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2026-10-11T14:15:54Z</dcterms:created>
  <dc:creator>openpyxl</dc:creator>
  <dc:description/>
  <dc:language>en-NZ</dc:language>
  <cp:lastModifiedBy/>
  <dcterms:modified xsi:type="dcterms:W3CDTF">2026-10-11T14:15:54Z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