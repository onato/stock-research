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<sst xmlns="http://schemas.openxmlformats.org/spreadsheetml/2006/main" count="386" uniqueCount="174">
  <si>
    <t xml:space="preserve">Ticker</t>
  </si>
  <si>
    <t xml:space="preserve">ALL</t>
  </si>
  <si>
    <t xml:space="preserve">Company</t>
  </si>
  <si>
    <t xml:space="preserve">The Allstate Corporation</t>
  </si>
  <si>
    <t xml:space="preserve">Valuation date</t>
  </si>
  <si>
    <t xml:space="preserve">2026-09-25</t>
  </si>
  <si>
    <t xml:space="preserve">Current price</t>
  </si>
  <si>
    <t xml:space="preserve">Price as of</t>
  </si>
  <si>
    <t xml:space="preserve">2026-09-24T20:00:03Z regular close (Yahoo chart API)</t>
  </si>
  <si>
    <t xml:space="preserve">Balance sheet date</t>
  </si>
  <si>
    <t xml:space="preserve">2026-06-30</t>
  </si>
  <si>
    <t xml:space="preserve">Model</t>
  </si>
  <si>
    <t xml:space="preserve">Insurer distributable earnings (FCFE) at cost of equity, residual income equivalent, BVPS x exit P/B cross-check (engine route)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</si>
  <si>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</si>
  <si>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</si>
  <si>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</si>
  <si>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</si>
  <si>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</si>
  <si>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</si>
  <si>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</si>
  <si>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</si>
  <si>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2026-09-25T09:51:22Z</t>
  </si>
  <si>
    <t xml:space="preserve">Drivers file</t>
  </si>
  <si>
    <t xml:space="preserve">ALL_Drivers.json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</si>
  <si>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</si>
  <si>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</si>
  <si>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</si>
  <si>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Allstate is valued on what it can distribute to common shareholders through the cycle, not on peak earnings. The stream is pre-tax operating income (ex realized gains) taxed at 21%, less the statutory capital retained to fund premium growth, discounted at a 9% cost of equity with net debt zero (debt is serviced inside the flows) and the $2.05bn preferred deducted. The base case reverts from today's ~87% combined ratio to ~94.5% by year 5. At $227 the stock trades at ~4.4x TTM earnings, 1.82x book ($124.8 common BVPS = $31,697m / 254m) and ~2.05x tangible book, which prices in a sharp reversion. Cross-check (BVPS x P/B): justified P/B = (ROE - g)/(CoE - g); at the base mid-cycle ROE ~17%, g 2.5%, CoE 9% that is ~2.2x, i.e. ~$275 on today's book; the engine's base ($302) sits ~$25 higher because it also credits years 1-3 earned above mid-cycle while the peak margin fades, so the two methods agree once that is bridged. The price implies ~12% IRR on the base case (required_return_table), i.e. the market is discounting a bear-leaning reversion.
key_risks_to_valuation: Mid-cycle combined ratio: each 1pt on ~$63bn of premium is ~$630m pre-tax (~$1.95/share of annual earnings, ~$20/share of value at a 13x exit); Catastrophe trend (convective storms, wildfire) raising the normal cat load above ~10 points of premium; Reserve adequacy on auto bodily injury under social inflation -- adverse prior-year development would hit book and earnings together; Net investment income falls if short rates fall (portfolio ~$75bn with a short-duration tilt); Excess capital (~$9.5bn management-cited) is not credited in the bridge -- conservative by ~$20/share if it is genuinely deployable; 13x terminal cap on distributable earnings binds in every scenario (Gordon at 9%/2.5% is ~15.8x); a market paying Allstate's historic 11-12x P/E at the exit would cut value ~8-10%</t>
  </si>
  <si>
    <t xml:space="preserve">Data sources</t>
  </si>
  <si>
    <t xml:space="preserve">price: Yahoo Finance chart API at inputs.price_as_of; 52-week range 188.08-277.22
financials: ALL_Metrics.csv (SEC XBRL FY2007-Q2 2026) and SEC XBRL companyfacts CIK 0000899051 (revenues, net investment income, realized gains, income tax, preferred liquidation preference, goodwill, long-term debt, SBC, diluted shares, cover-page share count) for the 10-Q period ended 30-Jun-2026
qualitative: ALL_Analysis.json (2026-09-25): Q2-2026 earnings call, guidance and segment commentary</t>
  </si>
  <si>
    <t xml:space="preserve">Scenario narrative: bear</t>
  </si>
  <si>
    <t xml:space="preserve">The cycle turns hard. Competitors reprice for growth, regulators slow rate filings just as repair, medical and litigation (social-inflation) costs re-accelerate, and a heavy convective-storm/wildfire year lands in year 2 (combined ratio ~99%). After that a climate-driven rise in the catastrophe load and renewed share loss to Progressive/GEICO's lower-cost direct model leave the mid-cycle combined ratio at ~96.5%, with growth held to 2-3% by homeowners non-renewals in high-risk states. ROE still clears the cost of equity (~13%), so this is margin compression, not a capital event.</t>
  </si>
  <si>
    <t xml:space="preserve">Scenario narrative: base</t>
  </si>
  <si>
    <t xml:space="preserve">The 2021-23 loss-cost repricing has fully earned in and Q2-2026's 86.6% combined ratio is the top of the cycle. With auto rate actions now netting to roughly zero and loss trend still running mid-single digits, underwriting margins revert over three to four years to management's through-cycle 'mid-90s' combined ratio, with a normal ~10-point catastrophe load. Policies in force keep growing ~3-4% (215.9m, +3.8% YoY) plus modest rate, so operating revenue grows 5% falling to 2.5%. Net investment income holds its share of revenue at today's reinvestment yields. Mid-cycle ROE settles near 17%, well above a 9% cost of equity, and surplus above ~35% of incremental premium is paid out through dividends and buybacks.</t>
  </si>
  <si>
    <t xml:space="preserve">Scenario narrative: bull</t>
  </si>
  <si>
    <t xml:space="preserve">Allstate converts the peak into durable share gains: Transformative Growth, telematics (Drivewise/Milewise) and the Ally agentic-AI cost programme lower the expense ratio toward direct-writer levels, so the soft market costs it less than peers. Policy growth accelerates, homeowners keeps repricing ahead of cat trend, and mid-cycle combined ratio holds near 92% (pre-tax margin 12%). Operating revenue grows 6.5% falling to 3%.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</si>
  <si>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</si>
  <si>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</si>
  <si>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</si>
  <si>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</si>
  <si>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</si>
  <si>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</si>
  <si>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</si>
  <si>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</si>
  <si>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</si>
  <si>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</si>
  <si>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</si>
  <si>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</si>
  <si>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</si>
  <si>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</si>
  <si>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</si>
  <si>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</si>
  <si>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</si>
  <si>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</si>
  <si>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</si>
  <si>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</si>
  <si>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</si>
  <si>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</si>
  <si>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</si>
  <si>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</si>
  <si>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</si>
  <si>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</si>
  <si>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</si>
  <si>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FY2007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</si>
  <si>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</si>
  <si>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</si>
  <si>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</si>
  <si>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</si>
  <si>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</si>
  <si>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</si>
  <si>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</si>
  <si>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</si>
  <si>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</si>
  <si>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</si>
  <si>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</si>
  <si>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</si>
  <si>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</si>
  <si>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</si>
  <si>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</si>
  <si>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</si>
  <si>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</si>
  <si>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</si>
  <si>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</si>
  <si>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</si>
  <si>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</si>
  <si>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</si>
  <si>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</si>
  <si>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</si>
  <si>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</si>
  <si>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</si>
  <si>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</si>
  <si>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FY2026 run-rate (2 x H1-2026, revenue ex realized capital gains)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</si>
  <si>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</si>
  <si>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</si>
  <si>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</si>
  <si>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</si>
  <si>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</si>
  <si>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</si>
  <si>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</si>
  <si>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</si>
  <si>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</si>
  <si>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</si>
  <si>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</si>
  <si>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</si>
  <si>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</si>
  <si>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</si>
  <si>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</si>
  <si>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</si>
  <si>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</si>
  <si>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</si>
  <si>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</si>
  <si>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</si>
  <si>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</si>
  <si>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</si>
  <si>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</si>
  <si>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</si>
  <si>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</si>
  <si>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</si>
  <si>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</si>
  <si>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</si>
  <si>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ALL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</si>
  <si>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</si>
  <si>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</si>
  <si>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</si>
  <si>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</si>
  <si>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</si>
  <si>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</si>
  <si>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</si>
  <si>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</si>
  <si>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</si>
  <si>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</si>
  <si>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</si>
  <si>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</si>
  <si>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</si>
  <si>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</si>
  <si>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</si>
  <si>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</si>
  <si>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</si>
  <si>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</si>
  <si>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</si>
  <si>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</si>
  <si>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</si>
  <si>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</si>
  <si>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</si>
  <si>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</si>
  <si>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</si>
  <si>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</si>
  <si>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</si>
  <si>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</si>
  <si>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</si>
  <si>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</si>
  <si>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ALL owner-FCF component DCF: base case (millions, USD)</t>
  </si>
  <si>
    <t xml:space="preserve">ALL owner-FCF component DCF: bull case (millions, USD)</t>
  </si>
  <si>
    <t xml:space="preserve">ALL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</si>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</sst>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227.17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B2" s="0" t="n">
        <v>36769</v>
      </c>
      <c r="I2" s="0" t="n">
        <v>4636</v>
      </c>
      <c r="J2" s="0" t="n">
        <v>12.6084473333515</v>
      </c>
      <c r="K2" s="0" t="n">
        <v>7.76</v>
      </c>
      <c r="L2" s="0" t="n">
        <v>5433</v>
      </c>
      <c r="M2" s="0" t="n">
        <v>274</v>
      </c>
      <c r="N2" s="0" t="n">
        <v>5159</v>
      </c>
      <c r="O2" s="0" t="n">
        <v>21902</v>
      </c>
      <c r="T2" s="0" t="n">
        <v>597.5</v>
      </c>
      <c r="V2" s="0" t="n">
        <v>1.52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29394</v>
      </c>
      <c r="I3" s="0" t="n">
        <v>-1679</v>
      </c>
      <c r="J3" s="0" t="n">
        <v>-5.71205007824726</v>
      </c>
      <c r="K3" s="0" t="n">
        <v>-3.06</v>
      </c>
      <c r="L3" s="0" t="n">
        <v>3910</v>
      </c>
      <c r="M3" s="0" t="n">
        <v>291</v>
      </c>
      <c r="N3" s="0" t="n">
        <v>3619</v>
      </c>
      <c r="O3" s="0" t="n">
        <v>12673</v>
      </c>
      <c r="P3" s="0" t="n">
        <v>134798</v>
      </c>
      <c r="Q3" s="0" t="n">
        <v>122125</v>
      </c>
      <c r="R3" s="0" t="n">
        <v>5659</v>
      </c>
      <c r="T3" s="0" t="n">
        <v>548.3</v>
      </c>
      <c r="U3" s="0" t="n">
        <v>85</v>
      </c>
      <c r="V3" s="0" t="n">
        <v>1.64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32013</v>
      </c>
      <c r="I4" s="0" t="n">
        <v>854</v>
      </c>
      <c r="J4" s="0" t="n">
        <v>2.66766626058164</v>
      </c>
      <c r="K4" s="0" t="n">
        <v>1.58</v>
      </c>
      <c r="L4" s="0" t="n">
        <v>4301</v>
      </c>
      <c r="M4" s="0" t="n">
        <v>189</v>
      </c>
      <c r="N4" s="0" t="n">
        <v>4112</v>
      </c>
      <c r="O4" s="0" t="n">
        <v>16721</v>
      </c>
      <c r="P4" s="0" t="n">
        <v>132652</v>
      </c>
      <c r="Q4" s="0" t="n">
        <v>115931</v>
      </c>
      <c r="R4" s="0" t="n">
        <v>5910</v>
      </c>
      <c r="T4" s="0" t="n">
        <v>540.9</v>
      </c>
      <c r="U4" s="0" t="n">
        <v>74</v>
      </c>
      <c r="V4" s="0" t="n">
        <v>0.8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31400</v>
      </c>
      <c r="I5" s="0" t="n">
        <v>911</v>
      </c>
      <c r="J5" s="0" t="n">
        <v>2.90127388535032</v>
      </c>
      <c r="K5" s="0" t="n">
        <v>1.68</v>
      </c>
      <c r="L5" s="0" t="n">
        <v>3689</v>
      </c>
      <c r="M5" s="0" t="n">
        <v>162</v>
      </c>
      <c r="N5" s="0" t="n">
        <v>3527</v>
      </c>
      <c r="O5" s="0" t="n">
        <v>18645</v>
      </c>
      <c r="P5" s="0" t="n">
        <v>130500</v>
      </c>
      <c r="Q5" s="0" t="n">
        <v>111830</v>
      </c>
      <c r="R5" s="0" t="n">
        <v>5950</v>
      </c>
      <c r="T5" s="0" t="n">
        <v>542.5</v>
      </c>
      <c r="U5" s="0" t="n">
        <v>68</v>
      </c>
      <c r="V5" s="0" t="n">
        <v>0.8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32654</v>
      </c>
      <c r="I6" s="0" t="n">
        <v>787</v>
      </c>
      <c r="J6" s="0" t="n">
        <v>2.41011820910149</v>
      </c>
      <c r="K6" s="0" t="n">
        <v>1.5</v>
      </c>
      <c r="L6" s="0" t="n">
        <v>1929</v>
      </c>
      <c r="M6" s="0" t="n">
        <v>246</v>
      </c>
      <c r="N6" s="0" t="n">
        <v>1683</v>
      </c>
      <c r="O6" s="0" t="n">
        <v>18326</v>
      </c>
      <c r="P6" s="0" t="n">
        <v>125193</v>
      </c>
      <c r="Q6" s="0" t="n">
        <v>106867</v>
      </c>
      <c r="R6" s="0" t="n">
        <v>6258</v>
      </c>
      <c r="T6" s="0" t="n">
        <v>523.1</v>
      </c>
      <c r="U6" s="0" t="n">
        <v>64</v>
      </c>
      <c r="V6" s="0" t="n">
        <v>0.84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33315</v>
      </c>
      <c r="I7" s="0" t="n">
        <v>2306</v>
      </c>
      <c r="J7" s="0" t="n">
        <v>6.92180699384662</v>
      </c>
      <c r="K7" s="0" t="n">
        <v>4.68</v>
      </c>
      <c r="L7" s="0" t="n">
        <v>3054</v>
      </c>
      <c r="M7" s="0" t="n">
        <v>285</v>
      </c>
      <c r="N7" s="0" t="n">
        <v>2769</v>
      </c>
      <c r="O7" s="0" t="n">
        <v>20580</v>
      </c>
      <c r="P7" s="0" t="n">
        <v>126947</v>
      </c>
      <c r="Q7" s="0" t="n">
        <v>106367</v>
      </c>
      <c r="R7" s="0" t="n">
        <v>6307</v>
      </c>
      <c r="T7" s="0" t="n">
        <v>493</v>
      </c>
      <c r="U7" s="0" t="n">
        <v>86</v>
      </c>
      <c r="V7" s="0" t="n">
        <v>0.88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34507</v>
      </c>
      <c r="I8" s="0" t="n">
        <v>2280</v>
      </c>
      <c r="J8" s="0" t="n">
        <v>6.60735502941432</v>
      </c>
      <c r="K8" s="0" t="n">
        <v>4.81</v>
      </c>
      <c r="L8" s="0" t="n">
        <v>4242</v>
      </c>
      <c r="M8" s="0" t="n">
        <v>207</v>
      </c>
      <c r="N8" s="0" t="n">
        <v>4035</v>
      </c>
      <c r="O8" s="0" t="n">
        <v>21480</v>
      </c>
      <c r="P8" s="0" t="n">
        <v>123460</v>
      </c>
      <c r="Q8" s="0" t="n">
        <v>102040</v>
      </c>
      <c r="R8" s="0" t="n">
        <v>6201</v>
      </c>
      <c r="T8" s="0" t="n">
        <v>470.3</v>
      </c>
      <c r="U8" s="0" t="n">
        <v>93</v>
      </c>
      <c r="V8" s="0" t="n">
        <v>1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35239</v>
      </c>
      <c r="I9" s="0" t="n">
        <v>2850</v>
      </c>
      <c r="J9" s="0" t="n">
        <v>8.08763018246829</v>
      </c>
      <c r="K9" s="0" t="n">
        <v>6.27</v>
      </c>
      <c r="L9" s="0" t="n">
        <v>3236</v>
      </c>
      <c r="M9" s="0" t="n">
        <v>288</v>
      </c>
      <c r="N9" s="0" t="n">
        <v>2948</v>
      </c>
      <c r="O9" s="0" t="n">
        <v>22304</v>
      </c>
      <c r="P9" s="0" t="n">
        <v>108479</v>
      </c>
      <c r="Q9" s="0" t="n">
        <v>86175</v>
      </c>
      <c r="R9" s="0" t="n">
        <v>5140</v>
      </c>
      <c r="T9" s="0" t="n">
        <v>438.2</v>
      </c>
      <c r="U9" s="0" t="n">
        <v>88</v>
      </c>
      <c r="V9" s="0" t="n">
        <v>1.12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35653</v>
      </c>
      <c r="I10" s="0" t="n">
        <v>2171</v>
      </c>
      <c r="J10" s="0" t="n">
        <v>6.08924915154405</v>
      </c>
      <c r="K10" s="0" t="n">
        <v>5.05</v>
      </c>
      <c r="L10" s="0" t="n">
        <v>3616</v>
      </c>
      <c r="M10" s="0" t="n">
        <v>303</v>
      </c>
      <c r="N10" s="0" t="n">
        <v>3313</v>
      </c>
      <c r="O10" s="0" t="n">
        <v>20025</v>
      </c>
      <c r="P10" s="0" t="n">
        <v>104656</v>
      </c>
      <c r="Q10" s="0" t="n">
        <v>84631</v>
      </c>
      <c r="R10" s="0" t="n">
        <v>5124</v>
      </c>
      <c r="T10" s="0" t="n">
        <v>406.8</v>
      </c>
      <c r="U10" s="0" t="n">
        <v>81</v>
      </c>
      <c r="V10" s="0" t="n">
        <v>1.2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37399</v>
      </c>
      <c r="I11" s="0" t="n">
        <v>1877</v>
      </c>
      <c r="J11" s="0" t="n">
        <v>5.018850771411</v>
      </c>
      <c r="K11" s="0" t="n">
        <v>4.67</v>
      </c>
      <c r="L11" s="0" t="n">
        <v>3993</v>
      </c>
      <c r="M11" s="0" t="n">
        <v>313</v>
      </c>
      <c r="N11" s="0" t="n">
        <v>3680</v>
      </c>
      <c r="O11" s="0" t="n">
        <v>20573</v>
      </c>
      <c r="P11" s="0" t="n">
        <v>108610</v>
      </c>
      <c r="Q11" s="0" t="n">
        <v>88037</v>
      </c>
      <c r="R11" s="0" t="n">
        <v>6347</v>
      </c>
      <c r="T11" s="0" t="n">
        <v>377.3</v>
      </c>
      <c r="U11" s="0" t="n">
        <v>80</v>
      </c>
      <c r="V11" s="0" t="n">
        <v>1.32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39407</v>
      </c>
      <c r="I12" s="0" t="n">
        <v>3554</v>
      </c>
      <c r="J12" s="0" t="n">
        <v>9.01870226101962</v>
      </c>
      <c r="K12" s="0" t="n">
        <v>9.35</v>
      </c>
      <c r="L12" s="0" t="n">
        <v>4314</v>
      </c>
      <c r="M12" s="0" t="n">
        <v>299</v>
      </c>
      <c r="N12" s="0" t="n">
        <v>4015</v>
      </c>
      <c r="O12" s="0" t="n">
        <v>22551</v>
      </c>
      <c r="P12" s="0" t="n">
        <v>112422</v>
      </c>
      <c r="Q12" s="0" t="n">
        <v>89871</v>
      </c>
      <c r="R12" s="0" t="n">
        <v>6350</v>
      </c>
      <c r="T12" s="0" t="n">
        <v>367.8</v>
      </c>
      <c r="U12" s="0" t="n">
        <v>106</v>
      </c>
      <c r="V12" s="0" t="n">
        <v>1.48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39815</v>
      </c>
      <c r="I13" s="0" t="n">
        <v>2160</v>
      </c>
      <c r="J13" s="0" t="n">
        <v>5.42509104608816</v>
      </c>
      <c r="K13" s="0" t="n">
        <v>5.7</v>
      </c>
      <c r="L13" s="0" t="n">
        <v>5175</v>
      </c>
      <c r="M13" s="0" t="n">
        <v>277</v>
      </c>
      <c r="N13" s="0" t="n">
        <v>4898</v>
      </c>
      <c r="O13" s="0" t="n">
        <v>21312</v>
      </c>
      <c r="P13" s="0" t="n">
        <v>112249</v>
      </c>
      <c r="Q13" s="0" t="n">
        <v>90937</v>
      </c>
      <c r="R13" s="0" t="n">
        <v>6451</v>
      </c>
      <c r="T13" s="0" t="n">
        <v>353.2</v>
      </c>
      <c r="U13" s="0" t="n">
        <v>125</v>
      </c>
      <c r="V13" s="0" t="n">
        <v>1.84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41541</v>
      </c>
      <c r="I14" s="0" t="n">
        <v>4847</v>
      </c>
      <c r="J14" s="0" t="n">
        <v>11.6679906598301</v>
      </c>
      <c r="K14" s="0" t="n">
        <v>14.03</v>
      </c>
      <c r="L14" s="0" t="n">
        <v>5129</v>
      </c>
      <c r="M14" s="0" t="n">
        <v>433</v>
      </c>
      <c r="N14" s="0" t="n">
        <v>4696</v>
      </c>
      <c r="O14" s="0" t="n">
        <v>25998</v>
      </c>
      <c r="P14" s="0" t="n">
        <v>119950</v>
      </c>
      <c r="Q14" s="0" t="n">
        <v>93952</v>
      </c>
      <c r="R14" s="0" t="n">
        <v>6631</v>
      </c>
      <c r="T14" s="0" t="n">
        <v>333.5</v>
      </c>
      <c r="U14" s="0" t="n">
        <v>105</v>
      </c>
      <c r="V14" s="0" t="n">
        <v>2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41909</v>
      </c>
      <c r="I15" s="0" t="n">
        <v>5576</v>
      </c>
      <c r="J15" s="0" t="n">
        <v>13.3050180152235</v>
      </c>
      <c r="K15" s="0" t="n">
        <v>17.31</v>
      </c>
      <c r="L15" s="0" t="n">
        <v>5491</v>
      </c>
      <c r="M15" s="0" t="n">
        <v>308</v>
      </c>
      <c r="N15" s="0" t="n">
        <v>5183</v>
      </c>
      <c r="O15" s="0" t="n">
        <v>30217</v>
      </c>
      <c r="P15" s="0" t="n">
        <v>125987</v>
      </c>
      <c r="Q15" s="0" t="n">
        <v>95770</v>
      </c>
      <c r="R15" s="0" t="n">
        <v>7825</v>
      </c>
      <c r="T15" s="0" t="n">
        <v>315.5</v>
      </c>
      <c r="U15" s="0" t="n">
        <v>124</v>
      </c>
      <c r="V15" s="0" t="n">
        <v>2.16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50601</v>
      </c>
      <c r="I16" s="0" t="n">
        <v>1614</v>
      </c>
      <c r="J16" s="0" t="n">
        <v>3.18966028339361</v>
      </c>
      <c r="K16" s="0" t="n">
        <v>5.01</v>
      </c>
      <c r="L16" s="0" t="n">
        <v>5116</v>
      </c>
      <c r="M16" s="0" t="n">
        <v>345</v>
      </c>
      <c r="N16" s="0" t="n">
        <v>4771</v>
      </c>
      <c r="O16" s="0" t="n">
        <v>24944</v>
      </c>
      <c r="P16" s="0" t="n">
        <v>99440</v>
      </c>
      <c r="Q16" s="0" t="n">
        <v>74313</v>
      </c>
      <c r="R16" s="0" t="n">
        <v>7976</v>
      </c>
      <c r="T16" s="0" t="n">
        <v>299.1</v>
      </c>
      <c r="U16" s="0" t="n">
        <v>120</v>
      </c>
      <c r="V16" s="0" t="n">
        <v>3.24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51411</v>
      </c>
      <c r="I17" s="0" t="n">
        <v>-1289</v>
      </c>
      <c r="J17" s="0" t="n">
        <v>-2.50724553111202</v>
      </c>
      <c r="K17" s="0" t="n">
        <v>-5.14</v>
      </c>
      <c r="L17" s="0" t="n">
        <v>5121</v>
      </c>
      <c r="M17" s="0" t="n">
        <v>420</v>
      </c>
      <c r="N17" s="0" t="n">
        <v>4701</v>
      </c>
      <c r="O17" s="0" t="n">
        <v>17363</v>
      </c>
      <c r="P17" s="0" t="n">
        <v>97989</v>
      </c>
      <c r="Q17" s="0" t="n">
        <v>80626</v>
      </c>
      <c r="R17" s="0" t="n">
        <v>7964</v>
      </c>
      <c r="T17" s="0" t="n">
        <v>271.2</v>
      </c>
      <c r="U17" s="0" t="n">
        <v>93</v>
      </c>
      <c r="V17" s="0" t="n">
        <v>3.4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57094</v>
      </c>
      <c r="I18" s="0" t="n">
        <v>-188</v>
      </c>
      <c r="J18" s="0" t="n">
        <v>-0.329281535713035</v>
      </c>
      <c r="K18" s="0" t="n">
        <v>-1.2</v>
      </c>
      <c r="L18" s="0" t="n">
        <v>4228</v>
      </c>
      <c r="M18" s="0" t="n">
        <v>267</v>
      </c>
      <c r="N18" s="0" t="n">
        <v>3961</v>
      </c>
      <c r="O18" s="0" t="n">
        <v>17770</v>
      </c>
      <c r="P18" s="0" t="n">
        <v>103362</v>
      </c>
      <c r="Q18" s="0" t="n">
        <v>85732</v>
      </c>
      <c r="R18" s="0" t="n">
        <v>7942</v>
      </c>
      <c r="T18" s="0" t="n">
        <v>262.5</v>
      </c>
      <c r="U18" s="0" t="n">
        <v>73</v>
      </c>
      <c r="V18" s="0" t="n">
        <v>3.56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80</v>
      </c>
      <c r="B19" s="0" t="n">
        <v>64106</v>
      </c>
      <c r="I19" s="0" t="n">
        <v>4667</v>
      </c>
      <c r="J19" s="0" t="n">
        <v>7.28012978504352</v>
      </c>
      <c r="K19" s="0" t="n">
        <v>16.99</v>
      </c>
      <c r="L19" s="0" t="n">
        <v>8931</v>
      </c>
      <c r="M19" s="0" t="n">
        <v>210</v>
      </c>
      <c r="N19" s="0" t="n">
        <v>8721</v>
      </c>
      <c r="O19" s="0" t="n">
        <v>21442</v>
      </c>
      <c r="P19" s="0" t="n">
        <v>111617</v>
      </c>
      <c r="Q19" s="0" t="n">
        <v>90250</v>
      </c>
      <c r="R19" s="0" t="n">
        <v>8085</v>
      </c>
      <c r="T19" s="0" t="n">
        <v>267.8</v>
      </c>
      <c r="U19" s="0" t="n">
        <v>125</v>
      </c>
      <c r="V19" s="0" t="n">
        <v>3.68</v>
      </c>
      <c r="AA19" s="0" t="s">
        <v>17</v>
      </c>
      <c r="AB19" s="0" t="s">
        <v>14</v>
      </c>
    </row>
    <row r="20" customFormat="false" ht="15" hidden="false" customHeight="false" outlineLevel="0" collapsed="false">
      <c r="A20" s="0" t="s">
        <v>81</v>
      </c>
      <c r="B20" s="0" t="n">
        <v>67685</v>
      </c>
      <c r="I20" s="0" t="n">
        <v>10282</v>
      </c>
      <c r="J20" s="0" t="n">
        <v>15.1909581147965</v>
      </c>
      <c r="K20" s="0" t="n">
        <v>38.06</v>
      </c>
      <c r="L20" s="0" t="n">
        <v>10110</v>
      </c>
      <c r="M20" s="0" t="n">
        <v>228</v>
      </c>
      <c r="N20" s="0" t="n">
        <v>9882</v>
      </c>
      <c r="O20" s="0" t="n">
        <v>30610</v>
      </c>
      <c r="P20" s="0" t="n">
        <v>119758</v>
      </c>
      <c r="Q20" s="0" t="n">
        <v>89169</v>
      </c>
      <c r="R20" s="0" t="n">
        <v>7490</v>
      </c>
      <c r="T20" s="0" t="n">
        <v>267.1</v>
      </c>
      <c r="U20" s="0" t="n">
        <v>123</v>
      </c>
      <c r="V20" s="0" t="n">
        <v>4</v>
      </c>
      <c r="AA20" s="0" t="s">
        <v>17</v>
      </c>
      <c r="AB20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82</v>
      </c>
      <c r="B1" s="2" t="s">
        <v>83</v>
      </c>
    </row>
    <row r="2" customFormat="false" ht="15" hidden="false" customHeight="false" outlineLevel="0" collapsed="false">
      <c r="A2" s="0" t="s">
        <v>84</v>
      </c>
      <c r="B2" s="3" t="n">
        <v>227.17</v>
      </c>
    </row>
    <row r="3" customFormat="false" ht="15" hidden="false" customHeight="false" outlineLevel="0" collapsed="false">
      <c r="A3" s="0" t="s">
        <v>85</v>
      </c>
      <c r="B3" s="3" t="n">
        <v>255.5</v>
      </c>
    </row>
    <row r="4" customFormat="false" ht="15" hidden="false" customHeight="false" outlineLevel="0" collapsed="false">
      <c r="A4" s="0" t="s">
        <v>86</v>
      </c>
      <c r="B4" s="3" t="n">
        <v>0</v>
      </c>
    </row>
    <row r="5" customFormat="false" ht="15" hidden="false" customHeight="false" outlineLevel="0" collapsed="false">
      <c r="A5" s="0" t="s">
        <v>87</v>
      </c>
      <c r="B5" s="3" t="n">
        <v>-2050</v>
      </c>
    </row>
    <row r="6" customFormat="false" ht="15" hidden="false" customHeight="false" outlineLevel="0" collapsed="false">
      <c r="A6" s="0" t="s">
        <v>88</v>
      </c>
      <c r="B6" s="3" t="n">
        <v>15</v>
      </c>
    </row>
    <row r="7" customFormat="false" ht="15" hidden="false" customHeight="false" outlineLevel="0" collapsed="false">
      <c r="A7" s="0" t="s">
        <v>89</v>
      </c>
      <c r="B7" s="3" t="n">
        <v>69774</v>
      </c>
    </row>
    <row r="8" customFormat="false" ht="15" hidden="false" customHeight="false" outlineLevel="0" collapsed="false">
      <c r="A8" s="0" t="s">
        <v>90</v>
      </c>
      <c r="B8" s="3" t="s">
        <v>91</v>
      </c>
    </row>
    <row r="9" customFormat="false" ht="15" hidden="false" customHeight="false" outlineLevel="0" collapsed="false">
      <c r="A9" s="0" t="s">
        <v>92</v>
      </c>
      <c r="B9" s="3" t="s">
        <v>93</v>
      </c>
    </row>
    <row r="10" customFormat="false" ht="15" hidden="false" customHeight="false" outlineLevel="0" collapsed="false">
      <c r="A10" s="0" t="s">
        <v>94</v>
      </c>
      <c r="B10" s="3" t="n">
        <v>1</v>
      </c>
    </row>
    <row r="12" customFormat="false" ht="15" hidden="false" customHeight="false" outlineLevel="0" collapsed="false">
      <c r="A12" s="2" t="s">
        <v>95</v>
      </c>
      <c r="C12" s="2" t="s">
        <v>96</v>
      </c>
      <c r="D12" s="2" t="s">
        <v>97</v>
      </c>
      <c r="E12" s="2" t="s">
        <v>98</v>
      </c>
      <c r="F12" s="2" t="s">
        <v>99</v>
      </c>
      <c r="G12" s="2" t="s">
        <v>100</v>
      </c>
      <c r="H12" s="2" t="s">
        <v>101</v>
      </c>
      <c r="I12" s="2" t="s">
        <v>102</v>
      </c>
      <c r="J12" s="2" t="s">
        <v>103</v>
      </c>
      <c r="K12" s="2" t="s">
        <v>104</v>
      </c>
      <c r="L12" s="2" t="s">
        <v>105</v>
      </c>
    </row>
    <row r="13" customFormat="false" ht="15" hidden="false" customHeight="false" outlineLevel="0" collapsed="false">
      <c r="A13" s="0" t="s">
        <v>106</v>
      </c>
      <c r="C13" s="3" t="n">
        <v>3</v>
      </c>
      <c r="D13" s="3" t="n">
        <v>2</v>
      </c>
      <c r="E13" s="3" t="n">
        <v>2</v>
      </c>
      <c r="F13" s="3" t="n">
        <v>2.5</v>
      </c>
      <c r="G13" s="3" t="n">
        <v>2.5</v>
      </c>
      <c r="H13" s="3" t="n">
        <v>2.5</v>
      </c>
      <c r="I13" s="3" t="n">
        <v>2.5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107</v>
      </c>
      <c r="C14" s="3" t="n">
        <v>12.2</v>
      </c>
      <c r="D14" s="3" t="n">
        <v>6.2</v>
      </c>
      <c r="E14" s="3" t="n">
        <v>7.7</v>
      </c>
      <c r="F14" s="3" t="n">
        <v>8.2</v>
      </c>
      <c r="G14" s="3" t="n">
        <v>8.2</v>
      </c>
      <c r="H14" s="3" t="n">
        <v>8.2</v>
      </c>
      <c r="I14" s="3" t="n">
        <v>8.2</v>
      </c>
      <c r="J14" s="3" t="n">
        <v>8.2</v>
      </c>
      <c r="K14" s="3" t="n">
        <v>8.2</v>
      </c>
      <c r="L14" s="3" t="n">
        <v>8.2</v>
      </c>
    </row>
    <row r="15" customFormat="false" ht="15" hidden="false" customHeight="false" outlineLevel="0" collapsed="false">
      <c r="A15" s="0" t="s">
        <v>108</v>
      </c>
      <c r="C15" s="3" t="n">
        <v>0.18</v>
      </c>
      <c r="D15" s="3" t="n">
        <v>0.18</v>
      </c>
      <c r="E15" s="3" t="n">
        <v>0.18</v>
      </c>
      <c r="F15" s="3" t="n">
        <v>0.18</v>
      </c>
      <c r="G15" s="3" t="n">
        <v>0.18</v>
      </c>
      <c r="H15" s="3" t="n">
        <v>0.18</v>
      </c>
      <c r="I15" s="3" t="n">
        <v>0.18</v>
      </c>
      <c r="J15" s="3" t="n">
        <v>0.18</v>
      </c>
      <c r="K15" s="3" t="n">
        <v>0.18</v>
      </c>
      <c r="L15" s="3" t="n">
        <v>0.18</v>
      </c>
    </row>
    <row r="16" customFormat="false" ht="15" hidden="false" customHeight="false" outlineLevel="0" collapsed="false">
      <c r="A16" s="0" t="s">
        <v>109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110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</row>
    <row r="18" customFormat="false" ht="15" hidden="false" customHeight="false" outlineLevel="0" collapsed="false">
      <c r="A18" s="0" t="s">
        <v>111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</row>
    <row r="19" customFormat="false" ht="15" hidden="false" customHeight="false" outlineLevel="0" collapsed="false">
      <c r="A19" s="0" t="s">
        <v>112</v>
      </c>
      <c r="C19" s="3" t="n">
        <v>21</v>
      </c>
      <c r="D19" s="3" t="n">
        <v>21</v>
      </c>
      <c r="E19" s="3" t="n">
        <v>21</v>
      </c>
      <c r="F19" s="3" t="n">
        <v>21</v>
      </c>
      <c r="G19" s="3" t="n">
        <v>21</v>
      </c>
      <c r="H19" s="3" t="n">
        <v>21</v>
      </c>
      <c r="I19" s="3" t="n">
        <v>21</v>
      </c>
      <c r="J19" s="3" t="n">
        <v>21</v>
      </c>
      <c r="K19" s="3" t="n">
        <v>21</v>
      </c>
      <c r="L19" s="3" t="n">
        <v>21</v>
      </c>
    </row>
    <row r="20" customFormat="false" ht="15" hidden="false" customHeight="false" outlineLevel="0" collapsed="false">
      <c r="A20" s="0" t="s">
        <v>113</v>
      </c>
      <c r="B20" s="3" t="n">
        <v>9</v>
      </c>
    </row>
    <row r="21" customFormat="false" ht="15" hidden="false" customHeight="false" outlineLevel="0" collapsed="false">
      <c r="A21" s="0" t="s">
        <v>114</v>
      </c>
      <c r="B21" s="3" t="n">
        <v>2</v>
      </c>
    </row>
    <row r="22" customFormat="false" ht="15" hidden="false" customHeight="false" outlineLevel="0" collapsed="false">
      <c r="A22" s="0" t="s">
        <v>115</v>
      </c>
      <c r="B22" s="3" t="n">
        <v>13</v>
      </c>
    </row>
    <row r="23" customFormat="false" ht="15" hidden="false" customHeight="false" outlineLevel="0" collapsed="false">
      <c r="A23" s="0" t="s">
        <v>116</v>
      </c>
      <c r="B23" s="3" t="n">
        <v>-35</v>
      </c>
    </row>
    <row r="24" customFormat="false" ht="15" hidden="false" customHeight="false" outlineLevel="0" collapsed="false">
      <c r="A24" s="0" t="s">
        <v>117</v>
      </c>
      <c r="B24" s="3" t="n">
        <v>0.25</v>
      </c>
    </row>
    <row r="26" customFormat="false" ht="15" hidden="false" customHeight="false" outlineLevel="0" collapsed="false">
      <c r="A26" s="2" t="s">
        <v>118</v>
      </c>
      <c r="C26" s="2" t="s">
        <v>96</v>
      </c>
      <c r="D26" s="2" t="s">
        <v>97</v>
      </c>
      <c r="E26" s="2" t="s">
        <v>98</v>
      </c>
      <c r="F26" s="2" t="s">
        <v>99</v>
      </c>
      <c r="G26" s="2" t="s">
        <v>100</v>
      </c>
      <c r="H26" s="2" t="s">
        <v>101</v>
      </c>
      <c r="I26" s="2" t="s">
        <v>102</v>
      </c>
      <c r="J26" s="2" t="s">
        <v>103</v>
      </c>
      <c r="K26" s="2" t="s">
        <v>104</v>
      </c>
      <c r="L26" s="2" t="s">
        <v>105</v>
      </c>
    </row>
    <row r="27" customFormat="false" ht="15" hidden="false" customHeight="false" outlineLevel="0" collapsed="false">
      <c r="A27" s="0" t="s">
        <v>106</v>
      </c>
      <c r="C27" s="3" t="n">
        <v>5</v>
      </c>
      <c r="D27" s="3" t="n">
        <v>4.5</v>
      </c>
      <c r="E27" s="3" t="n">
        <v>4</v>
      </c>
      <c r="F27" s="3" t="n">
        <v>4</v>
      </c>
      <c r="G27" s="3" t="n">
        <v>3.5</v>
      </c>
      <c r="H27" s="3" t="n">
        <v>3.5</v>
      </c>
      <c r="I27" s="3" t="n">
        <v>3</v>
      </c>
      <c r="J27" s="3" t="n">
        <v>3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107</v>
      </c>
      <c r="C28" s="3" t="n">
        <v>15.2</v>
      </c>
      <c r="D28" s="3" t="n">
        <v>12.7</v>
      </c>
      <c r="E28" s="3" t="n">
        <v>11.2</v>
      </c>
      <c r="F28" s="3" t="n">
        <v>10.5</v>
      </c>
      <c r="G28" s="3" t="n">
        <v>10.2</v>
      </c>
      <c r="H28" s="3" t="n">
        <v>10.2</v>
      </c>
      <c r="I28" s="3" t="n">
        <v>10.2</v>
      </c>
      <c r="J28" s="3" t="n">
        <v>10.2</v>
      </c>
      <c r="K28" s="3" t="n">
        <v>10.2</v>
      </c>
      <c r="L28" s="3" t="n">
        <v>10.2</v>
      </c>
    </row>
    <row r="29" customFormat="false" ht="15" hidden="false" customHeight="false" outlineLevel="0" collapsed="false">
      <c r="A29" s="0" t="s">
        <v>108</v>
      </c>
      <c r="C29" s="3" t="n">
        <v>0.18</v>
      </c>
      <c r="D29" s="3" t="n">
        <v>0.18</v>
      </c>
      <c r="E29" s="3" t="n">
        <v>0.18</v>
      </c>
      <c r="F29" s="3" t="n">
        <v>0.18</v>
      </c>
      <c r="G29" s="3" t="n">
        <v>0.18</v>
      </c>
      <c r="H29" s="3" t="n">
        <v>0.18</v>
      </c>
      <c r="I29" s="3" t="n">
        <v>0.18</v>
      </c>
      <c r="J29" s="3" t="n">
        <v>0.18</v>
      </c>
      <c r="K29" s="3" t="n">
        <v>0.18</v>
      </c>
      <c r="L29" s="3" t="n">
        <v>0.18</v>
      </c>
    </row>
    <row r="30" customFormat="false" ht="15" hidden="false" customHeight="false" outlineLevel="0" collapsed="false">
      <c r="A30" s="0" t="s">
        <v>109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110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</row>
    <row r="32" customFormat="false" ht="15" hidden="false" customHeight="false" outlineLevel="0" collapsed="false">
      <c r="A32" s="0" t="s">
        <v>111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</row>
    <row r="33" customFormat="false" ht="15" hidden="false" customHeight="false" outlineLevel="0" collapsed="false">
      <c r="A33" s="0" t="s">
        <v>112</v>
      </c>
      <c r="C33" s="3" t="n">
        <v>21</v>
      </c>
      <c r="D33" s="3" t="n">
        <v>21</v>
      </c>
      <c r="E33" s="3" t="n">
        <v>21</v>
      </c>
      <c r="F33" s="3" t="n">
        <v>21</v>
      </c>
      <c r="G33" s="3" t="n">
        <v>21</v>
      </c>
      <c r="H33" s="3" t="n">
        <v>21</v>
      </c>
      <c r="I33" s="3" t="n">
        <v>21</v>
      </c>
      <c r="J33" s="3" t="n">
        <v>21</v>
      </c>
      <c r="K33" s="3" t="n">
        <v>21</v>
      </c>
      <c r="L33" s="3" t="n">
        <v>21</v>
      </c>
    </row>
    <row r="34" customFormat="false" ht="15" hidden="false" customHeight="false" outlineLevel="0" collapsed="false">
      <c r="A34" s="0" t="s">
        <v>113</v>
      </c>
      <c r="B34" s="3" t="n">
        <v>9</v>
      </c>
    </row>
    <row r="35" customFormat="false" ht="15" hidden="false" customHeight="false" outlineLevel="0" collapsed="false">
      <c r="A35" s="0" t="s">
        <v>114</v>
      </c>
      <c r="B35" s="3" t="n">
        <v>2.5</v>
      </c>
    </row>
    <row r="36" customFormat="false" ht="15" hidden="false" customHeight="false" outlineLevel="0" collapsed="false">
      <c r="A36" s="0" t="s">
        <v>115</v>
      </c>
      <c r="B36" s="3" t="n">
        <v>13</v>
      </c>
    </row>
    <row r="37" customFormat="false" ht="15" hidden="false" customHeight="false" outlineLevel="0" collapsed="false">
      <c r="A37" s="0" t="s">
        <v>116</v>
      </c>
      <c r="B37" s="3" t="n">
        <v>-35</v>
      </c>
    </row>
    <row r="38" customFormat="false" ht="15" hidden="false" customHeight="false" outlineLevel="0" collapsed="false">
      <c r="A38" s="0" t="s">
        <v>117</v>
      </c>
      <c r="B38" s="3" t="n">
        <v>0.5</v>
      </c>
    </row>
    <row r="40" customFormat="false" ht="15" hidden="false" customHeight="false" outlineLevel="0" collapsed="false">
      <c r="A40" s="2" t="s">
        <v>119</v>
      </c>
      <c r="C40" s="2" t="s">
        <v>96</v>
      </c>
      <c r="D40" s="2" t="s">
        <v>97</v>
      </c>
      <c r="E40" s="2" t="s">
        <v>98</v>
      </c>
      <c r="F40" s="2" t="s">
        <v>99</v>
      </c>
      <c r="G40" s="2" t="s">
        <v>100</v>
      </c>
      <c r="H40" s="2" t="s">
        <v>101</v>
      </c>
      <c r="I40" s="2" t="s">
        <v>102</v>
      </c>
      <c r="J40" s="2" t="s">
        <v>103</v>
      </c>
      <c r="K40" s="2" t="s">
        <v>104</v>
      </c>
      <c r="L40" s="2" t="s">
        <v>105</v>
      </c>
    </row>
    <row r="41" customFormat="false" ht="15" hidden="false" customHeight="false" outlineLevel="0" collapsed="false">
      <c r="A41" s="0" t="s">
        <v>106</v>
      </c>
      <c r="C41" s="3" t="n">
        <v>6.5</v>
      </c>
      <c r="D41" s="3" t="n">
        <v>6</v>
      </c>
      <c r="E41" s="3" t="n">
        <v>5.5</v>
      </c>
      <c r="F41" s="3" t="n">
        <v>5</v>
      </c>
      <c r="G41" s="3" t="n">
        <v>4.5</v>
      </c>
      <c r="H41" s="3" t="n">
        <v>4</v>
      </c>
      <c r="I41" s="3" t="n">
        <v>3.5</v>
      </c>
      <c r="J41" s="3" t="n">
        <v>3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107</v>
      </c>
      <c r="C42" s="3" t="n">
        <v>17.2</v>
      </c>
      <c r="D42" s="3" t="n">
        <v>15.2</v>
      </c>
      <c r="E42" s="3" t="n">
        <v>13.7</v>
      </c>
      <c r="F42" s="3" t="n">
        <v>12.7</v>
      </c>
      <c r="G42" s="3" t="n">
        <v>12.2</v>
      </c>
      <c r="H42" s="3" t="n">
        <v>12.2</v>
      </c>
      <c r="I42" s="3" t="n">
        <v>12.2</v>
      </c>
      <c r="J42" s="3" t="n">
        <v>12.2</v>
      </c>
      <c r="K42" s="3" t="n">
        <v>12.2</v>
      </c>
      <c r="L42" s="3" t="n">
        <v>12.2</v>
      </c>
    </row>
    <row r="43" customFormat="false" ht="15" hidden="false" customHeight="false" outlineLevel="0" collapsed="false">
      <c r="A43" s="0" t="s">
        <v>108</v>
      </c>
      <c r="C43" s="3" t="n">
        <v>0.18</v>
      </c>
      <c r="D43" s="3" t="n">
        <v>0.18</v>
      </c>
      <c r="E43" s="3" t="n">
        <v>0.18</v>
      </c>
      <c r="F43" s="3" t="n">
        <v>0.18</v>
      </c>
      <c r="G43" s="3" t="n">
        <v>0.18</v>
      </c>
      <c r="H43" s="3" t="n">
        <v>0.18</v>
      </c>
      <c r="I43" s="3" t="n">
        <v>0.18</v>
      </c>
      <c r="J43" s="3" t="n">
        <v>0.18</v>
      </c>
      <c r="K43" s="3" t="n">
        <v>0.18</v>
      </c>
      <c r="L43" s="3" t="n">
        <v>0.18</v>
      </c>
    </row>
    <row r="44" customFormat="false" ht="15" hidden="false" customHeight="false" outlineLevel="0" collapsed="false">
      <c r="A44" s="0" t="s">
        <v>109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110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r="46" customFormat="false" ht="15" hidden="false" customHeight="false" outlineLevel="0" collapsed="false">
      <c r="A46" s="0" t="s">
        <v>111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</row>
    <row r="47" customFormat="false" ht="15" hidden="false" customHeight="false" outlineLevel="0" collapsed="false">
      <c r="A47" s="0" t="s">
        <v>112</v>
      </c>
      <c r="C47" s="3" t="n">
        <v>21</v>
      </c>
      <c r="D47" s="3" t="n">
        <v>21</v>
      </c>
      <c r="E47" s="3" t="n">
        <v>21</v>
      </c>
      <c r="F47" s="3" t="n">
        <v>21</v>
      </c>
      <c r="G47" s="3" t="n">
        <v>21</v>
      </c>
      <c r="H47" s="3" t="n">
        <v>21</v>
      </c>
      <c r="I47" s="3" t="n">
        <v>21</v>
      </c>
      <c r="J47" s="3" t="n">
        <v>21</v>
      </c>
      <c r="K47" s="3" t="n">
        <v>21</v>
      </c>
      <c r="L47" s="3" t="n">
        <v>21</v>
      </c>
    </row>
    <row r="48" customFormat="false" ht="15" hidden="false" customHeight="false" outlineLevel="0" collapsed="false">
      <c r="A48" s="0" t="s">
        <v>113</v>
      </c>
      <c r="B48" s="3" t="n">
        <v>9</v>
      </c>
    </row>
    <row r="49" customFormat="false" ht="15" hidden="false" customHeight="false" outlineLevel="0" collapsed="false">
      <c r="A49" s="0" t="s">
        <v>114</v>
      </c>
      <c r="B49" s="3" t="n">
        <v>3</v>
      </c>
    </row>
    <row r="50" customFormat="false" ht="15" hidden="false" customHeight="false" outlineLevel="0" collapsed="false">
      <c r="A50" s="0" t="s">
        <v>115</v>
      </c>
      <c r="B50" s="3" t="n">
        <v>13</v>
      </c>
    </row>
    <row r="51" customFormat="false" ht="15" hidden="false" customHeight="false" outlineLevel="0" collapsed="false">
      <c r="A51" s="0" t="s">
        <v>116</v>
      </c>
      <c r="B51" s="3" t="n">
        <v>-35</v>
      </c>
    </row>
    <row r="52" customFormat="false" ht="15" hidden="false" customHeight="false" outlineLevel="0" collapsed="false">
      <c r="A52" s="0" t="s">
        <v>117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120</v>
      </c>
    </row>
    <row r="3" customFormat="false" ht="15" hidden="false" customHeight="false" outlineLevel="0" collapsed="false">
      <c r="A3" s="0" t="s">
        <v>121</v>
      </c>
      <c r="B3" s="0" t="s">
        <v>91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Assumptions!C13</f>
        <v>3</v>
      </c>
      <c r="D5" s="4" t="n">
        <f aca="false">Assumptions!D13</f>
        <v>2</v>
      </c>
      <c r="E5" s="4" t="n">
        <f aca="false">Assumptions!E13</f>
        <v>2</v>
      </c>
      <c r="F5" s="4" t="n">
        <f aca="false">Assumptions!F13</f>
        <v>2.5</v>
      </c>
      <c r="G5" s="4" t="n">
        <f aca="false">Assumptions!G13</f>
        <v>2.5</v>
      </c>
      <c r="H5" s="4" t="n">
        <f aca="false">Assumptions!H13</f>
        <v>2.5</v>
      </c>
      <c r="I5" s="4" t="n">
        <f aca="false">Assumptions!I13</f>
        <v>2.5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37</v>
      </c>
      <c r="B6" s="3" t="n">
        <v>69774</v>
      </c>
      <c r="C6" s="0" t="n">
        <f aca="false">B6*(1+C5/100)</f>
        <v>71867.22</v>
      </c>
      <c r="D6" s="0" t="n">
        <f aca="false">C6*(1+D5/100)</f>
        <v>73304.5644</v>
      </c>
      <c r="E6" s="0" t="n">
        <f aca="false">D6*(1+E5/100)</f>
        <v>74770.655688</v>
      </c>
      <c r="F6" s="0" t="n">
        <f aca="false">E6*(1+F5/100)</f>
        <v>76639.9220802</v>
      </c>
      <c r="G6" s="0" t="n">
        <f aca="false">F6*(1+G5/100)</f>
        <v>78555.920132205</v>
      </c>
      <c r="H6" s="0" t="n">
        <f aca="false">G6*(1+H5/100)</f>
        <v>80519.8181355101</v>
      </c>
      <c r="I6" s="0" t="n">
        <f aca="false">H6*(1+I5/100)</f>
        <v>82532.8135888978</v>
      </c>
      <c r="J6" s="0" t="n">
        <f aca="false">I6*(1+J5/100)</f>
        <v>84183.4698606758</v>
      </c>
      <c r="K6" s="0" t="n">
        <f aca="false">J6*(1+K5/100)</f>
        <v>85867.1392578893</v>
      </c>
      <c r="L6" s="0" t="n">
        <f aca="false">K6*(1+L5/100)</f>
        <v>87584.4820430471</v>
      </c>
    </row>
    <row r="7" customFormat="false" ht="15" hidden="false" customHeight="false" outlineLevel="0" collapsed="false">
      <c r="A7" s="0" t="s">
        <v>107</v>
      </c>
      <c r="C7" s="4" t="n">
        <f aca="false">Assumptions!C14</f>
        <v>12.2</v>
      </c>
      <c r="D7" s="4" t="n">
        <f aca="false">Assumptions!D14</f>
        <v>6.2</v>
      </c>
      <c r="E7" s="4" t="n">
        <f aca="false">Assumptions!E14</f>
        <v>7.7</v>
      </c>
      <c r="F7" s="4" t="n">
        <f aca="false">Assumptions!F14</f>
        <v>8.2</v>
      </c>
      <c r="G7" s="4" t="n">
        <f aca="false">Assumptions!G14</f>
        <v>8.2</v>
      </c>
      <c r="H7" s="4" t="n">
        <f aca="false">Assumptions!H14</f>
        <v>8.2</v>
      </c>
      <c r="I7" s="4" t="n">
        <f aca="false">Assumptions!I14</f>
        <v>8.2</v>
      </c>
      <c r="J7" s="4" t="n">
        <f aca="false">Assumptions!J14</f>
        <v>8.2</v>
      </c>
      <c r="K7" s="4" t="n">
        <f aca="false">Assumptions!K14</f>
        <v>8.2</v>
      </c>
      <c r="L7" s="4" t="n">
        <f aca="false">Assumptions!L14</f>
        <v>8.2</v>
      </c>
    </row>
    <row r="8" customFormat="false" ht="15" hidden="false" customHeight="false" outlineLevel="0" collapsed="false">
      <c r="A8" s="0" t="s">
        <v>43</v>
      </c>
      <c r="C8" s="0" t="n">
        <f aca="false">C6*C7/100</f>
        <v>8767.80084</v>
      </c>
      <c r="D8" s="0" t="n">
        <f aca="false">D6*D7/100</f>
        <v>4544.8829928</v>
      </c>
      <c r="E8" s="0" t="n">
        <f aca="false">E6*E7/100</f>
        <v>5757.340487976</v>
      </c>
      <c r="F8" s="0" t="n">
        <f aca="false">F6*F7/100</f>
        <v>6284.4736105764</v>
      </c>
      <c r="G8" s="0" t="n">
        <f aca="false">G6*G7/100</f>
        <v>6441.58545084081</v>
      </c>
      <c r="H8" s="0" t="n">
        <f aca="false">H6*H7/100</f>
        <v>6602.62508711183</v>
      </c>
      <c r="I8" s="0" t="n">
        <f aca="false">I6*I7/100</f>
        <v>6767.69071428962</v>
      </c>
      <c r="J8" s="0" t="n">
        <f aca="false">J6*J7/100</f>
        <v>6903.04452857542</v>
      </c>
      <c r="K8" s="0" t="n">
        <f aca="false">K6*K7/100</f>
        <v>7041.10541914692</v>
      </c>
      <c r="L8" s="0" t="n">
        <f aca="false">L6*L7/100</f>
        <v>7181.92752752986</v>
      </c>
    </row>
    <row r="9" customFormat="false" ht="15" hidden="false" customHeight="false" outlineLevel="0" collapsed="false">
      <c r="A9" s="0" t="s">
        <v>108</v>
      </c>
      <c r="C9" s="4" t="n">
        <f aca="false">Assumptions!C15</f>
        <v>0.18</v>
      </c>
      <c r="D9" s="4" t="n">
        <f aca="false">Assumptions!D15</f>
        <v>0.18</v>
      </c>
      <c r="E9" s="4" t="n">
        <f aca="false">Assumptions!E15</f>
        <v>0.18</v>
      </c>
      <c r="F9" s="4" t="n">
        <f aca="false">Assumptions!F15</f>
        <v>0.18</v>
      </c>
      <c r="G9" s="4" t="n">
        <f aca="false">Assumptions!G15</f>
        <v>0.18</v>
      </c>
      <c r="H9" s="4" t="n">
        <f aca="false">Assumptions!H15</f>
        <v>0.18</v>
      </c>
      <c r="I9" s="4" t="n">
        <f aca="false">Assumptions!I15</f>
        <v>0.18</v>
      </c>
      <c r="J9" s="4" t="n">
        <f aca="false">Assumptions!J15</f>
        <v>0.18</v>
      </c>
      <c r="K9" s="4" t="n">
        <f aca="false">Assumptions!K15</f>
        <v>0.18</v>
      </c>
      <c r="L9" s="4" t="n">
        <f aca="false">Assumptions!L15</f>
        <v>0.18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-129.360996</v>
      </c>
      <c r="D10" s="0" t="n">
        <f aca="false">-D6*D9/100</f>
        <v>-131.94821592</v>
      </c>
      <c r="E10" s="0" t="n">
        <f aca="false">-E6*E9/100</f>
        <v>-134.5871802384</v>
      </c>
      <c r="F10" s="0" t="n">
        <f aca="false">-F6*F9/100</f>
        <v>-137.95185974436</v>
      </c>
      <c r="G10" s="0" t="n">
        <f aca="false">-G6*G9/100</f>
        <v>-141.400656237969</v>
      </c>
      <c r="H10" s="0" t="n">
        <f aca="false">-H6*H9/100</f>
        <v>-144.935672643918</v>
      </c>
      <c r="I10" s="0" t="n">
        <f aca="false">-I6*I9/100</f>
        <v>-148.559064460016</v>
      </c>
      <c r="J10" s="0" t="n">
        <f aca="false">-J6*J9/100</f>
        <v>-151.530245749216</v>
      </c>
      <c r="K10" s="0" t="n">
        <f aca="false">-K6*K9/100</f>
        <v>-154.560850664201</v>
      </c>
      <c r="L10" s="0" t="n">
        <f aca="false">-L6*L9/100</f>
        <v>-157.652067677485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8638.439844</v>
      </c>
      <c r="D11" s="0" t="n">
        <f aca="false">D8+D10+D24</f>
        <v>4412.93477688</v>
      </c>
      <c r="E11" s="0" t="n">
        <f aca="false">E8+E10+E24</f>
        <v>5622.7533077376</v>
      </c>
      <c r="F11" s="0" t="n">
        <f aca="false">F8+F10+F24</f>
        <v>6146.52175083204</v>
      </c>
      <c r="G11" s="0" t="n">
        <f aca="false">G8+G10+G24</f>
        <v>6300.18479460284</v>
      </c>
      <c r="H11" s="0" t="n">
        <f aca="false">H8+H10+H24</f>
        <v>6457.68941446791</v>
      </c>
      <c r="I11" s="0" t="n">
        <f aca="false">I8+I10+I24</f>
        <v>6619.13164982961</v>
      </c>
      <c r="J11" s="0" t="n">
        <f aca="false">J8+J10+J24</f>
        <v>6751.5142828262</v>
      </c>
      <c r="K11" s="0" t="n">
        <f aca="false">K8+K10+K24</f>
        <v>6886.54456848272</v>
      </c>
      <c r="L11" s="0" t="n">
        <f aca="false">L8+L10+L24</f>
        <v>7024.27545985238</v>
      </c>
    </row>
    <row r="12" customFormat="false" ht="15" hidden="false" customHeight="false" outlineLevel="0" collapsed="false">
      <c r="A12" s="0" t="s">
        <v>125</v>
      </c>
      <c r="C12" s="4" t="n">
        <f aca="false">-C6*Assumptions!C17/100</f>
        <v>-0</v>
      </c>
      <c r="D12" s="4" t="n">
        <f aca="false">-D6*Assumptions!D17/100</f>
        <v>-0</v>
      </c>
      <c r="E12" s="4" t="n">
        <f aca="false">-E6*Assumptions!E17/100</f>
        <v>-0</v>
      </c>
      <c r="F12" s="4" t="n">
        <f aca="false">-F6*Assumptions!F17/100</f>
        <v>-0</v>
      </c>
      <c r="G12" s="4" t="n">
        <f aca="false">-G6*Assumptions!G17/100</f>
        <v>-0</v>
      </c>
      <c r="H12" s="4" t="n">
        <f aca="false">-H6*Assumptions!H17/100</f>
        <v>-0</v>
      </c>
      <c r="I12" s="4" t="n">
        <f aca="false">-I6*Assumptions!I17/100</f>
        <v>-0</v>
      </c>
      <c r="J12" s="4" t="n">
        <f aca="false">-J6*Assumptions!J17/100</f>
        <v>-0</v>
      </c>
      <c r="K12" s="4" t="n">
        <f aca="false">-K6*Assumptions!K17/100</f>
        <v>-0</v>
      </c>
      <c r="L12" s="4" t="n">
        <f aca="false">-L6*Assumptions!L17/100</f>
        <v>-0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8638.439844</v>
      </c>
      <c r="D13" s="0" t="n">
        <f aca="false">D11+D12</f>
        <v>4412.93477688</v>
      </c>
      <c r="E13" s="0" t="n">
        <f aca="false">E11+E12</f>
        <v>5622.7533077376</v>
      </c>
      <c r="F13" s="0" t="n">
        <f aca="false">F11+F12</f>
        <v>6146.52175083204</v>
      </c>
      <c r="G13" s="0" t="n">
        <f aca="false">G11+G12</f>
        <v>6300.18479460284</v>
      </c>
      <c r="H13" s="0" t="n">
        <f aca="false">H11+H12</f>
        <v>6457.68941446791</v>
      </c>
      <c r="I13" s="0" t="n">
        <f aca="false">I11+I12</f>
        <v>6619.13164982961</v>
      </c>
      <c r="J13" s="0" t="n">
        <f aca="false">J11+J12</f>
        <v>6751.5142828262</v>
      </c>
      <c r="K13" s="0" t="n">
        <f aca="false">K11+K12</f>
        <v>6886.54456848272</v>
      </c>
      <c r="L13" s="0" t="n">
        <f aca="false">L11+L12</f>
        <v>7024.27545985238</v>
      </c>
    </row>
    <row r="14" customFormat="false" ht="15" hidden="false" customHeight="false" outlineLevel="0" collapsed="false">
      <c r="A14" s="0" t="s">
        <v>112</v>
      </c>
      <c r="C14" s="4" t="n">
        <f aca="false">Assumptions!C19</f>
        <v>21</v>
      </c>
      <c r="D14" s="4" t="n">
        <f aca="false">Assumptions!D19</f>
        <v>21</v>
      </c>
      <c r="E14" s="4" t="n">
        <f aca="false">Assumptions!E19</f>
        <v>21</v>
      </c>
      <c r="F14" s="4" t="n">
        <f aca="false">Assumptions!F19</f>
        <v>21</v>
      </c>
      <c r="G14" s="4" t="n">
        <f aca="false">Assumptions!G19</f>
        <v>21</v>
      </c>
      <c r="H14" s="4" t="n">
        <f aca="false">Assumptions!H19</f>
        <v>21</v>
      </c>
      <c r="I14" s="4" t="n">
        <f aca="false">Assumptions!I19</f>
        <v>21</v>
      </c>
      <c r="J14" s="4" t="n">
        <f aca="false">Assumptions!J19</f>
        <v>21</v>
      </c>
      <c r="K14" s="4" t="n">
        <f aca="false">Assumptions!K19</f>
        <v>21</v>
      </c>
      <c r="L14" s="4" t="n">
        <f aca="false">Assumptions!L19</f>
        <v>21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6824.36747676</v>
      </c>
      <c r="D15" s="0" t="n">
        <f aca="false">D13-MAX(0,D13)*D14/100</f>
        <v>3486.2184737352</v>
      </c>
      <c r="E15" s="0" t="n">
        <f aca="false">E13-MAX(0,E13)*E14/100</f>
        <v>4441.9751131127</v>
      </c>
      <c r="F15" s="0" t="n">
        <f aca="false">F13-MAX(0,F13)*F14/100</f>
        <v>4855.75218315731</v>
      </c>
      <c r="G15" s="0" t="n">
        <f aca="false">G13-MAX(0,G13)*G14/100</f>
        <v>4977.14598773624</v>
      </c>
      <c r="H15" s="0" t="n">
        <f aca="false">H13-MAX(0,H13)*H14/100</f>
        <v>5101.57463742965</v>
      </c>
      <c r="I15" s="0" t="n">
        <f aca="false">I13-MAX(0,I13)*I14/100</f>
        <v>5229.11400336539</v>
      </c>
      <c r="J15" s="0" t="n">
        <f aca="false">J13-MAX(0,J13)*J14/100</f>
        <v>5333.6962834327</v>
      </c>
      <c r="K15" s="0" t="n">
        <f aca="false">K13-MAX(0,K13)*K14/100</f>
        <v>5440.37020910135</v>
      </c>
      <c r="L15" s="0" t="n">
        <f aca="false">L13-MAX(0,L13)*L14/100</f>
        <v>5549.17761328338</v>
      </c>
    </row>
    <row r="16" customFormat="false" ht="15" hidden="false" customHeight="false" outlineLevel="0" collapsed="false">
      <c r="A16" s="0" t="s">
        <v>128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129</v>
      </c>
      <c r="C17" s="4" t="n">
        <f aca="false">-C6*Assumptions!C18/100</f>
        <v>-0</v>
      </c>
      <c r="D17" s="4" t="n">
        <f aca="false">-D6*Assumptions!D18/100</f>
        <v>-0</v>
      </c>
      <c r="E17" s="4" t="n">
        <f aca="false">-E6*Assumptions!E18/100</f>
        <v>-0</v>
      </c>
      <c r="F17" s="4" t="n">
        <f aca="false">-F6*Assumptions!F18/100</f>
        <v>-0</v>
      </c>
      <c r="G17" s="4" t="n">
        <f aca="false">-G6*Assumptions!G18/100</f>
        <v>-0</v>
      </c>
      <c r="H17" s="4" t="n">
        <f aca="false">-H6*Assumptions!H18/100</f>
        <v>-0</v>
      </c>
      <c r="I17" s="4" t="n">
        <f aca="false">-I6*Assumptions!I18/100</f>
        <v>-0</v>
      </c>
      <c r="J17" s="4" t="n">
        <f aca="false">-J6*Assumptions!J18/100</f>
        <v>-0</v>
      </c>
      <c r="K17" s="4" t="n">
        <f aca="false">-K6*Assumptions!K18/100</f>
        <v>-0</v>
      </c>
      <c r="L17" s="4" t="n">
        <f aca="false">-L6*Assumptions!L18/100</f>
        <v>-0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(C6-B6)*Assumptions!$B$23/100</f>
        <v>-732.627</v>
      </c>
      <c r="D18" s="4" t="n">
        <f aca="false">(D6-C6)*Assumptions!$B$23/100</f>
        <v>-503.070540000001</v>
      </c>
      <c r="E18" s="4" t="n">
        <f aca="false">(E6-D6)*Assumptions!$B$23/100</f>
        <v>-513.131950799999</v>
      </c>
      <c r="F18" s="4" t="n">
        <f aca="false">(F6-E6)*Assumptions!$B$23/100</f>
        <v>-654.243237269997</v>
      </c>
      <c r="G18" s="4" t="n">
        <f aca="false">(G6-F6)*Assumptions!$B$23/100</f>
        <v>-670.599318201745</v>
      </c>
      <c r="H18" s="4" t="n">
        <f aca="false">(H6-G6)*Assumptions!$B$23/100</f>
        <v>-687.364301156792</v>
      </c>
      <c r="I18" s="4" t="n">
        <f aca="false">(I6-H6)*Assumptions!$B$23/100</f>
        <v>-704.548408685711</v>
      </c>
      <c r="J18" s="4" t="n">
        <f aca="false">(J6-I6)*Assumptions!$B$23/100</f>
        <v>-577.729695122286</v>
      </c>
      <c r="K18" s="4" t="n">
        <f aca="false">(K6-J6)*Assumptions!$B$23/100</f>
        <v>-589.284289024729</v>
      </c>
      <c r="L18" s="4" t="n">
        <f aca="false">(L6-K6)*Assumptions!$B$23/100</f>
        <v>-601.069974805226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6091.74047676</v>
      </c>
      <c r="D19" s="0" t="n">
        <f aca="false">D15+D16+D17+D18</f>
        <v>2983.1479337352</v>
      </c>
      <c r="E19" s="0" t="n">
        <f aca="false">E15+E16+E17+E18</f>
        <v>3928.84316231271</v>
      </c>
      <c r="F19" s="0" t="n">
        <f aca="false">F15+F16+F17+F18</f>
        <v>4201.50894588731</v>
      </c>
      <c r="G19" s="0" t="n">
        <f aca="false">G15+G16+G17+G18</f>
        <v>4306.5466695345</v>
      </c>
      <c r="H19" s="0" t="n">
        <f aca="false">H15+H16+H17+H18</f>
        <v>4414.21033627286</v>
      </c>
      <c r="I19" s="0" t="n">
        <f aca="false">I15+I16+I17+I18</f>
        <v>4524.56559467968</v>
      </c>
      <c r="J19" s="0" t="n">
        <f aca="false">J15+J16+J17+J18</f>
        <v>4755.96658831041</v>
      </c>
      <c r="K19" s="0" t="n">
        <f aca="false">K15+K16+K17+K18</f>
        <v>4851.08592007662</v>
      </c>
      <c r="L19" s="0" t="n">
        <f aca="false">L15+L16+L17+L18</f>
        <v>4948.10763847815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5588.75273097248</v>
      </c>
      <c r="D21" s="0" t="n">
        <f aca="false">D19*D20</f>
        <v>2510.8559327794</v>
      </c>
      <c r="E21" s="0" t="n">
        <f aca="false">E19*E20</f>
        <v>3033.78778568874</v>
      </c>
      <c r="F21" s="0" t="n">
        <f aca="false">F19*F20</f>
        <v>2976.45486178253</v>
      </c>
      <c r="G21" s="0" t="n">
        <f aca="false">G19*G20</f>
        <v>2798.95984708908</v>
      </c>
      <c r="H21" s="0" t="n">
        <f aca="false">H19*H20</f>
        <v>2632.04939749202</v>
      </c>
      <c r="I21" s="0" t="n">
        <f aca="false">I19*I20</f>
        <v>2475.09232332965</v>
      </c>
      <c r="J21" s="0" t="n">
        <f aca="false">J19*J20</f>
        <v>2386.85925792333</v>
      </c>
      <c r="K21" s="0" t="n">
        <f aca="false">K19*K20</f>
        <v>2233.57471842367</v>
      </c>
      <c r="L21" s="0" t="n">
        <f aca="false">L19*L20</f>
        <v>2090.13414017628</v>
      </c>
    </row>
    <row r="23" customFormat="false" ht="15" hidden="false" customHeight="false" outlineLevel="0" collapsed="false">
      <c r="A23" s="0" t="s">
        <v>109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Assumptions!$B$20</f>
        <v>9</v>
      </c>
    </row>
    <row r="28" customFormat="false" ht="15" hidden="false" customHeight="false" outlineLevel="0" collapsed="false">
      <c r="A28" s="0" t="s">
        <v>114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115</v>
      </c>
      <c r="B29" s="4" t="n">
        <f aca="false">Assumptions!$B$22</f>
        <v>13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28726.5209956572</v>
      </c>
    </row>
    <row r="31" customFormat="false" ht="15" hidden="false" customHeight="false" outlineLevel="0" collapsed="false">
      <c r="A31" s="0" t="s">
        <v>137</v>
      </c>
      <c r="B31" s="0" t="n">
        <f aca="false">L19</f>
        <v>4948.10763847815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72100.9970178245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64325.399300216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64325.399300216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27171.7438222916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55898.2648179488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53848.2648179488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210.756418074164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-0.0722524185668727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904.786552245977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970.368797982121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218.095577957639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38823.6137788286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117.386401280545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0" t="s">
        <v>121</v>
      </c>
      <c r="B3" s="0" t="s">
        <v>91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Assumptions!C27</f>
        <v>5</v>
      </c>
      <c r="D5" s="4" t="n">
        <f aca="false">Assumptions!D27</f>
        <v>4.5</v>
      </c>
      <c r="E5" s="4" t="n">
        <f aca="false">Assumptions!E27</f>
        <v>4</v>
      </c>
      <c r="F5" s="4" t="n">
        <f aca="false">Assumptions!F27</f>
        <v>4</v>
      </c>
      <c r="G5" s="4" t="n">
        <f aca="false">Assumptions!G27</f>
        <v>3.5</v>
      </c>
      <c r="H5" s="4" t="n">
        <f aca="false">Assumptions!H27</f>
        <v>3.5</v>
      </c>
      <c r="I5" s="4" t="n">
        <f aca="false">Assumptions!I27</f>
        <v>3</v>
      </c>
      <c r="J5" s="4" t="n">
        <f aca="false">Assumptions!J27</f>
        <v>3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37</v>
      </c>
      <c r="B6" s="3" t="n">
        <v>69774</v>
      </c>
      <c r="C6" s="0" t="n">
        <f aca="false">B6*(1+C5/100)</f>
        <v>73262.7</v>
      </c>
      <c r="D6" s="0" t="n">
        <f aca="false">C6*(1+D5/100)</f>
        <v>76559.5215</v>
      </c>
      <c r="E6" s="0" t="n">
        <f aca="false">D6*(1+E5/100)</f>
        <v>79621.90236</v>
      </c>
      <c r="F6" s="0" t="n">
        <f aca="false">E6*(1+F5/100)</f>
        <v>82806.7784544</v>
      </c>
      <c r="G6" s="0" t="n">
        <f aca="false">F6*(1+G5/100)</f>
        <v>85705.015700304</v>
      </c>
      <c r="H6" s="0" t="n">
        <f aca="false">G6*(1+H5/100)</f>
        <v>88704.6912498146</v>
      </c>
      <c r="I6" s="0" t="n">
        <f aca="false">H6*(1+I5/100)</f>
        <v>91365.8319873091</v>
      </c>
      <c r="J6" s="0" t="n">
        <f aca="false">I6*(1+J5/100)</f>
        <v>94106.8069469283</v>
      </c>
      <c r="K6" s="0" t="n">
        <f aca="false">J6*(1+K5/100)</f>
        <v>96459.4771206015</v>
      </c>
      <c r="L6" s="0" t="n">
        <f aca="false">K6*(1+L5/100)</f>
        <v>98870.9640486166</v>
      </c>
    </row>
    <row r="7" customFormat="false" ht="15" hidden="false" customHeight="false" outlineLevel="0" collapsed="false">
      <c r="A7" s="0" t="s">
        <v>107</v>
      </c>
      <c r="C7" s="4" t="n">
        <f aca="false">Assumptions!C28</f>
        <v>15.2</v>
      </c>
      <c r="D7" s="4" t="n">
        <f aca="false">Assumptions!D28</f>
        <v>12.7</v>
      </c>
      <c r="E7" s="4" t="n">
        <f aca="false">Assumptions!E28</f>
        <v>11.2</v>
      </c>
      <c r="F7" s="4" t="n">
        <f aca="false">Assumptions!F28</f>
        <v>10.5</v>
      </c>
      <c r="G7" s="4" t="n">
        <f aca="false">Assumptions!G28</f>
        <v>10.2</v>
      </c>
      <c r="H7" s="4" t="n">
        <f aca="false">Assumptions!H28</f>
        <v>10.2</v>
      </c>
      <c r="I7" s="4" t="n">
        <f aca="false">Assumptions!I28</f>
        <v>10.2</v>
      </c>
      <c r="J7" s="4" t="n">
        <f aca="false">Assumptions!J28</f>
        <v>10.2</v>
      </c>
      <c r="K7" s="4" t="n">
        <f aca="false">Assumptions!K28</f>
        <v>10.2</v>
      </c>
      <c r="L7" s="4" t="n">
        <f aca="false">Assumptions!L28</f>
        <v>10.2</v>
      </c>
    </row>
    <row r="8" customFormat="false" ht="15" hidden="false" customHeight="false" outlineLevel="0" collapsed="false">
      <c r="A8" s="0" t="s">
        <v>43</v>
      </c>
      <c r="C8" s="0" t="n">
        <f aca="false">C6*C7/100</f>
        <v>11135.9304</v>
      </c>
      <c r="D8" s="0" t="n">
        <f aca="false">D6*D7/100</f>
        <v>9723.0592305</v>
      </c>
      <c r="E8" s="0" t="n">
        <f aca="false">E6*E7/100</f>
        <v>8917.65306432</v>
      </c>
      <c r="F8" s="0" t="n">
        <f aca="false">F6*F7/100</f>
        <v>8694.711737712</v>
      </c>
      <c r="G8" s="0" t="n">
        <f aca="false">G6*G7/100</f>
        <v>8741.91160143101</v>
      </c>
      <c r="H8" s="0" t="n">
        <f aca="false">H6*H7/100</f>
        <v>9047.87850748109</v>
      </c>
      <c r="I8" s="0" t="n">
        <f aca="false">I6*I7/100</f>
        <v>9319.31486270552</v>
      </c>
      <c r="J8" s="0" t="n">
        <f aca="false">J6*J7/100</f>
        <v>9598.89430858669</v>
      </c>
      <c r="K8" s="0" t="n">
        <f aca="false">K6*K7/100</f>
        <v>9838.86666630136</v>
      </c>
      <c r="L8" s="0" t="n">
        <f aca="false">L6*L7/100</f>
        <v>10084.8383329589</v>
      </c>
    </row>
    <row r="9" customFormat="false" ht="15" hidden="false" customHeight="false" outlineLevel="0" collapsed="false">
      <c r="A9" s="0" t="s">
        <v>108</v>
      </c>
      <c r="C9" s="4" t="n">
        <f aca="false">Assumptions!C29</f>
        <v>0.18</v>
      </c>
      <c r="D9" s="4" t="n">
        <f aca="false">Assumptions!D29</f>
        <v>0.18</v>
      </c>
      <c r="E9" s="4" t="n">
        <f aca="false">Assumptions!E29</f>
        <v>0.18</v>
      </c>
      <c r="F9" s="4" t="n">
        <f aca="false">Assumptions!F29</f>
        <v>0.18</v>
      </c>
      <c r="G9" s="4" t="n">
        <f aca="false">Assumptions!G29</f>
        <v>0.18</v>
      </c>
      <c r="H9" s="4" t="n">
        <f aca="false">Assumptions!H29</f>
        <v>0.18</v>
      </c>
      <c r="I9" s="4" t="n">
        <f aca="false">Assumptions!I29</f>
        <v>0.18</v>
      </c>
      <c r="J9" s="4" t="n">
        <f aca="false">Assumptions!J29</f>
        <v>0.18</v>
      </c>
      <c r="K9" s="4" t="n">
        <f aca="false">Assumptions!K29</f>
        <v>0.18</v>
      </c>
      <c r="L9" s="4" t="n">
        <f aca="false">Assumptions!L29</f>
        <v>0.18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-131.87286</v>
      </c>
      <c r="D10" s="0" t="n">
        <f aca="false">-D6*D9/100</f>
        <v>-137.8071387</v>
      </c>
      <c r="E10" s="0" t="n">
        <f aca="false">-E6*E9/100</f>
        <v>-143.319424248</v>
      </c>
      <c r="F10" s="0" t="n">
        <f aca="false">-F6*F9/100</f>
        <v>-149.05220121792</v>
      </c>
      <c r="G10" s="0" t="n">
        <f aca="false">-G6*G9/100</f>
        <v>-154.269028260547</v>
      </c>
      <c r="H10" s="0" t="n">
        <f aca="false">-H6*H9/100</f>
        <v>-159.668444249666</v>
      </c>
      <c r="I10" s="0" t="n">
        <f aca="false">-I6*I9/100</f>
        <v>-164.458497577156</v>
      </c>
      <c r="J10" s="0" t="n">
        <f aca="false">-J6*J9/100</f>
        <v>-169.392252504471</v>
      </c>
      <c r="K10" s="0" t="n">
        <f aca="false">-K6*K9/100</f>
        <v>-173.627058817083</v>
      </c>
      <c r="L10" s="0" t="n">
        <f aca="false">-L6*L9/100</f>
        <v>-177.96773528751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11004.05754</v>
      </c>
      <c r="D11" s="0" t="n">
        <f aca="false">D8+D10+D24</f>
        <v>9585.2520918</v>
      </c>
      <c r="E11" s="0" t="n">
        <f aca="false">E8+E10+E24</f>
        <v>8774.333640072</v>
      </c>
      <c r="F11" s="0" t="n">
        <f aca="false">F8+F10+F24</f>
        <v>8545.65953649408</v>
      </c>
      <c r="G11" s="0" t="n">
        <f aca="false">G8+G10+G24</f>
        <v>8587.64257317046</v>
      </c>
      <c r="H11" s="0" t="n">
        <f aca="false">H8+H10+H24</f>
        <v>8888.21006323143</v>
      </c>
      <c r="I11" s="0" t="n">
        <f aca="false">I8+I10+I24</f>
        <v>9154.85636512837</v>
      </c>
      <c r="J11" s="0" t="n">
        <f aca="false">J8+J10+J24</f>
        <v>9429.50205608222</v>
      </c>
      <c r="K11" s="0" t="n">
        <f aca="false">K8+K10+K24</f>
        <v>9665.23960748427</v>
      </c>
      <c r="L11" s="0" t="n">
        <f aca="false">L8+L10+L24</f>
        <v>9906.87059767138</v>
      </c>
    </row>
    <row r="12" customFormat="false" ht="15" hidden="false" customHeight="false" outlineLevel="0" collapsed="false">
      <c r="A12" s="0" t="s">
        <v>125</v>
      </c>
      <c r="C12" s="4" t="n">
        <f aca="false">-C6*Assumptions!C31/100</f>
        <v>-0</v>
      </c>
      <c r="D12" s="4" t="n">
        <f aca="false">-D6*Assumptions!D31/100</f>
        <v>-0</v>
      </c>
      <c r="E12" s="4" t="n">
        <f aca="false">-E6*Assumptions!E31/100</f>
        <v>-0</v>
      </c>
      <c r="F12" s="4" t="n">
        <f aca="false">-F6*Assumptions!F31/100</f>
        <v>-0</v>
      </c>
      <c r="G12" s="4" t="n">
        <f aca="false">-G6*Assumptions!G31/100</f>
        <v>-0</v>
      </c>
      <c r="H12" s="4" t="n">
        <f aca="false">-H6*Assumptions!H31/100</f>
        <v>-0</v>
      </c>
      <c r="I12" s="4" t="n">
        <f aca="false">-I6*Assumptions!I31/100</f>
        <v>-0</v>
      </c>
      <c r="J12" s="4" t="n">
        <f aca="false">-J6*Assumptions!J31/100</f>
        <v>-0</v>
      </c>
      <c r="K12" s="4" t="n">
        <f aca="false">-K6*Assumptions!K31/100</f>
        <v>-0</v>
      </c>
      <c r="L12" s="4" t="n">
        <f aca="false">-L6*Assumptions!L31/100</f>
        <v>-0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11004.05754</v>
      </c>
      <c r="D13" s="0" t="n">
        <f aca="false">D11+D12</f>
        <v>9585.2520918</v>
      </c>
      <c r="E13" s="0" t="n">
        <f aca="false">E11+E12</f>
        <v>8774.333640072</v>
      </c>
      <c r="F13" s="0" t="n">
        <f aca="false">F11+F12</f>
        <v>8545.65953649408</v>
      </c>
      <c r="G13" s="0" t="n">
        <f aca="false">G11+G12</f>
        <v>8587.64257317046</v>
      </c>
      <c r="H13" s="0" t="n">
        <f aca="false">H11+H12</f>
        <v>8888.21006323143</v>
      </c>
      <c r="I13" s="0" t="n">
        <f aca="false">I11+I12</f>
        <v>9154.85636512837</v>
      </c>
      <c r="J13" s="0" t="n">
        <f aca="false">J11+J12</f>
        <v>9429.50205608222</v>
      </c>
      <c r="K13" s="0" t="n">
        <f aca="false">K11+K12</f>
        <v>9665.23960748427</v>
      </c>
      <c r="L13" s="0" t="n">
        <f aca="false">L11+L12</f>
        <v>9906.87059767138</v>
      </c>
    </row>
    <row r="14" customFormat="false" ht="15" hidden="false" customHeight="false" outlineLevel="0" collapsed="false">
      <c r="A14" s="0" t="s">
        <v>112</v>
      </c>
      <c r="C14" s="4" t="n">
        <f aca="false">Assumptions!C33</f>
        <v>21</v>
      </c>
      <c r="D14" s="4" t="n">
        <f aca="false">Assumptions!D33</f>
        <v>21</v>
      </c>
      <c r="E14" s="4" t="n">
        <f aca="false">Assumptions!E33</f>
        <v>21</v>
      </c>
      <c r="F14" s="4" t="n">
        <f aca="false">Assumptions!F33</f>
        <v>21</v>
      </c>
      <c r="G14" s="4" t="n">
        <f aca="false">Assumptions!G33</f>
        <v>21</v>
      </c>
      <c r="H14" s="4" t="n">
        <f aca="false">Assumptions!H33</f>
        <v>21</v>
      </c>
      <c r="I14" s="4" t="n">
        <f aca="false">Assumptions!I33</f>
        <v>21</v>
      </c>
      <c r="J14" s="4" t="n">
        <f aca="false">Assumptions!J33</f>
        <v>21</v>
      </c>
      <c r="K14" s="4" t="n">
        <f aca="false">Assumptions!K33</f>
        <v>21</v>
      </c>
      <c r="L14" s="4" t="n">
        <f aca="false">Assumptions!L33</f>
        <v>21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8693.2054566</v>
      </c>
      <c r="D15" s="0" t="n">
        <f aca="false">D13-MAX(0,D13)*D14/100</f>
        <v>7572.349152522</v>
      </c>
      <c r="E15" s="0" t="n">
        <f aca="false">E13-MAX(0,E13)*E14/100</f>
        <v>6931.72357565688</v>
      </c>
      <c r="F15" s="0" t="n">
        <f aca="false">F13-MAX(0,F13)*F14/100</f>
        <v>6751.07103383032</v>
      </c>
      <c r="G15" s="0" t="n">
        <f aca="false">G13-MAX(0,G13)*G14/100</f>
        <v>6784.23763280466</v>
      </c>
      <c r="H15" s="0" t="n">
        <f aca="false">H13-MAX(0,H13)*H14/100</f>
        <v>7021.68594995283</v>
      </c>
      <c r="I15" s="0" t="n">
        <f aca="false">I13-MAX(0,I13)*I14/100</f>
        <v>7232.33652845141</v>
      </c>
      <c r="J15" s="0" t="n">
        <f aca="false">J13-MAX(0,J13)*J14/100</f>
        <v>7449.30662430495</v>
      </c>
      <c r="K15" s="0" t="n">
        <f aca="false">K13-MAX(0,K13)*K14/100</f>
        <v>7635.53928991258</v>
      </c>
      <c r="L15" s="0" t="n">
        <f aca="false">L13-MAX(0,L13)*L14/100</f>
        <v>7826.42777216039</v>
      </c>
    </row>
    <row r="16" customFormat="false" ht="15" hidden="false" customHeight="false" outlineLevel="0" collapsed="false">
      <c r="A16" s="0" t="s">
        <v>128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129</v>
      </c>
      <c r="C17" s="4" t="n">
        <f aca="false">-C6*Assumptions!C32/100</f>
        <v>-0</v>
      </c>
      <c r="D17" s="4" t="n">
        <f aca="false">-D6*Assumptions!D32/100</f>
        <v>-0</v>
      </c>
      <c r="E17" s="4" t="n">
        <f aca="false">-E6*Assumptions!E32/100</f>
        <v>-0</v>
      </c>
      <c r="F17" s="4" t="n">
        <f aca="false">-F6*Assumptions!F32/100</f>
        <v>-0</v>
      </c>
      <c r="G17" s="4" t="n">
        <f aca="false">-G6*Assumptions!G32/100</f>
        <v>-0</v>
      </c>
      <c r="H17" s="4" t="n">
        <f aca="false">-H6*Assumptions!H32/100</f>
        <v>-0</v>
      </c>
      <c r="I17" s="4" t="n">
        <f aca="false">-I6*Assumptions!I32/100</f>
        <v>-0</v>
      </c>
      <c r="J17" s="4" t="n">
        <f aca="false">-J6*Assumptions!J32/100</f>
        <v>-0</v>
      </c>
      <c r="K17" s="4" t="n">
        <f aca="false">-K6*Assumptions!K32/100</f>
        <v>-0</v>
      </c>
      <c r="L17" s="4" t="n">
        <f aca="false">-L6*Assumptions!L32/100</f>
        <v>-0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(C6-B6)*Assumptions!$B$37/100</f>
        <v>-1221.045</v>
      </c>
      <c r="D18" s="4" t="n">
        <f aca="false">(D6-C6)*Assumptions!$B$37/100</f>
        <v>-1153.887525</v>
      </c>
      <c r="E18" s="4" t="n">
        <f aca="false">(E6-D6)*Assumptions!$B$37/100</f>
        <v>-1071.833301</v>
      </c>
      <c r="F18" s="4" t="n">
        <f aca="false">(F6-E6)*Assumptions!$B$37/100</f>
        <v>-1114.70663304</v>
      </c>
      <c r="G18" s="4" t="n">
        <f aca="false">(G6-F6)*Assumptions!$B$37/100</f>
        <v>-1014.3830360664</v>
      </c>
      <c r="H18" s="4" t="n">
        <f aca="false">(H6-G6)*Assumptions!$B$37/100</f>
        <v>-1049.88644232872</v>
      </c>
      <c r="I18" s="4" t="n">
        <f aca="false">(I6-H6)*Assumptions!$B$37/100</f>
        <v>-931.399258123054</v>
      </c>
      <c r="J18" s="4" t="n">
        <f aca="false">(J6-I6)*Assumptions!$B$37/100</f>
        <v>-959.341235866745</v>
      </c>
      <c r="K18" s="4" t="n">
        <f aca="false">(K6-J6)*Assumptions!$B$37/100</f>
        <v>-823.434560785622</v>
      </c>
      <c r="L18" s="4" t="n">
        <f aca="false">(L6-K6)*Assumptions!$B$37/100</f>
        <v>-844.020424805261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7472.1604566</v>
      </c>
      <c r="D19" s="0" t="n">
        <f aca="false">D15+D16+D17+D18</f>
        <v>6418.461627522</v>
      </c>
      <c r="E19" s="0" t="n">
        <f aca="false">E15+E16+E17+E18</f>
        <v>5859.89027465688</v>
      </c>
      <c r="F19" s="0" t="n">
        <f aca="false">F15+F16+F17+F18</f>
        <v>5636.36440079032</v>
      </c>
      <c r="G19" s="0" t="n">
        <f aca="false">G15+G16+G17+G18</f>
        <v>5769.85459673827</v>
      </c>
      <c r="H19" s="0" t="n">
        <f aca="false">H15+H16+H17+H18</f>
        <v>5971.7995076241</v>
      </c>
      <c r="I19" s="0" t="n">
        <f aca="false">I15+I16+I17+I18</f>
        <v>6300.93727032836</v>
      </c>
      <c r="J19" s="0" t="n">
        <f aca="false">J15+J16+J17+J18</f>
        <v>6489.96538843821</v>
      </c>
      <c r="K19" s="0" t="n">
        <f aca="false">K15+K16+K17+K18</f>
        <v>6812.10472912695</v>
      </c>
      <c r="L19" s="0" t="n">
        <f aca="false">L15+L16+L17+L18</f>
        <v>6982.40734735513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6855.19307944954</v>
      </c>
      <c r="D21" s="0" t="n">
        <f aca="false">D19*D20</f>
        <v>5402.29073943439</v>
      </c>
      <c r="E21" s="0" t="n">
        <f aca="false">E19*E20</f>
        <v>4524.91046506053</v>
      </c>
      <c r="F21" s="0" t="n">
        <f aca="false">F19*F20</f>
        <v>3992.94264027024</v>
      </c>
      <c r="G21" s="0" t="n">
        <f aca="false">G19*G20</f>
        <v>3750.00959679798</v>
      </c>
      <c r="H21" s="0" t="n">
        <f aca="false">H19*H20</f>
        <v>3560.78892906964</v>
      </c>
      <c r="I21" s="0" t="n">
        <f aca="false">I19*I20</f>
        <v>3446.82846147918</v>
      </c>
      <c r="J21" s="0" t="n">
        <f aca="false">J19*J20</f>
        <v>3257.09478470051</v>
      </c>
      <c r="K21" s="0" t="n">
        <f aca="false">K19*K20</f>
        <v>3136.48225426442</v>
      </c>
      <c r="L21" s="0" t="n">
        <f aca="false">L19*L20</f>
        <v>2949.44432167067</v>
      </c>
    </row>
    <row r="23" customFormat="false" ht="15" hidden="false" customHeight="false" outlineLevel="0" collapsed="false">
      <c r="A23" s="0" t="s">
        <v>109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Assumptions!$B$34</f>
        <v>9</v>
      </c>
    </row>
    <row r="28" customFormat="false" ht="15" hidden="false" customHeight="false" outlineLevel="0" collapsed="false">
      <c r="A28" s="0" t="s">
        <v>114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115</v>
      </c>
      <c r="B29" s="4" t="n">
        <f aca="false">Assumptions!$B$36</f>
        <v>13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40875.9852721971</v>
      </c>
    </row>
    <row r="31" customFormat="false" ht="15" hidden="false" customHeight="false" outlineLevel="0" collapsed="false">
      <c r="A31" s="0" t="s">
        <v>137</v>
      </c>
      <c r="B31" s="0" t="n">
        <f aca="false">L19</f>
        <v>6982.40734735513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110107.192785215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90771.2955156167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90771.2955156167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38342.7761817187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79218.7614539158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77168.7614539158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302.030377510434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0.32953461068994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978.799280945437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1185.45972355077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310.501058545644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57255.7402483121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172.728976974623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0" t="s">
        <v>121</v>
      </c>
      <c r="B3" s="0" t="s">
        <v>91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Assumptions!C41</f>
        <v>6.5</v>
      </c>
      <c r="D5" s="4" t="n">
        <f aca="false">Assumptions!D41</f>
        <v>6</v>
      </c>
      <c r="E5" s="4" t="n">
        <f aca="false">Assumptions!E41</f>
        <v>5.5</v>
      </c>
      <c r="F5" s="4" t="n">
        <f aca="false">Assumptions!F41</f>
        <v>5</v>
      </c>
      <c r="G5" s="4" t="n">
        <f aca="false">Assumptions!G41</f>
        <v>4.5</v>
      </c>
      <c r="H5" s="4" t="n">
        <f aca="false">Assumptions!H41</f>
        <v>4</v>
      </c>
      <c r="I5" s="4" t="n">
        <f aca="false">Assumptions!I41</f>
        <v>3.5</v>
      </c>
      <c r="J5" s="4" t="n">
        <f aca="false">Assumptions!J41</f>
        <v>3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37</v>
      </c>
      <c r="B6" s="3" t="n">
        <v>69774</v>
      </c>
      <c r="C6" s="0" t="n">
        <f aca="false">B6*(1+C5/100)</f>
        <v>74309.31</v>
      </c>
      <c r="D6" s="0" t="n">
        <f aca="false">C6*(1+D5/100)</f>
        <v>78767.8686</v>
      </c>
      <c r="E6" s="0" t="n">
        <f aca="false">D6*(1+E5/100)</f>
        <v>83100.101373</v>
      </c>
      <c r="F6" s="0" t="n">
        <f aca="false">E6*(1+F5/100)</f>
        <v>87255.10644165</v>
      </c>
      <c r="G6" s="0" t="n">
        <f aca="false">F6*(1+G5/100)</f>
        <v>91181.5862315242</v>
      </c>
      <c r="H6" s="0" t="n">
        <f aca="false">G6*(1+H5/100)</f>
        <v>94828.8496807852</v>
      </c>
      <c r="I6" s="0" t="n">
        <f aca="false">H6*(1+I5/100)</f>
        <v>98147.8594196127</v>
      </c>
      <c r="J6" s="0" t="n">
        <f aca="false">I6*(1+J5/100)</f>
        <v>101092.295202201</v>
      </c>
      <c r="K6" s="0" t="n">
        <f aca="false">J6*(1+K5/100)</f>
        <v>104125.064058267</v>
      </c>
      <c r="L6" s="0" t="n">
        <f aca="false">K6*(1+L5/100)</f>
        <v>107248.815980015</v>
      </c>
    </row>
    <row r="7" customFormat="false" ht="15" hidden="false" customHeight="false" outlineLevel="0" collapsed="false">
      <c r="A7" s="0" t="s">
        <v>107</v>
      </c>
      <c r="C7" s="4" t="n">
        <f aca="false">Assumptions!C42</f>
        <v>17.2</v>
      </c>
      <c r="D7" s="4" t="n">
        <f aca="false">Assumptions!D42</f>
        <v>15.2</v>
      </c>
      <c r="E7" s="4" t="n">
        <f aca="false">Assumptions!E42</f>
        <v>13.7</v>
      </c>
      <c r="F7" s="4" t="n">
        <f aca="false">Assumptions!F42</f>
        <v>12.7</v>
      </c>
      <c r="G7" s="4" t="n">
        <f aca="false">Assumptions!G42</f>
        <v>12.2</v>
      </c>
      <c r="H7" s="4" t="n">
        <f aca="false">Assumptions!H42</f>
        <v>12.2</v>
      </c>
      <c r="I7" s="4" t="n">
        <f aca="false">Assumptions!I42</f>
        <v>12.2</v>
      </c>
      <c r="J7" s="4" t="n">
        <f aca="false">Assumptions!J42</f>
        <v>12.2</v>
      </c>
      <c r="K7" s="4" t="n">
        <f aca="false">Assumptions!K42</f>
        <v>12.2</v>
      </c>
      <c r="L7" s="4" t="n">
        <f aca="false">Assumptions!L42</f>
        <v>12.2</v>
      </c>
    </row>
    <row r="8" customFormat="false" ht="15" hidden="false" customHeight="false" outlineLevel="0" collapsed="false">
      <c r="A8" s="0" t="s">
        <v>43</v>
      </c>
      <c r="C8" s="0" t="n">
        <f aca="false">C6*C7/100</f>
        <v>12781.20132</v>
      </c>
      <c r="D8" s="0" t="n">
        <f aca="false">D6*D7/100</f>
        <v>11972.7160272</v>
      </c>
      <c r="E8" s="0" t="n">
        <f aca="false">E6*E7/100</f>
        <v>11384.713888101</v>
      </c>
      <c r="F8" s="0" t="n">
        <f aca="false">F6*F7/100</f>
        <v>11081.3985180895</v>
      </c>
      <c r="G8" s="0" t="n">
        <f aca="false">G6*G7/100</f>
        <v>11124.153520246</v>
      </c>
      <c r="H8" s="0" t="n">
        <f aca="false">H6*H7/100</f>
        <v>11569.1196610558</v>
      </c>
      <c r="I8" s="0" t="n">
        <f aca="false">I6*I7/100</f>
        <v>11974.0388491927</v>
      </c>
      <c r="J8" s="0" t="n">
        <f aca="false">J6*J7/100</f>
        <v>12333.2600146685</v>
      </c>
      <c r="K8" s="0" t="n">
        <f aca="false">K6*K7/100</f>
        <v>12703.2578151086</v>
      </c>
      <c r="L8" s="0" t="n">
        <f aca="false">L6*L7/100</f>
        <v>13084.3555495618</v>
      </c>
    </row>
    <row r="9" customFormat="false" ht="15" hidden="false" customHeight="false" outlineLevel="0" collapsed="false">
      <c r="A9" s="0" t="s">
        <v>108</v>
      </c>
      <c r="C9" s="4" t="n">
        <f aca="false">Assumptions!C43</f>
        <v>0.18</v>
      </c>
      <c r="D9" s="4" t="n">
        <f aca="false">Assumptions!D43</f>
        <v>0.18</v>
      </c>
      <c r="E9" s="4" t="n">
        <f aca="false">Assumptions!E43</f>
        <v>0.18</v>
      </c>
      <c r="F9" s="4" t="n">
        <f aca="false">Assumptions!F43</f>
        <v>0.18</v>
      </c>
      <c r="G9" s="4" t="n">
        <f aca="false">Assumptions!G43</f>
        <v>0.18</v>
      </c>
      <c r="H9" s="4" t="n">
        <f aca="false">Assumptions!H43</f>
        <v>0.18</v>
      </c>
      <c r="I9" s="4" t="n">
        <f aca="false">Assumptions!I43</f>
        <v>0.18</v>
      </c>
      <c r="J9" s="4" t="n">
        <f aca="false">Assumptions!J43</f>
        <v>0.18</v>
      </c>
      <c r="K9" s="4" t="n">
        <f aca="false">Assumptions!K43</f>
        <v>0.18</v>
      </c>
      <c r="L9" s="4" t="n">
        <f aca="false">Assumptions!L43</f>
        <v>0.18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-133.756758</v>
      </c>
      <c r="D10" s="0" t="n">
        <f aca="false">-D6*D9/100</f>
        <v>-141.78216348</v>
      </c>
      <c r="E10" s="0" t="n">
        <f aca="false">-E6*E9/100</f>
        <v>-149.5801824714</v>
      </c>
      <c r="F10" s="0" t="n">
        <f aca="false">-F6*F9/100</f>
        <v>-157.05919159497</v>
      </c>
      <c r="G10" s="0" t="n">
        <f aca="false">-G6*G9/100</f>
        <v>-164.126855216744</v>
      </c>
      <c r="H10" s="0" t="n">
        <f aca="false">-H6*H9/100</f>
        <v>-170.691929425413</v>
      </c>
      <c r="I10" s="0" t="n">
        <f aca="false">-I6*I9/100</f>
        <v>-176.666146955303</v>
      </c>
      <c r="J10" s="0" t="n">
        <f aca="false">-J6*J9/100</f>
        <v>-181.966131363962</v>
      </c>
      <c r="K10" s="0" t="n">
        <f aca="false">-K6*K9/100</f>
        <v>-187.425115304881</v>
      </c>
      <c r="L10" s="0" t="n">
        <f aca="false">-L6*L9/100</f>
        <v>-193.047868764027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12647.444562</v>
      </c>
      <c r="D11" s="0" t="n">
        <f aca="false">D8+D10+D24</f>
        <v>11830.93386372</v>
      </c>
      <c r="E11" s="0" t="n">
        <f aca="false">E8+E10+E24</f>
        <v>11235.1337056296</v>
      </c>
      <c r="F11" s="0" t="n">
        <f aca="false">F8+F10+F24</f>
        <v>10924.3393264946</v>
      </c>
      <c r="G11" s="0" t="n">
        <f aca="false">G8+G10+G24</f>
        <v>10960.0266650292</v>
      </c>
      <c r="H11" s="0" t="n">
        <f aca="false">H8+H10+H24</f>
        <v>11398.4277316304</v>
      </c>
      <c r="I11" s="0" t="n">
        <f aca="false">I8+I10+I24</f>
        <v>11797.3727022374</v>
      </c>
      <c r="J11" s="0" t="n">
        <f aca="false">J8+J10+J24</f>
        <v>12151.2938833046</v>
      </c>
      <c r="K11" s="0" t="n">
        <f aca="false">K8+K10+K24</f>
        <v>12515.8326998037</v>
      </c>
      <c r="L11" s="0" t="n">
        <f aca="false">L8+L10+L24</f>
        <v>12891.3076807978</v>
      </c>
    </row>
    <row r="12" customFormat="false" ht="15" hidden="false" customHeight="false" outlineLevel="0" collapsed="false">
      <c r="A12" s="0" t="s">
        <v>125</v>
      </c>
      <c r="C12" s="4" t="n">
        <f aca="false">-C6*Assumptions!C45/100</f>
        <v>-0</v>
      </c>
      <c r="D12" s="4" t="n">
        <f aca="false">-D6*Assumptions!D45/100</f>
        <v>-0</v>
      </c>
      <c r="E12" s="4" t="n">
        <f aca="false">-E6*Assumptions!E45/100</f>
        <v>-0</v>
      </c>
      <c r="F12" s="4" t="n">
        <f aca="false">-F6*Assumptions!F45/100</f>
        <v>-0</v>
      </c>
      <c r="G12" s="4" t="n">
        <f aca="false">-G6*Assumptions!G45/100</f>
        <v>-0</v>
      </c>
      <c r="H12" s="4" t="n">
        <f aca="false">-H6*Assumptions!H45/100</f>
        <v>-0</v>
      </c>
      <c r="I12" s="4" t="n">
        <f aca="false">-I6*Assumptions!I45/100</f>
        <v>-0</v>
      </c>
      <c r="J12" s="4" t="n">
        <f aca="false">-J6*Assumptions!J45/100</f>
        <v>-0</v>
      </c>
      <c r="K12" s="4" t="n">
        <f aca="false">-K6*Assumptions!K45/100</f>
        <v>-0</v>
      </c>
      <c r="L12" s="4" t="n">
        <f aca="false">-L6*Assumptions!L45/100</f>
        <v>-0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12647.444562</v>
      </c>
      <c r="D13" s="0" t="n">
        <f aca="false">D11+D12</f>
        <v>11830.93386372</v>
      </c>
      <c r="E13" s="0" t="n">
        <f aca="false">E11+E12</f>
        <v>11235.1337056296</v>
      </c>
      <c r="F13" s="0" t="n">
        <f aca="false">F11+F12</f>
        <v>10924.3393264946</v>
      </c>
      <c r="G13" s="0" t="n">
        <f aca="false">G11+G12</f>
        <v>10960.0266650292</v>
      </c>
      <c r="H13" s="0" t="n">
        <f aca="false">H11+H12</f>
        <v>11398.4277316304</v>
      </c>
      <c r="I13" s="0" t="n">
        <f aca="false">I11+I12</f>
        <v>11797.3727022374</v>
      </c>
      <c r="J13" s="0" t="n">
        <f aca="false">J11+J12</f>
        <v>12151.2938833046</v>
      </c>
      <c r="K13" s="0" t="n">
        <f aca="false">K11+K12</f>
        <v>12515.8326998037</v>
      </c>
      <c r="L13" s="0" t="n">
        <f aca="false">L11+L12</f>
        <v>12891.3076807978</v>
      </c>
    </row>
    <row r="14" customFormat="false" ht="15" hidden="false" customHeight="false" outlineLevel="0" collapsed="false">
      <c r="A14" s="0" t="s">
        <v>112</v>
      </c>
      <c r="C14" s="4" t="n">
        <f aca="false">Assumptions!C47</f>
        <v>21</v>
      </c>
      <c r="D14" s="4" t="n">
        <f aca="false">Assumptions!D47</f>
        <v>21</v>
      </c>
      <c r="E14" s="4" t="n">
        <f aca="false">Assumptions!E47</f>
        <v>21</v>
      </c>
      <c r="F14" s="4" t="n">
        <f aca="false">Assumptions!F47</f>
        <v>21</v>
      </c>
      <c r="G14" s="4" t="n">
        <f aca="false">Assumptions!G47</f>
        <v>21</v>
      </c>
      <c r="H14" s="4" t="n">
        <f aca="false">Assumptions!H47</f>
        <v>21</v>
      </c>
      <c r="I14" s="4" t="n">
        <f aca="false">Assumptions!I47</f>
        <v>21</v>
      </c>
      <c r="J14" s="4" t="n">
        <f aca="false">Assumptions!J47</f>
        <v>21</v>
      </c>
      <c r="K14" s="4" t="n">
        <f aca="false">Assumptions!K47</f>
        <v>21</v>
      </c>
      <c r="L14" s="4" t="n">
        <f aca="false">Assumptions!L47</f>
        <v>21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9991.48120398</v>
      </c>
      <c r="D15" s="0" t="n">
        <f aca="false">D13-MAX(0,D13)*D14/100</f>
        <v>9346.4377523388</v>
      </c>
      <c r="E15" s="0" t="n">
        <f aca="false">E13-MAX(0,E13)*E14/100</f>
        <v>8875.75562744738</v>
      </c>
      <c r="F15" s="0" t="n">
        <f aca="false">F13-MAX(0,F13)*F14/100</f>
        <v>8630.22806793072</v>
      </c>
      <c r="G15" s="0" t="n">
        <f aca="false">G13-MAX(0,G13)*G14/100</f>
        <v>8658.42106537308</v>
      </c>
      <c r="H15" s="0" t="n">
        <f aca="false">H13-MAX(0,H13)*H14/100</f>
        <v>9004.757907988</v>
      </c>
      <c r="I15" s="0" t="n">
        <f aca="false">I13-MAX(0,I13)*I14/100</f>
        <v>9319.92443476758</v>
      </c>
      <c r="J15" s="0" t="n">
        <f aca="false">J13-MAX(0,J13)*J14/100</f>
        <v>9599.52216781061</v>
      </c>
      <c r="K15" s="0" t="n">
        <f aca="false">K13-MAX(0,K13)*K14/100</f>
        <v>9887.50783284493</v>
      </c>
      <c r="L15" s="0" t="n">
        <f aca="false">L13-MAX(0,L13)*L14/100</f>
        <v>10184.1330678303</v>
      </c>
    </row>
    <row r="16" customFormat="false" ht="15" hidden="false" customHeight="false" outlineLevel="0" collapsed="false">
      <c r="A16" s="0" t="s">
        <v>128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129</v>
      </c>
      <c r="C17" s="4" t="n">
        <f aca="false">-C6*Assumptions!C46/100</f>
        <v>-0</v>
      </c>
      <c r="D17" s="4" t="n">
        <f aca="false">-D6*Assumptions!D46/100</f>
        <v>-0</v>
      </c>
      <c r="E17" s="4" t="n">
        <f aca="false">-E6*Assumptions!E46/100</f>
        <v>-0</v>
      </c>
      <c r="F17" s="4" t="n">
        <f aca="false">-F6*Assumptions!F46/100</f>
        <v>-0</v>
      </c>
      <c r="G17" s="4" t="n">
        <f aca="false">-G6*Assumptions!G46/100</f>
        <v>-0</v>
      </c>
      <c r="H17" s="4" t="n">
        <f aca="false">-H6*Assumptions!H46/100</f>
        <v>-0</v>
      </c>
      <c r="I17" s="4" t="n">
        <f aca="false">-I6*Assumptions!I46/100</f>
        <v>-0</v>
      </c>
      <c r="J17" s="4" t="n">
        <f aca="false">-J6*Assumptions!J46/100</f>
        <v>-0</v>
      </c>
      <c r="K17" s="4" t="n">
        <f aca="false">-K6*Assumptions!K46/100</f>
        <v>-0</v>
      </c>
      <c r="L17" s="4" t="n">
        <f aca="false">-L6*Assumptions!L46/100</f>
        <v>-0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(C6-B6)*Assumptions!$B$51/100</f>
        <v>-1587.3585</v>
      </c>
      <c r="D18" s="4" t="n">
        <f aca="false">(D6-C6)*Assumptions!$B$51/100</f>
        <v>-1560.49551</v>
      </c>
      <c r="E18" s="4" t="n">
        <f aca="false">(E6-D6)*Assumptions!$B$51/100</f>
        <v>-1516.28147055</v>
      </c>
      <c r="F18" s="4" t="n">
        <f aca="false">(F6-E6)*Assumptions!$B$51/100</f>
        <v>-1454.2517740275</v>
      </c>
      <c r="G18" s="4" t="n">
        <f aca="false">(G6-F6)*Assumptions!$B$51/100</f>
        <v>-1374.26792645598</v>
      </c>
      <c r="H18" s="4" t="n">
        <f aca="false">(H6-G6)*Assumptions!$B$51/100</f>
        <v>-1276.54220724134</v>
      </c>
      <c r="I18" s="4" t="n">
        <f aca="false">(I6-H6)*Assumptions!$B$51/100</f>
        <v>-1161.65340858962</v>
      </c>
      <c r="J18" s="4" t="n">
        <f aca="false">(J6-I6)*Assumptions!$B$51/100</f>
        <v>-1030.55252390593</v>
      </c>
      <c r="K18" s="4" t="n">
        <f aca="false">(K6-J6)*Assumptions!$B$51/100</f>
        <v>-1061.46909962311</v>
      </c>
      <c r="L18" s="4" t="n">
        <f aca="false">(L6-K6)*Assumptions!$B$51/100</f>
        <v>-1093.31317261181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8404.12270398</v>
      </c>
      <c r="D19" s="0" t="n">
        <f aca="false">D15+D16+D17+D18</f>
        <v>7785.9422423388</v>
      </c>
      <c r="E19" s="0" t="n">
        <f aca="false">E15+E16+E17+E18</f>
        <v>7359.47415689738</v>
      </c>
      <c r="F19" s="0" t="n">
        <f aca="false">F15+F16+F17+F18</f>
        <v>7175.97629390322</v>
      </c>
      <c r="G19" s="0" t="n">
        <f aca="false">G15+G16+G17+G18</f>
        <v>7284.15313891709</v>
      </c>
      <c r="H19" s="0" t="n">
        <f aca="false">H15+H16+H17+H18</f>
        <v>7728.21570074666</v>
      </c>
      <c r="I19" s="0" t="n">
        <f aca="false">I15+I16+I17+I18</f>
        <v>8158.27102617797</v>
      </c>
      <c r="J19" s="0" t="n">
        <f aca="false">J15+J16+J17+J18</f>
        <v>8568.96964390468</v>
      </c>
      <c r="K19" s="0" t="n">
        <f aca="false">K15+K16+K17+K18</f>
        <v>8826.03873322182</v>
      </c>
      <c r="L19" s="0" t="n">
        <f aca="false">L15+L16+L17+L18</f>
        <v>9090.81989521847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7710.20431557798</v>
      </c>
      <c r="D21" s="0" t="n">
        <f aca="false">D19*D20</f>
        <v>6553.27181410554</v>
      </c>
      <c r="E21" s="0" t="n">
        <f aca="false">E19*E20</f>
        <v>5682.86436589249</v>
      </c>
      <c r="F21" s="0" t="n">
        <f aca="false">F19*F20</f>
        <v>5083.64252060723</v>
      </c>
      <c r="G21" s="0" t="n">
        <f aca="false">G19*G20</f>
        <v>4734.19974758583</v>
      </c>
      <c r="H21" s="0" t="n">
        <f aca="false">H19*H20</f>
        <v>4608.0825174302</v>
      </c>
      <c r="I21" s="0" t="n">
        <f aca="false">I19*I20</f>
        <v>4462.85363003238</v>
      </c>
      <c r="J21" s="0" t="n">
        <f aca="false">J19*J20</f>
        <v>4300.47691581532</v>
      </c>
      <c r="K21" s="0" t="n">
        <f aca="false">K19*K20</f>
        <v>4063.75341586219</v>
      </c>
      <c r="L21" s="0" t="n">
        <f aca="false">L19*L20</f>
        <v>3840.06056728262</v>
      </c>
    </row>
    <row r="23" customFormat="false" ht="15" hidden="false" customHeight="false" outlineLevel="0" collapsed="false">
      <c r="A23" s="0" t="s">
        <v>109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Assumptions!$B$48</f>
        <v>9</v>
      </c>
    </row>
    <row r="28" customFormat="false" ht="15" hidden="false" customHeight="false" outlineLevel="0" collapsed="false">
      <c r="A28" s="0" t="s">
        <v>114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115</v>
      </c>
      <c r="B29" s="4" t="n">
        <f aca="false">Assumptions!$B$50</f>
        <v>13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51039.4098101918</v>
      </c>
    </row>
    <row r="31" customFormat="false" ht="15" hidden="false" customHeight="false" outlineLevel="0" collapsed="false">
      <c r="A31" s="0" t="s">
        <v>137</v>
      </c>
      <c r="B31" s="0" t="n">
        <f aca="false">L19</f>
        <v>9090.81989521847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156059.074867917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118180.65863784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118180.65863784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49920.787374674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100960.197184866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98910.1971848658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387.12405943196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0.704116121987762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1033.07141758667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1399.86451990882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396.646313590455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78029.5374339585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222.941902836131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153</v>
      </c>
    </row>
    <row r="3" customFormat="false" ht="15" hidden="false" customHeight="false" outlineLevel="0" collapsed="false">
      <c r="A3" s="2" t="s">
        <v>154</v>
      </c>
      <c r="B3" s="2" t="s">
        <v>155</v>
      </c>
      <c r="C3" s="2" t="s">
        <v>145</v>
      </c>
      <c r="D3" s="2" t="s">
        <v>156</v>
      </c>
      <c r="E3" s="2" t="s">
        <v>148</v>
      </c>
      <c r="F3" s="2" t="s">
        <v>157</v>
      </c>
    </row>
    <row r="4" customFormat="false" ht="15" hidden="false" customHeight="false" outlineLevel="0" collapsed="false">
      <c r="A4" s="0" t="s">
        <v>158</v>
      </c>
      <c r="B4" s="4" t="n">
        <f aca="false">DCF_Bear!$B$38</f>
        <v>210.756418074164</v>
      </c>
      <c r="C4" s="0" t="n">
        <f aca="false">B4/Assumptions!$B$2-1</f>
        <v>-0.0722524185668727</v>
      </c>
      <c r="D4" s="4" t="n">
        <f aca="false">Assumptions!$B$24</f>
        <v>0.25</v>
      </c>
      <c r="E4" s="4" t="n">
        <f aca="false">DCF_Bear!$B$43</f>
        <v>218.095577957639</v>
      </c>
      <c r="F4" s="4" t="n">
        <f aca="false">DCF_Bear!$B$47</f>
        <v>117.386401280545</v>
      </c>
    </row>
    <row r="5" customFormat="false" ht="15" hidden="false" customHeight="false" outlineLevel="0" collapsed="false">
      <c r="A5" s="0" t="s">
        <v>159</v>
      </c>
      <c r="B5" s="4" t="n">
        <f aca="false">DCF_Base!$B$38</f>
        <v>302.030377510434</v>
      </c>
      <c r="C5" s="0" t="n">
        <f aca="false">B5/Assumptions!$B$2-1</f>
        <v>0.32953461068994</v>
      </c>
      <c r="D5" s="4" t="n">
        <f aca="false">Assumptions!$B$38</f>
        <v>0.5</v>
      </c>
      <c r="E5" s="4" t="n">
        <f aca="false">DCF_Base!$B$43</f>
        <v>310.501058545644</v>
      </c>
      <c r="F5" s="4" t="n">
        <f aca="false">DCF_Base!$B$47</f>
        <v>172.728976974623</v>
      </c>
    </row>
    <row r="6" customFormat="false" ht="15" hidden="false" customHeight="false" outlineLevel="0" collapsed="false">
      <c r="A6" s="0" t="s">
        <v>160</v>
      </c>
      <c r="B6" s="4" t="n">
        <f aca="false">DCF_Bull!$B$38</f>
        <v>387.12405943196</v>
      </c>
      <c r="C6" s="0" t="n">
        <f aca="false">B6/Assumptions!$B$2-1</f>
        <v>0.704116121987762</v>
      </c>
      <c r="D6" s="4" t="n">
        <f aca="false">Assumptions!$B$52</f>
        <v>0.25</v>
      </c>
      <c r="E6" s="4" t="n">
        <f aca="false">DCF_Bull!$B$43</f>
        <v>396.646313590455</v>
      </c>
      <c r="F6" s="4" t="n">
        <f aca="false">DCF_Bull!$B$47</f>
        <v>222.941902836131</v>
      </c>
    </row>
    <row r="8" customFormat="false" ht="15" hidden="false" customHeight="false" outlineLevel="0" collapsed="false">
      <c r="A8" s="0" t="s">
        <v>161</v>
      </c>
      <c r="B8" s="0" t="n">
        <f aca="false">SUMPRODUCT(B4:B6,D4:D6)</f>
        <v>300.485308131748</v>
      </c>
    </row>
    <row r="9" customFormat="false" ht="15" hidden="false" customHeight="false" outlineLevel="0" collapsed="false">
      <c r="A9" s="0" t="s">
        <v>162</v>
      </c>
      <c r="B9" s="0" t="n">
        <f aca="false">SUMPRODUCT(E4:E6,D4:D6)</f>
        <v>308.936002159846</v>
      </c>
    </row>
    <row r="10" customFormat="false" ht="15" hidden="false" customHeight="false" outlineLevel="0" collapsed="false">
      <c r="A10" s="0" t="s">
        <v>163</v>
      </c>
      <c r="B10" s="0" t="n">
        <f aca="false">1-Assumptions!$B$2/B8</f>
        <v>0.243989659885809</v>
      </c>
    </row>
    <row r="11" customFormat="false" ht="15" hidden="false" customHeight="false" outlineLevel="0" collapsed="false">
      <c r="A11" s="0" t="s">
        <v>164</v>
      </c>
      <c r="B11" s="0" t="n">
        <f aca="false">IF(ABS(B9-B8)&gt;0.01*ABS(B8),(Assumptions!$B$2-B8)/(B9-B8)*100,"n/a")</f>
        <v>-867.565526428726</v>
      </c>
    </row>
    <row r="12" customFormat="false" ht="15" hidden="false" customHeight="false" outlineLevel="0" collapsed="false">
      <c r="A12" s="0" t="s">
        <v>165</v>
      </c>
      <c r="B12" s="0" t="n">
        <f aca="false">SUMPRODUCT(F4:F6,D4:D6)</f>
        <v>171.446564516481</v>
      </c>
    </row>
    <row r="14" customFormat="false" ht="15" hidden="false" customHeight="false" outlineLevel="0" collapsed="false">
      <c r="A14" s="2" t="s">
        <v>166</v>
      </c>
      <c r="C14" s="0" t="s">
        <v>167</v>
      </c>
    </row>
    <row r="15" customFormat="false" ht="15" hidden="false" customHeight="false" outlineLevel="0" collapsed="false">
      <c r="A15" s="0" t="s">
        <v>168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302.030377510434</v>
      </c>
      <c r="C15" s="3" t="n">
        <v>9</v>
      </c>
    </row>
    <row r="16" customFormat="false" ht="15" hidden="false" customHeight="false" outlineLevel="0" collapsed="false">
      <c r="A16" s="0" t="s">
        <v>169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282.15870138165</v>
      </c>
      <c r="C16" s="3" t="n">
        <v>10</v>
      </c>
    </row>
    <row r="17" customFormat="false" ht="15" hidden="false" customHeight="false" outlineLevel="0" collapsed="false">
      <c r="A17" s="0" t="s">
        <v>170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254.921605856074</v>
      </c>
      <c r="C17" s="3" t="n">
        <v>11</v>
      </c>
    </row>
    <row r="18" customFormat="false" ht="15" hidden="false" customHeight="false" outlineLevel="0" collapsed="false">
      <c r="A18" s="0" t="s">
        <v>171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227.879359293443</v>
      </c>
      <c r="C18" s="3" t="n">
        <v>12</v>
      </c>
    </row>
    <row r="19" customFormat="false" ht="15" hidden="false" customHeight="false" outlineLevel="0" collapsed="false">
      <c r="A19" s="0" t="s">
        <v>172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172.728976974623</v>
      </c>
      <c r="C19" s="3" t="n">
        <v>15</v>
      </c>
    </row>
    <row r="21" customFormat="false" ht="15" hidden="false" customHeight="false" outlineLevel="0" collapsed="false">
      <c r="A21" s="2" t="s">
        <v>173</v>
      </c>
    </row>
    <row r="22" customFormat="false" ht="15" hidden="false" customHeight="false" outlineLevel="0" collapsed="false">
      <c r="B22" s="3" t="n">
        <v>1.5</v>
      </c>
      <c r="C22" s="3" t="n">
        <v>2</v>
      </c>
      <c r="D22" s="3" t="n">
        <v>2.5</v>
      </c>
      <c r="E22" s="3" t="n">
        <v>3</v>
      </c>
      <c r="F22" s="3" t="n">
        <v>3.5</v>
      </c>
    </row>
    <row r="23" customFormat="false" ht="15" hidden="false" customHeight="false" outlineLevel="0" collapsed="false">
      <c r="A23" s="3" t="n">
        <v>7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347.614113198123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347.614113198123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347.614113198123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347.614113198123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347.614113198123</v>
      </c>
    </row>
    <row r="24" customFormat="false" ht="15" hidden="false" customHeight="false" outlineLevel="0" collapsed="false">
      <c r="A24" s="3" t="n">
        <v>8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323.77977215543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323.77977215543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323.77977215543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323.77977215543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323.77977215543</v>
      </c>
    </row>
    <row r="25" customFormat="false" ht="15" hidden="false" customHeight="false" outlineLevel="0" collapsed="false">
      <c r="A25" s="3" t="n">
        <v>9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302.030377510434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302.030377510434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302.030377510434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302.030377510434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302.030377510434</v>
      </c>
    </row>
    <row r="26" customFormat="false" ht="15" hidden="false" customHeight="false" outlineLevel="0" collapsed="false">
      <c r="A26" s="3" t="n">
        <v>10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271.002637068757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279.524630641106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282.15870138165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282.15870138165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282.15870138165</v>
      </c>
    </row>
    <row r="27" customFormat="false" ht="15" hidden="false" customHeight="false" outlineLevel="0" collapsed="false">
      <c r="A27" s="3" t="n">
        <v>11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241.691450711419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247.939023974173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254.921605856074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262.777010473213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263.980090459622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2026-09-25T09:51:22Z</dcterms:created>
  <dc:creator>openpyxl</dc:creator>
  <dc:description/>
  <dc:language>en-NZ</dc:language>
  <cp:lastModifiedBy/>
  <dcterms:modified xsi:type="dcterms:W3CDTF">2026-09-25T09:51:22Z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