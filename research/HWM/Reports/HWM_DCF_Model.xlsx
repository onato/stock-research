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<sst xmlns="http://schemas.openxmlformats.org/spreadsheetml/2006/main" count="389" uniqueCount="174">
  <si>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</si>
  <si>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HWM</t>
  </si>
  <si>
    <t xml:space="preserve">Company</t>
  </si>
  <si>
    <t xml:space="preserve">Howmet Aerospace Inc.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</si>
  <si>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</si>
  <si>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</si>
  <si>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</si>
  <si>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</si>
  <si>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2026-09-28T20:05:19Z regular close (not after-hours)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</si>
  <si>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</si>
  <si>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</si>
  <si>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</si>
  <si>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</si>
  <si>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</si>
  <si>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</si>
  <si>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</si>
  <si>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</si>
  <si>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</si>
  <si>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</si>
  <si>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</si>
  <si>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</si>
  <si>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2026-09-28T21:40:15Z</t>
  </si>
  <si>
    <t xml:space="preserve">Drivers file</t>
  </si>
  <si>
    <t xml:space="preserve">HWM_Drivers.json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</si>
  <si>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</si>
  <si>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</si>
  <si>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</si>
  <si>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Howmet as a stream of unlevered owner free cash flow: company adjusted EBITDA restated pre-SBC, less SBC plus equity-award withholding, D&amp;A, a cash tax rate ramping to 21%, a capex programme that peaks in 2027, and working capital that consumes 10% of each year's revenue growth. Three scenarios built on the company's actual axes (OEM build rates, IGT/data-centre demand, spares mix, and GE/SpaceX insourcing after the 2030 contract cycle), discounted at a single USD 9% WACC with cyclicality charged in the flows and weights rather than the discount rate. Terminal value is the lower of Gordon and a 13-18x owner-FCF cap. The market price implies a terminal multiple and growth path well above the base case; the sensitivity grid and required-return table show what return today's price buys.
key_risks_to_valuation: GE Aerospace and SpaceX in-house turbine blade/vane casting eroding the highest-margin Engine Products franchise after long-term agreements expire around 2030; Commercial aerospace new-build downcycle (Boeing/Airbus rate cuts, engine OEM destocking) hitting ~70% of revenue; Data-centre power capex slowdown removing the industrial gas turbine tailwind that is driving current margin expansion; Customer concentration: GE Aerospace ~14% of third-party sales; a handful of OEMs drive volume; Premium multiple (~49x trailing P/E) means the equity is priced for the bull path; a 100bp change in WACC moves the base value materially; Debt-funded M&amp;A (CAM $1.8B) raising net debt to ~$3.9B; integration risk in Fastening Systems; Titanium, rhenium and nickel superalloy supply from geopolitically sensitive sources; Forged Wheels exposure to Class 8 truck cyclicality</t>
  </si>
  <si>
    <t xml:space="preserve">Data sources</t>
  </si>
  <si>
    <t xml:space="preserve">price: Yahoo Finance chart API (regularMarketPrice) at inputs.price_as_of; 52-week range 183.83-310.00
financials: HWM_Metrics.csv (SEC XBRL companyfacts via the DB-first pipeline, millions USD): FY2025 10-K actuals for the base year, Q2 2026 10-Q for net debt and share count; kpis table for cash taxes, equity-award taxes, buybacks and interest income
guidance: Q2 2026 earnings release / call (August 2026) as recorded in HWM_Analysis.json: FY2026 revenue $10.05B +/-$50M, adj EBITDA $3.23B +/-$20M, adj EPS $5.27, FCF $1.9B, capex &gt;$500M rising in 2027
qualitative: HWM_Analysis.json (2026-09-29): segments, moat, GE/SpaceX insourcing risk, CAM acquisition, bull/bear cases</t>
  </si>
  <si>
    <t xml:space="preserve">Scenario narrative: bear</t>
  </si>
  <si>
    <t xml:space="preserve">Aerospace downcycle FY2028-30 plus real share loss to GE/SpaceX in-house casting after the 2030 contract roll; margins trough at 27.5% pre-SBC and recover to ~30%. Terminal growth 2.5%, 13x cap.</t>
  </si>
  <si>
    <t xml:space="preserve">Scenario narrative: base</t>
  </si>
  <si>
    <t xml:space="preserve">Aerospace up-cycle matures; spares and IGT sustain ~8% mid-decade growth and ~2pp of margin expansion; GE/SpaceX insourcing costs some pricing power after 2030 but not the franchise. WACC 9%, terminal growth 3%, 16x cap.</t>
  </si>
  <si>
    <t xml:space="preserve">Scenario narrative: bull</t>
  </si>
  <si>
    <t xml:space="preserve">Rates, IGT and spares all keep compounding; margins reach 37.5% pre-SBC; insourcing stays a headline. Terminal growth 3.5%, 18x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</si>
  <si>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</si>
  <si>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</si>
  <si>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</si>
  <si>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</si>
  <si>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</si>
  <si>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</si>
  <si>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</si>
  <si>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</si>
  <si>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</si>
  <si>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</si>
  <si>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</si>
  <si>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</si>
  <si>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</si>
  <si>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</si>
  <si>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</si>
  <si>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</si>
  <si>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</si>
  <si>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</si>
  <si>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</si>
  <si>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</si>
  <si>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</si>
  <si>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</si>
  <si>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</si>
  <si>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</si>
  <si>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</si>
  <si>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</si>
  <si>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</si>
  <si>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</si>
  <si>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</si>
  <si>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</si>
  <si>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</si>
  <si>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</si>
  <si>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</si>
  <si>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</si>
  <si>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</si>
  <si>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</si>
  <si>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</si>
  <si>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</si>
  <si>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</si>
  <si>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</si>
  <si>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</si>
  <si>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</si>
  <si>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</si>
  <si>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</si>
  <si>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</si>
  <si>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</si>
  <si>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</si>
  <si>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</si>
  <si>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</si>
  <si>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</si>
  <si>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</si>
  <si>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</si>
  <si>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</si>
  <si>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</si>
  <si>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</si>
  <si>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</si>
  <si>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</si>
  <si>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</si>
  <si>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</si>
  <si>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</si>
  <si>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</si>
  <si>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</si>
  <si>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</si>
  <si>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</si>
  <si>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</si>
  <si>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</si>
  <si>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</si>
  <si>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</si>
  <si>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</si>
  <si>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</si>
  <si>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</si>
  <si>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</si>
  <si>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</si>
  <si>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</si>
  <si>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</si>
  <si>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</si>
  <si>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</si>
  <si>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</si>
  <si>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</si>
  <si>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</si>
  <si>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</si>
  <si>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</si>
  <si>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</si>
  <si>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</si>
  <si>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HWM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</si>
  <si>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</si>
  <si>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</si>
  <si>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</si>
  <si>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</si>
  <si>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</si>
  <si>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</si>
  <si>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</si>
  <si>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</si>
  <si>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</si>
  <si>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</si>
  <si>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</si>
  <si>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</si>
  <si>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</si>
  <si>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</si>
  <si>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</si>
  <si>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</si>
  <si>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</si>
  <si>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</si>
  <si>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</si>
  <si>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</si>
  <si>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</si>
  <si>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</si>
  <si>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</si>
  <si>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</si>
  <si>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</si>
  <si>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</si>
  <si>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</si>
  <si>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</si>
  <si>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</si>
  <si>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</si>
  <si>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HWM owner-FCF component DCF: base case (millions, USD)</t>
  </si>
  <si>
    <t xml:space="preserve">HWM owner-FCF component DCF: bull case (millions, USD)</t>
  </si>
  <si>
    <t xml:space="preserve">HWM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</si>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</sst>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228.32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16431</v>
      </c>
      <c r="S2" s="0" t="n">
        <v>506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2929</v>
      </c>
      <c r="K3" s="0" t="n">
        <v>2.95</v>
      </c>
      <c r="L3" s="0" t="n">
        <v>3111</v>
      </c>
      <c r="M3" s="0" t="n">
        <v>3614</v>
      </c>
      <c r="N3" s="0" t="n">
        <v>-503</v>
      </c>
      <c r="O3" s="0" t="n">
        <v>18476</v>
      </c>
      <c r="S3" s="0" t="n">
        <v>483</v>
      </c>
      <c r="U3" s="0" t="n">
        <v>97</v>
      </c>
      <c r="V3" s="0" t="n">
        <v>0.68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I4" s="0" t="n">
        <v>147</v>
      </c>
      <c r="K4" s="0" t="n">
        <v>-0.1</v>
      </c>
      <c r="L4" s="0" t="n">
        <v>1234</v>
      </c>
      <c r="M4" s="0" t="n">
        <v>3413</v>
      </c>
      <c r="N4" s="0" t="n">
        <v>-2179</v>
      </c>
      <c r="O4" s="0" t="n">
        <v>14332</v>
      </c>
      <c r="P4" s="0" t="n">
        <v>37822</v>
      </c>
      <c r="Q4" s="0" t="n">
        <v>23490</v>
      </c>
      <c r="R4" s="0" t="n">
        <v>8565</v>
      </c>
      <c r="S4" s="0" t="n">
        <v>762</v>
      </c>
      <c r="T4" s="0" t="n">
        <v>800.317368</v>
      </c>
      <c r="U4" s="0" t="n">
        <v>94</v>
      </c>
      <c r="V4" s="0" t="n">
        <v>0.68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I5" s="0" t="n">
        <v>-1151</v>
      </c>
      <c r="K5" s="0" t="n">
        <v>-1.23</v>
      </c>
      <c r="L5" s="0" t="n">
        <v>1365</v>
      </c>
      <c r="M5" s="0" t="n">
        <v>1617</v>
      </c>
      <c r="N5" s="0" t="n">
        <v>-252</v>
      </c>
      <c r="O5" s="0" t="n">
        <v>15520</v>
      </c>
      <c r="P5" s="0" t="n">
        <v>38472</v>
      </c>
      <c r="Q5" s="0" t="n">
        <v>22912</v>
      </c>
      <c r="R5" s="0" t="n">
        <v>10312</v>
      </c>
      <c r="S5" s="0" t="n">
        <v>1481</v>
      </c>
      <c r="T5" s="0" t="n">
        <v>974.37882</v>
      </c>
      <c r="U5" s="0" t="n">
        <v>87</v>
      </c>
      <c r="V5" s="0" t="n">
        <v>0.26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I6" s="0" t="n">
        <v>392</v>
      </c>
      <c r="K6" s="0" t="n">
        <v>0.25</v>
      </c>
      <c r="L6" s="0" t="n">
        <v>2261</v>
      </c>
      <c r="M6" s="0" t="n">
        <v>1015</v>
      </c>
      <c r="N6" s="0" t="n">
        <v>1246</v>
      </c>
      <c r="O6" s="0" t="n">
        <v>17086</v>
      </c>
      <c r="P6" s="0" t="n">
        <v>39293</v>
      </c>
      <c r="Q6" s="0" t="n">
        <v>22207</v>
      </c>
      <c r="R6" s="0" t="n">
        <v>9304</v>
      </c>
      <c r="S6" s="0" t="n">
        <v>1543</v>
      </c>
      <c r="T6" s="0" t="n">
        <v>1022.025965</v>
      </c>
      <c r="U6" s="0" t="n">
        <v>84</v>
      </c>
      <c r="V6" s="0" t="n">
        <v>0.12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I7" s="0" t="n">
        <v>805</v>
      </c>
      <c r="K7" s="0" t="n">
        <v>0.57</v>
      </c>
      <c r="L7" s="0" t="n">
        <v>2193</v>
      </c>
      <c r="M7" s="0" t="n">
        <v>1287</v>
      </c>
      <c r="N7" s="0" t="n">
        <v>906</v>
      </c>
      <c r="O7" s="0" t="n">
        <v>17195</v>
      </c>
      <c r="P7" s="0" t="n">
        <v>40120</v>
      </c>
      <c r="Q7" s="0" t="n">
        <v>22925</v>
      </c>
      <c r="R7" s="0" t="n">
        <v>9530</v>
      </c>
      <c r="S7" s="0" t="n">
        <v>1939</v>
      </c>
      <c r="T7" s="0" t="n">
        <v>1064.412066</v>
      </c>
      <c r="U7" s="0" t="n">
        <v>83</v>
      </c>
      <c r="V7" s="0" t="n">
        <v>0.12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I8" s="0" t="n">
        <v>191</v>
      </c>
      <c r="K8" s="0" t="n">
        <v>0.18</v>
      </c>
      <c r="L8" s="0" t="n">
        <v>1497</v>
      </c>
      <c r="M8" s="0" t="n">
        <v>1261</v>
      </c>
      <c r="N8" s="0" t="n">
        <v>236</v>
      </c>
      <c r="O8" s="0" t="n">
        <v>16523</v>
      </c>
      <c r="P8" s="0" t="n">
        <v>40179</v>
      </c>
      <c r="Q8" s="0" t="n">
        <v>23656</v>
      </c>
      <c r="R8" s="0" t="n">
        <v>9241</v>
      </c>
      <c r="S8" s="0" t="n">
        <v>1861</v>
      </c>
      <c r="T8" s="0" t="n">
        <v>1067.211953</v>
      </c>
      <c r="U8" s="0" t="n">
        <v>67</v>
      </c>
      <c r="V8" s="0" t="n">
        <v>0.12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I9" s="0" t="n">
        <v>-2285</v>
      </c>
      <c r="K9" s="0" t="n">
        <v>-2.14</v>
      </c>
      <c r="L9" s="0" t="n">
        <v>1578</v>
      </c>
      <c r="M9" s="0" t="n">
        <v>1193</v>
      </c>
      <c r="N9" s="0" t="n">
        <v>385</v>
      </c>
      <c r="O9" s="0" t="n">
        <v>13522</v>
      </c>
      <c r="P9" s="0" t="n">
        <v>35742</v>
      </c>
      <c r="Q9" s="0" t="n">
        <v>22220</v>
      </c>
      <c r="R9" s="0" t="n">
        <v>8917</v>
      </c>
      <c r="S9" s="0" t="n">
        <v>1437</v>
      </c>
      <c r="T9" s="0" t="n">
        <v>1071.011162</v>
      </c>
      <c r="U9" s="0" t="n">
        <v>71</v>
      </c>
      <c r="V9" s="0" t="n">
        <v>0.12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I10" s="0" t="n">
        <v>268</v>
      </c>
      <c r="K10" s="0" t="n">
        <v>0.64</v>
      </c>
      <c r="L10" s="0" t="n">
        <v>1674</v>
      </c>
      <c r="M10" s="0" t="n">
        <v>1219</v>
      </c>
      <c r="N10" s="0" t="n">
        <v>455</v>
      </c>
      <c r="O10" s="0" t="n">
        <v>14794</v>
      </c>
      <c r="P10" s="0" t="n">
        <v>37363</v>
      </c>
      <c r="Q10" s="0" t="n">
        <v>22569</v>
      </c>
      <c r="R10" s="0" t="n">
        <v>8827</v>
      </c>
      <c r="S10" s="0" t="n">
        <v>1877</v>
      </c>
      <c r="T10" s="0" t="n">
        <v>1216.663661</v>
      </c>
      <c r="U10" s="0" t="n">
        <v>87</v>
      </c>
      <c r="V10" s="0" t="n">
        <v>0.12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F11" s="0" t="n">
        <v>628</v>
      </c>
      <c r="H11" s="0" t="n">
        <v>1908</v>
      </c>
      <c r="I11" s="0" t="n">
        <v>-322</v>
      </c>
      <c r="K11" s="0" t="n">
        <v>-0.93</v>
      </c>
      <c r="L11" s="0" t="n">
        <v>1582</v>
      </c>
      <c r="M11" s="0" t="n">
        <v>1180</v>
      </c>
      <c r="N11" s="0" t="n">
        <v>402</v>
      </c>
      <c r="O11" s="0" t="n">
        <v>14131</v>
      </c>
      <c r="P11" s="0" t="n">
        <v>36477</v>
      </c>
      <c r="Q11" s="0" t="n">
        <v>22346</v>
      </c>
      <c r="R11" s="0" t="n">
        <v>8792</v>
      </c>
      <c r="S11" s="0" t="n">
        <v>1919</v>
      </c>
      <c r="T11" s="0" t="n">
        <v>1310.160141</v>
      </c>
      <c r="U11" s="0" t="n">
        <v>77</v>
      </c>
      <c r="V11" s="0" t="n">
        <v>0.12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12394</v>
      </c>
      <c r="F12" s="0" t="n">
        <v>954</v>
      </c>
      <c r="G12" s="0" t="n">
        <v>7.69727287397128</v>
      </c>
      <c r="H12" s="0" t="n">
        <v>2086</v>
      </c>
      <c r="I12" s="0" t="n">
        <v>-941</v>
      </c>
      <c r="J12" s="0" t="n">
        <v>-7.59238341132806</v>
      </c>
      <c r="K12" s="0" t="n">
        <v>-2.31</v>
      </c>
      <c r="L12" s="0" t="n">
        <v>95</v>
      </c>
      <c r="M12" s="0" t="n">
        <v>1125</v>
      </c>
      <c r="N12" s="0" t="n">
        <v>-1030</v>
      </c>
      <c r="O12" s="0" t="n">
        <v>5141</v>
      </c>
      <c r="P12" s="0" t="n">
        <v>20038</v>
      </c>
      <c r="Q12" s="0" t="n">
        <v>14897</v>
      </c>
      <c r="R12" s="0" t="n">
        <v>8052</v>
      </c>
      <c r="S12" s="0" t="n">
        <v>1863</v>
      </c>
      <c r="T12" s="0" t="n">
        <v>438.51978</v>
      </c>
      <c r="U12" s="0" t="n">
        <v>76</v>
      </c>
      <c r="V12" s="0" t="n">
        <v>0.36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12960</v>
      </c>
      <c r="F13" s="0" t="n">
        <v>480</v>
      </c>
      <c r="G13" s="0" t="n">
        <v>3.7037037037037</v>
      </c>
      <c r="H13" s="0" t="n">
        <v>1031</v>
      </c>
      <c r="I13" s="0" t="n">
        <v>-74</v>
      </c>
      <c r="J13" s="0" t="n">
        <v>-0.570987654320988</v>
      </c>
      <c r="K13" s="0" t="n">
        <v>-0.28</v>
      </c>
      <c r="L13" s="0" t="n">
        <v>-39</v>
      </c>
      <c r="M13" s="0" t="n">
        <v>596</v>
      </c>
      <c r="N13" s="0" t="n">
        <v>-635</v>
      </c>
      <c r="O13" s="0" t="n">
        <v>4908</v>
      </c>
      <c r="P13" s="0" t="n">
        <v>18718</v>
      </c>
      <c r="Q13" s="0" t="n">
        <v>13794</v>
      </c>
      <c r="R13" s="0" t="n">
        <v>6808</v>
      </c>
      <c r="S13" s="0" t="n">
        <v>2150</v>
      </c>
      <c r="T13" s="0" t="n">
        <v>481.416537</v>
      </c>
      <c r="U13" s="0" t="n">
        <v>54</v>
      </c>
      <c r="V13" s="0" t="n">
        <v>0.24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6778</v>
      </c>
      <c r="F14" s="0" t="n">
        <v>775</v>
      </c>
      <c r="G14" s="0" t="n">
        <v>11.4340513425789</v>
      </c>
      <c r="H14" s="0" t="n">
        <v>1351</v>
      </c>
      <c r="I14" s="0" t="n">
        <v>642</v>
      </c>
      <c r="J14" s="0" t="n">
        <v>9.47182059604603</v>
      </c>
      <c r="K14" s="0" t="n">
        <v>1.33</v>
      </c>
      <c r="L14" s="0" t="n">
        <v>217</v>
      </c>
      <c r="M14" s="0" t="n">
        <v>768</v>
      </c>
      <c r="N14" s="0" t="n">
        <v>-551</v>
      </c>
      <c r="O14" s="0" t="n">
        <v>5569</v>
      </c>
      <c r="P14" s="0" t="n">
        <v>18693</v>
      </c>
      <c r="Q14" s="0" t="n">
        <v>13108</v>
      </c>
      <c r="R14" s="0" t="n">
        <v>6706</v>
      </c>
      <c r="S14" s="0" t="n">
        <v>2277</v>
      </c>
      <c r="T14" s="0" t="n">
        <v>503</v>
      </c>
      <c r="U14" s="0" t="n">
        <v>40</v>
      </c>
      <c r="V14" s="0" t="n">
        <v>0.24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7098</v>
      </c>
      <c r="F15" s="0" t="n">
        <v>579</v>
      </c>
      <c r="G15" s="0" t="n">
        <v>8.15722738799662</v>
      </c>
      <c r="H15" s="0" t="n">
        <v>1115</v>
      </c>
      <c r="I15" s="0" t="n">
        <v>470</v>
      </c>
      <c r="J15" s="0" t="n">
        <v>6.62158354466047</v>
      </c>
      <c r="K15" s="0" t="n">
        <v>1.05</v>
      </c>
      <c r="L15" s="0" t="n">
        <v>461</v>
      </c>
      <c r="M15" s="0" t="n">
        <v>641</v>
      </c>
      <c r="N15" s="0" t="n">
        <v>-180</v>
      </c>
      <c r="O15" s="0" t="n">
        <v>4605</v>
      </c>
      <c r="P15" s="0" t="n">
        <v>17562</v>
      </c>
      <c r="Q15" s="0" t="n">
        <v>12957</v>
      </c>
      <c r="R15" s="0" t="n">
        <v>6974</v>
      </c>
      <c r="S15" s="0" t="n">
        <v>1577</v>
      </c>
      <c r="T15" s="0" t="n">
        <v>463</v>
      </c>
      <c r="U15" s="0" t="n">
        <v>69</v>
      </c>
      <c r="V15" s="0" t="n">
        <v>0.12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5259</v>
      </c>
      <c r="F16" s="0" t="n">
        <v>626</v>
      </c>
      <c r="G16" s="0" t="n">
        <v>11.9034036889142</v>
      </c>
      <c r="H16" s="0" t="n">
        <v>964</v>
      </c>
      <c r="I16" s="0" t="n">
        <v>261</v>
      </c>
      <c r="J16" s="0" t="n">
        <v>4.96292070735881</v>
      </c>
      <c r="L16" s="0" t="n">
        <v>9</v>
      </c>
      <c r="M16" s="0" t="n">
        <v>267</v>
      </c>
      <c r="N16" s="0" t="n">
        <v>-258</v>
      </c>
      <c r="O16" s="0" t="n">
        <v>3577</v>
      </c>
      <c r="P16" s="0" t="n">
        <v>11443</v>
      </c>
      <c r="Q16" s="0" t="n">
        <v>7866</v>
      </c>
      <c r="R16" s="0" t="n">
        <v>5451</v>
      </c>
      <c r="S16" s="0" t="n">
        <v>1610</v>
      </c>
      <c r="T16" s="0" t="n">
        <v>439</v>
      </c>
      <c r="U16" s="0" t="n">
        <v>46</v>
      </c>
      <c r="V16" s="0" t="n">
        <v>0.02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4972</v>
      </c>
      <c r="F17" s="0" t="n">
        <v>748</v>
      </c>
      <c r="G17" s="0" t="n">
        <v>15.0442477876106</v>
      </c>
      <c r="H17" s="0" t="n">
        <v>1018</v>
      </c>
      <c r="I17" s="0" t="n">
        <v>258</v>
      </c>
      <c r="J17" s="0" t="n">
        <v>5.18905872888174</v>
      </c>
      <c r="K17" s="0" t="n">
        <v>0.6</v>
      </c>
      <c r="L17" s="0" t="n">
        <v>449</v>
      </c>
      <c r="M17" s="0" t="n">
        <v>199</v>
      </c>
      <c r="N17" s="0" t="n">
        <v>250</v>
      </c>
      <c r="O17" s="0" t="n">
        <v>3508</v>
      </c>
      <c r="P17" s="0" t="n">
        <v>10219</v>
      </c>
      <c r="Q17" s="0" t="n">
        <v>6711</v>
      </c>
      <c r="R17" s="0" t="n">
        <v>4237</v>
      </c>
      <c r="S17" s="0" t="n">
        <v>720</v>
      </c>
      <c r="T17" s="0" t="n">
        <v>435</v>
      </c>
      <c r="U17" s="0" t="n">
        <v>40</v>
      </c>
      <c r="V17" s="0" t="n">
        <v>0.04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5663</v>
      </c>
      <c r="F18" s="0" t="n">
        <v>919</v>
      </c>
      <c r="G18" s="0" t="n">
        <v>16.2281476249338</v>
      </c>
      <c r="H18" s="0" t="n">
        <v>1184</v>
      </c>
      <c r="I18" s="0" t="n">
        <v>469</v>
      </c>
      <c r="J18" s="0" t="n">
        <v>8.28182941903585</v>
      </c>
      <c r="K18" s="0" t="n">
        <v>1.12</v>
      </c>
      <c r="L18" s="0" t="n">
        <v>733</v>
      </c>
      <c r="M18" s="0" t="n">
        <v>193</v>
      </c>
      <c r="N18" s="0" t="n">
        <v>540</v>
      </c>
      <c r="O18" s="0" t="n">
        <v>3601</v>
      </c>
      <c r="P18" s="0" t="n">
        <v>10255</v>
      </c>
      <c r="Q18" s="0" t="n">
        <v>6654</v>
      </c>
      <c r="R18" s="0" t="n">
        <v>4162</v>
      </c>
      <c r="S18" s="0" t="n">
        <v>791</v>
      </c>
      <c r="T18" s="0" t="n">
        <v>421</v>
      </c>
      <c r="U18" s="0" t="n">
        <v>54</v>
      </c>
      <c r="V18" s="0" t="n">
        <v>0.1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6640</v>
      </c>
      <c r="F19" s="0" t="n">
        <v>1203</v>
      </c>
      <c r="G19" s="0" t="n">
        <v>18.1174698795181</v>
      </c>
      <c r="H19" s="0" t="n">
        <v>1475</v>
      </c>
      <c r="I19" s="0" t="n">
        <v>765</v>
      </c>
      <c r="J19" s="0" t="n">
        <v>11.5210843373494</v>
      </c>
      <c r="K19" s="0" t="n">
        <v>1.85</v>
      </c>
      <c r="L19" s="0" t="n">
        <v>901</v>
      </c>
      <c r="M19" s="0" t="n">
        <v>219</v>
      </c>
      <c r="N19" s="0" t="n">
        <v>682</v>
      </c>
      <c r="O19" s="0" t="n">
        <v>4037</v>
      </c>
      <c r="P19" s="0" t="n">
        <v>10428</v>
      </c>
      <c r="Q19" s="0" t="n">
        <v>6391</v>
      </c>
      <c r="R19" s="0" t="n">
        <v>3912</v>
      </c>
      <c r="S19" s="0" t="n">
        <v>610</v>
      </c>
      <c r="T19" s="0" t="n">
        <v>416</v>
      </c>
      <c r="U19" s="0" t="n">
        <v>50</v>
      </c>
      <c r="V19" s="0" t="n">
        <v>0.17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7430</v>
      </c>
      <c r="F20" s="0" t="n">
        <v>1633</v>
      </c>
      <c r="G20" s="0" t="n">
        <v>21.978465679677</v>
      </c>
      <c r="H20" s="0" t="n">
        <v>1910</v>
      </c>
      <c r="I20" s="0" t="n">
        <v>1155</v>
      </c>
      <c r="J20" s="0" t="n">
        <v>15.5450874831763</v>
      </c>
      <c r="K20" s="0" t="n">
        <v>2.83</v>
      </c>
      <c r="L20" s="0" t="n">
        <v>1298</v>
      </c>
      <c r="M20" s="0" t="n">
        <v>321</v>
      </c>
      <c r="N20" s="0" t="n">
        <v>977</v>
      </c>
      <c r="O20" s="0" t="n">
        <v>4554</v>
      </c>
      <c r="P20" s="0" t="n">
        <v>10519</v>
      </c>
      <c r="Q20" s="0" t="n">
        <v>5965</v>
      </c>
      <c r="R20" s="0" t="n">
        <v>3321</v>
      </c>
      <c r="S20" s="0" t="n">
        <v>564</v>
      </c>
      <c r="T20" s="0" t="n">
        <v>410</v>
      </c>
      <c r="U20" s="0" t="n">
        <v>63</v>
      </c>
      <c r="V20" s="0" t="n">
        <v>0.26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8252</v>
      </c>
      <c r="F21" s="0" t="n">
        <v>2046</v>
      </c>
      <c r="G21" s="0" t="n">
        <v>24.7939893359186</v>
      </c>
      <c r="H21" s="0" t="n">
        <v>2329</v>
      </c>
      <c r="I21" s="0" t="n">
        <v>1508</v>
      </c>
      <c r="J21" s="0" t="n">
        <v>18.274357731459</v>
      </c>
      <c r="K21" s="0" t="n">
        <v>3.73</v>
      </c>
      <c r="L21" s="0" t="n">
        <v>1884</v>
      </c>
      <c r="M21" s="0" t="n">
        <v>453</v>
      </c>
      <c r="N21" s="0" t="n">
        <v>1431</v>
      </c>
      <c r="O21" s="0" t="n">
        <v>5353</v>
      </c>
      <c r="P21" s="0" t="n">
        <v>11179</v>
      </c>
      <c r="Q21" s="0" t="n">
        <v>5826</v>
      </c>
      <c r="R21" s="0" t="n">
        <v>3241</v>
      </c>
      <c r="S21" s="0" t="n">
        <v>742</v>
      </c>
      <c r="T21" s="0" t="n">
        <v>406</v>
      </c>
      <c r="U21" s="0" t="n">
        <v>73</v>
      </c>
      <c r="V21" s="0" t="n">
        <v>0.44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228.32</v>
      </c>
    </row>
    <row r="3" customFormat="false" ht="15" hidden="false" customHeight="false" outlineLevel="0" collapsed="false">
      <c r="A3" s="0" t="s">
        <v>86</v>
      </c>
      <c r="B3" s="3" t="n">
        <v>405</v>
      </c>
    </row>
    <row r="4" customFormat="false" ht="15" hidden="false" customHeight="false" outlineLevel="0" collapsed="false">
      <c r="A4" s="0" t="s">
        <v>87</v>
      </c>
      <c r="B4" s="3" t="n">
        <v>3938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8252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21.2</v>
      </c>
      <c r="D13" s="3" t="n">
        <v>5</v>
      </c>
      <c r="E13" s="3" t="n">
        <v>0</v>
      </c>
      <c r="F13" s="3" t="n">
        <v>-6</v>
      </c>
      <c r="G13" s="3" t="n">
        <v>-2</v>
      </c>
      <c r="H13" s="3" t="n">
        <v>4</v>
      </c>
      <c r="I13" s="3" t="n">
        <v>5</v>
      </c>
      <c r="J13" s="3" t="n">
        <v>4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32.6</v>
      </c>
      <c r="D14" s="3" t="n">
        <v>32</v>
      </c>
      <c r="E14" s="3" t="n">
        <v>30.5</v>
      </c>
      <c r="F14" s="3" t="n">
        <v>28</v>
      </c>
      <c r="G14" s="3" t="n">
        <v>27.5</v>
      </c>
      <c r="H14" s="3" t="n">
        <v>28.5</v>
      </c>
      <c r="I14" s="3" t="n">
        <v>29.5</v>
      </c>
      <c r="J14" s="3" t="n">
        <v>30</v>
      </c>
      <c r="K14" s="3" t="n">
        <v>30</v>
      </c>
      <c r="L14" s="3" t="n">
        <v>29.5</v>
      </c>
    </row>
    <row r="15" customFormat="false" ht="15" hidden="false" customHeight="false" outlineLevel="0" collapsed="false">
      <c r="A15" s="0" t="s">
        <v>108</v>
      </c>
      <c r="C15" s="3" t="n">
        <v>1.4</v>
      </c>
      <c r="D15" s="3" t="n">
        <v>1.4</v>
      </c>
      <c r="E15" s="3" t="n">
        <v>1.4</v>
      </c>
      <c r="F15" s="3" t="n">
        <v>1.4</v>
      </c>
      <c r="G15" s="3" t="n">
        <v>1.4</v>
      </c>
      <c r="H15" s="3" t="n">
        <v>1.35</v>
      </c>
      <c r="I15" s="3" t="n">
        <v>1.3</v>
      </c>
      <c r="J15" s="3" t="n">
        <v>1.3</v>
      </c>
      <c r="K15" s="3" t="n">
        <v>1.3</v>
      </c>
      <c r="L15" s="3" t="n">
        <v>1.3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3.3</v>
      </c>
      <c r="D17" s="3" t="n">
        <v>3.5</v>
      </c>
      <c r="E17" s="3" t="n">
        <v>3.7</v>
      </c>
      <c r="F17" s="3" t="n">
        <v>4</v>
      </c>
      <c r="G17" s="3" t="n">
        <v>4.1</v>
      </c>
      <c r="H17" s="3" t="n">
        <v>4</v>
      </c>
      <c r="I17" s="3" t="n">
        <v>3.9</v>
      </c>
      <c r="J17" s="3" t="n">
        <v>3.9</v>
      </c>
      <c r="K17" s="3" t="n">
        <v>3.9</v>
      </c>
      <c r="L17" s="3" t="n">
        <v>3.9</v>
      </c>
    </row>
    <row r="18" customFormat="false" ht="15" hidden="false" customHeight="false" outlineLevel="0" collapsed="false">
      <c r="A18" s="0" t="s">
        <v>111</v>
      </c>
      <c r="C18" s="3" t="n">
        <v>5.2</v>
      </c>
      <c r="D18" s="3" t="n">
        <v>5.5</v>
      </c>
      <c r="E18" s="3" t="n">
        <v>5</v>
      </c>
      <c r="F18" s="3" t="n">
        <v>4.5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 customFormat="false" ht="15" hidden="false" customHeight="false" outlineLevel="0" collapsed="false">
      <c r="A19" s="0" t="s">
        <v>112</v>
      </c>
      <c r="C19" s="3" t="n">
        <v>18</v>
      </c>
      <c r="D19" s="3" t="n">
        <v>19</v>
      </c>
      <c r="E19" s="3" t="n">
        <v>20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-10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21.8</v>
      </c>
      <c r="D27" s="3" t="n">
        <v>11</v>
      </c>
      <c r="E27" s="3" t="n">
        <v>9</v>
      </c>
      <c r="F27" s="3" t="n">
        <v>8</v>
      </c>
      <c r="G27" s="3" t="n">
        <v>7</v>
      </c>
      <c r="H27" s="3" t="n">
        <v>6</v>
      </c>
      <c r="I27" s="3" t="n">
        <v>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33</v>
      </c>
      <c r="D28" s="3" t="n">
        <v>33.8</v>
      </c>
      <c r="E28" s="3" t="n">
        <v>34.3</v>
      </c>
      <c r="F28" s="3" t="n">
        <v>34.6</v>
      </c>
      <c r="G28" s="3" t="n">
        <v>34.8</v>
      </c>
      <c r="H28" s="3" t="n">
        <v>35</v>
      </c>
      <c r="I28" s="3" t="n">
        <v>35</v>
      </c>
      <c r="J28" s="3" t="n">
        <v>35</v>
      </c>
      <c r="K28" s="3" t="n">
        <v>34.8</v>
      </c>
      <c r="L28" s="3" t="n">
        <v>34.6</v>
      </c>
    </row>
    <row r="29" customFormat="false" ht="15" hidden="false" customHeight="false" outlineLevel="0" collapsed="false">
      <c r="A29" s="0" t="s">
        <v>108</v>
      </c>
      <c r="C29" s="3" t="n">
        <v>1.4</v>
      </c>
      <c r="D29" s="3" t="n">
        <v>1.4</v>
      </c>
      <c r="E29" s="3" t="n">
        <v>1.35</v>
      </c>
      <c r="F29" s="3" t="n">
        <v>1.3</v>
      </c>
      <c r="G29" s="3" t="n">
        <v>1.3</v>
      </c>
      <c r="H29" s="3" t="n">
        <v>1.25</v>
      </c>
      <c r="I29" s="3" t="n">
        <v>1.25</v>
      </c>
      <c r="J29" s="3" t="n">
        <v>1.2</v>
      </c>
      <c r="K29" s="3" t="n">
        <v>1.2</v>
      </c>
      <c r="L29" s="3" t="n">
        <v>1.2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3.3</v>
      </c>
      <c r="D31" s="3" t="n">
        <v>3.4</v>
      </c>
      <c r="E31" s="3" t="n">
        <v>3.5</v>
      </c>
      <c r="F31" s="3" t="n">
        <v>3.6</v>
      </c>
      <c r="G31" s="3" t="n">
        <v>3.7</v>
      </c>
      <c r="H31" s="3" t="n">
        <v>3.8</v>
      </c>
      <c r="I31" s="3" t="n">
        <v>3.8</v>
      </c>
      <c r="J31" s="3" t="n">
        <v>3.8</v>
      </c>
      <c r="K31" s="3" t="n">
        <v>3.8</v>
      </c>
      <c r="L31" s="3" t="n">
        <v>3.8</v>
      </c>
    </row>
    <row r="32" customFormat="false" ht="15" hidden="false" customHeight="false" outlineLevel="0" collapsed="false">
      <c r="A32" s="0" t="s">
        <v>111</v>
      </c>
      <c r="C32" s="3" t="n">
        <v>5.2</v>
      </c>
      <c r="D32" s="3" t="n">
        <v>6</v>
      </c>
      <c r="E32" s="3" t="n">
        <v>5.8</v>
      </c>
      <c r="F32" s="3" t="n">
        <v>5.5</v>
      </c>
      <c r="G32" s="3" t="n">
        <v>5.2</v>
      </c>
      <c r="H32" s="3" t="n">
        <v>5</v>
      </c>
      <c r="I32" s="3" t="n">
        <v>4.8</v>
      </c>
      <c r="J32" s="3" t="n">
        <v>4.5</v>
      </c>
      <c r="K32" s="3" t="n">
        <v>4.3</v>
      </c>
      <c r="L32" s="3" t="n">
        <v>4</v>
      </c>
    </row>
    <row r="33" customFormat="false" ht="15" hidden="false" customHeight="false" outlineLevel="0" collapsed="false">
      <c r="A33" s="0" t="s">
        <v>112</v>
      </c>
      <c r="C33" s="3" t="n">
        <v>18</v>
      </c>
      <c r="D33" s="3" t="n">
        <v>19</v>
      </c>
      <c r="E33" s="3" t="n">
        <v>20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16</v>
      </c>
    </row>
    <row r="37" customFormat="false" ht="15" hidden="false" customHeight="false" outlineLevel="0" collapsed="false">
      <c r="A37" s="0" t="s">
        <v>116</v>
      </c>
      <c r="B37" s="3" t="n">
        <v>-10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22.4</v>
      </c>
      <c r="D41" s="3" t="n">
        <v>14</v>
      </c>
      <c r="E41" s="3" t="n">
        <v>12</v>
      </c>
      <c r="F41" s="3" t="n">
        <v>11</v>
      </c>
      <c r="G41" s="3" t="n">
        <v>10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107</v>
      </c>
      <c r="C42" s="3" t="n">
        <v>33.3</v>
      </c>
      <c r="D42" s="3" t="n">
        <v>34.5</v>
      </c>
      <c r="E42" s="3" t="n">
        <v>35.5</v>
      </c>
      <c r="F42" s="3" t="n">
        <v>36.2</v>
      </c>
      <c r="G42" s="3" t="n">
        <v>36.8</v>
      </c>
      <c r="H42" s="3" t="n">
        <v>37.2</v>
      </c>
      <c r="I42" s="3" t="n">
        <v>37.5</v>
      </c>
      <c r="J42" s="3" t="n">
        <v>37.5</v>
      </c>
      <c r="K42" s="3" t="n">
        <v>37.5</v>
      </c>
      <c r="L42" s="3" t="n">
        <v>37.5</v>
      </c>
    </row>
    <row r="43" customFormat="false" ht="15" hidden="false" customHeight="false" outlineLevel="0" collapsed="false">
      <c r="A43" s="0" t="s">
        <v>108</v>
      </c>
      <c r="C43" s="3" t="n">
        <v>1.4</v>
      </c>
      <c r="D43" s="3" t="n">
        <v>1.4</v>
      </c>
      <c r="E43" s="3" t="n">
        <v>1.35</v>
      </c>
      <c r="F43" s="3" t="n">
        <v>1.3</v>
      </c>
      <c r="G43" s="3" t="n">
        <v>1.3</v>
      </c>
      <c r="H43" s="3" t="n">
        <v>1.25</v>
      </c>
      <c r="I43" s="3" t="n">
        <v>1.25</v>
      </c>
      <c r="J43" s="3" t="n">
        <v>1.2</v>
      </c>
      <c r="K43" s="3" t="n">
        <v>1.2</v>
      </c>
      <c r="L43" s="3" t="n">
        <v>1.2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3.3</v>
      </c>
      <c r="D45" s="3" t="n">
        <v>3.4</v>
      </c>
      <c r="E45" s="3" t="n">
        <v>3.5</v>
      </c>
      <c r="F45" s="3" t="n">
        <v>3.6</v>
      </c>
      <c r="G45" s="3" t="n">
        <v>3.7</v>
      </c>
      <c r="H45" s="3" t="n">
        <v>3.8</v>
      </c>
      <c r="I45" s="3" t="n">
        <v>3.8</v>
      </c>
      <c r="J45" s="3" t="n">
        <v>3.8</v>
      </c>
      <c r="K45" s="3" t="n">
        <v>3.8</v>
      </c>
      <c r="L45" s="3" t="n">
        <v>3.8</v>
      </c>
    </row>
    <row r="46" customFormat="false" ht="15" hidden="false" customHeight="false" outlineLevel="0" collapsed="false">
      <c r="A46" s="0" t="s">
        <v>111</v>
      </c>
      <c r="C46" s="3" t="n">
        <v>5.2</v>
      </c>
      <c r="D46" s="3" t="n">
        <v>6.2</v>
      </c>
      <c r="E46" s="3" t="n">
        <v>6</v>
      </c>
      <c r="F46" s="3" t="n">
        <v>5.8</v>
      </c>
      <c r="G46" s="3" t="n">
        <v>5.5</v>
      </c>
      <c r="H46" s="3" t="n">
        <v>5.2</v>
      </c>
      <c r="I46" s="3" t="n">
        <v>5</v>
      </c>
      <c r="J46" s="3" t="n">
        <v>4.8</v>
      </c>
      <c r="K46" s="3" t="n">
        <v>4.5</v>
      </c>
      <c r="L46" s="3" t="n">
        <v>4.2</v>
      </c>
    </row>
    <row r="47" customFormat="false" ht="15" hidden="false" customHeight="false" outlineLevel="0" collapsed="false">
      <c r="A47" s="0" t="s">
        <v>112</v>
      </c>
      <c r="C47" s="3" t="n">
        <v>18</v>
      </c>
      <c r="D47" s="3" t="n">
        <v>19</v>
      </c>
      <c r="E47" s="3" t="n">
        <v>20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18</v>
      </c>
    </row>
    <row r="51" customFormat="false" ht="15" hidden="false" customHeight="false" outlineLevel="0" collapsed="false">
      <c r="A51" s="0" t="s">
        <v>116</v>
      </c>
      <c r="B51" s="3" t="n">
        <v>-10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21.2</v>
      </c>
      <c r="D5" s="4" t="n">
        <f aca="false">Assumptions!D13</f>
        <v>5</v>
      </c>
      <c r="E5" s="4" t="n">
        <f aca="false">Assumptions!E13</f>
        <v>0</v>
      </c>
      <c r="F5" s="4" t="n">
        <f aca="false">Assumptions!F13</f>
        <v>-6</v>
      </c>
      <c r="G5" s="4" t="n">
        <f aca="false">Assumptions!G13</f>
        <v>-2</v>
      </c>
      <c r="H5" s="4" t="n">
        <f aca="false">Assumptions!H13</f>
        <v>4</v>
      </c>
      <c r="I5" s="4" t="n">
        <f aca="false">Assumptions!I13</f>
        <v>5</v>
      </c>
      <c r="J5" s="4" t="n">
        <f aca="false">Assumptions!J13</f>
        <v>4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8252</v>
      </c>
      <c r="C6" s="0" t="n">
        <f aca="false">B6*(1+C5/100)</f>
        <v>10001.424</v>
      </c>
      <c r="D6" s="0" t="n">
        <f aca="false">C6*(1+D5/100)</f>
        <v>10501.4952</v>
      </c>
      <c r="E6" s="0" t="n">
        <f aca="false">D6*(1+E5/100)</f>
        <v>10501.4952</v>
      </c>
      <c r="F6" s="0" t="n">
        <f aca="false">E6*(1+F5/100)</f>
        <v>9871.405488</v>
      </c>
      <c r="G6" s="0" t="n">
        <f aca="false">F6*(1+G5/100)</f>
        <v>9673.97737824</v>
      </c>
      <c r="H6" s="0" t="n">
        <f aca="false">G6*(1+H5/100)</f>
        <v>10060.9364733696</v>
      </c>
      <c r="I6" s="0" t="n">
        <f aca="false">H6*(1+I5/100)</f>
        <v>10563.9832970381</v>
      </c>
      <c r="J6" s="0" t="n">
        <f aca="false">I6*(1+J5/100)</f>
        <v>10986.5426289196</v>
      </c>
      <c r="K6" s="0" t="n">
        <f aca="false">J6*(1+K5/100)</f>
        <v>11316.1389077872</v>
      </c>
      <c r="L6" s="0" t="n">
        <f aca="false">K6*(1+L5/100)</f>
        <v>11599.0423804819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32.6</v>
      </c>
      <c r="D7" s="4" t="n">
        <f aca="false">Assumptions!D14</f>
        <v>32</v>
      </c>
      <c r="E7" s="4" t="n">
        <f aca="false">Assumptions!E14</f>
        <v>30.5</v>
      </c>
      <c r="F7" s="4" t="n">
        <f aca="false">Assumptions!F14</f>
        <v>28</v>
      </c>
      <c r="G7" s="4" t="n">
        <f aca="false">Assumptions!G14</f>
        <v>27.5</v>
      </c>
      <c r="H7" s="4" t="n">
        <f aca="false">Assumptions!H14</f>
        <v>28.5</v>
      </c>
      <c r="I7" s="4" t="n">
        <f aca="false">Assumptions!I14</f>
        <v>29.5</v>
      </c>
      <c r="J7" s="4" t="n">
        <f aca="false">Assumptions!J14</f>
        <v>30</v>
      </c>
      <c r="K7" s="4" t="n">
        <f aca="false">Assumptions!K14</f>
        <v>30</v>
      </c>
      <c r="L7" s="4" t="n">
        <f aca="false">Assumptions!L14</f>
        <v>29.5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3260.464224</v>
      </c>
      <c r="D8" s="0" t="n">
        <f aca="false">D6*D7/100</f>
        <v>3360.478464</v>
      </c>
      <c r="E8" s="0" t="n">
        <f aca="false">E6*E7/100</f>
        <v>3202.956036</v>
      </c>
      <c r="F8" s="0" t="n">
        <f aca="false">F6*F7/100</f>
        <v>2763.99353664</v>
      </c>
      <c r="G8" s="0" t="n">
        <f aca="false">G6*G7/100</f>
        <v>2660.343779016</v>
      </c>
      <c r="H8" s="0" t="n">
        <f aca="false">H6*H7/100</f>
        <v>2867.36689491034</v>
      </c>
      <c r="I8" s="0" t="n">
        <f aca="false">I6*I7/100</f>
        <v>3116.37507262623</v>
      </c>
      <c r="J8" s="0" t="n">
        <f aca="false">J6*J7/100</f>
        <v>3295.96278867588</v>
      </c>
      <c r="K8" s="0" t="n">
        <f aca="false">K6*K7/100</f>
        <v>3394.84167233616</v>
      </c>
      <c r="L8" s="0" t="n">
        <f aca="false">L6*L7/100</f>
        <v>3421.71750224215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1.4</v>
      </c>
      <c r="D9" s="4" t="n">
        <f aca="false">Assumptions!D15</f>
        <v>1.4</v>
      </c>
      <c r="E9" s="4" t="n">
        <f aca="false">Assumptions!E15</f>
        <v>1.4</v>
      </c>
      <c r="F9" s="4" t="n">
        <f aca="false">Assumptions!F15</f>
        <v>1.4</v>
      </c>
      <c r="G9" s="4" t="n">
        <f aca="false">Assumptions!G15</f>
        <v>1.4</v>
      </c>
      <c r="H9" s="4" t="n">
        <f aca="false">Assumptions!H15</f>
        <v>1.35</v>
      </c>
      <c r="I9" s="4" t="n">
        <f aca="false">Assumptions!I15</f>
        <v>1.3</v>
      </c>
      <c r="J9" s="4" t="n">
        <f aca="false">Assumptions!J15</f>
        <v>1.3</v>
      </c>
      <c r="K9" s="4" t="n">
        <f aca="false">Assumptions!K15</f>
        <v>1.3</v>
      </c>
      <c r="L9" s="4" t="n">
        <f aca="false">Assumptions!L15</f>
        <v>1.3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-140.019936</v>
      </c>
      <c r="D10" s="0" t="n">
        <f aca="false">-D6*D9/100</f>
        <v>-147.0209328</v>
      </c>
      <c r="E10" s="0" t="n">
        <f aca="false">-E6*E9/100</f>
        <v>-147.0209328</v>
      </c>
      <c r="F10" s="0" t="n">
        <f aca="false">-F6*F9/100</f>
        <v>-138.199676832</v>
      </c>
      <c r="G10" s="0" t="n">
        <f aca="false">-G6*G9/100</f>
        <v>-135.43568329536</v>
      </c>
      <c r="H10" s="0" t="n">
        <f aca="false">-H6*H9/100</f>
        <v>-135.82264239049</v>
      </c>
      <c r="I10" s="0" t="n">
        <f aca="false">-I6*I9/100</f>
        <v>-137.331782861495</v>
      </c>
      <c r="J10" s="0" t="n">
        <f aca="false">-J6*J9/100</f>
        <v>-142.825054175955</v>
      </c>
      <c r="K10" s="0" t="n">
        <f aca="false">-K6*K9/100</f>
        <v>-147.109805801233</v>
      </c>
      <c r="L10" s="0" t="n">
        <f aca="false">-L6*L9/100</f>
        <v>-150.787550946264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3120.444288</v>
      </c>
      <c r="D11" s="0" t="n">
        <f aca="false">D8+D10+D24</f>
        <v>3213.4575312</v>
      </c>
      <c r="E11" s="0" t="n">
        <f aca="false">E8+E10+E24</f>
        <v>3055.9351032</v>
      </c>
      <c r="F11" s="0" t="n">
        <f aca="false">F8+F10+F24</f>
        <v>2625.793859808</v>
      </c>
      <c r="G11" s="0" t="n">
        <f aca="false">G8+G10+G24</f>
        <v>2524.90809572064</v>
      </c>
      <c r="H11" s="0" t="n">
        <f aca="false">H8+H10+H24</f>
        <v>2731.54425251985</v>
      </c>
      <c r="I11" s="0" t="n">
        <f aca="false">I8+I10+I24</f>
        <v>2979.04328976474</v>
      </c>
      <c r="J11" s="0" t="n">
        <f aca="false">J8+J10+J24</f>
        <v>3153.13773449993</v>
      </c>
      <c r="K11" s="0" t="n">
        <f aca="false">K8+K10+K24</f>
        <v>3247.73186653492</v>
      </c>
      <c r="L11" s="0" t="n">
        <f aca="false">L8+L10+L24</f>
        <v>3270.92995129589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-330.046992</v>
      </c>
      <c r="D12" s="4" t="n">
        <f aca="false">-D6*Assumptions!D17/100</f>
        <v>-367.552332</v>
      </c>
      <c r="E12" s="4" t="n">
        <f aca="false">-E6*Assumptions!E17/100</f>
        <v>-388.5553224</v>
      </c>
      <c r="F12" s="4" t="n">
        <f aca="false">-F6*Assumptions!F17/100</f>
        <v>-394.85621952</v>
      </c>
      <c r="G12" s="4" t="n">
        <f aca="false">-G6*Assumptions!G17/100</f>
        <v>-396.63307250784</v>
      </c>
      <c r="H12" s="4" t="n">
        <f aca="false">-H6*Assumptions!H17/100</f>
        <v>-402.437458934784</v>
      </c>
      <c r="I12" s="4" t="n">
        <f aca="false">-I6*Assumptions!I17/100</f>
        <v>-411.995348584485</v>
      </c>
      <c r="J12" s="4" t="n">
        <f aca="false">-J6*Assumptions!J17/100</f>
        <v>-428.475162527864</v>
      </c>
      <c r="K12" s="4" t="n">
        <f aca="false">-K6*Assumptions!K17/100</f>
        <v>-441.3294174037</v>
      </c>
      <c r="L12" s="4" t="n">
        <f aca="false">-L6*Assumptions!L17/100</f>
        <v>-452.362652838793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2790.397296</v>
      </c>
      <c r="D13" s="0" t="n">
        <f aca="false">D11+D12</f>
        <v>2845.9051992</v>
      </c>
      <c r="E13" s="0" t="n">
        <f aca="false">E11+E12</f>
        <v>2667.3797808</v>
      </c>
      <c r="F13" s="0" t="n">
        <f aca="false">F11+F12</f>
        <v>2230.937640288</v>
      </c>
      <c r="G13" s="0" t="n">
        <f aca="false">G11+G12</f>
        <v>2128.2750232128</v>
      </c>
      <c r="H13" s="0" t="n">
        <f aca="false">H11+H12</f>
        <v>2329.10679358506</v>
      </c>
      <c r="I13" s="0" t="n">
        <f aca="false">I11+I12</f>
        <v>2567.04794118025</v>
      </c>
      <c r="J13" s="0" t="n">
        <f aca="false">J11+J12</f>
        <v>2724.66257197206</v>
      </c>
      <c r="K13" s="0" t="n">
        <f aca="false">K11+K12</f>
        <v>2806.40244913122</v>
      </c>
      <c r="L13" s="0" t="n">
        <f aca="false">L11+L12</f>
        <v>2818.56729845709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18</v>
      </c>
      <c r="D14" s="4" t="n">
        <f aca="false">Assumptions!D19</f>
        <v>19</v>
      </c>
      <c r="E14" s="4" t="n">
        <f aca="false">Assumptions!E19</f>
        <v>20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2288.12578272</v>
      </c>
      <c r="D15" s="0" t="n">
        <f aca="false">D13-MAX(0,D13)*D14/100</f>
        <v>2305.183211352</v>
      </c>
      <c r="E15" s="0" t="n">
        <f aca="false">E13-MAX(0,E13)*E14/100</f>
        <v>2133.90382464</v>
      </c>
      <c r="F15" s="0" t="n">
        <f aca="false">F13-MAX(0,F13)*F14/100</f>
        <v>1762.44073582752</v>
      </c>
      <c r="G15" s="0" t="n">
        <f aca="false">G13-MAX(0,G13)*G14/100</f>
        <v>1681.33726833811</v>
      </c>
      <c r="H15" s="0" t="n">
        <f aca="false">H13-MAX(0,H13)*H14/100</f>
        <v>1839.9943669322</v>
      </c>
      <c r="I15" s="0" t="n">
        <f aca="false">I13-MAX(0,I13)*I14/100</f>
        <v>2027.9678735324</v>
      </c>
      <c r="J15" s="0" t="n">
        <f aca="false">J13-MAX(0,J13)*J14/100</f>
        <v>2152.48343185793</v>
      </c>
      <c r="K15" s="0" t="n">
        <f aca="false">K13-MAX(0,K13)*K14/100</f>
        <v>2217.05793481367</v>
      </c>
      <c r="L15" s="0" t="n">
        <f aca="false">L13-MAX(0,L13)*L14/100</f>
        <v>2226.66816578111</v>
      </c>
    </row>
    <row r="16" customFormat="false" ht="15" hidden="false" customHeight="false" outlineLevel="0" collapsed="false">
      <c r="A16" s="0" t="s">
        <v>128</v>
      </c>
      <c r="C16" s="0" t="n">
        <f aca="false">-C12</f>
        <v>330.046992</v>
      </c>
      <c r="D16" s="0" t="n">
        <f aca="false">-D12</f>
        <v>367.552332</v>
      </c>
      <c r="E16" s="0" t="n">
        <f aca="false">-E12</f>
        <v>388.5553224</v>
      </c>
      <c r="F16" s="0" t="n">
        <f aca="false">-F12</f>
        <v>394.85621952</v>
      </c>
      <c r="G16" s="0" t="n">
        <f aca="false">-G12</f>
        <v>396.63307250784</v>
      </c>
      <c r="H16" s="0" t="n">
        <f aca="false">-H12</f>
        <v>402.437458934784</v>
      </c>
      <c r="I16" s="0" t="n">
        <f aca="false">-I12</f>
        <v>411.995348584485</v>
      </c>
      <c r="J16" s="0" t="n">
        <f aca="false">-J12</f>
        <v>428.475162527864</v>
      </c>
      <c r="K16" s="0" t="n">
        <f aca="false">-K12</f>
        <v>441.3294174037</v>
      </c>
      <c r="L16" s="0" t="n">
        <f aca="false">-L12</f>
        <v>452.362652838793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-520.074048</v>
      </c>
      <c r="D17" s="4" t="n">
        <f aca="false">-D6*Assumptions!D18/100</f>
        <v>-577.582236</v>
      </c>
      <c r="E17" s="4" t="n">
        <f aca="false">-E6*Assumptions!E18/100</f>
        <v>-525.07476</v>
      </c>
      <c r="F17" s="4" t="n">
        <f aca="false">-F6*Assumptions!F18/100</f>
        <v>-444.21324696</v>
      </c>
      <c r="G17" s="4" t="n">
        <f aca="false">-G6*Assumptions!G18/100</f>
        <v>-386.9590951296</v>
      </c>
      <c r="H17" s="4" t="n">
        <f aca="false">-H6*Assumptions!H18/100</f>
        <v>-402.437458934784</v>
      </c>
      <c r="I17" s="4" t="n">
        <f aca="false">-I6*Assumptions!I18/100</f>
        <v>-422.559331881523</v>
      </c>
      <c r="J17" s="4" t="n">
        <f aca="false">-J6*Assumptions!J18/100</f>
        <v>-439.461705156784</v>
      </c>
      <c r="K17" s="4" t="n">
        <f aca="false">-K6*Assumptions!K18/100</f>
        <v>-452.645556311488</v>
      </c>
      <c r="L17" s="4" t="n">
        <f aca="false">-L6*Assumptions!L18/100</f>
        <v>-463.961695219275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-174.9424</v>
      </c>
      <c r="D18" s="4" t="n">
        <f aca="false">(D6-C6)*Assumptions!$B$23/100</f>
        <v>-50.00712</v>
      </c>
      <c r="E18" s="4" t="n">
        <f aca="false">(E6-D6)*Assumptions!$B$23/100</f>
        <v>-0</v>
      </c>
      <c r="F18" s="4" t="n">
        <f aca="false">(F6-E6)*Assumptions!$B$23/100</f>
        <v>63.0089712000001</v>
      </c>
      <c r="G18" s="4" t="n">
        <f aca="false">(G6-F6)*Assumptions!$B$23/100</f>
        <v>19.742810976</v>
      </c>
      <c r="H18" s="4" t="n">
        <f aca="false">(H6-G6)*Assumptions!$B$23/100</f>
        <v>-38.69590951296</v>
      </c>
      <c r="I18" s="4" t="n">
        <f aca="false">(I6-H6)*Assumptions!$B$23/100</f>
        <v>-50.3046823668481</v>
      </c>
      <c r="J18" s="4" t="n">
        <f aca="false">(J6-I6)*Assumptions!$B$23/100</f>
        <v>-42.2559331881523</v>
      </c>
      <c r="K18" s="4" t="n">
        <f aca="false">(K6-J6)*Assumptions!$B$23/100</f>
        <v>-32.9596278867588</v>
      </c>
      <c r="L18" s="4" t="n">
        <f aca="false">(L6-K6)*Assumptions!$B$23/100</f>
        <v>-28.2903472694679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1923.15632672</v>
      </c>
      <c r="D19" s="0" t="n">
        <f aca="false">D15+D16+D17+D18</f>
        <v>2045.146187352</v>
      </c>
      <c r="E19" s="0" t="n">
        <f aca="false">E15+E16+E17+E18</f>
        <v>1997.38438704</v>
      </c>
      <c r="F19" s="0" t="n">
        <f aca="false">F15+F16+F17+F18</f>
        <v>1776.09267958752</v>
      </c>
      <c r="G19" s="0" t="n">
        <f aca="false">G15+G16+G17+G18</f>
        <v>1710.75405669235</v>
      </c>
      <c r="H19" s="0" t="n">
        <f aca="false">H15+H16+H17+H18</f>
        <v>1801.29845741924</v>
      </c>
      <c r="I19" s="0" t="n">
        <f aca="false">I15+I16+I17+I18</f>
        <v>1967.09920786851</v>
      </c>
      <c r="J19" s="0" t="n">
        <f aca="false">J15+J16+J17+J18</f>
        <v>2099.24095604086</v>
      </c>
      <c r="K19" s="0" t="n">
        <f aca="false">K15+K16+K17+K18</f>
        <v>2172.78216801912</v>
      </c>
      <c r="L19" s="0" t="n">
        <f aca="false">L15+L16+L17+L18</f>
        <v>2186.77877613116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1764.36360249541</v>
      </c>
      <c r="D21" s="0" t="n">
        <f aca="false">D19*D20</f>
        <v>1721.35862919956</v>
      </c>
      <c r="E21" s="0" t="n">
        <f aca="false">E19*E20</f>
        <v>1542.34722700418</v>
      </c>
      <c r="F21" s="0" t="n">
        <f aca="false">F19*F20</f>
        <v>1258.22883140814</v>
      </c>
      <c r="G21" s="0" t="n">
        <f aca="false">G19*G20</f>
        <v>1111.87275568158</v>
      </c>
      <c r="H21" s="0" t="n">
        <f aca="false">H19*H20</f>
        <v>1074.05541611702</v>
      </c>
      <c r="I21" s="0" t="n">
        <f aca="false">I19*I20</f>
        <v>1076.07062970824</v>
      </c>
      <c r="J21" s="0" t="n">
        <f aca="false">J19*J20</f>
        <v>1053.53824874493</v>
      </c>
      <c r="K21" s="0" t="n">
        <f aca="false">K19*K20</f>
        <v>1000.40926899366</v>
      </c>
      <c r="L21" s="0" t="n">
        <f aca="false">L19*L20</f>
        <v>923.718987327928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12525.9635966807</v>
      </c>
    </row>
    <row r="31" customFormat="false" ht="15" hidden="false" customHeight="false" outlineLevel="0" collapsed="false">
      <c r="A31" s="0" t="s">
        <v>137</v>
      </c>
      <c r="B31" s="0" t="n">
        <f aca="false">L19</f>
        <v>2186.77877613116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34483.8191620682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28428.124089705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28428.124089705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12008.3468352631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24534.3104319437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20596.3104319437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50.8550874862808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-0.777263982628413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910.877009685471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1004.40997448711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55.5841911509044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17931.5859642755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25.321420169253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21.8</v>
      </c>
      <c r="D5" s="4" t="n">
        <f aca="false">Assumptions!D27</f>
        <v>11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7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8252</v>
      </c>
      <c r="C6" s="0" t="n">
        <f aca="false">B6*(1+C5/100)</f>
        <v>10050.936</v>
      </c>
      <c r="D6" s="0" t="n">
        <f aca="false">C6*(1+D5/100)</f>
        <v>11156.53896</v>
      </c>
      <c r="E6" s="0" t="n">
        <f aca="false">D6*(1+E5/100)</f>
        <v>12160.6274664</v>
      </c>
      <c r="F6" s="0" t="n">
        <f aca="false">E6*(1+F5/100)</f>
        <v>13133.477663712</v>
      </c>
      <c r="G6" s="0" t="n">
        <f aca="false">F6*(1+G5/100)</f>
        <v>14052.8211001718</v>
      </c>
      <c r="H6" s="0" t="n">
        <f aca="false">G6*(1+H5/100)</f>
        <v>14895.9903661822</v>
      </c>
      <c r="I6" s="0" t="n">
        <f aca="false">H6*(1+I5/100)</f>
        <v>15640.7898844913</v>
      </c>
      <c r="J6" s="0" t="n">
        <f aca="false">I6*(1+J5/100)</f>
        <v>16266.4214798709</v>
      </c>
      <c r="K6" s="0" t="n">
        <f aca="false">J6*(1+K5/100)</f>
        <v>16835.7462316664</v>
      </c>
      <c r="L6" s="0" t="n">
        <f aca="false">K6*(1+L5/100)</f>
        <v>17340.8186186164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33</v>
      </c>
      <c r="D7" s="4" t="n">
        <f aca="false">Assumptions!D28</f>
        <v>33.8</v>
      </c>
      <c r="E7" s="4" t="n">
        <f aca="false">Assumptions!E28</f>
        <v>34.3</v>
      </c>
      <c r="F7" s="4" t="n">
        <f aca="false">Assumptions!F28</f>
        <v>34.6</v>
      </c>
      <c r="G7" s="4" t="n">
        <f aca="false">Assumptions!G28</f>
        <v>34.8</v>
      </c>
      <c r="H7" s="4" t="n">
        <f aca="false">Assumptions!H28</f>
        <v>35</v>
      </c>
      <c r="I7" s="4" t="n">
        <f aca="false">Assumptions!I28</f>
        <v>35</v>
      </c>
      <c r="J7" s="4" t="n">
        <f aca="false">Assumptions!J28</f>
        <v>35</v>
      </c>
      <c r="K7" s="4" t="n">
        <f aca="false">Assumptions!K28</f>
        <v>34.8</v>
      </c>
      <c r="L7" s="4" t="n">
        <f aca="false">Assumptions!L28</f>
        <v>34.6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3316.80888</v>
      </c>
      <c r="D8" s="0" t="n">
        <f aca="false">D6*D7/100</f>
        <v>3770.91016848</v>
      </c>
      <c r="E8" s="0" t="n">
        <f aca="false">E6*E7/100</f>
        <v>4171.0952209752</v>
      </c>
      <c r="F8" s="0" t="n">
        <f aca="false">F6*F7/100</f>
        <v>4544.18327164435</v>
      </c>
      <c r="G8" s="0" t="n">
        <f aca="false">G6*G7/100</f>
        <v>4890.3817428598</v>
      </c>
      <c r="H8" s="0" t="n">
        <f aca="false">H6*H7/100</f>
        <v>5213.59662816375</v>
      </c>
      <c r="I8" s="0" t="n">
        <f aca="false">I6*I7/100</f>
        <v>5474.27645957194</v>
      </c>
      <c r="J8" s="0" t="n">
        <f aca="false">J6*J7/100</f>
        <v>5693.24751795482</v>
      </c>
      <c r="K8" s="0" t="n">
        <f aca="false">K6*K7/100</f>
        <v>5858.83968861991</v>
      </c>
      <c r="L8" s="0" t="n">
        <f aca="false">L6*L7/100</f>
        <v>5999.92324204127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1.4</v>
      </c>
      <c r="D9" s="4" t="n">
        <f aca="false">Assumptions!D29</f>
        <v>1.4</v>
      </c>
      <c r="E9" s="4" t="n">
        <f aca="false">Assumptions!E29</f>
        <v>1.35</v>
      </c>
      <c r="F9" s="4" t="n">
        <f aca="false">Assumptions!F29</f>
        <v>1.3</v>
      </c>
      <c r="G9" s="4" t="n">
        <f aca="false">Assumptions!G29</f>
        <v>1.3</v>
      </c>
      <c r="H9" s="4" t="n">
        <f aca="false">Assumptions!H29</f>
        <v>1.25</v>
      </c>
      <c r="I9" s="4" t="n">
        <f aca="false">Assumptions!I29</f>
        <v>1.25</v>
      </c>
      <c r="J9" s="4" t="n">
        <f aca="false">Assumptions!J29</f>
        <v>1.2</v>
      </c>
      <c r="K9" s="4" t="n">
        <f aca="false">Assumptions!K29</f>
        <v>1.2</v>
      </c>
      <c r="L9" s="4" t="n">
        <f aca="false">Assumptions!L29</f>
        <v>1.2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-140.713104</v>
      </c>
      <c r="D10" s="0" t="n">
        <f aca="false">-D6*D9/100</f>
        <v>-156.19154544</v>
      </c>
      <c r="E10" s="0" t="n">
        <f aca="false">-E6*E9/100</f>
        <v>-164.1684707964</v>
      </c>
      <c r="F10" s="0" t="n">
        <f aca="false">-F6*F9/100</f>
        <v>-170.735209628256</v>
      </c>
      <c r="G10" s="0" t="n">
        <f aca="false">-G6*G9/100</f>
        <v>-182.686674302234</v>
      </c>
      <c r="H10" s="0" t="n">
        <f aca="false">-H6*H9/100</f>
        <v>-186.199879577277</v>
      </c>
      <c r="I10" s="0" t="n">
        <f aca="false">-I6*I9/100</f>
        <v>-195.509873556141</v>
      </c>
      <c r="J10" s="0" t="n">
        <f aca="false">-J6*J9/100</f>
        <v>-195.197057758451</v>
      </c>
      <c r="K10" s="0" t="n">
        <f aca="false">-K6*K9/100</f>
        <v>-202.028954779997</v>
      </c>
      <c r="L10" s="0" t="n">
        <f aca="false">-L6*L9/100</f>
        <v>-208.089823423397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3176.095776</v>
      </c>
      <c r="D11" s="0" t="n">
        <f aca="false">D8+D10+D24</f>
        <v>3614.71862304</v>
      </c>
      <c r="E11" s="0" t="n">
        <f aca="false">E8+E10+E24</f>
        <v>4006.9267501788</v>
      </c>
      <c r="F11" s="0" t="n">
        <f aca="false">F8+F10+F24</f>
        <v>4373.4480620161</v>
      </c>
      <c r="G11" s="0" t="n">
        <f aca="false">G8+G10+G24</f>
        <v>4707.69506855757</v>
      </c>
      <c r="H11" s="0" t="n">
        <f aca="false">H8+H10+H24</f>
        <v>5027.39674858648</v>
      </c>
      <c r="I11" s="0" t="n">
        <f aca="false">I8+I10+I24</f>
        <v>5278.7665860158</v>
      </c>
      <c r="J11" s="0" t="n">
        <f aca="false">J8+J10+J24</f>
        <v>5498.05046019637</v>
      </c>
      <c r="K11" s="0" t="n">
        <f aca="false">K8+K10+K24</f>
        <v>5656.81073383991</v>
      </c>
      <c r="L11" s="0" t="n">
        <f aca="false">L8+L10+L24</f>
        <v>5791.83341861787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-331.680888</v>
      </c>
      <c r="D12" s="4" t="n">
        <f aca="false">-D6*Assumptions!D31/100</f>
        <v>-379.32232464</v>
      </c>
      <c r="E12" s="4" t="n">
        <f aca="false">-E6*Assumptions!E31/100</f>
        <v>-425.621961324</v>
      </c>
      <c r="F12" s="4" t="n">
        <f aca="false">-F6*Assumptions!F31/100</f>
        <v>-472.805195893632</v>
      </c>
      <c r="G12" s="4" t="n">
        <f aca="false">-G6*Assumptions!G31/100</f>
        <v>-519.954380706358</v>
      </c>
      <c r="H12" s="4" t="n">
        <f aca="false">-H6*Assumptions!H31/100</f>
        <v>-566.047633914922</v>
      </c>
      <c r="I12" s="4" t="n">
        <f aca="false">-I6*Assumptions!I31/100</f>
        <v>-594.350015610668</v>
      </c>
      <c r="J12" s="4" t="n">
        <f aca="false">-J6*Assumptions!J31/100</f>
        <v>-618.124016235095</v>
      </c>
      <c r="K12" s="4" t="n">
        <f aca="false">-K6*Assumptions!K31/100</f>
        <v>-639.758356803323</v>
      </c>
      <c r="L12" s="4" t="n">
        <f aca="false">-L6*Assumptions!L31/100</f>
        <v>-658.951107507423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2844.414888</v>
      </c>
      <c r="D13" s="0" t="n">
        <f aca="false">D11+D12</f>
        <v>3235.3962984</v>
      </c>
      <c r="E13" s="0" t="n">
        <f aca="false">E11+E12</f>
        <v>3581.3047888548</v>
      </c>
      <c r="F13" s="0" t="n">
        <f aca="false">F11+F12</f>
        <v>3900.64286612246</v>
      </c>
      <c r="G13" s="0" t="n">
        <f aca="false">G11+G12</f>
        <v>4187.74068785121</v>
      </c>
      <c r="H13" s="0" t="n">
        <f aca="false">H11+H12</f>
        <v>4461.34911467156</v>
      </c>
      <c r="I13" s="0" t="n">
        <f aca="false">I11+I12</f>
        <v>4684.41657040513</v>
      </c>
      <c r="J13" s="0" t="n">
        <f aca="false">J11+J12</f>
        <v>4879.92644396127</v>
      </c>
      <c r="K13" s="0" t="n">
        <f aca="false">K11+K12</f>
        <v>5017.05237703659</v>
      </c>
      <c r="L13" s="0" t="n">
        <f aca="false">L11+L12</f>
        <v>5132.88231111045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18</v>
      </c>
      <c r="D14" s="4" t="n">
        <f aca="false">Assumptions!D33</f>
        <v>19</v>
      </c>
      <c r="E14" s="4" t="n">
        <f aca="false">Assumptions!E33</f>
        <v>20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2332.42020816</v>
      </c>
      <c r="D15" s="0" t="n">
        <f aca="false">D13-MAX(0,D13)*D14/100</f>
        <v>2620.671001704</v>
      </c>
      <c r="E15" s="0" t="n">
        <f aca="false">E13-MAX(0,E13)*E14/100</f>
        <v>2865.04383108384</v>
      </c>
      <c r="F15" s="0" t="n">
        <f aca="false">F13-MAX(0,F13)*F14/100</f>
        <v>3081.50786423675</v>
      </c>
      <c r="G15" s="0" t="n">
        <f aca="false">G13-MAX(0,G13)*G14/100</f>
        <v>3308.31514340246</v>
      </c>
      <c r="H15" s="0" t="n">
        <f aca="false">H13-MAX(0,H13)*H14/100</f>
        <v>3524.46580059053</v>
      </c>
      <c r="I15" s="0" t="n">
        <f aca="false">I13-MAX(0,I13)*I14/100</f>
        <v>3700.68909062006</v>
      </c>
      <c r="J15" s="0" t="n">
        <f aca="false">J13-MAX(0,J13)*J14/100</f>
        <v>3855.14189072941</v>
      </c>
      <c r="K15" s="0" t="n">
        <f aca="false">K13-MAX(0,K13)*K14/100</f>
        <v>3963.4713778589</v>
      </c>
      <c r="L15" s="0" t="n">
        <f aca="false">L13-MAX(0,L13)*L14/100</f>
        <v>4054.97702577726</v>
      </c>
    </row>
    <row r="16" customFormat="false" ht="15" hidden="false" customHeight="false" outlineLevel="0" collapsed="false">
      <c r="A16" s="0" t="s">
        <v>128</v>
      </c>
      <c r="C16" s="0" t="n">
        <f aca="false">-C12</f>
        <v>331.680888</v>
      </c>
      <c r="D16" s="0" t="n">
        <f aca="false">-D12</f>
        <v>379.32232464</v>
      </c>
      <c r="E16" s="0" t="n">
        <f aca="false">-E12</f>
        <v>425.621961324</v>
      </c>
      <c r="F16" s="0" t="n">
        <f aca="false">-F12</f>
        <v>472.805195893632</v>
      </c>
      <c r="G16" s="0" t="n">
        <f aca="false">-G12</f>
        <v>519.954380706358</v>
      </c>
      <c r="H16" s="0" t="n">
        <f aca="false">-H12</f>
        <v>566.047633914922</v>
      </c>
      <c r="I16" s="0" t="n">
        <f aca="false">-I12</f>
        <v>594.350015610668</v>
      </c>
      <c r="J16" s="0" t="n">
        <f aca="false">-J12</f>
        <v>618.124016235095</v>
      </c>
      <c r="K16" s="0" t="n">
        <f aca="false">-K12</f>
        <v>639.758356803323</v>
      </c>
      <c r="L16" s="0" t="n">
        <f aca="false">-L12</f>
        <v>658.951107507423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-522.648672</v>
      </c>
      <c r="D17" s="4" t="n">
        <f aca="false">-D6*Assumptions!D32/100</f>
        <v>-669.3923376</v>
      </c>
      <c r="E17" s="4" t="n">
        <f aca="false">-E6*Assumptions!E32/100</f>
        <v>-705.3163930512</v>
      </c>
      <c r="F17" s="4" t="n">
        <f aca="false">-F6*Assumptions!F32/100</f>
        <v>-722.34127150416</v>
      </c>
      <c r="G17" s="4" t="n">
        <f aca="false">-G6*Assumptions!G32/100</f>
        <v>-730.746697208936</v>
      </c>
      <c r="H17" s="4" t="n">
        <f aca="false">-H6*Assumptions!H32/100</f>
        <v>-744.799518309108</v>
      </c>
      <c r="I17" s="4" t="n">
        <f aca="false">-I6*Assumptions!I32/100</f>
        <v>-750.757914455581</v>
      </c>
      <c r="J17" s="4" t="n">
        <f aca="false">-J6*Assumptions!J32/100</f>
        <v>-731.988966594191</v>
      </c>
      <c r="K17" s="4" t="n">
        <f aca="false">-K6*Assumptions!K32/100</f>
        <v>-723.937087961655</v>
      </c>
      <c r="L17" s="4" t="n">
        <f aca="false">-L6*Assumptions!L32/100</f>
        <v>-693.632744744656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-179.8936</v>
      </c>
      <c r="D18" s="4" t="n">
        <f aca="false">(D6-C6)*Assumptions!$B$37/100</f>
        <v>-110.560296</v>
      </c>
      <c r="E18" s="4" t="n">
        <f aca="false">(E6-D6)*Assumptions!$B$37/100</f>
        <v>-100.40885064</v>
      </c>
      <c r="F18" s="4" t="n">
        <f aca="false">(F6-E6)*Assumptions!$B$37/100</f>
        <v>-97.2850197312</v>
      </c>
      <c r="G18" s="4" t="n">
        <f aca="false">(G6-F6)*Assumptions!$B$37/100</f>
        <v>-91.9343436459842</v>
      </c>
      <c r="H18" s="4" t="n">
        <f aca="false">(H6-G6)*Assumptions!$B$37/100</f>
        <v>-84.3169266010311</v>
      </c>
      <c r="I18" s="4" t="n">
        <f aca="false">(I6-H6)*Assumptions!$B$37/100</f>
        <v>-74.4799518309108</v>
      </c>
      <c r="J18" s="4" t="n">
        <f aca="false">(J6-I6)*Assumptions!$B$37/100</f>
        <v>-62.5631595379651</v>
      </c>
      <c r="K18" s="4" t="n">
        <f aca="false">(K6-J6)*Assumptions!$B$37/100</f>
        <v>-56.9324751795482</v>
      </c>
      <c r="L18" s="4" t="n">
        <f aca="false">(L6-K6)*Assumptions!$B$37/100</f>
        <v>-50.5072386949993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1961.55882416</v>
      </c>
      <c r="D19" s="0" t="n">
        <f aca="false">D15+D16+D17+D18</f>
        <v>2220.040692744</v>
      </c>
      <c r="E19" s="0" t="n">
        <f aca="false">E15+E16+E17+E18</f>
        <v>2484.94054871664</v>
      </c>
      <c r="F19" s="0" t="n">
        <f aca="false">F15+F16+F17+F18</f>
        <v>2734.68676889502</v>
      </c>
      <c r="G19" s="0" t="n">
        <f aca="false">G15+G16+G17+G18</f>
        <v>3005.58848325389</v>
      </c>
      <c r="H19" s="0" t="n">
        <f aca="false">H15+H16+H17+H18</f>
        <v>3261.39698959531</v>
      </c>
      <c r="I19" s="0" t="n">
        <f aca="false">I15+I16+I17+I18</f>
        <v>3469.80123994423</v>
      </c>
      <c r="J19" s="0" t="n">
        <f aca="false">J15+J16+J17+J18</f>
        <v>3678.71378083234</v>
      </c>
      <c r="K19" s="0" t="n">
        <f aca="false">K15+K16+K17+K18</f>
        <v>3822.36017152102</v>
      </c>
      <c r="L19" s="0" t="n">
        <f aca="false">L15+L16+L17+L18</f>
        <v>3969.78814984502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1799.59525152294</v>
      </c>
      <c r="D21" s="0" t="n">
        <f aca="false">D19*D20</f>
        <v>1868.56383532026</v>
      </c>
      <c r="E21" s="0" t="n">
        <f aca="false">E19*E20</f>
        <v>1918.83004065287</v>
      </c>
      <c r="F21" s="0" t="n">
        <f aca="false">F19*F20</f>
        <v>1937.32105145165</v>
      </c>
      <c r="G21" s="0" t="n">
        <f aca="false">G19*G20</f>
        <v>1953.42628956354</v>
      </c>
      <c r="H21" s="0" t="n">
        <f aca="false">H19*H20</f>
        <v>1944.66446487792</v>
      </c>
      <c r="I21" s="0" t="n">
        <f aca="false">I19*I20</f>
        <v>1898.1001010493</v>
      </c>
      <c r="J21" s="0" t="n">
        <f aca="false">J19*J20</f>
        <v>1846.22239916727</v>
      </c>
      <c r="K21" s="0" t="n">
        <f aca="false">K19*K20</f>
        <v>1759.92080628497</v>
      </c>
      <c r="L21" s="0" t="n">
        <f aca="false">L19*L20</f>
        <v>1676.88141558098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18603.5256554717</v>
      </c>
    </row>
    <row r="31" customFormat="false" ht="15" hidden="false" customHeight="false" outlineLevel="0" collapsed="false">
      <c r="A31" s="0" t="s">
        <v>137</v>
      </c>
      <c r="B31" s="0" t="n">
        <f aca="false">L19</f>
        <v>3969.78814984502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68148.0299056729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63516.6103975204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63516.6103975204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26830.1026492957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45433.6283047674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41495.6283047674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102.458341493253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-0.551251132212453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1123.87045618812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1508.93953209384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108.959106896418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34074.0149528365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45.7914392309401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22.4</v>
      </c>
      <c r="D5" s="4" t="n">
        <f aca="false">Assumptions!D41</f>
        <v>14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10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8252</v>
      </c>
      <c r="C6" s="0" t="n">
        <f aca="false">B6*(1+C5/100)</f>
        <v>10100.448</v>
      </c>
      <c r="D6" s="0" t="n">
        <f aca="false">C6*(1+D5/100)</f>
        <v>11514.51072</v>
      </c>
      <c r="E6" s="0" t="n">
        <f aca="false">D6*(1+E5/100)</f>
        <v>12896.2520064</v>
      </c>
      <c r="F6" s="0" t="n">
        <f aca="false">E6*(1+F5/100)</f>
        <v>14314.839727104</v>
      </c>
      <c r="G6" s="0" t="n">
        <f aca="false">F6*(1+G5/100)</f>
        <v>15746.3236998144</v>
      </c>
      <c r="H6" s="0" t="n">
        <f aca="false">G6*(1+H5/100)</f>
        <v>17006.0295957996</v>
      </c>
      <c r="I6" s="0" t="n">
        <f aca="false">H6*(1+I5/100)</f>
        <v>18196.4516675055</v>
      </c>
      <c r="J6" s="0" t="n">
        <f aca="false">I6*(1+J5/100)</f>
        <v>19288.2387675559</v>
      </c>
      <c r="K6" s="0" t="n">
        <f aca="false">J6*(1+K5/100)</f>
        <v>20252.6507059337</v>
      </c>
      <c r="L6" s="0" t="n">
        <f aca="false">K6*(1+L5/100)</f>
        <v>21062.756734171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33.3</v>
      </c>
      <c r="D7" s="4" t="n">
        <f aca="false">Assumptions!D42</f>
        <v>34.5</v>
      </c>
      <c r="E7" s="4" t="n">
        <f aca="false">Assumptions!E42</f>
        <v>35.5</v>
      </c>
      <c r="F7" s="4" t="n">
        <f aca="false">Assumptions!F42</f>
        <v>36.2</v>
      </c>
      <c r="G7" s="4" t="n">
        <f aca="false">Assumptions!G42</f>
        <v>36.8</v>
      </c>
      <c r="H7" s="4" t="n">
        <f aca="false">Assumptions!H42</f>
        <v>37.2</v>
      </c>
      <c r="I7" s="4" t="n">
        <f aca="false">Assumptions!I42</f>
        <v>37.5</v>
      </c>
      <c r="J7" s="4" t="n">
        <f aca="false">Assumptions!J42</f>
        <v>37.5</v>
      </c>
      <c r="K7" s="4" t="n">
        <f aca="false">Assumptions!K42</f>
        <v>37.5</v>
      </c>
      <c r="L7" s="4" t="n">
        <f aca="false">Assumptions!L42</f>
        <v>37.5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3363.449184</v>
      </c>
      <c r="D8" s="0" t="n">
        <f aca="false">D6*D7/100</f>
        <v>3972.5061984</v>
      </c>
      <c r="E8" s="0" t="n">
        <f aca="false">E6*E7/100</f>
        <v>4578.169462272</v>
      </c>
      <c r="F8" s="0" t="n">
        <f aca="false">F6*F7/100</f>
        <v>5181.97198121165</v>
      </c>
      <c r="G8" s="0" t="n">
        <f aca="false">G6*G7/100</f>
        <v>5794.6471215317</v>
      </c>
      <c r="H8" s="0" t="n">
        <f aca="false">H6*H7/100</f>
        <v>6326.24300963744</v>
      </c>
      <c r="I8" s="0" t="n">
        <f aca="false">I6*I7/100</f>
        <v>6823.66937531457</v>
      </c>
      <c r="J8" s="0" t="n">
        <f aca="false">J6*J7/100</f>
        <v>7233.08953783345</v>
      </c>
      <c r="K8" s="0" t="n">
        <f aca="false">K6*K7/100</f>
        <v>7594.74401472512</v>
      </c>
      <c r="L8" s="0" t="n">
        <f aca="false">L6*L7/100</f>
        <v>7898.53377531413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1.4</v>
      </c>
      <c r="D9" s="4" t="n">
        <f aca="false">Assumptions!D43</f>
        <v>1.4</v>
      </c>
      <c r="E9" s="4" t="n">
        <f aca="false">Assumptions!E43</f>
        <v>1.35</v>
      </c>
      <c r="F9" s="4" t="n">
        <f aca="false">Assumptions!F43</f>
        <v>1.3</v>
      </c>
      <c r="G9" s="4" t="n">
        <f aca="false">Assumptions!G43</f>
        <v>1.3</v>
      </c>
      <c r="H9" s="4" t="n">
        <f aca="false">Assumptions!H43</f>
        <v>1.25</v>
      </c>
      <c r="I9" s="4" t="n">
        <f aca="false">Assumptions!I43</f>
        <v>1.25</v>
      </c>
      <c r="J9" s="4" t="n">
        <f aca="false">Assumptions!J43</f>
        <v>1.2</v>
      </c>
      <c r="K9" s="4" t="n">
        <f aca="false">Assumptions!K43</f>
        <v>1.2</v>
      </c>
      <c r="L9" s="4" t="n">
        <f aca="false">Assumptions!L43</f>
        <v>1.2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-141.406272</v>
      </c>
      <c r="D10" s="0" t="n">
        <f aca="false">-D6*D9/100</f>
        <v>-161.20315008</v>
      </c>
      <c r="E10" s="0" t="n">
        <f aca="false">-E6*E9/100</f>
        <v>-174.0994020864</v>
      </c>
      <c r="F10" s="0" t="n">
        <f aca="false">-F6*F9/100</f>
        <v>-186.092916452352</v>
      </c>
      <c r="G10" s="0" t="n">
        <f aca="false">-G6*G9/100</f>
        <v>-204.702208097587</v>
      </c>
      <c r="H10" s="0" t="n">
        <f aca="false">-H6*H9/100</f>
        <v>-212.575369947494</v>
      </c>
      <c r="I10" s="0" t="n">
        <f aca="false">-I6*I9/100</f>
        <v>-227.455645843819</v>
      </c>
      <c r="J10" s="0" t="n">
        <f aca="false">-J6*J9/100</f>
        <v>-231.45886521067</v>
      </c>
      <c r="K10" s="0" t="n">
        <f aca="false">-K6*K9/100</f>
        <v>-243.031808471204</v>
      </c>
      <c r="L10" s="0" t="n">
        <f aca="false">-L6*L9/100</f>
        <v>-252.753080810052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3222.042912</v>
      </c>
      <c r="D11" s="0" t="n">
        <f aca="false">D8+D10+D24</f>
        <v>3811.30304832</v>
      </c>
      <c r="E11" s="0" t="n">
        <f aca="false">E8+E10+E24</f>
        <v>4404.0700601856</v>
      </c>
      <c r="F11" s="0" t="n">
        <f aca="false">F8+F10+F24</f>
        <v>4995.8790647593</v>
      </c>
      <c r="G11" s="0" t="n">
        <f aca="false">G8+G10+G24</f>
        <v>5589.94491343411</v>
      </c>
      <c r="H11" s="0" t="n">
        <f aca="false">H8+H10+H24</f>
        <v>6113.66763968994</v>
      </c>
      <c r="I11" s="0" t="n">
        <f aca="false">I8+I10+I24</f>
        <v>6596.21372947075</v>
      </c>
      <c r="J11" s="0" t="n">
        <f aca="false">J8+J10+J24</f>
        <v>7001.63067262278</v>
      </c>
      <c r="K11" s="0" t="n">
        <f aca="false">K8+K10+K24</f>
        <v>7351.71220625392</v>
      </c>
      <c r="L11" s="0" t="n">
        <f aca="false">L8+L10+L24</f>
        <v>7645.78069450407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-333.314784</v>
      </c>
      <c r="D12" s="4" t="n">
        <f aca="false">-D6*Assumptions!D45/100</f>
        <v>-391.49336448</v>
      </c>
      <c r="E12" s="4" t="n">
        <f aca="false">-E6*Assumptions!E45/100</f>
        <v>-451.368820224</v>
      </c>
      <c r="F12" s="4" t="n">
        <f aca="false">-F6*Assumptions!F45/100</f>
        <v>-515.334230175744</v>
      </c>
      <c r="G12" s="4" t="n">
        <f aca="false">-G6*Assumptions!G45/100</f>
        <v>-582.613976893133</v>
      </c>
      <c r="H12" s="4" t="n">
        <f aca="false">-H6*Assumptions!H45/100</f>
        <v>-646.229124640383</v>
      </c>
      <c r="I12" s="4" t="n">
        <f aca="false">-I6*Assumptions!I45/100</f>
        <v>-691.46516336521</v>
      </c>
      <c r="J12" s="4" t="n">
        <f aca="false">-J6*Assumptions!J45/100</f>
        <v>-732.953073167123</v>
      </c>
      <c r="K12" s="4" t="n">
        <f aca="false">-K6*Assumptions!K45/100</f>
        <v>-769.600726825479</v>
      </c>
      <c r="L12" s="4" t="n">
        <f aca="false">-L6*Assumptions!L45/100</f>
        <v>-800.384755898498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2888.728128</v>
      </c>
      <c r="D13" s="0" t="n">
        <f aca="false">D11+D12</f>
        <v>3419.80968384</v>
      </c>
      <c r="E13" s="0" t="n">
        <f aca="false">E11+E12</f>
        <v>3952.7012399616</v>
      </c>
      <c r="F13" s="0" t="n">
        <f aca="false">F11+F12</f>
        <v>4480.54483458355</v>
      </c>
      <c r="G13" s="0" t="n">
        <f aca="false">G11+G12</f>
        <v>5007.33093654098</v>
      </c>
      <c r="H13" s="0" t="n">
        <f aca="false">H11+H12</f>
        <v>5467.43851504956</v>
      </c>
      <c r="I13" s="0" t="n">
        <f aca="false">I11+I12</f>
        <v>5904.74856610554</v>
      </c>
      <c r="J13" s="0" t="n">
        <f aca="false">J11+J12</f>
        <v>6268.67759945565</v>
      </c>
      <c r="K13" s="0" t="n">
        <f aca="false">K11+K12</f>
        <v>6582.11147942844</v>
      </c>
      <c r="L13" s="0" t="n">
        <f aca="false">L11+L12</f>
        <v>6845.39593860558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18</v>
      </c>
      <c r="D14" s="4" t="n">
        <f aca="false">Assumptions!D47</f>
        <v>19</v>
      </c>
      <c r="E14" s="4" t="n">
        <f aca="false">Assumptions!E47</f>
        <v>20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2368.75706496</v>
      </c>
      <c r="D15" s="0" t="n">
        <f aca="false">D13-MAX(0,D13)*D14/100</f>
        <v>2770.0458439104</v>
      </c>
      <c r="E15" s="0" t="n">
        <f aca="false">E13-MAX(0,E13)*E14/100</f>
        <v>3162.16099196928</v>
      </c>
      <c r="F15" s="0" t="n">
        <f aca="false">F13-MAX(0,F13)*F14/100</f>
        <v>3539.63041932101</v>
      </c>
      <c r="G15" s="0" t="n">
        <f aca="false">G13-MAX(0,G13)*G14/100</f>
        <v>3955.79143986737</v>
      </c>
      <c r="H15" s="0" t="n">
        <f aca="false">H13-MAX(0,H13)*H14/100</f>
        <v>4319.27642688915</v>
      </c>
      <c r="I15" s="0" t="n">
        <f aca="false">I13-MAX(0,I13)*I14/100</f>
        <v>4664.75136722338</v>
      </c>
      <c r="J15" s="0" t="n">
        <f aca="false">J13-MAX(0,J13)*J14/100</f>
        <v>4952.25530356997</v>
      </c>
      <c r="K15" s="0" t="n">
        <f aca="false">K13-MAX(0,K13)*K14/100</f>
        <v>5199.86806874847</v>
      </c>
      <c r="L15" s="0" t="n">
        <f aca="false">L13-MAX(0,L13)*L14/100</f>
        <v>5407.8627914984</v>
      </c>
    </row>
    <row r="16" customFormat="false" ht="15" hidden="false" customHeight="false" outlineLevel="0" collapsed="false">
      <c r="A16" s="0" t="s">
        <v>128</v>
      </c>
      <c r="C16" s="0" t="n">
        <f aca="false">-C12</f>
        <v>333.314784</v>
      </c>
      <c r="D16" s="0" t="n">
        <f aca="false">-D12</f>
        <v>391.49336448</v>
      </c>
      <c r="E16" s="0" t="n">
        <f aca="false">-E12</f>
        <v>451.368820224</v>
      </c>
      <c r="F16" s="0" t="n">
        <f aca="false">-F12</f>
        <v>515.334230175744</v>
      </c>
      <c r="G16" s="0" t="n">
        <f aca="false">-G12</f>
        <v>582.613976893133</v>
      </c>
      <c r="H16" s="0" t="n">
        <f aca="false">-H12</f>
        <v>646.229124640383</v>
      </c>
      <c r="I16" s="0" t="n">
        <f aca="false">-I12</f>
        <v>691.46516336521</v>
      </c>
      <c r="J16" s="0" t="n">
        <f aca="false">-J12</f>
        <v>732.953073167123</v>
      </c>
      <c r="K16" s="0" t="n">
        <f aca="false">-K12</f>
        <v>769.600726825479</v>
      </c>
      <c r="L16" s="0" t="n">
        <f aca="false">-L12</f>
        <v>800.384755898498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-525.223296</v>
      </c>
      <c r="D17" s="4" t="n">
        <f aca="false">-D6*Assumptions!D46/100</f>
        <v>-713.89966464</v>
      </c>
      <c r="E17" s="4" t="n">
        <f aca="false">-E6*Assumptions!E46/100</f>
        <v>-773.775120384</v>
      </c>
      <c r="F17" s="4" t="n">
        <f aca="false">-F6*Assumptions!F46/100</f>
        <v>-830.260704172032</v>
      </c>
      <c r="G17" s="4" t="n">
        <f aca="false">-G6*Assumptions!G46/100</f>
        <v>-866.047803489792</v>
      </c>
      <c r="H17" s="4" t="n">
        <f aca="false">-H6*Assumptions!H46/100</f>
        <v>-884.313538981577</v>
      </c>
      <c r="I17" s="4" t="n">
        <f aca="false">-I6*Assumptions!I46/100</f>
        <v>-909.822583375276</v>
      </c>
      <c r="J17" s="4" t="n">
        <f aca="false">-J6*Assumptions!J46/100</f>
        <v>-925.835460842681</v>
      </c>
      <c r="K17" s="4" t="n">
        <f aca="false">-K6*Assumptions!K46/100</f>
        <v>-911.369281767015</v>
      </c>
      <c r="L17" s="4" t="n">
        <f aca="false">-L6*Assumptions!L46/100</f>
        <v>-884.635782835182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-184.8448</v>
      </c>
      <c r="D18" s="4" t="n">
        <f aca="false">(D6-C6)*Assumptions!$B$51/100</f>
        <v>-141.406272</v>
      </c>
      <c r="E18" s="4" t="n">
        <f aca="false">(E6-D6)*Assumptions!$B$51/100</f>
        <v>-138.17412864</v>
      </c>
      <c r="F18" s="4" t="n">
        <f aca="false">(F6-E6)*Assumptions!$B$51/100</f>
        <v>-141.8587720704</v>
      </c>
      <c r="G18" s="4" t="n">
        <f aca="false">(G6-F6)*Assumptions!$B$51/100</f>
        <v>-143.14839727104</v>
      </c>
      <c r="H18" s="4" t="n">
        <f aca="false">(H6-G6)*Assumptions!$B$51/100</f>
        <v>-125.970589598515</v>
      </c>
      <c r="I18" s="4" t="n">
        <f aca="false">(I6-H6)*Assumptions!$B$51/100</f>
        <v>-119.042207170597</v>
      </c>
      <c r="J18" s="4" t="n">
        <f aca="false">(J6-I6)*Assumptions!$B$51/100</f>
        <v>-109.178710005033</v>
      </c>
      <c r="K18" s="4" t="n">
        <f aca="false">(K6-J6)*Assumptions!$B$51/100</f>
        <v>-96.4411938377794</v>
      </c>
      <c r="L18" s="4" t="n">
        <f aca="false">(L6-K6)*Assumptions!$B$51/100</f>
        <v>-81.0106028237347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1992.00375296</v>
      </c>
      <c r="D19" s="0" t="n">
        <f aca="false">D15+D16+D17+D18</f>
        <v>2306.2332717504</v>
      </c>
      <c r="E19" s="0" t="n">
        <f aca="false">E15+E16+E17+E18</f>
        <v>2701.58056316928</v>
      </c>
      <c r="F19" s="0" t="n">
        <f aca="false">F15+F16+F17+F18</f>
        <v>3082.84517325432</v>
      </c>
      <c r="G19" s="0" t="n">
        <f aca="false">G15+G16+G17+G18</f>
        <v>3529.20921599968</v>
      </c>
      <c r="H19" s="0" t="n">
        <f aca="false">H15+H16+H17+H18</f>
        <v>3955.22142294944</v>
      </c>
      <c r="I19" s="0" t="n">
        <f aca="false">I15+I16+I17+I18</f>
        <v>4327.35174004272</v>
      </c>
      <c r="J19" s="0" t="n">
        <f aca="false">J15+J16+J17+J18</f>
        <v>4650.19420588938</v>
      </c>
      <c r="K19" s="0" t="n">
        <f aca="false">K15+K16+K17+K18</f>
        <v>4961.65831996915</v>
      </c>
      <c r="L19" s="0" t="n">
        <f aca="false">L15+L16+L17+L18</f>
        <v>5242.60116173799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1827.52637886238</v>
      </c>
      <c r="D21" s="0" t="n">
        <f aca="false">D19*D20</f>
        <v>1941.11040463799</v>
      </c>
      <c r="E21" s="0" t="n">
        <f aca="false">E19*E20</f>
        <v>2086.11588093338</v>
      </c>
      <c r="F21" s="0" t="n">
        <f aca="false">F19*F20</f>
        <v>2183.96524254401</v>
      </c>
      <c r="G21" s="0" t="n">
        <f aca="false">G19*G20</f>
        <v>2293.74383829157</v>
      </c>
      <c r="H21" s="0" t="n">
        <f aca="false">H19*H20</f>
        <v>2358.36930507747</v>
      </c>
      <c r="I21" s="0" t="n">
        <f aca="false">I19*I20</f>
        <v>2367.20959128568</v>
      </c>
      <c r="J21" s="0" t="n">
        <f aca="false">J19*J20</f>
        <v>2333.77566586556</v>
      </c>
      <c r="K21" s="0" t="n">
        <f aca="false">K19*K20</f>
        <v>2284.48532298198</v>
      </c>
      <c r="L21" s="0" t="n">
        <f aca="false">L19*L20</f>
        <v>2214.53138696202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21890.8330174421</v>
      </c>
    </row>
    <row r="31" customFormat="false" ht="15" hidden="false" customHeight="false" outlineLevel="0" collapsed="false">
      <c r="A31" s="0" t="s">
        <v>137</v>
      </c>
      <c r="B31" s="0" t="n">
        <f aca="false">L19</f>
        <v>5242.60116173799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98656.2218617966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94366.8209112837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94366.8209112837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39861.5649653163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61752.3979827584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57814.3979827584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142.751599957428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-0.374774001587999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1250.72738010245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2009.13509015832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150.800643093874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47183.4104556419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59.4021296975601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50.8550874862808</v>
      </c>
      <c r="C4" s="0" t="n">
        <f aca="false">B4/Assumptions!$B$2-1</f>
        <v>-0.777263982628413</v>
      </c>
      <c r="D4" s="4" t="n">
        <f aca="false">Assumptions!$B$24</f>
        <v>0.25</v>
      </c>
      <c r="E4" s="4" t="n">
        <f aca="false">DCF_Bear!$B$43</f>
        <v>55.5841911509044</v>
      </c>
      <c r="F4" s="4" t="n">
        <f aca="false">DCF_Bear!$B$47</f>
        <v>25.321420169253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102.458341493253</v>
      </c>
      <c r="C5" s="0" t="n">
        <f aca="false">B5/Assumptions!$B$2-1</f>
        <v>-0.551251132212453</v>
      </c>
      <c r="D5" s="4" t="n">
        <f aca="false">Assumptions!$B$38</f>
        <v>0.5</v>
      </c>
      <c r="E5" s="4" t="n">
        <f aca="false">DCF_Base!$B$43</f>
        <v>108.959106896418</v>
      </c>
      <c r="F5" s="4" t="n">
        <f aca="false">DCF_Base!$B$47</f>
        <v>45.7914392309401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142.751599957428</v>
      </c>
      <c r="C6" s="0" t="n">
        <f aca="false">B6/Assumptions!$B$2-1</f>
        <v>-0.374774001587999</v>
      </c>
      <c r="D6" s="4" t="n">
        <f aca="false">Assumptions!$B$52</f>
        <v>0.25</v>
      </c>
      <c r="E6" s="4" t="n">
        <f aca="false">DCF_Bull!$B$43</f>
        <v>150.800643093874</v>
      </c>
      <c r="F6" s="4" t="n">
        <f aca="false">DCF_Bull!$B$47</f>
        <v>59.4021296975601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99.6308426075536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106.075762009404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-1.29165983167836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1996.75355684826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44.0766070821733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102.458341493253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89.6070502254654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76.3880335715281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66.1417779667158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45.7914392309401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120.871158317113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120.871158317113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120.871158317113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120.871158317113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120.871158317113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111.231003152513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111.231003152513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111.231003152513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111.231003152513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111.231003152513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96.5434158651012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101.502853507167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102.458341493253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102.458341493253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102.458341493253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82.1838681276145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85.6480197732782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89.6070502254654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94.1751622856813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94.4658603258769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71.0660564619876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73.570516278242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76.3880335715281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79.5812198372525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83.2305755695089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2026-09-28T21:40:15Z</dcterms:created>
  <dc:creator>openpyxl</dc:creator>
  <dc:description/>
  <dc:language>en-NZ</dc:language>
  <cp:lastModifiedBy/>
  <dcterms:modified xsi:type="dcterms:W3CDTF">2026-09-28T21:40:15Z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