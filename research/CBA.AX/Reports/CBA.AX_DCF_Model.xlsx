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" sheetId="2" state="visible" r:id="rId2"/>
    <sheet name="Bull" sheetId="3" state="visible" r:id="rId3"/>
    <sheet name="Bear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CBA.AX residual income on tangible book</t>
        </is>
      </c>
    </row>
    <row r="2">
      <c r="A2" t="inlineStr">
        <is>
          <t>Price (AUD)</t>
        </is>
      </c>
      <c r="B2" t="n">
        <v>152.33</v>
      </c>
    </row>
    <row r="3">
      <c r="A3" t="inlineStr">
        <is>
          <t>Shares (m)</t>
        </is>
      </c>
      <c r="B3" t="n">
        <v>1674</v>
      </c>
    </row>
    <row r="4">
      <c r="A4" t="inlineStr">
        <is>
          <t>Total equity 30-Jun-26</t>
        </is>
      </c>
      <c r="B4" t="n">
        <v>78704</v>
      </c>
    </row>
    <row r="5">
      <c r="A5" t="inlineStr">
        <is>
          <t>Intangibles + goodwill</t>
        </is>
      </c>
      <c r="B5" t="n">
        <v>8515</v>
      </c>
    </row>
    <row r="6">
      <c r="A6" t="inlineStr">
        <is>
          <t>Tangible book</t>
        </is>
      </c>
      <c r="B6">
        <f>B4-B5</f>
        <v/>
      </c>
    </row>
    <row r="7">
      <c r="A7" t="inlineStr">
        <is>
          <t>TBV per share</t>
        </is>
      </c>
      <c r="B7">
        <f>B6/B3</f>
        <v/>
      </c>
    </row>
    <row r="9">
      <c r="A9" t="inlineStr">
        <is>
          <t>Scenario</t>
        </is>
      </c>
      <c r="B9" t="inlineStr">
        <is>
          <t>IV / share</t>
        </is>
      </c>
      <c r="C9" t="inlineStr">
        <is>
          <t>Weight</t>
        </is>
      </c>
      <c r="D9" t="inlineStr">
        <is>
          <t>Upside %</t>
        </is>
      </c>
      <c r="E9" t="inlineStr">
        <is>
          <t>Entry @15%</t>
        </is>
      </c>
    </row>
    <row r="10">
      <c r="A10" t="inlineStr">
        <is>
          <t>bear</t>
        </is>
      </c>
      <c r="B10">
        <f>'Bear'!B24</f>
        <v/>
      </c>
      <c r="C10" t="n">
        <v>0.25</v>
      </c>
      <c r="D10">
        <f>B10/$B$2-1</f>
        <v/>
      </c>
      <c r="E10" t="n">
        <v>35.03</v>
      </c>
    </row>
    <row r="11">
      <c r="A11" t="inlineStr">
        <is>
          <t>base</t>
        </is>
      </c>
      <c r="B11">
        <f>'Base'!B24</f>
        <v/>
      </c>
      <c r="C11" t="n">
        <v>0.5</v>
      </c>
      <c r="D11">
        <f>B11/$B$2-1</f>
        <v/>
      </c>
      <c r="E11" t="n">
        <v>42.55</v>
      </c>
    </row>
    <row r="12">
      <c r="A12" t="inlineStr">
        <is>
          <t>bull</t>
        </is>
      </c>
      <c r="B12">
        <f>'Bull'!B24</f>
        <v/>
      </c>
      <c r="C12" t="n">
        <v>0.25</v>
      </c>
      <c r="D12">
        <f>B12/$B$2-1</f>
        <v/>
      </c>
      <c r="E12" t="n">
        <v>48.57</v>
      </c>
    </row>
    <row r="13">
      <c r="A13" s="1" t="inlineStr">
        <is>
          <t>Weighted IV</t>
        </is>
      </c>
      <c r="B13">
        <f>SUMPRODUCT(B10:B12,C10:C12)</f>
        <v/>
      </c>
      <c r="D13">
        <f>B13/B2-1</f>
        <v/>
      </c>
      <c r="E13">
        <f>SUMPRODUCT(E10:E12,C10:C12)</f>
        <v/>
      </c>
    </row>
    <row r="15">
      <c r="A15" t="inlineStr">
        <is>
          <t>Market P/TBV</t>
        </is>
      </c>
      <c r="B15">
        <f>B2/B7</f>
        <v/>
      </c>
    </row>
    <row r="16">
      <c r="A16" t="inlineStr">
        <is>
          <t>Market P/E (FY26 cash EPS)</t>
        </is>
      </c>
      <c r="B16">
        <f>B2/6.569</f>
        <v/>
      </c>
    </row>
    <row r="17">
      <c r="A17" t="inlineStr">
        <is>
          <t>Market-implied cost of equity % (base flows)</t>
        </is>
      </c>
      <c r="B17" t="n">
        <v>6.47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scenario</t>
        </is>
      </c>
    </row>
    <row r="2">
      <c r="A2" t="inlineStr">
        <is>
          <t>Cost of equity %</t>
        </is>
      </c>
      <c r="B2" t="n">
        <v>9.5</v>
      </c>
    </row>
    <row r="3">
      <c r="A3" t="inlineStr">
        <is>
          <t>Terminal RI growth %</t>
        </is>
      </c>
      <c r="B3" t="n">
        <v>3</v>
      </c>
    </row>
    <row r="4">
      <c r="A4" t="inlineStr">
        <is>
          <t>Payout ratio %</t>
        </is>
      </c>
      <c r="B4" t="n">
        <v>75</v>
      </c>
    </row>
    <row r="5">
      <c r="A5" t="inlineStr">
        <is>
          <t>Opening TBV (m)</t>
        </is>
      </c>
      <c r="B5">
        <f>Summary!B6</f>
        <v/>
      </c>
    </row>
    <row r="6">
      <c r="A6" t="inlineStr">
        <is>
          <t>Shares (m)</t>
        </is>
      </c>
      <c r="B6">
        <f>Summary!B3</f>
        <v/>
      </c>
    </row>
    <row r="8">
      <c r="A8" t="inlineStr">
        <is>
          <t>Year</t>
        </is>
      </c>
      <c r="B8" t="inlineStr">
        <is>
          <t>FY2027</t>
        </is>
      </c>
      <c r="C8" t="inlineStr">
        <is>
          <t>FY2028</t>
        </is>
      </c>
      <c r="D8" t="inlineStr">
        <is>
          <t>FY2029</t>
        </is>
      </c>
      <c r="E8" t="inlineStr">
        <is>
          <t>FY2030</t>
        </is>
      </c>
      <c r="F8" t="inlineStr">
        <is>
          <t>FY2031</t>
        </is>
      </c>
      <c r="G8" t="inlineStr">
        <is>
          <t>FY2032</t>
        </is>
      </c>
      <c r="H8" t="inlineStr">
        <is>
          <t>FY2033</t>
        </is>
      </c>
      <c r="I8" t="inlineStr">
        <is>
          <t>FY2034</t>
        </is>
      </c>
      <c r="J8" t="inlineStr">
        <is>
          <t>FY2035</t>
        </is>
      </c>
      <c r="K8" t="inlineStr">
        <is>
          <t>FY2036</t>
        </is>
      </c>
    </row>
    <row r="9">
      <c r="A9" t="inlineStr">
        <is>
          <t>ROTE %</t>
        </is>
      </c>
      <c r="B9" t="n">
        <v>15.5</v>
      </c>
      <c r="C9" t="n">
        <v>15.5</v>
      </c>
      <c r="D9" t="n">
        <v>15.5</v>
      </c>
      <c r="E9" t="n">
        <v>15.3</v>
      </c>
      <c r="F9" t="n">
        <v>15.2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</row>
    <row r="10">
      <c r="A10" t="inlineStr">
        <is>
          <t>Opening TBV</t>
        </is>
      </c>
      <c r="B10">
        <f>$B$5</f>
        <v/>
      </c>
      <c r="C10">
        <f>B13</f>
        <v/>
      </c>
      <c r="D10">
        <f>C13</f>
        <v/>
      </c>
      <c r="E10">
        <f>D13</f>
        <v/>
      </c>
      <c r="F10">
        <f>E13</f>
        <v/>
      </c>
      <c r="G10">
        <f>F13</f>
        <v/>
      </c>
      <c r="H10">
        <f>G13</f>
        <v/>
      </c>
      <c r="I10">
        <f>H13</f>
        <v/>
      </c>
      <c r="J10">
        <f>I13</f>
        <v/>
      </c>
      <c r="K10">
        <f>J13</f>
        <v/>
      </c>
    </row>
    <row r="11">
      <c r="A11" t="inlineStr">
        <is>
          <t>NPAT</t>
        </is>
      </c>
      <c r="B11">
        <f>B9/100*B10</f>
        <v/>
      </c>
      <c r="C11">
        <f>C9/100*C10</f>
        <v/>
      </c>
      <c r="D11">
        <f>D9/100*D10</f>
        <v/>
      </c>
      <c r="E11">
        <f>E9/100*E10</f>
        <v/>
      </c>
      <c r="F11">
        <f>F9/100*F10</f>
        <v/>
      </c>
      <c r="G11">
        <f>G9/100*G10</f>
        <v/>
      </c>
      <c r="H11">
        <f>H9/100*H10</f>
        <v/>
      </c>
      <c r="I11">
        <f>I9/100*I10</f>
        <v/>
      </c>
      <c r="J11">
        <f>J9/100*J10</f>
        <v/>
      </c>
      <c r="K11">
        <f>K9/100*K10</f>
        <v/>
      </c>
    </row>
    <row r="12">
      <c r="A12" t="inlineStr">
        <is>
          <t>Dividends</t>
        </is>
      </c>
      <c r="B12">
        <f>$B$4/100*B11</f>
        <v/>
      </c>
      <c r="C12">
        <f>$B$4/100*C11</f>
        <v/>
      </c>
      <c r="D12">
        <f>$B$4/100*D11</f>
        <v/>
      </c>
      <c r="E12">
        <f>$B$4/100*E11</f>
        <v/>
      </c>
      <c r="F12">
        <f>$B$4/100*F11</f>
        <v/>
      </c>
      <c r="G12">
        <f>$B$4/100*G11</f>
        <v/>
      </c>
      <c r="H12">
        <f>$B$4/100*H11</f>
        <v/>
      </c>
      <c r="I12">
        <f>$B$4/100*I11</f>
        <v/>
      </c>
      <c r="J12">
        <f>$B$4/100*J11</f>
        <v/>
      </c>
      <c r="K12">
        <f>$B$4/100*K11</f>
        <v/>
      </c>
    </row>
    <row r="13">
      <c r="A13" t="inlineStr">
        <is>
          <t>Closing TBV</t>
        </is>
      </c>
      <c r="B13">
        <f>B10+B11-B12</f>
        <v/>
      </c>
      <c r="C13">
        <f>C10+C11-C12</f>
        <v/>
      </c>
      <c r="D13">
        <f>D10+D11-D12</f>
        <v/>
      </c>
      <c r="E13">
        <f>E10+E11-E12</f>
        <v/>
      </c>
      <c r="F13">
        <f>F10+F11-F12</f>
        <v/>
      </c>
      <c r="G13">
        <f>G10+G11-G12</f>
        <v/>
      </c>
      <c r="H13">
        <f>H10+H11-H12</f>
        <v/>
      </c>
      <c r="I13">
        <f>I10+I11-I12</f>
        <v/>
      </c>
      <c r="J13">
        <f>J10+J11-J12</f>
        <v/>
      </c>
      <c r="K13">
        <f>K10+K11-K12</f>
        <v/>
      </c>
    </row>
    <row r="14">
      <c r="A14" t="inlineStr">
        <is>
          <t>Residual income</t>
        </is>
      </c>
      <c r="B14">
        <f>B11-$B$2/100*B10</f>
        <v/>
      </c>
      <c r="C14">
        <f>C11-$B$2/100*C10</f>
        <v/>
      </c>
      <c r="D14">
        <f>D11-$B$2/100*D10</f>
        <v/>
      </c>
      <c r="E14">
        <f>E11-$B$2/100*E10</f>
        <v/>
      </c>
      <c r="F14">
        <f>F11-$B$2/100*F10</f>
        <v/>
      </c>
      <c r="G14">
        <f>G11-$B$2/100*G10</f>
        <v/>
      </c>
      <c r="H14">
        <f>H11-$B$2/100*H10</f>
        <v/>
      </c>
      <c r="I14">
        <f>I11-$B$2/100*I10</f>
        <v/>
      </c>
      <c r="J14">
        <f>J11-$B$2/100*J10</f>
        <v/>
      </c>
      <c r="K14">
        <f>K11-$B$2/100*K10</f>
        <v/>
      </c>
    </row>
    <row r="15">
      <c r="A15" t="inlineStr">
        <is>
          <t>Discount factor</t>
        </is>
      </c>
      <c r="B15">
        <f>1/(1+$B$2/100)^1</f>
        <v/>
      </c>
      <c r="C15">
        <f>1/(1+$B$2/100)^2</f>
        <v/>
      </c>
      <c r="D15">
        <f>1/(1+$B$2/100)^3</f>
        <v/>
      </c>
      <c r="E15">
        <f>1/(1+$B$2/100)^4</f>
        <v/>
      </c>
      <c r="F15">
        <f>1/(1+$B$2/100)^5</f>
        <v/>
      </c>
      <c r="G15">
        <f>1/(1+$B$2/100)^6</f>
        <v/>
      </c>
      <c r="H15">
        <f>1/(1+$B$2/100)^7</f>
        <v/>
      </c>
      <c r="I15">
        <f>1/(1+$B$2/100)^8</f>
        <v/>
      </c>
      <c r="J15">
        <f>1/(1+$B$2/100)^9</f>
        <v/>
      </c>
      <c r="K15">
        <f>1/(1+$B$2/100)^10</f>
        <v/>
      </c>
    </row>
    <row r="16">
      <c r="A16" t="inlineStr">
        <is>
          <t>PV residual income</t>
        </is>
      </c>
      <c r="B16">
        <f>B14*B15</f>
        <v/>
      </c>
      <c r="C16">
        <f>C14*C15</f>
        <v/>
      </c>
      <c r="D16">
        <f>D14*D15</f>
        <v/>
      </c>
      <c r="E16">
        <f>E14*E15</f>
        <v/>
      </c>
      <c r="F16">
        <f>F14*F15</f>
        <v/>
      </c>
      <c r="G16">
        <f>G14*G15</f>
        <v/>
      </c>
      <c r="H16">
        <f>H14*H15</f>
        <v/>
      </c>
      <c r="I16">
        <f>I14*I15</f>
        <v/>
      </c>
      <c r="J16">
        <f>J14*J15</f>
        <v/>
      </c>
      <c r="K16">
        <f>K14*K15</f>
        <v/>
      </c>
    </row>
    <row r="17">
      <c r="A17" t="inlineStr">
        <is>
          <t>EPS</t>
        </is>
      </c>
      <c r="B17">
        <f>B11/$B$6</f>
        <v/>
      </c>
      <c r="C17">
        <f>C11/$B$6</f>
        <v/>
      </c>
      <c r="D17">
        <f>D11/$B$6</f>
        <v/>
      </c>
      <c r="E17">
        <f>E11/$B$6</f>
        <v/>
      </c>
      <c r="F17">
        <f>F11/$B$6</f>
        <v/>
      </c>
      <c r="G17">
        <f>G11/$B$6</f>
        <v/>
      </c>
      <c r="H17">
        <f>H11/$B$6</f>
        <v/>
      </c>
      <c r="I17">
        <f>I11/$B$6</f>
        <v/>
      </c>
      <c r="J17">
        <f>J11/$B$6</f>
        <v/>
      </c>
      <c r="K17">
        <f>K11/$B$6</f>
        <v/>
      </c>
    </row>
    <row r="18">
      <c r="A18" t="inlineStr">
        <is>
          <t>DPS</t>
        </is>
      </c>
      <c r="B18">
        <f>B12/$B$6</f>
        <v/>
      </c>
      <c r="C18">
        <f>C12/$B$6</f>
        <v/>
      </c>
      <c r="D18">
        <f>D12/$B$6</f>
        <v/>
      </c>
      <c r="E18">
        <f>E12/$B$6</f>
        <v/>
      </c>
      <c r="F18">
        <f>F12/$B$6</f>
        <v/>
      </c>
      <c r="G18">
        <f>G12/$B$6</f>
        <v/>
      </c>
      <c r="H18">
        <f>H12/$B$6</f>
        <v/>
      </c>
      <c r="I18">
        <f>I12/$B$6</f>
        <v/>
      </c>
      <c r="J18">
        <f>J12/$B$6</f>
        <v/>
      </c>
      <c r="K18">
        <f>K12/$B$6</f>
        <v/>
      </c>
    </row>
    <row r="20">
      <c r="A20" t="inlineStr">
        <is>
          <t>Sum PV residual income</t>
        </is>
      </c>
      <c r="B20">
        <f>SUM(B16:K16)</f>
        <v/>
      </c>
    </row>
    <row r="21">
      <c r="A21" t="inlineStr">
        <is>
          <t>Terminal RI value</t>
        </is>
      </c>
      <c r="B21">
        <f>K14*(1+B3/100)/(B2/100-B3/100)</f>
        <v/>
      </c>
    </row>
    <row r="22">
      <c r="A22" t="inlineStr">
        <is>
          <t>PV terminal</t>
        </is>
      </c>
      <c r="B22">
        <f>B21*K15</f>
        <v/>
      </c>
    </row>
    <row r="23">
      <c r="A23" t="inlineStr">
        <is>
          <t>Equity value (m)</t>
        </is>
      </c>
      <c r="B23">
        <f>B5+B20+B22</f>
        <v/>
      </c>
    </row>
    <row r="24">
      <c r="A24" t="inlineStr">
        <is>
          <t>Intrinsic value / share</t>
        </is>
      </c>
      <c r="B24" s="1">
        <f>B23/B6</f>
        <v/>
      </c>
    </row>
    <row r="25">
      <c r="A25" t="inlineStr">
        <is>
          <t>Implied P/TBV</t>
        </is>
      </c>
      <c r="B25">
        <f>B24/(B5/B6)</f>
        <v/>
      </c>
    </row>
    <row r="26">
      <c r="A26" t="inlineStr">
        <is>
          <t>Implied P/E on FY27 EPS</t>
        </is>
      </c>
      <c r="B26">
        <f>B24/B17</f>
        <v/>
      </c>
    </row>
    <row r="27">
      <c r="A27" t="inlineStr">
        <is>
          <t>Python check IV</t>
        </is>
      </c>
      <c r="B27" t="n">
        <v>80.05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bull scenario</t>
        </is>
      </c>
    </row>
    <row r="2">
      <c r="A2" t="inlineStr">
        <is>
          <t>Cost of equity %</t>
        </is>
      </c>
      <c r="B2" t="n">
        <v>9</v>
      </c>
    </row>
    <row r="3">
      <c r="A3" t="inlineStr">
        <is>
          <t>Terminal RI growth %</t>
        </is>
      </c>
      <c r="B3" t="n">
        <v>3.5</v>
      </c>
    </row>
    <row r="4">
      <c r="A4" t="inlineStr">
        <is>
          <t>Payout ratio %</t>
        </is>
      </c>
      <c r="B4" t="n">
        <v>75</v>
      </c>
    </row>
    <row r="5">
      <c r="A5" t="inlineStr">
        <is>
          <t>Opening TBV (m)</t>
        </is>
      </c>
      <c r="B5">
        <f>Summary!B6</f>
        <v/>
      </c>
    </row>
    <row r="6">
      <c r="A6" t="inlineStr">
        <is>
          <t>Shares (m)</t>
        </is>
      </c>
      <c r="B6">
        <f>Summary!B3</f>
        <v/>
      </c>
    </row>
    <row r="8">
      <c r="A8" t="inlineStr">
        <is>
          <t>Year</t>
        </is>
      </c>
      <c r="B8" t="inlineStr">
        <is>
          <t>FY2027</t>
        </is>
      </c>
      <c r="C8" t="inlineStr">
        <is>
          <t>FY2028</t>
        </is>
      </c>
      <c r="D8" t="inlineStr">
        <is>
          <t>FY2029</t>
        </is>
      </c>
      <c r="E8" t="inlineStr">
        <is>
          <t>FY2030</t>
        </is>
      </c>
      <c r="F8" t="inlineStr">
        <is>
          <t>FY2031</t>
        </is>
      </c>
      <c r="G8" t="inlineStr">
        <is>
          <t>FY2032</t>
        </is>
      </c>
      <c r="H8" t="inlineStr">
        <is>
          <t>FY2033</t>
        </is>
      </c>
      <c r="I8" t="inlineStr">
        <is>
          <t>FY2034</t>
        </is>
      </c>
      <c r="J8" t="inlineStr">
        <is>
          <t>FY2035</t>
        </is>
      </c>
      <c r="K8" t="inlineStr">
        <is>
          <t>FY2036</t>
        </is>
      </c>
    </row>
    <row r="9">
      <c r="A9" t="inlineStr">
        <is>
          <t>ROTE %</t>
        </is>
      </c>
      <c r="B9" t="n">
        <v>15.8</v>
      </c>
      <c r="C9" t="n">
        <v>16.2</v>
      </c>
      <c r="D9" t="n">
        <v>16.5</v>
      </c>
      <c r="E9" t="n">
        <v>16.8</v>
      </c>
      <c r="F9" t="n">
        <v>17</v>
      </c>
      <c r="G9" t="n">
        <v>17</v>
      </c>
      <c r="H9" t="n">
        <v>17</v>
      </c>
      <c r="I9" t="n">
        <v>17</v>
      </c>
      <c r="J9" t="n">
        <v>17</v>
      </c>
      <c r="K9" t="n">
        <v>17</v>
      </c>
    </row>
    <row r="10">
      <c r="A10" t="inlineStr">
        <is>
          <t>Opening TBV</t>
        </is>
      </c>
      <c r="B10">
        <f>$B$5</f>
        <v/>
      </c>
      <c r="C10">
        <f>B13</f>
        <v/>
      </c>
      <c r="D10">
        <f>C13</f>
        <v/>
      </c>
      <c r="E10">
        <f>D13</f>
        <v/>
      </c>
      <c r="F10">
        <f>E13</f>
        <v/>
      </c>
      <c r="G10">
        <f>F13</f>
        <v/>
      </c>
      <c r="H10">
        <f>G13</f>
        <v/>
      </c>
      <c r="I10">
        <f>H13</f>
        <v/>
      </c>
      <c r="J10">
        <f>I13</f>
        <v/>
      </c>
      <c r="K10">
        <f>J13</f>
        <v/>
      </c>
    </row>
    <row r="11">
      <c r="A11" t="inlineStr">
        <is>
          <t>NPAT</t>
        </is>
      </c>
      <c r="B11">
        <f>B9/100*B10</f>
        <v/>
      </c>
      <c r="C11">
        <f>C9/100*C10</f>
        <v/>
      </c>
      <c r="D11">
        <f>D9/100*D10</f>
        <v/>
      </c>
      <c r="E11">
        <f>E9/100*E10</f>
        <v/>
      </c>
      <c r="F11">
        <f>F9/100*F10</f>
        <v/>
      </c>
      <c r="G11">
        <f>G9/100*G10</f>
        <v/>
      </c>
      <c r="H11">
        <f>H9/100*H10</f>
        <v/>
      </c>
      <c r="I11">
        <f>I9/100*I10</f>
        <v/>
      </c>
      <c r="J11">
        <f>J9/100*J10</f>
        <v/>
      </c>
      <c r="K11">
        <f>K9/100*K10</f>
        <v/>
      </c>
    </row>
    <row r="12">
      <c r="A12" t="inlineStr">
        <is>
          <t>Dividends</t>
        </is>
      </c>
      <c r="B12">
        <f>$B$4/100*B11</f>
        <v/>
      </c>
      <c r="C12">
        <f>$B$4/100*C11</f>
        <v/>
      </c>
      <c r="D12">
        <f>$B$4/100*D11</f>
        <v/>
      </c>
      <c r="E12">
        <f>$B$4/100*E11</f>
        <v/>
      </c>
      <c r="F12">
        <f>$B$4/100*F11</f>
        <v/>
      </c>
      <c r="G12">
        <f>$B$4/100*G11</f>
        <v/>
      </c>
      <c r="H12">
        <f>$B$4/100*H11</f>
        <v/>
      </c>
      <c r="I12">
        <f>$B$4/100*I11</f>
        <v/>
      </c>
      <c r="J12">
        <f>$B$4/100*J11</f>
        <v/>
      </c>
      <c r="K12">
        <f>$B$4/100*K11</f>
        <v/>
      </c>
    </row>
    <row r="13">
      <c r="A13" t="inlineStr">
        <is>
          <t>Closing TBV</t>
        </is>
      </c>
      <c r="B13">
        <f>B10+B11-B12</f>
        <v/>
      </c>
      <c r="C13">
        <f>C10+C11-C12</f>
        <v/>
      </c>
      <c r="D13">
        <f>D10+D11-D12</f>
        <v/>
      </c>
      <c r="E13">
        <f>E10+E11-E12</f>
        <v/>
      </c>
      <c r="F13">
        <f>F10+F11-F12</f>
        <v/>
      </c>
      <c r="G13">
        <f>G10+G11-G12</f>
        <v/>
      </c>
      <c r="H13">
        <f>H10+H11-H12</f>
        <v/>
      </c>
      <c r="I13">
        <f>I10+I11-I12</f>
        <v/>
      </c>
      <c r="J13">
        <f>J10+J11-J12</f>
        <v/>
      </c>
      <c r="K13">
        <f>K10+K11-K12</f>
        <v/>
      </c>
    </row>
    <row r="14">
      <c r="A14" t="inlineStr">
        <is>
          <t>Residual income</t>
        </is>
      </c>
      <c r="B14">
        <f>B11-$B$2/100*B10</f>
        <v/>
      </c>
      <c r="C14">
        <f>C11-$B$2/100*C10</f>
        <v/>
      </c>
      <c r="D14">
        <f>D11-$B$2/100*D10</f>
        <v/>
      </c>
      <c r="E14">
        <f>E11-$B$2/100*E10</f>
        <v/>
      </c>
      <c r="F14">
        <f>F11-$B$2/100*F10</f>
        <v/>
      </c>
      <c r="G14">
        <f>G11-$B$2/100*G10</f>
        <v/>
      </c>
      <c r="H14">
        <f>H11-$B$2/100*H10</f>
        <v/>
      </c>
      <c r="I14">
        <f>I11-$B$2/100*I10</f>
        <v/>
      </c>
      <c r="J14">
        <f>J11-$B$2/100*J10</f>
        <v/>
      </c>
      <c r="K14">
        <f>K11-$B$2/100*K10</f>
        <v/>
      </c>
    </row>
    <row r="15">
      <c r="A15" t="inlineStr">
        <is>
          <t>Discount factor</t>
        </is>
      </c>
      <c r="B15">
        <f>1/(1+$B$2/100)^1</f>
        <v/>
      </c>
      <c r="C15">
        <f>1/(1+$B$2/100)^2</f>
        <v/>
      </c>
      <c r="D15">
        <f>1/(1+$B$2/100)^3</f>
        <v/>
      </c>
      <c r="E15">
        <f>1/(1+$B$2/100)^4</f>
        <v/>
      </c>
      <c r="F15">
        <f>1/(1+$B$2/100)^5</f>
        <v/>
      </c>
      <c r="G15">
        <f>1/(1+$B$2/100)^6</f>
        <v/>
      </c>
      <c r="H15">
        <f>1/(1+$B$2/100)^7</f>
        <v/>
      </c>
      <c r="I15">
        <f>1/(1+$B$2/100)^8</f>
        <v/>
      </c>
      <c r="J15">
        <f>1/(1+$B$2/100)^9</f>
        <v/>
      </c>
      <c r="K15">
        <f>1/(1+$B$2/100)^10</f>
        <v/>
      </c>
    </row>
    <row r="16">
      <c r="A16" t="inlineStr">
        <is>
          <t>PV residual income</t>
        </is>
      </c>
      <c r="B16">
        <f>B14*B15</f>
        <v/>
      </c>
      <c r="C16">
        <f>C14*C15</f>
        <v/>
      </c>
      <c r="D16">
        <f>D14*D15</f>
        <v/>
      </c>
      <c r="E16">
        <f>E14*E15</f>
        <v/>
      </c>
      <c r="F16">
        <f>F14*F15</f>
        <v/>
      </c>
      <c r="G16">
        <f>G14*G15</f>
        <v/>
      </c>
      <c r="H16">
        <f>H14*H15</f>
        <v/>
      </c>
      <c r="I16">
        <f>I14*I15</f>
        <v/>
      </c>
      <c r="J16">
        <f>J14*J15</f>
        <v/>
      </c>
      <c r="K16">
        <f>K14*K15</f>
        <v/>
      </c>
    </row>
    <row r="17">
      <c r="A17" t="inlineStr">
        <is>
          <t>EPS</t>
        </is>
      </c>
      <c r="B17">
        <f>B11/$B$6</f>
        <v/>
      </c>
      <c r="C17">
        <f>C11/$B$6</f>
        <v/>
      </c>
      <c r="D17">
        <f>D11/$B$6</f>
        <v/>
      </c>
      <c r="E17">
        <f>E11/$B$6</f>
        <v/>
      </c>
      <c r="F17">
        <f>F11/$B$6</f>
        <v/>
      </c>
      <c r="G17">
        <f>G11/$B$6</f>
        <v/>
      </c>
      <c r="H17">
        <f>H11/$B$6</f>
        <v/>
      </c>
      <c r="I17">
        <f>I11/$B$6</f>
        <v/>
      </c>
      <c r="J17">
        <f>J11/$B$6</f>
        <v/>
      </c>
      <c r="K17">
        <f>K11/$B$6</f>
        <v/>
      </c>
    </row>
    <row r="18">
      <c r="A18" t="inlineStr">
        <is>
          <t>DPS</t>
        </is>
      </c>
      <c r="B18">
        <f>B12/$B$6</f>
        <v/>
      </c>
      <c r="C18">
        <f>C12/$B$6</f>
        <v/>
      </c>
      <c r="D18">
        <f>D12/$B$6</f>
        <v/>
      </c>
      <c r="E18">
        <f>E12/$B$6</f>
        <v/>
      </c>
      <c r="F18">
        <f>F12/$B$6</f>
        <v/>
      </c>
      <c r="G18">
        <f>G12/$B$6</f>
        <v/>
      </c>
      <c r="H18">
        <f>H12/$B$6</f>
        <v/>
      </c>
      <c r="I18">
        <f>I12/$B$6</f>
        <v/>
      </c>
      <c r="J18">
        <f>J12/$B$6</f>
        <v/>
      </c>
      <c r="K18">
        <f>K12/$B$6</f>
        <v/>
      </c>
    </row>
    <row r="20">
      <c r="A20" t="inlineStr">
        <is>
          <t>Sum PV residual income</t>
        </is>
      </c>
      <c r="B20">
        <f>SUM(B16:K16)</f>
        <v/>
      </c>
    </row>
    <row r="21">
      <c r="A21" t="inlineStr">
        <is>
          <t>Terminal RI value</t>
        </is>
      </c>
      <c r="B21">
        <f>K14*(1+B3/100)/(B2/100-B3/100)</f>
        <v/>
      </c>
    </row>
    <row r="22">
      <c r="A22" t="inlineStr">
        <is>
          <t>PV terminal</t>
        </is>
      </c>
      <c r="B22">
        <f>B21*K15</f>
        <v/>
      </c>
    </row>
    <row r="23">
      <c r="A23" t="inlineStr">
        <is>
          <t>Equity value (m)</t>
        </is>
      </c>
      <c r="B23">
        <f>B5+B20+B22</f>
        <v/>
      </c>
    </row>
    <row r="24">
      <c r="A24" t="inlineStr">
        <is>
          <t>Intrinsic value / share</t>
        </is>
      </c>
      <c r="B24" s="1">
        <f>B23/B6</f>
        <v/>
      </c>
    </row>
    <row r="25">
      <c r="A25" t="inlineStr">
        <is>
          <t>Implied P/TBV</t>
        </is>
      </c>
      <c r="B25">
        <f>B24/(B5/B6)</f>
        <v/>
      </c>
    </row>
    <row r="26">
      <c r="A26" t="inlineStr">
        <is>
          <t>Implied P/E on FY27 EPS</t>
        </is>
      </c>
      <c r="B26">
        <f>B24/B17</f>
        <v/>
      </c>
    </row>
    <row r="27">
      <c r="A27" t="inlineStr">
        <is>
          <t>Python check IV</t>
        </is>
      </c>
      <c r="B27" t="n">
        <v>104.72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bear scenario</t>
        </is>
      </c>
    </row>
    <row r="2">
      <c r="A2" t="inlineStr">
        <is>
          <t>Cost of equity %</t>
        </is>
      </c>
      <c r="B2" t="n">
        <v>10.5</v>
      </c>
    </row>
    <row r="3">
      <c r="A3" t="inlineStr">
        <is>
          <t>Terminal RI growth %</t>
        </is>
      </c>
      <c r="B3" t="n">
        <v>2.5</v>
      </c>
    </row>
    <row r="4">
      <c r="A4" t="inlineStr">
        <is>
          <t>Payout ratio %</t>
        </is>
      </c>
      <c r="B4" t="n">
        <v>80</v>
      </c>
    </row>
    <row r="5">
      <c r="A5" t="inlineStr">
        <is>
          <t>Opening TBV (m)</t>
        </is>
      </c>
      <c r="B5">
        <f>Summary!B6</f>
        <v/>
      </c>
    </row>
    <row r="6">
      <c r="A6" t="inlineStr">
        <is>
          <t>Shares (m)</t>
        </is>
      </c>
      <c r="B6">
        <f>Summary!B3</f>
        <v/>
      </c>
    </row>
    <row r="8">
      <c r="A8" t="inlineStr">
        <is>
          <t>Year</t>
        </is>
      </c>
      <c r="B8" t="inlineStr">
        <is>
          <t>FY2027</t>
        </is>
      </c>
      <c r="C8" t="inlineStr">
        <is>
          <t>FY2028</t>
        </is>
      </c>
      <c r="D8" t="inlineStr">
        <is>
          <t>FY2029</t>
        </is>
      </c>
      <c r="E8" t="inlineStr">
        <is>
          <t>FY2030</t>
        </is>
      </c>
      <c r="F8" t="inlineStr">
        <is>
          <t>FY2031</t>
        </is>
      </c>
      <c r="G8" t="inlineStr">
        <is>
          <t>FY2032</t>
        </is>
      </c>
      <c r="H8" t="inlineStr">
        <is>
          <t>FY2033</t>
        </is>
      </c>
      <c r="I8" t="inlineStr">
        <is>
          <t>FY2034</t>
        </is>
      </c>
      <c r="J8" t="inlineStr">
        <is>
          <t>FY2035</t>
        </is>
      </c>
      <c r="K8" t="inlineStr">
        <is>
          <t>FY2036</t>
        </is>
      </c>
    </row>
    <row r="9">
      <c r="A9" t="inlineStr">
        <is>
          <t>ROTE %</t>
        </is>
      </c>
      <c r="B9" t="n">
        <v>15</v>
      </c>
      <c r="C9" t="n">
        <v>14</v>
      </c>
      <c r="D9" t="n">
        <v>13</v>
      </c>
      <c r="E9" t="n">
        <v>12.5</v>
      </c>
      <c r="F9" t="n">
        <v>12.5</v>
      </c>
      <c r="G9" t="n">
        <v>12.5</v>
      </c>
      <c r="H9" t="n">
        <v>12.5</v>
      </c>
      <c r="I9" t="n">
        <v>12.5</v>
      </c>
      <c r="J9" t="n">
        <v>12.5</v>
      </c>
      <c r="K9" t="n">
        <v>12.5</v>
      </c>
    </row>
    <row r="10">
      <c r="A10" t="inlineStr">
        <is>
          <t>Opening TBV</t>
        </is>
      </c>
      <c r="B10">
        <f>$B$5</f>
        <v/>
      </c>
      <c r="C10">
        <f>B13</f>
        <v/>
      </c>
      <c r="D10">
        <f>C13</f>
        <v/>
      </c>
      <c r="E10">
        <f>D13</f>
        <v/>
      </c>
      <c r="F10">
        <f>E13</f>
        <v/>
      </c>
      <c r="G10">
        <f>F13</f>
        <v/>
      </c>
      <c r="H10">
        <f>G13</f>
        <v/>
      </c>
      <c r="I10">
        <f>H13</f>
        <v/>
      </c>
      <c r="J10">
        <f>I13</f>
        <v/>
      </c>
      <c r="K10">
        <f>J13</f>
        <v/>
      </c>
    </row>
    <row r="11">
      <c r="A11" t="inlineStr">
        <is>
          <t>NPAT</t>
        </is>
      </c>
      <c r="B11">
        <f>B9/100*B10</f>
        <v/>
      </c>
      <c r="C11">
        <f>C9/100*C10</f>
        <v/>
      </c>
      <c r="D11">
        <f>D9/100*D10</f>
        <v/>
      </c>
      <c r="E11">
        <f>E9/100*E10</f>
        <v/>
      </c>
      <c r="F11">
        <f>F9/100*F10</f>
        <v/>
      </c>
      <c r="G11">
        <f>G9/100*G10</f>
        <v/>
      </c>
      <c r="H11">
        <f>H9/100*H10</f>
        <v/>
      </c>
      <c r="I11">
        <f>I9/100*I10</f>
        <v/>
      </c>
      <c r="J11">
        <f>J9/100*J10</f>
        <v/>
      </c>
      <c r="K11">
        <f>K9/100*K10</f>
        <v/>
      </c>
    </row>
    <row r="12">
      <c r="A12" t="inlineStr">
        <is>
          <t>Dividends</t>
        </is>
      </c>
      <c r="B12">
        <f>$B$4/100*B11</f>
        <v/>
      </c>
      <c r="C12">
        <f>$B$4/100*C11</f>
        <v/>
      </c>
      <c r="D12">
        <f>$B$4/100*D11</f>
        <v/>
      </c>
      <c r="E12">
        <f>$B$4/100*E11</f>
        <v/>
      </c>
      <c r="F12">
        <f>$B$4/100*F11</f>
        <v/>
      </c>
      <c r="G12">
        <f>$B$4/100*G11</f>
        <v/>
      </c>
      <c r="H12">
        <f>$B$4/100*H11</f>
        <v/>
      </c>
      <c r="I12">
        <f>$B$4/100*I11</f>
        <v/>
      </c>
      <c r="J12">
        <f>$B$4/100*J11</f>
        <v/>
      </c>
      <c r="K12">
        <f>$B$4/100*K11</f>
        <v/>
      </c>
    </row>
    <row r="13">
      <c r="A13" t="inlineStr">
        <is>
          <t>Closing TBV</t>
        </is>
      </c>
      <c r="B13">
        <f>B10+B11-B12</f>
        <v/>
      </c>
      <c r="C13">
        <f>C10+C11-C12</f>
        <v/>
      </c>
      <c r="D13">
        <f>D10+D11-D12</f>
        <v/>
      </c>
      <c r="E13">
        <f>E10+E11-E12</f>
        <v/>
      </c>
      <c r="F13">
        <f>F10+F11-F12</f>
        <v/>
      </c>
      <c r="G13">
        <f>G10+G11-G12</f>
        <v/>
      </c>
      <c r="H13">
        <f>H10+H11-H12</f>
        <v/>
      </c>
      <c r="I13">
        <f>I10+I11-I12</f>
        <v/>
      </c>
      <c r="J13">
        <f>J10+J11-J12</f>
        <v/>
      </c>
      <c r="K13">
        <f>K10+K11-K12</f>
        <v/>
      </c>
    </row>
    <row r="14">
      <c r="A14" t="inlineStr">
        <is>
          <t>Residual income</t>
        </is>
      </c>
      <c r="B14">
        <f>B11-$B$2/100*B10</f>
        <v/>
      </c>
      <c r="C14">
        <f>C11-$B$2/100*C10</f>
        <v/>
      </c>
      <c r="D14">
        <f>D11-$B$2/100*D10</f>
        <v/>
      </c>
      <c r="E14">
        <f>E11-$B$2/100*E10</f>
        <v/>
      </c>
      <c r="F14">
        <f>F11-$B$2/100*F10</f>
        <v/>
      </c>
      <c r="G14">
        <f>G11-$B$2/100*G10</f>
        <v/>
      </c>
      <c r="H14">
        <f>H11-$B$2/100*H10</f>
        <v/>
      </c>
      <c r="I14">
        <f>I11-$B$2/100*I10</f>
        <v/>
      </c>
      <c r="J14">
        <f>J11-$B$2/100*J10</f>
        <v/>
      </c>
      <c r="K14">
        <f>K11-$B$2/100*K10</f>
        <v/>
      </c>
    </row>
    <row r="15">
      <c r="A15" t="inlineStr">
        <is>
          <t>Discount factor</t>
        </is>
      </c>
      <c r="B15">
        <f>1/(1+$B$2/100)^1</f>
        <v/>
      </c>
      <c r="C15">
        <f>1/(1+$B$2/100)^2</f>
        <v/>
      </c>
      <c r="D15">
        <f>1/(1+$B$2/100)^3</f>
        <v/>
      </c>
      <c r="E15">
        <f>1/(1+$B$2/100)^4</f>
        <v/>
      </c>
      <c r="F15">
        <f>1/(1+$B$2/100)^5</f>
        <v/>
      </c>
      <c r="G15">
        <f>1/(1+$B$2/100)^6</f>
        <v/>
      </c>
      <c r="H15">
        <f>1/(1+$B$2/100)^7</f>
        <v/>
      </c>
      <c r="I15">
        <f>1/(1+$B$2/100)^8</f>
        <v/>
      </c>
      <c r="J15">
        <f>1/(1+$B$2/100)^9</f>
        <v/>
      </c>
      <c r="K15">
        <f>1/(1+$B$2/100)^10</f>
        <v/>
      </c>
    </row>
    <row r="16">
      <c r="A16" t="inlineStr">
        <is>
          <t>PV residual income</t>
        </is>
      </c>
      <c r="B16">
        <f>B14*B15</f>
        <v/>
      </c>
      <c r="C16">
        <f>C14*C15</f>
        <v/>
      </c>
      <c r="D16">
        <f>D14*D15</f>
        <v/>
      </c>
      <c r="E16">
        <f>E14*E15</f>
        <v/>
      </c>
      <c r="F16">
        <f>F14*F15</f>
        <v/>
      </c>
      <c r="G16">
        <f>G14*G15</f>
        <v/>
      </c>
      <c r="H16">
        <f>H14*H15</f>
        <v/>
      </c>
      <c r="I16">
        <f>I14*I15</f>
        <v/>
      </c>
      <c r="J16">
        <f>J14*J15</f>
        <v/>
      </c>
      <c r="K16">
        <f>K14*K15</f>
        <v/>
      </c>
    </row>
    <row r="17">
      <c r="A17" t="inlineStr">
        <is>
          <t>EPS</t>
        </is>
      </c>
      <c r="B17">
        <f>B11/$B$6</f>
        <v/>
      </c>
      <c r="C17">
        <f>C11/$B$6</f>
        <v/>
      </c>
      <c r="D17">
        <f>D11/$B$6</f>
        <v/>
      </c>
      <c r="E17">
        <f>E11/$B$6</f>
        <v/>
      </c>
      <c r="F17">
        <f>F11/$B$6</f>
        <v/>
      </c>
      <c r="G17">
        <f>G11/$B$6</f>
        <v/>
      </c>
      <c r="H17">
        <f>H11/$B$6</f>
        <v/>
      </c>
      <c r="I17">
        <f>I11/$B$6</f>
        <v/>
      </c>
      <c r="J17">
        <f>J11/$B$6</f>
        <v/>
      </c>
      <c r="K17">
        <f>K11/$B$6</f>
        <v/>
      </c>
    </row>
    <row r="18">
      <c r="A18" t="inlineStr">
        <is>
          <t>DPS</t>
        </is>
      </c>
      <c r="B18">
        <f>B12/$B$6</f>
        <v/>
      </c>
      <c r="C18">
        <f>C12/$B$6</f>
        <v/>
      </c>
      <c r="D18">
        <f>D12/$B$6</f>
        <v/>
      </c>
      <c r="E18">
        <f>E12/$B$6</f>
        <v/>
      </c>
      <c r="F18">
        <f>F12/$B$6</f>
        <v/>
      </c>
      <c r="G18">
        <f>G12/$B$6</f>
        <v/>
      </c>
      <c r="H18">
        <f>H12/$B$6</f>
        <v/>
      </c>
      <c r="I18">
        <f>I12/$B$6</f>
        <v/>
      </c>
      <c r="J18">
        <f>J12/$B$6</f>
        <v/>
      </c>
      <c r="K18">
        <f>K12/$B$6</f>
        <v/>
      </c>
    </row>
    <row r="20">
      <c r="A20" t="inlineStr">
        <is>
          <t>Sum PV residual income</t>
        </is>
      </c>
      <c r="B20">
        <f>SUM(B16:K16)</f>
        <v/>
      </c>
    </row>
    <row r="21">
      <c r="A21" t="inlineStr">
        <is>
          <t>Terminal RI value</t>
        </is>
      </c>
      <c r="B21">
        <f>K14*(1+B3/100)/(B2/100-B3/100)</f>
        <v/>
      </c>
    </row>
    <row r="22">
      <c r="A22" t="inlineStr">
        <is>
          <t>PV terminal</t>
        </is>
      </c>
      <c r="B22">
        <f>B21*K15</f>
        <v/>
      </c>
    </row>
    <row r="23">
      <c r="A23" t="inlineStr">
        <is>
          <t>Equity value (m)</t>
        </is>
      </c>
      <c r="B23">
        <f>B5+B20+B22</f>
        <v/>
      </c>
    </row>
    <row r="24">
      <c r="A24" t="inlineStr">
        <is>
          <t>Intrinsic value / share</t>
        </is>
      </c>
      <c r="B24" s="1">
        <f>B23/B6</f>
        <v/>
      </c>
    </row>
    <row r="25">
      <c r="A25" t="inlineStr">
        <is>
          <t>Implied P/TBV</t>
        </is>
      </c>
      <c r="B25">
        <f>B24/(B5/B6)</f>
        <v/>
      </c>
    </row>
    <row r="26">
      <c r="A26" t="inlineStr">
        <is>
          <t>Implied P/E on FY27 EPS</t>
        </is>
      </c>
      <c r="B26">
        <f>B24/B17</f>
        <v/>
      </c>
    </row>
    <row r="27">
      <c r="A27" t="inlineStr">
        <is>
          <t>Python check IV</t>
        </is>
      </c>
      <c r="B27" t="n">
        <v>54.14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IV/share: cost of equity (rows) x terminal RI growth (cols); computed values</t>
        </is>
      </c>
    </row>
    <row r="2">
      <c r="B2" t="n">
        <v>2</v>
      </c>
      <c r="C2" t="n">
        <v>2.5</v>
      </c>
      <c r="D2" t="n">
        <v>3</v>
      </c>
      <c r="E2" t="n">
        <v>3.5</v>
      </c>
      <c r="F2" t="n">
        <v>4</v>
      </c>
    </row>
    <row r="3">
      <c r="A3" t="n">
        <v>8.5</v>
      </c>
      <c r="B3" t="n">
        <v>89.90000000000001</v>
      </c>
      <c r="C3" t="n">
        <v>92.25</v>
      </c>
      <c r="D3" t="n">
        <v>95.02</v>
      </c>
      <c r="E3" t="n">
        <v>98.34999999999999</v>
      </c>
      <c r="F3" t="n">
        <v>102.42</v>
      </c>
    </row>
    <row r="4">
      <c r="A4" t="n">
        <v>9</v>
      </c>
      <c r="B4" t="n">
        <v>83.05</v>
      </c>
      <c r="C4" t="n">
        <v>84.83</v>
      </c>
      <c r="D4" t="n">
        <v>86.91</v>
      </c>
      <c r="E4" t="n">
        <v>89.36</v>
      </c>
      <c r="F4" t="n">
        <v>92.31</v>
      </c>
    </row>
    <row r="5">
      <c r="A5" t="n">
        <v>9.5</v>
      </c>
      <c r="B5" t="n">
        <v>77.12</v>
      </c>
      <c r="C5" t="n">
        <v>78.48</v>
      </c>
      <c r="D5" t="n">
        <v>80.05</v>
      </c>
      <c r="E5" t="n">
        <v>81.88</v>
      </c>
      <c r="F5" t="n">
        <v>84.04000000000001</v>
      </c>
    </row>
    <row r="6">
      <c r="A6" t="n">
        <v>10</v>
      </c>
      <c r="B6" t="n">
        <v>71.95</v>
      </c>
      <c r="C6" t="n">
        <v>72.98999999999999</v>
      </c>
      <c r="D6" t="n">
        <v>74.18000000000001</v>
      </c>
      <c r="E6" t="n">
        <v>75.54000000000001</v>
      </c>
      <c r="F6" t="n">
        <v>77.14</v>
      </c>
    </row>
    <row r="7">
      <c r="A7" t="n">
        <v>10.5</v>
      </c>
      <c r="B7" t="n">
        <v>67.41</v>
      </c>
      <c r="C7" t="n">
        <v>68.2</v>
      </c>
      <c r="D7" t="n">
        <v>69.09</v>
      </c>
      <c r="E7" t="n">
        <v>70.12</v>
      </c>
      <c r="F7" t="n">
        <v>71.3</v>
      </c>
    </row>
    <row r="10">
      <c r="A10" s="1" t="inlineStr">
        <is>
          <t>Required return (base)</t>
        </is>
      </c>
    </row>
    <row r="11">
      <c r="A11" t="inlineStr">
        <is>
          <t>return %</t>
        </is>
      </c>
      <c r="B11" t="n">
        <v>9</v>
      </c>
      <c r="C11" t="n">
        <v>10</v>
      </c>
      <c r="D11" t="n">
        <v>11</v>
      </c>
      <c r="E11" t="n">
        <v>12</v>
      </c>
      <c r="F11" t="n">
        <v>15</v>
      </c>
    </row>
    <row r="12">
      <c r="A12" t="inlineStr">
        <is>
          <t>value / share</t>
        </is>
      </c>
      <c r="B12" t="n">
        <v>86.91</v>
      </c>
      <c r="C12" t="n">
        <v>74.18000000000001</v>
      </c>
      <c r="D12" t="n">
        <v>64.65000000000001</v>
      </c>
      <c r="E12" t="n">
        <v>57.26</v>
      </c>
      <c r="F12" t="n">
        <v>42.55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2026-09-22T09:18:16Z</dcterms:created>
  <dcterms:modified xsi:type="dcterms:W3CDTF">2026-09-22T09:18:16Z</dcterms:modified>
</cp:coreProperties>
</file>