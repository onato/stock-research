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<sst xmlns="http://schemas.openxmlformats.org/spreadsheetml/2006/main" count="361" uniqueCount="166">
  <si>
    <t xml:space="preserve">Ticker</t>
  </si>
  <si>
    <t xml:space="preserve">ERD.NZ</t>
  </si>
  <si>
    <t xml:space="preserve">Company</t>
  </si>
  <si>
    <t xml:space="preserve">EROAD Limited</t>
  </si>
  <si>
    <t xml:space="preserve">Valuation date</t>
  </si>
  <si>
    <t xml:space="preserve">2026-09-26</t>
  </si>
  <si>
    <t xml:space="preserve">Current price</t>
  </si>
  <si>
    <t xml:space="preserve">Price as of</t>
  </si>
  <si>
    <t xml:space="preserve">2026-09-25T05:00:31Z regular close (Yahoo Finance chart API); 52-week range 0.81-2.89 NZD</t>
  </si>
  <si>
    <t xml:space="preserve">Balance sheet date</t>
  </si>
  <si>
    <t xml:space="preserve">2026-03-31</t>
  </si>
  <si>
    <t xml:space="preserve">Model</t>
  </si>
  <si>
    <t xml:space="preserve">owner_fcf_dcf_component</t>
  </si>
  <si>
    <t xml:space="preserve">Currency (model)</t>
  </si>
  <si>
    <t xml:space="preserve">NZD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</si>
  <si>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</si>
  <si>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</si>
  <si>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</si>
  <si>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</si>
  <si>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</si>
  <si>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</si>
  <si>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2026-09-25T12:54:53Z</t>
  </si>
  <si>
    <t xml:space="preserve">Drivers file</t>
  </si>
  <si>
    <t xml:space="preserve">ERD.NZ_Drivers.json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</si>
  <si>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</si>
  <si>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</si>
  <si>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</si>
  <si>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EROAD is a turnaround-stage NZ SaaS/hardware-subscription telematics company entering FY27 with withdrawn top-line guidance, a completed but unproven leadership and governance reset, and a North American segment being deliberately shrunk to cash-flow neutrality after a large customer loss triggered a NZ$134.7m non-cash impairment. The valuation rests on ANZ's demonstrated free-cash-flow generation (NZ$19.5m normalised FCF from New Zealand + Australia combined in FY26) funding a North American business that no longer needs to grow, plus unquantified optionality from NZ's prospective universal electronic road-user-charging expansion. Reported FY26 owner FCF is negative, depressed by a near-complete 4G hardware upgrade program and a cluster of one-off costs (patent litigation, transformation, accounting-estimate changes) that together explain the gap to management's own NZ$14.4m normalised FCF figure -- the component build normalises both the margin and the capex path rather than extrapolating either the disrupted FY26 print or the flattering normalised figure uncritically.
key_risks_to_valuation: Withdrawn FY27 revenue/ARR guidance materially lowers forecast visibility versus the historical basis for this model; North America customer concentration: a single further large non-renewal could repeat the Old Dominion shock; New CEO (starts 12-Oct-2026) has no EROAD-specific track record; four-month leadership vacuum preceded his start; Activist shareholder (Ampfield, ~17%) narrowly failed to remove directors at the Jun-2026 AGM; renewed pressure is plausible if turnaround progress disappoints; FY26 net working-capital deficit and covenants (net leverage, interest cover) stepping down through October 2027 facility maturity leave thin headroom for further setbacks; NZ universal eRUC's eventual provider/collection model is undecided; EROAD's own public opposition to an NZTA-as-retail-provider model signals real uncertainty about whether incumbency converts into captured upside</t>
  </si>
  <si>
    <t xml:space="preserve">Data sources</t>
  </si>
  <si>
    <t xml:space="preserve">price: Yahoo Finance chart API at inputs.price_as_of; 52-week range 0.81-2.89 NZD
financials: research/ERD.NZ/Reports/ERD.NZ_Metrics.csv (FY2017-FY2026 annual + half-years); research/ERD.NZ/Extracted/ERD.NZ_Annual_FY2026_Report.txt (full FY2026 annual report: income statement, cash flow statement, Note 6 Personnel Expenses, Note 13 Borrowings, Note 14 Finance income/expenses, Note 16 Share-based payments, tax losses note); research/ERD.NZ/Extracted/ERD.NZ_Annual_FY2026.txt (FY26 results presentation: normalised FCF/EBIT reconciliations, regional FCF breakdown, liquidity summary)
qualitative: research/ERD.NZ/Reports/ERD.NZ_Analysis.json (refreshed 2026-09, covers CEO transition, Ampfield activist contest, withdrawn FY27 guidance, FY26 impairment)</t>
  </si>
  <si>
    <t xml:space="preserve">Scenario narrative: bear</t>
  </si>
  <si>
    <t xml:space="preserve">North America attrition continues past Old Dominion and cash-flow neutrality is missed; the CEO vacancy and narrow AGM result presage renewed activist/governance disruption; eRUC's provider model bypasses EROAD's incumbency; thin liquidity forces a dilutive raise.</t>
  </si>
  <si>
    <t xml:space="preserve">Scenario narrative: base</t>
  </si>
  <si>
    <t xml:space="preserve">ANZ-led stabilisation: NZ steady, Australia scaling on Cleanaway, North America managed to cash-flow neutrality (not growth) under a new externally-hired CEO; margin partially recovers from FY26's one-off-depressed level; NZ universal eRUC treated as optionality, not baked into the numbers.</t>
  </si>
  <si>
    <t xml:space="preserve">Scenario narrative: bull</t>
  </si>
  <si>
    <t xml:space="preserve">Universal eRUC legislation passes and EROAD keeps its incumbency share; the Australia enterprise playbook repeats beyond Cleanaway; North America stabilises faster than guided; the new CEO repeats his Cin7 ARR-scaling record; margin recovers past pre-disruption FY25 levels.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</si>
  <si>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</si>
  <si>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</si>
  <si>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</si>
  <si>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</si>
  <si>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</si>
  <si>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</si>
  <si>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</si>
  <si>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</si>
  <si>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</si>
  <si>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</si>
  <si>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</si>
  <si>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</si>
  <si>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</si>
  <si>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</si>
  <si>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</si>
  <si>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</si>
  <si>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</si>
  <si>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</si>
  <si>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</si>
  <si>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</si>
  <si>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</si>
  <si>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</si>
  <si>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</si>
  <si>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</si>
  <si>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</si>
  <si>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</si>
  <si>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</si>
  <si>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ARR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</si>
  <si>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</si>
  <si>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</si>
  <si>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</si>
  <si>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</si>
  <si>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</si>
  <si>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</si>
  <si>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</si>
  <si>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</si>
  <si>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</si>
  <si>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</si>
  <si>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</si>
  <si>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</si>
  <si>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</si>
  <si>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</si>
  <si>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</si>
  <si>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</si>
  <si>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</si>
  <si>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</si>
  <si>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</si>
  <si>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</si>
  <si>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NZD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</si>
  <si>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</si>
  <si>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</si>
  <si>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</si>
  <si>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</si>
  <si>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</si>
  <si>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</si>
  <si>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</si>
  <si>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</si>
  <si>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</si>
  <si>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</si>
  <si>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</si>
  <si>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</si>
  <si>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</si>
  <si>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</si>
  <si>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</si>
  <si>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</si>
  <si>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</si>
  <si>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</si>
  <si>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</si>
  <si>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</si>
  <si>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</si>
  <si>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</si>
  <si>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</si>
  <si>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</si>
  <si>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</si>
  <si>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</si>
  <si>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ERD.NZ owner-FCF component DCF: bear case (millions, NZD)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</si>
  <si>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</si>
  <si>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</si>
  <si>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</si>
  <si>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</si>
  <si>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</si>
  <si>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</si>
  <si>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</si>
  <si>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</si>
  <si>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</si>
  <si>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</si>
  <si>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</si>
  <si>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</si>
  <si>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</si>
  <si>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</si>
  <si>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</si>
  <si>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</si>
  <si>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</si>
  <si>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</si>
  <si>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</si>
  <si>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</si>
  <si>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</si>
  <si>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</si>
  <si>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</si>
  <si>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</si>
  <si>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</si>
  <si>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</si>
  <si>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</si>
  <si>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</si>
  <si>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</si>
  <si>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</si>
  <si>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ERD.NZ owner-FCF component DCF: base case (millions, NZD)</t>
  </si>
  <si>
    <t xml:space="preserve">ERD.NZ owner-FCF component DCF: bull case (millions, NZD)</t>
  </si>
  <si>
    <t xml:space="preserve">ERD.NZ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</si>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</sst>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1.04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</row>
    <row r="2" customFormat="false" ht="15" hidden="false" customHeight="false" outlineLevel="0" collapsed="false">
      <c r="A2" s="0" t="s">
        <v>64</v>
      </c>
      <c r="B2" s="0" t="n">
        <v>32.764</v>
      </c>
      <c r="F2" s="0" t="n">
        <v>-5.021</v>
      </c>
      <c r="G2" s="0" t="n">
        <v>-15.3</v>
      </c>
      <c r="H2" s="0" t="n">
        <v>7.056</v>
      </c>
      <c r="I2" s="0" t="n">
        <v>-5.274</v>
      </c>
      <c r="J2" s="0" t="n">
        <v>-16.1</v>
      </c>
      <c r="K2" s="0" t="n">
        <v>-0.0881</v>
      </c>
      <c r="L2" s="0" t="n">
        <v>6.628</v>
      </c>
      <c r="M2" s="0" t="n">
        <v>19.874</v>
      </c>
      <c r="N2" s="0" t="n">
        <v>-13.246</v>
      </c>
      <c r="O2" s="0" t="n">
        <v>45.556</v>
      </c>
      <c r="P2" s="0" t="n">
        <v>73.063</v>
      </c>
      <c r="Q2" s="0" t="n">
        <v>27.507</v>
      </c>
      <c r="R2" s="0" t="n">
        <v>7.03</v>
      </c>
      <c r="S2" s="0" t="n">
        <v>0.935</v>
      </c>
      <c r="T2" s="0" t="n">
        <v>59.78</v>
      </c>
      <c r="U2" s="0" t="n">
        <v>0.345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51.524</v>
      </c>
      <c r="F3" s="0" t="n">
        <v>-0.53</v>
      </c>
      <c r="G3" s="0" t="n">
        <v>-1</v>
      </c>
      <c r="H3" s="0" t="n">
        <v>15.01</v>
      </c>
      <c r="I3" s="0" t="n">
        <v>0.21</v>
      </c>
      <c r="J3" s="0" t="n">
        <v>0.4</v>
      </c>
      <c r="K3" s="0" t="n">
        <v>0.0034</v>
      </c>
      <c r="L3" s="0" t="n">
        <v>2.007</v>
      </c>
      <c r="M3" s="0" t="n">
        <v>21.353</v>
      </c>
      <c r="N3" s="0" t="n">
        <v>-19.346</v>
      </c>
      <c r="O3" s="0" t="n">
        <v>67.161</v>
      </c>
      <c r="P3" s="0" t="n">
        <v>112.841</v>
      </c>
      <c r="Q3" s="0" t="n">
        <v>45.68</v>
      </c>
      <c r="R3" s="0" t="n">
        <v>26.483</v>
      </c>
      <c r="S3" s="0" t="n">
        <v>21.87</v>
      </c>
      <c r="T3" s="0" t="n">
        <v>68.09</v>
      </c>
      <c r="U3" s="0" t="n">
        <v>0.269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61.352</v>
      </c>
      <c r="F4" s="0" t="n">
        <v>-2.319</v>
      </c>
      <c r="G4" s="0" t="n">
        <v>-3.8</v>
      </c>
      <c r="H4" s="0" t="n">
        <v>15.633</v>
      </c>
      <c r="I4" s="0" t="n">
        <v>-4.915</v>
      </c>
      <c r="J4" s="0" t="n">
        <v>-8</v>
      </c>
      <c r="K4" s="0" t="n">
        <v>-0.0724</v>
      </c>
      <c r="L4" s="0" t="n">
        <v>14.313</v>
      </c>
      <c r="M4" s="0" t="n">
        <v>20.504</v>
      </c>
      <c r="N4" s="0" t="n">
        <v>-6.191</v>
      </c>
      <c r="O4" s="0" t="n">
        <v>51.291</v>
      </c>
      <c r="P4" s="0" t="n">
        <v>123.2</v>
      </c>
      <c r="Q4" s="0" t="n">
        <v>71.909</v>
      </c>
      <c r="R4" s="0" t="n">
        <v>34.639</v>
      </c>
      <c r="S4" s="0" t="n">
        <v>16.139</v>
      </c>
      <c r="T4" s="0" t="n">
        <v>68.28</v>
      </c>
      <c r="U4" s="0" t="n">
        <v>0.368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81.2</v>
      </c>
      <c r="F5" s="0" t="n">
        <v>4.5</v>
      </c>
      <c r="G5" s="0" t="n">
        <v>5.5</v>
      </c>
      <c r="H5" s="0" t="n">
        <v>27.1</v>
      </c>
      <c r="I5" s="0" t="n">
        <v>1</v>
      </c>
      <c r="J5" s="0" t="n">
        <v>1.2</v>
      </c>
      <c r="K5" s="0" t="n">
        <v>0.0153</v>
      </c>
      <c r="L5" s="0" t="n">
        <v>23.1</v>
      </c>
      <c r="M5" s="0" t="n">
        <v>28.1</v>
      </c>
      <c r="N5" s="0" t="n">
        <v>-5</v>
      </c>
      <c r="O5" s="0" t="n">
        <v>51.3</v>
      </c>
      <c r="P5" s="0" t="n">
        <v>125.8</v>
      </c>
      <c r="Q5" s="0" t="n">
        <v>74.5</v>
      </c>
      <c r="R5" s="0" t="n">
        <v>35.8</v>
      </c>
      <c r="S5" s="0" t="n">
        <v>3.4</v>
      </c>
      <c r="T5" s="0" t="n">
        <v>68.28</v>
      </c>
      <c r="U5" s="0" t="n">
        <v>0.3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91.6</v>
      </c>
      <c r="F6" s="0" t="n">
        <v>5.1</v>
      </c>
      <c r="G6" s="0" t="n">
        <v>5.6</v>
      </c>
      <c r="H6" s="0" t="n">
        <v>30.4</v>
      </c>
      <c r="I6" s="0" t="n">
        <v>2.5</v>
      </c>
      <c r="J6" s="0" t="n">
        <v>2.7</v>
      </c>
      <c r="K6" s="0" t="n">
        <v>0.0333</v>
      </c>
      <c r="L6" s="0" t="n">
        <v>28.1</v>
      </c>
      <c r="M6" s="0" t="n">
        <v>17.8</v>
      </c>
      <c r="N6" s="0" t="n">
        <v>10.3</v>
      </c>
      <c r="O6" s="0" t="n">
        <v>102.1</v>
      </c>
      <c r="P6" s="0" t="n">
        <v>169.6</v>
      </c>
      <c r="Q6" s="0" t="n">
        <v>67.4</v>
      </c>
      <c r="R6" s="0" t="n">
        <v>35</v>
      </c>
      <c r="S6" s="0" t="n">
        <v>57.1</v>
      </c>
      <c r="T6" s="0" t="n">
        <v>74.37</v>
      </c>
      <c r="U6" s="0" t="n">
        <v>0.9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114.9</v>
      </c>
      <c r="F7" s="0" t="n">
        <v>-7.2</v>
      </c>
      <c r="G7" s="0" t="n">
        <v>-6.3</v>
      </c>
      <c r="H7" s="0" t="n">
        <v>21</v>
      </c>
      <c r="I7" s="0" t="n">
        <v>-9.6</v>
      </c>
      <c r="J7" s="0" t="n">
        <v>-8.4</v>
      </c>
      <c r="K7" s="0" t="n">
        <v>-0.0998</v>
      </c>
      <c r="L7" s="0" t="n">
        <v>8.6</v>
      </c>
      <c r="M7" s="0" t="n">
        <v>53.3</v>
      </c>
      <c r="N7" s="0" t="n">
        <v>-44.7</v>
      </c>
      <c r="O7" s="0" t="n">
        <v>247.7</v>
      </c>
      <c r="P7" s="0" t="n">
        <v>370.1</v>
      </c>
      <c r="Q7" s="0" t="n">
        <v>122.4</v>
      </c>
      <c r="R7" s="0" t="n">
        <v>32.1</v>
      </c>
      <c r="S7" s="0" t="n">
        <v>13.9</v>
      </c>
      <c r="T7" s="0" t="n">
        <v>96.46</v>
      </c>
      <c r="U7" s="0" t="n">
        <v>2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174.9</v>
      </c>
      <c r="F8" s="0" t="n">
        <v>1.7</v>
      </c>
      <c r="G8" s="0" t="n">
        <v>1</v>
      </c>
      <c r="H8" s="0" t="n">
        <v>45.2</v>
      </c>
      <c r="I8" s="0" t="n">
        <v>-3</v>
      </c>
      <c r="J8" s="0" t="n">
        <v>-1.7</v>
      </c>
      <c r="K8" s="0" t="n">
        <v>-0.0268</v>
      </c>
      <c r="L8" s="0" t="n">
        <v>24.1</v>
      </c>
      <c r="M8" s="0" t="n">
        <v>55.7</v>
      </c>
      <c r="N8" s="0" t="n">
        <v>-31.6</v>
      </c>
      <c r="O8" s="0" t="n">
        <v>248.8</v>
      </c>
      <c r="P8" s="0" t="n">
        <v>402.8</v>
      </c>
      <c r="Q8" s="0" t="n">
        <v>154</v>
      </c>
      <c r="R8" s="0" t="n">
        <v>70.6</v>
      </c>
      <c r="S8" s="0" t="n">
        <v>8.1</v>
      </c>
      <c r="T8" s="0" t="n">
        <v>112.63</v>
      </c>
      <c r="U8" s="0" t="n">
        <v>0.1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182</v>
      </c>
      <c r="F9" s="0" t="n">
        <v>0.2</v>
      </c>
      <c r="G9" s="0" t="n">
        <v>0.1</v>
      </c>
      <c r="H9" s="0" t="n">
        <v>53.3</v>
      </c>
      <c r="I9" s="0" t="n">
        <v>-0.8</v>
      </c>
      <c r="J9" s="0" t="n">
        <v>-0.4</v>
      </c>
      <c r="K9" s="0" t="n">
        <v>-0.0055</v>
      </c>
      <c r="L9" s="0" t="n">
        <v>52.9</v>
      </c>
      <c r="M9" s="0" t="n">
        <v>53.5</v>
      </c>
      <c r="N9" s="0" t="n">
        <v>-0.6</v>
      </c>
      <c r="O9" s="0" t="n">
        <v>321.3</v>
      </c>
      <c r="P9" s="0" t="n">
        <v>453.5</v>
      </c>
      <c r="Q9" s="0" t="n">
        <v>132.2</v>
      </c>
      <c r="R9" s="0" t="n">
        <v>36.6</v>
      </c>
      <c r="S9" s="0" t="n">
        <v>14.5</v>
      </c>
      <c r="T9" s="0" t="n">
        <v>184.82</v>
      </c>
      <c r="U9" s="0" t="n">
        <v>4.1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72</v>
      </c>
      <c r="B10" s="0" t="n">
        <v>194.4</v>
      </c>
      <c r="F10" s="0" t="n">
        <v>5.9</v>
      </c>
      <c r="G10" s="0" t="n">
        <v>3</v>
      </c>
      <c r="H10" s="0" t="n">
        <v>59.6</v>
      </c>
      <c r="I10" s="0" t="n">
        <v>1.4</v>
      </c>
      <c r="J10" s="0" t="n">
        <v>0.7</v>
      </c>
      <c r="K10" s="0" t="n">
        <v>0.0073</v>
      </c>
      <c r="L10" s="0" t="n">
        <v>40.6</v>
      </c>
      <c r="M10" s="0" t="n">
        <v>28.3</v>
      </c>
      <c r="N10" s="0" t="n">
        <v>12.3</v>
      </c>
      <c r="O10" s="0" t="n">
        <v>331.7</v>
      </c>
      <c r="P10" s="0" t="n">
        <v>460.3</v>
      </c>
      <c r="Q10" s="0" t="n">
        <v>128.6</v>
      </c>
      <c r="R10" s="0" t="n">
        <v>25.6</v>
      </c>
      <c r="S10" s="0" t="n">
        <v>13.8</v>
      </c>
      <c r="T10" s="0" t="n">
        <v>187.41</v>
      </c>
      <c r="U10" s="0" t="n">
        <v>1.7</v>
      </c>
      <c r="AA10" s="0" t="s">
        <v>17</v>
      </c>
      <c r="AB10" s="0" t="s">
        <v>14</v>
      </c>
      <c r="AC10" s="0" t="n">
        <v>175.1</v>
      </c>
    </row>
    <row r="11" customFormat="false" ht="15" hidden="false" customHeight="false" outlineLevel="0" collapsed="false">
      <c r="A11" s="0" t="s">
        <v>73</v>
      </c>
      <c r="B11" s="0" t="n">
        <v>195.2</v>
      </c>
      <c r="F11" s="0" t="n">
        <v>-155.9</v>
      </c>
      <c r="G11" s="0" t="n">
        <v>-79.9</v>
      </c>
      <c r="H11" s="0" t="n">
        <v>39</v>
      </c>
      <c r="I11" s="0" t="n">
        <v>-161.1</v>
      </c>
      <c r="J11" s="0" t="n">
        <v>-82.5</v>
      </c>
      <c r="K11" s="0" t="n">
        <v>-0.8582</v>
      </c>
      <c r="L11" s="0" t="n">
        <v>30.3</v>
      </c>
      <c r="M11" s="0" t="n">
        <v>32.5</v>
      </c>
      <c r="N11" s="0" t="n">
        <v>-2.2</v>
      </c>
      <c r="O11" s="0" t="n">
        <v>172.3</v>
      </c>
      <c r="P11" s="0" t="n">
        <v>308.8</v>
      </c>
      <c r="Q11" s="0" t="n">
        <v>136.5</v>
      </c>
      <c r="R11" s="0" t="n">
        <v>26.1</v>
      </c>
      <c r="S11" s="0" t="n">
        <v>10.1</v>
      </c>
      <c r="T11" s="0" t="n">
        <v>187.97</v>
      </c>
      <c r="U11" s="0" t="n">
        <v>2.6</v>
      </c>
      <c r="AA11" s="0" t="s">
        <v>17</v>
      </c>
      <c r="AB11" s="0" t="s">
        <v>14</v>
      </c>
      <c r="AC11" s="0" t="n">
        <v>174.3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1.04</v>
      </c>
    </row>
    <row r="3" customFormat="false" ht="15" hidden="false" customHeight="false" outlineLevel="0" collapsed="false">
      <c r="A3" s="0" t="s">
        <v>77</v>
      </c>
      <c r="B3" s="3" t="n">
        <v>189.05</v>
      </c>
    </row>
    <row r="4" customFormat="false" ht="15" hidden="false" customHeight="false" outlineLevel="0" collapsed="false">
      <c r="A4" s="0" t="s">
        <v>78</v>
      </c>
      <c r="B4" s="3" t="n">
        <v>16</v>
      </c>
    </row>
    <row r="5" customFormat="false" ht="15" hidden="false" customHeight="false" outlineLevel="0" collapsed="false">
      <c r="A5" s="0" t="s">
        <v>79</v>
      </c>
      <c r="B5" s="3" t="n">
        <v>-6.3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195.2</v>
      </c>
    </row>
    <row r="8" customFormat="false" ht="15" hidden="false" customHeight="false" outlineLevel="0" collapsed="false">
      <c r="A8" s="0" t="s">
        <v>82</v>
      </c>
      <c r="B8" s="3" t="s">
        <v>73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1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-2</v>
      </c>
      <c r="D13" s="3" t="n">
        <v>-1</v>
      </c>
      <c r="E13" s="3" t="n">
        <v>0</v>
      </c>
      <c r="F13" s="3" t="n">
        <v>0.5</v>
      </c>
      <c r="G13" s="3" t="n">
        <v>1</v>
      </c>
      <c r="H13" s="3" t="n">
        <v>1</v>
      </c>
      <c r="I13" s="3" t="n">
        <v>1.5</v>
      </c>
      <c r="J13" s="3" t="n">
        <v>1.5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98</v>
      </c>
      <c r="C14" s="3" t="n">
        <v>20</v>
      </c>
      <c r="D14" s="3" t="n">
        <v>20</v>
      </c>
      <c r="E14" s="3" t="n">
        <v>20.5</v>
      </c>
      <c r="F14" s="3" t="n">
        <v>21.5</v>
      </c>
      <c r="G14" s="3" t="n">
        <v>22.5</v>
      </c>
      <c r="H14" s="3" t="n">
        <v>23</v>
      </c>
      <c r="I14" s="3" t="n">
        <v>23.5</v>
      </c>
      <c r="J14" s="3" t="n">
        <v>24</v>
      </c>
      <c r="K14" s="3" t="n">
        <v>24</v>
      </c>
      <c r="L14" s="3" t="n">
        <v>24</v>
      </c>
    </row>
    <row r="15" customFormat="false" ht="15" hidden="false" customHeight="false" outlineLevel="0" collapsed="false">
      <c r="A15" s="0" t="s">
        <v>99</v>
      </c>
      <c r="C15" s="3" t="n">
        <v>1.3</v>
      </c>
      <c r="D15" s="3" t="n">
        <v>1.4</v>
      </c>
      <c r="E15" s="3" t="n">
        <v>1.4</v>
      </c>
      <c r="F15" s="3" t="n">
        <v>1.4</v>
      </c>
      <c r="G15" s="3" t="n">
        <v>1.4</v>
      </c>
      <c r="H15" s="3" t="n">
        <v>1.3</v>
      </c>
      <c r="I15" s="3" t="n">
        <v>1.3</v>
      </c>
      <c r="J15" s="3" t="n">
        <v>1.3</v>
      </c>
      <c r="K15" s="3" t="n">
        <v>1.3</v>
      </c>
      <c r="L15" s="3" t="n">
        <v>1.3</v>
      </c>
    </row>
    <row r="16" customFormat="false" ht="15" hidden="false" customHeight="false" outlineLevel="0" collapsed="false">
      <c r="A16" s="0" t="s">
        <v>100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101</v>
      </c>
      <c r="C17" s="3" t="n">
        <v>28</v>
      </c>
      <c r="D17" s="3" t="n">
        <v>26</v>
      </c>
      <c r="E17" s="3" t="n">
        <v>23</v>
      </c>
      <c r="F17" s="3" t="n">
        <v>21</v>
      </c>
      <c r="G17" s="3" t="n">
        <v>19.5</v>
      </c>
      <c r="H17" s="3" t="n">
        <v>18.5</v>
      </c>
      <c r="I17" s="3" t="n">
        <v>18</v>
      </c>
      <c r="J17" s="3" t="n">
        <v>17.5</v>
      </c>
      <c r="K17" s="3" t="n">
        <v>17.5</v>
      </c>
      <c r="L17" s="3" t="n">
        <v>17.5</v>
      </c>
    </row>
    <row r="18" customFormat="false" ht="15" hidden="false" customHeight="false" outlineLevel="0" collapsed="false">
      <c r="A18" s="0" t="s">
        <v>102</v>
      </c>
      <c r="C18" s="3" t="n">
        <v>17</v>
      </c>
      <c r="D18" s="3" t="n">
        <v>13</v>
      </c>
      <c r="E18" s="3" t="n">
        <v>11</v>
      </c>
      <c r="F18" s="3" t="n">
        <v>10</v>
      </c>
      <c r="G18" s="3" t="n">
        <v>10</v>
      </c>
      <c r="H18" s="3" t="n">
        <v>10</v>
      </c>
      <c r="I18" s="3" t="n">
        <v>10</v>
      </c>
      <c r="J18" s="3" t="n">
        <v>10</v>
      </c>
      <c r="K18" s="3" t="n">
        <v>10</v>
      </c>
      <c r="L18" s="3" t="n">
        <v>10</v>
      </c>
    </row>
    <row r="19" customFormat="false" ht="15" hidden="false" customHeight="false" outlineLevel="0" collapsed="false">
      <c r="A19" s="0" t="s">
        <v>103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5</v>
      </c>
      <c r="I19" s="3" t="n">
        <v>10</v>
      </c>
      <c r="J19" s="3" t="n">
        <v>15</v>
      </c>
      <c r="K19" s="3" t="n">
        <v>20</v>
      </c>
      <c r="L19" s="3" t="n">
        <v>25</v>
      </c>
    </row>
    <row r="20" customFormat="false" ht="15" hidden="false" customHeight="false" outlineLevel="0" collapsed="false">
      <c r="A20" s="0" t="s">
        <v>104</v>
      </c>
      <c r="B20" s="3" t="n">
        <v>11</v>
      </c>
    </row>
    <row r="21" customFormat="false" ht="15" hidden="false" customHeight="false" outlineLevel="0" collapsed="false">
      <c r="A21" s="0" t="s">
        <v>105</v>
      </c>
      <c r="B21" s="3" t="n">
        <v>1.5</v>
      </c>
    </row>
    <row r="22" customFormat="false" ht="15" hidden="false" customHeight="false" outlineLevel="0" collapsed="false">
      <c r="A22" s="0" t="s">
        <v>106</v>
      </c>
      <c r="B22" s="3" t="n">
        <v>10</v>
      </c>
    </row>
    <row r="23" customFormat="false" ht="15" hidden="false" customHeight="false" outlineLevel="0" collapsed="false">
      <c r="A23" s="0" t="s">
        <v>107</v>
      </c>
      <c r="B23" s="3" t="n">
        <v>5</v>
      </c>
    </row>
    <row r="24" customFormat="false" ht="15" hidden="false" customHeight="false" outlineLevel="0" collapsed="false">
      <c r="A24" s="0" t="s">
        <v>108</v>
      </c>
      <c r="B24" s="3" t="n">
        <v>0.25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1</v>
      </c>
      <c r="D27" s="3" t="n">
        <v>2.5</v>
      </c>
      <c r="E27" s="3" t="n">
        <v>3.5</v>
      </c>
      <c r="F27" s="3" t="n">
        <v>4.5</v>
      </c>
      <c r="G27" s="3" t="n">
        <v>5</v>
      </c>
      <c r="H27" s="3" t="n">
        <v>5</v>
      </c>
      <c r="I27" s="3" t="n">
        <v>5</v>
      </c>
      <c r="J27" s="3" t="n">
        <v>4.5</v>
      </c>
      <c r="K27" s="3" t="n">
        <v>4</v>
      </c>
      <c r="L27" s="3" t="n">
        <v>3.5</v>
      </c>
    </row>
    <row r="28" customFormat="false" ht="15" hidden="false" customHeight="false" outlineLevel="0" collapsed="false">
      <c r="A28" s="0" t="s">
        <v>98</v>
      </c>
      <c r="C28" s="3" t="n">
        <v>21</v>
      </c>
      <c r="D28" s="3" t="n">
        <v>23</v>
      </c>
      <c r="E28" s="3" t="n">
        <v>25</v>
      </c>
      <c r="F28" s="3" t="n">
        <v>26.5</v>
      </c>
      <c r="G28" s="3" t="n">
        <v>27.5</v>
      </c>
      <c r="H28" s="3" t="n">
        <v>28</v>
      </c>
      <c r="I28" s="3" t="n">
        <v>28.5</v>
      </c>
      <c r="J28" s="3" t="n">
        <v>29</v>
      </c>
      <c r="K28" s="3" t="n">
        <v>29</v>
      </c>
      <c r="L28" s="3" t="n">
        <v>29</v>
      </c>
    </row>
    <row r="29" customFormat="false" ht="15" hidden="false" customHeight="false" outlineLevel="0" collapsed="false">
      <c r="A29" s="0" t="s">
        <v>99</v>
      </c>
      <c r="C29" s="3" t="n">
        <v>1.3</v>
      </c>
      <c r="D29" s="3" t="n">
        <v>1.3</v>
      </c>
      <c r="E29" s="3" t="n">
        <v>1.3</v>
      </c>
      <c r="F29" s="3" t="n">
        <v>1.3</v>
      </c>
      <c r="G29" s="3" t="n">
        <v>1.2</v>
      </c>
      <c r="H29" s="3" t="n">
        <v>1.2</v>
      </c>
      <c r="I29" s="3" t="n">
        <v>1.2</v>
      </c>
      <c r="J29" s="3" t="n">
        <v>1.1</v>
      </c>
      <c r="K29" s="3" t="n">
        <v>1.1</v>
      </c>
      <c r="L29" s="3" t="n">
        <v>1.1</v>
      </c>
    </row>
    <row r="30" customFormat="false" ht="15" hidden="false" customHeight="false" outlineLevel="0" collapsed="false">
      <c r="A30" s="0" t="s">
        <v>100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101</v>
      </c>
      <c r="C31" s="3" t="n">
        <v>26.5</v>
      </c>
      <c r="D31" s="3" t="n">
        <v>24</v>
      </c>
      <c r="E31" s="3" t="n">
        <v>21</v>
      </c>
      <c r="F31" s="3" t="n">
        <v>19</v>
      </c>
      <c r="G31" s="3" t="n">
        <v>17.5</v>
      </c>
      <c r="H31" s="3" t="n">
        <v>16.5</v>
      </c>
      <c r="I31" s="3" t="n">
        <v>16</v>
      </c>
      <c r="J31" s="3" t="n">
        <v>15.5</v>
      </c>
      <c r="K31" s="3" t="n">
        <v>15.5</v>
      </c>
      <c r="L31" s="3" t="n">
        <v>15.5</v>
      </c>
    </row>
    <row r="32" customFormat="false" ht="15" hidden="false" customHeight="false" outlineLevel="0" collapsed="false">
      <c r="A32" s="0" t="s">
        <v>102</v>
      </c>
      <c r="C32" s="3" t="n">
        <v>16.6</v>
      </c>
      <c r="D32" s="3" t="n">
        <v>13</v>
      </c>
      <c r="E32" s="3" t="n">
        <v>9.5</v>
      </c>
      <c r="F32" s="3" t="n">
        <v>9</v>
      </c>
      <c r="G32" s="3" t="n">
        <v>9</v>
      </c>
      <c r="H32" s="3" t="n">
        <v>9</v>
      </c>
      <c r="I32" s="3" t="n">
        <v>9</v>
      </c>
      <c r="J32" s="3" t="n">
        <v>9</v>
      </c>
      <c r="K32" s="3" t="n">
        <v>9</v>
      </c>
      <c r="L32" s="3" t="n">
        <v>9</v>
      </c>
    </row>
    <row r="33" customFormat="false" ht="15" hidden="false" customHeight="false" outlineLevel="0" collapsed="false">
      <c r="A33" s="0" t="s">
        <v>103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5</v>
      </c>
      <c r="H33" s="3" t="n">
        <v>10</v>
      </c>
      <c r="I33" s="3" t="n">
        <v>15</v>
      </c>
      <c r="J33" s="3" t="n">
        <v>20</v>
      </c>
      <c r="K33" s="3" t="n">
        <v>25</v>
      </c>
      <c r="L33" s="3" t="n">
        <v>28</v>
      </c>
    </row>
    <row r="34" customFormat="false" ht="15" hidden="false" customHeight="false" outlineLevel="0" collapsed="false">
      <c r="A34" s="0" t="s">
        <v>104</v>
      </c>
      <c r="B34" s="3" t="n">
        <v>9.5</v>
      </c>
    </row>
    <row r="35" customFormat="false" ht="15" hidden="false" customHeight="false" outlineLevel="0" collapsed="false">
      <c r="A35" s="0" t="s">
        <v>105</v>
      </c>
      <c r="B35" s="3" t="n">
        <v>2.5</v>
      </c>
    </row>
    <row r="36" customFormat="false" ht="15" hidden="false" customHeight="false" outlineLevel="0" collapsed="false">
      <c r="A36" s="0" t="s">
        <v>106</v>
      </c>
      <c r="B36" s="3" t="n">
        <v>14</v>
      </c>
    </row>
    <row r="37" customFormat="false" ht="15" hidden="false" customHeight="false" outlineLevel="0" collapsed="false">
      <c r="A37" s="0" t="s">
        <v>107</v>
      </c>
      <c r="B37" s="3" t="n">
        <v>10</v>
      </c>
    </row>
    <row r="38" customFormat="false" ht="15" hidden="false" customHeight="false" outlineLevel="0" collapsed="false">
      <c r="A38" s="0" t="s">
        <v>108</v>
      </c>
      <c r="B38" s="3" t="n">
        <v>0.5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5</v>
      </c>
      <c r="D41" s="3" t="n">
        <v>7</v>
      </c>
      <c r="E41" s="3" t="n">
        <v>8</v>
      </c>
      <c r="F41" s="3" t="n">
        <v>8.5</v>
      </c>
      <c r="G41" s="3" t="n">
        <v>9</v>
      </c>
      <c r="H41" s="3" t="n">
        <v>8.5</v>
      </c>
      <c r="I41" s="3" t="n">
        <v>8</v>
      </c>
      <c r="J41" s="3" t="n">
        <v>7</v>
      </c>
      <c r="K41" s="3" t="n">
        <v>6</v>
      </c>
      <c r="L41" s="3" t="n">
        <v>5</v>
      </c>
    </row>
    <row r="42" customFormat="false" ht="15" hidden="false" customHeight="false" outlineLevel="0" collapsed="false">
      <c r="A42" s="0" t="s">
        <v>98</v>
      </c>
      <c r="C42" s="3" t="n">
        <v>26</v>
      </c>
      <c r="D42" s="3" t="n">
        <v>28</v>
      </c>
      <c r="E42" s="3" t="n">
        <v>29.5</v>
      </c>
      <c r="F42" s="3" t="n">
        <v>31</v>
      </c>
      <c r="G42" s="3" t="n">
        <v>32</v>
      </c>
      <c r="H42" s="3" t="n">
        <v>32.5</v>
      </c>
      <c r="I42" s="3" t="n">
        <v>33</v>
      </c>
      <c r="J42" s="3" t="n">
        <v>33</v>
      </c>
      <c r="K42" s="3" t="n">
        <v>33</v>
      </c>
      <c r="L42" s="3" t="n">
        <v>33</v>
      </c>
    </row>
    <row r="43" customFormat="false" ht="15" hidden="false" customHeight="false" outlineLevel="0" collapsed="false">
      <c r="A43" s="0" t="s">
        <v>99</v>
      </c>
      <c r="C43" s="3" t="n">
        <v>1.3</v>
      </c>
      <c r="D43" s="3" t="n">
        <v>1.3</v>
      </c>
      <c r="E43" s="3" t="n">
        <v>1.2</v>
      </c>
      <c r="F43" s="3" t="n">
        <v>1.2</v>
      </c>
      <c r="G43" s="3" t="n">
        <v>1.1</v>
      </c>
      <c r="H43" s="3" t="n">
        <v>1.1</v>
      </c>
      <c r="I43" s="3" t="n">
        <v>1</v>
      </c>
      <c r="J43" s="3" t="n">
        <v>1</v>
      </c>
      <c r="K43" s="3" t="n">
        <v>1</v>
      </c>
      <c r="L43" s="3" t="n">
        <v>1</v>
      </c>
    </row>
    <row r="44" customFormat="false" ht="15" hidden="false" customHeight="false" outlineLevel="0" collapsed="false">
      <c r="A44" s="0" t="s">
        <v>100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101</v>
      </c>
      <c r="C45" s="3" t="n">
        <v>25</v>
      </c>
      <c r="D45" s="3" t="n">
        <v>22</v>
      </c>
      <c r="E45" s="3" t="n">
        <v>19</v>
      </c>
      <c r="F45" s="3" t="n">
        <v>17</v>
      </c>
      <c r="G45" s="3" t="n">
        <v>15.5</v>
      </c>
      <c r="H45" s="3" t="n">
        <v>14.5</v>
      </c>
      <c r="I45" s="3" t="n">
        <v>14</v>
      </c>
      <c r="J45" s="3" t="n">
        <v>13.5</v>
      </c>
      <c r="K45" s="3" t="n">
        <v>13.5</v>
      </c>
      <c r="L45" s="3" t="n">
        <v>13.5</v>
      </c>
    </row>
    <row r="46" customFormat="false" ht="15" hidden="false" customHeight="false" outlineLevel="0" collapsed="false">
      <c r="A46" s="0" t="s">
        <v>102</v>
      </c>
      <c r="C46" s="3" t="n">
        <v>16</v>
      </c>
      <c r="D46" s="3" t="n">
        <v>10</v>
      </c>
      <c r="E46" s="3" t="n">
        <v>8</v>
      </c>
      <c r="F46" s="3" t="n">
        <v>8</v>
      </c>
      <c r="G46" s="3" t="n">
        <v>8</v>
      </c>
      <c r="H46" s="3" t="n">
        <v>8</v>
      </c>
      <c r="I46" s="3" t="n">
        <v>8</v>
      </c>
      <c r="J46" s="3" t="n">
        <v>8</v>
      </c>
      <c r="K46" s="3" t="n">
        <v>8</v>
      </c>
      <c r="L46" s="3" t="n">
        <v>8</v>
      </c>
    </row>
    <row r="47" customFormat="false" ht="15" hidden="false" customHeight="false" outlineLevel="0" collapsed="false">
      <c r="A47" s="0" t="s">
        <v>103</v>
      </c>
      <c r="C47" s="3" t="n">
        <v>0</v>
      </c>
      <c r="D47" s="3" t="n">
        <v>0</v>
      </c>
      <c r="E47" s="3" t="n">
        <v>0</v>
      </c>
      <c r="F47" s="3" t="n">
        <v>5</v>
      </c>
      <c r="G47" s="3" t="n">
        <v>10</v>
      </c>
      <c r="H47" s="3" t="n">
        <v>15</v>
      </c>
      <c r="I47" s="3" t="n">
        <v>20</v>
      </c>
      <c r="J47" s="3" t="n">
        <v>25</v>
      </c>
      <c r="K47" s="3" t="n">
        <v>28</v>
      </c>
      <c r="L47" s="3" t="n">
        <v>28</v>
      </c>
    </row>
    <row r="48" customFormat="false" ht="15" hidden="false" customHeight="false" outlineLevel="0" collapsed="false">
      <c r="A48" s="0" t="s">
        <v>104</v>
      </c>
      <c r="B48" s="3" t="n">
        <v>9</v>
      </c>
    </row>
    <row r="49" customFormat="false" ht="15" hidden="false" customHeight="false" outlineLevel="0" collapsed="false">
      <c r="A49" s="0" t="s">
        <v>105</v>
      </c>
      <c r="B49" s="3" t="n">
        <v>3</v>
      </c>
    </row>
    <row r="50" customFormat="false" ht="15" hidden="false" customHeight="false" outlineLevel="0" collapsed="false">
      <c r="A50" s="0" t="s">
        <v>106</v>
      </c>
      <c r="B50" s="3" t="n">
        <v>16</v>
      </c>
    </row>
    <row r="51" customFormat="false" ht="15" hidden="false" customHeight="false" outlineLevel="0" collapsed="false">
      <c r="A51" s="0" t="s">
        <v>107</v>
      </c>
      <c r="B51" s="3" t="n">
        <v>15</v>
      </c>
    </row>
    <row r="52" customFormat="false" ht="15" hidden="false" customHeight="false" outlineLevel="0" collapsed="false">
      <c r="A52" s="0" t="s">
        <v>108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-2</v>
      </c>
      <c r="D5" s="4" t="n">
        <f aca="false">Assumptions!D13</f>
        <v>-1</v>
      </c>
      <c r="E5" s="4" t="n">
        <f aca="false">Assumptions!E13</f>
        <v>0</v>
      </c>
      <c r="F5" s="4" t="n">
        <f aca="false">Assumptions!F13</f>
        <v>0.5</v>
      </c>
      <c r="G5" s="4" t="n">
        <f aca="false">Assumptions!G13</f>
        <v>1</v>
      </c>
      <c r="H5" s="4" t="n">
        <f aca="false">Assumptions!H13</f>
        <v>1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195.2</v>
      </c>
      <c r="C6" s="0" t="n">
        <f aca="false">B6*(1+C5/100)</f>
        <v>191.296</v>
      </c>
      <c r="D6" s="0" t="n">
        <f aca="false">C6*(1+D5/100)</f>
        <v>189.38304</v>
      </c>
      <c r="E6" s="0" t="n">
        <f aca="false">D6*(1+E5/100)</f>
        <v>189.38304</v>
      </c>
      <c r="F6" s="0" t="n">
        <f aca="false">E6*(1+F5/100)</f>
        <v>190.3299552</v>
      </c>
      <c r="G6" s="0" t="n">
        <f aca="false">F6*(1+G5/100)</f>
        <v>192.233254752</v>
      </c>
      <c r="H6" s="0" t="n">
        <f aca="false">G6*(1+H5/100)</f>
        <v>194.15558729952</v>
      </c>
      <c r="I6" s="0" t="n">
        <f aca="false">H6*(1+I5/100)</f>
        <v>197.067921109013</v>
      </c>
      <c r="J6" s="0" t="n">
        <f aca="false">I6*(1+J5/100)</f>
        <v>200.023939925648</v>
      </c>
      <c r="K6" s="0" t="n">
        <f aca="false">J6*(1+K5/100)</f>
        <v>204.024418724161</v>
      </c>
      <c r="L6" s="0" t="n">
        <f aca="false">K6*(1+L5/100)</f>
        <v>208.104907098644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20</v>
      </c>
      <c r="D7" s="4" t="n">
        <f aca="false">Assumptions!D14</f>
        <v>20</v>
      </c>
      <c r="E7" s="4" t="n">
        <f aca="false">Assumptions!E14</f>
        <v>20.5</v>
      </c>
      <c r="F7" s="4" t="n">
        <f aca="false">Assumptions!F14</f>
        <v>21.5</v>
      </c>
      <c r="G7" s="4" t="n">
        <f aca="false">Assumptions!G14</f>
        <v>22.5</v>
      </c>
      <c r="H7" s="4" t="n">
        <f aca="false">Assumptions!H14</f>
        <v>23</v>
      </c>
      <c r="I7" s="4" t="n">
        <f aca="false">Assumptions!I14</f>
        <v>23.5</v>
      </c>
      <c r="J7" s="4" t="n">
        <f aca="false">Assumptions!J14</f>
        <v>24</v>
      </c>
      <c r="K7" s="4" t="n">
        <f aca="false">Assumptions!K14</f>
        <v>24</v>
      </c>
      <c r="L7" s="4" t="n">
        <f aca="false">Assumptions!L14</f>
        <v>24</v>
      </c>
    </row>
    <row r="8" customFormat="false" ht="15" hidden="false" customHeight="false" outlineLevel="0" collapsed="false">
      <c r="A8" s="0" t="s">
        <v>43</v>
      </c>
      <c r="C8" s="0" t="n">
        <f aca="false">C6*C7/100</f>
        <v>38.2592</v>
      </c>
      <c r="D8" s="0" t="n">
        <f aca="false">D6*D7/100</f>
        <v>37.876608</v>
      </c>
      <c r="E8" s="0" t="n">
        <f aca="false">E6*E7/100</f>
        <v>38.8235232</v>
      </c>
      <c r="F8" s="0" t="n">
        <f aca="false">F6*F7/100</f>
        <v>40.920940368</v>
      </c>
      <c r="G8" s="0" t="n">
        <f aca="false">G6*G7/100</f>
        <v>43.2524823192</v>
      </c>
      <c r="H8" s="0" t="n">
        <f aca="false">H6*H7/100</f>
        <v>44.6557850788896</v>
      </c>
      <c r="I8" s="0" t="n">
        <f aca="false">I6*I7/100</f>
        <v>46.310961460618</v>
      </c>
      <c r="J8" s="0" t="n">
        <f aca="false">J6*J7/100</f>
        <v>48.0057455821555</v>
      </c>
      <c r="K8" s="0" t="n">
        <f aca="false">K6*K7/100</f>
        <v>48.9658604937986</v>
      </c>
      <c r="L8" s="0" t="n">
        <f aca="false">L6*L7/100</f>
        <v>49.9451777036746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1.3</v>
      </c>
      <c r="D9" s="4" t="n">
        <f aca="false">Assumptions!D15</f>
        <v>1.4</v>
      </c>
      <c r="E9" s="4" t="n">
        <f aca="false">Assumptions!E15</f>
        <v>1.4</v>
      </c>
      <c r="F9" s="4" t="n">
        <f aca="false">Assumptions!F15</f>
        <v>1.4</v>
      </c>
      <c r="G9" s="4" t="n">
        <f aca="false">Assumptions!G15</f>
        <v>1.4</v>
      </c>
      <c r="H9" s="4" t="n">
        <f aca="false">Assumptions!H15</f>
        <v>1.3</v>
      </c>
      <c r="I9" s="4" t="n">
        <f aca="false">Assumptions!I15</f>
        <v>1.3</v>
      </c>
      <c r="J9" s="4" t="n">
        <f aca="false">Assumptions!J15</f>
        <v>1.3</v>
      </c>
      <c r="K9" s="4" t="n">
        <f aca="false">Assumptions!K15</f>
        <v>1.3</v>
      </c>
      <c r="L9" s="4" t="n">
        <f aca="false">Assumptions!L15</f>
        <v>1.3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-2.486848</v>
      </c>
      <c r="D10" s="0" t="n">
        <f aca="false">-D6*D9/100</f>
        <v>-2.65136256</v>
      </c>
      <c r="E10" s="0" t="n">
        <f aca="false">-E6*E9/100</f>
        <v>-2.65136256</v>
      </c>
      <c r="F10" s="0" t="n">
        <f aca="false">-F6*F9/100</f>
        <v>-2.6646193728</v>
      </c>
      <c r="G10" s="0" t="n">
        <f aca="false">-G6*G9/100</f>
        <v>-2.691265566528</v>
      </c>
      <c r="H10" s="0" t="n">
        <f aca="false">-H6*H9/100</f>
        <v>-2.52402263489376</v>
      </c>
      <c r="I10" s="0" t="n">
        <f aca="false">-I6*I9/100</f>
        <v>-2.56188297441717</v>
      </c>
      <c r="J10" s="0" t="n">
        <f aca="false">-J6*J9/100</f>
        <v>-2.60031121903342</v>
      </c>
      <c r="K10" s="0" t="n">
        <f aca="false">-K6*K9/100</f>
        <v>-2.65231744341409</v>
      </c>
      <c r="L10" s="0" t="n">
        <f aca="false">-L6*L9/100</f>
        <v>-2.70536379228237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35.772352</v>
      </c>
      <c r="D11" s="0" t="n">
        <f aca="false">D8+D10+D24</f>
        <v>35.22524544</v>
      </c>
      <c r="E11" s="0" t="n">
        <f aca="false">E8+E10+E24</f>
        <v>36.17216064</v>
      </c>
      <c r="F11" s="0" t="n">
        <f aca="false">F8+F10+F24</f>
        <v>38.2563209952</v>
      </c>
      <c r="G11" s="0" t="n">
        <f aca="false">G8+G10+G24</f>
        <v>40.561216752672</v>
      </c>
      <c r="H11" s="0" t="n">
        <f aca="false">H8+H10+H24</f>
        <v>42.1317624439958</v>
      </c>
      <c r="I11" s="0" t="n">
        <f aca="false">I8+I10+I24</f>
        <v>43.7490784862008</v>
      </c>
      <c r="J11" s="0" t="n">
        <f aca="false">J8+J10+J24</f>
        <v>45.4054343631221</v>
      </c>
      <c r="K11" s="0" t="n">
        <f aca="false">K8+K10+K24</f>
        <v>46.3135430503845</v>
      </c>
      <c r="L11" s="0" t="n">
        <f aca="false">L8+L10+L24</f>
        <v>47.2398139113922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-53.56288</v>
      </c>
      <c r="D12" s="4" t="n">
        <f aca="false">-D6*Assumptions!D17/100</f>
        <v>-49.2395904</v>
      </c>
      <c r="E12" s="4" t="n">
        <f aca="false">-E6*Assumptions!E17/100</f>
        <v>-43.5580992</v>
      </c>
      <c r="F12" s="4" t="n">
        <f aca="false">-F6*Assumptions!F17/100</f>
        <v>-39.969290592</v>
      </c>
      <c r="G12" s="4" t="n">
        <f aca="false">-G6*Assumptions!G17/100</f>
        <v>-37.48548467664</v>
      </c>
      <c r="H12" s="4" t="n">
        <f aca="false">-H6*Assumptions!H17/100</f>
        <v>-35.9187836504112</v>
      </c>
      <c r="I12" s="4" t="n">
        <f aca="false">-I6*Assumptions!I17/100</f>
        <v>-35.4722257996223</v>
      </c>
      <c r="J12" s="4" t="n">
        <f aca="false">-J6*Assumptions!J17/100</f>
        <v>-35.0041894869884</v>
      </c>
      <c r="K12" s="4" t="n">
        <f aca="false">-K6*Assumptions!K17/100</f>
        <v>-35.7042732767282</v>
      </c>
      <c r="L12" s="4" t="n">
        <f aca="false">-L6*Assumptions!L17/100</f>
        <v>-36.4183587422627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-17.790528</v>
      </c>
      <c r="D13" s="0" t="n">
        <f aca="false">D11+D12</f>
        <v>-14.01434496</v>
      </c>
      <c r="E13" s="0" t="n">
        <f aca="false">E11+E12</f>
        <v>-7.38593856</v>
      </c>
      <c r="F13" s="0" t="n">
        <f aca="false">F11+F12</f>
        <v>-1.7129695968</v>
      </c>
      <c r="G13" s="0" t="n">
        <f aca="false">G11+G12</f>
        <v>3.075732076032</v>
      </c>
      <c r="H13" s="0" t="n">
        <f aca="false">H11+H12</f>
        <v>6.21297879358464</v>
      </c>
      <c r="I13" s="0" t="n">
        <f aca="false">I11+I12</f>
        <v>8.27685268657854</v>
      </c>
      <c r="J13" s="0" t="n">
        <f aca="false">J11+J12</f>
        <v>10.4012448761337</v>
      </c>
      <c r="K13" s="0" t="n">
        <f aca="false">K11+K12</f>
        <v>10.6092697736564</v>
      </c>
      <c r="L13" s="0" t="n">
        <f aca="false">L11+L12</f>
        <v>10.8214551691295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0</v>
      </c>
      <c r="D14" s="4" t="n">
        <f aca="false">Assumptions!D19</f>
        <v>0</v>
      </c>
      <c r="E14" s="4" t="n">
        <f aca="false">Assumptions!E19</f>
        <v>0</v>
      </c>
      <c r="F14" s="4" t="n">
        <f aca="false">Assumptions!F19</f>
        <v>0</v>
      </c>
      <c r="G14" s="4" t="n">
        <f aca="false">Assumptions!G19</f>
        <v>0</v>
      </c>
      <c r="H14" s="4" t="n">
        <f aca="false">Assumptions!H19</f>
        <v>5</v>
      </c>
      <c r="I14" s="4" t="n">
        <f aca="false">Assumptions!I19</f>
        <v>10</v>
      </c>
      <c r="J14" s="4" t="n">
        <f aca="false">Assumptions!J19</f>
        <v>15</v>
      </c>
      <c r="K14" s="4" t="n">
        <f aca="false">Assumptions!K19</f>
        <v>20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-17.790528</v>
      </c>
      <c r="D15" s="0" t="n">
        <f aca="false">D13-MAX(0,D13)*D14/100</f>
        <v>-14.01434496</v>
      </c>
      <c r="E15" s="0" t="n">
        <f aca="false">E13-MAX(0,E13)*E14/100</f>
        <v>-7.38593856</v>
      </c>
      <c r="F15" s="0" t="n">
        <f aca="false">F13-MAX(0,F13)*F14/100</f>
        <v>-1.7129695968</v>
      </c>
      <c r="G15" s="0" t="n">
        <f aca="false">G13-MAX(0,G13)*G14/100</f>
        <v>3.075732076032</v>
      </c>
      <c r="H15" s="0" t="n">
        <f aca="false">H13-MAX(0,H13)*H14/100</f>
        <v>5.90232985390541</v>
      </c>
      <c r="I15" s="0" t="n">
        <f aca="false">I13-MAX(0,I13)*I14/100</f>
        <v>7.44916741792069</v>
      </c>
      <c r="J15" s="0" t="n">
        <f aca="false">J13-MAX(0,J13)*J14/100</f>
        <v>8.84105814471364</v>
      </c>
      <c r="K15" s="0" t="n">
        <f aca="false">K13-MAX(0,K13)*K14/100</f>
        <v>8.48741581892509</v>
      </c>
      <c r="L15" s="0" t="n">
        <f aca="false">L13-MAX(0,L13)*L14/100</f>
        <v>8.11609137684712</v>
      </c>
    </row>
    <row r="16" customFormat="false" ht="15" hidden="false" customHeight="false" outlineLevel="0" collapsed="false">
      <c r="A16" s="0" t="s">
        <v>119</v>
      </c>
      <c r="C16" s="0" t="n">
        <f aca="false">-C12</f>
        <v>53.56288</v>
      </c>
      <c r="D16" s="0" t="n">
        <f aca="false">-D12</f>
        <v>49.2395904</v>
      </c>
      <c r="E16" s="0" t="n">
        <f aca="false">-E12</f>
        <v>43.5580992</v>
      </c>
      <c r="F16" s="0" t="n">
        <f aca="false">-F12</f>
        <v>39.969290592</v>
      </c>
      <c r="G16" s="0" t="n">
        <f aca="false">-G12</f>
        <v>37.48548467664</v>
      </c>
      <c r="H16" s="0" t="n">
        <f aca="false">-H12</f>
        <v>35.9187836504112</v>
      </c>
      <c r="I16" s="0" t="n">
        <f aca="false">-I12</f>
        <v>35.4722257996223</v>
      </c>
      <c r="J16" s="0" t="n">
        <f aca="false">-J12</f>
        <v>35.0041894869884</v>
      </c>
      <c r="K16" s="0" t="n">
        <f aca="false">-K12</f>
        <v>35.7042732767282</v>
      </c>
      <c r="L16" s="0" t="n">
        <f aca="false">-L12</f>
        <v>36.4183587422627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-32.52032</v>
      </c>
      <c r="D17" s="4" t="n">
        <f aca="false">-D6*Assumptions!D18/100</f>
        <v>-24.6197952</v>
      </c>
      <c r="E17" s="4" t="n">
        <f aca="false">-E6*Assumptions!E18/100</f>
        <v>-20.8321344</v>
      </c>
      <c r="F17" s="4" t="n">
        <f aca="false">-F6*Assumptions!F18/100</f>
        <v>-19.03299552</v>
      </c>
      <c r="G17" s="4" t="n">
        <f aca="false">-G6*Assumptions!G18/100</f>
        <v>-19.2233254752</v>
      </c>
      <c r="H17" s="4" t="n">
        <f aca="false">-H6*Assumptions!H18/100</f>
        <v>-19.415558729952</v>
      </c>
      <c r="I17" s="4" t="n">
        <f aca="false">-I6*Assumptions!I18/100</f>
        <v>-19.7067921109013</v>
      </c>
      <c r="J17" s="4" t="n">
        <f aca="false">-J6*Assumptions!J18/100</f>
        <v>-20.0023939925648</v>
      </c>
      <c r="K17" s="4" t="n">
        <f aca="false">-K6*Assumptions!K18/100</f>
        <v>-20.4024418724161</v>
      </c>
      <c r="L17" s="4" t="n">
        <f aca="false">-L6*Assumptions!L18/100</f>
        <v>-20.8104907098644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-0.1952</v>
      </c>
      <c r="D18" s="4" t="n">
        <f aca="false">(D6-C6)*Assumptions!$B$23/100</f>
        <v>-0.0956479999999999</v>
      </c>
      <c r="E18" s="4" t="n">
        <f aca="false">(E6-D6)*Assumptions!$B$23/100</f>
        <v>0</v>
      </c>
      <c r="F18" s="4" t="n">
        <f aca="false">(F6-E6)*Assumptions!$B$23/100</f>
        <v>0.0473457599999989</v>
      </c>
      <c r="G18" s="4" t="n">
        <f aca="false">(G6-F6)*Assumptions!$B$23/100</f>
        <v>0.0951649775999997</v>
      </c>
      <c r="H18" s="4" t="n">
        <f aca="false">(H6-G6)*Assumptions!$B$23/100</f>
        <v>0.096116627376</v>
      </c>
      <c r="I18" s="4" t="n">
        <f aca="false">(I6-H6)*Assumptions!$B$23/100</f>
        <v>0.14561669047464</v>
      </c>
      <c r="J18" s="4" t="n">
        <f aca="false">(J6-I6)*Assumptions!$B$23/100</f>
        <v>0.147800940831759</v>
      </c>
      <c r="K18" s="4" t="n">
        <f aca="false">(K6-J6)*Assumptions!$B$23/100</f>
        <v>0.200023939925649</v>
      </c>
      <c r="L18" s="4" t="n">
        <f aca="false">(L6-K6)*Assumptions!$B$23/100</f>
        <v>0.204024418724161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3.056832</v>
      </c>
      <c r="D19" s="0" t="n">
        <f aca="false">D15+D16+D17+D18</f>
        <v>10.50980224</v>
      </c>
      <c r="E19" s="0" t="n">
        <f aca="false">E15+E16+E17+E18</f>
        <v>15.34002624</v>
      </c>
      <c r="F19" s="0" t="n">
        <f aca="false">F15+F16+F17+F18</f>
        <v>19.2706712352</v>
      </c>
      <c r="G19" s="0" t="n">
        <f aca="false">G15+G16+G17+G18</f>
        <v>21.433056255072</v>
      </c>
      <c r="H19" s="0" t="n">
        <f aca="false">H15+H16+H17+H18</f>
        <v>22.5016714017406</v>
      </c>
      <c r="I19" s="0" t="n">
        <f aca="false">I15+I16+I17+I18</f>
        <v>23.3602177971164</v>
      </c>
      <c r="J19" s="0" t="n">
        <f aca="false">J15+J16+J17+J18</f>
        <v>23.990654579969</v>
      </c>
      <c r="K19" s="0" t="n">
        <f aca="false">K15+K16+K17+K18</f>
        <v>23.9892711631628</v>
      </c>
      <c r="L19" s="0" t="n">
        <f aca="false">L15+L16+L17+L18</f>
        <v>23.9279838279696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2.7539027027027</v>
      </c>
      <c r="D21" s="0" t="n">
        <f aca="false">D19*D20</f>
        <v>8.52999126694261</v>
      </c>
      <c r="E21" s="0" t="n">
        <f aca="false">E19*E20</f>
        <v>11.2164949756184</v>
      </c>
      <c r="F21" s="0" t="n">
        <f aca="false">F19*F20</f>
        <v>12.6941880351913</v>
      </c>
      <c r="G21" s="0" t="n">
        <f aca="false">G19*G20</f>
        <v>12.7194756989263</v>
      </c>
      <c r="H21" s="0" t="n">
        <f aca="false">H19*H20</f>
        <v>12.0303124116218</v>
      </c>
      <c r="I21" s="0" t="n">
        <f aca="false">I19*I20</f>
        <v>11.2516453822221</v>
      </c>
      <c r="J21" s="0" t="n">
        <f aca="false">J19*J20</f>
        <v>10.410180685782</v>
      </c>
      <c r="K21" s="0" t="n">
        <f aca="false">K19*K20</f>
        <v>9.37800034646341</v>
      </c>
      <c r="L21" s="0" t="n">
        <f aca="false">L19*L20</f>
        <v>8.42706451257734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11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99.4112560180481</v>
      </c>
    </row>
    <row r="31" customFormat="false" ht="15" hidden="false" customHeight="false" outlineLevel="0" collapsed="false">
      <c r="A31" s="0" t="s">
        <v>128</v>
      </c>
      <c r="B31" s="0" t="n">
        <f aca="false">L19</f>
        <v>23.9279838279696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255.651616688307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239.279838279696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239.279838279696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84.2706451257734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183.681901143821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161.381901143821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0.853646660374617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-0.179185903485945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15.3847505464881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10.1797783593314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0.988872943928278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179.902989521401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0.548115507585091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1</v>
      </c>
      <c r="D5" s="4" t="n">
        <f aca="false">Assumptions!D27</f>
        <v>2.5</v>
      </c>
      <c r="E5" s="4" t="n">
        <f aca="false">Assumptions!E27</f>
        <v>3.5</v>
      </c>
      <c r="F5" s="4" t="n">
        <f aca="false">Assumptions!F27</f>
        <v>4.5</v>
      </c>
      <c r="G5" s="4" t="n">
        <f aca="false">Assumptions!G27</f>
        <v>5</v>
      </c>
      <c r="H5" s="4" t="n">
        <f aca="false">Assumptions!H27</f>
        <v>5</v>
      </c>
      <c r="I5" s="4" t="n">
        <f aca="false">Assumptions!I27</f>
        <v>5</v>
      </c>
      <c r="J5" s="4" t="n">
        <f aca="false">Assumptions!J27</f>
        <v>4.5</v>
      </c>
      <c r="K5" s="4" t="n">
        <f aca="false">Assumptions!K27</f>
        <v>4</v>
      </c>
      <c r="L5" s="4" t="n">
        <f aca="false">Assumptions!L27</f>
        <v>3.5</v>
      </c>
    </row>
    <row r="6" customFormat="false" ht="15" hidden="false" customHeight="false" outlineLevel="0" collapsed="false">
      <c r="A6" s="0" t="s">
        <v>37</v>
      </c>
      <c r="B6" s="3" t="n">
        <v>195.2</v>
      </c>
      <c r="C6" s="0" t="n">
        <f aca="false">B6*(1+C5/100)</f>
        <v>197.152</v>
      </c>
      <c r="D6" s="0" t="n">
        <f aca="false">C6*(1+D5/100)</f>
        <v>202.0808</v>
      </c>
      <c r="E6" s="0" t="n">
        <f aca="false">D6*(1+E5/100)</f>
        <v>209.153628</v>
      </c>
      <c r="F6" s="0" t="n">
        <f aca="false">E6*(1+F5/100)</f>
        <v>218.56554126</v>
      </c>
      <c r="G6" s="0" t="n">
        <f aca="false">F6*(1+G5/100)</f>
        <v>229.493818323</v>
      </c>
      <c r="H6" s="0" t="n">
        <f aca="false">G6*(1+H5/100)</f>
        <v>240.96850923915</v>
      </c>
      <c r="I6" s="0" t="n">
        <f aca="false">H6*(1+I5/100)</f>
        <v>253.016934701107</v>
      </c>
      <c r="J6" s="0" t="n">
        <f aca="false">I6*(1+J5/100)</f>
        <v>264.402696762657</v>
      </c>
      <c r="K6" s="0" t="n">
        <f aca="false">J6*(1+K5/100)</f>
        <v>274.978804633164</v>
      </c>
      <c r="L6" s="0" t="n">
        <f aca="false">K6*(1+L5/100)</f>
        <v>284.603062795324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21</v>
      </c>
      <c r="D7" s="4" t="n">
        <f aca="false">Assumptions!D28</f>
        <v>23</v>
      </c>
      <c r="E7" s="4" t="n">
        <f aca="false">Assumptions!E28</f>
        <v>25</v>
      </c>
      <c r="F7" s="4" t="n">
        <f aca="false">Assumptions!F28</f>
        <v>26.5</v>
      </c>
      <c r="G7" s="4" t="n">
        <f aca="false">Assumptions!G28</f>
        <v>27.5</v>
      </c>
      <c r="H7" s="4" t="n">
        <f aca="false">Assumptions!H28</f>
        <v>28</v>
      </c>
      <c r="I7" s="4" t="n">
        <f aca="false">Assumptions!I28</f>
        <v>28.5</v>
      </c>
      <c r="J7" s="4" t="n">
        <f aca="false">Assumptions!J28</f>
        <v>29</v>
      </c>
      <c r="K7" s="4" t="n">
        <f aca="false">Assumptions!K28</f>
        <v>29</v>
      </c>
      <c r="L7" s="4" t="n">
        <f aca="false">Assumptions!L28</f>
        <v>29</v>
      </c>
    </row>
    <row r="8" customFormat="false" ht="15" hidden="false" customHeight="false" outlineLevel="0" collapsed="false">
      <c r="A8" s="0" t="s">
        <v>43</v>
      </c>
      <c r="C8" s="0" t="n">
        <f aca="false">C6*C7/100</f>
        <v>41.40192</v>
      </c>
      <c r="D8" s="0" t="n">
        <f aca="false">D6*D7/100</f>
        <v>46.478584</v>
      </c>
      <c r="E8" s="0" t="n">
        <f aca="false">E6*E7/100</f>
        <v>52.288407</v>
      </c>
      <c r="F8" s="0" t="n">
        <f aca="false">F6*F7/100</f>
        <v>57.9198684339</v>
      </c>
      <c r="G8" s="0" t="n">
        <f aca="false">G6*G7/100</f>
        <v>63.110800038825</v>
      </c>
      <c r="H8" s="0" t="n">
        <f aca="false">H6*H7/100</f>
        <v>67.471182586962</v>
      </c>
      <c r="I8" s="0" t="n">
        <f aca="false">I6*I7/100</f>
        <v>72.1098263898156</v>
      </c>
      <c r="J8" s="0" t="n">
        <f aca="false">J6*J7/100</f>
        <v>76.6767820611706</v>
      </c>
      <c r="K8" s="0" t="n">
        <f aca="false">K6*K7/100</f>
        <v>79.7438533436175</v>
      </c>
      <c r="L8" s="0" t="n">
        <f aca="false">L6*L7/100</f>
        <v>82.534888210644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1.3</v>
      </c>
      <c r="D9" s="4" t="n">
        <f aca="false">Assumptions!D29</f>
        <v>1.3</v>
      </c>
      <c r="E9" s="4" t="n">
        <f aca="false">Assumptions!E29</f>
        <v>1.3</v>
      </c>
      <c r="F9" s="4" t="n">
        <f aca="false">Assumptions!F29</f>
        <v>1.3</v>
      </c>
      <c r="G9" s="4" t="n">
        <f aca="false">Assumptions!G29</f>
        <v>1.2</v>
      </c>
      <c r="H9" s="4" t="n">
        <f aca="false">Assumptions!H29</f>
        <v>1.2</v>
      </c>
      <c r="I9" s="4" t="n">
        <f aca="false">Assumptions!I29</f>
        <v>1.2</v>
      </c>
      <c r="J9" s="4" t="n">
        <f aca="false">Assumptions!J29</f>
        <v>1.1</v>
      </c>
      <c r="K9" s="4" t="n">
        <f aca="false">Assumptions!K29</f>
        <v>1.1</v>
      </c>
      <c r="L9" s="4" t="n">
        <f aca="false">Assumptions!L29</f>
        <v>1.1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-2.562976</v>
      </c>
      <c r="D10" s="0" t="n">
        <f aca="false">-D6*D9/100</f>
        <v>-2.6270504</v>
      </c>
      <c r="E10" s="0" t="n">
        <f aca="false">-E6*E9/100</f>
        <v>-2.718997164</v>
      </c>
      <c r="F10" s="0" t="n">
        <f aca="false">-F6*F9/100</f>
        <v>-2.84135203638</v>
      </c>
      <c r="G10" s="0" t="n">
        <f aca="false">-G6*G9/100</f>
        <v>-2.753925819876</v>
      </c>
      <c r="H10" s="0" t="n">
        <f aca="false">-H6*H9/100</f>
        <v>-2.8916221108698</v>
      </c>
      <c r="I10" s="0" t="n">
        <f aca="false">-I6*I9/100</f>
        <v>-3.03620321641329</v>
      </c>
      <c r="J10" s="0" t="n">
        <f aca="false">-J6*J9/100</f>
        <v>-2.90842966438923</v>
      </c>
      <c r="K10" s="0" t="n">
        <f aca="false">-K6*K9/100</f>
        <v>-3.0247668509648</v>
      </c>
      <c r="L10" s="0" t="n">
        <f aca="false">-L6*L9/100</f>
        <v>-3.13063369074857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38.838944</v>
      </c>
      <c r="D11" s="0" t="n">
        <f aca="false">D8+D10+D24</f>
        <v>43.8515336</v>
      </c>
      <c r="E11" s="0" t="n">
        <f aca="false">E8+E10+E24</f>
        <v>49.569409836</v>
      </c>
      <c r="F11" s="0" t="n">
        <f aca="false">F8+F10+F24</f>
        <v>55.07851639752</v>
      </c>
      <c r="G11" s="0" t="n">
        <f aca="false">G8+G10+G24</f>
        <v>60.356874218949</v>
      </c>
      <c r="H11" s="0" t="n">
        <f aca="false">H8+H10+H24</f>
        <v>64.5795604760922</v>
      </c>
      <c r="I11" s="0" t="n">
        <f aca="false">I8+I10+I24</f>
        <v>69.0736231734023</v>
      </c>
      <c r="J11" s="0" t="n">
        <f aca="false">J8+J10+J24</f>
        <v>73.7683523967814</v>
      </c>
      <c r="K11" s="0" t="n">
        <f aca="false">K8+K10+K24</f>
        <v>76.7190864926527</v>
      </c>
      <c r="L11" s="0" t="n">
        <f aca="false">L8+L10+L24</f>
        <v>79.4042545198955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-52.24528</v>
      </c>
      <c r="D12" s="4" t="n">
        <f aca="false">-D6*Assumptions!D31/100</f>
        <v>-48.499392</v>
      </c>
      <c r="E12" s="4" t="n">
        <f aca="false">-E6*Assumptions!E31/100</f>
        <v>-43.92226188</v>
      </c>
      <c r="F12" s="4" t="n">
        <f aca="false">-F6*Assumptions!F31/100</f>
        <v>-41.5274528394</v>
      </c>
      <c r="G12" s="4" t="n">
        <f aca="false">-G6*Assumptions!G31/100</f>
        <v>-40.161418206525</v>
      </c>
      <c r="H12" s="4" t="n">
        <f aca="false">-H6*Assumptions!H31/100</f>
        <v>-39.7598040244597</v>
      </c>
      <c r="I12" s="4" t="n">
        <f aca="false">-I6*Assumptions!I31/100</f>
        <v>-40.4827095521772</v>
      </c>
      <c r="J12" s="4" t="n">
        <f aca="false">-J6*Assumptions!J31/100</f>
        <v>-40.9824179982119</v>
      </c>
      <c r="K12" s="4" t="n">
        <f aca="false">-K6*Assumptions!K31/100</f>
        <v>-42.6217147181404</v>
      </c>
      <c r="L12" s="4" t="n">
        <f aca="false">-L6*Assumptions!L31/100</f>
        <v>-44.1134747332753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-13.406336</v>
      </c>
      <c r="D13" s="0" t="n">
        <f aca="false">D11+D12</f>
        <v>-4.64785840000001</v>
      </c>
      <c r="E13" s="0" t="n">
        <f aca="false">E11+E12</f>
        <v>5.64714795599999</v>
      </c>
      <c r="F13" s="0" t="n">
        <f aca="false">F11+F12</f>
        <v>13.55106355812</v>
      </c>
      <c r="G13" s="0" t="n">
        <f aca="false">G11+G12</f>
        <v>20.195456012424</v>
      </c>
      <c r="H13" s="0" t="n">
        <f aca="false">H11+H12</f>
        <v>24.8197564516324</v>
      </c>
      <c r="I13" s="0" t="n">
        <f aca="false">I11+I12</f>
        <v>28.5909136212252</v>
      </c>
      <c r="J13" s="0" t="n">
        <f aca="false">J11+J12</f>
        <v>32.7859343985695</v>
      </c>
      <c r="K13" s="0" t="n">
        <f aca="false">K11+K12</f>
        <v>34.0973717745123</v>
      </c>
      <c r="L13" s="0" t="n">
        <f aca="false">L11+L12</f>
        <v>35.2907797866202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0</v>
      </c>
      <c r="D14" s="4" t="n">
        <f aca="false">Assumptions!D33</f>
        <v>0</v>
      </c>
      <c r="E14" s="4" t="n">
        <f aca="false">Assumptions!E33</f>
        <v>0</v>
      </c>
      <c r="F14" s="4" t="n">
        <f aca="false">Assumptions!F33</f>
        <v>0</v>
      </c>
      <c r="G14" s="4" t="n">
        <f aca="false">Assumptions!G33</f>
        <v>5</v>
      </c>
      <c r="H14" s="4" t="n">
        <f aca="false">Assumptions!H33</f>
        <v>10</v>
      </c>
      <c r="I14" s="4" t="n">
        <f aca="false">Assumptions!I33</f>
        <v>15</v>
      </c>
      <c r="J14" s="4" t="n">
        <f aca="false">Assumptions!J33</f>
        <v>20</v>
      </c>
      <c r="K14" s="4" t="n">
        <f aca="false">Assumptions!K33</f>
        <v>25</v>
      </c>
      <c r="L14" s="4" t="n">
        <f aca="false">Assumptions!L33</f>
        <v>28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-13.406336</v>
      </c>
      <c r="D15" s="0" t="n">
        <f aca="false">D13-MAX(0,D13)*D14/100</f>
        <v>-4.64785840000001</v>
      </c>
      <c r="E15" s="0" t="n">
        <f aca="false">E13-MAX(0,E13)*E14/100</f>
        <v>5.64714795599999</v>
      </c>
      <c r="F15" s="0" t="n">
        <f aca="false">F13-MAX(0,F13)*F14/100</f>
        <v>13.55106355812</v>
      </c>
      <c r="G15" s="0" t="n">
        <f aca="false">G13-MAX(0,G13)*G14/100</f>
        <v>19.1856832118028</v>
      </c>
      <c r="H15" s="0" t="n">
        <f aca="false">H13-MAX(0,H13)*H14/100</f>
        <v>22.3377808064692</v>
      </c>
      <c r="I15" s="0" t="n">
        <f aca="false">I13-MAX(0,I13)*I14/100</f>
        <v>24.3022765780414</v>
      </c>
      <c r="J15" s="0" t="n">
        <f aca="false">J13-MAX(0,J13)*J14/100</f>
        <v>26.2287475188556</v>
      </c>
      <c r="K15" s="0" t="n">
        <f aca="false">K13-MAX(0,K13)*K14/100</f>
        <v>25.5730288308842</v>
      </c>
      <c r="L15" s="0" t="n">
        <f aca="false">L13-MAX(0,L13)*L14/100</f>
        <v>25.4093614463666</v>
      </c>
    </row>
    <row r="16" customFormat="false" ht="15" hidden="false" customHeight="false" outlineLevel="0" collapsed="false">
      <c r="A16" s="0" t="s">
        <v>119</v>
      </c>
      <c r="C16" s="0" t="n">
        <f aca="false">-C12</f>
        <v>52.24528</v>
      </c>
      <c r="D16" s="0" t="n">
        <f aca="false">-D12</f>
        <v>48.499392</v>
      </c>
      <c r="E16" s="0" t="n">
        <f aca="false">-E12</f>
        <v>43.92226188</v>
      </c>
      <c r="F16" s="0" t="n">
        <f aca="false">-F12</f>
        <v>41.5274528394</v>
      </c>
      <c r="G16" s="0" t="n">
        <f aca="false">-G12</f>
        <v>40.161418206525</v>
      </c>
      <c r="H16" s="0" t="n">
        <f aca="false">-H12</f>
        <v>39.7598040244597</v>
      </c>
      <c r="I16" s="0" t="n">
        <f aca="false">-I12</f>
        <v>40.4827095521772</v>
      </c>
      <c r="J16" s="0" t="n">
        <f aca="false">-J12</f>
        <v>40.9824179982119</v>
      </c>
      <c r="K16" s="0" t="n">
        <f aca="false">-K12</f>
        <v>42.6217147181404</v>
      </c>
      <c r="L16" s="0" t="n">
        <f aca="false">-L12</f>
        <v>44.1134747332753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-32.727232</v>
      </c>
      <c r="D17" s="4" t="n">
        <f aca="false">-D6*Assumptions!D32/100</f>
        <v>-26.270504</v>
      </c>
      <c r="E17" s="4" t="n">
        <f aca="false">-E6*Assumptions!E32/100</f>
        <v>-19.86959466</v>
      </c>
      <c r="F17" s="4" t="n">
        <f aca="false">-F6*Assumptions!F32/100</f>
        <v>-19.6708987134</v>
      </c>
      <c r="G17" s="4" t="n">
        <f aca="false">-G6*Assumptions!G32/100</f>
        <v>-20.65444364907</v>
      </c>
      <c r="H17" s="4" t="n">
        <f aca="false">-H6*Assumptions!H32/100</f>
        <v>-21.6871658315235</v>
      </c>
      <c r="I17" s="4" t="n">
        <f aca="false">-I6*Assumptions!I32/100</f>
        <v>-22.7715241230997</v>
      </c>
      <c r="J17" s="4" t="n">
        <f aca="false">-J6*Assumptions!J32/100</f>
        <v>-23.7962427086392</v>
      </c>
      <c r="K17" s="4" t="n">
        <f aca="false">-K6*Assumptions!K32/100</f>
        <v>-24.7480924169847</v>
      </c>
      <c r="L17" s="4" t="n">
        <f aca="false">-L6*Assumptions!L32/100</f>
        <v>-25.6142756515792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0.1952</v>
      </c>
      <c r="D18" s="4" t="n">
        <f aca="false">(D6-C6)*Assumptions!$B$37/100</f>
        <v>0.49288</v>
      </c>
      <c r="E18" s="4" t="n">
        <f aca="false">(E6-D6)*Assumptions!$B$37/100</f>
        <v>0.707282799999999</v>
      </c>
      <c r="F18" s="4" t="n">
        <f aca="false">(F6-E6)*Assumptions!$B$37/100</f>
        <v>0.941191325999998</v>
      </c>
      <c r="G18" s="4" t="n">
        <f aca="false">(G6-F6)*Assumptions!$B$37/100</f>
        <v>1.0928277063</v>
      </c>
      <c r="H18" s="4" t="n">
        <f aca="false">(H6-G6)*Assumptions!$B$37/100</f>
        <v>1.147469091615</v>
      </c>
      <c r="I18" s="4" t="n">
        <f aca="false">(I6-H6)*Assumptions!$B$37/100</f>
        <v>1.20484254619575</v>
      </c>
      <c r="J18" s="4" t="n">
        <f aca="false">(J6-I6)*Assumptions!$B$37/100</f>
        <v>1.13857620615498</v>
      </c>
      <c r="K18" s="4" t="n">
        <f aca="false">(K6-J6)*Assumptions!$B$37/100</f>
        <v>1.05761078705063</v>
      </c>
      <c r="L18" s="4" t="n">
        <f aca="false">(L6-K6)*Assumptions!$B$37/100</f>
        <v>0.962425816216069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6.306912</v>
      </c>
      <c r="D19" s="0" t="n">
        <f aca="false">D15+D16+D17+D18</f>
        <v>18.0739096</v>
      </c>
      <c r="E19" s="0" t="n">
        <f aca="false">E15+E16+E17+E18</f>
        <v>30.407097976</v>
      </c>
      <c r="F19" s="0" t="n">
        <f aca="false">F15+F16+F17+F18</f>
        <v>36.34880901012</v>
      </c>
      <c r="G19" s="0" t="n">
        <f aca="false">G15+G16+G17+G18</f>
        <v>39.7854854755578</v>
      </c>
      <c r="H19" s="0" t="n">
        <f aca="false">H15+H16+H17+H18</f>
        <v>41.5578880910204</v>
      </c>
      <c r="I19" s="0" t="n">
        <f aca="false">I15+I16+I17+I18</f>
        <v>43.2183045533147</v>
      </c>
      <c r="J19" s="0" t="n">
        <f aca="false">J15+J16+J17+J18</f>
        <v>44.5534990145833</v>
      </c>
      <c r="K19" s="0" t="n">
        <f aca="false">K15+K16+K17+K18</f>
        <v>44.5042619190905</v>
      </c>
      <c r="L19" s="0" t="n">
        <f aca="false">L15+L16+L17+L18</f>
        <v>44.8709863442787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5.75973698630137</v>
      </c>
      <c r="D21" s="0" t="n">
        <f aca="false">D19*D20</f>
        <v>15.0738388273806</v>
      </c>
      <c r="E21" s="0" t="n">
        <f aca="false">E19*E20</f>
        <v>23.1596832822406</v>
      </c>
      <c r="F21" s="0" t="n">
        <f aca="false">F19*F20</f>
        <v>25.2832971461859</v>
      </c>
      <c r="G21" s="0" t="n">
        <f aca="false">G19*G20</f>
        <v>25.272841050744</v>
      </c>
      <c r="H21" s="0" t="n">
        <f aca="false">H19*H20</f>
        <v>24.1084202978117</v>
      </c>
      <c r="I21" s="0" t="n">
        <f aca="false">I19*I20</f>
        <v>22.8964889796647</v>
      </c>
      <c r="J21" s="0" t="n">
        <f aca="false">J19*J20</f>
        <v>21.5560341858212</v>
      </c>
      <c r="K21" s="0" t="n">
        <f aca="false">K19*K20</f>
        <v>19.6641206549195</v>
      </c>
      <c r="L21" s="0" t="n">
        <f aca="false">L19*L20</f>
        <v>18.1060795629083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14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200.880540973978</v>
      </c>
    </row>
    <row r="31" customFormat="false" ht="15" hidden="false" customHeight="false" outlineLevel="0" collapsed="false">
      <c r="A31" s="0" t="s">
        <v>128</v>
      </c>
      <c r="B31" s="0" t="n">
        <f aca="false">L19</f>
        <v>44.8709863442787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657.039442898367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628.193808819902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628.193808819902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253.485113880717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454.365654854695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432.065654854695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2.28545704763129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1.19755485349162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17.6212099250054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18.4976640770579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2.47651165753376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367.942088023085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1.16835461465598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5</v>
      </c>
      <c r="D5" s="4" t="n">
        <f aca="false">Assumptions!D41</f>
        <v>7</v>
      </c>
      <c r="E5" s="4" t="n">
        <f aca="false">Assumptions!E41</f>
        <v>8</v>
      </c>
      <c r="F5" s="4" t="n">
        <f aca="false">Assumptions!F41</f>
        <v>8.5</v>
      </c>
      <c r="G5" s="4" t="n">
        <f aca="false">Assumptions!G41</f>
        <v>9</v>
      </c>
      <c r="H5" s="4" t="n">
        <f aca="false">Assumptions!H41</f>
        <v>8.5</v>
      </c>
      <c r="I5" s="4" t="n">
        <f aca="false">Assumptions!I41</f>
        <v>8</v>
      </c>
      <c r="J5" s="4" t="n">
        <f aca="false">Assumptions!J41</f>
        <v>7</v>
      </c>
      <c r="K5" s="4" t="n">
        <f aca="false">Assumptions!K41</f>
        <v>6</v>
      </c>
      <c r="L5" s="4" t="n">
        <f aca="false">Assumptions!L41</f>
        <v>5</v>
      </c>
    </row>
    <row r="6" customFormat="false" ht="15" hidden="false" customHeight="false" outlineLevel="0" collapsed="false">
      <c r="A6" s="0" t="s">
        <v>37</v>
      </c>
      <c r="B6" s="3" t="n">
        <v>195.2</v>
      </c>
      <c r="C6" s="0" t="n">
        <f aca="false">B6*(1+C5/100)</f>
        <v>204.96</v>
      </c>
      <c r="D6" s="0" t="n">
        <f aca="false">C6*(1+D5/100)</f>
        <v>219.3072</v>
      </c>
      <c r="E6" s="0" t="n">
        <f aca="false">D6*(1+E5/100)</f>
        <v>236.851776</v>
      </c>
      <c r="F6" s="0" t="n">
        <f aca="false">E6*(1+F5/100)</f>
        <v>256.98417696</v>
      </c>
      <c r="G6" s="0" t="n">
        <f aca="false">F6*(1+G5/100)</f>
        <v>280.1127528864</v>
      </c>
      <c r="H6" s="0" t="n">
        <f aca="false">G6*(1+H5/100)</f>
        <v>303.922336881744</v>
      </c>
      <c r="I6" s="0" t="n">
        <f aca="false">H6*(1+I5/100)</f>
        <v>328.236123832284</v>
      </c>
      <c r="J6" s="0" t="n">
        <f aca="false">I6*(1+J5/100)</f>
        <v>351.212652500543</v>
      </c>
      <c r="K6" s="0" t="n">
        <f aca="false">J6*(1+K5/100)</f>
        <v>372.285411650576</v>
      </c>
      <c r="L6" s="0" t="n">
        <f aca="false">K6*(1+L5/100)</f>
        <v>390.899682233105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26</v>
      </c>
      <c r="D7" s="4" t="n">
        <f aca="false">Assumptions!D42</f>
        <v>28</v>
      </c>
      <c r="E7" s="4" t="n">
        <f aca="false">Assumptions!E42</f>
        <v>29.5</v>
      </c>
      <c r="F7" s="4" t="n">
        <f aca="false">Assumptions!F42</f>
        <v>31</v>
      </c>
      <c r="G7" s="4" t="n">
        <f aca="false">Assumptions!G42</f>
        <v>32</v>
      </c>
      <c r="H7" s="4" t="n">
        <f aca="false">Assumptions!H42</f>
        <v>32.5</v>
      </c>
      <c r="I7" s="4" t="n">
        <f aca="false">Assumptions!I42</f>
        <v>33</v>
      </c>
      <c r="J7" s="4" t="n">
        <f aca="false">Assumptions!J42</f>
        <v>33</v>
      </c>
      <c r="K7" s="4" t="n">
        <f aca="false">Assumptions!K42</f>
        <v>33</v>
      </c>
      <c r="L7" s="4" t="n">
        <f aca="false">Assumptions!L42</f>
        <v>33</v>
      </c>
    </row>
    <row r="8" customFormat="false" ht="15" hidden="false" customHeight="false" outlineLevel="0" collapsed="false">
      <c r="A8" s="0" t="s">
        <v>43</v>
      </c>
      <c r="C8" s="0" t="n">
        <f aca="false">C6*C7/100</f>
        <v>53.2896</v>
      </c>
      <c r="D8" s="0" t="n">
        <f aca="false">D6*D7/100</f>
        <v>61.406016</v>
      </c>
      <c r="E8" s="0" t="n">
        <f aca="false">E6*E7/100</f>
        <v>69.87127392</v>
      </c>
      <c r="F8" s="0" t="n">
        <f aca="false">F6*F7/100</f>
        <v>79.6650948576</v>
      </c>
      <c r="G8" s="0" t="n">
        <f aca="false">G6*G7/100</f>
        <v>89.636080923648</v>
      </c>
      <c r="H8" s="0" t="n">
        <f aca="false">H6*H7/100</f>
        <v>98.7747594865668</v>
      </c>
      <c r="I8" s="0" t="n">
        <f aca="false">I6*I7/100</f>
        <v>108.317920864654</v>
      </c>
      <c r="J8" s="0" t="n">
        <f aca="false">J6*J7/100</f>
        <v>115.900175325179</v>
      </c>
      <c r="K8" s="0" t="n">
        <f aca="false">K6*K7/100</f>
        <v>122.85418584469</v>
      </c>
      <c r="L8" s="0" t="n">
        <f aca="false">L6*L7/100</f>
        <v>128.996895136925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1.3</v>
      </c>
      <c r="D9" s="4" t="n">
        <f aca="false">Assumptions!D43</f>
        <v>1.3</v>
      </c>
      <c r="E9" s="4" t="n">
        <f aca="false">Assumptions!E43</f>
        <v>1.2</v>
      </c>
      <c r="F9" s="4" t="n">
        <f aca="false">Assumptions!F43</f>
        <v>1.2</v>
      </c>
      <c r="G9" s="4" t="n">
        <f aca="false">Assumptions!G43</f>
        <v>1.1</v>
      </c>
      <c r="H9" s="4" t="n">
        <f aca="false">Assumptions!H43</f>
        <v>1.1</v>
      </c>
      <c r="I9" s="4" t="n">
        <f aca="false">Assumptions!I43</f>
        <v>1</v>
      </c>
      <c r="J9" s="4" t="n">
        <f aca="false">Assumptions!J43</f>
        <v>1</v>
      </c>
      <c r="K9" s="4" t="n">
        <f aca="false">Assumptions!K43</f>
        <v>1</v>
      </c>
      <c r="L9" s="4" t="n">
        <f aca="false">Assumptions!L43</f>
        <v>1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-2.66448</v>
      </c>
      <c r="D10" s="0" t="n">
        <f aca="false">-D6*D9/100</f>
        <v>-2.8509936</v>
      </c>
      <c r="E10" s="0" t="n">
        <f aca="false">-E6*E9/100</f>
        <v>-2.842221312</v>
      </c>
      <c r="F10" s="0" t="n">
        <f aca="false">-F6*F9/100</f>
        <v>-3.08381012352</v>
      </c>
      <c r="G10" s="0" t="n">
        <f aca="false">-G6*G9/100</f>
        <v>-3.0812402817504</v>
      </c>
      <c r="H10" s="0" t="n">
        <f aca="false">-H6*H9/100</f>
        <v>-3.34314570569918</v>
      </c>
      <c r="I10" s="0" t="n">
        <f aca="false">-I6*I9/100</f>
        <v>-3.28236123832284</v>
      </c>
      <c r="J10" s="0" t="n">
        <f aca="false">-J6*J9/100</f>
        <v>-3.51212652500543</v>
      </c>
      <c r="K10" s="0" t="n">
        <f aca="false">-K6*K9/100</f>
        <v>-3.72285411650576</v>
      </c>
      <c r="L10" s="0" t="n">
        <f aca="false">-L6*L9/100</f>
        <v>-3.90899682233105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50.62512</v>
      </c>
      <c r="D11" s="0" t="n">
        <f aca="false">D8+D10+D24</f>
        <v>58.5550224</v>
      </c>
      <c r="E11" s="0" t="n">
        <f aca="false">E8+E10+E24</f>
        <v>67.029052608</v>
      </c>
      <c r="F11" s="0" t="n">
        <f aca="false">F8+F10+F24</f>
        <v>76.58128473408</v>
      </c>
      <c r="G11" s="0" t="n">
        <f aca="false">G8+G10+G24</f>
        <v>86.5548406418976</v>
      </c>
      <c r="H11" s="0" t="n">
        <f aca="false">H8+H10+H24</f>
        <v>95.4316137808676</v>
      </c>
      <c r="I11" s="0" t="n">
        <f aca="false">I8+I10+I24</f>
        <v>105.035559626331</v>
      </c>
      <c r="J11" s="0" t="n">
        <f aca="false">J8+J10+J24</f>
        <v>112.388048800174</v>
      </c>
      <c r="K11" s="0" t="n">
        <f aca="false">K8+K10+K24</f>
        <v>119.131331728184</v>
      </c>
      <c r="L11" s="0" t="n">
        <f aca="false">L8+L10+L24</f>
        <v>125.087898314594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-51.24</v>
      </c>
      <c r="D12" s="4" t="n">
        <f aca="false">-D6*Assumptions!D45/100</f>
        <v>-48.247584</v>
      </c>
      <c r="E12" s="4" t="n">
        <f aca="false">-E6*Assumptions!E45/100</f>
        <v>-45.00183744</v>
      </c>
      <c r="F12" s="4" t="n">
        <f aca="false">-F6*Assumptions!F45/100</f>
        <v>-43.6873100832</v>
      </c>
      <c r="G12" s="4" t="n">
        <f aca="false">-G6*Assumptions!G45/100</f>
        <v>-43.417476697392</v>
      </c>
      <c r="H12" s="4" t="n">
        <f aca="false">-H6*Assumptions!H45/100</f>
        <v>-44.0687388478529</v>
      </c>
      <c r="I12" s="4" t="n">
        <f aca="false">-I6*Assumptions!I45/100</f>
        <v>-45.9530573365197</v>
      </c>
      <c r="J12" s="4" t="n">
        <f aca="false">-J6*Assumptions!J45/100</f>
        <v>-47.4137080875734</v>
      </c>
      <c r="K12" s="4" t="n">
        <f aca="false">-K6*Assumptions!K45/100</f>
        <v>-50.2585305728278</v>
      </c>
      <c r="L12" s="4" t="n">
        <f aca="false">-L6*Assumptions!L45/100</f>
        <v>-52.7714571014692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-0.614879999999999</v>
      </c>
      <c r="D13" s="0" t="n">
        <f aca="false">D11+D12</f>
        <v>10.3074384</v>
      </c>
      <c r="E13" s="0" t="n">
        <f aca="false">E11+E12</f>
        <v>22.027215168</v>
      </c>
      <c r="F13" s="0" t="n">
        <f aca="false">F11+F12</f>
        <v>32.89397465088</v>
      </c>
      <c r="G13" s="0" t="n">
        <f aca="false">G11+G12</f>
        <v>43.1373639445056</v>
      </c>
      <c r="H13" s="0" t="n">
        <f aca="false">H11+H12</f>
        <v>51.3628749330147</v>
      </c>
      <c r="I13" s="0" t="n">
        <f aca="false">I11+I12</f>
        <v>59.082502289811</v>
      </c>
      <c r="J13" s="0" t="n">
        <f aca="false">J11+J12</f>
        <v>64.9743407126005</v>
      </c>
      <c r="K13" s="0" t="n">
        <f aca="false">K11+K12</f>
        <v>68.8728011553566</v>
      </c>
      <c r="L13" s="0" t="n">
        <f aca="false">L11+L12</f>
        <v>72.3164412131244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0</v>
      </c>
      <c r="D14" s="4" t="n">
        <f aca="false">Assumptions!D47</f>
        <v>0</v>
      </c>
      <c r="E14" s="4" t="n">
        <f aca="false">Assumptions!E47</f>
        <v>0</v>
      </c>
      <c r="F14" s="4" t="n">
        <f aca="false">Assumptions!F47</f>
        <v>5</v>
      </c>
      <c r="G14" s="4" t="n">
        <f aca="false">Assumptions!G47</f>
        <v>10</v>
      </c>
      <c r="H14" s="4" t="n">
        <f aca="false">Assumptions!H47</f>
        <v>15</v>
      </c>
      <c r="I14" s="4" t="n">
        <f aca="false">Assumptions!I47</f>
        <v>20</v>
      </c>
      <c r="J14" s="4" t="n">
        <f aca="false">Assumptions!J47</f>
        <v>25</v>
      </c>
      <c r="K14" s="4" t="n">
        <f aca="false">Assumptions!K47</f>
        <v>28</v>
      </c>
      <c r="L14" s="4" t="n">
        <f aca="false">Assumptions!L47</f>
        <v>28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-0.614879999999999</v>
      </c>
      <c r="D15" s="0" t="n">
        <f aca="false">D13-MAX(0,D13)*D14/100</f>
        <v>10.3074384</v>
      </c>
      <c r="E15" s="0" t="n">
        <f aca="false">E13-MAX(0,E13)*E14/100</f>
        <v>22.027215168</v>
      </c>
      <c r="F15" s="0" t="n">
        <f aca="false">F13-MAX(0,F13)*F14/100</f>
        <v>31.249275918336</v>
      </c>
      <c r="G15" s="0" t="n">
        <f aca="false">G13-MAX(0,G13)*G14/100</f>
        <v>38.8236275500551</v>
      </c>
      <c r="H15" s="0" t="n">
        <f aca="false">H13-MAX(0,H13)*H14/100</f>
        <v>43.6584436930625</v>
      </c>
      <c r="I15" s="0" t="n">
        <f aca="false">I13-MAX(0,I13)*I14/100</f>
        <v>47.2660018318488</v>
      </c>
      <c r="J15" s="0" t="n">
        <f aca="false">J13-MAX(0,J13)*J14/100</f>
        <v>48.7307555344504</v>
      </c>
      <c r="K15" s="0" t="n">
        <f aca="false">K13-MAX(0,K13)*K14/100</f>
        <v>49.5884168318567</v>
      </c>
      <c r="L15" s="0" t="n">
        <f aca="false">L13-MAX(0,L13)*L14/100</f>
        <v>52.0678376734496</v>
      </c>
    </row>
    <row r="16" customFormat="false" ht="15" hidden="false" customHeight="false" outlineLevel="0" collapsed="false">
      <c r="A16" s="0" t="s">
        <v>119</v>
      </c>
      <c r="C16" s="0" t="n">
        <f aca="false">-C12</f>
        <v>51.24</v>
      </c>
      <c r="D16" s="0" t="n">
        <f aca="false">-D12</f>
        <v>48.247584</v>
      </c>
      <c r="E16" s="0" t="n">
        <f aca="false">-E12</f>
        <v>45.00183744</v>
      </c>
      <c r="F16" s="0" t="n">
        <f aca="false">-F12</f>
        <v>43.6873100832</v>
      </c>
      <c r="G16" s="0" t="n">
        <f aca="false">-G12</f>
        <v>43.417476697392</v>
      </c>
      <c r="H16" s="0" t="n">
        <f aca="false">-H12</f>
        <v>44.0687388478529</v>
      </c>
      <c r="I16" s="0" t="n">
        <f aca="false">-I12</f>
        <v>45.9530573365197</v>
      </c>
      <c r="J16" s="0" t="n">
        <f aca="false">-J12</f>
        <v>47.4137080875734</v>
      </c>
      <c r="K16" s="0" t="n">
        <f aca="false">-K12</f>
        <v>50.2585305728278</v>
      </c>
      <c r="L16" s="0" t="n">
        <f aca="false">-L12</f>
        <v>52.7714571014692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-32.7936</v>
      </c>
      <c r="D17" s="4" t="n">
        <f aca="false">-D6*Assumptions!D46/100</f>
        <v>-21.93072</v>
      </c>
      <c r="E17" s="4" t="n">
        <f aca="false">-E6*Assumptions!E46/100</f>
        <v>-18.94814208</v>
      </c>
      <c r="F17" s="4" t="n">
        <f aca="false">-F6*Assumptions!F46/100</f>
        <v>-20.5587341568</v>
      </c>
      <c r="G17" s="4" t="n">
        <f aca="false">-G6*Assumptions!G46/100</f>
        <v>-22.409020230912</v>
      </c>
      <c r="H17" s="4" t="n">
        <f aca="false">-H6*Assumptions!H46/100</f>
        <v>-24.3137869505395</v>
      </c>
      <c r="I17" s="4" t="n">
        <f aca="false">-I6*Assumptions!I46/100</f>
        <v>-26.2588899065827</v>
      </c>
      <c r="J17" s="4" t="n">
        <f aca="false">-J6*Assumptions!J46/100</f>
        <v>-28.0970122000435</v>
      </c>
      <c r="K17" s="4" t="n">
        <f aca="false">-K6*Assumptions!K46/100</f>
        <v>-29.7828329320461</v>
      </c>
      <c r="L17" s="4" t="n">
        <f aca="false">-L6*Assumptions!L46/100</f>
        <v>-31.2719745786484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1.464</v>
      </c>
      <c r="D18" s="4" t="n">
        <f aca="false">(D6-C6)*Assumptions!$B$51/100</f>
        <v>2.15208</v>
      </c>
      <c r="E18" s="4" t="n">
        <f aca="false">(E6-D6)*Assumptions!$B$51/100</f>
        <v>2.6316864</v>
      </c>
      <c r="F18" s="4" t="n">
        <f aca="false">(F6-E6)*Assumptions!$B$51/100</f>
        <v>3.019860144</v>
      </c>
      <c r="G18" s="4" t="n">
        <f aca="false">(G6-F6)*Assumptions!$B$51/100</f>
        <v>3.46928638896</v>
      </c>
      <c r="H18" s="4" t="n">
        <f aca="false">(H6-G6)*Assumptions!$B$51/100</f>
        <v>3.5714375993016</v>
      </c>
      <c r="I18" s="4" t="n">
        <f aca="false">(I6-H6)*Assumptions!$B$51/100</f>
        <v>3.64706804258093</v>
      </c>
      <c r="J18" s="4" t="n">
        <f aca="false">(J6-I6)*Assumptions!$B$51/100</f>
        <v>3.44647930023898</v>
      </c>
      <c r="K18" s="4" t="n">
        <f aca="false">(K6-J6)*Assumptions!$B$51/100</f>
        <v>3.16091387250489</v>
      </c>
      <c r="L18" s="4" t="n">
        <f aca="false">(L6-K6)*Assumptions!$B$51/100</f>
        <v>2.79214058737932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19.29552</v>
      </c>
      <c r="D19" s="0" t="n">
        <f aca="false">D15+D16+D17+D18</f>
        <v>38.7763824</v>
      </c>
      <c r="E19" s="0" t="n">
        <f aca="false">E15+E16+E17+E18</f>
        <v>50.712596928</v>
      </c>
      <c r="F19" s="0" t="n">
        <f aca="false">F15+F16+F17+F18</f>
        <v>57.397711988736</v>
      </c>
      <c r="G19" s="0" t="n">
        <f aca="false">G15+G16+G17+G18</f>
        <v>63.3013704054951</v>
      </c>
      <c r="H19" s="0" t="n">
        <f aca="false">H15+H16+H17+H18</f>
        <v>66.9848331896775</v>
      </c>
      <c r="I19" s="0" t="n">
        <f aca="false">I15+I16+I17+I18</f>
        <v>70.6072373043668</v>
      </c>
      <c r="J19" s="0" t="n">
        <f aca="false">J15+J16+J17+J18</f>
        <v>71.4939307222193</v>
      </c>
      <c r="K19" s="0" t="n">
        <f aca="false">K15+K16+K17+K18</f>
        <v>73.2250283451433</v>
      </c>
      <c r="L19" s="0" t="n">
        <f aca="false">L15+L16+L17+L18</f>
        <v>76.3594607836497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17.7023119266055</v>
      </c>
      <c r="D21" s="0" t="n">
        <f aca="false">D19*D20</f>
        <v>32.6373052773336</v>
      </c>
      <c r="E21" s="0" t="n">
        <f aca="false">E19*E20</f>
        <v>39.1594295787971</v>
      </c>
      <c r="F21" s="0" t="n">
        <f aca="false">F19*F20</f>
        <v>40.6619862302797</v>
      </c>
      <c r="G21" s="0" t="n">
        <f aca="false">G19*G20</f>
        <v>41.1415474222284</v>
      </c>
      <c r="H21" s="0" t="n">
        <f aca="false">H19*H20</f>
        <v>39.9408674274592</v>
      </c>
      <c r="I21" s="0" t="n">
        <f aca="false">I19*I20</f>
        <v>38.6245767392672</v>
      </c>
      <c r="J21" s="0" t="n">
        <f aca="false">J19*J20</f>
        <v>35.8803930307428</v>
      </c>
      <c r="K21" s="0" t="n">
        <f aca="false">K19*K20</f>
        <v>33.7148372059725</v>
      </c>
      <c r="L21" s="0" t="n">
        <f aca="false">L19*L20</f>
        <v>32.2550614437412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16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351.718316282427</v>
      </c>
    </row>
    <row r="31" customFormat="false" ht="15" hidden="false" customHeight="false" outlineLevel="0" collapsed="false">
      <c r="A31" s="0" t="s">
        <v>128</v>
      </c>
      <c r="B31" s="0" t="n">
        <f aca="false">L19</f>
        <v>76.3594607836497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1310.83741011932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1221.75137253839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1221.75137253839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516.080983099859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867.799299382286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845.499299382286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4.47235810305361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3.30034432985924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20.1429596712089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28.3456429488291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4.72884370273644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655.41870505966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2.12645932826621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0.853646660374617</v>
      </c>
      <c r="C4" s="0" t="n">
        <f aca="false">B4/Assumptions!$B$2-1</f>
        <v>-0.179185903485945</v>
      </c>
      <c r="D4" s="4" t="n">
        <f aca="false">Assumptions!$B$24</f>
        <v>0.25</v>
      </c>
      <c r="E4" s="4" t="n">
        <f aca="false">DCF_Bear!$B$43</f>
        <v>0.988872943928278</v>
      </c>
      <c r="F4" s="4" t="n">
        <f aca="false">DCF_Bear!$B$47</f>
        <v>0.548115507585091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2.28545704763129</v>
      </c>
      <c r="C5" s="0" t="n">
        <f aca="false">B5/Assumptions!$B$2-1</f>
        <v>1.19755485349162</v>
      </c>
      <c r="D5" s="4" t="n">
        <f aca="false">Assumptions!$B$38</f>
        <v>0.5</v>
      </c>
      <c r="E5" s="4" t="n">
        <f aca="false">DCF_Base!$B$43</f>
        <v>2.47651165753376</v>
      </c>
      <c r="F5" s="4" t="n">
        <f aca="false">DCF_Base!$B$47</f>
        <v>1.16835461465598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4.47235810305361</v>
      </c>
      <c r="C6" s="0" t="n">
        <f aca="false">B6/Assumptions!$B$2-1</f>
        <v>3.30034432985924</v>
      </c>
      <c r="D6" s="4" t="n">
        <f aca="false">Assumptions!$B$52</f>
        <v>0.25</v>
      </c>
      <c r="E6" s="4" t="n">
        <f aca="false">DCF_Bull!$B$43</f>
        <v>4.72884370273644</v>
      </c>
      <c r="F6" s="4" t="n">
        <f aca="false">DCF_Bull!$B$47</f>
        <v>2.12645932826621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2.4742297146727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2.66768499043306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0.579667161123892</v>
      </c>
    </row>
    <row r="11" customFormat="false" ht="15" hidden="false" customHeight="false" outlineLevel="0" collapsed="false">
      <c r="A11" s="0" t="s">
        <v>155</v>
      </c>
      <c r="B11" s="0" t="n">
        <f aca="false">IF(ABS(B9-B8)&gt;0.01*ABS(B8),(Assumptions!$B$2-B8)/(B9-B8)*100,"n/a")</f>
        <v>-741.375343234026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1.25282101629082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2.37698469724448</v>
      </c>
      <c r="C15" s="3" t="n">
        <v>9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2.28545704763129</v>
      </c>
      <c r="C16" s="3" t="n">
        <v>9.5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2.16752318521311</v>
      </c>
      <c r="C17" s="3" t="n">
        <v>10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1.87237200357052</v>
      </c>
      <c r="C18" s="3" t="n">
        <v>11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1.63994373822705</v>
      </c>
      <c r="C19" s="3" t="n">
        <v>12</v>
      </c>
    </row>
    <row r="20" customFormat="false" ht="15" hidden="false" customHeight="false" outlineLevel="0" collapsed="false">
      <c r="A20" s="0" t="s">
        <v>164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1.16835461465598</v>
      </c>
      <c r="C20" s="3" t="n">
        <v>15</v>
      </c>
    </row>
    <row r="22" customFormat="false" ht="15" hidden="false" customHeight="false" outlineLevel="0" collapsed="false">
      <c r="A22" s="2" t="s">
        <v>165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2.6784085003971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2.6784085003971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2.6784085003971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2.6784085003971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2.6784085003971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2.47282848787187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2.47282848787187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2.47282848787187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2.47282848787187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2.47282848787187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2.15975363887002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2.24714743734214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2.28545704763129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2.28545704763129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2.28545704763129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1.87642272092964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1.93958197634953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2.0106361386969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2.09116418935726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2.11448452981998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1.65061661696245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1.69751539499062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1.74962514835526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1.80786546093927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1.87338581259628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2026-09-25T12:54:53Z</dcterms:created>
  <dc:creator>openpyxl</dc:creator>
  <dc:description/>
  <dc:language>en-NZ</dc:language>
  <cp:lastModifiedBy/>
  <dcterms:modified xsi:type="dcterms:W3CDTF">2026-09-25T12:54:53Z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