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<sst xmlns="http://schemas.openxmlformats.org/spreadsheetml/2006/main" count="357" uniqueCount="165">
  <si>
    <t xml:space="preserve">Ticker</t>
  </si>
  <si>
    <t xml:space="preserve">0788.HK</t>
  </si>
  <si>
    <t xml:space="preserve">Company</t>
  </si>
  <si>
    <t xml:space="preserve">China Tower Corporation Limited</t>
  </si>
  <si>
    <t xml:space="preserve">Valuation date</t>
  </si>
  <si>
    <t xml:space="preserve">2026-10-11</t>
  </si>
  <si>
    <t xml:space="preserve">Current price</t>
  </si>
  <si>
    <t xml:space="preserve">Price as of</t>
  </si>
  <si>
    <t xml:space="preserve">2026-10-09T08:08:06Z</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</si>
  <si>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</si>
  <si>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</si>
  <si>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</si>
  <si>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</si>
  <si>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</si>
  <si>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</si>
  <si>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</si>
  <si>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</si>
  <si>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</si>
  <si>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</si>
  <si>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</si>
  <si>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</si>
  <si>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</si>
  <si>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2026-10-11T08:10:51Z</t>
  </si>
  <si>
    <t xml:space="preserve">Drivers file</t>
  </si>
  <si>
    <t xml:space="preserve">0788.HK_Drivers.json</t>
  </si>
  <si>
    <t xml:space="preserve">Convention</t>
  </si>
  <si>
    <t xml:space="preserve">Percents stored as percents; formulas divide by 100. Blue = input, green = link, black = formula.</t>
  </si>
  <si>
    <t xml:space="preserve">Methodology</t>
  </si>
  <si>
    <t xml:space="preserve">summary: Value the contracted tower annuity as an unlevered owner-FCF stream in RMB at a 6.5% WACC (9% CoE, 36% cheap SOE debt), with leases as an operating cost, SBC zero, a 10-year explicit path that carries the FY2028 pricing reset and the D&amp;A/capex re-basing, and a 14x terminal cap that refuses the Gordon 20x an ex-growth annuity with captive-but-controlling customers has not earned. The accrual-versus-cash gap is charged explicitly: a RMB23.5bn bridge deduction for the FY2026-28 receivables stretch, -60% working-capital capture on growth, and a bear scenario in which the leakage is permanent. Cross-check: a dividend discount model on the FY2025 DPS of RMB0.45789 (77% payout, 'steady growth' guidance) at the 9% cost of equity gives HK$6.8 at 1% growth and HK$7.7 at 2%; the gap between that and the base DCF is the value of the ~RMB12bn/yr of retained accrual FCF actually reaching shareholders (as debt paydown or higher payout) rather than financing the carriers. The market price sits between the DDM and the DCF base, which is where it should sit if the receivables question is open.
key_risks_to_valuation: Receivables stretch persists or worsens: every further RMB10bn of uncollected carrier receivables is ~HK$0.67/share of value transferred to the controlling shareholders; the base bridge assumes it stops growing after FY2028.; FY2028 Commercial Pricing Agreement renewal: base assumes -2% of revenue; a 15%-&gt;10%-style markup cut on tower tariffs would be closer to the bear's -5% and ~HK$1.5/share.; Terminal multiple: the cap binds in every scenario (Gordon at 6.5%/1.5% is 20x). Each 1x on the 14x base cap is ~HK$0.65/share.; WACC: a 9% CoE on 1.8% CGBs embeds a 2.3pt SOE/H-share premium; a pure-CAPM 5.5% WACC would lift the base only modestly because the cap binds, but a 8% WACC (if cheap SOE debt is not sustainable) takes ~HK$1.2/share off.; D&amp;A and tax: EPS growth is a depreciation-schedule effect; as D&amp;A ex-ROU falls from 37% to 24% of revenue, cash tax rises ~RMB3bn/yr, which the component build already charges -- a model that carried FY2025 FCF margin forward would overstate value.; RMB/HKD: all value is RMB; a 5% RMB depreciation is a 5% cut in HKD IV; refresh_price.py does not move fx_rate (1.1721 at 2026-10-10).</t>
  </si>
  <si>
    <t xml:space="preserve">Data sources</t>
  </si>
  <si>
    <t xml:space="preserve">price: Yahoo Finance chart API at inputs.price_as_of (HKEX regular close); 52-week range 8.65-12.85. CNY/HKD from Yahoo CNYHKD=X, 2026-10-10.
financials: 0788.HK_Metrics.csv (core_metrics, RMB millions, FY2017-FY2025 + H1 FY2023-H1 FY2026) and kpis (LeasePayments, Depreciation, CashTaxesPaid, InterestIncome, FinanceCosts). Balance sheet, receivables aging/customer split, lease payments and ROU depreciation from 0788.HK_HalfYear_H1-2026.txt (notes 11, 13, 14, 17, 18) and 0788.HK_Annual_FY2025.txt (notes 16, 19, 22, 23).
qualitative: 0788.HK_Analysis.json (2026-10-11): business model, 2023-27 Commercial Pricing Agreement, Two Wings strategy, segment growth rates, guidance and sell-side context (CMBI HK$12.1, UBS HK$11.6 DDM).</t>
  </si>
  <si>
    <t xml:space="preserve">Scenario narrative: bear</t>
  </si>
  <si>
    <t xml:space="preserve">Tower revenue keeps falling at the H1 FY2026 rate (-6.7%) as Telecom/Unicom network sharing removes sites, the FY2028 renewal cuts tariffs outright as the 2015/2018 cycles did, and the carrier-shareholders treat China Tower as a financing source indefinitely: receivables keep stretching and bad debts rise, modelled as a permanent 3pt EBITDA-margin leakage on top of a 2pt tariff/mix hit (55% margin), with capex held at 26% because build-out is state-directed. Terminal 11x. This is close to a dividend-only valuation (DDM memo HK$6.8-7.7).</t>
  </si>
  <si>
    <t xml:space="preserve">Scenario narrative: base</t>
  </si>
  <si>
    <t xml:space="preserve">A policy-mandated monopoly annuity that is ex-growth: tower leasing (75% of revenue) shrinks 1-2%/yr as 5G build-out matures and site-fee savings are passed through, DAS and the Two Wings (16% of revenue, +12-17%) roughly offset, and the FY2028 pricing-agreement renewal with the three carrier-shareholders costs ~2% of revenue. EBITDA margin settles at 60.5% (post-IFRS-16, lease charge 9.8% taken separately); D&amp;A ex-ROU and capex converge at 24-25% of revenue as the 2015-injected towers finish depreciating. Accrual owner FCF ~RMB19-20bn/yr; the carriers' payment stretch continues through FY2028 (RMB23.5bn PV deducted in the bridge) then stabilises, so the retained cash beyond the 77%-payout dividend goes to debt reduction rather than further receivables. Terminal 14x FCF.</t>
  </si>
  <si>
    <t xml:space="preserve">Scenario narrative: bull</t>
  </si>
  <si>
    <t xml:space="preserve">The FY2028 renewal is price-neutral, 5G-A/'Six Networks' densification and a rising tenancy ratio hold tower revenue flat, DAS and Two Wings compound to 2.5% group growth, margins recover to 63.5% as bad-debt provisioning normalises and site-cost savings are retained, and -- the axis that matters most -- the carrier-shareholders bring payment terms back toward contract, unwinding part of the ~RMB60bn excess receivable. That unwind (~HK$4/share if complete) is NOT in this scenario's number; the bull value reflects only growth, margin and a 16x cap, so it is conservative on that axis.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</si>
  <si>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</si>
  <si>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</si>
  <si>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</si>
  <si>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</si>
  <si>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</si>
  <si>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</si>
  <si>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</si>
  <si>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</si>
  <si>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</si>
  <si>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</si>
  <si>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</si>
  <si>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</si>
  <si>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</si>
  <si>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</si>
  <si>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</si>
  <si>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</si>
  <si>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</si>
  <si>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</si>
  <si>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</si>
  <si>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</si>
  <si>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</si>
  <si>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</si>
  <si>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</si>
  <si>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</si>
  <si>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</si>
  <si>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</si>
  <si>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</si>
  <si>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</si>
  <si>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</si>
  <si>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</si>
  <si>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</si>
  <si>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</si>
  <si>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</si>
  <si>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</si>
  <si>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</si>
  <si>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</si>
  <si>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</si>
  <si>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</si>
  <si>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</si>
  <si>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</si>
  <si>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</si>
  <si>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</si>
  <si>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</si>
  <si>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</si>
  <si>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</si>
  <si>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</si>
  <si>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</si>
  <si>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</si>
  <si>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</si>
  <si>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</si>
  <si>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</si>
  <si>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</si>
  <si>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</si>
  <si>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</si>
  <si>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</si>
  <si>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</si>
  <si>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</si>
  <si>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</si>
  <si>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</si>
  <si>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</si>
  <si>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</si>
  <si>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</si>
  <si>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</si>
  <si>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</si>
  <si>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</si>
  <si>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</si>
  <si>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</si>
  <si>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</si>
  <si>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</si>
  <si>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</si>
  <si>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</si>
  <si>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</si>
  <si>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</si>
  <si>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0788.HK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</si>
  <si>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</si>
  <si>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</si>
  <si>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</si>
  <si>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</si>
  <si>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</si>
  <si>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</si>
  <si>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</si>
  <si>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</si>
  <si>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</si>
  <si>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</si>
  <si>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</si>
  <si>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</si>
  <si>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</si>
  <si>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</si>
  <si>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</si>
  <si>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</si>
  <si>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</si>
  <si>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</si>
  <si>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</si>
  <si>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</si>
  <si>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</si>
  <si>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</si>
  <si>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</si>
  <si>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</si>
  <si>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</si>
  <si>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</si>
  <si>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</si>
  <si>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</si>
  <si>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</si>
  <si>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</si>
  <si>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0788.HK owner-FCF component DCF: base case (millions, CNY)</t>
  </si>
  <si>
    <t xml:space="preserve">0788.HK owner-FCF component DCF: bull case (millions, CNY)</t>
  </si>
  <si>
    <t xml:space="preserve">0788.HK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</si>
  <si>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</si>
  <si>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</si>
  <si>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</si>
  <si>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</si>
  <si>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</si>
  <si>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</si>
  <si>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</si>
  <si>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</si>
  <si>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</si>
  <si>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</si>
  <si>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</si>
  <si>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</si>
  <si>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</si>
  <si>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</si>
  <si>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6.5%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</si>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</sst>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9.185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68665</v>
      </c>
      <c r="F2" s="0" t="n">
        <v>7715</v>
      </c>
      <c r="G2" s="0" t="n">
        <v>11.2</v>
      </c>
      <c r="H2" s="0" t="n">
        <v>40357</v>
      </c>
      <c r="I2" s="0" t="n">
        <v>1943</v>
      </c>
      <c r="J2" s="0" t="n">
        <v>2.8</v>
      </c>
      <c r="K2" s="0" t="n">
        <v>0.15</v>
      </c>
      <c r="L2" s="0" t="n">
        <v>34935</v>
      </c>
      <c r="M2" s="0" t="n">
        <v>52001</v>
      </c>
      <c r="N2" s="0" t="n">
        <v>-17066</v>
      </c>
      <c r="O2" s="0" t="n">
        <v>127495</v>
      </c>
      <c r="P2" s="0" t="n">
        <v>322643</v>
      </c>
      <c r="Q2" s="0" t="n">
        <v>195148</v>
      </c>
      <c r="R2" s="0" t="n">
        <v>139053</v>
      </c>
      <c r="S2" s="0" t="n">
        <v>7852</v>
      </c>
      <c r="T2" s="0" t="n">
        <v>12934.5</v>
      </c>
      <c r="AA2" s="0" t="s">
        <v>18</v>
      </c>
      <c r="AB2" s="0" t="s">
        <v>14</v>
      </c>
    </row>
    <row r="3" customFormat="false" ht="15" hidden="false" customHeight="false" outlineLevel="0" collapsed="false">
      <c r="A3" s="0" t="s">
        <v>65</v>
      </c>
      <c r="B3" s="0" t="n">
        <v>71819</v>
      </c>
      <c r="F3" s="0" t="n">
        <v>9081</v>
      </c>
      <c r="G3" s="0" t="n">
        <v>12.6</v>
      </c>
      <c r="H3" s="0" t="n">
        <v>41773</v>
      </c>
      <c r="I3" s="0" t="n">
        <v>2650</v>
      </c>
      <c r="J3" s="0" t="n">
        <v>3.7</v>
      </c>
      <c r="K3" s="0" t="n">
        <v>0.179</v>
      </c>
      <c r="L3" s="0" t="n">
        <v>45540</v>
      </c>
      <c r="M3" s="0" t="n">
        <v>32995</v>
      </c>
      <c r="N3" s="0" t="n">
        <v>12545</v>
      </c>
      <c r="O3" s="0" t="n">
        <v>180502</v>
      </c>
      <c r="P3" s="0" t="n">
        <v>315364</v>
      </c>
      <c r="Q3" s="0" t="n">
        <v>134862</v>
      </c>
      <c r="R3" s="0" t="n">
        <v>99010</v>
      </c>
      <c r="S3" s="0" t="n">
        <v>4836</v>
      </c>
      <c r="T3" s="0" t="n">
        <v>17600.8</v>
      </c>
      <c r="AA3" s="0" t="s">
        <v>18</v>
      </c>
      <c r="AB3" s="0" t="s">
        <v>14</v>
      </c>
    </row>
    <row r="4" customFormat="false" ht="15" hidden="false" customHeight="false" outlineLevel="0" collapsed="false">
      <c r="A4" s="0" t="s">
        <v>66</v>
      </c>
      <c r="B4" s="0" t="n">
        <v>76428</v>
      </c>
      <c r="F4" s="0" t="n">
        <v>11281</v>
      </c>
      <c r="G4" s="0" t="n">
        <v>14.8</v>
      </c>
      <c r="H4" s="0" t="n">
        <v>56696</v>
      </c>
      <c r="I4" s="0" t="n">
        <v>5222</v>
      </c>
      <c r="J4" s="0" t="n">
        <v>6.8</v>
      </c>
      <c r="K4" s="0" t="n">
        <v>0.297</v>
      </c>
      <c r="L4" s="0" t="n">
        <v>49935</v>
      </c>
      <c r="M4" s="0" t="n">
        <v>28235</v>
      </c>
      <c r="N4" s="0" t="n">
        <v>21700</v>
      </c>
      <c r="O4" s="0" t="n">
        <v>182559</v>
      </c>
      <c r="P4" s="0" t="n">
        <v>338067</v>
      </c>
      <c r="Q4" s="0" t="n">
        <v>155506</v>
      </c>
      <c r="R4" s="0" t="n">
        <v>95499</v>
      </c>
      <c r="S4" s="0" t="n">
        <v>6223</v>
      </c>
      <c r="T4" s="0" t="n">
        <v>17600.8</v>
      </c>
      <c r="AA4" s="0" t="s">
        <v>18</v>
      </c>
      <c r="AB4" s="0" t="s">
        <v>14</v>
      </c>
    </row>
    <row r="5" customFormat="false" ht="15" hidden="false" customHeight="false" outlineLevel="0" collapsed="false">
      <c r="A5" s="0" t="s">
        <v>67</v>
      </c>
      <c r="B5" s="0" t="n">
        <v>81099</v>
      </c>
      <c r="F5" s="0" t="n">
        <v>12012</v>
      </c>
      <c r="G5" s="0" t="n">
        <v>14.8</v>
      </c>
      <c r="H5" s="0" t="n">
        <v>59527</v>
      </c>
      <c r="I5" s="0" t="n">
        <v>6428</v>
      </c>
      <c r="J5" s="0" t="n">
        <v>7.9</v>
      </c>
      <c r="K5" s="0" t="n">
        <v>0.368</v>
      </c>
      <c r="L5" s="0" t="n">
        <v>57548</v>
      </c>
      <c r="M5" s="0" t="n">
        <v>37998</v>
      </c>
      <c r="N5" s="0" t="n">
        <v>19550</v>
      </c>
      <c r="O5" s="0" t="n">
        <v>186245</v>
      </c>
      <c r="P5" s="0" t="n">
        <v>337380</v>
      </c>
      <c r="Q5" s="0" t="n">
        <v>151134</v>
      </c>
      <c r="R5" s="0" t="n">
        <v>89120</v>
      </c>
      <c r="S5" s="0" t="n">
        <v>5042</v>
      </c>
      <c r="T5" s="0" t="n">
        <v>17600.8</v>
      </c>
      <c r="AA5" s="0" t="s">
        <v>18</v>
      </c>
      <c r="AB5" s="0" t="s">
        <v>14</v>
      </c>
    </row>
    <row r="6" customFormat="false" ht="15" hidden="false" customHeight="false" outlineLevel="0" collapsed="false">
      <c r="A6" s="0" t="s">
        <v>68</v>
      </c>
      <c r="B6" s="0" t="n">
        <v>86585</v>
      </c>
      <c r="F6" s="0" t="n">
        <v>13035</v>
      </c>
      <c r="G6" s="0" t="n">
        <v>15.1</v>
      </c>
      <c r="H6" s="0" t="n">
        <v>63017</v>
      </c>
      <c r="I6" s="0" t="n">
        <v>7329</v>
      </c>
      <c r="J6" s="0" t="n">
        <v>8.5</v>
      </c>
      <c r="K6" s="0" t="n">
        <v>0.419</v>
      </c>
      <c r="L6" s="0" t="n">
        <v>60503</v>
      </c>
      <c r="M6" s="0" t="n">
        <v>32675</v>
      </c>
      <c r="N6" s="0" t="n">
        <v>27828</v>
      </c>
      <c r="O6" s="0" t="n">
        <v>189354</v>
      </c>
      <c r="P6" s="0" t="n">
        <v>323259</v>
      </c>
      <c r="Q6" s="0" t="n">
        <v>133905</v>
      </c>
      <c r="R6" s="0" t="n">
        <v>78714</v>
      </c>
      <c r="S6" s="0" t="n">
        <v>6471</v>
      </c>
      <c r="T6" s="0" t="n">
        <v>17600.8</v>
      </c>
      <c r="AA6" s="0" t="s">
        <v>18</v>
      </c>
      <c r="AB6" s="0" t="s">
        <v>14</v>
      </c>
    </row>
    <row r="7" customFormat="false" ht="15" hidden="false" customHeight="false" outlineLevel="0" collapsed="false">
      <c r="A7" s="0" t="s">
        <v>69</v>
      </c>
      <c r="B7" s="0" t="n">
        <v>92170</v>
      </c>
      <c r="F7" s="0" t="n">
        <v>13312</v>
      </c>
      <c r="G7" s="0" t="n">
        <v>14.4</v>
      </c>
      <c r="H7" s="0" t="n">
        <v>62844</v>
      </c>
      <c r="I7" s="0" t="n">
        <v>8787</v>
      </c>
      <c r="J7" s="0" t="n">
        <v>9.5</v>
      </c>
      <c r="K7" s="0" t="n">
        <v>0.503</v>
      </c>
      <c r="L7" s="0" t="n">
        <v>65134</v>
      </c>
      <c r="M7" s="0" t="n">
        <v>28662</v>
      </c>
      <c r="N7" s="0" t="n">
        <v>36472</v>
      </c>
      <c r="O7" s="0" t="n">
        <v>193591</v>
      </c>
      <c r="P7" s="0" t="n">
        <v>305560</v>
      </c>
      <c r="Q7" s="0" t="n">
        <v>111969</v>
      </c>
      <c r="R7" s="0" t="n">
        <v>57045</v>
      </c>
      <c r="S7" s="0" t="n">
        <v>5117</v>
      </c>
      <c r="T7" s="0" t="n">
        <v>17600.8</v>
      </c>
      <c r="AA7" s="0" t="s">
        <v>18</v>
      </c>
      <c r="AB7" s="0" t="s">
        <v>14</v>
      </c>
    </row>
    <row r="8" customFormat="false" ht="15" hidden="false" customHeight="false" outlineLevel="0" collapsed="false">
      <c r="A8" s="0" t="s">
        <v>70</v>
      </c>
      <c r="B8" s="0" t="n">
        <v>94009</v>
      </c>
      <c r="F8" s="0" t="n">
        <v>14502</v>
      </c>
      <c r="G8" s="0" t="n">
        <v>15.4</v>
      </c>
      <c r="H8" s="0" t="n">
        <v>63551</v>
      </c>
      <c r="I8" s="0" t="n">
        <v>9750</v>
      </c>
      <c r="J8" s="0" t="n">
        <v>10.4</v>
      </c>
      <c r="K8" s="0" t="n">
        <v>0.5578</v>
      </c>
      <c r="L8" s="0" t="n">
        <v>32840</v>
      </c>
      <c r="M8" s="0" t="n">
        <v>33478</v>
      </c>
      <c r="N8" s="0" t="n">
        <v>-638</v>
      </c>
      <c r="O8" s="0" t="n">
        <v>197694</v>
      </c>
      <c r="P8" s="0" t="n">
        <v>326007</v>
      </c>
      <c r="Q8" s="0" t="n">
        <v>128313</v>
      </c>
      <c r="R8" s="0" t="n">
        <v>73115</v>
      </c>
      <c r="S8" s="0" t="n">
        <v>3955</v>
      </c>
      <c r="T8" s="0" t="n">
        <v>17600.8</v>
      </c>
      <c r="AA8" s="0" t="s">
        <v>18</v>
      </c>
      <c r="AB8" s="0" t="s">
        <v>14</v>
      </c>
    </row>
    <row r="9" customFormat="false" ht="15" hidden="false" customHeight="false" outlineLevel="0" collapsed="false">
      <c r="A9" s="0" t="s">
        <v>71</v>
      </c>
      <c r="B9" s="0" t="n">
        <v>97772</v>
      </c>
      <c r="F9" s="0" t="n">
        <v>16330</v>
      </c>
      <c r="G9" s="0" t="n">
        <v>16.7</v>
      </c>
      <c r="H9" s="0" t="n">
        <v>66559</v>
      </c>
      <c r="I9" s="0" t="n">
        <v>10729</v>
      </c>
      <c r="J9" s="0" t="n">
        <v>11</v>
      </c>
      <c r="K9" s="0" t="n">
        <v>0.6138</v>
      </c>
      <c r="L9" s="0" t="n">
        <v>49468</v>
      </c>
      <c r="M9" s="0" t="n">
        <v>29789</v>
      </c>
      <c r="N9" s="0" t="n">
        <v>19679</v>
      </c>
      <c r="O9" s="0" t="n">
        <v>199978</v>
      </c>
      <c r="P9" s="0" t="n">
        <v>332834</v>
      </c>
      <c r="Q9" s="0" t="n">
        <v>132855</v>
      </c>
      <c r="R9" s="0" t="n">
        <v>69609</v>
      </c>
      <c r="S9" s="0" t="n">
        <v>2598</v>
      </c>
      <c r="T9" s="0" t="n">
        <v>17600.8</v>
      </c>
      <c r="AA9" s="0" t="s">
        <v>18</v>
      </c>
      <c r="AB9" s="0" t="s">
        <v>14</v>
      </c>
    </row>
    <row r="10" customFormat="false" ht="15" hidden="false" customHeight="false" outlineLevel="0" collapsed="false">
      <c r="A10" s="0" t="s">
        <v>72</v>
      </c>
      <c r="B10" s="0" t="n">
        <v>100411</v>
      </c>
      <c r="F10" s="0" t="n">
        <v>17360</v>
      </c>
      <c r="G10" s="0" t="n">
        <v>17.3</v>
      </c>
      <c r="H10" s="0" t="n">
        <v>65814</v>
      </c>
      <c r="I10" s="0" t="n">
        <v>11630</v>
      </c>
      <c r="J10" s="0" t="n">
        <v>11.6</v>
      </c>
      <c r="K10" s="0" t="n">
        <v>0.6653</v>
      </c>
      <c r="L10" s="0" t="n">
        <v>56116</v>
      </c>
      <c r="M10" s="0" t="n">
        <v>30519</v>
      </c>
      <c r="N10" s="0" t="n">
        <v>25597</v>
      </c>
      <c r="O10" s="0" t="n">
        <v>203906</v>
      </c>
      <c r="P10" s="0" t="n">
        <v>336579</v>
      </c>
      <c r="Q10" s="0" t="n">
        <v>132671</v>
      </c>
      <c r="R10" s="0" t="n">
        <v>67434</v>
      </c>
      <c r="S10" s="0" t="n">
        <v>12312</v>
      </c>
      <c r="T10" s="0" t="n">
        <v>17601</v>
      </c>
      <c r="AA10" s="0" t="s">
        <v>18</v>
      </c>
      <c r="AB1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73</v>
      </c>
      <c r="B1" s="2" t="s">
        <v>74</v>
      </c>
    </row>
    <row r="2" customFormat="false" ht="15" hidden="false" customHeight="false" outlineLevel="0" collapsed="false">
      <c r="A2" s="0" t="s">
        <v>75</v>
      </c>
      <c r="B2" s="3" t="n">
        <v>9.185</v>
      </c>
    </row>
    <row r="3" customFormat="false" ht="15" hidden="false" customHeight="false" outlineLevel="0" collapsed="false">
      <c r="A3" s="0" t="s">
        <v>76</v>
      </c>
      <c r="B3" s="3" t="n">
        <v>17600.85</v>
      </c>
    </row>
    <row r="4" customFormat="false" ht="15" hidden="false" customHeight="false" outlineLevel="0" collapsed="false">
      <c r="A4" s="0" t="s">
        <v>77</v>
      </c>
      <c r="B4" s="3" t="n">
        <v>71099</v>
      </c>
    </row>
    <row r="5" customFormat="false" ht="15" hidden="false" customHeight="false" outlineLevel="0" collapsed="false">
      <c r="A5" s="0" t="s">
        <v>78</v>
      </c>
      <c r="B5" s="3" t="n">
        <v>-23500</v>
      </c>
    </row>
    <row r="6" customFormat="false" ht="15" hidden="false" customHeight="false" outlineLevel="0" collapsed="false">
      <c r="A6" s="0" t="s">
        <v>79</v>
      </c>
      <c r="B6" s="3" t="n">
        <v>15</v>
      </c>
    </row>
    <row r="7" customFormat="false" ht="15" hidden="false" customHeight="false" outlineLevel="0" collapsed="false">
      <c r="A7" s="0" t="s">
        <v>80</v>
      </c>
      <c r="B7" s="3" t="n">
        <v>100411</v>
      </c>
    </row>
    <row r="8" customFormat="false" ht="15" hidden="false" customHeight="false" outlineLevel="0" collapsed="false">
      <c r="A8" s="0" t="s">
        <v>81</v>
      </c>
      <c r="B8" s="3" t="s">
        <v>72</v>
      </c>
    </row>
    <row r="9" customFormat="false" ht="15" hidden="false" customHeight="false" outlineLevel="0" collapsed="false">
      <c r="A9" s="0" t="s">
        <v>82</v>
      </c>
      <c r="B9" s="3" t="s">
        <v>83</v>
      </c>
    </row>
    <row r="10" customFormat="false" ht="15" hidden="false" customHeight="false" outlineLevel="0" collapsed="false">
      <c r="A10" s="0" t="s">
        <v>84</v>
      </c>
      <c r="B10" s="3" t="n">
        <v>1.1721</v>
      </c>
    </row>
    <row r="12" customFormat="false" ht="15" hidden="false" customHeight="false" outlineLevel="0" collapsed="false">
      <c r="A12" s="2" t="s">
        <v>85</v>
      </c>
      <c r="C12" s="2" t="s">
        <v>86</v>
      </c>
      <c r="D12" s="2" t="s">
        <v>87</v>
      </c>
      <c r="E12" s="2" t="s">
        <v>88</v>
      </c>
      <c r="F12" s="2" t="s">
        <v>89</v>
      </c>
      <c r="G12" s="2" t="s">
        <v>90</v>
      </c>
      <c r="H12" s="2" t="s">
        <v>91</v>
      </c>
      <c r="I12" s="2" t="s">
        <v>92</v>
      </c>
      <c r="J12" s="2" t="s">
        <v>93</v>
      </c>
      <c r="K12" s="2" t="s">
        <v>94</v>
      </c>
      <c r="L12" s="2" t="s">
        <v>95</v>
      </c>
    </row>
    <row r="13" customFormat="false" ht="15" hidden="false" customHeight="false" outlineLevel="0" collapsed="false">
      <c r="A13" s="0" t="s">
        <v>96</v>
      </c>
      <c r="C13" s="3" t="n">
        <v>-3</v>
      </c>
      <c r="D13" s="3" t="n">
        <v>-2.5</v>
      </c>
      <c r="E13" s="3" t="n">
        <v>-5</v>
      </c>
      <c r="F13" s="3" t="n">
        <v>-1.5</v>
      </c>
      <c r="G13" s="3" t="n">
        <v>-1</v>
      </c>
      <c r="H13" s="3" t="n">
        <v>0</v>
      </c>
      <c r="I13" s="3" t="n">
        <v>0</v>
      </c>
      <c r="J13" s="3" t="n">
        <v>0.5</v>
      </c>
      <c r="K13" s="3" t="n">
        <v>0.5</v>
      </c>
      <c r="L13" s="3" t="n">
        <v>0.5</v>
      </c>
    </row>
    <row r="14" customFormat="false" ht="15" hidden="false" customHeight="false" outlineLevel="0" collapsed="false">
      <c r="A14" s="0" t="s">
        <v>97</v>
      </c>
      <c r="C14" s="3" t="n">
        <v>61</v>
      </c>
      <c r="D14" s="3" t="n">
        <v>59.5</v>
      </c>
      <c r="E14" s="3" t="n">
        <v>56</v>
      </c>
      <c r="F14" s="3" t="n">
        <v>55.5</v>
      </c>
      <c r="G14" s="3" t="n">
        <v>55</v>
      </c>
      <c r="H14" s="3" t="n">
        <v>55</v>
      </c>
      <c r="I14" s="3" t="n">
        <v>55</v>
      </c>
      <c r="J14" s="3" t="n">
        <v>55</v>
      </c>
      <c r="K14" s="3" t="n">
        <v>55</v>
      </c>
      <c r="L14" s="3" t="n">
        <v>55</v>
      </c>
    </row>
    <row r="15" customFormat="false" ht="15" hidden="false" customHeight="false" outlineLevel="0" collapsed="false">
      <c r="A15" s="0" t="s">
        <v>98</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99</v>
      </c>
      <c r="C16" s="3" t="n">
        <v>10</v>
      </c>
      <c r="D16" s="3" t="n">
        <v>10</v>
      </c>
      <c r="E16" s="3" t="n">
        <v>10</v>
      </c>
      <c r="F16" s="3" t="n">
        <v>10</v>
      </c>
      <c r="G16" s="3" t="n">
        <v>10</v>
      </c>
      <c r="H16" s="3" t="n">
        <v>10</v>
      </c>
      <c r="I16" s="3" t="n">
        <v>10</v>
      </c>
      <c r="J16" s="3" t="n">
        <v>10</v>
      </c>
      <c r="K16" s="3" t="n">
        <v>10</v>
      </c>
      <c r="L16" s="3" t="n">
        <v>10</v>
      </c>
    </row>
    <row r="17" customFormat="false" ht="15" hidden="false" customHeight="false" outlineLevel="0" collapsed="false">
      <c r="A17" s="0" t="s">
        <v>100</v>
      </c>
      <c r="C17" s="3" t="n">
        <v>28</v>
      </c>
      <c r="D17" s="3" t="n">
        <v>26.5</v>
      </c>
      <c r="E17" s="3" t="n">
        <v>25.5</v>
      </c>
      <c r="F17" s="3" t="n">
        <v>25</v>
      </c>
      <c r="G17" s="3" t="n">
        <v>24.5</v>
      </c>
      <c r="H17" s="3" t="n">
        <v>24</v>
      </c>
      <c r="I17" s="3" t="n">
        <v>24</v>
      </c>
      <c r="J17" s="3" t="n">
        <v>24</v>
      </c>
      <c r="K17" s="3" t="n">
        <v>24</v>
      </c>
      <c r="L17" s="3" t="n">
        <v>24</v>
      </c>
    </row>
    <row r="18" customFormat="false" ht="15" hidden="false" customHeight="false" outlineLevel="0" collapsed="false">
      <c r="A18" s="0" t="s">
        <v>101</v>
      </c>
      <c r="C18" s="3" t="n">
        <v>28</v>
      </c>
      <c r="D18" s="3" t="n">
        <v>27</v>
      </c>
      <c r="E18" s="3" t="n">
        <v>26</v>
      </c>
      <c r="F18" s="3" t="n">
        <v>26</v>
      </c>
      <c r="G18" s="3" t="n">
        <v>26</v>
      </c>
      <c r="H18" s="3" t="n">
        <v>26</v>
      </c>
      <c r="I18" s="3" t="n">
        <v>26</v>
      </c>
      <c r="J18" s="3" t="n">
        <v>26</v>
      </c>
      <c r="K18" s="3" t="n">
        <v>26</v>
      </c>
      <c r="L18" s="3" t="n">
        <v>26</v>
      </c>
    </row>
    <row r="19" customFormat="false" ht="15" hidden="false" customHeight="false" outlineLevel="0" collapsed="false">
      <c r="A19" s="0" t="s">
        <v>102</v>
      </c>
      <c r="C19" s="3" t="n">
        <v>25</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103</v>
      </c>
      <c r="B20" s="3" t="n">
        <v>6.5</v>
      </c>
    </row>
    <row r="21" customFormat="false" ht="15" hidden="false" customHeight="false" outlineLevel="0" collapsed="false">
      <c r="A21" s="0" t="s">
        <v>104</v>
      </c>
      <c r="B21" s="3" t="n">
        <v>0.5</v>
      </c>
    </row>
    <row r="22" customFormat="false" ht="15" hidden="false" customHeight="false" outlineLevel="0" collapsed="false">
      <c r="A22" s="0" t="s">
        <v>105</v>
      </c>
      <c r="B22" s="3" t="n">
        <v>11</v>
      </c>
    </row>
    <row r="23" customFormat="false" ht="15" hidden="false" customHeight="false" outlineLevel="0" collapsed="false">
      <c r="A23" s="0" t="s">
        <v>106</v>
      </c>
      <c r="B23" s="3" t="n">
        <v>-60</v>
      </c>
    </row>
    <row r="24" customFormat="false" ht="15" hidden="false" customHeight="false" outlineLevel="0" collapsed="false">
      <c r="A24" s="0" t="s">
        <v>107</v>
      </c>
      <c r="B24" s="3" t="n">
        <v>0.3</v>
      </c>
    </row>
    <row r="26" customFormat="false" ht="15" hidden="false" customHeight="false" outlineLevel="0" collapsed="false">
      <c r="A26" s="2" t="s">
        <v>108</v>
      </c>
      <c r="C26" s="2" t="s">
        <v>86</v>
      </c>
      <c r="D26" s="2" t="s">
        <v>87</v>
      </c>
      <c r="E26" s="2" t="s">
        <v>88</v>
      </c>
      <c r="F26" s="2" t="s">
        <v>89</v>
      </c>
      <c r="G26" s="2" t="s">
        <v>90</v>
      </c>
      <c r="H26" s="2" t="s">
        <v>91</v>
      </c>
      <c r="I26" s="2" t="s">
        <v>92</v>
      </c>
      <c r="J26" s="2" t="s">
        <v>93</v>
      </c>
      <c r="K26" s="2" t="s">
        <v>94</v>
      </c>
      <c r="L26" s="2" t="s">
        <v>95</v>
      </c>
    </row>
    <row r="27" customFormat="false" ht="15" hidden="false" customHeight="false" outlineLevel="0" collapsed="false">
      <c r="A27" s="0" t="s">
        <v>96</v>
      </c>
      <c r="C27" s="3" t="n">
        <v>-2</v>
      </c>
      <c r="D27" s="3" t="n">
        <v>-1</v>
      </c>
      <c r="E27" s="3" t="n">
        <v>-2</v>
      </c>
      <c r="F27" s="3" t="n">
        <v>0.5</v>
      </c>
      <c r="G27" s="3" t="n">
        <v>1</v>
      </c>
      <c r="H27" s="3" t="n">
        <v>1.5</v>
      </c>
      <c r="I27" s="3" t="n">
        <v>1.5</v>
      </c>
      <c r="J27" s="3" t="n">
        <v>1.5</v>
      </c>
      <c r="K27" s="3" t="n">
        <v>1.5</v>
      </c>
      <c r="L27" s="3" t="n">
        <v>1.5</v>
      </c>
    </row>
    <row r="28" customFormat="false" ht="15" hidden="false" customHeight="false" outlineLevel="0" collapsed="false">
      <c r="A28" s="0" t="s">
        <v>97</v>
      </c>
      <c r="C28" s="3" t="n">
        <v>62</v>
      </c>
      <c r="D28" s="3" t="n">
        <v>61.5</v>
      </c>
      <c r="E28" s="3" t="n">
        <v>60.5</v>
      </c>
      <c r="F28" s="3" t="n">
        <v>60.5</v>
      </c>
      <c r="G28" s="3" t="n">
        <v>60.5</v>
      </c>
      <c r="H28" s="3" t="n">
        <v>60.5</v>
      </c>
      <c r="I28" s="3" t="n">
        <v>60.5</v>
      </c>
      <c r="J28" s="3" t="n">
        <v>60.5</v>
      </c>
      <c r="K28" s="3" t="n">
        <v>60.5</v>
      </c>
      <c r="L28" s="3" t="n">
        <v>60.5</v>
      </c>
    </row>
    <row r="29" customFormat="false" ht="15" hidden="false" customHeight="false" outlineLevel="0" collapsed="false">
      <c r="A29" s="0" t="s">
        <v>98</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99</v>
      </c>
      <c r="C30" s="3" t="n">
        <v>9.8</v>
      </c>
      <c r="D30" s="3" t="n">
        <v>9.8</v>
      </c>
      <c r="E30" s="3" t="n">
        <v>9.8</v>
      </c>
      <c r="F30" s="3" t="n">
        <v>9.8</v>
      </c>
      <c r="G30" s="3" t="n">
        <v>9.8</v>
      </c>
      <c r="H30" s="3" t="n">
        <v>9.8</v>
      </c>
      <c r="I30" s="3" t="n">
        <v>9.8</v>
      </c>
      <c r="J30" s="3" t="n">
        <v>9.8</v>
      </c>
      <c r="K30" s="3" t="n">
        <v>9.8</v>
      </c>
      <c r="L30" s="3" t="n">
        <v>9.8</v>
      </c>
    </row>
    <row r="31" customFormat="false" ht="15" hidden="false" customHeight="false" outlineLevel="0" collapsed="false">
      <c r="A31" s="0" t="s">
        <v>100</v>
      </c>
      <c r="C31" s="3" t="n">
        <v>28</v>
      </c>
      <c r="D31" s="3" t="n">
        <v>26.5</v>
      </c>
      <c r="E31" s="3" t="n">
        <v>25.5</v>
      </c>
      <c r="F31" s="3" t="n">
        <v>25</v>
      </c>
      <c r="G31" s="3" t="n">
        <v>24.5</v>
      </c>
      <c r="H31" s="3" t="n">
        <v>24</v>
      </c>
      <c r="I31" s="3" t="n">
        <v>24</v>
      </c>
      <c r="J31" s="3" t="n">
        <v>24</v>
      </c>
      <c r="K31" s="3" t="n">
        <v>24</v>
      </c>
      <c r="L31" s="3" t="n">
        <v>24</v>
      </c>
    </row>
    <row r="32" customFormat="false" ht="15" hidden="false" customHeight="false" outlineLevel="0" collapsed="false">
      <c r="A32" s="0" t="s">
        <v>101</v>
      </c>
      <c r="C32" s="3" t="n">
        <v>28</v>
      </c>
      <c r="D32" s="3" t="n">
        <v>27</v>
      </c>
      <c r="E32" s="3" t="n">
        <v>26</v>
      </c>
      <c r="F32" s="3" t="n">
        <v>25.5</v>
      </c>
      <c r="G32" s="3" t="n">
        <v>25</v>
      </c>
      <c r="H32" s="3" t="n">
        <v>25</v>
      </c>
      <c r="I32" s="3" t="n">
        <v>25</v>
      </c>
      <c r="J32" s="3" t="n">
        <v>25</v>
      </c>
      <c r="K32" s="3" t="n">
        <v>25</v>
      </c>
      <c r="L32" s="3" t="n">
        <v>25</v>
      </c>
    </row>
    <row r="33" customFormat="false" ht="15" hidden="false" customHeight="false" outlineLevel="0" collapsed="false">
      <c r="A33" s="0" t="s">
        <v>102</v>
      </c>
      <c r="C33" s="3" t="n">
        <v>25</v>
      </c>
      <c r="D33" s="3" t="n">
        <v>25</v>
      </c>
      <c r="E33" s="3" t="n">
        <v>25</v>
      </c>
      <c r="F33" s="3" t="n">
        <v>25</v>
      </c>
      <c r="G33" s="3" t="n">
        <v>25</v>
      </c>
      <c r="H33" s="3" t="n">
        <v>25</v>
      </c>
      <c r="I33" s="3" t="n">
        <v>25</v>
      </c>
      <c r="J33" s="3" t="n">
        <v>25</v>
      </c>
      <c r="K33" s="3" t="n">
        <v>25</v>
      </c>
      <c r="L33" s="3" t="n">
        <v>25</v>
      </c>
    </row>
    <row r="34" customFormat="false" ht="15" hidden="false" customHeight="false" outlineLevel="0" collapsed="false">
      <c r="A34" s="0" t="s">
        <v>103</v>
      </c>
      <c r="B34" s="3" t="n">
        <v>6.5</v>
      </c>
    </row>
    <row r="35" customFormat="false" ht="15" hidden="false" customHeight="false" outlineLevel="0" collapsed="false">
      <c r="A35" s="0" t="s">
        <v>104</v>
      </c>
      <c r="B35" s="3" t="n">
        <v>1.5</v>
      </c>
    </row>
    <row r="36" customFormat="false" ht="15" hidden="false" customHeight="false" outlineLevel="0" collapsed="false">
      <c r="A36" s="0" t="s">
        <v>105</v>
      </c>
      <c r="B36" s="3" t="n">
        <v>14</v>
      </c>
    </row>
    <row r="37" customFormat="false" ht="15" hidden="false" customHeight="false" outlineLevel="0" collapsed="false">
      <c r="A37" s="0" t="s">
        <v>106</v>
      </c>
      <c r="B37" s="3" t="n">
        <v>-60</v>
      </c>
    </row>
    <row r="38" customFormat="false" ht="15" hidden="false" customHeight="false" outlineLevel="0" collapsed="false">
      <c r="A38" s="0" t="s">
        <v>107</v>
      </c>
      <c r="B38" s="3" t="n">
        <v>0.5</v>
      </c>
    </row>
    <row r="40" customFormat="false" ht="15" hidden="false" customHeight="false" outlineLevel="0" collapsed="false">
      <c r="A40" s="2" t="s">
        <v>109</v>
      </c>
      <c r="C40" s="2" t="s">
        <v>86</v>
      </c>
      <c r="D40" s="2" t="s">
        <v>87</v>
      </c>
      <c r="E40" s="2" t="s">
        <v>88</v>
      </c>
      <c r="F40" s="2" t="s">
        <v>89</v>
      </c>
      <c r="G40" s="2" t="s">
        <v>90</v>
      </c>
      <c r="H40" s="2" t="s">
        <v>91</v>
      </c>
      <c r="I40" s="2" t="s">
        <v>92</v>
      </c>
      <c r="J40" s="2" t="s">
        <v>93</v>
      </c>
      <c r="K40" s="2" t="s">
        <v>94</v>
      </c>
      <c r="L40" s="2" t="s">
        <v>95</v>
      </c>
    </row>
    <row r="41" customFormat="false" ht="15" hidden="false" customHeight="false" outlineLevel="0" collapsed="false">
      <c r="A41" s="0" t="s">
        <v>96</v>
      </c>
      <c r="C41" s="3" t="n">
        <v>-1</v>
      </c>
      <c r="D41" s="3" t="n">
        <v>0.5</v>
      </c>
      <c r="E41" s="3" t="n">
        <v>0.5</v>
      </c>
      <c r="F41" s="3" t="n">
        <v>2</v>
      </c>
      <c r="G41" s="3" t="n">
        <v>2.5</v>
      </c>
      <c r="H41" s="3" t="n">
        <v>2.5</v>
      </c>
      <c r="I41" s="3" t="n">
        <v>2.5</v>
      </c>
      <c r="J41" s="3" t="n">
        <v>2.5</v>
      </c>
      <c r="K41" s="3" t="n">
        <v>2.5</v>
      </c>
      <c r="L41" s="3" t="n">
        <v>2.5</v>
      </c>
    </row>
    <row r="42" customFormat="false" ht="15" hidden="false" customHeight="false" outlineLevel="0" collapsed="false">
      <c r="A42" s="0" t="s">
        <v>97</v>
      </c>
      <c r="C42" s="3" t="n">
        <v>62.5</v>
      </c>
      <c r="D42" s="3" t="n">
        <v>62.5</v>
      </c>
      <c r="E42" s="3" t="n">
        <v>62.5</v>
      </c>
      <c r="F42" s="3" t="n">
        <v>63</v>
      </c>
      <c r="G42" s="3" t="n">
        <v>63</v>
      </c>
      <c r="H42" s="3" t="n">
        <v>63.5</v>
      </c>
      <c r="I42" s="3" t="n">
        <v>63.5</v>
      </c>
      <c r="J42" s="3" t="n">
        <v>63.5</v>
      </c>
      <c r="K42" s="3" t="n">
        <v>63.5</v>
      </c>
      <c r="L42" s="3" t="n">
        <v>63.5</v>
      </c>
    </row>
    <row r="43" customFormat="false" ht="15" hidden="false" customHeight="false" outlineLevel="0" collapsed="false">
      <c r="A43" s="0" t="s">
        <v>98</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99</v>
      </c>
      <c r="C44" s="3" t="n">
        <v>9.6</v>
      </c>
      <c r="D44" s="3" t="n">
        <v>9.5</v>
      </c>
      <c r="E44" s="3" t="n">
        <v>9.4</v>
      </c>
      <c r="F44" s="3" t="n">
        <v>9.3</v>
      </c>
      <c r="G44" s="3" t="n">
        <v>9.2</v>
      </c>
      <c r="H44" s="3" t="n">
        <v>9.1</v>
      </c>
      <c r="I44" s="3" t="n">
        <v>9</v>
      </c>
      <c r="J44" s="3" t="n">
        <v>9</v>
      </c>
      <c r="K44" s="3" t="n">
        <v>9</v>
      </c>
      <c r="L44" s="3" t="n">
        <v>9</v>
      </c>
    </row>
    <row r="45" customFormat="false" ht="15" hidden="false" customHeight="false" outlineLevel="0" collapsed="false">
      <c r="A45" s="0" t="s">
        <v>100</v>
      </c>
      <c r="C45" s="3" t="n">
        <v>28</v>
      </c>
      <c r="D45" s="3" t="n">
        <v>26</v>
      </c>
      <c r="E45" s="3" t="n">
        <v>25</v>
      </c>
      <c r="F45" s="3" t="n">
        <v>24</v>
      </c>
      <c r="G45" s="3" t="n">
        <v>24</v>
      </c>
      <c r="H45" s="3" t="n">
        <v>24</v>
      </c>
      <c r="I45" s="3" t="n">
        <v>24</v>
      </c>
      <c r="J45" s="3" t="n">
        <v>24</v>
      </c>
      <c r="K45" s="3" t="n">
        <v>24</v>
      </c>
      <c r="L45" s="3" t="n">
        <v>24</v>
      </c>
    </row>
    <row r="46" customFormat="false" ht="15" hidden="false" customHeight="false" outlineLevel="0" collapsed="false">
      <c r="A46" s="0" t="s">
        <v>101</v>
      </c>
      <c r="C46" s="3" t="n">
        <v>28</v>
      </c>
      <c r="D46" s="3" t="n">
        <v>26.5</v>
      </c>
      <c r="E46" s="3" t="n">
        <v>25.5</v>
      </c>
      <c r="F46" s="3" t="n">
        <v>25</v>
      </c>
      <c r="G46" s="3" t="n">
        <v>25</v>
      </c>
      <c r="H46" s="3" t="n">
        <v>25</v>
      </c>
      <c r="I46" s="3" t="n">
        <v>25</v>
      </c>
      <c r="J46" s="3" t="n">
        <v>25</v>
      </c>
      <c r="K46" s="3" t="n">
        <v>25</v>
      </c>
      <c r="L46" s="3" t="n">
        <v>25</v>
      </c>
    </row>
    <row r="47" customFormat="false" ht="15" hidden="false" customHeight="false" outlineLevel="0" collapsed="false">
      <c r="A47" s="0" t="s">
        <v>102</v>
      </c>
      <c r="C47" s="3" t="n">
        <v>25</v>
      </c>
      <c r="D47" s="3" t="n">
        <v>25</v>
      </c>
      <c r="E47" s="3" t="n">
        <v>25</v>
      </c>
      <c r="F47" s="3" t="n">
        <v>25</v>
      </c>
      <c r="G47" s="3" t="n">
        <v>25</v>
      </c>
      <c r="H47" s="3" t="n">
        <v>25</v>
      </c>
      <c r="I47" s="3" t="n">
        <v>25</v>
      </c>
      <c r="J47" s="3" t="n">
        <v>25</v>
      </c>
      <c r="K47" s="3" t="n">
        <v>25</v>
      </c>
      <c r="L47" s="3" t="n">
        <v>25</v>
      </c>
    </row>
    <row r="48" customFormat="false" ht="15" hidden="false" customHeight="false" outlineLevel="0" collapsed="false">
      <c r="A48" s="0" t="s">
        <v>103</v>
      </c>
      <c r="B48" s="3" t="n">
        <v>6.5</v>
      </c>
    </row>
    <row r="49" customFormat="false" ht="15" hidden="false" customHeight="false" outlineLevel="0" collapsed="false">
      <c r="A49" s="0" t="s">
        <v>104</v>
      </c>
      <c r="B49" s="3" t="n">
        <v>2</v>
      </c>
    </row>
    <row r="50" customFormat="false" ht="15" hidden="false" customHeight="false" outlineLevel="0" collapsed="false">
      <c r="A50" s="0" t="s">
        <v>105</v>
      </c>
      <c r="B50" s="3" t="n">
        <v>16</v>
      </c>
    </row>
    <row r="51" customFormat="false" ht="15" hidden="false" customHeight="false" outlineLevel="0" collapsed="false">
      <c r="A51" s="0" t="s">
        <v>106</v>
      </c>
      <c r="B51" s="3" t="n">
        <v>-60</v>
      </c>
    </row>
    <row r="52" customFormat="false" ht="15" hidden="false" customHeight="false" outlineLevel="0" collapsed="false">
      <c r="A52" s="0" t="s">
        <v>107</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110</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Assumptions!C13</f>
        <v>-3</v>
      </c>
      <c r="D5" s="4" t="n">
        <f aca="false">Assumptions!D13</f>
        <v>-2.5</v>
      </c>
      <c r="E5" s="4" t="n">
        <f aca="false">Assumptions!E13</f>
        <v>-5</v>
      </c>
      <c r="F5" s="4" t="n">
        <f aca="false">Assumptions!F13</f>
        <v>-1.5</v>
      </c>
      <c r="G5" s="4" t="n">
        <f aca="false">Assumptions!G13</f>
        <v>-1</v>
      </c>
      <c r="H5" s="4" t="n">
        <f aca="false">Assumptions!H13</f>
        <v>0</v>
      </c>
      <c r="I5" s="4" t="n">
        <f aca="false">Assumptions!I13</f>
        <v>0</v>
      </c>
      <c r="J5" s="4" t="n">
        <f aca="false">Assumptions!J13</f>
        <v>0.5</v>
      </c>
      <c r="K5" s="4" t="n">
        <f aca="false">Assumptions!K13</f>
        <v>0.5</v>
      </c>
      <c r="L5" s="4" t="n">
        <f aca="false">Assumptions!L13</f>
        <v>0.5</v>
      </c>
    </row>
    <row r="6" customFormat="false" ht="15" hidden="false" customHeight="false" outlineLevel="0" collapsed="false">
      <c r="A6" s="0" t="s">
        <v>38</v>
      </c>
      <c r="B6" s="3" t="n">
        <v>100411</v>
      </c>
      <c r="C6" s="0" t="n">
        <f aca="false">B6*(1+C5/100)</f>
        <v>97398.67</v>
      </c>
      <c r="D6" s="0" t="n">
        <f aca="false">C6*(1+D5/100)</f>
        <v>94963.70325</v>
      </c>
      <c r="E6" s="0" t="n">
        <f aca="false">D6*(1+E5/100)</f>
        <v>90215.5180875</v>
      </c>
      <c r="F6" s="0" t="n">
        <f aca="false">E6*(1+F5/100)</f>
        <v>88862.2853161875</v>
      </c>
      <c r="G6" s="0" t="n">
        <f aca="false">F6*(1+G5/100)</f>
        <v>87973.6624630256</v>
      </c>
      <c r="H6" s="0" t="n">
        <f aca="false">G6*(1+H5/100)</f>
        <v>87973.6624630256</v>
      </c>
      <c r="I6" s="0" t="n">
        <f aca="false">H6*(1+I5/100)</f>
        <v>87973.6624630256</v>
      </c>
      <c r="J6" s="0" t="n">
        <f aca="false">I6*(1+J5/100)</f>
        <v>88413.5307753407</v>
      </c>
      <c r="K6" s="0" t="n">
        <f aca="false">J6*(1+K5/100)</f>
        <v>88855.5984292174</v>
      </c>
      <c r="L6" s="0" t="n">
        <f aca="false">K6*(1+L5/100)</f>
        <v>89299.8764213635</v>
      </c>
    </row>
    <row r="7" customFormat="false" ht="15" hidden="false" customHeight="false" outlineLevel="0" collapsed="false">
      <c r="A7" s="0" t="s">
        <v>97</v>
      </c>
      <c r="C7" s="4" t="n">
        <f aca="false">Assumptions!C14</f>
        <v>61</v>
      </c>
      <c r="D7" s="4" t="n">
        <f aca="false">Assumptions!D14</f>
        <v>59.5</v>
      </c>
      <c r="E7" s="4" t="n">
        <f aca="false">Assumptions!E14</f>
        <v>56</v>
      </c>
      <c r="F7" s="4" t="n">
        <f aca="false">Assumptions!F14</f>
        <v>55.5</v>
      </c>
      <c r="G7" s="4" t="n">
        <f aca="false">Assumptions!G14</f>
        <v>55</v>
      </c>
      <c r="H7" s="4" t="n">
        <f aca="false">Assumptions!H14</f>
        <v>55</v>
      </c>
      <c r="I7" s="4" t="n">
        <f aca="false">Assumptions!I14</f>
        <v>55</v>
      </c>
      <c r="J7" s="4" t="n">
        <f aca="false">Assumptions!J14</f>
        <v>55</v>
      </c>
      <c r="K7" s="4" t="n">
        <f aca="false">Assumptions!K14</f>
        <v>55</v>
      </c>
      <c r="L7" s="4" t="n">
        <f aca="false">Assumptions!L14</f>
        <v>55</v>
      </c>
    </row>
    <row r="8" customFormat="false" ht="15" hidden="false" customHeight="false" outlineLevel="0" collapsed="false">
      <c r="A8" s="0" t="s">
        <v>44</v>
      </c>
      <c r="C8" s="0" t="n">
        <f aca="false">C6*C7/100</f>
        <v>59413.1887</v>
      </c>
      <c r="D8" s="0" t="n">
        <f aca="false">D6*D7/100</f>
        <v>56503.40343375</v>
      </c>
      <c r="E8" s="0" t="n">
        <f aca="false">E6*E7/100</f>
        <v>50520.690129</v>
      </c>
      <c r="F8" s="0" t="n">
        <f aca="false">F6*F7/100</f>
        <v>49318.5683504841</v>
      </c>
      <c r="G8" s="0" t="n">
        <f aca="false">G6*G7/100</f>
        <v>48385.5143546641</v>
      </c>
      <c r="H8" s="0" t="n">
        <f aca="false">H6*H7/100</f>
        <v>48385.5143546641</v>
      </c>
      <c r="I8" s="0" t="n">
        <f aca="false">I6*I7/100</f>
        <v>48385.5143546641</v>
      </c>
      <c r="J8" s="0" t="n">
        <f aca="false">J6*J7/100</f>
        <v>48627.4419264374</v>
      </c>
      <c r="K8" s="0" t="n">
        <f aca="false">K6*K7/100</f>
        <v>48870.5791360696</v>
      </c>
      <c r="L8" s="0" t="n">
        <f aca="false">L6*L7/100</f>
        <v>49114.9320317499</v>
      </c>
    </row>
    <row r="9" customFormat="false" ht="15" hidden="false" customHeight="false" outlineLevel="0" collapsed="false">
      <c r="A9" s="0" t="s">
        <v>98</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114</v>
      </c>
      <c r="C11" s="0" t="n">
        <f aca="false">C8+C10+C24</f>
        <v>49673.3217</v>
      </c>
      <c r="D11" s="0" t="n">
        <f aca="false">D8+D10+D24</f>
        <v>47007.03310875</v>
      </c>
      <c r="E11" s="0" t="n">
        <f aca="false">E8+E10+E24</f>
        <v>41499.13832025</v>
      </c>
      <c r="F11" s="0" t="n">
        <f aca="false">F8+F10+F24</f>
        <v>40432.3398188653</v>
      </c>
      <c r="G11" s="0" t="n">
        <f aca="false">G8+G10+G24</f>
        <v>39588.1481083615</v>
      </c>
      <c r="H11" s="0" t="n">
        <f aca="false">H8+H10+H24</f>
        <v>39588.1481083615</v>
      </c>
      <c r="I11" s="0" t="n">
        <f aca="false">I8+I10+I24</f>
        <v>39588.1481083615</v>
      </c>
      <c r="J11" s="0" t="n">
        <f aca="false">J8+J10+J24</f>
        <v>39786.0888489033</v>
      </c>
      <c r="K11" s="0" t="n">
        <f aca="false">K8+K10+K24</f>
        <v>39985.0192931479</v>
      </c>
      <c r="L11" s="0" t="n">
        <f aca="false">L8+L10+L24</f>
        <v>40184.9443896136</v>
      </c>
    </row>
    <row r="12" customFormat="false" ht="15" hidden="false" customHeight="false" outlineLevel="0" collapsed="false">
      <c r="A12" s="0" t="s">
        <v>115</v>
      </c>
      <c r="C12" s="4" t="n">
        <f aca="false">-C6*Assumptions!C17/100</f>
        <v>-27271.6276</v>
      </c>
      <c r="D12" s="4" t="n">
        <f aca="false">-D6*Assumptions!D17/100</f>
        <v>-25165.38136125</v>
      </c>
      <c r="E12" s="4" t="n">
        <f aca="false">-E6*Assumptions!E17/100</f>
        <v>-23004.9571123125</v>
      </c>
      <c r="F12" s="4" t="n">
        <f aca="false">-F6*Assumptions!F17/100</f>
        <v>-22215.5713290469</v>
      </c>
      <c r="G12" s="4" t="n">
        <f aca="false">-G6*Assumptions!G17/100</f>
        <v>-21553.5473034413</v>
      </c>
      <c r="H12" s="4" t="n">
        <f aca="false">-H6*Assumptions!H17/100</f>
        <v>-21113.6789911261</v>
      </c>
      <c r="I12" s="4" t="n">
        <f aca="false">-I6*Assumptions!I17/100</f>
        <v>-21113.6789911261</v>
      </c>
      <c r="J12" s="4" t="n">
        <f aca="false">-J6*Assumptions!J17/100</f>
        <v>-21219.2473860818</v>
      </c>
      <c r="K12" s="4" t="n">
        <f aca="false">-K6*Assumptions!K17/100</f>
        <v>-21325.3436230122</v>
      </c>
      <c r="L12" s="4" t="n">
        <f aca="false">-L6*Assumptions!L17/100</f>
        <v>-21431.9703411272</v>
      </c>
    </row>
    <row r="13" customFormat="false" ht="15" hidden="false" customHeight="false" outlineLevel="0" collapsed="false">
      <c r="A13" s="0" t="s">
        <v>116</v>
      </c>
      <c r="C13" s="0" t="n">
        <f aca="false">C11+C12</f>
        <v>22401.6941</v>
      </c>
      <c r="D13" s="0" t="n">
        <f aca="false">D11+D12</f>
        <v>21841.6517475</v>
      </c>
      <c r="E13" s="0" t="n">
        <f aca="false">E11+E12</f>
        <v>18494.1812079375</v>
      </c>
      <c r="F13" s="0" t="n">
        <f aca="false">F11+F12</f>
        <v>18216.7684898184</v>
      </c>
      <c r="G13" s="0" t="n">
        <f aca="false">G11+G12</f>
        <v>18034.6008049203</v>
      </c>
      <c r="H13" s="0" t="n">
        <f aca="false">H11+H12</f>
        <v>18474.4691172354</v>
      </c>
      <c r="I13" s="0" t="n">
        <f aca="false">I11+I12</f>
        <v>18474.4691172354</v>
      </c>
      <c r="J13" s="0" t="n">
        <f aca="false">J11+J12</f>
        <v>18566.8414628216</v>
      </c>
      <c r="K13" s="0" t="n">
        <f aca="false">K11+K12</f>
        <v>18659.6756701357</v>
      </c>
      <c r="L13" s="0" t="n">
        <f aca="false">L11+L12</f>
        <v>18752.9740484863</v>
      </c>
    </row>
    <row r="14" customFormat="false" ht="15" hidden="false" customHeight="false" outlineLevel="0" collapsed="false">
      <c r="A14" s="0" t="s">
        <v>102</v>
      </c>
      <c r="C14" s="4" t="n">
        <f aca="false">Assumptions!C19</f>
        <v>25</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117</v>
      </c>
      <c r="C15" s="0" t="n">
        <f aca="false">C13-MAX(0,C13)*C14/100</f>
        <v>16801.270575</v>
      </c>
      <c r="D15" s="0" t="n">
        <f aca="false">D13-MAX(0,D13)*D14/100</f>
        <v>16381.238810625</v>
      </c>
      <c r="E15" s="0" t="n">
        <f aca="false">E13-MAX(0,E13)*E14/100</f>
        <v>13870.6359059531</v>
      </c>
      <c r="F15" s="0" t="n">
        <f aca="false">F13-MAX(0,F13)*F14/100</f>
        <v>13662.5763673638</v>
      </c>
      <c r="G15" s="0" t="n">
        <f aca="false">G13-MAX(0,G13)*G14/100</f>
        <v>13525.9506036902</v>
      </c>
      <c r="H15" s="0" t="n">
        <f aca="false">H13-MAX(0,H13)*H14/100</f>
        <v>13855.8518379265</v>
      </c>
      <c r="I15" s="0" t="n">
        <f aca="false">I13-MAX(0,I13)*I14/100</f>
        <v>13855.8518379265</v>
      </c>
      <c r="J15" s="0" t="n">
        <f aca="false">J13-MAX(0,J13)*J14/100</f>
        <v>13925.1310971162</v>
      </c>
      <c r="K15" s="0" t="n">
        <f aca="false">K13-MAX(0,K13)*K14/100</f>
        <v>13994.7567526018</v>
      </c>
      <c r="L15" s="0" t="n">
        <f aca="false">L13-MAX(0,L13)*L14/100</f>
        <v>14064.7305363648</v>
      </c>
    </row>
    <row r="16" customFormat="false" ht="15" hidden="false" customHeight="false" outlineLevel="0" collapsed="false">
      <c r="A16" s="0" t="s">
        <v>118</v>
      </c>
      <c r="C16" s="0" t="n">
        <f aca="false">-C12</f>
        <v>27271.6276</v>
      </c>
      <c r="D16" s="0" t="n">
        <f aca="false">-D12</f>
        <v>25165.38136125</v>
      </c>
      <c r="E16" s="0" t="n">
        <f aca="false">-E12</f>
        <v>23004.9571123125</v>
      </c>
      <c r="F16" s="0" t="n">
        <f aca="false">-F12</f>
        <v>22215.5713290469</v>
      </c>
      <c r="G16" s="0" t="n">
        <f aca="false">-G12</f>
        <v>21553.5473034413</v>
      </c>
      <c r="H16" s="0" t="n">
        <f aca="false">-H12</f>
        <v>21113.6789911261</v>
      </c>
      <c r="I16" s="0" t="n">
        <f aca="false">-I12</f>
        <v>21113.6789911261</v>
      </c>
      <c r="J16" s="0" t="n">
        <f aca="false">-J12</f>
        <v>21219.2473860818</v>
      </c>
      <c r="K16" s="0" t="n">
        <f aca="false">-K12</f>
        <v>21325.3436230122</v>
      </c>
      <c r="L16" s="0" t="n">
        <f aca="false">-L12</f>
        <v>21431.9703411272</v>
      </c>
    </row>
    <row r="17" customFormat="false" ht="15" hidden="false" customHeight="false" outlineLevel="0" collapsed="false">
      <c r="A17" s="0" t="s">
        <v>119</v>
      </c>
      <c r="C17" s="4" t="n">
        <f aca="false">-C6*Assumptions!C18/100</f>
        <v>-27271.6276</v>
      </c>
      <c r="D17" s="4" t="n">
        <f aca="false">-D6*Assumptions!D18/100</f>
        <v>-25640.1998775</v>
      </c>
      <c r="E17" s="4" t="n">
        <f aca="false">-E6*Assumptions!E18/100</f>
        <v>-23456.03470275</v>
      </c>
      <c r="F17" s="4" t="n">
        <f aca="false">-F6*Assumptions!F18/100</f>
        <v>-23104.1941822088</v>
      </c>
      <c r="G17" s="4" t="n">
        <f aca="false">-G6*Assumptions!G18/100</f>
        <v>-22873.1522403867</v>
      </c>
      <c r="H17" s="4" t="n">
        <f aca="false">-H6*Assumptions!H18/100</f>
        <v>-22873.1522403867</v>
      </c>
      <c r="I17" s="4" t="n">
        <f aca="false">-I6*Assumptions!I18/100</f>
        <v>-22873.1522403867</v>
      </c>
      <c r="J17" s="4" t="n">
        <f aca="false">-J6*Assumptions!J18/100</f>
        <v>-22987.5180015886</v>
      </c>
      <c r="K17" s="4" t="n">
        <f aca="false">-K6*Assumptions!K18/100</f>
        <v>-23102.4555915965</v>
      </c>
      <c r="L17" s="4" t="n">
        <f aca="false">-L6*Assumptions!L18/100</f>
        <v>-23217.9678695545</v>
      </c>
    </row>
    <row r="18" customFormat="false" ht="15" hidden="false" customHeight="false" outlineLevel="0" collapsed="false">
      <c r="A18" s="0" t="s">
        <v>120</v>
      </c>
      <c r="C18" s="4" t="n">
        <f aca="false">(C6-B6)*Assumptions!$B$23/100</f>
        <v>1807.398</v>
      </c>
      <c r="D18" s="4" t="n">
        <f aca="false">(D6-C6)*Assumptions!$B$23/100</f>
        <v>1460.98005</v>
      </c>
      <c r="E18" s="4" t="n">
        <f aca="false">(E6-D6)*Assumptions!$B$23/100</f>
        <v>2848.9110975</v>
      </c>
      <c r="F18" s="4" t="n">
        <f aca="false">(F6-E6)*Assumptions!$B$23/100</f>
        <v>811.939662787499</v>
      </c>
      <c r="G18" s="4" t="n">
        <f aca="false">(G6-F6)*Assumptions!$B$23/100</f>
        <v>533.173711897121</v>
      </c>
      <c r="H18" s="4" t="n">
        <f aca="false">(H6-G6)*Assumptions!$B$23/100</f>
        <v>-0</v>
      </c>
      <c r="I18" s="4" t="n">
        <f aca="false">(I6-H6)*Assumptions!$B$23/100</f>
        <v>-0</v>
      </c>
      <c r="J18" s="4" t="n">
        <f aca="false">(J6-I6)*Assumptions!$B$23/100</f>
        <v>-263.920987389068</v>
      </c>
      <c r="K18" s="4" t="n">
        <f aca="false">(K6-J6)*Assumptions!$B$23/100</f>
        <v>-265.24059232602</v>
      </c>
      <c r="L18" s="4" t="n">
        <f aca="false">(L6-K6)*Assumptions!$B$23/100</f>
        <v>-266.566795287645</v>
      </c>
    </row>
    <row r="19" customFormat="false" ht="15" hidden="false" customHeight="false" outlineLevel="0" collapsed="false">
      <c r="A19" s="0" t="s">
        <v>121</v>
      </c>
      <c r="C19" s="0" t="n">
        <f aca="false">C15+C16+C17+C18</f>
        <v>18608.668575</v>
      </c>
      <c r="D19" s="0" t="n">
        <f aca="false">D15+D16+D17+D18</f>
        <v>17367.400344375</v>
      </c>
      <c r="E19" s="0" t="n">
        <f aca="false">E15+E16+E17+E18</f>
        <v>16268.4694130156</v>
      </c>
      <c r="F19" s="0" t="n">
        <f aca="false">F15+F16+F17+F18</f>
        <v>13585.8931769895</v>
      </c>
      <c r="G19" s="0" t="n">
        <f aca="false">G15+G16+G17+G18</f>
        <v>12739.5193786419</v>
      </c>
      <c r="H19" s="0" t="n">
        <f aca="false">H15+H16+H17+H18</f>
        <v>12096.378588666</v>
      </c>
      <c r="I19" s="0" t="n">
        <f aca="false">I15+I16+I17+I18</f>
        <v>12096.378588666</v>
      </c>
      <c r="J19" s="0" t="n">
        <f aca="false">J15+J16+J17+J18</f>
        <v>11892.9394942203</v>
      </c>
      <c r="K19" s="0" t="n">
        <f aca="false">K15+K16+K17+K18</f>
        <v>11952.4041916914</v>
      </c>
      <c r="L19" s="0" t="n">
        <f aca="false">L15+L16+L17+L18</f>
        <v>12012.1662126498</v>
      </c>
    </row>
    <row r="20" customFormat="false" ht="15" hidden="false" customHeight="false" outlineLevel="0" collapsed="false">
      <c r="A20" s="0" t="s">
        <v>122</v>
      </c>
      <c r="C20" s="0" t="n">
        <f aca="false">1/(1+$B$27/100)^C4</f>
        <v>0.938967136150235</v>
      </c>
      <c r="D20" s="0" t="n">
        <f aca="false">1/(1+$B$27/100)^D4</f>
        <v>0.881659282770174</v>
      </c>
      <c r="E20" s="0" t="n">
        <f aca="false">1/(1+$B$27/100)^E4</f>
        <v>0.82784909180298</v>
      </c>
      <c r="F20" s="0" t="n">
        <f aca="false">1/(1+$B$27/100)^F4</f>
        <v>0.777323090894817</v>
      </c>
      <c r="G20" s="0" t="n">
        <f aca="false">1/(1+$B$27/100)^G4</f>
        <v>0.729880836520955</v>
      </c>
      <c r="H20" s="0" t="n">
        <f aca="false">1/(1+$B$27/100)^H4</f>
        <v>0.685334118799019</v>
      </c>
      <c r="I20" s="0" t="n">
        <f aca="false">1/(1+$B$27/100)^I4</f>
        <v>0.643506214834759</v>
      </c>
      <c r="J20" s="0" t="n">
        <f aca="false">1/(1+$B$27/100)^J4</f>
        <v>0.604231187638272</v>
      </c>
      <c r="K20" s="0" t="n">
        <f aca="false">1/(1+$B$27/100)^K4</f>
        <v>0.567353227829363</v>
      </c>
      <c r="L20" s="0" t="n">
        <f aca="false">1/(1+$B$27/100)^L4</f>
        <v>0.532726035520529</v>
      </c>
    </row>
    <row r="21" customFormat="false" ht="15" hidden="false" customHeight="false" outlineLevel="0" collapsed="false">
      <c r="A21" s="0" t="s">
        <v>123</v>
      </c>
      <c r="C21" s="0" t="n">
        <f aca="false">C19*C20</f>
        <v>17472.9282394366</v>
      </c>
      <c r="D21" s="0" t="n">
        <f aca="false">D19*D20</f>
        <v>15312.1297312041</v>
      </c>
      <c r="E21" s="0" t="n">
        <f aca="false">E19*E20</f>
        <v>13467.8376285895</v>
      </c>
      <c r="F21" s="0" t="n">
        <f aca="false">F19*F20</f>
        <v>10560.6284769042</v>
      </c>
      <c r="G21" s="0" t="n">
        <f aca="false">G19*G20</f>
        <v>9298.33106095809</v>
      </c>
      <c r="H21" s="0" t="n">
        <f aca="false">H19*H20</f>
        <v>8290.06096072275</v>
      </c>
      <c r="I21" s="0" t="n">
        <f aca="false">I19*I20</f>
        <v>7784.0947988007</v>
      </c>
      <c r="J21" s="0" t="n">
        <f aca="false">J19*J20</f>
        <v>7186.08495510283</v>
      </c>
      <c r="K21" s="0" t="n">
        <f aca="false">K19*K20</f>
        <v>6781.23509847732</v>
      </c>
      <c r="L21" s="0" t="n">
        <f aca="false">L19*L20</f>
        <v>6399.19368447859</v>
      </c>
    </row>
    <row r="23" customFormat="false" ht="15" hidden="false" customHeight="false" outlineLevel="0" collapsed="false">
      <c r="A23" s="0" t="s">
        <v>99</v>
      </c>
      <c r="C23" s="4" t="n">
        <f aca="false">Assumptions!C16</f>
        <v>10</v>
      </c>
      <c r="D23" s="4" t="n">
        <f aca="false">Assumptions!D16</f>
        <v>10</v>
      </c>
      <c r="E23" s="4" t="n">
        <f aca="false">Assumptions!E16</f>
        <v>10</v>
      </c>
      <c r="F23" s="4" t="n">
        <f aca="false">Assumptions!F16</f>
        <v>10</v>
      </c>
      <c r="G23" s="4" t="n">
        <f aca="false">Assumptions!G16</f>
        <v>10</v>
      </c>
      <c r="H23" s="4" t="n">
        <f aca="false">Assumptions!H16</f>
        <v>10</v>
      </c>
      <c r="I23" s="4" t="n">
        <f aca="false">Assumptions!I16</f>
        <v>10</v>
      </c>
      <c r="J23" s="4" t="n">
        <f aca="false">Assumptions!J16</f>
        <v>10</v>
      </c>
      <c r="K23" s="4" t="n">
        <f aca="false">Assumptions!K16</f>
        <v>10</v>
      </c>
      <c r="L23" s="4" t="n">
        <f aca="false">Assumptions!L16</f>
        <v>10</v>
      </c>
    </row>
    <row r="24" customFormat="false" ht="15" hidden="false" customHeight="false" outlineLevel="0" collapsed="false">
      <c r="A24" s="0" t="s">
        <v>124</v>
      </c>
      <c r="C24" s="0" t="n">
        <f aca="false">-C6*C23/100</f>
        <v>-9739.867</v>
      </c>
      <c r="D24" s="0" t="n">
        <f aca="false">-D6*D23/100</f>
        <v>-9496.370325</v>
      </c>
      <c r="E24" s="0" t="n">
        <f aca="false">-E6*E23/100</f>
        <v>-9021.55180875</v>
      </c>
      <c r="F24" s="0" t="n">
        <f aca="false">-F6*F23/100</f>
        <v>-8886.22853161875</v>
      </c>
      <c r="G24" s="0" t="n">
        <f aca="false">-G6*G23/100</f>
        <v>-8797.36624630256</v>
      </c>
      <c r="H24" s="0" t="n">
        <f aca="false">-H6*H23/100</f>
        <v>-8797.36624630256</v>
      </c>
      <c r="I24" s="0" t="n">
        <f aca="false">-I6*I23/100</f>
        <v>-8797.36624630256</v>
      </c>
      <c r="J24" s="0" t="n">
        <f aca="false">-J6*J23/100</f>
        <v>-8841.35307753407</v>
      </c>
      <c r="K24" s="0" t="n">
        <f aca="false">-K6*K23/100</f>
        <v>-8885.55984292174</v>
      </c>
      <c r="L24" s="0" t="n">
        <f aca="false">-L6*L23/100</f>
        <v>-8929.98764213635</v>
      </c>
    </row>
    <row r="26" customFormat="false" ht="15" hidden="false" customHeight="false" outlineLevel="0" collapsed="false">
      <c r="A26" s="2" t="s">
        <v>125</v>
      </c>
    </row>
    <row r="27" customFormat="false" ht="15" hidden="false" customHeight="false" outlineLevel="0" collapsed="false">
      <c r="A27" s="0" t="s">
        <v>103</v>
      </c>
      <c r="B27" s="4" t="n">
        <f aca="false">Assumptions!$B$20</f>
        <v>6.5</v>
      </c>
    </row>
    <row r="28" customFormat="false" ht="15" hidden="false" customHeight="false" outlineLevel="0" collapsed="false">
      <c r="A28" s="0" t="s">
        <v>104</v>
      </c>
      <c r="B28" s="4" t="n">
        <f aca="false">Assumptions!$B$21</f>
        <v>0.5</v>
      </c>
    </row>
    <row r="29" customFormat="false" ht="15" hidden="false" customHeight="false" outlineLevel="0" collapsed="false">
      <c r="A29" s="0" t="s">
        <v>105</v>
      </c>
      <c r="B29" s="4" t="n">
        <f aca="false">Assumptions!$B$22</f>
        <v>11</v>
      </c>
    </row>
    <row r="30" customFormat="false" ht="15" hidden="false" customHeight="false" outlineLevel="0" collapsed="false">
      <c r="A30" s="0" t="s">
        <v>126</v>
      </c>
      <c r="B30" s="0" t="n">
        <f aca="false">SUM(C21:L21)</f>
        <v>102552.524634675</v>
      </c>
    </row>
    <row r="31" customFormat="false" ht="15" hidden="false" customHeight="false" outlineLevel="0" collapsed="false">
      <c r="A31" s="0" t="s">
        <v>127</v>
      </c>
      <c r="B31" s="0" t="n">
        <f aca="false">L19</f>
        <v>12012.1662126498</v>
      </c>
    </row>
    <row r="32" customFormat="false" ht="15" hidden="false" customHeight="false" outlineLevel="0" collapsed="false">
      <c r="A32" s="0" t="s">
        <v>128</v>
      </c>
      <c r="B32" s="0" t="n">
        <f aca="false">IF(B27&gt;B28,B31*(1+B28/100)/((B27-B28)/100),B31*B29)</f>
        <v>201203.784061885</v>
      </c>
    </row>
    <row r="33" customFormat="false" ht="15" hidden="false" customHeight="false" outlineLevel="0" collapsed="false">
      <c r="A33" s="0" t="s">
        <v>129</v>
      </c>
      <c r="B33" s="0" t="n">
        <f aca="false">B31*B29</f>
        <v>132133.828339148</v>
      </c>
    </row>
    <row r="34" customFormat="false" ht="15" hidden="false" customHeight="false" outlineLevel="0" collapsed="false">
      <c r="A34" s="0" t="s">
        <v>130</v>
      </c>
      <c r="B34" s="0" t="n">
        <f aca="false">MAX(0,MIN(B32,B33))</f>
        <v>132133.828339148</v>
      </c>
    </row>
    <row r="35" customFormat="false" ht="15" hidden="false" customHeight="false" outlineLevel="0" collapsed="false">
      <c r="A35" s="0" t="s">
        <v>131</v>
      </c>
      <c r="B35" s="0" t="n">
        <f aca="false">B34/(1+B27/100)^L4</f>
        <v>70391.1305292645</v>
      </c>
    </row>
    <row r="36" customFormat="false" ht="15" hidden="false" customHeight="false" outlineLevel="0" collapsed="false">
      <c r="A36" s="0" t="s">
        <v>132</v>
      </c>
      <c r="B36" s="0" t="n">
        <f aca="false">B30+B35</f>
        <v>172943.655163939</v>
      </c>
    </row>
    <row r="37" customFormat="false" ht="15" hidden="false" customHeight="false" outlineLevel="0" collapsed="false">
      <c r="A37" s="0" t="s">
        <v>133</v>
      </c>
      <c r="B37" s="0" t="n">
        <f aca="false">B36+Assumptions!$B$5-Assumptions!$B$4</f>
        <v>78344.6551639393</v>
      </c>
    </row>
    <row r="38" customFormat="false" ht="15" hidden="false" customHeight="false" outlineLevel="0" collapsed="false">
      <c r="A38" s="0" t="s">
        <v>134</v>
      </c>
      <c r="B38" s="0" t="n">
        <f aca="false">B37/Assumptions!$B$3*Assumptions!$B$10</f>
        <v>5.21723498113178</v>
      </c>
    </row>
    <row r="39" customFormat="false" ht="15" hidden="false" customHeight="false" outlineLevel="0" collapsed="false">
      <c r="A39" s="0" t="s">
        <v>135</v>
      </c>
      <c r="B39" s="4" t="n">
        <f aca="false">B38/Assumptions!$B$2-1</f>
        <v>-0.431983126714014</v>
      </c>
    </row>
    <row r="41" customFormat="false" ht="15" hidden="false" customHeight="false" outlineLevel="0" collapsed="false">
      <c r="A41" s="0" t="s">
        <v>136</v>
      </c>
      <c r="B41" s="0" t="n">
        <f aca="false">SUMPRODUCT(-C10:L10/(1+$B$27/100)^C4:L4)</f>
        <v>0</v>
      </c>
    </row>
    <row r="42" customFormat="false" ht="15" hidden="false" customHeight="false" outlineLevel="0" collapsed="false">
      <c r="A42" s="0" t="s">
        <v>137</v>
      </c>
      <c r="B42" s="0" t="n">
        <f aca="false">IF(B27&gt;B28,-L10*(1+B28/100)/((B27-B28)/100),-L10*20)/(1+B27/100)^L4</f>
        <v>0</v>
      </c>
    </row>
    <row r="43" customFormat="false" ht="15" hidden="false" customHeight="false" outlineLevel="0" collapsed="false">
      <c r="A43" s="0" t="s">
        <v>138</v>
      </c>
      <c r="B43" s="0" t="n">
        <f aca="false">(B37+B41+B42)/Assumptions!$B$3*Assumptions!$B$10</f>
        <v>5.21723498113178</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83256.738232504</v>
      </c>
    </row>
    <row r="47" customFormat="false" ht="15" hidden="false" customHeight="false" outlineLevel="0" collapsed="false">
      <c r="A47" s="0" t="s">
        <v>140</v>
      </c>
      <c r="B47" s="0" t="n">
        <f aca="false">(SUMPRODUCT(C19:L19/(1+B45/100)^C4:L4)+B46/(1+B45/100)^L4+Assumptions!$B$5-Assumptions!$B$4)/Assumptions!$B$3*Assumptions!$B$10</f>
        <v>0.00829673906722322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Assumptions!C27</f>
        <v>-2</v>
      </c>
      <c r="D5" s="4" t="n">
        <f aca="false">Assumptions!D27</f>
        <v>-1</v>
      </c>
      <c r="E5" s="4" t="n">
        <f aca="false">Assumptions!E27</f>
        <v>-2</v>
      </c>
      <c r="F5" s="4" t="n">
        <f aca="false">Assumptions!F27</f>
        <v>0.5</v>
      </c>
      <c r="G5" s="4" t="n">
        <f aca="false">Assumptions!G27</f>
        <v>1</v>
      </c>
      <c r="H5" s="4" t="n">
        <f aca="false">Assumptions!H27</f>
        <v>1.5</v>
      </c>
      <c r="I5" s="4" t="n">
        <f aca="false">Assumptions!I27</f>
        <v>1.5</v>
      </c>
      <c r="J5" s="4" t="n">
        <f aca="false">Assumptions!J27</f>
        <v>1.5</v>
      </c>
      <c r="K5" s="4" t="n">
        <f aca="false">Assumptions!K27</f>
        <v>1.5</v>
      </c>
      <c r="L5" s="4" t="n">
        <f aca="false">Assumptions!L27</f>
        <v>1.5</v>
      </c>
    </row>
    <row r="6" customFormat="false" ht="15" hidden="false" customHeight="false" outlineLevel="0" collapsed="false">
      <c r="A6" s="0" t="s">
        <v>38</v>
      </c>
      <c r="B6" s="3" t="n">
        <v>100411</v>
      </c>
      <c r="C6" s="0" t="n">
        <f aca="false">B6*(1+C5/100)</f>
        <v>98402.78</v>
      </c>
      <c r="D6" s="0" t="n">
        <f aca="false">C6*(1+D5/100)</f>
        <v>97418.7522</v>
      </c>
      <c r="E6" s="0" t="n">
        <f aca="false">D6*(1+E5/100)</f>
        <v>95470.377156</v>
      </c>
      <c r="F6" s="0" t="n">
        <f aca="false">E6*(1+F5/100)</f>
        <v>95947.72904178</v>
      </c>
      <c r="G6" s="0" t="n">
        <f aca="false">F6*(1+G5/100)</f>
        <v>96907.2063321978</v>
      </c>
      <c r="H6" s="0" t="n">
        <f aca="false">G6*(1+H5/100)</f>
        <v>98360.8144271808</v>
      </c>
      <c r="I6" s="0" t="n">
        <f aca="false">H6*(1+I5/100)</f>
        <v>99836.2266435885</v>
      </c>
      <c r="J6" s="0" t="n">
        <f aca="false">I6*(1+J5/100)</f>
        <v>101333.770043242</v>
      </c>
      <c r="K6" s="0" t="n">
        <f aca="false">J6*(1+K5/100)</f>
        <v>102853.776593891</v>
      </c>
      <c r="L6" s="0" t="n">
        <f aca="false">K6*(1+L5/100)</f>
        <v>104396.583242799</v>
      </c>
    </row>
    <row r="7" customFormat="false" ht="15" hidden="false" customHeight="false" outlineLevel="0" collapsed="false">
      <c r="A7" s="0" t="s">
        <v>97</v>
      </c>
      <c r="C7" s="4" t="n">
        <f aca="false">Assumptions!C28</f>
        <v>62</v>
      </c>
      <c r="D7" s="4" t="n">
        <f aca="false">Assumptions!D28</f>
        <v>61.5</v>
      </c>
      <c r="E7" s="4" t="n">
        <f aca="false">Assumptions!E28</f>
        <v>60.5</v>
      </c>
      <c r="F7" s="4" t="n">
        <f aca="false">Assumptions!F28</f>
        <v>60.5</v>
      </c>
      <c r="G7" s="4" t="n">
        <f aca="false">Assumptions!G28</f>
        <v>60.5</v>
      </c>
      <c r="H7" s="4" t="n">
        <f aca="false">Assumptions!H28</f>
        <v>60.5</v>
      </c>
      <c r="I7" s="4" t="n">
        <f aca="false">Assumptions!I28</f>
        <v>60.5</v>
      </c>
      <c r="J7" s="4" t="n">
        <f aca="false">Assumptions!J28</f>
        <v>60.5</v>
      </c>
      <c r="K7" s="4" t="n">
        <f aca="false">Assumptions!K28</f>
        <v>60.5</v>
      </c>
      <c r="L7" s="4" t="n">
        <f aca="false">Assumptions!L28</f>
        <v>60.5</v>
      </c>
    </row>
    <row r="8" customFormat="false" ht="15" hidden="false" customHeight="false" outlineLevel="0" collapsed="false">
      <c r="A8" s="0" t="s">
        <v>44</v>
      </c>
      <c r="C8" s="0" t="n">
        <f aca="false">C6*C7/100</f>
        <v>61009.7236</v>
      </c>
      <c r="D8" s="0" t="n">
        <f aca="false">D6*D7/100</f>
        <v>59912.532603</v>
      </c>
      <c r="E8" s="0" t="n">
        <f aca="false">E6*E7/100</f>
        <v>57759.57817938</v>
      </c>
      <c r="F8" s="0" t="n">
        <f aca="false">F6*F7/100</f>
        <v>58048.3760702769</v>
      </c>
      <c r="G8" s="0" t="n">
        <f aca="false">G6*G7/100</f>
        <v>58628.8598309797</v>
      </c>
      <c r="H8" s="0" t="n">
        <f aca="false">H6*H7/100</f>
        <v>59508.2927284444</v>
      </c>
      <c r="I8" s="0" t="n">
        <f aca="false">I6*I7/100</f>
        <v>60400.917119371</v>
      </c>
      <c r="J8" s="0" t="n">
        <f aca="false">J6*J7/100</f>
        <v>61306.9308761616</v>
      </c>
      <c r="K8" s="0" t="n">
        <f aca="false">K6*K7/100</f>
        <v>62226.534839304</v>
      </c>
      <c r="L8" s="0" t="n">
        <f aca="false">L6*L7/100</f>
        <v>63159.9328618936</v>
      </c>
    </row>
    <row r="9" customFormat="false" ht="15" hidden="false" customHeight="false" outlineLevel="0" collapsed="false">
      <c r="A9" s="0" t="s">
        <v>98</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114</v>
      </c>
      <c r="C11" s="0" t="n">
        <f aca="false">C8+C10+C24</f>
        <v>51366.25116</v>
      </c>
      <c r="D11" s="0" t="n">
        <f aca="false">D8+D10+D24</f>
        <v>50365.4948874</v>
      </c>
      <c r="E11" s="0" t="n">
        <f aca="false">E8+E10+E24</f>
        <v>48403.481218092</v>
      </c>
      <c r="F11" s="0" t="n">
        <f aca="false">F8+F10+F24</f>
        <v>48645.4986241825</v>
      </c>
      <c r="G11" s="0" t="n">
        <f aca="false">G8+G10+G24</f>
        <v>49131.9536104243</v>
      </c>
      <c r="H11" s="0" t="n">
        <f aca="false">H8+H10+H24</f>
        <v>49868.9329145806</v>
      </c>
      <c r="I11" s="0" t="n">
        <f aca="false">I8+I10+I24</f>
        <v>50616.9669082993</v>
      </c>
      <c r="J11" s="0" t="n">
        <f aca="false">J8+J10+J24</f>
        <v>51376.2214119238</v>
      </c>
      <c r="K11" s="0" t="n">
        <f aca="false">K8+K10+K24</f>
        <v>52146.8647331027</v>
      </c>
      <c r="L11" s="0" t="n">
        <f aca="false">L8+L10+L24</f>
        <v>52929.0677040992</v>
      </c>
    </row>
    <row r="12" customFormat="false" ht="15" hidden="false" customHeight="false" outlineLevel="0" collapsed="false">
      <c r="A12" s="0" t="s">
        <v>115</v>
      </c>
      <c r="C12" s="4" t="n">
        <f aca="false">-C6*Assumptions!C31/100</f>
        <v>-27552.7784</v>
      </c>
      <c r="D12" s="4" t="n">
        <f aca="false">-D6*Assumptions!D31/100</f>
        <v>-25815.969333</v>
      </c>
      <c r="E12" s="4" t="n">
        <f aca="false">-E6*Assumptions!E31/100</f>
        <v>-24344.94617478</v>
      </c>
      <c r="F12" s="4" t="n">
        <f aca="false">-F6*Assumptions!F31/100</f>
        <v>-23986.932260445</v>
      </c>
      <c r="G12" s="4" t="n">
        <f aca="false">-G6*Assumptions!G31/100</f>
        <v>-23742.2655513885</v>
      </c>
      <c r="H12" s="4" t="n">
        <f aca="false">-H6*Assumptions!H31/100</f>
        <v>-23606.5954625234</v>
      </c>
      <c r="I12" s="4" t="n">
        <f aca="false">-I6*Assumptions!I31/100</f>
        <v>-23960.6943944612</v>
      </c>
      <c r="J12" s="4" t="n">
        <f aca="false">-J6*Assumptions!J31/100</f>
        <v>-24320.1048103781</v>
      </c>
      <c r="K12" s="4" t="n">
        <f aca="false">-K6*Assumptions!K31/100</f>
        <v>-24684.9063825338</v>
      </c>
      <c r="L12" s="4" t="n">
        <f aca="false">-L6*Assumptions!L31/100</f>
        <v>-25055.1799782718</v>
      </c>
    </row>
    <row r="13" customFormat="false" ht="15" hidden="false" customHeight="false" outlineLevel="0" collapsed="false">
      <c r="A13" s="0" t="s">
        <v>116</v>
      </c>
      <c r="C13" s="0" t="n">
        <f aca="false">C11+C12</f>
        <v>23813.47276</v>
      </c>
      <c r="D13" s="0" t="n">
        <f aca="false">D11+D12</f>
        <v>24549.5255544</v>
      </c>
      <c r="E13" s="0" t="n">
        <f aca="false">E11+E12</f>
        <v>24058.535043312</v>
      </c>
      <c r="F13" s="0" t="n">
        <f aca="false">F11+F12</f>
        <v>24658.5663637375</v>
      </c>
      <c r="G13" s="0" t="n">
        <f aca="false">G11+G12</f>
        <v>25389.6880590358</v>
      </c>
      <c r="H13" s="0" t="n">
        <f aca="false">H11+H12</f>
        <v>26262.3374520573</v>
      </c>
      <c r="I13" s="0" t="n">
        <f aca="false">I11+I12</f>
        <v>26656.2725138381</v>
      </c>
      <c r="J13" s="0" t="n">
        <f aca="false">J11+J12</f>
        <v>27056.1166015457</v>
      </c>
      <c r="K13" s="0" t="n">
        <f aca="false">K11+K12</f>
        <v>27461.9583505689</v>
      </c>
      <c r="L13" s="0" t="n">
        <f aca="false">L11+L12</f>
        <v>27873.8877258274</v>
      </c>
    </row>
    <row r="14" customFormat="false" ht="15" hidden="false" customHeight="false" outlineLevel="0" collapsed="false">
      <c r="A14" s="0" t="s">
        <v>102</v>
      </c>
      <c r="C14" s="4" t="n">
        <f aca="false">Assumptions!C33</f>
        <v>25</v>
      </c>
      <c r="D14" s="4" t="n">
        <f aca="false">Assumptions!D33</f>
        <v>25</v>
      </c>
      <c r="E14" s="4" t="n">
        <f aca="false">Assumptions!E33</f>
        <v>25</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117</v>
      </c>
      <c r="C15" s="0" t="n">
        <f aca="false">C13-MAX(0,C13)*C14/100</f>
        <v>17860.10457</v>
      </c>
      <c r="D15" s="0" t="n">
        <f aca="false">D13-MAX(0,D13)*D14/100</f>
        <v>18412.1441658</v>
      </c>
      <c r="E15" s="0" t="n">
        <f aca="false">E13-MAX(0,E13)*E14/100</f>
        <v>18043.901282484</v>
      </c>
      <c r="F15" s="0" t="n">
        <f aca="false">F13-MAX(0,F13)*F14/100</f>
        <v>18493.9247728031</v>
      </c>
      <c r="G15" s="0" t="n">
        <f aca="false">G13-MAX(0,G13)*G14/100</f>
        <v>19042.2660442769</v>
      </c>
      <c r="H15" s="0" t="n">
        <f aca="false">H13-MAX(0,H13)*H14/100</f>
        <v>19696.7530890429</v>
      </c>
      <c r="I15" s="0" t="n">
        <f aca="false">I13-MAX(0,I13)*I14/100</f>
        <v>19992.2043853786</v>
      </c>
      <c r="J15" s="0" t="n">
        <f aca="false">J13-MAX(0,J13)*J14/100</f>
        <v>20292.0874511593</v>
      </c>
      <c r="K15" s="0" t="n">
        <f aca="false">K13-MAX(0,K13)*K14/100</f>
        <v>20596.4687629267</v>
      </c>
      <c r="L15" s="0" t="n">
        <f aca="false">L13-MAX(0,L13)*L14/100</f>
        <v>20905.4157943705</v>
      </c>
    </row>
    <row r="16" customFormat="false" ht="15" hidden="false" customHeight="false" outlineLevel="0" collapsed="false">
      <c r="A16" s="0" t="s">
        <v>118</v>
      </c>
      <c r="C16" s="0" t="n">
        <f aca="false">-C12</f>
        <v>27552.7784</v>
      </c>
      <c r="D16" s="0" t="n">
        <f aca="false">-D12</f>
        <v>25815.969333</v>
      </c>
      <c r="E16" s="0" t="n">
        <f aca="false">-E12</f>
        <v>24344.94617478</v>
      </c>
      <c r="F16" s="0" t="n">
        <f aca="false">-F12</f>
        <v>23986.932260445</v>
      </c>
      <c r="G16" s="0" t="n">
        <f aca="false">-G12</f>
        <v>23742.2655513885</v>
      </c>
      <c r="H16" s="0" t="n">
        <f aca="false">-H12</f>
        <v>23606.5954625234</v>
      </c>
      <c r="I16" s="0" t="n">
        <f aca="false">-I12</f>
        <v>23960.6943944612</v>
      </c>
      <c r="J16" s="0" t="n">
        <f aca="false">-J12</f>
        <v>24320.1048103781</v>
      </c>
      <c r="K16" s="0" t="n">
        <f aca="false">-K12</f>
        <v>24684.9063825338</v>
      </c>
      <c r="L16" s="0" t="n">
        <f aca="false">-L12</f>
        <v>25055.1799782718</v>
      </c>
    </row>
    <row r="17" customFormat="false" ht="15" hidden="false" customHeight="false" outlineLevel="0" collapsed="false">
      <c r="A17" s="0" t="s">
        <v>119</v>
      </c>
      <c r="C17" s="4" t="n">
        <f aca="false">-C6*Assumptions!C32/100</f>
        <v>-27552.7784</v>
      </c>
      <c r="D17" s="4" t="n">
        <f aca="false">-D6*Assumptions!D32/100</f>
        <v>-26303.063094</v>
      </c>
      <c r="E17" s="4" t="n">
        <f aca="false">-E6*Assumptions!E32/100</f>
        <v>-24822.29806056</v>
      </c>
      <c r="F17" s="4" t="n">
        <f aca="false">-F6*Assumptions!F32/100</f>
        <v>-24466.6709056539</v>
      </c>
      <c r="G17" s="4" t="n">
        <f aca="false">-G6*Assumptions!G32/100</f>
        <v>-24226.8015830494</v>
      </c>
      <c r="H17" s="4" t="n">
        <f aca="false">-H6*Assumptions!H32/100</f>
        <v>-24590.2036067952</v>
      </c>
      <c r="I17" s="4" t="n">
        <f aca="false">-I6*Assumptions!I32/100</f>
        <v>-24959.0566608971</v>
      </c>
      <c r="J17" s="4" t="n">
        <f aca="false">-J6*Assumptions!J32/100</f>
        <v>-25333.4425108106</v>
      </c>
      <c r="K17" s="4" t="n">
        <f aca="false">-K6*Assumptions!K32/100</f>
        <v>-25713.4441484727</v>
      </c>
      <c r="L17" s="4" t="n">
        <f aca="false">-L6*Assumptions!L32/100</f>
        <v>-26099.1458106998</v>
      </c>
    </row>
    <row r="18" customFormat="false" ht="15" hidden="false" customHeight="false" outlineLevel="0" collapsed="false">
      <c r="A18" s="0" t="s">
        <v>120</v>
      </c>
      <c r="C18" s="4" t="n">
        <f aca="false">(C6-B6)*Assumptions!$B$37/100</f>
        <v>1204.932</v>
      </c>
      <c r="D18" s="4" t="n">
        <f aca="false">(D6-C6)*Assumptions!$B$37/100</f>
        <v>590.416679999998</v>
      </c>
      <c r="E18" s="4" t="n">
        <f aca="false">(E6-D6)*Assumptions!$B$37/100</f>
        <v>1169.0250264</v>
      </c>
      <c r="F18" s="4" t="n">
        <f aca="false">(F6-E6)*Assumptions!$B$37/100</f>
        <v>-286.411131467996</v>
      </c>
      <c r="G18" s="4" t="n">
        <f aca="false">(G6-F6)*Assumptions!$B$37/100</f>
        <v>-575.686374250677</v>
      </c>
      <c r="H18" s="4" t="n">
        <f aca="false">(H6-G6)*Assumptions!$B$37/100</f>
        <v>-872.164856989778</v>
      </c>
      <c r="I18" s="4" t="n">
        <f aca="false">(I6-H6)*Assumptions!$B$37/100</f>
        <v>-885.247329844619</v>
      </c>
      <c r="J18" s="4" t="n">
        <f aca="false">(J6-I6)*Assumptions!$B$37/100</f>
        <v>-898.526039792292</v>
      </c>
      <c r="K18" s="4" t="n">
        <f aca="false">(K6-J6)*Assumptions!$B$37/100</f>
        <v>-912.003930389177</v>
      </c>
      <c r="L18" s="4" t="n">
        <f aca="false">(L6-K6)*Assumptions!$B$37/100</f>
        <v>-925.683989345015</v>
      </c>
    </row>
    <row r="19" customFormat="false" ht="15" hidden="false" customHeight="false" outlineLevel="0" collapsed="false">
      <c r="A19" s="0" t="s">
        <v>121</v>
      </c>
      <c r="C19" s="0" t="n">
        <f aca="false">C15+C16+C17+C18</f>
        <v>19065.03657</v>
      </c>
      <c r="D19" s="0" t="n">
        <f aca="false">D15+D16+D17+D18</f>
        <v>18515.4670848</v>
      </c>
      <c r="E19" s="0" t="n">
        <f aca="false">E15+E16+E17+E18</f>
        <v>18735.574423104</v>
      </c>
      <c r="F19" s="0" t="n">
        <f aca="false">F15+F16+F17+F18</f>
        <v>17727.7749961262</v>
      </c>
      <c r="G19" s="0" t="n">
        <f aca="false">G15+G16+G17+G18</f>
        <v>17982.0436383652</v>
      </c>
      <c r="H19" s="0" t="n">
        <f aca="false">H15+H16+H17+H18</f>
        <v>17840.9800877814</v>
      </c>
      <c r="I19" s="0" t="n">
        <f aca="false">I15+I16+I17+I18</f>
        <v>18108.5947890981</v>
      </c>
      <c r="J19" s="0" t="n">
        <f aca="false">J15+J16+J17+J18</f>
        <v>18380.2237109345</v>
      </c>
      <c r="K19" s="0" t="n">
        <f aca="false">K15+K16+K17+K18</f>
        <v>18655.9270665986</v>
      </c>
      <c r="L19" s="0" t="n">
        <f aca="false">L15+L16+L17+L18</f>
        <v>18935.7659725975</v>
      </c>
    </row>
    <row r="20" customFormat="false" ht="15" hidden="false" customHeight="false" outlineLevel="0" collapsed="false">
      <c r="A20" s="0" t="s">
        <v>122</v>
      </c>
      <c r="C20" s="0" t="n">
        <f aca="false">1/(1+$B$27/100)^C4</f>
        <v>0.938967136150235</v>
      </c>
      <c r="D20" s="0" t="n">
        <f aca="false">1/(1+$B$27/100)^D4</f>
        <v>0.881659282770174</v>
      </c>
      <c r="E20" s="0" t="n">
        <f aca="false">1/(1+$B$27/100)^E4</f>
        <v>0.82784909180298</v>
      </c>
      <c r="F20" s="0" t="n">
        <f aca="false">1/(1+$B$27/100)^F4</f>
        <v>0.777323090894817</v>
      </c>
      <c r="G20" s="0" t="n">
        <f aca="false">1/(1+$B$27/100)^G4</f>
        <v>0.729880836520955</v>
      </c>
      <c r="H20" s="0" t="n">
        <f aca="false">1/(1+$B$27/100)^H4</f>
        <v>0.685334118799019</v>
      </c>
      <c r="I20" s="0" t="n">
        <f aca="false">1/(1+$B$27/100)^I4</f>
        <v>0.643506214834759</v>
      </c>
      <c r="J20" s="0" t="n">
        <f aca="false">1/(1+$B$27/100)^J4</f>
        <v>0.604231187638272</v>
      </c>
      <c r="K20" s="0" t="n">
        <f aca="false">1/(1+$B$27/100)^K4</f>
        <v>0.567353227829363</v>
      </c>
      <c r="L20" s="0" t="n">
        <f aca="false">1/(1+$B$27/100)^L4</f>
        <v>0.532726035520529</v>
      </c>
    </row>
    <row r="21" customFormat="false" ht="15" hidden="false" customHeight="false" outlineLevel="0" collapsed="false">
      <c r="A21" s="0" t="s">
        <v>123</v>
      </c>
      <c r="C21" s="0" t="n">
        <f aca="false">C19*C20</f>
        <v>17901.4427887324</v>
      </c>
      <c r="D21" s="0" t="n">
        <f aca="false">D19*D20</f>
        <v>16324.3334301395</v>
      </c>
      <c r="E21" s="0" t="n">
        <f aca="false">E19*E20</f>
        <v>15510.2282705738</v>
      </c>
      <c r="F21" s="0" t="n">
        <f aca="false">F19*F20</f>
        <v>13780.2088546767</v>
      </c>
      <c r="G21" s="0" t="n">
        <f aca="false">G19*G20</f>
        <v>13124.7490531263</v>
      </c>
      <c r="H21" s="0" t="n">
        <f aca="false">H19*H20</f>
        <v>12227.0323669705</v>
      </c>
      <c r="I21" s="0" t="n">
        <f aca="false">I19*I20</f>
        <v>11652.993288709</v>
      </c>
      <c r="J21" s="0" t="n">
        <f aca="false">J19*J20</f>
        <v>11105.9044019151</v>
      </c>
      <c r="K21" s="0" t="n">
        <f aca="false">K19*K20</f>
        <v>10584.5004393839</v>
      </c>
      <c r="L21" s="0" t="n">
        <f aca="false">L19*L20</f>
        <v>10087.5755361264</v>
      </c>
    </row>
    <row r="23" customFormat="false" ht="15" hidden="false" customHeight="false" outlineLevel="0" collapsed="false">
      <c r="A23" s="0" t="s">
        <v>99</v>
      </c>
      <c r="C23" s="4" t="n">
        <f aca="false">Assumptions!C30</f>
        <v>9.8</v>
      </c>
      <c r="D23" s="4" t="n">
        <f aca="false">Assumptions!D30</f>
        <v>9.8</v>
      </c>
      <c r="E23" s="4" t="n">
        <f aca="false">Assumptions!E30</f>
        <v>9.8</v>
      </c>
      <c r="F23" s="4" t="n">
        <f aca="false">Assumptions!F30</f>
        <v>9.8</v>
      </c>
      <c r="G23" s="4" t="n">
        <f aca="false">Assumptions!G30</f>
        <v>9.8</v>
      </c>
      <c r="H23" s="4" t="n">
        <f aca="false">Assumptions!H30</f>
        <v>9.8</v>
      </c>
      <c r="I23" s="4" t="n">
        <f aca="false">Assumptions!I30</f>
        <v>9.8</v>
      </c>
      <c r="J23" s="4" t="n">
        <f aca="false">Assumptions!J30</f>
        <v>9.8</v>
      </c>
      <c r="K23" s="4" t="n">
        <f aca="false">Assumptions!K30</f>
        <v>9.8</v>
      </c>
      <c r="L23" s="4" t="n">
        <f aca="false">Assumptions!L30</f>
        <v>9.8</v>
      </c>
    </row>
    <row r="24" customFormat="false" ht="15" hidden="false" customHeight="false" outlineLevel="0" collapsed="false">
      <c r="A24" s="0" t="s">
        <v>124</v>
      </c>
      <c r="C24" s="0" t="n">
        <f aca="false">-C6*C23/100</f>
        <v>-9643.47244</v>
      </c>
      <c r="D24" s="0" t="n">
        <f aca="false">-D6*D23/100</f>
        <v>-9547.0377156</v>
      </c>
      <c r="E24" s="0" t="n">
        <f aca="false">-E6*E23/100</f>
        <v>-9356.096961288</v>
      </c>
      <c r="F24" s="0" t="n">
        <f aca="false">-F6*F23/100</f>
        <v>-9402.87744609444</v>
      </c>
      <c r="G24" s="0" t="n">
        <f aca="false">-G6*G23/100</f>
        <v>-9496.90622055539</v>
      </c>
      <c r="H24" s="0" t="n">
        <f aca="false">-H6*H23/100</f>
        <v>-9639.35981386371</v>
      </c>
      <c r="I24" s="0" t="n">
        <f aca="false">-I6*I23/100</f>
        <v>-9783.95021107167</v>
      </c>
      <c r="J24" s="0" t="n">
        <f aca="false">-J6*J23/100</f>
        <v>-9930.70946423774</v>
      </c>
      <c r="K24" s="0" t="n">
        <f aca="false">-K6*K23/100</f>
        <v>-10079.6701062013</v>
      </c>
      <c r="L24" s="0" t="n">
        <f aca="false">-L6*L23/100</f>
        <v>-10230.8651577943</v>
      </c>
    </row>
    <row r="26" customFormat="false" ht="15" hidden="false" customHeight="false" outlineLevel="0" collapsed="false">
      <c r="A26" s="2" t="s">
        <v>125</v>
      </c>
    </row>
    <row r="27" customFormat="false" ht="15" hidden="false" customHeight="false" outlineLevel="0" collapsed="false">
      <c r="A27" s="0" t="s">
        <v>103</v>
      </c>
      <c r="B27" s="4" t="n">
        <f aca="false">Assumptions!$B$34</f>
        <v>6.5</v>
      </c>
    </row>
    <row r="28" customFormat="false" ht="15" hidden="false" customHeight="false" outlineLevel="0" collapsed="false">
      <c r="A28" s="0" t="s">
        <v>104</v>
      </c>
      <c r="B28" s="4" t="n">
        <f aca="false">Assumptions!$B$35</f>
        <v>1.5</v>
      </c>
    </row>
    <row r="29" customFormat="false" ht="15" hidden="false" customHeight="false" outlineLevel="0" collapsed="false">
      <c r="A29" s="0" t="s">
        <v>105</v>
      </c>
      <c r="B29" s="4" t="n">
        <f aca="false">Assumptions!$B$36</f>
        <v>14</v>
      </c>
    </row>
    <row r="30" customFormat="false" ht="15" hidden="false" customHeight="false" outlineLevel="0" collapsed="false">
      <c r="A30" s="0" t="s">
        <v>126</v>
      </c>
      <c r="B30" s="0" t="n">
        <f aca="false">SUM(C21:L21)</f>
        <v>132298.968430353</v>
      </c>
    </row>
    <row r="31" customFormat="false" ht="15" hidden="false" customHeight="false" outlineLevel="0" collapsed="false">
      <c r="A31" s="0" t="s">
        <v>127</v>
      </c>
      <c r="B31" s="0" t="n">
        <f aca="false">L19</f>
        <v>18935.7659725975</v>
      </c>
    </row>
    <row r="32" customFormat="false" ht="15" hidden="false" customHeight="false" outlineLevel="0" collapsed="false">
      <c r="A32" s="0" t="s">
        <v>128</v>
      </c>
      <c r="B32" s="0" t="n">
        <f aca="false">IF(B27&gt;B28,B31*(1+B28/100)/((B27-B28)/100),B31*B29)</f>
        <v>384396.04924373</v>
      </c>
    </row>
    <row r="33" customFormat="false" ht="15" hidden="false" customHeight="false" outlineLevel="0" collapsed="false">
      <c r="A33" s="0" t="s">
        <v>129</v>
      </c>
      <c r="B33" s="0" t="n">
        <f aca="false">B31*B29</f>
        <v>265100.723616366</v>
      </c>
    </row>
    <row r="34" customFormat="false" ht="15" hidden="false" customHeight="false" outlineLevel="0" collapsed="false">
      <c r="A34" s="0" t="s">
        <v>130</v>
      </c>
      <c r="B34" s="0" t="n">
        <f aca="false">MAX(0,MIN(B32,B33))</f>
        <v>265100.723616366</v>
      </c>
    </row>
    <row r="35" customFormat="false" ht="15" hidden="false" customHeight="false" outlineLevel="0" collapsed="false">
      <c r="A35" s="0" t="s">
        <v>131</v>
      </c>
      <c r="B35" s="0" t="n">
        <f aca="false">B34/(1+B27/100)^L4</f>
        <v>141226.05750577</v>
      </c>
    </row>
    <row r="36" customFormat="false" ht="15" hidden="false" customHeight="false" outlineLevel="0" collapsed="false">
      <c r="A36" s="0" t="s">
        <v>132</v>
      </c>
      <c r="B36" s="0" t="n">
        <f aca="false">B30+B35</f>
        <v>273525.025936123</v>
      </c>
    </row>
    <row r="37" customFormat="false" ht="15" hidden="false" customHeight="false" outlineLevel="0" collapsed="false">
      <c r="A37" s="0" t="s">
        <v>133</v>
      </c>
      <c r="B37" s="0" t="n">
        <f aca="false">B36+Assumptions!$B$5-Assumptions!$B$4</f>
        <v>178926.025936123</v>
      </c>
    </row>
    <row r="38" customFormat="false" ht="15" hidden="false" customHeight="false" outlineLevel="0" collapsed="false">
      <c r="A38" s="0" t="s">
        <v>134</v>
      </c>
      <c r="B38" s="0" t="n">
        <f aca="false">B37/Assumptions!$B$3*Assumptions!$B$10</f>
        <v>11.9152878980123</v>
      </c>
    </row>
    <row r="39" customFormat="false" ht="15" hidden="false" customHeight="false" outlineLevel="0" collapsed="false">
      <c r="A39" s="0" t="s">
        <v>135</v>
      </c>
      <c r="B39" s="4" t="n">
        <f aca="false">B38/Assumptions!$B$2-1</f>
        <v>0.297255078716638</v>
      </c>
    </row>
    <row r="41" customFormat="false" ht="15" hidden="false" customHeight="false" outlineLevel="0" collapsed="false">
      <c r="A41" s="0" t="s">
        <v>136</v>
      </c>
      <c r="B41" s="0" t="n">
        <f aca="false">SUMPRODUCT(-C10:L10/(1+$B$27/100)^C4:L4)</f>
        <v>0</v>
      </c>
    </row>
    <row r="42" customFormat="false" ht="15" hidden="false" customHeight="false" outlineLevel="0" collapsed="false">
      <c r="A42" s="0" t="s">
        <v>137</v>
      </c>
      <c r="B42" s="0" t="n">
        <f aca="false">IF(B27&gt;B28,-L10*(1+B28/100)/((B27-B28)/100),-L10*20)/(1+B27/100)^L4</f>
        <v>0</v>
      </c>
    </row>
    <row r="43" customFormat="false" ht="15" hidden="false" customHeight="false" outlineLevel="0" collapsed="false">
      <c r="A43" s="0" t="s">
        <v>138</v>
      </c>
      <c r="B43" s="0" t="n">
        <f aca="false">(B37+B41+B42)/Assumptions!$B$3*Assumptions!$B$10</f>
        <v>11.9152878980123</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142368.907127307</v>
      </c>
    </row>
    <row r="47" customFormat="false" ht="15" hidden="false" customHeight="false" outlineLevel="0" collapsed="false">
      <c r="A47" s="0" t="s">
        <v>140</v>
      </c>
      <c r="B47" s="0" t="n">
        <f aca="false">(SUMPRODUCT(C19:L19/(1+B45/100)^C4:L4)+B46/(1+B45/100)^L4+Assumptions!$B$5-Assumptions!$B$4)/Assumptions!$B$3*Assumptions!$B$10</f>
        <v>2.20286562643329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Assumptions!C41</f>
        <v>-1</v>
      </c>
      <c r="D5" s="4" t="n">
        <f aca="false">Assumptions!D41</f>
        <v>0.5</v>
      </c>
      <c r="E5" s="4" t="n">
        <f aca="false">Assumptions!E41</f>
        <v>0.5</v>
      </c>
      <c r="F5" s="4" t="n">
        <f aca="false">Assumptions!F41</f>
        <v>2</v>
      </c>
      <c r="G5" s="4" t="n">
        <f aca="false">Assumptions!G41</f>
        <v>2.5</v>
      </c>
      <c r="H5" s="4" t="n">
        <f aca="false">Assumptions!H41</f>
        <v>2.5</v>
      </c>
      <c r="I5" s="4" t="n">
        <f aca="false">Assumptions!I41</f>
        <v>2.5</v>
      </c>
      <c r="J5" s="4" t="n">
        <f aca="false">Assumptions!J41</f>
        <v>2.5</v>
      </c>
      <c r="K5" s="4" t="n">
        <f aca="false">Assumptions!K41</f>
        <v>2.5</v>
      </c>
      <c r="L5" s="4" t="n">
        <f aca="false">Assumptions!L41</f>
        <v>2.5</v>
      </c>
    </row>
    <row r="6" customFormat="false" ht="15" hidden="false" customHeight="false" outlineLevel="0" collapsed="false">
      <c r="A6" s="0" t="s">
        <v>38</v>
      </c>
      <c r="B6" s="3" t="n">
        <v>100411</v>
      </c>
      <c r="C6" s="0" t="n">
        <f aca="false">B6*(1+C5/100)</f>
        <v>99406.89</v>
      </c>
      <c r="D6" s="0" t="n">
        <f aca="false">C6*(1+D5/100)</f>
        <v>99903.92445</v>
      </c>
      <c r="E6" s="0" t="n">
        <f aca="false">D6*(1+E5/100)</f>
        <v>100403.44407225</v>
      </c>
      <c r="F6" s="0" t="n">
        <f aca="false">E6*(1+F5/100)</f>
        <v>102411.512953695</v>
      </c>
      <c r="G6" s="0" t="n">
        <f aca="false">F6*(1+G5/100)</f>
        <v>104971.800777537</v>
      </c>
      <c r="H6" s="0" t="n">
        <f aca="false">G6*(1+H5/100)</f>
        <v>107596.095796976</v>
      </c>
      <c r="I6" s="0" t="n">
        <f aca="false">H6*(1+I5/100)</f>
        <v>110285.9981919</v>
      </c>
      <c r="J6" s="0" t="n">
        <f aca="false">I6*(1+J5/100)</f>
        <v>113043.148146698</v>
      </c>
      <c r="K6" s="0" t="n">
        <f aca="false">J6*(1+K5/100)</f>
        <v>115869.226850365</v>
      </c>
      <c r="L6" s="0" t="n">
        <f aca="false">K6*(1+L5/100)</f>
        <v>118765.957521624</v>
      </c>
    </row>
    <row r="7" customFormat="false" ht="15" hidden="false" customHeight="false" outlineLevel="0" collapsed="false">
      <c r="A7" s="0" t="s">
        <v>97</v>
      </c>
      <c r="C7" s="4" t="n">
        <f aca="false">Assumptions!C42</f>
        <v>62.5</v>
      </c>
      <c r="D7" s="4" t="n">
        <f aca="false">Assumptions!D42</f>
        <v>62.5</v>
      </c>
      <c r="E7" s="4" t="n">
        <f aca="false">Assumptions!E42</f>
        <v>62.5</v>
      </c>
      <c r="F7" s="4" t="n">
        <f aca="false">Assumptions!F42</f>
        <v>63</v>
      </c>
      <c r="G7" s="4" t="n">
        <f aca="false">Assumptions!G42</f>
        <v>63</v>
      </c>
      <c r="H7" s="4" t="n">
        <f aca="false">Assumptions!H42</f>
        <v>63.5</v>
      </c>
      <c r="I7" s="4" t="n">
        <f aca="false">Assumptions!I42</f>
        <v>63.5</v>
      </c>
      <c r="J7" s="4" t="n">
        <f aca="false">Assumptions!J42</f>
        <v>63.5</v>
      </c>
      <c r="K7" s="4" t="n">
        <f aca="false">Assumptions!K42</f>
        <v>63.5</v>
      </c>
      <c r="L7" s="4" t="n">
        <f aca="false">Assumptions!L42</f>
        <v>63.5</v>
      </c>
    </row>
    <row r="8" customFormat="false" ht="15" hidden="false" customHeight="false" outlineLevel="0" collapsed="false">
      <c r="A8" s="0" t="s">
        <v>44</v>
      </c>
      <c r="C8" s="0" t="n">
        <f aca="false">C6*C7/100</f>
        <v>62129.30625</v>
      </c>
      <c r="D8" s="0" t="n">
        <f aca="false">D6*D7/100</f>
        <v>62439.95278125</v>
      </c>
      <c r="E8" s="0" t="n">
        <f aca="false">E6*E7/100</f>
        <v>62752.1525451562</v>
      </c>
      <c r="F8" s="0" t="n">
        <f aca="false">F6*F7/100</f>
        <v>64519.2531608278</v>
      </c>
      <c r="G8" s="0" t="n">
        <f aca="false">G6*G7/100</f>
        <v>66132.2344898485</v>
      </c>
      <c r="H8" s="0" t="n">
        <f aca="false">H6*H7/100</f>
        <v>68323.5208310796</v>
      </c>
      <c r="I8" s="0" t="n">
        <f aca="false">I6*I7/100</f>
        <v>70031.6088518566</v>
      </c>
      <c r="J8" s="0" t="n">
        <f aca="false">J6*J7/100</f>
        <v>71782.399073153</v>
      </c>
      <c r="K8" s="0" t="n">
        <f aca="false">K6*K7/100</f>
        <v>73576.9590499818</v>
      </c>
      <c r="L8" s="0" t="n">
        <f aca="false">L6*L7/100</f>
        <v>75416.3830262314</v>
      </c>
    </row>
    <row r="9" customFormat="false" ht="15" hidden="false" customHeight="false" outlineLevel="0" collapsed="false">
      <c r="A9" s="0" t="s">
        <v>98</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114</v>
      </c>
      <c r="C11" s="0" t="n">
        <f aca="false">C8+C10+C24</f>
        <v>52586.24481</v>
      </c>
      <c r="D11" s="0" t="n">
        <f aca="false">D8+D10+D24</f>
        <v>52949.0799585</v>
      </c>
      <c r="E11" s="0" t="n">
        <f aca="false">E8+E10+E24</f>
        <v>53314.2288023647</v>
      </c>
      <c r="F11" s="0" t="n">
        <f aca="false">F8+F10+F24</f>
        <v>54994.9824561342</v>
      </c>
      <c r="G11" s="0" t="n">
        <f aca="false">G8+G10+G24</f>
        <v>56474.8288183151</v>
      </c>
      <c r="H11" s="0" t="n">
        <f aca="false">H8+H10+H24</f>
        <v>58532.2761135548</v>
      </c>
      <c r="I11" s="0" t="n">
        <f aca="false">I8+I10+I24</f>
        <v>60105.8690145856</v>
      </c>
      <c r="J11" s="0" t="n">
        <f aca="false">J8+J10+J24</f>
        <v>61608.5157399502</v>
      </c>
      <c r="K11" s="0" t="n">
        <f aca="false">K8+K10+K24</f>
        <v>63148.728633449</v>
      </c>
      <c r="L11" s="0" t="n">
        <f aca="false">L8+L10+L24</f>
        <v>64727.4468492852</v>
      </c>
    </row>
    <row r="12" customFormat="false" ht="15" hidden="false" customHeight="false" outlineLevel="0" collapsed="false">
      <c r="A12" s="0" t="s">
        <v>115</v>
      </c>
      <c r="C12" s="4" t="n">
        <f aca="false">-C6*Assumptions!C45/100</f>
        <v>-27833.9292</v>
      </c>
      <c r="D12" s="4" t="n">
        <f aca="false">-D6*Assumptions!D45/100</f>
        <v>-25975.020357</v>
      </c>
      <c r="E12" s="4" t="n">
        <f aca="false">-E6*Assumptions!E45/100</f>
        <v>-25100.8610180625</v>
      </c>
      <c r="F12" s="4" t="n">
        <f aca="false">-F6*Assumptions!F45/100</f>
        <v>-24578.7631088868</v>
      </c>
      <c r="G12" s="4" t="n">
        <f aca="false">-G6*Assumptions!G45/100</f>
        <v>-25193.232186609</v>
      </c>
      <c r="H12" s="4" t="n">
        <f aca="false">-H6*Assumptions!H45/100</f>
        <v>-25823.0629912742</v>
      </c>
      <c r="I12" s="4" t="n">
        <f aca="false">-I6*Assumptions!I45/100</f>
        <v>-26468.639566056</v>
      </c>
      <c r="J12" s="4" t="n">
        <f aca="false">-J6*Assumptions!J45/100</f>
        <v>-27130.3555552074</v>
      </c>
      <c r="K12" s="4" t="n">
        <f aca="false">-K6*Assumptions!K45/100</f>
        <v>-27808.6144440876</v>
      </c>
      <c r="L12" s="4" t="n">
        <f aca="false">-L6*Assumptions!L45/100</f>
        <v>-28503.8298051898</v>
      </c>
    </row>
    <row r="13" customFormat="false" ht="15" hidden="false" customHeight="false" outlineLevel="0" collapsed="false">
      <c r="A13" s="0" t="s">
        <v>116</v>
      </c>
      <c r="C13" s="0" t="n">
        <f aca="false">C11+C12</f>
        <v>24752.31561</v>
      </c>
      <c r="D13" s="0" t="n">
        <f aca="false">D11+D12</f>
        <v>26974.0596015</v>
      </c>
      <c r="E13" s="0" t="n">
        <f aca="false">E11+E12</f>
        <v>28213.3677843022</v>
      </c>
      <c r="F13" s="0" t="n">
        <f aca="false">F11+F12</f>
        <v>30416.2193472474</v>
      </c>
      <c r="G13" s="0" t="n">
        <f aca="false">G11+G12</f>
        <v>31281.5966317061</v>
      </c>
      <c r="H13" s="0" t="n">
        <f aca="false">H11+H12</f>
        <v>32709.2131222806</v>
      </c>
      <c r="I13" s="0" t="n">
        <f aca="false">I11+I12</f>
        <v>33637.2294485295</v>
      </c>
      <c r="J13" s="0" t="n">
        <f aca="false">J11+J12</f>
        <v>34478.1601847428</v>
      </c>
      <c r="K13" s="0" t="n">
        <f aca="false">K11+K12</f>
        <v>35340.1141893614</v>
      </c>
      <c r="L13" s="0" t="n">
        <f aca="false">L11+L12</f>
        <v>36223.6170440954</v>
      </c>
    </row>
    <row r="14" customFormat="false" ht="15" hidden="false" customHeight="false" outlineLevel="0" collapsed="false">
      <c r="A14" s="0" t="s">
        <v>102</v>
      </c>
      <c r="C14" s="4" t="n">
        <f aca="false">Assumptions!C47</f>
        <v>25</v>
      </c>
      <c r="D14" s="4" t="n">
        <f aca="false">Assumptions!D47</f>
        <v>25</v>
      </c>
      <c r="E14" s="4" t="n">
        <f aca="false">Assumptions!E47</f>
        <v>25</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117</v>
      </c>
      <c r="C15" s="0" t="n">
        <f aca="false">C13-MAX(0,C13)*C14/100</f>
        <v>18564.2367075</v>
      </c>
      <c r="D15" s="0" t="n">
        <f aca="false">D13-MAX(0,D13)*D14/100</f>
        <v>20230.544701125</v>
      </c>
      <c r="E15" s="0" t="n">
        <f aca="false">E13-MAX(0,E13)*E14/100</f>
        <v>21160.0258382267</v>
      </c>
      <c r="F15" s="0" t="n">
        <f aca="false">F13-MAX(0,F13)*F14/100</f>
        <v>22812.1645104356</v>
      </c>
      <c r="G15" s="0" t="n">
        <f aca="false">G13-MAX(0,G13)*G14/100</f>
        <v>23461.1974737796</v>
      </c>
      <c r="H15" s="0" t="n">
        <f aca="false">H13-MAX(0,H13)*H14/100</f>
        <v>24531.9098417105</v>
      </c>
      <c r="I15" s="0" t="n">
        <f aca="false">I13-MAX(0,I13)*I14/100</f>
        <v>25227.9220863972</v>
      </c>
      <c r="J15" s="0" t="n">
        <f aca="false">J13-MAX(0,J13)*J14/100</f>
        <v>25858.6201385571</v>
      </c>
      <c r="K15" s="0" t="n">
        <f aca="false">K13-MAX(0,K13)*K14/100</f>
        <v>26505.085642021</v>
      </c>
      <c r="L15" s="0" t="n">
        <f aca="false">L13-MAX(0,L13)*L14/100</f>
        <v>27167.7127830715</v>
      </c>
    </row>
    <row r="16" customFormat="false" ht="15" hidden="false" customHeight="false" outlineLevel="0" collapsed="false">
      <c r="A16" s="0" t="s">
        <v>118</v>
      </c>
      <c r="C16" s="0" t="n">
        <f aca="false">-C12</f>
        <v>27833.9292</v>
      </c>
      <c r="D16" s="0" t="n">
        <f aca="false">-D12</f>
        <v>25975.020357</v>
      </c>
      <c r="E16" s="0" t="n">
        <f aca="false">-E12</f>
        <v>25100.8610180625</v>
      </c>
      <c r="F16" s="0" t="n">
        <f aca="false">-F12</f>
        <v>24578.7631088868</v>
      </c>
      <c r="G16" s="0" t="n">
        <f aca="false">-G12</f>
        <v>25193.232186609</v>
      </c>
      <c r="H16" s="0" t="n">
        <f aca="false">-H12</f>
        <v>25823.0629912742</v>
      </c>
      <c r="I16" s="0" t="n">
        <f aca="false">-I12</f>
        <v>26468.639566056</v>
      </c>
      <c r="J16" s="0" t="n">
        <f aca="false">-J12</f>
        <v>27130.3555552074</v>
      </c>
      <c r="K16" s="0" t="n">
        <f aca="false">-K12</f>
        <v>27808.6144440876</v>
      </c>
      <c r="L16" s="0" t="n">
        <f aca="false">-L12</f>
        <v>28503.8298051898</v>
      </c>
    </row>
    <row r="17" customFormat="false" ht="15" hidden="false" customHeight="false" outlineLevel="0" collapsed="false">
      <c r="A17" s="0" t="s">
        <v>119</v>
      </c>
      <c r="C17" s="4" t="n">
        <f aca="false">-C6*Assumptions!C46/100</f>
        <v>-27833.9292</v>
      </c>
      <c r="D17" s="4" t="n">
        <f aca="false">-D6*Assumptions!D46/100</f>
        <v>-26474.53997925</v>
      </c>
      <c r="E17" s="4" t="n">
        <f aca="false">-E6*Assumptions!E46/100</f>
        <v>-25602.8782384237</v>
      </c>
      <c r="F17" s="4" t="n">
        <f aca="false">-F6*Assumptions!F46/100</f>
        <v>-25602.8782384237</v>
      </c>
      <c r="G17" s="4" t="n">
        <f aca="false">-G6*Assumptions!G46/100</f>
        <v>-26242.9501943843</v>
      </c>
      <c r="H17" s="4" t="n">
        <f aca="false">-H6*Assumptions!H46/100</f>
        <v>-26899.0239492439</v>
      </c>
      <c r="I17" s="4" t="n">
        <f aca="false">-I6*Assumptions!I46/100</f>
        <v>-27571.499547975</v>
      </c>
      <c r="J17" s="4" t="n">
        <f aca="false">-J6*Assumptions!J46/100</f>
        <v>-28260.7870366744</v>
      </c>
      <c r="K17" s="4" t="n">
        <f aca="false">-K6*Assumptions!K46/100</f>
        <v>-28967.3067125913</v>
      </c>
      <c r="L17" s="4" t="n">
        <f aca="false">-L6*Assumptions!L46/100</f>
        <v>-29691.4893804061</v>
      </c>
    </row>
    <row r="18" customFormat="false" ht="15" hidden="false" customHeight="false" outlineLevel="0" collapsed="false">
      <c r="A18" s="0" t="s">
        <v>120</v>
      </c>
      <c r="C18" s="4" t="n">
        <f aca="false">(C6-B6)*Assumptions!$B$51/100</f>
        <v>602.466</v>
      </c>
      <c r="D18" s="4" t="n">
        <f aca="false">(D6-C6)*Assumptions!$B$51/100</f>
        <v>-298.220669999995</v>
      </c>
      <c r="E18" s="4" t="n">
        <f aca="false">(E6-D6)*Assumptions!$B$51/100</f>
        <v>-299.711773349997</v>
      </c>
      <c r="F18" s="4" t="n">
        <f aca="false">(F6-E6)*Assumptions!$B$51/100</f>
        <v>-1204.841328867</v>
      </c>
      <c r="G18" s="4" t="n">
        <f aca="false">(G6-F6)*Assumptions!$B$51/100</f>
        <v>-1536.17269430542</v>
      </c>
      <c r="H18" s="4" t="n">
        <f aca="false">(H6-G6)*Assumptions!$B$51/100</f>
        <v>-1574.57701166305</v>
      </c>
      <c r="I18" s="4" t="n">
        <f aca="false">(I6-H6)*Assumptions!$B$51/100</f>
        <v>-1613.94143695463</v>
      </c>
      <c r="J18" s="4" t="n">
        <f aca="false">(J6-I6)*Assumptions!$B$51/100</f>
        <v>-1654.2899728785</v>
      </c>
      <c r="K18" s="4" t="n">
        <f aca="false">(K6-J6)*Assumptions!$B$51/100</f>
        <v>-1695.64722220046</v>
      </c>
      <c r="L18" s="4" t="n">
        <f aca="false">(L6-K6)*Assumptions!$B$51/100</f>
        <v>-1738.03840275547</v>
      </c>
    </row>
    <row r="19" customFormat="false" ht="15" hidden="false" customHeight="false" outlineLevel="0" collapsed="false">
      <c r="A19" s="0" t="s">
        <v>121</v>
      </c>
      <c r="C19" s="0" t="n">
        <f aca="false">C15+C16+C17+C18</f>
        <v>19166.7027075</v>
      </c>
      <c r="D19" s="0" t="n">
        <f aca="false">D15+D16+D17+D18</f>
        <v>19432.804408875</v>
      </c>
      <c r="E19" s="0" t="n">
        <f aca="false">E15+E16+E17+E18</f>
        <v>20358.2968445154</v>
      </c>
      <c r="F19" s="0" t="n">
        <f aca="false">F15+F16+F17+F18</f>
        <v>20583.2080520316</v>
      </c>
      <c r="G19" s="0" t="n">
        <f aca="false">G15+G16+G17+G18</f>
        <v>20875.3067716988</v>
      </c>
      <c r="H19" s="0" t="n">
        <f aca="false">H15+H16+H17+H18</f>
        <v>21881.3718720777</v>
      </c>
      <c r="I19" s="0" t="n">
        <f aca="false">I15+I16+I17+I18</f>
        <v>22511.1206675235</v>
      </c>
      <c r="J19" s="0" t="n">
        <f aca="false">J15+J16+J17+J18</f>
        <v>23073.8986842116</v>
      </c>
      <c r="K19" s="0" t="n">
        <f aca="false">K15+K16+K17+K18</f>
        <v>23650.7461513169</v>
      </c>
      <c r="L19" s="0" t="n">
        <f aca="false">L15+L16+L17+L18</f>
        <v>24242.0148050998</v>
      </c>
    </row>
    <row r="20" customFormat="false" ht="15" hidden="false" customHeight="false" outlineLevel="0" collapsed="false">
      <c r="A20" s="0" t="s">
        <v>122</v>
      </c>
      <c r="C20" s="0" t="n">
        <f aca="false">1/(1+$B$27/100)^C4</f>
        <v>0.938967136150235</v>
      </c>
      <c r="D20" s="0" t="n">
        <f aca="false">1/(1+$B$27/100)^D4</f>
        <v>0.881659282770174</v>
      </c>
      <c r="E20" s="0" t="n">
        <f aca="false">1/(1+$B$27/100)^E4</f>
        <v>0.82784909180298</v>
      </c>
      <c r="F20" s="0" t="n">
        <f aca="false">1/(1+$B$27/100)^F4</f>
        <v>0.777323090894817</v>
      </c>
      <c r="G20" s="0" t="n">
        <f aca="false">1/(1+$B$27/100)^G4</f>
        <v>0.729880836520955</v>
      </c>
      <c r="H20" s="0" t="n">
        <f aca="false">1/(1+$B$27/100)^H4</f>
        <v>0.685334118799019</v>
      </c>
      <c r="I20" s="0" t="n">
        <f aca="false">1/(1+$B$27/100)^I4</f>
        <v>0.643506214834759</v>
      </c>
      <c r="J20" s="0" t="n">
        <f aca="false">1/(1+$B$27/100)^J4</f>
        <v>0.604231187638272</v>
      </c>
      <c r="K20" s="0" t="n">
        <f aca="false">1/(1+$B$27/100)^K4</f>
        <v>0.567353227829363</v>
      </c>
      <c r="L20" s="0" t="n">
        <f aca="false">1/(1+$B$27/100)^L4</f>
        <v>0.532726035520529</v>
      </c>
    </row>
    <row r="21" customFormat="false" ht="15" hidden="false" customHeight="false" outlineLevel="0" collapsed="false">
      <c r="A21" s="0" t="s">
        <v>123</v>
      </c>
      <c r="C21" s="0" t="n">
        <f aca="false">C19*C20</f>
        <v>17996.9039507042</v>
      </c>
      <c r="D21" s="0" t="n">
        <f aca="false">D19*D20</f>
        <v>17133.1123973418</v>
      </c>
      <c r="E21" s="0" t="n">
        <f aca="false">E19*E20</f>
        <v>16853.5975533876</v>
      </c>
      <c r="F21" s="0" t="n">
        <f aca="false">F19*F20</f>
        <v>15999.8029035363</v>
      </c>
      <c r="G21" s="0" t="n">
        <f aca="false">G19*G20</f>
        <v>15236.4863691591</v>
      </c>
      <c r="H21" s="0" t="n">
        <f aca="false">H19*H20</f>
        <v>14996.050710064</v>
      </c>
      <c r="I21" s="0" t="n">
        <f aca="false">I19*I20</f>
        <v>14486.0460524466</v>
      </c>
      <c r="J21" s="0" t="n">
        <f aca="false">J19*J20</f>
        <v>13941.9692054063</v>
      </c>
      <c r="K21" s="0" t="n">
        <f aca="false">K19*K20</f>
        <v>13418.3271695225</v>
      </c>
      <c r="L21" s="0" t="n">
        <f aca="false">L19*L20</f>
        <v>12914.3524401508</v>
      </c>
    </row>
    <row r="23" customFormat="false" ht="15" hidden="false" customHeight="false" outlineLevel="0" collapsed="false">
      <c r="A23" s="0" t="s">
        <v>99</v>
      </c>
      <c r="C23" s="4" t="n">
        <f aca="false">Assumptions!C44</f>
        <v>9.6</v>
      </c>
      <c r="D23" s="4" t="n">
        <f aca="false">Assumptions!D44</f>
        <v>9.5</v>
      </c>
      <c r="E23" s="4" t="n">
        <f aca="false">Assumptions!E44</f>
        <v>9.4</v>
      </c>
      <c r="F23" s="4" t="n">
        <f aca="false">Assumptions!F44</f>
        <v>9.3</v>
      </c>
      <c r="G23" s="4" t="n">
        <f aca="false">Assumptions!G44</f>
        <v>9.2</v>
      </c>
      <c r="H23" s="4" t="n">
        <f aca="false">Assumptions!H44</f>
        <v>9.1</v>
      </c>
      <c r="I23" s="4" t="n">
        <f aca="false">Assumptions!I44</f>
        <v>9</v>
      </c>
      <c r="J23" s="4" t="n">
        <f aca="false">Assumptions!J44</f>
        <v>9</v>
      </c>
      <c r="K23" s="4" t="n">
        <f aca="false">Assumptions!K44</f>
        <v>9</v>
      </c>
      <c r="L23" s="4" t="n">
        <f aca="false">Assumptions!L44</f>
        <v>9</v>
      </c>
    </row>
    <row r="24" customFormat="false" ht="15" hidden="false" customHeight="false" outlineLevel="0" collapsed="false">
      <c r="A24" s="0" t="s">
        <v>124</v>
      </c>
      <c r="C24" s="0" t="n">
        <f aca="false">-C6*C23/100</f>
        <v>-9543.06144</v>
      </c>
      <c r="D24" s="0" t="n">
        <f aca="false">-D6*D23/100</f>
        <v>-9490.87282275</v>
      </c>
      <c r="E24" s="0" t="n">
        <f aca="false">-E6*E23/100</f>
        <v>-9437.9237427915</v>
      </c>
      <c r="F24" s="0" t="n">
        <f aca="false">-F6*F23/100</f>
        <v>-9524.27070469363</v>
      </c>
      <c r="G24" s="0" t="n">
        <f aca="false">-G6*G23/100</f>
        <v>-9657.40567153344</v>
      </c>
      <c r="H24" s="0" t="n">
        <f aca="false">-H6*H23/100</f>
        <v>-9791.24471752479</v>
      </c>
      <c r="I24" s="0" t="n">
        <f aca="false">-I6*I23/100</f>
        <v>-9925.73983727101</v>
      </c>
      <c r="J24" s="0" t="n">
        <f aca="false">-J6*J23/100</f>
        <v>-10173.8833332028</v>
      </c>
      <c r="K24" s="0" t="n">
        <f aca="false">-K6*K23/100</f>
        <v>-10428.2304165329</v>
      </c>
      <c r="L24" s="0" t="n">
        <f aca="false">-L6*L23/100</f>
        <v>-10688.9361769462</v>
      </c>
    </row>
    <row r="26" customFormat="false" ht="15" hidden="false" customHeight="false" outlineLevel="0" collapsed="false">
      <c r="A26" s="2" t="s">
        <v>125</v>
      </c>
    </row>
    <row r="27" customFormat="false" ht="15" hidden="false" customHeight="false" outlineLevel="0" collapsed="false">
      <c r="A27" s="0" t="s">
        <v>103</v>
      </c>
      <c r="B27" s="4" t="n">
        <f aca="false">Assumptions!$B$48</f>
        <v>6.5</v>
      </c>
    </row>
    <row r="28" customFormat="false" ht="15" hidden="false" customHeight="false" outlineLevel="0" collapsed="false">
      <c r="A28" s="0" t="s">
        <v>104</v>
      </c>
      <c r="B28" s="4" t="n">
        <f aca="false">Assumptions!$B$49</f>
        <v>2</v>
      </c>
    </row>
    <row r="29" customFormat="false" ht="15" hidden="false" customHeight="false" outlineLevel="0" collapsed="false">
      <c r="A29" s="0" t="s">
        <v>105</v>
      </c>
      <c r="B29" s="4" t="n">
        <f aca="false">Assumptions!$B$50</f>
        <v>16</v>
      </c>
    </row>
    <row r="30" customFormat="false" ht="15" hidden="false" customHeight="false" outlineLevel="0" collapsed="false">
      <c r="A30" s="0" t="s">
        <v>126</v>
      </c>
      <c r="B30" s="0" t="n">
        <f aca="false">SUM(C21:L21)</f>
        <v>152976.648751719</v>
      </c>
    </row>
    <row r="31" customFormat="false" ht="15" hidden="false" customHeight="false" outlineLevel="0" collapsed="false">
      <c r="A31" s="0" t="s">
        <v>127</v>
      </c>
      <c r="B31" s="0" t="n">
        <f aca="false">L19</f>
        <v>24242.0148050998</v>
      </c>
    </row>
    <row r="32" customFormat="false" ht="15" hidden="false" customHeight="false" outlineLevel="0" collapsed="false">
      <c r="A32" s="0" t="s">
        <v>128</v>
      </c>
      <c r="B32" s="0" t="n">
        <f aca="false">IF(B27&gt;B28,B31*(1+B28/100)/((B27-B28)/100),B31*B29)</f>
        <v>549485.668915596</v>
      </c>
    </row>
    <row r="33" customFormat="false" ht="15" hidden="false" customHeight="false" outlineLevel="0" collapsed="false">
      <c r="A33" s="0" t="s">
        <v>129</v>
      </c>
      <c r="B33" s="0" t="n">
        <f aca="false">B31*B29</f>
        <v>387872.236881597</v>
      </c>
    </row>
    <row r="34" customFormat="false" ht="15" hidden="false" customHeight="false" outlineLevel="0" collapsed="false">
      <c r="A34" s="0" t="s">
        <v>130</v>
      </c>
      <c r="B34" s="0" t="n">
        <f aca="false">MAX(0,MIN(B32,B33))</f>
        <v>387872.236881597</v>
      </c>
    </row>
    <row r="35" customFormat="false" ht="15" hidden="false" customHeight="false" outlineLevel="0" collapsed="false">
      <c r="A35" s="0" t="s">
        <v>131</v>
      </c>
      <c r="B35" s="0" t="n">
        <f aca="false">B34/(1+B27/100)^L4</f>
        <v>206629.639042413</v>
      </c>
    </row>
    <row r="36" customFormat="false" ht="15" hidden="false" customHeight="false" outlineLevel="0" collapsed="false">
      <c r="A36" s="0" t="s">
        <v>132</v>
      </c>
      <c r="B36" s="0" t="n">
        <f aca="false">B30+B35</f>
        <v>359606.287794132</v>
      </c>
    </row>
    <row r="37" customFormat="false" ht="15" hidden="false" customHeight="false" outlineLevel="0" collapsed="false">
      <c r="A37" s="0" t="s">
        <v>133</v>
      </c>
      <c r="B37" s="0" t="n">
        <f aca="false">B36+Assumptions!$B$5-Assumptions!$B$4</f>
        <v>265007.287794132</v>
      </c>
    </row>
    <row r="38" customFormat="false" ht="15" hidden="false" customHeight="false" outlineLevel="0" collapsed="false">
      <c r="A38" s="0" t="s">
        <v>134</v>
      </c>
      <c r="B38" s="0" t="n">
        <f aca="false">B37/Assumptions!$B$3*Assumptions!$B$10</f>
        <v>17.6477296280294</v>
      </c>
    </row>
    <row r="39" customFormat="false" ht="15" hidden="false" customHeight="false" outlineLevel="0" collapsed="false">
      <c r="A39" s="0" t="s">
        <v>135</v>
      </c>
      <c r="B39" s="4" t="n">
        <f aca="false">B38/Assumptions!$B$2-1</f>
        <v>0.921364140231838</v>
      </c>
    </row>
    <row r="41" customFormat="false" ht="15" hidden="false" customHeight="false" outlineLevel="0" collapsed="false">
      <c r="A41" s="0" t="s">
        <v>136</v>
      </c>
      <c r="B41" s="0" t="n">
        <f aca="false">SUMPRODUCT(-C10:L10/(1+$B$27/100)^C4:L4)</f>
        <v>0</v>
      </c>
    </row>
    <row r="42" customFormat="false" ht="15" hidden="false" customHeight="false" outlineLevel="0" collapsed="false">
      <c r="A42" s="0" t="s">
        <v>137</v>
      </c>
      <c r="B42" s="0" t="n">
        <f aca="false">IF(B27&gt;B28,-L10*(1+B28/100)/((B27-B28)/100),-L10*20)/(1+B27/100)^L4</f>
        <v>0</v>
      </c>
    </row>
    <row r="43" customFormat="false" ht="15" hidden="false" customHeight="false" outlineLevel="0" collapsed="false">
      <c r="A43" s="0" t="s">
        <v>138</v>
      </c>
      <c r="B43" s="0" t="n">
        <f aca="false">(B37+B41+B42)/Assumptions!$B$3*Assumptions!$B$10</f>
        <v>17.6477296280294</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190206.577701552</v>
      </c>
    </row>
    <row r="47" customFormat="false" ht="15" hidden="false" customHeight="false" outlineLevel="0" collapsed="false">
      <c r="A47" s="0" t="s">
        <v>140</v>
      </c>
      <c r="B47" s="0" t="n">
        <f aca="false">(SUMPRODUCT(C19:L19/(1+B45/100)^C4:L4)+B46/(1+B45/100)^L4+Assumptions!$B$5-Assumptions!$B$4)/Assumptions!$B$3*Assumptions!$B$10</f>
        <v>3.82857613610817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143</v>
      </c>
    </row>
    <row r="3" customFormat="false" ht="15" hidden="false" customHeight="false" outlineLevel="0" collapsed="false">
      <c r="A3" s="2" t="s">
        <v>144</v>
      </c>
      <c r="B3" s="2" t="s">
        <v>145</v>
      </c>
      <c r="C3" s="2" t="s">
        <v>135</v>
      </c>
      <c r="D3" s="2" t="s">
        <v>146</v>
      </c>
      <c r="E3" s="2" t="s">
        <v>138</v>
      </c>
      <c r="F3" s="2" t="s">
        <v>147</v>
      </c>
    </row>
    <row r="4" customFormat="false" ht="15" hidden="false" customHeight="false" outlineLevel="0" collapsed="false">
      <c r="A4" s="0" t="s">
        <v>148</v>
      </c>
      <c r="B4" s="4" t="n">
        <f aca="false">DCF_Bear!$B$38</f>
        <v>5.21723498113178</v>
      </c>
      <c r="C4" s="0" t="n">
        <f aca="false">B4/Assumptions!$B$2-1</f>
        <v>-0.431983126714014</v>
      </c>
      <c r="D4" s="4" t="n">
        <f aca="false">Assumptions!$B$24</f>
        <v>0.3</v>
      </c>
      <c r="E4" s="4" t="n">
        <f aca="false">DCF_Bear!$B$43</f>
        <v>5.21723498113178</v>
      </c>
      <c r="F4" s="4" t="n">
        <f aca="false">DCF_Bear!$B$47</f>
        <v>0.00829673906722322</v>
      </c>
    </row>
    <row r="5" customFormat="false" ht="15" hidden="false" customHeight="false" outlineLevel="0" collapsed="false">
      <c r="A5" s="0" t="s">
        <v>149</v>
      </c>
      <c r="B5" s="4" t="n">
        <f aca="false">DCF_Base!$B$38</f>
        <v>11.9152878980123</v>
      </c>
      <c r="C5" s="0" t="n">
        <f aca="false">B5/Assumptions!$B$2-1</f>
        <v>0.297255078716638</v>
      </c>
      <c r="D5" s="4" t="n">
        <f aca="false">Assumptions!$B$38</f>
        <v>0.5</v>
      </c>
      <c r="E5" s="4" t="n">
        <f aca="false">DCF_Base!$B$43</f>
        <v>11.9152878980123</v>
      </c>
      <c r="F5" s="4" t="n">
        <f aca="false">DCF_Base!$B$47</f>
        <v>2.20286562643329</v>
      </c>
    </row>
    <row r="6" customFormat="false" ht="15" hidden="false" customHeight="false" outlineLevel="0" collapsed="false">
      <c r="A6" s="0" t="s">
        <v>150</v>
      </c>
      <c r="B6" s="4" t="n">
        <f aca="false">DCF_Bull!$B$38</f>
        <v>17.6477296280294</v>
      </c>
      <c r="C6" s="0" t="n">
        <f aca="false">B6/Assumptions!$B$2-1</f>
        <v>0.921364140231838</v>
      </c>
      <c r="D6" s="4" t="n">
        <f aca="false">Assumptions!$B$52</f>
        <v>0.2</v>
      </c>
      <c r="E6" s="4" t="n">
        <f aca="false">DCF_Bull!$B$43</f>
        <v>17.6477296280294</v>
      </c>
      <c r="F6" s="4" t="n">
        <f aca="false">DCF_Bull!$B$47</f>
        <v>3.82857613610817</v>
      </c>
    </row>
    <row r="8" customFormat="false" ht="15" hidden="false" customHeight="false" outlineLevel="0" collapsed="false">
      <c r="A8" s="0" t="s">
        <v>151</v>
      </c>
      <c r="B8" s="0" t="n">
        <f aca="false">SUMPRODUCT(B4:B6,D4:D6)</f>
        <v>11.0523603689516</v>
      </c>
    </row>
    <row r="9" customFormat="false" ht="15" hidden="false" customHeight="false" outlineLevel="0" collapsed="false">
      <c r="A9" s="0" t="s">
        <v>152</v>
      </c>
      <c r="B9" s="0" t="n">
        <f aca="false">SUMPRODUCT(E4:E6,D4:D6)</f>
        <v>11.0523603689516</v>
      </c>
    </row>
    <row r="10" customFormat="false" ht="15" hidden="false" customHeight="false" outlineLevel="0" collapsed="false">
      <c r="A10" s="0" t="s">
        <v>153</v>
      </c>
      <c r="B10" s="0" t="n">
        <f aca="false">1-Assumptions!$B$2/B8</f>
        <v>0.168955798274312</v>
      </c>
    </row>
    <row r="11" customFormat="false" ht="15" hidden="false" customHeight="false" outlineLevel="0" collapsed="false">
      <c r="A11" s="0" t="s">
        <v>154</v>
      </c>
      <c r="B11" s="0" t="str">
        <f aca="false">IF(ABS(B9-B8)&gt;0.01*ABS(B8),(Assumptions!$B$2-B8)/(B9-B8)*100,"n/a")</f>
        <v>n/a</v>
      </c>
    </row>
    <row r="12" customFormat="false" ht="15" hidden="false" customHeight="false" outlineLevel="0" collapsed="false">
      <c r="A12" s="0" t="s">
        <v>155</v>
      </c>
      <c r="B12" s="0" t="n">
        <f aca="false">SUMPRODUCT(F4:F6,D4:D6)</f>
        <v>1.86963706215844</v>
      </c>
    </row>
    <row r="14" customFormat="false" ht="15" hidden="false" customHeight="false" outlineLevel="0" collapsed="false">
      <c r="A14" s="2" t="s">
        <v>156</v>
      </c>
      <c r="C14" s="0" t="s">
        <v>157</v>
      </c>
    </row>
    <row r="15" customFormat="false" ht="15" hidden="false" customHeight="false" outlineLevel="0" collapsed="false">
      <c r="A15" s="0" t="s">
        <v>158</v>
      </c>
      <c r="B15" s="0" t="n">
        <f aca="false">(SUMPRODUCT(DCF_Base!$C$19:$L$19/(1+$C$15/100)^DCF_Base!$C$4:$L$4)+MAX(0,MIN(IF($C$15&gt;DCF_Base!$B$28,DCF_Base!$L$19*(1+DCF_Base!$B$28/100)/(($C$15-DCF_Base!$B$28)/100),DCF_Base!$L$19*DCF_Base!$B$29),DCF_Base!$L$19*DCF_Base!$B$29))/(1+$C$15/100)^DCF_Base!$L$4+Assumptions!$B$5-Assumptions!$B$4)/Assumptions!$B$3*Assumptions!$B$10</f>
        <v>11.9152878980123</v>
      </c>
      <c r="C15" s="3" t="n">
        <v>6.5</v>
      </c>
    </row>
    <row r="16" customFormat="false" ht="15" hidden="false" customHeight="false" outlineLevel="0" collapsed="false">
      <c r="A16" s="0" t="s">
        <v>159</v>
      </c>
      <c r="B16" s="0" t="n">
        <f aca="false">(SUMPRODUCT(DCF_Base!$C$19:$L$19/(1+$C$16/100)^DCF_Base!$C$4:$L$4)+MAX(0,MIN(IF($C$16&gt;DCF_Base!$B$28,DCF_Base!$L$19*(1+DCF_Base!$B$28/100)/(($C$16-DCF_Base!$B$28)/100),DCF_Base!$L$19*DCF_Base!$B$29),DCF_Base!$L$19*DCF_Base!$B$29))/(1+$C$16/100)^DCF_Base!$L$4+Assumptions!$B$5-Assumptions!$B$4)/Assumptions!$B$3*Assumptions!$B$10</f>
        <v>8.77665127827907</v>
      </c>
      <c r="C16" s="3" t="n">
        <v>9</v>
      </c>
    </row>
    <row r="17" customFormat="false" ht="15" hidden="false" customHeight="false" outlineLevel="0" collapsed="false">
      <c r="A17" s="0" t="s">
        <v>160</v>
      </c>
      <c r="B17" s="0" t="n">
        <f aca="false">(SUMPRODUCT(DCF_Base!$C$19:$L$19/(1+$C$17/100)^DCF_Base!$C$4:$L$4)+MAX(0,MIN(IF($C$17&gt;DCF_Base!$B$28,DCF_Base!$L$19*(1+DCF_Base!$B$28/100)/(($C$17-DCF_Base!$B$28)/100),DCF_Base!$L$19*DCF_Base!$B$29),DCF_Base!$L$19*DCF_Base!$B$29))/(1+$C$17/100)^DCF_Base!$L$4+Assumptions!$B$5-Assumptions!$B$4)/Assumptions!$B$3*Assumptions!$B$10</f>
        <v>7.03975450349647</v>
      </c>
      <c r="C17" s="3" t="n">
        <v>10</v>
      </c>
    </row>
    <row r="18" customFormat="false" ht="15" hidden="false" customHeight="false" outlineLevel="0" collapsed="false">
      <c r="A18" s="0" t="s">
        <v>161</v>
      </c>
      <c r="B18" s="0" t="n">
        <f aca="false">(SUMPRODUCT(DCF_Base!$C$19:$L$19/(1+$C$18/100)^DCF_Base!$C$4:$L$4)+MAX(0,MIN(IF($C$18&gt;DCF_Base!$B$28,DCF_Base!$L$19*(1+DCF_Base!$B$28/100)/(($C$18-DCF_Base!$B$28)/100),DCF_Base!$L$19*DCF_Base!$B$29),DCF_Base!$L$19*DCF_Base!$B$29))/(1+$C$18/100)^DCF_Base!$L$4+Assumptions!$B$5-Assumptions!$B$4)/Assumptions!$B$3*Assumptions!$B$10</f>
        <v>5.66728963202405</v>
      </c>
      <c r="C18" s="3" t="n">
        <v>11</v>
      </c>
    </row>
    <row r="19" customFormat="false" ht="15" hidden="false" customHeight="false" outlineLevel="0" collapsed="false">
      <c r="A19" s="0" t="s">
        <v>162</v>
      </c>
      <c r="B19" s="0" t="n">
        <f aca="false">(SUMPRODUCT(DCF_Base!$C$19:$L$19/(1+$C$19/100)^DCF_Base!$C$4:$L$4)+MAX(0,MIN(IF($C$19&gt;DCF_Base!$B$28,DCF_Base!$L$19*(1+DCF_Base!$B$28/100)/(($C$19-DCF_Base!$B$28)/100),DCF_Base!$L$19*DCF_Base!$B$29),DCF_Base!$L$19*DCF_Base!$B$29))/(1+$C$19/100)^DCF_Base!$L$4+Assumptions!$B$5-Assumptions!$B$4)/Assumptions!$B$3*Assumptions!$B$10</f>
        <v>4.55518795465696</v>
      </c>
      <c r="C19" s="3" t="n">
        <v>12</v>
      </c>
    </row>
    <row r="20" customFormat="false" ht="15" hidden="false" customHeight="false" outlineLevel="0" collapsed="false">
      <c r="A20" s="0" t="s">
        <v>163</v>
      </c>
      <c r="B20" s="0" t="n">
        <f aca="false">(SUMPRODUCT(DCF_Base!$C$19:$L$19/(1+$C$20/100)^DCF_Base!$C$4:$L$4)+MAX(0,MIN(IF($C$20&gt;DCF_Base!$B$28,DCF_Base!$L$19*(1+DCF_Base!$B$28/100)/(($C$20-DCF_Base!$B$28)/100),DCF_Base!$L$19*DCF_Base!$B$29),DCF_Base!$L$19*DCF_Base!$B$29))/(1+$C$20/100)^DCF_Base!$L$4+Assumptions!$B$5-Assumptions!$B$4)/Assumptions!$B$3*Assumptions!$B$10</f>
        <v>2.20286562643329</v>
      </c>
      <c r="C20" s="3" t="n">
        <v>15</v>
      </c>
    </row>
    <row r="22" customFormat="false" ht="15" hidden="false" customHeight="false" outlineLevel="0" collapsed="false">
      <c r="A22" s="2" t="s">
        <v>164</v>
      </c>
    </row>
    <row r="23" customFormat="false" ht="15" hidden="false" customHeight="false" outlineLevel="0" collapsed="false">
      <c r="B23" s="3" t="n">
        <v>0.5</v>
      </c>
      <c r="C23" s="3" t="n">
        <v>1</v>
      </c>
      <c r="D23" s="3" t="n">
        <v>1.5</v>
      </c>
      <c r="E23" s="3" t="n">
        <v>2</v>
      </c>
      <c r="F23" s="3" t="n">
        <v>2.5</v>
      </c>
    </row>
    <row r="24" customFormat="false" ht="15" hidden="false" customHeight="false" outlineLevel="0" collapsed="false">
      <c r="A24" s="3" t="n">
        <v>4.5</v>
      </c>
      <c r="B24" s="0" t="n">
        <f aca="false">(SUMPRODUCT(DCF_Base!$C$19:$L$19/(1+$A$24/100)^DCF_Base!$C$4:$L$4)+MAX(0,MIN(IF($A$24&gt;$B$23,DCF_Base!$L$19*(1+$B$23/100)/(($A$24-$B$23)/100),DCF_Base!$L$19*DCF_Base!$B$29),DCF_Base!$L$19*DCF_Base!$B$29))/(1+$A$24/100)^DCF_Base!$L$4+Assumptions!$B$5-Assumptions!$B$4)/Assumptions!$B$3*Assumptions!$B$10</f>
        <v>14.7635991019267</v>
      </c>
      <c r="C24" s="0" t="n">
        <f aca="false">(SUMPRODUCT(DCF_Base!$C$19:$L$19/(1+$A$24/100)^DCF_Base!$C$4:$L$4)+MAX(0,MIN(IF($A$24&gt;$C$23,DCF_Base!$L$19*(1+$C$23/100)/(($A$24-$C$23)/100),DCF_Base!$L$19*DCF_Base!$B$29),DCF_Base!$L$19*DCF_Base!$B$29))/(1+$A$24/100)^DCF_Base!$L$4+Assumptions!$B$5-Assumptions!$B$4)/Assumptions!$B$3*Assumptions!$B$10</f>
        <v>14.7635991019267</v>
      </c>
      <c r="D24" s="0" t="n">
        <f aca="false">(SUMPRODUCT(DCF_Base!$C$19:$L$19/(1+$A$24/100)^DCF_Base!$C$4:$L$4)+MAX(0,MIN(IF($A$24&gt;$D$23,DCF_Base!$L$19*(1+$D$23/100)/(($A$24-$D$23)/100),DCF_Base!$L$19*DCF_Base!$B$29),DCF_Base!$L$19*DCF_Base!$B$29))/(1+$A$24/100)^DCF_Base!$L$4+Assumptions!$B$5-Assumptions!$B$4)/Assumptions!$B$3*Assumptions!$B$10</f>
        <v>14.7635991019267</v>
      </c>
      <c r="E24" s="0" t="n">
        <f aca="false">(SUMPRODUCT(DCF_Base!$C$19:$L$19/(1+$A$24/100)^DCF_Base!$C$4:$L$4)+MAX(0,MIN(IF($A$24&gt;$E$23,DCF_Base!$L$19*(1+$E$23/100)/(($A$24-$E$23)/100),DCF_Base!$L$19*DCF_Base!$B$29),DCF_Base!$L$19*DCF_Base!$B$29))/(1+$A$24/100)^DCF_Base!$L$4+Assumptions!$B$5-Assumptions!$B$4)/Assumptions!$B$3*Assumptions!$B$10</f>
        <v>14.7635991019267</v>
      </c>
      <c r="F24" s="0" t="n">
        <f aca="false">(SUMPRODUCT(DCF_Base!$C$19:$L$19/(1+$A$24/100)^DCF_Base!$C$4:$L$4)+MAX(0,MIN(IF($A$24&gt;$F$23,DCF_Base!$L$19*(1+$F$23/100)/(($A$24-$F$23)/100),DCF_Base!$L$19*DCF_Base!$B$29),DCF_Base!$L$19*DCF_Base!$B$29))/(1+$A$24/100)^DCF_Base!$L$4+Assumptions!$B$5-Assumptions!$B$4)/Assumptions!$B$3*Assumptions!$B$10</f>
        <v>14.7635991019267</v>
      </c>
    </row>
    <row r="25" customFormat="false" ht="15" hidden="false" customHeight="false" outlineLevel="0" collapsed="false">
      <c r="A25" s="3" t="n">
        <v>5.5</v>
      </c>
      <c r="B25" s="0" t="n">
        <f aca="false">(SUMPRODUCT(DCF_Base!$C$19:$L$19/(1+$A$25/100)^DCF_Base!$C$4:$L$4)+MAX(0,MIN(IF($A$25&gt;$B$23,DCF_Base!$L$19*(1+$B$23/100)/(($A$25-$B$23)/100),DCF_Base!$L$19*DCF_Base!$B$29),DCF_Base!$L$19*DCF_Base!$B$29))/(1+$A$25/100)^DCF_Base!$L$4+Assumptions!$B$5-Assumptions!$B$4)/Assumptions!$B$3*Assumptions!$B$10</f>
        <v>13.2721884717772</v>
      </c>
      <c r="C25" s="0" t="n">
        <f aca="false">(SUMPRODUCT(DCF_Base!$C$19:$L$19/(1+$A$25/100)^DCF_Base!$C$4:$L$4)+MAX(0,MIN(IF($A$25&gt;$C$23,DCF_Base!$L$19*(1+$C$23/100)/(($A$25-$C$23)/100),DCF_Base!$L$19*DCF_Base!$B$29),DCF_Base!$L$19*DCF_Base!$B$29))/(1+$A$25/100)^DCF_Base!$L$4+Assumptions!$B$5-Assumptions!$B$4)/Assumptions!$B$3*Assumptions!$B$10</f>
        <v>13.2721884717772</v>
      </c>
      <c r="D25" s="0" t="n">
        <f aca="false">(SUMPRODUCT(DCF_Base!$C$19:$L$19/(1+$A$25/100)^DCF_Base!$C$4:$L$4)+MAX(0,MIN(IF($A$25&gt;$D$23,DCF_Base!$L$19*(1+$D$23/100)/(($A$25-$D$23)/100),DCF_Base!$L$19*DCF_Base!$B$29),DCF_Base!$L$19*DCF_Base!$B$29))/(1+$A$25/100)^DCF_Base!$L$4+Assumptions!$B$5-Assumptions!$B$4)/Assumptions!$B$3*Assumptions!$B$10</f>
        <v>13.2721884717772</v>
      </c>
      <c r="E25" s="0" t="n">
        <f aca="false">(SUMPRODUCT(DCF_Base!$C$19:$L$19/(1+$A$25/100)^DCF_Base!$C$4:$L$4)+MAX(0,MIN(IF($A$25&gt;$E$23,DCF_Base!$L$19*(1+$E$23/100)/(($A$25-$E$23)/100),DCF_Base!$L$19*DCF_Base!$B$29),DCF_Base!$L$19*DCF_Base!$B$29))/(1+$A$25/100)^DCF_Base!$L$4+Assumptions!$B$5-Assumptions!$B$4)/Assumptions!$B$3*Assumptions!$B$10</f>
        <v>13.2721884717772</v>
      </c>
      <c r="F25" s="0" t="n">
        <f aca="false">(SUMPRODUCT(DCF_Base!$C$19:$L$19/(1+$A$25/100)^DCF_Base!$C$4:$L$4)+MAX(0,MIN(IF($A$25&gt;$F$23,DCF_Base!$L$19*(1+$F$23/100)/(($A$25-$F$23)/100),DCF_Base!$L$19*DCF_Base!$B$29),DCF_Base!$L$19*DCF_Base!$B$29))/(1+$A$25/100)^DCF_Base!$L$4+Assumptions!$B$5-Assumptions!$B$4)/Assumptions!$B$3*Assumptions!$B$10</f>
        <v>13.2721884717772</v>
      </c>
    </row>
    <row r="26" customFormat="false" ht="15" hidden="false" customHeight="false" outlineLevel="0" collapsed="false">
      <c r="A26" s="3" t="n">
        <v>6.5</v>
      </c>
      <c r="B26" s="0" t="n">
        <f aca="false">(SUMPRODUCT(DCF_Base!$C$19:$L$19/(1+$A$26/100)^DCF_Base!$C$4:$L$4)+MAX(0,MIN(IF($A$26&gt;$B$23,DCF_Base!$L$19*(1+$B$23/100)/(($A$26-$B$23)/100),DCF_Base!$L$19*DCF_Base!$B$29),DCF_Base!$L$19*DCF_Base!$B$29))/(1+$A$26/100)^DCF_Base!$L$4+Assumptions!$B$5-Assumptions!$B$4)/Assumptions!$B$3*Assumptions!$B$10</f>
        <v>11.9152878980123</v>
      </c>
      <c r="C26" s="0" t="n">
        <f aca="false">(SUMPRODUCT(DCF_Base!$C$19:$L$19/(1+$A$26/100)^DCF_Base!$C$4:$L$4)+MAX(0,MIN(IF($A$26&gt;$C$23,DCF_Base!$L$19*(1+$C$23/100)/(($A$26-$C$23)/100),DCF_Base!$L$19*DCF_Base!$B$29),DCF_Base!$L$19*DCF_Base!$B$29))/(1+$A$26/100)^DCF_Base!$L$4+Assumptions!$B$5-Assumptions!$B$4)/Assumptions!$B$3*Assumptions!$B$10</f>
        <v>11.9152878980123</v>
      </c>
      <c r="D26" s="0" t="n">
        <f aca="false">(SUMPRODUCT(DCF_Base!$C$19:$L$19/(1+$A$26/100)^DCF_Base!$C$4:$L$4)+MAX(0,MIN(IF($A$26&gt;$D$23,DCF_Base!$L$19*(1+$D$23/100)/(($A$26-$D$23)/100),DCF_Base!$L$19*DCF_Base!$B$29),DCF_Base!$L$19*DCF_Base!$B$29))/(1+$A$26/100)^DCF_Base!$L$4+Assumptions!$B$5-Assumptions!$B$4)/Assumptions!$B$3*Assumptions!$B$10</f>
        <v>11.9152878980123</v>
      </c>
      <c r="E26" s="0" t="n">
        <f aca="false">(SUMPRODUCT(DCF_Base!$C$19:$L$19/(1+$A$26/100)^DCF_Base!$C$4:$L$4)+MAX(0,MIN(IF($A$26&gt;$E$23,DCF_Base!$L$19*(1+$E$23/100)/(($A$26-$E$23)/100),DCF_Base!$L$19*DCF_Base!$B$29),DCF_Base!$L$19*DCF_Base!$B$29))/(1+$A$26/100)^DCF_Base!$L$4+Assumptions!$B$5-Assumptions!$B$4)/Assumptions!$B$3*Assumptions!$B$10</f>
        <v>11.9152878980123</v>
      </c>
      <c r="F26" s="0" t="n">
        <f aca="false">(SUMPRODUCT(DCF_Base!$C$19:$L$19/(1+$A$26/100)^DCF_Base!$C$4:$L$4)+MAX(0,MIN(IF($A$26&gt;$F$23,DCF_Base!$L$19*(1+$F$23/100)/(($A$26-$F$23)/100),DCF_Base!$L$19*DCF_Base!$B$29),DCF_Base!$L$19*DCF_Base!$B$29))/(1+$A$26/100)^DCF_Base!$L$4+Assumptions!$B$5-Assumptions!$B$4)/Assumptions!$B$3*Assumptions!$B$10</f>
        <v>11.9152878980123</v>
      </c>
    </row>
    <row r="27" customFormat="false" ht="15" hidden="false" customHeight="false" outlineLevel="0" collapsed="false">
      <c r="A27" s="3" t="n">
        <v>7.5</v>
      </c>
      <c r="B27" s="0" t="n">
        <f aca="false">(SUMPRODUCT(DCF_Base!$C$19:$L$19/(1+$A$27/100)^DCF_Base!$C$4:$L$4)+MAX(0,MIN(IF($A$27&gt;$B$23,DCF_Base!$L$19*(1+$B$23/100)/(($A$27-$B$23)/100),DCF_Base!$L$19*DCF_Base!$B$29),DCF_Base!$L$19*DCF_Base!$B$29))/(1+$A$27/100)^DCF_Base!$L$4+Assumptions!$B$5-Assumptions!$B$4)/Assumptions!$B$3*Assumptions!$B$10</f>
        <v>10.6791811217006</v>
      </c>
      <c r="C27" s="0" t="n">
        <f aca="false">(SUMPRODUCT(DCF_Base!$C$19:$L$19/(1+$A$27/100)^DCF_Base!$C$4:$L$4)+MAX(0,MIN(IF($A$27&gt;$C$23,DCF_Base!$L$19*(1+$C$23/100)/(($A$27-$C$23)/100),DCF_Base!$L$19*DCF_Base!$B$29),DCF_Base!$L$19*DCF_Base!$B$29))/(1+$A$27/100)^DCF_Base!$L$4+Assumptions!$B$5-Assumptions!$B$4)/Assumptions!$B$3*Assumptions!$B$10</f>
        <v>10.6791811217006</v>
      </c>
      <c r="D27" s="0" t="n">
        <f aca="false">(SUMPRODUCT(DCF_Base!$C$19:$L$19/(1+$A$27/100)^DCF_Base!$C$4:$L$4)+MAX(0,MIN(IF($A$27&gt;$D$23,DCF_Base!$L$19*(1+$D$23/100)/(($A$27-$D$23)/100),DCF_Base!$L$19*DCF_Base!$B$29),DCF_Base!$L$19*DCF_Base!$B$29))/(1+$A$27/100)^DCF_Base!$L$4+Assumptions!$B$5-Assumptions!$B$4)/Assumptions!$B$3*Assumptions!$B$10</f>
        <v>10.6791811217006</v>
      </c>
      <c r="E27" s="0" t="n">
        <f aca="false">(SUMPRODUCT(DCF_Base!$C$19:$L$19/(1+$A$27/100)^DCF_Base!$C$4:$L$4)+MAX(0,MIN(IF($A$27&gt;$E$23,DCF_Base!$L$19*(1+$E$23/100)/(($A$27-$E$23)/100),DCF_Base!$L$19*DCF_Base!$B$29),DCF_Base!$L$19*DCF_Base!$B$29))/(1+$A$27/100)^DCF_Base!$L$4+Assumptions!$B$5-Assumptions!$B$4)/Assumptions!$B$3*Assumptions!$B$10</f>
        <v>10.6791811217006</v>
      </c>
      <c r="F27" s="0" t="n">
        <f aca="false">(SUMPRODUCT(DCF_Base!$C$19:$L$19/(1+$A$27/100)^DCF_Base!$C$4:$L$4)+MAX(0,MIN(IF($A$27&gt;$F$23,DCF_Base!$L$19*(1+$F$23/100)/(($A$27-$F$23)/100),DCF_Base!$L$19*DCF_Base!$B$29),DCF_Base!$L$19*DCF_Base!$B$29))/(1+$A$27/100)^DCF_Base!$L$4+Assumptions!$B$5-Assumptions!$B$4)/Assumptions!$B$3*Assumptions!$B$10</f>
        <v>10.6791811217006</v>
      </c>
    </row>
    <row r="28" customFormat="false" ht="15" hidden="false" customHeight="false" outlineLevel="0" collapsed="false">
      <c r="A28" s="3" t="n">
        <v>8.5</v>
      </c>
      <c r="B28" s="0" t="n">
        <f aca="false">(SUMPRODUCT(DCF_Base!$C$19:$L$19/(1+$A$28/100)^DCF_Base!$C$4:$L$4)+MAX(0,MIN(IF($A$28&gt;$B$23,DCF_Base!$L$19*(1+$B$23/100)/(($A$28-$B$23)/100),DCF_Base!$L$19*DCF_Base!$B$29),DCF_Base!$L$19*DCF_Base!$B$29))/(1+$A$28/100)^DCF_Base!$L$4+Assumptions!$B$5-Assumptions!$B$4)/Assumptions!$B$3*Assumptions!$B$10</f>
        <v>8.74995916165725</v>
      </c>
      <c r="C28" s="0" t="n">
        <f aca="false">(SUMPRODUCT(DCF_Base!$C$19:$L$19/(1+$A$28/100)^DCF_Base!$C$4:$L$4)+MAX(0,MIN(IF($A$28&gt;$C$23,DCF_Base!$L$19*(1+$C$23/100)/(($A$28-$C$23)/100),DCF_Base!$L$19*DCF_Base!$B$29),DCF_Base!$L$19*DCF_Base!$B$29))/(1+$A$28/100)^DCF_Base!$L$4+Assumptions!$B$5-Assumptions!$B$4)/Assumptions!$B$3*Assumptions!$B$10</f>
        <v>9.25423134466256</v>
      </c>
      <c r="D28" s="0" t="n">
        <f aca="false">(SUMPRODUCT(DCF_Base!$C$19:$L$19/(1+$A$28/100)^DCF_Base!$C$4:$L$4)+MAX(0,MIN(IF($A$28&gt;$D$23,DCF_Base!$L$19*(1+$D$23/100)/(($A$28-$D$23)/100),DCF_Base!$L$19*DCF_Base!$B$29),DCF_Base!$L$19*DCF_Base!$B$29))/(1+$A$28/100)^DCF_Base!$L$4+Assumptions!$B$5-Assumptions!$B$4)/Assumptions!$B$3*Assumptions!$B$10</f>
        <v>9.55168221758735</v>
      </c>
      <c r="E28" s="0" t="n">
        <f aca="false">(SUMPRODUCT(DCF_Base!$C$19:$L$19/(1+$A$28/100)^DCF_Base!$C$4:$L$4)+MAX(0,MIN(IF($A$28&gt;$E$23,DCF_Base!$L$19*(1+$E$23/100)/(($A$28-$E$23)/100),DCF_Base!$L$19*DCF_Base!$B$29),DCF_Base!$L$19*DCF_Base!$B$29))/(1+$A$28/100)^DCF_Base!$L$4+Assumptions!$B$5-Assumptions!$B$4)/Assumptions!$B$3*Assumptions!$B$10</f>
        <v>9.55168221758735</v>
      </c>
      <c r="F28" s="0" t="n">
        <f aca="false">(SUMPRODUCT(DCF_Base!$C$19:$L$19/(1+$A$28/100)^DCF_Base!$C$4:$L$4)+MAX(0,MIN(IF($A$28&gt;$F$23,DCF_Base!$L$19*(1+$F$23/100)/(($A$28-$F$23)/100),DCF_Base!$L$19*DCF_Base!$B$29),DCF_Base!$L$19*DCF_Base!$B$29))/(1+$A$28/100)^DCF_Base!$L$4+Assumptions!$B$5-Assumptions!$B$4)/Assumptions!$B$3*Assumptions!$B$10</f>
        <v>9.55168221758735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2026-10-11T08:10:51Z</dcterms:created>
  <dc:creator>openpyxl</dc:creator>
  <dc:description/>
  <dc:language>en-NZ</dc:language>
  <cp:lastModifiedBy/>
  <dcterms:modified xsi:type="dcterms:W3CDTF">2026-10-11T08:10:51Z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