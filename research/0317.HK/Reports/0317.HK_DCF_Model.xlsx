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<sst xmlns="http://schemas.openxmlformats.org/spreadsheetml/2006/main" count="356" uniqueCount="164">
  <si>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</si>
  <si>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0317.HK</t>
  </si>
  <si>
    <t xml:space="preserve">Company</t>
  </si>
  <si>
    <t xml:space="preserve">CSSC Offshore &amp; Marine Engineering (Group) Company Limited (COMEC)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</si>
  <si>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</si>
  <si>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</si>
  <si>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</si>
  <si>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</si>
  <si>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2026-10-09T07:57:22Z HKEX regular close (Yahoo chart API); 52-week range 10.9-18.0</t>
  </si>
  <si>
    <t xml:space="preserve">Balance sheet date</t>
  </si>
  <si>
    <t xml:space="preserve">2026-03-31</t>
  </si>
  <si>
    <t xml:space="preserve">Model</t>
  </si>
  <si>
    <t xml:space="preserve">Owner-FCF DCF of consolidated shipbuilding operations plus sum-of-parts holdco bridge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</si>
  <si>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</si>
  <si>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</si>
  <si>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</si>
  <si>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</si>
  <si>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</si>
  <si>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</si>
  <si>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</si>
  <si>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</si>
  <si>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</si>
  <si>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2026-10-10T22:14:41Z</t>
  </si>
  <si>
    <t xml:space="preserve">Drivers file</t>
  </si>
  <si>
    <t xml:space="preserve">0317.HK_Drivers.json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</si>
  <si>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</si>
  <si>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</si>
  <si>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</si>
  <si>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COMEC is a holdco. Most of its value is net cash, a 41% stake in GSI and a listed CSSC Holdings stake; the consolidated shipbuilding operations (Huangpu Wenchong, 54.5% owned) earn thin core margins. FY2025's +167% profit came mostly from GSI's peak-delivery equity income, which is excluded from the flows and valued at 0.8x book instead of being capitalised. The operating DCF uses mid-cycle margins, and a negative-working-capital capture means a down-cycle drains the advance-payment float.
key_risks_to_valuation: Net cash of RMB9.1bn partly reflects RMB15.4bn of customer advances; a deep down-cycle unwinds it faster than the 20% capture models; GSI value depends on its peak FY2025 earnings holding; at FY2024 profit (RMB0.59bn) the 0.8x-book mark is generous; The CSSC Holdings (600150.SH) stake moves with A-share sentiment and is marked at the 2026-10-09 close; each 10% move is ~RMB0.6bn after tax (~HK$0.5/share); SOE restructuring after the CSSC-CSIC merger could move GSI/HW assets at prices set by the parent; Holdco discount: the market applies one, the model does not</t>
  </si>
  <si>
    <t xml:space="preserve">Data sources</t>
  </si>
  <si>
    <t xml:space="preserve">price: Yahoo Finance chart API at inputs.price_as_of; 52-week range 10.9-18.0. A-share 600685.SS and 600150.SS closes from the same API on 2026-10-09
financials: 0317.HK FY2025 Annual Report (balance sheet, income statement, cash flow statement, notes V(xiii), V(xiv), V(liv), V(xxxiii)); Q1 FY2026 quarterly report (balance sheet 31-Mar-2026); 0317.HK_Metrics.csv FY2017-Q1 FY2026
qualitative: 0317.HK_Analysis.json (2026-10-11)</t>
  </si>
  <si>
    <t xml:space="preserve">Scenario narrative: bear</t>
  </si>
  <si>
    <t xml:space="preserve">2025's 23-26% fall in global orders is the start of a classic down-cycle: Section 301 port fees and Western de-risking cut export intake, newbuild prices roll over against weak freight rates, and steel/labor inflation on fixed-price contracts compresses margins. Revenue falls ~30% from FY2027 to FY2030 (FY2017-20 saw -49%), core EBITDA drops to 1-1.5% and the negative-working-capital float unwinds, draining cash. Defense work prevents losses deepening further.</t>
  </si>
  <si>
    <t xml:space="preserve">Scenario narrative: base</t>
  </si>
  <si>
    <t xml:space="preserve">The RMB60.6bn backlog delivers FY2026-28 revenue of RMB21-23bn at margins lifted by 2024-25 pricing, then the 2025 slowdown in global ordering (and COMEC's own 30% lower FY2026 intake target) works through as a ~10% revenue dip in FY2029-31 before replacement demand from the ageing fleet restores 2-3% growth. Core margin settles at a 4% EBITDA mid-cycle; the defense/coast-guard book provides the floor. GSI is worth ~0.8x book and the CSSC Holdings stake is marked to market.</t>
  </si>
  <si>
    <t xml:space="preserve">Scenario narrative: bull</t>
  </si>
  <si>
    <t xml:space="preserve">Fleet renewal plus the alternative-fuel transition keep ordering elevated through the decade; the Honghu container-ship family moves COMEC into 5,300-9,200 TEU vessels, export mix (15% gross margin vs 6% domestic) keeps rising, and lean/cost engineering lifts core EBITDA to 6-6.5%. Revenue compounds to ~RMB30bn. Section 301 fees are delayed or diluted.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</si>
  <si>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</si>
  <si>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</si>
  <si>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</si>
  <si>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</si>
  <si>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</si>
  <si>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</si>
  <si>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</si>
  <si>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</si>
  <si>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</si>
  <si>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</si>
  <si>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</si>
  <si>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</si>
  <si>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</si>
  <si>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</si>
  <si>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</si>
  <si>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</si>
  <si>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</si>
  <si>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</si>
  <si>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</si>
  <si>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</si>
  <si>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</si>
  <si>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</si>
  <si>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</si>
  <si>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</si>
  <si>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</si>
  <si>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</si>
  <si>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</si>
  <si>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</si>
  <si>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</si>
  <si>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</si>
  <si>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</si>
  <si>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</si>
  <si>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</si>
  <si>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</si>
  <si>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</si>
  <si>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</si>
  <si>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</si>
  <si>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</si>
  <si>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</si>
  <si>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</si>
  <si>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</si>
  <si>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</si>
  <si>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</si>
  <si>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</si>
  <si>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</si>
  <si>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</si>
  <si>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</si>
  <si>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</si>
  <si>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</si>
  <si>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</si>
  <si>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</si>
  <si>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</si>
  <si>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</si>
  <si>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</si>
  <si>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</si>
  <si>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</si>
  <si>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</si>
  <si>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</si>
  <si>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</si>
  <si>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</si>
  <si>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</si>
  <si>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</si>
  <si>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</si>
  <si>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</si>
  <si>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</si>
  <si>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</si>
  <si>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</si>
  <si>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</si>
  <si>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</si>
  <si>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</si>
  <si>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</si>
  <si>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</si>
  <si>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</si>
  <si>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0317.HK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</si>
  <si>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</si>
  <si>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</si>
  <si>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</si>
  <si>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</si>
  <si>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</si>
  <si>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</si>
  <si>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</si>
  <si>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</si>
  <si>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</si>
  <si>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</si>
  <si>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</si>
  <si>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</si>
  <si>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</si>
  <si>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</si>
  <si>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</si>
  <si>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</si>
  <si>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</si>
  <si>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</si>
  <si>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</si>
  <si>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</si>
  <si>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</si>
  <si>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</si>
  <si>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</si>
  <si>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</si>
  <si>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</si>
  <si>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</si>
  <si>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</si>
  <si>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</si>
  <si>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</si>
  <si>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</si>
  <si>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0317.HK owner-FCF component DCF: base case (millions, CNY)</t>
  </si>
  <si>
    <t xml:space="preserve">0317.HK owner-FCF component DCF: bull case (millions, CNY)</t>
  </si>
  <si>
    <t xml:space="preserve">0317.HK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</si>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</sst>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22920.207</v>
      </c>
      <c r="C2" s="0" t="n">
        <v>21501.524</v>
      </c>
      <c r="D2" s="0" t="n">
        <v>1418.683</v>
      </c>
      <c r="E2" s="0" t="n">
        <v>6.2</v>
      </c>
      <c r="F2" s="0" t="n">
        <v>-829.192</v>
      </c>
      <c r="G2" s="0" t="n">
        <v>-3.6</v>
      </c>
      <c r="I2" s="0" t="n">
        <v>-50.508</v>
      </c>
      <c r="J2" s="0" t="n">
        <v>-0.2</v>
      </c>
      <c r="K2" s="0" t="n">
        <v>-0.0357</v>
      </c>
      <c r="L2" s="0" t="n">
        <v>-811.263</v>
      </c>
      <c r="M2" s="0" t="n">
        <v>688.022</v>
      </c>
      <c r="N2" s="0" t="n">
        <v>-1499.285</v>
      </c>
      <c r="O2" s="0" t="n">
        <v>10809.092</v>
      </c>
      <c r="R2" s="0" t="n">
        <v>17247.972</v>
      </c>
      <c r="S2" s="0" t="n">
        <v>12210.331</v>
      </c>
      <c r="T2" s="0" t="n">
        <v>1413.506378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19213.596</v>
      </c>
      <c r="C3" s="0" t="n">
        <v>19262.47</v>
      </c>
      <c r="D3" s="0" t="n">
        <v>-48.874</v>
      </c>
      <c r="E3" s="0" t="n">
        <v>-0.3</v>
      </c>
      <c r="F3" s="0" t="n">
        <v>-2949.941</v>
      </c>
      <c r="G3" s="0" t="n">
        <v>-15.4</v>
      </c>
      <c r="I3" s="0" t="n">
        <v>-1869.014</v>
      </c>
      <c r="J3" s="0" t="n">
        <v>-9.7</v>
      </c>
      <c r="K3" s="0" t="n">
        <v>-1.3223</v>
      </c>
      <c r="L3" s="0" t="n">
        <v>-1544.91</v>
      </c>
      <c r="M3" s="0" t="n">
        <v>785.468</v>
      </c>
      <c r="N3" s="0" t="n">
        <v>-2330.378</v>
      </c>
      <c r="O3" s="0" t="n">
        <v>9727.438</v>
      </c>
      <c r="P3" s="0" t="n">
        <v>47475.344</v>
      </c>
      <c r="Q3" s="0" t="n">
        <v>33118.934</v>
      </c>
      <c r="R3" s="0" t="n">
        <v>13058.006</v>
      </c>
      <c r="S3" s="0" t="n">
        <v>10337.887</v>
      </c>
      <c r="T3" s="0" t="n">
        <v>1413.506378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21829.003</v>
      </c>
      <c r="C4" s="0" t="n">
        <v>20959.295</v>
      </c>
      <c r="D4" s="0" t="n">
        <v>869.708</v>
      </c>
      <c r="E4" s="0" t="n">
        <v>4</v>
      </c>
      <c r="F4" s="0" t="n">
        <v>-1298.904</v>
      </c>
      <c r="G4" s="0" t="n">
        <v>-6</v>
      </c>
      <c r="I4" s="0" t="n">
        <v>548.32</v>
      </c>
      <c r="J4" s="0" t="n">
        <v>2.5</v>
      </c>
      <c r="K4" s="0" t="n">
        <v>0.3879</v>
      </c>
      <c r="L4" s="0" t="n">
        <v>3735.554</v>
      </c>
      <c r="M4" s="0" t="n">
        <v>870.294</v>
      </c>
      <c r="N4" s="0" t="n">
        <v>2865.26</v>
      </c>
      <c r="O4" s="0" t="n">
        <v>10148.257</v>
      </c>
      <c r="P4" s="0" t="n">
        <v>52304.069</v>
      </c>
      <c r="Q4" s="0" t="n">
        <v>36756.345</v>
      </c>
      <c r="R4" s="0" t="n">
        <v>14588.965</v>
      </c>
      <c r="S4" s="0" t="n">
        <v>14317.366</v>
      </c>
      <c r="T4" s="0" t="n">
        <v>1413.506378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11608.461</v>
      </c>
      <c r="C5" s="0" t="n">
        <v>10854.786</v>
      </c>
      <c r="D5" s="0" t="n">
        <v>753.675</v>
      </c>
      <c r="E5" s="0" t="n">
        <v>6.5</v>
      </c>
      <c r="F5" s="0" t="n">
        <v>3608.081</v>
      </c>
      <c r="G5" s="0" t="n">
        <v>31.1</v>
      </c>
      <c r="I5" s="0" t="n">
        <v>3662.334</v>
      </c>
      <c r="J5" s="0" t="n">
        <v>31.5</v>
      </c>
      <c r="K5" s="0" t="n">
        <v>2.591</v>
      </c>
      <c r="L5" s="0" t="n">
        <v>-1024.407</v>
      </c>
      <c r="M5" s="0" t="n">
        <v>455.565</v>
      </c>
      <c r="N5" s="0" t="n">
        <v>-1479.972</v>
      </c>
      <c r="O5" s="0" t="n">
        <v>14432.092</v>
      </c>
      <c r="P5" s="0" t="n">
        <v>38937.517</v>
      </c>
      <c r="Q5" s="0" t="n">
        <v>21386.375</v>
      </c>
      <c r="R5" s="0" t="n">
        <v>7148.34</v>
      </c>
      <c r="S5" s="0" t="n">
        <v>8767.75</v>
      </c>
      <c r="T5" s="0" t="n">
        <v>1413.506378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11671.594</v>
      </c>
      <c r="C6" s="0" t="n">
        <v>10477.172</v>
      </c>
      <c r="D6" s="0" t="n">
        <v>1194.422</v>
      </c>
      <c r="E6" s="0" t="n">
        <v>10.2</v>
      </c>
      <c r="F6" s="0" t="n">
        <v>104.159</v>
      </c>
      <c r="G6" s="0" t="n">
        <v>0.9</v>
      </c>
      <c r="I6" s="0" t="n">
        <v>79.387</v>
      </c>
      <c r="J6" s="0" t="n">
        <v>0.7</v>
      </c>
      <c r="K6" s="0" t="n">
        <v>0.0562</v>
      </c>
      <c r="L6" s="0" t="n">
        <v>4365.184</v>
      </c>
      <c r="M6" s="0" t="n">
        <v>293.666</v>
      </c>
      <c r="N6" s="0" t="n">
        <v>4071.518</v>
      </c>
      <c r="O6" s="0" t="n">
        <v>15524.747</v>
      </c>
      <c r="P6" s="0" t="n">
        <v>44265.409</v>
      </c>
      <c r="Q6" s="0" t="n">
        <v>25594.59</v>
      </c>
      <c r="R6" s="0" t="n">
        <v>6225.351</v>
      </c>
      <c r="S6" s="0" t="n">
        <v>9560.403</v>
      </c>
      <c r="T6" s="0" t="n">
        <v>1413.506378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12795.125</v>
      </c>
      <c r="C7" s="0" t="n">
        <v>11916.905</v>
      </c>
      <c r="D7" s="0" t="n">
        <v>878.22</v>
      </c>
      <c r="E7" s="0" t="n">
        <v>6.9</v>
      </c>
      <c r="F7" s="0" t="n">
        <v>694.847</v>
      </c>
      <c r="G7" s="0" t="n">
        <v>5.4</v>
      </c>
      <c r="I7" s="0" t="n">
        <v>688.391</v>
      </c>
      <c r="J7" s="0" t="n">
        <v>5.4</v>
      </c>
      <c r="K7" s="0" t="n">
        <v>0.487</v>
      </c>
      <c r="L7" s="0" t="n">
        <v>2015.033</v>
      </c>
      <c r="M7" s="0" t="n">
        <v>240.73</v>
      </c>
      <c r="N7" s="0" t="n">
        <v>1774.303</v>
      </c>
      <c r="O7" s="0" t="n">
        <v>15588.031</v>
      </c>
      <c r="P7" s="0" t="n">
        <v>46479.787</v>
      </c>
      <c r="Q7" s="0" t="n">
        <v>27729.083</v>
      </c>
      <c r="R7" s="0" t="n">
        <v>6685.056</v>
      </c>
      <c r="S7" s="0" t="n">
        <v>14813.772</v>
      </c>
      <c r="T7" s="0" t="n">
        <v>1413.506378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16145.951</v>
      </c>
      <c r="C8" s="0" t="n">
        <v>15075.78</v>
      </c>
      <c r="D8" s="0" t="n">
        <v>1070.171</v>
      </c>
      <c r="E8" s="0" t="n">
        <v>6.6</v>
      </c>
      <c r="F8" s="0" t="n">
        <v>70.163</v>
      </c>
      <c r="G8" s="0" t="n">
        <v>0.4</v>
      </c>
      <c r="I8" s="0" t="n">
        <v>48.068</v>
      </c>
      <c r="J8" s="0" t="n">
        <v>0.3</v>
      </c>
      <c r="K8" s="0" t="n">
        <v>0.034</v>
      </c>
      <c r="L8" s="0" t="n">
        <v>3311.968</v>
      </c>
      <c r="M8" s="0" t="n">
        <v>554.296</v>
      </c>
      <c r="N8" s="0" t="n">
        <v>2757.672</v>
      </c>
      <c r="O8" s="0" t="n">
        <v>16417.57</v>
      </c>
      <c r="P8" s="0" t="n">
        <v>50862.502</v>
      </c>
      <c r="Q8" s="0" t="n">
        <v>31255.464</v>
      </c>
      <c r="R8" s="0" t="n">
        <v>5279.744</v>
      </c>
      <c r="S8" s="0" t="n">
        <v>16422.805</v>
      </c>
      <c r="T8" s="0" t="n">
        <v>1413.506378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19402.391</v>
      </c>
      <c r="C9" s="0" t="n">
        <v>17897.013</v>
      </c>
      <c r="D9" s="0" t="n">
        <v>1505.378</v>
      </c>
      <c r="E9" s="0" t="n">
        <v>7.8</v>
      </c>
      <c r="F9" s="0" t="n">
        <v>390.347</v>
      </c>
      <c r="G9" s="0" t="n">
        <v>2</v>
      </c>
      <c r="I9" s="0" t="n">
        <v>377.263</v>
      </c>
      <c r="J9" s="0" t="n">
        <v>1.9</v>
      </c>
      <c r="K9" s="0" t="n">
        <v>0.2669</v>
      </c>
      <c r="L9" s="0" t="n">
        <v>-2195.629</v>
      </c>
      <c r="M9" s="0" t="n">
        <v>203.195</v>
      </c>
      <c r="N9" s="0" t="n">
        <v>-2398.824</v>
      </c>
      <c r="O9" s="0" t="n">
        <v>17824.706</v>
      </c>
      <c r="P9" s="0" t="n">
        <v>53596.114</v>
      </c>
      <c r="Q9" s="0" t="n">
        <v>32425.657</v>
      </c>
      <c r="R9" s="0" t="n">
        <v>6357.924</v>
      </c>
      <c r="S9" s="0" t="n">
        <v>15260.594</v>
      </c>
      <c r="T9" s="0" t="n">
        <v>1413.506378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20547.052</v>
      </c>
      <c r="C10" s="0" t="n">
        <v>18479.056</v>
      </c>
      <c r="D10" s="0" t="n">
        <v>2067.996</v>
      </c>
      <c r="E10" s="0" t="n">
        <v>10.1</v>
      </c>
      <c r="F10" s="0" t="n">
        <v>1176.348</v>
      </c>
      <c r="G10" s="0" t="n">
        <v>5.7</v>
      </c>
      <c r="I10" s="0" t="n">
        <v>1008.263</v>
      </c>
      <c r="J10" s="0" t="n">
        <v>4.9</v>
      </c>
      <c r="K10" s="0" t="n">
        <v>0.7133</v>
      </c>
      <c r="L10" s="0" t="n">
        <v>-322.226</v>
      </c>
      <c r="M10" s="0" t="n">
        <v>285.182</v>
      </c>
      <c r="N10" s="0" t="n">
        <v>-607.408</v>
      </c>
      <c r="O10" s="0" t="n">
        <v>18234.508</v>
      </c>
      <c r="P10" s="0" t="n">
        <v>56021.548</v>
      </c>
      <c r="Q10" s="0" t="n">
        <v>34331.043</v>
      </c>
      <c r="R10" s="0" t="n">
        <v>6019.395</v>
      </c>
      <c r="S10" s="0" t="n">
        <v>13855.425</v>
      </c>
      <c r="T10" s="0" t="n">
        <v>1413.506378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14.3</v>
      </c>
    </row>
    <row r="3" customFormat="false" ht="15" hidden="false" customHeight="false" outlineLevel="0" collapsed="false">
      <c r="A3" s="0" t="s">
        <v>76</v>
      </c>
      <c r="B3" s="3" t="n">
        <v>1413.506</v>
      </c>
    </row>
    <row r="4" customFormat="false" ht="15" hidden="false" customHeight="false" outlineLevel="0" collapsed="false">
      <c r="A4" s="0" t="s">
        <v>77</v>
      </c>
      <c r="B4" s="3" t="n">
        <v>-9062.233</v>
      </c>
    </row>
    <row r="5" customFormat="false" ht="15" hidden="false" customHeight="false" outlineLevel="0" collapsed="false">
      <c r="A5" s="0" t="s">
        <v>78</v>
      </c>
      <c r="B5" s="3" t="n">
        <v>6624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20547.052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3.3</v>
      </c>
      <c r="D13" s="3" t="n">
        <v>0</v>
      </c>
      <c r="E13" s="3" t="n">
        <v>-8</v>
      </c>
      <c r="F13" s="3" t="n">
        <v>-12</v>
      </c>
      <c r="G13" s="3" t="n">
        <v>-10</v>
      </c>
      <c r="H13" s="3" t="n">
        <v>-5</v>
      </c>
      <c r="I13" s="3" t="n">
        <v>0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4</v>
      </c>
      <c r="D14" s="3" t="n">
        <v>3.5</v>
      </c>
      <c r="E14" s="3" t="n">
        <v>2.5</v>
      </c>
      <c r="F14" s="3" t="n">
        <v>1.5</v>
      </c>
      <c r="G14" s="3" t="n">
        <v>1</v>
      </c>
      <c r="H14" s="3" t="n">
        <v>1.5</v>
      </c>
      <c r="I14" s="3" t="n">
        <v>2</v>
      </c>
      <c r="J14" s="3" t="n">
        <v>2.5</v>
      </c>
      <c r="K14" s="3" t="n">
        <v>2.5</v>
      </c>
      <c r="L14" s="3" t="n">
        <v>2.5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2.3</v>
      </c>
      <c r="D17" s="3" t="n">
        <v>2.4</v>
      </c>
      <c r="E17" s="3" t="n">
        <v>2.6</v>
      </c>
      <c r="F17" s="3" t="n">
        <v>2.8</v>
      </c>
      <c r="G17" s="3" t="n">
        <v>2.8</v>
      </c>
      <c r="H17" s="3" t="n">
        <v>2.7</v>
      </c>
      <c r="I17" s="3" t="n">
        <v>2.6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101</v>
      </c>
      <c r="C18" s="3" t="n">
        <v>1.8</v>
      </c>
      <c r="D18" s="3" t="n">
        <v>2</v>
      </c>
      <c r="E18" s="3" t="n">
        <v>2</v>
      </c>
      <c r="F18" s="3" t="n">
        <v>1.8</v>
      </c>
      <c r="G18" s="3" t="n">
        <v>1.8</v>
      </c>
      <c r="H18" s="3" t="n">
        <v>2</v>
      </c>
      <c r="I18" s="3" t="n">
        <v>2.2</v>
      </c>
      <c r="J18" s="3" t="n">
        <v>2.2</v>
      </c>
      <c r="K18" s="3" t="n">
        <v>2.2</v>
      </c>
      <c r="L18" s="3" t="n">
        <v>2.2</v>
      </c>
    </row>
    <row r="19" customFormat="false" ht="15" hidden="false" customHeight="false" outlineLevel="0" collapsed="false">
      <c r="A19" s="0" t="s">
        <v>102</v>
      </c>
      <c r="C19" s="3" t="n">
        <v>15</v>
      </c>
      <c r="D19" s="3" t="n">
        <v>15</v>
      </c>
      <c r="E19" s="3" t="n">
        <v>15</v>
      </c>
      <c r="F19" s="3" t="n">
        <v>16</v>
      </c>
      <c r="G19" s="3" t="n">
        <v>17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10</v>
      </c>
    </row>
    <row r="23" customFormat="false" ht="15" hidden="false" customHeight="false" outlineLevel="0" collapsed="false">
      <c r="A23" s="0" t="s">
        <v>106</v>
      </c>
      <c r="B23" s="3" t="n">
        <v>20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3.3</v>
      </c>
      <c r="D27" s="3" t="n">
        <v>5</v>
      </c>
      <c r="E27" s="3" t="n">
        <v>3</v>
      </c>
      <c r="F27" s="3" t="n">
        <v>-2</v>
      </c>
      <c r="G27" s="3" t="n">
        <v>-5</v>
      </c>
      <c r="H27" s="3" t="n">
        <v>-3</v>
      </c>
      <c r="I27" s="3" t="n">
        <v>2</v>
      </c>
      <c r="J27" s="3" t="n">
        <v>3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4.5</v>
      </c>
      <c r="D28" s="3" t="n">
        <v>5</v>
      </c>
      <c r="E28" s="3" t="n">
        <v>5</v>
      </c>
      <c r="F28" s="3" t="n">
        <v>4.5</v>
      </c>
      <c r="G28" s="3" t="n">
        <v>4</v>
      </c>
      <c r="H28" s="3" t="n">
        <v>4</v>
      </c>
      <c r="I28" s="3" t="n">
        <v>4</v>
      </c>
      <c r="J28" s="3" t="n">
        <v>4</v>
      </c>
      <c r="K28" s="3" t="n">
        <v>4</v>
      </c>
      <c r="L28" s="3" t="n">
        <v>4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2.3</v>
      </c>
      <c r="D31" s="3" t="n">
        <v>2.3</v>
      </c>
      <c r="E31" s="3" t="n">
        <v>2.3</v>
      </c>
      <c r="F31" s="3" t="n">
        <v>2.3</v>
      </c>
      <c r="G31" s="3" t="n">
        <v>2.3</v>
      </c>
      <c r="H31" s="3" t="n">
        <v>2.2</v>
      </c>
      <c r="I31" s="3" t="n">
        <v>2.2</v>
      </c>
      <c r="J31" s="3" t="n">
        <v>2.2</v>
      </c>
      <c r="K31" s="3" t="n">
        <v>2.2</v>
      </c>
      <c r="L31" s="3" t="n">
        <v>2.2</v>
      </c>
    </row>
    <row r="32" customFormat="false" ht="15" hidden="false" customHeight="false" outlineLevel="0" collapsed="false">
      <c r="A32" s="0" t="s">
        <v>101</v>
      </c>
      <c r="C32" s="3" t="n">
        <v>1.8</v>
      </c>
      <c r="D32" s="3" t="n">
        <v>2</v>
      </c>
      <c r="E32" s="3" t="n">
        <v>2.2</v>
      </c>
      <c r="F32" s="3" t="n">
        <v>2.2</v>
      </c>
      <c r="G32" s="3" t="n">
        <v>2.2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102</v>
      </c>
      <c r="C33" s="3" t="n">
        <v>15</v>
      </c>
      <c r="D33" s="3" t="n">
        <v>15</v>
      </c>
      <c r="E33" s="3" t="n">
        <v>15</v>
      </c>
      <c r="F33" s="3" t="n">
        <v>16</v>
      </c>
      <c r="G33" s="3" t="n">
        <v>17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10</v>
      </c>
    </row>
    <row r="37" customFormat="false" ht="15" hidden="false" customHeight="false" outlineLevel="0" collapsed="false">
      <c r="A37" s="0" t="s">
        <v>106</v>
      </c>
      <c r="B37" s="3" t="n">
        <v>20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6</v>
      </c>
      <c r="D41" s="3" t="n">
        <v>8</v>
      </c>
      <c r="E41" s="3" t="n">
        <v>7</v>
      </c>
      <c r="F41" s="3" t="n">
        <v>5</v>
      </c>
      <c r="G41" s="3" t="n">
        <v>3</v>
      </c>
      <c r="H41" s="3" t="n">
        <v>2</v>
      </c>
      <c r="I41" s="3" t="n">
        <v>3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97</v>
      </c>
      <c r="C42" s="3" t="n">
        <v>5</v>
      </c>
      <c r="D42" s="3" t="n">
        <v>5.8</v>
      </c>
      <c r="E42" s="3" t="n">
        <v>6.5</v>
      </c>
      <c r="F42" s="3" t="n">
        <v>6.5</v>
      </c>
      <c r="G42" s="3" t="n">
        <v>6</v>
      </c>
      <c r="H42" s="3" t="n">
        <v>6</v>
      </c>
      <c r="I42" s="3" t="n">
        <v>6</v>
      </c>
      <c r="J42" s="3" t="n">
        <v>6</v>
      </c>
      <c r="K42" s="3" t="n">
        <v>6</v>
      </c>
      <c r="L42" s="3" t="n">
        <v>6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2.3</v>
      </c>
      <c r="D45" s="3" t="n">
        <v>2.3</v>
      </c>
      <c r="E45" s="3" t="n">
        <v>2.2</v>
      </c>
      <c r="F45" s="3" t="n">
        <v>2.2</v>
      </c>
      <c r="G45" s="3" t="n">
        <v>2.2</v>
      </c>
      <c r="H45" s="3" t="n">
        <v>2.2</v>
      </c>
      <c r="I45" s="3" t="n">
        <v>2.2</v>
      </c>
      <c r="J45" s="3" t="n">
        <v>2.2</v>
      </c>
      <c r="K45" s="3" t="n">
        <v>2.2</v>
      </c>
      <c r="L45" s="3" t="n">
        <v>2.2</v>
      </c>
    </row>
    <row r="46" customFormat="false" ht="15" hidden="false" customHeight="false" outlineLevel="0" collapsed="false">
      <c r="A46" s="0" t="s">
        <v>101</v>
      </c>
      <c r="C46" s="3" t="n">
        <v>1.8</v>
      </c>
      <c r="D46" s="3" t="n">
        <v>2.2</v>
      </c>
      <c r="E46" s="3" t="n">
        <v>2.4</v>
      </c>
      <c r="F46" s="3" t="n">
        <v>2.4</v>
      </c>
      <c r="G46" s="3" t="n">
        <v>2.2</v>
      </c>
      <c r="H46" s="3" t="n">
        <v>2.2</v>
      </c>
      <c r="I46" s="3" t="n">
        <v>2.2</v>
      </c>
      <c r="J46" s="3" t="n">
        <v>2.2</v>
      </c>
      <c r="K46" s="3" t="n">
        <v>2.2</v>
      </c>
      <c r="L46" s="3" t="n">
        <v>2.2</v>
      </c>
    </row>
    <row r="47" customFormat="false" ht="15" hidden="false" customHeight="false" outlineLevel="0" collapsed="false">
      <c r="A47" s="0" t="s">
        <v>102</v>
      </c>
      <c r="C47" s="3" t="n">
        <v>15</v>
      </c>
      <c r="D47" s="3" t="n">
        <v>15</v>
      </c>
      <c r="E47" s="3" t="n">
        <v>15</v>
      </c>
      <c r="F47" s="3" t="n">
        <v>16</v>
      </c>
      <c r="G47" s="3" t="n">
        <v>17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2</v>
      </c>
    </row>
    <row r="50" customFormat="false" ht="15" hidden="false" customHeight="false" outlineLevel="0" collapsed="false">
      <c r="A50" s="0" t="s">
        <v>105</v>
      </c>
      <c r="B50" s="3" t="n">
        <v>10</v>
      </c>
    </row>
    <row r="51" customFormat="false" ht="15" hidden="false" customHeight="false" outlineLevel="0" collapsed="false">
      <c r="A51" s="0" t="s">
        <v>106</v>
      </c>
      <c r="B51" s="3" t="n">
        <v>20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3.3</v>
      </c>
      <c r="D5" s="4" t="n">
        <f aca="false">Assumptions!D13</f>
        <v>0</v>
      </c>
      <c r="E5" s="4" t="n">
        <f aca="false">Assumptions!E13</f>
        <v>-8</v>
      </c>
      <c r="F5" s="4" t="n">
        <f aca="false">Assumptions!F13</f>
        <v>-12</v>
      </c>
      <c r="G5" s="4" t="n">
        <f aca="false">Assumptions!G13</f>
        <v>-10</v>
      </c>
      <c r="H5" s="4" t="n">
        <f aca="false">Assumptions!H13</f>
        <v>-5</v>
      </c>
      <c r="I5" s="4" t="n">
        <f aca="false">Assumptions!I13</f>
        <v>0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20547.052</v>
      </c>
      <c r="C6" s="0" t="n">
        <f aca="false">B6*(1+C5/100)</f>
        <v>21225.104716</v>
      </c>
      <c r="D6" s="0" t="n">
        <f aca="false">C6*(1+D5/100)</f>
        <v>21225.104716</v>
      </c>
      <c r="E6" s="0" t="n">
        <f aca="false">D6*(1+E5/100)</f>
        <v>19527.09633872</v>
      </c>
      <c r="F6" s="0" t="n">
        <f aca="false">E6*(1+F5/100)</f>
        <v>17183.8447780736</v>
      </c>
      <c r="G6" s="0" t="n">
        <f aca="false">F6*(1+G5/100)</f>
        <v>15465.4603002662</v>
      </c>
      <c r="H6" s="0" t="n">
        <f aca="false">G6*(1+H5/100)</f>
        <v>14692.1872852529</v>
      </c>
      <c r="I6" s="0" t="n">
        <f aca="false">H6*(1+I5/100)</f>
        <v>14692.1872852529</v>
      </c>
      <c r="J6" s="0" t="n">
        <f aca="false">I6*(1+J5/100)</f>
        <v>14986.031030958</v>
      </c>
      <c r="K6" s="0" t="n">
        <f aca="false">J6*(1+K5/100)</f>
        <v>15285.7516515771</v>
      </c>
      <c r="L6" s="0" t="n">
        <f aca="false">K6*(1+L5/100)</f>
        <v>15591.4666846087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4</v>
      </c>
      <c r="D7" s="4" t="n">
        <f aca="false">Assumptions!D14</f>
        <v>3.5</v>
      </c>
      <c r="E7" s="4" t="n">
        <f aca="false">Assumptions!E14</f>
        <v>2.5</v>
      </c>
      <c r="F7" s="4" t="n">
        <f aca="false">Assumptions!F14</f>
        <v>1.5</v>
      </c>
      <c r="G7" s="4" t="n">
        <f aca="false">Assumptions!G14</f>
        <v>1</v>
      </c>
      <c r="H7" s="4" t="n">
        <f aca="false">Assumptions!H14</f>
        <v>1.5</v>
      </c>
      <c r="I7" s="4" t="n">
        <f aca="false">Assumptions!I14</f>
        <v>2</v>
      </c>
      <c r="J7" s="4" t="n">
        <f aca="false">Assumptions!J14</f>
        <v>2.5</v>
      </c>
      <c r="K7" s="4" t="n">
        <f aca="false">Assumptions!K14</f>
        <v>2.5</v>
      </c>
      <c r="L7" s="4" t="n">
        <f aca="false">Assumptions!L14</f>
        <v>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849.00418864</v>
      </c>
      <c r="D8" s="0" t="n">
        <f aca="false">D6*D7/100</f>
        <v>742.87866506</v>
      </c>
      <c r="E8" s="0" t="n">
        <f aca="false">E6*E7/100</f>
        <v>488.177408468</v>
      </c>
      <c r="F8" s="0" t="n">
        <f aca="false">F6*F7/100</f>
        <v>257.757671671104</v>
      </c>
      <c r="G8" s="0" t="n">
        <f aca="false">G6*G7/100</f>
        <v>154.654603002662</v>
      </c>
      <c r="H8" s="0" t="n">
        <f aca="false">H6*H7/100</f>
        <v>220.382809278794</v>
      </c>
      <c r="I8" s="0" t="n">
        <f aca="false">I6*I7/100</f>
        <v>293.843745705059</v>
      </c>
      <c r="J8" s="0" t="n">
        <f aca="false">J6*J7/100</f>
        <v>374.65077577395</v>
      </c>
      <c r="K8" s="0" t="n">
        <f aca="false">K6*K7/100</f>
        <v>382.143791289429</v>
      </c>
      <c r="L8" s="0" t="n">
        <f aca="false">L6*L7/100</f>
        <v>389.786667115217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849.00418864</v>
      </c>
      <c r="D11" s="0" t="n">
        <f aca="false">D8+D10+D24</f>
        <v>742.87866506</v>
      </c>
      <c r="E11" s="0" t="n">
        <f aca="false">E8+E10+E24</f>
        <v>488.177408468</v>
      </c>
      <c r="F11" s="0" t="n">
        <f aca="false">F8+F10+F24</f>
        <v>257.757671671104</v>
      </c>
      <c r="G11" s="0" t="n">
        <f aca="false">G8+G10+G24</f>
        <v>154.654603002662</v>
      </c>
      <c r="H11" s="0" t="n">
        <f aca="false">H8+H10+H24</f>
        <v>220.382809278794</v>
      </c>
      <c r="I11" s="0" t="n">
        <f aca="false">I8+I10+I24</f>
        <v>293.843745705059</v>
      </c>
      <c r="J11" s="0" t="n">
        <f aca="false">J8+J10+J24</f>
        <v>374.65077577395</v>
      </c>
      <c r="K11" s="0" t="n">
        <f aca="false">K8+K10+K24</f>
        <v>382.143791289429</v>
      </c>
      <c r="L11" s="0" t="n">
        <f aca="false">L8+L10+L24</f>
        <v>389.786667115217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-488.177408468</v>
      </c>
      <c r="D12" s="4" t="n">
        <f aca="false">-D6*Assumptions!D17/100</f>
        <v>-509.402513184</v>
      </c>
      <c r="E12" s="4" t="n">
        <f aca="false">-E6*Assumptions!E17/100</f>
        <v>-507.70450480672</v>
      </c>
      <c r="F12" s="4" t="n">
        <f aca="false">-F6*Assumptions!F17/100</f>
        <v>-481.147653786061</v>
      </c>
      <c r="G12" s="4" t="n">
        <f aca="false">-G6*Assumptions!G17/100</f>
        <v>-433.032888407455</v>
      </c>
      <c r="H12" s="4" t="n">
        <f aca="false">-H6*Assumptions!H17/100</f>
        <v>-396.689056701829</v>
      </c>
      <c r="I12" s="4" t="n">
        <f aca="false">-I6*Assumptions!I17/100</f>
        <v>-381.996869416576</v>
      </c>
      <c r="J12" s="4" t="n">
        <f aca="false">-J6*Assumptions!J17/100</f>
        <v>-374.65077577395</v>
      </c>
      <c r="K12" s="4" t="n">
        <f aca="false">-K6*Assumptions!K17/100</f>
        <v>-382.143791289429</v>
      </c>
      <c r="L12" s="4" t="n">
        <f aca="false">-L6*Assumptions!L17/100</f>
        <v>-389.786667115217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360.826780172</v>
      </c>
      <c r="D13" s="0" t="n">
        <f aca="false">D11+D12</f>
        <v>233.476151876</v>
      </c>
      <c r="E13" s="0" t="n">
        <f aca="false">E11+E12</f>
        <v>-19.52709633872</v>
      </c>
      <c r="F13" s="0" t="n">
        <f aca="false">F11+F12</f>
        <v>-223.389982114957</v>
      </c>
      <c r="G13" s="0" t="n">
        <f aca="false">G11+G12</f>
        <v>-278.378285404792</v>
      </c>
      <c r="H13" s="0" t="n">
        <f aca="false">H11+H12</f>
        <v>-176.306247423035</v>
      </c>
      <c r="I13" s="0" t="n">
        <f aca="false">I11+I12</f>
        <v>-88.1531237115175</v>
      </c>
      <c r="J13" s="0" t="n">
        <f aca="false">J11+J12</f>
        <v>0</v>
      </c>
      <c r="K13" s="0" t="n">
        <f aca="false">K11+K12</f>
        <v>0</v>
      </c>
      <c r="L13" s="0" t="n">
        <f aca="false">L11+L12</f>
        <v>0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15</v>
      </c>
      <c r="D14" s="4" t="n">
        <f aca="false">Assumptions!D19</f>
        <v>15</v>
      </c>
      <c r="E14" s="4" t="n">
        <f aca="false">Assumptions!E19</f>
        <v>15</v>
      </c>
      <c r="F14" s="4" t="n">
        <f aca="false">Assumptions!F19</f>
        <v>16</v>
      </c>
      <c r="G14" s="4" t="n">
        <f aca="false">Assumptions!G19</f>
        <v>17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306.7027631462</v>
      </c>
      <c r="D15" s="0" t="n">
        <f aca="false">D13-MAX(0,D13)*D14/100</f>
        <v>198.4547290946</v>
      </c>
      <c r="E15" s="0" t="n">
        <f aca="false">E13-MAX(0,E13)*E14/100</f>
        <v>-19.52709633872</v>
      </c>
      <c r="F15" s="0" t="n">
        <f aca="false">F13-MAX(0,F13)*F14/100</f>
        <v>-223.389982114957</v>
      </c>
      <c r="G15" s="0" t="n">
        <f aca="false">G13-MAX(0,G13)*G14/100</f>
        <v>-278.378285404792</v>
      </c>
      <c r="H15" s="0" t="n">
        <f aca="false">H13-MAX(0,H13)*H14/100</f>
        <v>-176.306247423035</v>
      </c>
      <c r="I15" s="0" t="n">
        <f aca="false">I13-MAX(0,I13)*I14/100</f>
        <v>-88.1531237115175</v>
      </c>
      <c r="J15" s="0" t="n">
        <f aca="false">J13-MAX(0,J13)*J14/100</f>
        <v>0</v>
      </c>
      <c r="K15" s="0" t="n">
        <f aca="false">K13-MAX(0,K13)*K14/100</f>
        <v>0</v>
      </c>
      <c r="L15" s="0" t="n">
        <f aca="false">L13-MAX(0,L13)*L14/100</f>
        <v>0</v>
      </c>
    </row>
    <row r="16" customFormat="false" ht="15" hidden="false" customHeight="false" outlineLevel="0" collapsed="false">
      <c r="A16" s="0" t="s">
        <v>118</v>
      </c>
      <c r="C16" s="0" t="n">
        <f aca="false">-C12</f>
        <v>488.177408468</v>
      </c>
      <c r="D16" s="0" t="n">
        <f aca="false">-D12</f>
        <v>509.402513184</v>
      </c>
      <c r="E16" s="0" t="n">
        <f aca="false">-E12</f>
        <v>507.70450480672</v>
      </c>
      <c r="F16" s="0" t="n">
        <f aca="false">-F12</f>
        <v>481.147653786061</v>
      </c>
      <c r="G16" s="0" t="n">
        <f aca="false">-G12</f>
        <v>433.032888407455</v>
      </c>
      <c r="H16" s="0" t="n">
        <f aca="false">-H12</f>
        <v>396.689056701829</v>
      </c>
      <c r="I16" s="0" t="n">
        <f aca="false">-I12</f>
        <v>381.996869416576</v>
      </c>
      <c r="J16" s="0" t="n">
        <f aca="false">-J12</f>
        <v>374.65077577395</v>
      </c>
      <c r="K16" s="0" t="n">
        <f aca="false">-K12</f>
        <v>382.143791289429</v>
      </c>
      <c r="L16" s="0" t="n">
        <f aca="false">-L12</f>
        <v>389.786667115217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-382.051884888</v>
      </c>
      <c r="D17" s="4" t="n">
        <f aca="false">-D6*Assumptions!D18/100</f>
        <v>-424.50209432</v>
      </c>
      <c r="E17" s="4" t="n">
        <f aca="false">-E6*Assumptions!E18/100</f>
        <v>-390.5419267744</v>
      </c>
      <c r="F17" s="4" t="n">
        <f aca="false">-F6*Assumptions!F18/100</f>
        <v>-309.309206005325</v>
      </c>
      <c r="G17" s="4" t="n">
        <f aca="false">-G6*Assumptions!G18/100</f>
        <v>-278.378285404792</v>
      </c>
      <c r="H17" s="4" t="n">
        <f aca="false">-H6*Assumptions!H18/100</f>
        <v>-293.843745705059</v>
      </c>
      <c r="I17" s="4" t="n">
        <f aca="false">-I6*Assumptions!I18/100</f>
        <v>-323.228120275564</v>
      </c>
      <c r="J17" s="4" t="n">
        <f aca="false">-J6*Assumptions!J18/100</f>
        <v>-329.692682681076</v>
      </c>
      <c r="K17" s="4" t="n">
        <f aca="false">-K6*Assumptions!K18/100</f>
        <v>-336.286536334697</v>
      </c>
      <c r="L17" s="4" t="n">
        <f aca="false">-L6*Assumptions!L18/100</f>
        <v>-343.012267061391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135.6105432</v>
      </c>
      <c r="D18" s="4" t="n">
        <f aca="false">(D6-C6)*Assumptions!$B$23/100</f>
        <v>0</v>
      </c>
      <c r="E18" s="4" t="n">
        <f aca="false">(E6-D6)*Assumptions!$B$23/100</f>
        <v>-339.601675456</v>
      </c>
      <c r="F18" s="4" t="n">
        <f aca="false">(F6-E6)*Assumptions!$B$23/100</f>
        <v>-468.65031212928</v>
      </c>
      <c r="G18" s="4" t="n">
        <f aca="false">(G6-F6)*Assumptions!$B$23/100</f>
        <v>-343.676895561472</v>
      </c>
      <c r="H18" s="4" t="n">
        <f aca="false">(H6-G6)*Assumptions!$B$23/100</f>
        <v>-154.654603002662</v>
      </c>
      <c r="I18" s="4" t="n">
        <f aca="false">(I6-H6)*Assumptions!$B$23/100</f>
        <v>0</v>
      </c>
      <c r="J18" s="4" t="n">
        <f aca="false">(J6-I6)*Assumptions!$B$23/100</f>
        <v>58.7687491410117</v>
      </c>
      <c r="K18" s="4" t="n">
        <f aca="false">(K6-J6)*Assumptions!$B$23/100</f>
        <v>59.9441241238321</v>
      </c>
      <c r="L18" s="4" t="n">
        <f aca="false">(L6-K6)*Assumptions!$B$23/100</f>
        <v>61.1430066063087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548.4388299262</v>
      </c>
      <c r="D19" s="0" t="n">
        <f aca="false">D15+D16+D17+D18</f>
        <v>283.3551479586</v>
      </c>
      <c r="E19" s="0" t="n">
        <f aca="false">E15+E16+E17+E18</f>
        <v>-241.9661937624</v>
      </c>
      <c r="F19" s="0" t="n">
        <f aca="false">F15+F16+F17+F18</f>
        <v>-520.201846463501</v>
      </c>
      <c r="G19" s="0" t="n">
        <f aca="false">G15+G16+G17+G18</f>
        <v>-467.400577963602</v>
      </c>
      <c r="H19" s="0" t="n">
        <f aca="false">H15+H16+H17+H18</f>
        <v>-228.115539428927</v>
      </c>
      <c r="I19" s="0" t="n">
        <f aca="false">I15+I16+I17+I18</f>
        <v>-29.3843745705059</v>
      </c>
      <c r="J19" s="0" t="n">
        <f aca="false">J15+J16+J17+J18</f>
        <v>103.726842233886</v>
      </c>
      <c r="K19" s="0" t="n">
        <f aca="false">K15+K16+K17+K18</f>
        <v>105.801379078563</v>
      </c>
      <c r="L19" s="0" t="n">
        <f aca="false">L15+L16+L17+L18</f>
        <v>107.917406660135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498.580754478363</v>
      </c>
      <c r="D21" s="0" t="n">
        <f aca="false">D19*D20</f>
        <v>234.177808230248</v>
      </c>
      <c r="E21" s="0" t="n">
        <f aca="false">E19*E20</f>
        <v>-181.79278269151</v>
      </c>
      <c r="F21" s="0" t="n">
        <f aca="false">F19*F20</f>
        <v>-355.304860640326</v>
      </c>
      <c r="G21" s="0" t="n">
        <f aca="false">G19*G20</f>
        <v>-290.218985267773</v>
      </c>
      <c r="H21" s="0" t="n">
        <f aca="false">H19*H20</f>
        <v>-128.765275047784</v>
      </c>
      <c r="I21" s="0" t="n">
        <f aca="false">I19*I20</f>
        <v>-15.078830359987</v>
      </c>
      <c r="J21" s="0" t="n">
        <f aca="false">J19*J20</f>
        <v>48.3893374279583</v>
      </c>
      <c r="K21" s="0" t="n">
        <f aca="false">K19*K20</f>
        <v>44.8701128877432</v>
      </c>
      <c r="L21" s="0" t="n">
        <f aca="false">L19*L20</f>
        <v>41.6068319504528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-103.535889032614</v>
      </c>
    </row>
    <row r="31" customFormat="false" ht="15" hidden="false" customHeight="false" outlineLevel="0" collapsed="false">
      <c r="A31" s="0" t="s">
        <v>127</v>
      </c>
      <c r="B31" s="0" t="n">
        <f aca="false">L19</f>
        <v>107.917406660135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1375.94693491672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1079.17406660135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1079.17406660135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416.068319504528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312.532430471913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15998.7654304719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13.2664120004132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-0.0722788810899828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13.2664120004132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846.736575333365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13.1669195027351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3.3</v>
      </c>
      <c r="D5" s="4" t="n">
        <f aca="false">Assumptions!D27</f>
        <v>5</v>
      </c>
      <c r="E5" s="4" t="n">
        <f aca="false">Assumptions!E27</f>
        <v>3</v>
      </c>
      <c r="F5" s="4" t="n">
        <f aca="false">Assumptions!F27</f>
        <v>-2</v>
      </c>
      <c r="G5" s="4" t="n">
        <f aca="false">Assumptions!G27</f>
        <v>-5</v>
      </c>
      <c r="H5" s="4" t="n">
        <f aca="false">Assumptions!H27</f>
        <v>-3</v>
      </c>
      <c r="I5" s="4" t="n">
        <f aca="false">Assumptions!I27</f>
        <v>2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20547.052</v>
      </c>
      <c r="C6" s="0" t="n">
        <f aca="false">B6*(1+C5/100)</f>
        <v>21225.104716</v>
      </c>
      <c r="D6" s="0" t="n">
        <f aca="false">C6*(1+D5/100)</f>
        <v>22286.3599518</v>
      </c>
      <c r="E6" s="0" t="n">
        <f aca="false">D6*(1+E5/100)</f>
        <v>22954.950750354</v>
      </c>
      <c r="F6" s="0" t="n">
        <f aca="false">E6*(1+F5/100)</f>
        <v>22495.8517353469</v>
      </c>
      <c r="G6" s="0" t="n">
        <f aca="false">F6*(1+G5/100)</f>
        <v>21371.0591485796</v>
      </c>
      <c r="H6" s="0" t="n">
        <f aca="false">G6*(1+H5/100)</f>
        <v>20729.9273741222</v>
      </c>
      <c r="I6" s="0" t="n">
        <f aca="false">H6*(1+I5/100)</f>
        <v>21144.5259216046</v>
      </c>
      <c r="J6" s="0" t="n">
        <f aca="false">I6*(1+J5/100)</f>
        <v>21778.8616992528</v>
      </c>
      <c r="K6" s="0" t="n">
        <f aca="false">J6*(1+K5/100)</f>
        <v>22323.3332417341</v>
      </c>
      <c r="L6" s="0" t="n">
        <f aca="false">K6*(1+L5/100)</f>
        <v>22769.7999065688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4.5</v>
      </c>
      <c r="D7" s="4" t="n">
        <f aca="false">Assumptions!D28</f>
        <v>5</v>
      </c>
      <c r="E7" s="4" t="n">
        <f aca="false">Assumptions!E28</f>
        <v>5</v>
      </c>
      <c r="F7" s="4" t="n">
        <f aca="false">Assumptions!F28</f>
        <v>4.5</v>
      </c>
      <c r="G7" s="4" t="n">
        <f aca="false">Assumptions!G28</f>
        <v>4</v>
      </c>
      <c r="H7" s="4" t="n">
        <f aca="false">Assumptions!H28</f>
        <v>4</v>
      </c>
      <c r="I7" s="4" t="n">
        <f aca="false">Assumptions!I28</f>
        <v>4</v>
      </c>
      <c r="J7" s="4" t="n">
        <f aca="false">Assumptions!J28</f>
        <v>4</v>
      </c>
      <c r="K7" s="4" t="n">
        <f aca="false">Assumptions!K28</f>
        <v>4</v>
      </c>
      <c r="L7" s="4" t="n">
        <f aca="false">Assumptions!L28</f>
        <v>4</v>
      </c>
    </row>
    <row r="8" customFormat="false" ht="15" hidden="false" customHeight="false" outlineLevel="0" collapsed="false">
      <c r="A8" s="0" t="s">
        <v>44</v>
      </c>
      <c r="C8" s="0" t="n">
        <f aca="false">C6*C7/100</f>
        <v>955.12971222</v>
      </c>
      <c r="D8" s="0" t="n">
        <f aca="false">D6*D7/100</f>
        <v>1114.31799759</v>
      </c>
      <c r="E8" s="0" t="n">
        <f aca="false">E6*E7/100</f>
        <v>1147.7475375177</v>
      </c>
      <c r="F8" s="0" t="n">
        <f aca="false">F6*F7/100</f>
        <v>1012.31332809061</v>
      </c>
      <c r="G8" s="0" t="n">
        <f aca="false">G6*G7/100</f>
        <v>854.842365943183</v>
      </c>
      <c r="H8" s="0" t="n">
        <f aca="false">H6*H7/100</f>
        <v>829.197094964887</v>
      </c>
      <c r="I8" s="0" t="n">
        <f aca="false">I6*I7/100</f>
        <v>845.781036864185</v>
      </c>
      <c r="J8" s="0" t="n">
        <f aca="false">J6*J7/100</f>
        <v>871.154467970111</v>
      </c>
      <c r="K8" s="0" t="n">
        <f aca="false">K6*K7/100</f>
        <v>892.933329669364</v>
      </c>
      <c r="L8" s="0" t="n">
        <f aca="false">L6*L7/100</f>
        <v>910.791996262751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955.12971222</v>
      </c>
      <c r="D11" s="0" t="n">
        <f aca="false">D8+D10+D24</f>
        <v>1114.31799759</v>
      </c>
      <c r="E11" s="0" t="n">
        <f aca="false">E8+E10+E24</f>
        <v>1147.7475375177</v>
      </c>
      <c r="F11" s="0" t="n">
        <f aca="false">F8+F10+F24</f>
        <v>1012.31332809061</v>
      </c>
      <c r="G11" s="0" t="n">
        <f aca="false">G8+G10+G24</f>
        <v>854.842365943183</v>
      </c>
      <c r="H11" s="0" t="n">
        <f aca="false">H8+H10+H24</f>
        <v>829.197094964887</v>
      </c>
      <c r="I11" s="0" t="n">
        <f aca="false">I8+I10+I24</f>
        <v>845.781036864185</v>
      </c>
      <c r="J11" s="0" t="n">
        <f aca="false">J8+J10+J24</f>
        <v>871.154467970111</v>
      </c>
      <c r="K11" s="0" t="n">
        <f aca="false">K8+K10+K24</f>
        <v>892.933329669364</v>
      </c>
      <c r="L11" s="0" t="n">
        <f aca="false">L8+L10+L24</f>
        <v>910.791996262751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-488.177408468</v>
      </c>
      <c r="D12" s="4" t="n">
        <f aca="false">-D6*Assumptions!D31/100</f>
        <v>-512.5862788914</v>
      </c>
      <c r="E12" s="4" t="n">
        <f aca="false">-E6*Assumptions!E31/100</f>
        <v>-527.963867258142</v>
      </c>
      <c r="F12" s="4" t="n">
        <f aca="false">-F6*Assumptions!F31/100</f>
        <v>-517.404589912979</v>
      </c>
      <c r="G12" s="4" t="n">
        <f aca="false">-G6*Assumptions!G31/100</f>
        <v>-491.53436041733</v>
      </c>
      <c r="H12" s="4" t="n">
        <f aca="false">-H6*Assumptions!H31/100</f>
        <v>-456.058402230688</v>
      </c>
      <c r="I12" s="4" t="n">
        <f aca="false">-I6*Assumptions!I31/100</f>
        <v>-465.179570275302</v>
      </c>
      <c r="J12" s="4" t="n">
        <f aca="false">-J6*Assumptions!J31/100</f>
        <v>-479.134957383561</v>
      </c>
      <c r="K12" s="4" t="n">
        <f aca="false">-K6*Assumptions!K31/100</f>
        <v>-491.11333131815</v>
      </c>
      <c r="L12" s="4" t="n">
        <f aca="false">-L6*Assumptions!L31/100</f>
        <v>-500.935597944513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466.952303752</v>
      </c>
      <c r="D13" s="0" t="n">
        <f aca="false">D11+D12</f>
        <v>601.7317186986</v>
      </c>
      <c r="E13" s="0" t="n">
        <f aca="false">E11+E12</f>
        <v>619.783670259558</v>
      </c>
      <c r="F13" s="0" t="n">
        <f aca="false">F11+F12</f>
        <v>494.908738177632</v>
      </c>
      <c r="G13" s="0" t="n">
        <f aca="false">G11+G12</f>
        <v>363.308005525853</v>
      </c>
      <c r="H13" s="0" t="n">
        <f aca="false">H11+H12</f>
        <v>373.138692734199</v>
      </c>
      <c r="I13" s="0" t="n">
        <f aca="false">I11+I12</f>
        <v>380.601466588883</v>
      </c>
      <c r="J13" s="0" t="n">
        <f aca="false">J11+J12</f>
        <v>392.01951058655</v>
      </c>
      <c r="K13" s="0" t="n">
        <f aca="false">K11+K12</f>
        <v>401.819998351214</v>
      </c>
      <c r="L13" s="0" t="n">
        <f aca="false">L11+L12</f>
        <v>409.856398318238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15</v>
      </c>
      <c r="F14" s="4" t="n">
        <f aca="false">Assumptions!F33</f>
        <v>16</v>
      </c>
      <c r="G14" s="4" t="n">
        <f aca="false">Assumptions!G33</f>
        <v>17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396.9094581892</v>
      </c>
      <c r="D15" s="0" t="n">
        <f aca="false">D13-MAX(0,D13)*D14/100</f>
        <v>511.47196089381</v>
      </c>
      <c r="E15" s="0" t="n">
        <f aca="false">E13-MAX(0,E13)*E14/100</f>
        <v>526.816119720624</v>
      </c>
      <c r="F15" s="0" t="n">
        <f aca="false">F13-MAX(0,F13)*F14/100</f>
        <v>415.723340069211</v>
      </c>
      <c r="G15" s="0" t="n">
        <f aca="false">G13-MAX(0,G13)*G14/100</f>
        <v>301.545644586458</v>
      </c>
      <c r="H15" s="0" t="n">
        <f aca="false">H13-MAX(0,H13)*H14/100</f>
        <v>305.973728042043</v>
      </c>
      <c r="I15" s="0" t="n">
        <f aca="false">I13-MAX(0,I13)*I14/100</f>
        <v>312.093202602884</v>
      </c>
      <c r="J15" s="0" t="n">
        <f aca="false">J13-MAX(0,J13)*J14/100</f>
        <v>321.455998680971</v>
      </c>
      <c r="K15" s="0" t="n">
        <f aca="false">K13-MAX(0,K13)*K14/100</f>
        <v>329.492398647995</v>
      </c>
      <c r="L15" s="0" t="n">
        <f aca="false">L13-MAX(0,L13)*L14/100</f>
        <v>336.082246620955</v>
      </c>
    </row>
    <row r="16" customFormat="false" ht="15" hidden="false" customHeight="false" outlineLevel="0" collapsed="false">
      <c r="A16" s="0" t="s">
        <v>118</v>
      </c>
      <c r="C16" s="0" t="n">
        <f aca="false">-C12</f>
        <v>488.177408468</v>
      </c>
      <c r="D16" s="0" t="n">
        <f aca="false">-D12</f>
        <v>512.5862788914</v>
      </c>
      <c r="E16" s="0" t="n">
        <f aca="false">-E12</f>
        <v>527.963867258142</v>
      </c>
      <c r="F16" s="0" t="n">
        <f aca="false">-F12</f>
        <v>517.404589912979</v>
      </c>
      <c r="G16" s="0" t="n">
        <f aca="false">-G12</f>
        <v>491.53436041733</v>
      </c>
      <c r="H16" s="0" t="n">
        <f aca="false">-H12</f>
        <v>456.058402230688</v>
      </c>
      <c r="I16" s="0" t="n">
        <f aca="false">-I12</f>
        <v>465.179570275302</v>
      </c>
      <c r="J16" s="0" t="n">
        <f aca="false">-J12</f>
        <v>479.134957383561</v>
      </c>
      <c r="K16" s="0" t="n">
        <f aca="false">-K12</f>
        <v>491.11333131815</v>
      </c>
      <c r="L16" s="0" t="n">
        <f aca="false">-L12</f>
        <v>500.935597944513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-382.051884888</v>
      </c>
      <c r="D17" s="4" t="n">
        <f aca="false">-D6*Assumptions!D32/100</f>
        <v>-445.727199036</v>
      </c>
      <c r="E17" s="4" t="n">
        <f aca="false">-E6*Assumptions!E32/100</f>
        <v>-505.008916507788</v>
      </c>
      <c r="F17" s="4" t="n">
        <f aca="false">-F6*Assumptions!F32/100</f>
        <v>-494.908738177632</v>
      </c>
      <c r="G17" s="4" t="n">
        <f aca="false">-G6*Assumptions!G32/100</f>
        <v>-470.163301268751</v>
      </c>
      <c r="H17" s="4" t="n">
        <f aca="false">-H6*Assumptions!H32/100</f>
        <v>-456.058402230688</v>
      </c>
      <c r="I17" s="4" t="n">
        <f aca="false">-I6*Assumptions!I32/100</f>
        <v>-465.179570275302</v>
      </c>
      <c r="J17" s="4" t="n">
        <f aca="false">-J6*Assumptions!J32/100</f>
        <v>-479.134957383561</v>
      </c>
      <c r="K17" s="4" t="n">
        <f aca="false">-K6*Assumptions!K32/100</f>
        <v>-491.11333131815</v>
      </c>
      <c r="L17" s="4" t="n">
        <f aca="false">-L6*Assumptions!L32/100</f>
        <v>-500.935597944513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135.6105432</v>
      </c>
      <c r="D18" s="4" t="n">
        <f aca="false">(D6-C6)*Assumptions!$B$37/100</f>
        <v>212.25104716</v>
      </c>
      <c r="E18" s="4" t="n">
        <f aca="false">(E6-D6)*Assumptions!$B$37/100</f>
        <v>133.7181597108</v>
      </c>
      <c r="F18" s="4" t="n">
        <f aca="false">(F6-E6)*Assumptions!$B$37/100</f>
        <v>-91.8198030014159</v>
      </c>
      <c r="G18" s="4" t="n">
        <f aca="false">(G6-F6)*Assumptions!$B$37/100</f>
        <v>-224.95851735347</v>
      </c>
      <c r="H18" s="4" t="n">
        <f aca="false">(H6-G6)*Assumptions!$B$37/100</f>
        <v>-128.226354891477</v>
      </c>
      <c r="I18" s="4" t="n">
        <f aca="false">(I6-H6)*Assumptions!$B$37/100</f>
        <v>82.9197094964889</v>
      </c>
      <c r="J18" s="4" t="n">
        <f aca="false">(J6-I6)*Assumptions!$B$37/100</f>
        <v>126.867155529628</v>
      </c>
      <c r="K18" s="4" t="n">
        <f aca="false">(K6-J6)*Assumptions!$B$37/100</f>
        <v>108.894308496264</v>
      </c>
      <c r="L18" s="4" t="n">
        <f aca="false">(L6-K6)*Assumptions!$B$37/100</f>
        <v>89.2933329669366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638.6455249692</v>
      </c>
      <c r="D19" s="0" t="n">
        <f aca="false">D15+D16+D17+D18</f>
        <v>790.58208790921</v>
      </c>
      <c r="E19" s="0" t="n">
        <f aca="false">E15+E16+E17+E18</f>
        <v>683.489230181778</v>
      </c>
      <c r="F19" s="0" t="n">
        <f aca="false">F15+F16+F17+F18</f>
        <v>346.399388803142</v>
      </c>
      <c r="G19" s="0" t="n">
        <f aca="false">G15+G16+G17+G18</f>
        <v>97.9581863815678</v>
      </c>
      <c r="H19" s="0" t="n">
        <f aca="false">H15+H16+H17+H18</f>
        <v>177.747373150566</v>
      </c>
      <c r="I19" s="0" t="n">
        <f aca="false">I15+I16+I17+I18</f>
        <v>395.012912099373</v>
      </c>
      <c r="J19" s="0" t="n">
        <f aca="false">J15+J16+J17+J18</f>
        <v>448.323154210599</v>
      </c>
      <c r="K19" s="0" t="n">
        <f aca="false">K15+K16+K17+K18</f>
        <v>438.386707144259</v>
      </c>
      <c r="L19" s="0" t="n">
        <f aca="false">L15+L16+L17+L18</f>
        <v>425.375579587892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580.58684088109</v>
      </c>
      <c r="D21" s="0" t="n">
        <f aca="false">D19*D20</f>
        <v>653.373626371248</v>
      </c>
      <c r="E21" s="0" t="n">
        <f aca="false">E19*E20</f>
        <v>513.515574892395</v>
      </c>
      <c r="F21" s="0" t="n">
        <f aca="false">F19*F20</f>
        <v>236.595443482783</v>
      </c>
      <c r="G21" s="0" t="n">
        <f aca="false">G19*G20</f>
        <v>60.8243266925184</v>
      </c>
      <c r="H21" s="0" t="n">
        <f aca="false">H19*H20</f>
        <v>100.333758279035</v>
      </c>
      <c r="I21" s="0" t="n">
        <f aca="false">I19*I20</f>
        <v>202.704082649746</v>
      </c>
      <c r="J21" s="0" t="n">
        <f aca="false">J19*J20</f>
        <v>209.146060158151</v>
      </c>
      <c r="K21" s="0" t="n">
        <f aca="false">K19*K20</f>
        <v>185.918758426036</v>
      </c>
      <c r="L21" s="0" t="n">
        <f aca="false">L19*L20</f>
        <v>164.000700197309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2906.99917203031</v>
      </c>
    </row>
    <row r="31" customFormat="false" ht="15" hidden="false" customHeight="false" outlineLevel="0" collapsed="false">
      <c r="A31" s="0" t="s">
        <v>127</v>
      </c>
      <c r="B31" s="0" t="n">
        <f aca="false">L19</f>
        <v>425.375579587892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5423.53863974562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4253.75579587892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4253.75579587892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1640.00700197309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4547.0061740034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20233.2391740034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16.7777000139012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0.173265735237844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16.7777000139012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3337.56223984346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15.7237302973729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6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3</v>
      </c>
      <c r="H5" s="4" t="n">
        <f aca="false">Assumptions!H41</f>
        <v>2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20547.052</v>
      </c>
      <c r="C6" s="0" t="n">
        <f aca="false">B6*(1+C5/100)</f>
        <v>21779.87512</v>
      </c>
      <c r="D6" s="0" t="n">
        <f aca="false">C6*(1+D5/100)</f>
        <v>23522.2651296</v>
      </c>
      <c r="E6" s="0" t="n">
        <f aca="false">D6*(1+E5/100)</f>
        <v>25168.823688672</v>
      </c>
      <c r="F6" s="0" t="n">
        <f aca="false">E6*(1+F5/100)</f>
        <v>26427.2648731056</v>
      </c>
      <c r="G6" s="0" t="n">
        <f aca="false">F6*(1+G5/100)</f>
        <v>27220.0828192988</v>
      </c>
      <c r="H6" s="0" t="n">
        <f aca="false">G6*(1+H5/100)</f>
        <v>27764.4844756848</v>
      </c>
      <c r="I6" s="0" t="n">
        <f aca="false">H6*(1+I5/100)</f>
        <v>28597.4190099553</v>
      </c>
      <c r="J6" s="0" t="n">
        <f aca="false">I6*(1+J5/100)</f>
        <v>29455.341580254</v>
      </c>
      <c r="K6" s="0" t="n">
        <f aca="false">J6*(1+K5/100)</f>
        <v>30339.0018276616</v>
      </c>
      <c r="L6" s="0" t="n">
        <f aca="false">K6*(1+L5/100)</f>
        <v>31097.4768733531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5</v>
      </c>
      <c r="D7" s="4" t="n">
        <f aca="false">Assumptions!D42</f>
        <v>5.8</v>
      </c>
      <c r="E7" s="4" t="n">
        <f aca="false">Assumptions!E42</f>
        <v>6.5</v>
      </c>
      <c r="F7" s="4" t="n">
        <f aca="false">Assumptions!F42</f>
        <v>6.5</v>
      </c>
      <c r="G7" s="4" t="n">
        <f aca="false">Assumptions!G42</f>
        <v>6</v>
      </c>
      <c r="H7" s="4" t="n">
        <f aca="false">Assumptions!H42</f>
        <v>6</v>
      </c>
      <c r="I7" s="4" t="n">
        <f aca="false">Assumptions!I42</f>
        <v>6</v>
      </c>
      <c r="J7" s="4" t="n">
        <f aca="false">Assumptions!J42</f>
        <v>6</v>
      </c>
      <c r="K7" s="4" t="n">
        <f aca="false">Assumptions!K42</f>
        <v>6</v>
      </c>
      <c r="L7" s="4" t="n">
        <f aca="false">Assumptions!L42</f>
        <v>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1088.993756</v>
      </c>
      <c r="D8" s="0" t="n">
        <f aca="false">D6*D7/100</f>
        <v>1364.2913775168</v>
      </c>
      <c r="E8" s="0" t="n">
        <f aca="false">E6*E7/100</f>
        <v>1635.97353976368</v>
      </c>
      <c r="F8" s="0" t="n">
        <f aca="false">F6*F7/100</f>
        <v>1717.77221675186</v>
      </c>
      <c r="G8" s="0" t="n">
        <f aca="false">G6*G7/100</f>
        <v>1633.20496915793</v>
      </c>
      <c r="H8" s="0" t="n">
        <f aca="false">H6*H7/100</f>
        <v>1665.86906854109</v>
      </c>
      <c r="I8" s="0" t="n">
        <f aca="false">I6*I7/100</f>
        <v>1715.84514059732</v>
      </c>
      <c r="J8" s="0" t="n">
        <f aca="false">J6*J7/100</f>
        <v>1767.32049481524</v>
      </c>
      <c r="K8" s="0" t="n">
        <f aca="false">K6*K7/100</f>
        <v>1820.34010965969</v>
      </c>
      <c r="L8" s="0" t="n">
        <f aca="false">L6*L7/100</f>
        <v>1865.84861240119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1088.993756</v>
      </c>
      <c r="D11" s="0" t="n">
        <f aca="false">D8+D10+D24</f>
        <v>1364.2913775168</v>
      </c>
      <c r="E11" s="0" t="n">
        <f aca="false">E8+E10+E24</f>
        <v>1635.97353976368</v>
      </c>
      <c r="F11" s="0" t="n">
        <f aca="false">F8+F10+F24</f>
        <v>1717.77221675186</v>
      </c>
      <c r="G11" s="0" t="n">
        <f aca="false">G8+G10+G24</f>
        <v>1633.20496915793</v>
      </c>
      <c r="H11" s="0" t="n">
        <f aca="false">H8+H10+H24</f>
        <v>1665.86906854109</v>
      </c>
      <c r="I11" s="0" t="n">
        <f aca="false">I8+I10+I24</f>
        <v>1715.84514059732</v>
      </c>
      <c r="J11" s="0" t="n">
        <f aca="false">J8+J10+J24</f>
        <v>1767.32049481524</v>
      </c>
      <c r="K11" s="0" t="n">
        <f aca="false">K8+K10+K24</f>
        <v>1820.34010965969</v>
      </c>
      <c r="L11" s="0" t="n">
        <f aca="false">L8+L10+L24</f>
        <v>1865.84861240119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-500.93712776</v>
      </c>
      <c r="D12" s="4" t="n">
        <f aca="false">-D6*Assumptions!D45/100</f>
        <v>-541.0120979808</v>
      </c>
      <c r="E12" s="4" t="n">
        <f aca="false">-E6*Assumptions!E45/100</f>
        <v>-553.714121150784</v>
      </c>
      <c r="F12" s="4" t="n">
        <f aca="false">-F6*Assumptions!F45/100</f>
        <v>-581.399827208323</v>
      </c>
      <c r="G12" s="4" t="n">
        <f aca="false">-G6*Assumptions!G45/100</f>
        <v>-598.841822024573</v>
      </c>
      <c r="H12" s="4" t="n">
        <f aca="false">-H6*Assumptions!H45/100</f>
        <v>-610.818658465065</v>
      </c>
      <c r="I12" s="4" t="n">
        <f aca="false">-I6*Assumptions!I45/100</f>
        <v>-629.143218219017</v>
      </c>
      <c r="J12" s="4" t="n">
        <f aca="false">-J6*Assumptions!J45/100</f>
        <v>-648.017514765587</v>
      </c>
      <c r="K12" s="4" t="n">
        <f aca="false">-K6*Assumptions!K45/100</f>
        <v>-667.458040208555</v>
      </c>
      <c r="L12" s="4" t="n">
        <f aca="false">-L6*Assumptions!L45/100</f>
        <v>-684.144491213768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588.05662824</v>
      </c>
      <c r="D13" s="0" t="n">
        <f aca="false">D11+D12</f>
        <v>823.279279536</v>
      </c>
      <c r="E13" s="0" t="n">
        <f aca="false">E11+E12</f>
        <v>1082.2594186129</v>
      </c>
      <c r="F13" s="0" t="n">
        <f aca="false">F11+F12</f>
        <v>1136.37238954354</v>
      </c>
      <c r="G13" s="0" t="n">
        <f aca="false">G11+G12</f>
        <v>1034.36314713335</v>
      </c>
      <c r="H13" s="0" t="n">
        <f aca="false">H11+H12</f>
        <v>1055.05041007602</v>
      </c>
      <c r="I13" s="0" t="n">
        <f aca="false">I11+I12</f>
        <v>1086.7019223783</v>
      </c>
      <c r="J13" s="0" t="n">
        <f aca="false">J11+J12</f>
        <v>1119.30298004965</v>
      </c>
      <c r="K13" s="0" t="n">
        <f aca="false">K11+K12</f>
        <v>1152.88206945114</v>
      </c>
      <c r="L13" s="0" t="n">
        <f aca="false">L11+L12</f>
        <v>1181.70412118742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15</v>
      </c>
      <c r="F14" s="4" t="n">
        <f aca="false">Assumptions!F47</f>
        <v>16</v>
      </c>
      <c r="G14" s="4" t="n">
        <f aca="false">Assumptions!G47</f>
        <v>17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499.848134004</v>
      </c>
      <c r="D15" s="0" t="n">
        <f aca="false">D13-MAX(0,D13)*D14/100</f>
        <v>699.7873876056</v>
      </c>
      <c r="E15" s="0" t="n">
        <f aca="false">E13-MAX(0,E13)*E14/100</f>
        <v>919.920505820962</v>
      </c>
      <c r="F15" s="0" t="n">
        <f aca="false">F13-MAX(0,F13)*F14/100</f>
        <v>954.552807216575</v>
      </c>
      <c r="G15" s="0" t="n">
        <f aca="false">G13-MAX(0,G13)*G14/100</f>
        <v>858.521412120683</v>
      </c>
      <c r="H15" s="0" t="n">
        <f aca="false">H13-MAX(0,H13)*H14/100</f>
        <v>865.141336262337</v>
      </c>
      <c r="I15" s="0" t="n">
        <f aca="false">I13-MAX(0,I13)*I14/100</f>
        <v>891.095576350207</v>
      </c>
      <c r="J15" s="0" t="n">
        <f aca="false">J13-MAX(0,J13)*J14/100</f>
        <v>917.828443640713</v>
      </c>
      <c r="K15" s="0" t="n">
        <f aca="false">K13-MAX(0,K13)*K14/100</f>
        <v>945.363296949935</v>
      </c>
      <c r="L15" s="0" t="n">
        <f aca="false">L13-MAX(0,L13)*L14/100</f>
        <v>968.997379373683</v>
      </c>
    </row>
    <row r="16" customFormat="false" ht="15" hidden="false" customHeight="false" outlineLevel="0" collapsed="false">
      <c r="A16" s="0" t="s">
        <v>118</v>
      </c>
      <c r="C16" s="0" t="n">
        <f aca="false">-C12</f>
        <v>500.93712776</v>
      </c>
      <c r="D16" s="0" t="n">
        <f aca="false">-D12</f>
        <v>541.0120979808</v>
      </c>
      <c r="E16" s="0" t="n">
        <f aca="false">-E12</f>
        <v>553.714121150784</v>
      </c>
      <c r="F16" s="0" t="n">
        <f aca="false">-F12</f>
        <v>581.399827208323</v>
      </c>
      <c r="G16" s="0" t="n">
        <f aca="false">-G12</f>
        <v>598.841822024573</v>
      </c>
      <c r="H16" s="0" t="n">
        <f aca="false">-H12</f>
        <v>610.818658465065</v>
      </c>
      <c r="I16" s="0" t="n">
        <f aca="false">-I12</f>
        <v>629.143218219017</v>
      </c>
      <c r="J16" s="0" t="n">
        <f aca="false">-J12</f>
        <v>648.017514765587</v>
      </c>
      <c r="K16" s="0" t="n">
        <f aca="false">-K12</f>
        <v>667.458040208555</v>
      </c>
      <c r="L16" s="0" t="n">
        <f aca="false">-L12</f>
        <v>684.144491213768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-392.03775216</v>
      </c>
      <c r="D17" s="4" t="n">
        <f aca="false">-D6*Assumptions!D46/100</f>
        <v>-517.4898328512</v>
      </c>
      <c r="E17" s="4" t="n">
        <f aca="false">-E6*Assumptions!E46/100</f>
        <v>-604.051768528128</v>
      </c>
      <c r="F17" s="4" t="n">
        <f aca="false">-F6*Assumptions!F46/100</f>
        <v>-634.254356954535</v>
      </c>
      <c r="G17" s="4" t="n">
        <f aca="false">-G6*Assumptions!G46/100</f>
        <v>-598.841822024573</v>
      </c>
      <c r="H17" s="4" t="n">
        <f aca="false">-H6*Assumptions!H46/100</f>
        <v>-610.818658465065</v>
      </c>
      <c r="I17" s="4" t="n">
        <f aca="false">-I6*Assumptions!I46/100</f>
        <v>-629.143218219017</v>
      </c>
      <c r="J17" s="4" t="n">
        <f aca="false">-J6*Assumptions!J46/100</f>
        <v>-648.017514765587</v>
      </c>
      <c r="K17" s="4" t="n">
        <f aca="false">-K6*Assumptions!K46/100</f>
        <v>-667.458040208555</v>
      </c>
      <c r="L17" s="4" t="n">
        <f aca="false">-L6*Assumptions!L46/100</f>
        <v>-684.144491213768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246.564624</v>
      </c>
      <c r="D18" s="4" t="n">
        <f aca="false">(D6-C6)*Assumptions!$B$51/100</f>
        <v>348.478001920001</v>
      </c>
      <c r="E18" s="4" t="n">
        <f aca="false">(E6-D6)*Assumptions!$B$51/100</f>
        <v>329.3117118144</v>
      </c>
      <c r="F18" s="4" t="n">
        <f aca="false">(F6-E6)*Assumptions!$B$51/100</f>
        <v>251.688236886721</v>
      </c>
      <c r="G18" s="4" t="n">
        <f aca="false">(G6-F6)*Assumptions!$B$51/100</f>
        <v>158.563589238634</v>
      </c>
      <c r="H18" s="4" t="n">
        <f aca="false">(H6-G6)*Assumptions!$B$51/100</f>
        <v>108.880331277195</v>
      </c>
      <c r="I18" s="4" t="n">
        <f aca="false">(I6-H6)*Assumptions!$B$51/100</f>
        <v>166.586906854108</v>
      </c>
      <c r="J18" s="4" t="n">
        <f aca="false">(J6-I6)*Assumptions!$B$51/100</f>
        <v>171.584514059732</v>
      </c>
      <c r="K18" s="4" t="n">
        <f aca="false">(K6-J6)*Assumptions!$B$51/100</f>
        <v>176.732049481524</v>
      </c>
      <c r="L18" s="4" t="n">
        <f aca="false">(L6-K6)*Assumptions!$B$51/100</f>
        <v>151.695009138307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855.312133604</v>
      </c>
      <c r="D19" s="0" t="n">
        <f aca="false">D15+D16+D17+D18</f>
        <v>1071.7876546552</v>
      </c>
      <c r="E19" s="0" t="n">
        <f aca="false">E15+E16+E17+E18</f>
        <v>1198.89457025802</v>
      </c>
      <c r="F19" s="0" t="n">
        <f aca="false">F15+F16+F17+F18</f>
        <v>1153.38651435708</v>
      </c>
      <c r="G19" s="0" t="n">
        <f aca="false">G15+G16+G17+G18</f>
        <v>1017.08500135932</v>
      </c>
      <c r="H19" s="0" t="n">
        <f aca="false">H15+H16+H17+H18</f>
        <v>974.021667539532</v>
      </c>
      <c r="I19" s="0" t="n">
        <f aca="false">I15+I16+I17+I18</f>
        <v>1057.68248320432</v>
      </c>
      <c r="J19" s="0" t="n">
        <f aca="false">J15+J16+J17+J18</f>
        <v>1089.41295770044</v>
      </c>
      <c r="K19" s="0" t="n">
        <f aca="false">K15+K16+K17+K18</f>
        <v>1122.09534643146</v>
      </c>
      <c r="L19" s="0" t="n">
        <f aca="false">L15+L16+L17+L18</f>
        <v>1120.69238851199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777.556485094546</v>
      </c>
      <c r="D21" s="0" t="n">
        <f aca="false">D19*D20</f>
        <v>885.774921202645</v>
      </c>
      <c r="E21" s="0" t="n">
        <f aca="false">E19*E20</f>
        <v>900.747235355385</v>
      </c>
      <c r="F21" s="0" t="n">
        <f aca="false">F19*F20</f>
        <v>787.778508542507</v>
      </c>
      <c r="G21" s="0" t="n">
        <f aca="false">G19*G20</f>
        <v>631.52976470765</v>
      </c>
      <c r="H21" s="0" t="n">
        <f aca="false">H19*H20</f>
        <v>549.809838633573</v>
      </c>
      <c r="I21" s="0" t="n">
        <f aca="false">I19*I20</f>
        <v>542.758352766707</v>
      </c>
      <c r="J21" s="0" t="n">
        <f aca="false">J19*J20</f>
        <v>508.219184863371</v>
      </c>
      <c r="K21" s="0" t="n">
        <f aca="false">K19*K20</f>
        <v>475.87796400843</v>
      </c>
      <c r="L21" s="0" t="n">
        <f aca="false">L19*L20</f>
        <v>432.075429905551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6492.12768508036</v>
      </c>
    </row>
    <row r="31" customFormat="false" ht="15" hidden="false" customHeight="false" outlineLevel="0" collapsed="false">
      <c r="A31" s="0" t="s">
        <v>127</v>
      </c>
      <c r="B31" s="0" t="n">
        <f aca="false">L19</f>
        <v>1120.69238851199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14288.8279535279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11206.9238851199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11206.9238851199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4320.75429905551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10812.8819841359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26499.1149841359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21.9734565491096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0.536605353084584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21.9734565491096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8793.12489447869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19.1865257903764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13.2664120004132</v>
      </c>
      <c r="C4" s="0" t="n">
        <f aca="false">B4/Assumptions!$B$2-1</f>
        <v>-0.0722788810899828</v>
      </c>
      <c r="D4" s="4" t="n">
        <f aca="false">Assumptions!$B$24</f>
        <v>0.3</v>
      </c>
      <c r="E4" s="4" t="n">
        <f aca="false">DCF_Bear!$B$43</f>
        <v>13.2664120004132</v>
      </c>
      <c r="F4" s="4" t="n">
        <f aca="false">DCF_Bear!$B$47</f>
        <v>13.1669195027351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16.7777000139012</v>
      </c>
      <c r="C5" s="0" t="n">
        <f aca="false">B5/Assumptions!$B$2-1</f>
        <v>0.173265735237844</v>
      </c>
      <c r="D5" s="4" t="n">
        <f aca="false">Assumptions!$B$38</f>
        <v>0.5</v>
      </c>
      <c r="E5" s="4" t="n">
        <f aca="false">DCF_Base!$B$43</f>
        <v>16.7777000139012</v>
      </c>
      <c r="F5" s="4" t="n">
        <f aca="false">DCF_Base!$B$47</f>
        <v>15.7237302973729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21.9734565491096</v>
      </c>
      <c r="C6" s="0" t="n">
        <f aca="false">B6/Assumptions!$B$2-1</f>
        <v>0.536605353084584</v>
      </c>
      <c r="D6" s="4" t="n">
        <f aca="false">Assumptions!$B$52</f>
        <v>0.2</v>
      </c>
      <c r="E6" s="4" t="n">
        <f aca="false">DCF_Bull!$B$43</f>
        <v>21.9734565491096</v>
      </c>
      <c r="F6" s="4" t="n">
        <f aca="false">DCF_Bull!$B$47</f>
        <v>19.1865257903764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16.7634649168965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16.7634649168965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0.146954399290892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15.6492461575822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16.9987665248174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16.7777000139012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16.5747152365563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16.3880765619264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15.7237302973729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17.2398589738245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17.2398589738245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17.2398589738245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17.2398589738245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17.2398589738245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16.9987665248174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16.9987665248174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16.9987665248174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16.9987665248174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16.9987665248174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16.7777000139012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16.7777000139012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16.7777000139012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16.7777000139012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16.7777000139012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16.5747152365563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16.5747152365563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16.5747152365563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16.5747152365563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16.5747152365563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16.2951565704991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16.3502202691227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16.3880765619264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16.3880765619264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16.3880765619264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2026-10-10T22:14:41Z</dcterms:created>
  <dc:creator>openpyxl</dc:creator>
  <dc:description/>
  <dc:language>en-NZ</dc:language>
  <cp:lastModifiedBy/>
  <dcterms:modified xsi:type="dcterms:W3CDTF">2026-10-10T22:14:41Z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