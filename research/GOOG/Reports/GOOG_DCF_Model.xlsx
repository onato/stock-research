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CF Model" sheetId="1" state="visible" r:id="rId1"/>
    <sheet xmlns:r="http://schemas.openxmlformats.org/officeDocument/2006/relationships" name="Scenarios" sheetId="2" state="visible" r:id="rId2"/>
    <sheet xmlns:r="http://schemas.openxmlformats.org/officeDocument/2006/relationships" name="Sensitivity" sheetId="3" state="visible" r:id="rId3"/>
    <sheet xmlns:r="http://schemas.openxmlformats.org/officeDocument/2006/relationships" name="Historical" sheetId="4" state="visible" r:id="rId4"/>
    <sheet xmlns:r="http://schemas.openxmlformats.org/officeDocument/2006/relationships" name="Sanity Chec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0.0%"/>
    <numFmt numFmtId="166" formatCode="0.000000"/>
  </numFmts>
  <fonts count="25">
    <font>
      <name val="Calibri"/>
      <family val="2"/>
      <color theme="1"/>
      <sz val="11"/>
      <scheme val="minor"/>
    </font>
    <font>
      <b val="1"/>
      <color rgb="001F3864"/>
      <sz val="17"/>
    </font>
    <font>
      <i val="1"/>
      <color rgb="00555555"/>
      <sz val="9"/>
    </font>
    <font>
      <b val="1"/>
      <color rgb="00FFFFFF"/>
      <sz val="11"/>
    </font>
    <font>
      <b val="1"/>
      <color rgb="00000000"/>
      <sz val="10"/>
    </font>
    <font>
      <sz val="10"/>
    </font>
    <font>
      <color rgb="00000000"/>
      <sz val="10"/>
    </font>
    <font>
      <b val="1"/>
      <color rgb="00FFFFFF"/>
      <sz val="10"/>
    </font>
    <font>
      <b val="1"/>
      <color rgb="001F3864"/>
      <sz val="15"/>
    </font>
    <font>
      <b val="1"/>
      <sz val="9"/>
    </font>
    <font>
      <b val="1"/>
      <sz val="10"/>
    </font>
    <font>
      <b val="1"/>
      <color rgb="001F3864"/>
      <sz val="14"/>
    </font>
    <font>
      <b val="1"/>
      <color rgb="007F4F00"/>
      <sz val="10"/>
    </font>
    <font>
      <b val="1"/>
      <color rgb="001A3C0A"/>
      <sz val="10"/>
    </font>
    <font>
      <b val="1"/>
      <color rgb="009C0006"/>
      <sz val="10"/>
    </font>
    <font>
      <b val="1"/>
      <color rgb="005A0000"/>
      <sz val="10"/>
    </font>
    <font>
      <b val="1"/>
      <color rgb="001A3C0A"/>
      <sz val="9"/>
    </font>
    <font>
      <b val="1"/>
      <color rgb="007F4F00"/>
      <sz val="9"/>
    </font>
    <font>
      <b val="1"/>
      <color rgb="009C0006"/>
      <sz val="9"/>
    </font>
    <font>
      <b val="1"/>
      <color rgb="005A0000"/>
      <sz val="9"/>
    </font>
    <font>
      <i val="1"/>
      <color rgb="00444444"/>
      <sz val="9"/>
    </font>
    <font>
      <color rgb="00FF0000"/>
      <sz val="10"/>
    </font>
    <font>
      <i val="1"/>
      <color rgb="00880000"/>
      <sz val="9"/>
    </font>
    <font>
      <i val="1"/>
      <color rgb="00333333"/>
      <sz val="9"/>
    </font>
    <font>
      <color rgb="001A5C36"/>
      <sz val="9"/>
    </font>
  </fonts>
  <fills count="19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1A5C36"/>
      </patternFill>
    </fill>
    <fill>
      <patternFill patternType="solid">
        <fgColor rgb="00C00000"/>
      </patternFill>
    </fill>
    <fill>
      <patternFill patternType="solid">
        <fgColor rgb="00375623"/>
      </patternFill>
    </fill>
    <fill>
      <patternFill patternType="solid">
        <fgColor rgb="00FFCCCC"/>
      </patternFill>
    </fill>
    <fill>
      <patternFill patternType="solid">
        <fgColor rgb="00CCFFCC"/>
      </patternFill>
    </fill>
    <fill>
      <patternFill patternType="solid">
        <fgColor rgb="00D9E1F2"/>
      </patternFill>
    </fill>
    <fill>
      <patternFill patternType="solid">
        <fgColor rgb="00FFEB9C"/>
      </patternFill>
    </fill>
    <fill>
      <patternFill patternType="solid">
        <fgColor rgb="0092D050"/>
      </patternFill>
    </fill>
    <fill>
      <patternFill patternType="solid">
        <fgColor rgb="00FFC7CE"/>
      </patternFill>
    </fill>
    <fill>
      <patternFill patternType="solid">
        <fgColor rgb="00FF5050"/>
      </patternFill>
    </fill>
    <fill>
      <patternFill patternType="solid">
        <fgColor rgb="00C6EFC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0" borderId="1" applyAlignment="1" pivotButton="0" quotePrefix="0" xfId="0">
      <alignment horizontal="left" vertical="center"/>
    </xf>
    <xf numFmtId="164" fontId="5" fillId="3" borderId="1" applyAlignment="1" pivotButton="0" quotePrefix="0" xfId="0">
      <alignment horizontal="right" vertical="center"/>
    </xf>
    <xf numFmtId="3" fontId="5" fillId="3" borderId="1" applyAlignment="1" pivotButton="0" quotePrefix="0" xfId="0">
      <alignment horizontal="right" vertical="center"/>
    </xf>
    <xf numFmtId="3" fontId="6" fillId="4" borderId="1" applyAlignment="1" pivotButton="0" quotePrefix="0" xfId="0">
      <alignment horizontal="right" vertical="center"/>
    </xf>
    <xf numFmtId="165" fontId="5" fillId="3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3" fontId="6" fillId="6" borderId="1" applyAlignment="1" pivotButton="0" quotePrefix="0" xfId="0">
      <alignment horizontal="right" vertical="center"/>
    </xf>
    <xf numFmtId="3" fontId="6" fillId="7" borderId="1" applyAlignment="1" pivotButton="0" quotePrefix="0" xfId="0">
      <alignment horizontal="right" vertical="center"/>
    </xf>
    <xf numFmtId="165" fontId="6" fillId="6" borderId="1" applyAlignment="1" pivotButton="0" quotePrefix="0" xfId="0">
      <alignment horizontal="right" vertical="center"/>
    </xf>
    <xf numFmtId="166" fontId="6" fillId="6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3" fontId="6" fillId="0" borderId="1" applyAlignment="1" pivotButton="0" quotePrefix="0" xfId="0">
      <alignment horizontal="right" vertical="center"/>
    </xf>
    <xf numFmtId="164" fontId="3" fillId="8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  <xf numFmtId="0" fontId="8" fillId="0" borderId="0" pivotButton="0" quotePrefix="0" xfId="0"/>
    <xf numFmtId="0" fontId="7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0" fontId="5" fillId="11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center" vertical="center"/>
    </xf>
    <xf numFmtId="0" fontId="9" fillId="13" borderId="1" applyAlignment="1" pivotButton="0" quotePrefix="0" xfId="0">
      <alignment horizontal="left" vertical="center"/>
    </xf>
    <xf numFmtId="0" fontId="10" fillId="11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center" vertical="center"/>
    </xf>
    <xf numFmtId="0" fontId="11" fillId="0" borderId="0" pivotButton="0" quotePrefix="0" xfId="0"/>
    <xf numFmtId="0" fontId="7" fillId="5" borderId="1" applyAlignment="1" pivotButton="0" quotePrefix="0" xfId="0">
      <alignment horizontal="center" vertical="center"/>
    </xf>
    <xf numFmtId="164" fontId="12" fillId="14" borderId="1" applyAlignment="1" pivotButton="0" quotePrefix="0" xfId="0">
      <alignment horizontal="center" vertical="center"/>
    </xf>
    <xf numFmtId="164" fontId="13" fillId="15" borderId="1" applyAlignment="1" pivotButton="0" quotePrefix="0" xfId="0">
      <alignment horizontal="center" vertical="center"/>
    </xf>
    <xf numFmtId="164" fontId="14" fillId="16" borderId="1" applyAlignment="1" pivotButton="0" quotePrefix="0" xfId="0">
      <alignment horizontal="center" vertical="center"/>
    </xf>
    <xf numFmtId="164" fontId="15" fillId="17" borderId="1" applyAlignment="1" pivotButton="0" quotePrefix="0" xfId="0">
      <alignment horizontal="center" vertical="center"/>
    </xf>
    <xf numFmtId="0" fontId="10" fillId="0" borderId="0" pivotButton="0" quotePrefix="0" xfId="0"/>
    <xf numFmtId="0" fontId="16" fillId="15" borderId="1" applyAlignment="1" pivotButton="0" quotePrefix="0" xfId="0">
      <alignment horizontal="left"/>
    </xf>
    <xf numFmtId="0" fontId="17" fillId="14" borderId="1" applyAlignment="1" pivotButton="0" quotePrefix="0" xfId="0">
      <alignment horizontal="left"/>
    </xf>
    <xf numFmtId="0" fontId="18" fillId="16" borderId="1" applyAlignment="1" pivotButton="0" quotePrefix="0" xfId="0">
      <alignment horizontal="left"/>
    </xf>
    <xf numFmtId="0" fontId="19" fillId="17" borderId="1" applyAlignment="1" pivotButton="0" quotePrefix="0" xfId="0">
      <alignment horizontal="left"/>
    </xf>
    <xf numFmtId="0" fontId="5" fillId="0" borderId="1" applyAlignment="1" pivotButton="0" quotePrefix="0" xfId="0">
      <alignment horizontal="left"/>
    </xf>
    <xf numFmtId="165" fontId="5" fillId="0" borderId="1" applyAlignment="1" pivotButton="0" quotePrefix="0" xfId="0">
      <alignment horizontal="center"/>
    </xf>
    <xf numFmtId="0" fontId="2" fillId="0" borderId="1" pivotButton="0" quotePrefix="0" xfId="0"/>
    <xf numFmtId="0" fontId="20" fillId="0" borderId="0" applyAlignment="1" pivotButton="0" quotePrefix="0" xfId="0">
      <alignment vertical="top" wrapText="1"/>
    </xf>
    <xf numFmtId="3" fontId="5" fillId="0" borderId="1" applyAlignment="1" pivotButton="0" quotePrefix="0" xfId="0">
      <alignment horizontal="right"/>
    </xf>
    <xf numFmtId="3" fontId="5" fillId="6" borderId="1" applyAlignment="1" pivotButton="0" quotePrefix="0" xfId="0">
      <alignment horizontal="right"/>
    </xf>
    <xf numFmtId="165" fontId="5" fillId="0" borderId="1" applyAlignment="1" pivotButton="0" quotePrefix="0" xfId="0">
      <alignment horizontal="right"/>
    </xf>
    <xf numFmtId="165" fontId="5" fillId="6" borderId="1" applyAlignment="1" pivotButton="0" quotePrefix="0" xfId="0">
      <alignment horizontal="right"/>
    </xf>
    <xf numFmtId="164" fontId="5" fillId="6" borderId="1" applyAlignment="1" pivotButton="0" quotePrefix="0" xfId="0">
      <alignment horizontal="right"/>
    </xf>
    <xf numFmtId="0" fontId="3" fillId="9" borderId="1" applyAlignment="1" pivotButton="0" quotePrefix="0" xfId="0">
      <alignment horizontal="left" vertical="center"/>
    </xf>
    <xf numFmtId="0" fontId="21" fillId="16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16" borderId="1" applyAlignment="1" pivotButton="0" quotePrefix="0" xfId="0">
      <alignment horizontal="center" vertical="center"/>
    </xf>
    <xf numFmtId="0" fontId="22" fillId="0" borderId="0" applyAlignment="1" pivotButton="0" quotePrefix="0" xfId="0">
      <alignment wrapText="1"/>
    </xf>
    <xf numFmtId="0" fontId="3" fillId="10" borderId="1" applyAlignment="1" pivotButton="0" quotePrefix="0" xfId="0">
      <alignment horizontal="left" vertical="center"/>
    </xf>
    <xf numFmtId="0" fontId="5" fillId="18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3" fillId="0" borderId="0" applyAlignment="1" pivotButton="0" quotePrefix="0" xfId="0">
      <alignment vertical="top" wrapText="1"/>
    </xf>
    <xf numFmtId="0" fontId="2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2" customHeight="1">
      <c r="A1" s="1" t="inlineStr">
        <is>
          <t>Alphabet Inc. (GOOG) — DCF Valuation Model</t>
        </is>
      </c>
    </row>
    <row r="2" ht="16" customHeight="1">
      <c r="A2" s="2" t="inlineStr">
        <is>
          <t>Valuation Date: 2026-06-24  |  Blue/gray cells are INPUTS — change them to update the model automatically</t>
        </is>
      </c>
    </row>
    <row r="4">
      <c r="A4" s="3" t="inlineStr">
        <is>
          <t>SECTION 1 — KEY INPUTS  (edit blue cells)</t>
        </is>
      </c>
      <c r="B4" s="4" t="n"/>
      <c r="C4" s="5" t="n"/>
    </row>
    <row r="5">
      <c r="A5" s="6" t="inlineStr">
        <is>
          <t>Current Stock Price</t>
        </is>
      </c>
      <c r="B5" s="7" t="n">
        <v>346.08</v>
      </c>
    </row>
    <row r="6">
      <c r="A6" s="6" t="inlineStr">
        <is>
          <t>Shares Outstanding (M)</t>
        </is>
      </c>
      <c r="B6" s="8" t="n">
        <v>12100</v>
      </c>
    </row>
    <row r="7">
      <c r="A7" s="6" t="inlineStr">
        <is>
          <t>Cash &amp; Equivalents ($M)</t>
        </is>
      </c>
      <c r="B7" s="8" t="n">
        <v>30708</v>
      </c>
    </row>
    <row r="8">
      <c r="A8" s="6" t="inlineStr">
        <is>
          <t>Marketable Securities Est. ($M)</t>
        </is>
      </c>
      <c r="B8" s="8" t="n">
        <v>64292</v>
      </c>
    </row>
    <row r="9">
      <c r="A9" s="6" t="inlineStr">
        <is>
          <t>Total Liquid Assets ($M)  [=B7+B8]</t>
        </is>
      </c>
      <c r="B9" s="9">
        <f>B7+B8</f>
        <v/>
      </c>
    </row>
    <row r="10">
      <c r="A10" s="6" t="inlineStr">
        <is>
          <t>Total Debt / LTD ($M)</t>
        </is>
      </c>
      <c r="B10" s="8" t="n">
        <v>25000</v>
      </c>
    </row>
    <row r="11">
      <c r="A11" s="6" t="inlineStr">
        <is>
          <t>Net Cash ($M)  [=B9-B10]</t>
        </is>
      </c>
      <c r="B11" s="9">
        <f>B9-B10</f>
        <v/>
      </c>
    </row>
    <row r="12">
      <c r="A12" s="6" t="inlineStr">
        <is>
          <t>Base Year Revenue ($M) — FY2025</t>
        </is>
      </c>
      <c r="B12" s="8" t="n">
        <v>402836</v>
      </c>
    </row>
    <row r="13">
      <c r="A13" s="6" t="inlineStr">
        <is>
          <t>Base Year OCF ($M) — FY2025</t>
        </is>
      </c>
      <c r="B13" s="8" t="n">
        <v>164713</v>
      </c>
    </row>
    <row r="14">
      <c r="A14" s="6" t="inlineStr">
        <is>
          <t>Base Year CapEx ($M) — FY2025</t>
        </is>
      </c>
      <c r="B14" s="8" t="n">
        <v>91447</v>
      </c>
    </row>
    <row r="15">
      <c r="A15" s="6" t="inlineStr">
        <is>
          <t>Base Year FCF ($M)  [=B13-B14]</t>
        </is>
      </c>
      <c r="B15" s="9">
        <f>B13-B14</f>
        <v/>
      </c>
    </row>
    <row r="16">
      <c r="A16" s="6" t="inlineStr">
        <is>
          <t>WACC</t>
        </is>
      </c>
      <c r="B16" s="10" t="n">
        <v>0.08500000000000001</v>
      </c>
    </row>
    <row r="17">
      <c r="A17" s="6" t="inlineStr">
        <is>
          <t>Terminal Growth Rate</t>
        </is>
      </c>
      <c r="B17" s="10" t="n">
        <v>0.03</v>
      </c>
    </row>
    <row r="19">
      <c r="A19" s="3" t="inlineStr">
        <is>
          <t>SECTION 2 — BASE CASE GROWTH &amp; CAPEX ASSUMPTIONS  (edit blue cells)</t>
        </is>
      </c>
      <c r="B19" s="4" t="n"/>
      <c r="C19" s="4" t="n"/>
      <c r="D19" s="4" t="n"/>
      <c r="E19" s="4" t="n"/>
      <c r="F19" s="4" t="n"/>
      <c r="G19" s="4" t="n"/>
      <c r="H19" s="5" t="n"/>
    </row>
    <row r="20">
      <c r="A20" s="11" t="inlineStr">
        <is>
          <t>Assumption</t>
        </is>
      </c>
      <c r="B20" s="12" t="inlineStr">
        <is>
          <t>Y1 (FY26)</t>
        </is>
      </c>
      <c r="C20" s="12" t="inlineStr">
        <is>
          <t>Y2 (FY27)</t>
        </is>
      </c>
      <c r="D20" s="12" t="inlineStr">
        <is>
          <t>Y3 (FY28)</t>
        </is>
      </c>
      <c r="E20" s="12" t="inlineStr">
        <is>
          <t>Y4 (FY29)</t>
        </is>
      </c>
      <c r="F20" s="12" t="inlineStr">
        <is>
          <t>Y5 (FY30)</t>
        </is>
      </c>
    </row>
    <row r="21">
      <c r="A21" s="6" t="inlineStr">
        <is>
          <t>Revenue Growth Rate (ref)</t>
        </is>
      </c>
      <c r="B21" s="10" t="n">
        <v>0.17</v>
      </c>
      <c r="C21" s="10" t="n">
        <v>0.14</v>
      </c>
      <c r="D21" s="10" t="n">
        <v>0.12</v>
      </c>
      <c r="E21" s="10" t="n">
        <v>0.1</v>
      </c>
      <c r="F21" s="10" t="n">
        <v>0.08</v>
      </c>
    </row>
    <row r="22">
      <c r="A22" s="6" t="inlineStr">
        <is>
          <t>OCF Growth Rate</t>
        </is>
      </c>
      <c r="B22" s="10" t="n">
        <v>0.3</v>
      </c>
      <c r="C22" s="10" t="n">
        <v>0.15</v>
      </c>
      <c r="D22" s="10" t="n">
        <v>0.12</v>
      </c>
      <c r="E22" s="10" t="n">
        <v>0.1</v>
      </c>
      <c r="F22" s="10" t="n">
        <v>0.08</v>
      </c>
    </row>
    <row r="23">
      <c r="A23" s="6" t="inlineStr">
        <is>
          <t>CapEx — Absolute ($M)</t>
        </is>
      </c>
      <c r="B23" s="8" t="n">
        <v>185000</v>
      </c>
      <c r="C23" s="8" t="n">
        <v>195000</v>
      </c>
      <c r="D23" s="8" t="n">
        <v>168000</v>
      </c>
      <c r="E23" s="8" t="n">
        <v>138000</v>
      </c>
      <c r="F23" s="8" t="n">
        <v>107200</v>
      </c>
    </row>
    <row r="25">
      <c r="A25" s="3" t="inlineStr">
        <is>
          <t>SECTION 3 — REVENUE &amp; FCF PROJECTIONS  (calculated from inputs above)</t>
        </is>
      </c>
      <c r="B25" s="4" t="n"/>
      <c r="C25" s="4" t="n"/>
      <c r="D25" s="4" t="n"/>
      <c r="E25" s="4" t="n"/>
      <c r="F25" s="4" t="n"/>
      <c r="G25" s="4" t="n"/>
      <c r="H25" s="5" t="n"/>
    </row>
    <row r="26">
      <c r="A26" s="11" t="inlineStr">
        <is>
          <t>Line Item</t>
        </is>
      </c>
      <c r="B26" s="12" t="inlineStr">
        <is>
          <t>Y1 (FY26)</t>
        </is>
      </c>
      <c r="C26" s="12" t="inlineStr">
        <is>
          <t>Y2 (FY27)</t>
        </is>
      </c>
      <c r="D26" s="12" t="inlineStr">
        <is>
          <t>Y3 (FY28)</t>
        </is>
      </c>
      <c r="E26" s="12" t="inlineStr">
        <is>
          <t>Y4 (FY29)</t>
        </is>
      </c>
      <c r="F26" s="12" t="inlineStr">
        <is>
          <t>Y5 (FY30)</t>
        </is>
      </c>
    </row>
    <row r="27">
      <c r="A27" s="6" t="inlineStr">
        <is>
          <t>Revenue ($M)</t>
        </is>
      </c>
      <c r="B27" s="13">
        <f>$B$12*(1+B21)</f>
        <v/>
      </c>
      <c r="C27" s="13">
        <f>B27*(1+C21)</f>
        <v/>
      </c>
      <c r="D27" s="13">
        <f>C27*(1+D21)</f>
        <v/>
      </c>
      <c r="E27" s="13">
        <f>D27*(1+E21)</f>
        <v/>
      </c>
      <c r="F27" s="13">
        <f>E27*(1+F21)</f>
        <v/>
      </c>
    </row>
    <row r="28">
      <c r="A28" s="6" t="inlineStr">
        <is>
          <t>Operating Cash Flow ($M)</t>
        </is>
      </c>
      <c r="B28" s="13">
        <f>$B$13*(1+B22)</f>
        <v/>
      </c>
      <c r="C28" s="13">
        <f>B28*(1+C22)</f>
        <v/>
      </c>
      <c r="D28" s="13">
        <f>C28*(1+D22)</f>
        <v/>
      </c>
      <c r="E28" s="13">
        <f>D28*(1+E22)</f>
        <v/>
      </c>
      <c r="F28" s="13">
        <f>E28*(1+F22)</f>
        <v/>
      </c>
    </row>
    <row r="29">
      <c r="A29" s="6" t="inlineStr">
        <is>
          <t>Capital Expenditure ($M)</t>
        </is>
      </c>
      <c r="B29" s="13">
        <f>B23</f>
        <v/>
      </c>
      <c r="C29" s="13">
        <f>C23</f>
        <v/>
      </c>
      <c r="D29" s="13">
        <f>D23</f>
        <v/>
      </c>
      <c r="E29" s="13">
        <f>E23</f>
        <v/>
      </c>
      <c r="F29" s="13">
        <f>F23</f>
        <v/>
      </c>
    </row>
    <row r="30">
      <c r="A30" s="6" t="inlineStr">
        <is>
          <t>Free Cash Flow ($M)</t>
        </is>
      </c>
      <c r="B30" s="14">
        <f>B28-B29</f>
        <v/>
      </c>
      <c r="C30" s="14">
        <f>C28-C29</f>
        <v/>
      </c>
      <c r="D30" s="14">
        <f>D28-D29</f>
        <v/>
      </c>
      <c r="E30" s="14">
        <f>E28-E29</f>
        <v/>
      </c>
      <c r="F30" s="14">
        <f>F28-F29</f>
        <v/>
      </c>
    </row>
    <row r="31">
      <c r="A31" s="6" t="inlineStr">
        <is>
          <t>FCF Margin (%)</t>
        </is>
      </c>
      <c r="B31" s="15">
        <f>B30/B27</f>
        <v/>
      </c>
      <c r="C31" s="15">
        <f>C30/C27</f>
        <v/>
      </c>
      <c r="D31" s="15">
        <f>D30/D27</f>
        <v/>
      </c>
      <c r="E31" s="15">
        <f>E30/E27</f>
        <v/>
      </c>
      <c r="F31" s="15">
        <f>F30/F27</f>
        <v/>
      </c>
    </row>
    <row r="32">
      <c r="A32" s="6" t="inlineStr">
        <is>
          <t>Discount Factor  (1 / (1+WACC)^yr)</t>
        </is>
      </c>
      <c r="B32" s="16">
        <f>1/(1+$B$16)^1</f>
        <v/>
      </c>
      <c r="C32" s="16">
        <f>1/(1+$B$16)^2</f>
        <v/>
      </c>
      <c r="D32" s="16">
        <f>1/(1+$B$16)^3</f>
        <v/>
      </c>
      <c r="E32" s="16">
        <f>1/(1+$B$16)^4</f>
        <v/>
      </c>
      <c r="F32" s="16">
        <f>1/(1+$B$16)^5</f>
        <v/>
      </c>
    </row>
    <row r="33">
      <c r="A33" s="6" t="inlineStr">
        <is>
          <t>PV of Free Cash Flow ($M)</t>
        </is>
      </c>
      <c r="B33" s="9">
        <f>B30*B32</f>
        <v/>
      </c>
      <c r="C33" s="9">
        <f>C30*C32</f>
        <v/>
      </c>
      <c r="D33" s="9">
        <f>D30*D32</f>
        <v/>
      </c>
      <c r="E33" s="9">
        <f>E30*E32</f>
        <v/>
      </c>
      <c r="F33" s="9">
        <f>F30*F32</f>
        <v/>
      </c>
    </row>
    <row r="35">
      <c r="A35" s="3" t="inlineStr">
        <is>
          <t>SECTION 4 — BASE CASE VALUATION  (calculated)</t>
        </is>
      </c>
      <c r="B35" s="4" t="n"/>
      <c r="C35" s="5" t="n"/>
    </row>
    <row r="36">
      <c r="A36" s="17" t="inlineStr">
        <is>
          <t>Sum of PV of FCF ($M)</t>
        </is>
      </c>
      <c r="B36" s="18">
        <f>SUM(B33:F33)</f>
        <v/>
      </c>
    </row>
    <row r="37">
      <c r="A37" s="17" t="inlineStr">
        <is>
          <t>Terminal FCF  [Y5 FCF × (1 + TGR)]</t>
        </is>
      </c>
      <c r="B37" s="18">
        <f>F30*(1+$B$17)</f>
        <v/>
      </c>
    </row>
    <row r="38">
      <c r="A38" s="17" t="inlineStr">
        <is>
          <t>Terminal Value — Gordon Growth ($M)</t>
        </is>
      </c>
      <c r="B38" s="18">
        <f>B37/($B$16-$B$17)</f>
        <v/>
      </c>
    </row>
    <row r="39">
      <c r="A39" s="17" t="inlineStr">
        <is>
          <t>PV of Terminal Value ($M)</t>
        </is>
      </c>
      <c r="B39" s="18">
        <f>B38*F32</f>
        <v/>
      </c>
    </row>
    <row r="40">
      <c r="A40" s="17" t="inlineStr">
        <is>
          <t>Enterprise Value ($M)</t>
        </is>
      </c>
      <c r="B40" s="9">
        <f>B36+B39</f>
        <v/>
      </c>
    </row>
    <row r="41">
      <c r="A41" s="17" t="inlineStr">
        <is>
          <t>Add: Net Cash ($M)  [= B11]</t>
        </is>
      </c>
      <c r="B41" s="18">
        <f>B11</f>
        <v/>
      </c>
    </row>
    <row r="42">
      <c r="A42" s="17" t="inlineStr">
        <is>
          <t>Equity Value ($M)</t>
        </is>
      </c>
      <c r="B42" s="9">
        <f>B40+B41</f>
        <v/>
      </c>
    </row>
    <row r="43">
      <c r="A43" s="6" t="inlineStr">
        <is>
          <t>INTRINSIC VALUE / SHARE</t>
        </is>
      </c>
      <c r="B43" s="19">
        <f>B42/$B$6</f>
        <v/>
      </c>
    </row>
    <row r="44">
      <c r="A44" s="17" t="inlineStr">
        <is>
          <t>Current Stock Price</t>
        </is>
      </c>
      <c r="B44" s="20">
        <f>B5</f>
        <v/>
      </c>
    </row>
    <row r="45">
      <c r="A45" s="17" t="inlineStr">
        <is>
          <t>Upside / (Downside) to IV</t>
        </is>
      </c>
      <c r="B45" s="21">
        <f>(B43-B44)/B44</f>
        <v/>
      </c>
    </row>
    <row r="47">
      <c r="A47" s="22" t="inlineStr">
        <is>
          <t>ENTRY PRICE — Target 15% CAGR to Terminal Value</t>
        </is>
      </c>
      <c r="B47" s="4" t="n"/>
      <c r="C47" s="5" t="n"/>
    </row>
    <row r="48">
      <c r="A48" s="6" t="inlineStr">
        <is>
          <t>Terminal Value per Share</t>
        </is>
      </c>
      <c r="B48" s="20">
        <f>B38/$B$6</f>
        <v/>
      </c>
    </row>
    <row r="49">
      <c r="A49" s="6" t="inlineStr">
        <is>
          <t>Entry Price (15% CAGR over 5 years)</t>
        </is>
      </c>
      <c r="B49" s="19">
        <f>B48/(1.15^5)</f>
        <v/>
      </c>
    </row>
    <row r="50">
      <c r="A50" s="6" t="inlineStr">
        <is>
          <t>Entry Discount from Current Price</t>
        </is>
      </c>
      <c r="B50" s="21">
        <f>(B49-B5)/B5</f>
        <v/>
      </c>
    </row>
    <row r="52" ht="48" customHeight="1">
      <c r="A52" s="23" t="inlineStr">
        <is>
          <t>MODEL NOTE: Near-term FCF (Y1-Y2) is depressed because FY2026 CapEx is guided at $180-190B and FY2027 CapEx is guided higher still. OCF grows ~30% in Y1 consistent with the Q1 2026 annualized run-rate of ~$183B. FCF recovers to $108-220B in Y3-Y5 as CapEx/Revenue normalizes from ~40% toward ~15%. Terminal value (Gordon growth, 8.5% WACC, 3.0% TGR) is capped at 18x Y5 EBITDA to anchor to historical multiples. Base IV $267/share implies P/E 24.5x and EV/EBITDA 19.2x — within Alphabet's historical range.</t>
        </is>
      </c>
    </row>
  </sheetData>
  <mergeCells count="8">
    <mergeCell ref="A47:C47"/>
    <mergeCell ref="A25:H25"/>
    <mergeCell ref="A2:H2"/>
    <mergeCell ref="A52:H52"/>
    <mergeCell ref="A19:H19"/>
    <mergeCell ref="A1:H1"/>
    <mergeCell ref="A35:C35"/>
    <mergeCell ref="A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24" t="inlineStr">
        <is>
          <t>Alphabet (GOOG) — Bull / Base / Bear Scenario Comparison</t>
        </is>
      </c>
    </row>
    <row r="3">
      <c r="A3" s="11" t="inlineStr">
        <is>
          <t>Assumption / Output</t>
        </is>
      </c>
      <c r="B3" s="25" t="inlineStr">
        <is>
          <t>Bear Case</t>
        </is>
      </c>
      <c r="C3" s="12" t="inlineStr">
        <is>
          <t>Base Case</t>
        </is>
      </c>
      <c r="D3" s="26" t="inlineStr">
        <is>
          <t>Bull Case</t>
        </is>
      </c>
    </row>
    <row r="4">
      <c r="A4" s="27" t="inlineStr">
        <is>
          <t>Revenue Growth: Y1/Y2/Y3/Y4/Y5</t>
        </is>
      </c>
      <c r="B4" s="28" t="inlineStr">
        <is>
          <t>12%/8%/6%/4%/3%</t>
        </is>
      </c>
      <c r="C4" s="29" t="inlineStr">
        <is>
          <t>17%/14%/12%/10%/8%</t>
        </is>
      </c>
      <c r="D4" s="30" t="inlineStr">
        <is>
          <t>22%/18%/15%/13%/10%</t>
        </is>
      </c>
    </row>
    <row r="5">
      <c r="A5" s="27" t="inlineStr">
        <is>
          <t>OCF Growth: Y1/Y2/Y3/Y4/Y5</t>
        </is>
      </c>
      <c r="B5" s="28" t="inlineStr">
        <is>
          <t>8%/5%/4%/3%/3%</t>
        </is>
      </c>
      <c r="C5" s="29" t="inlineStr">
        <is>
          <t>30%/15%/12%/10%/8%</t>
        </is>
      </c>
      <c r="D5" s="30" t="inlineStr">
        <is>
          <t>35%/20%/16%/13%/11%</t>
        </is>
      </c>
    </row>
    <row r="6">
      <c r="A6" s="27" t="inlineStr">
        <is>
          <t>CapEx Y1/Y2/Y3/Y4/Y5 ($B)</t>
        </is>
      </c>
      <c r="B6" s="28" t="inlineStr">
        <is>
          <t>$185/$195/$185/$170/$155</t>
        </is>
      </c>
      <c r="C6" s="29" t="inlineStr">
        <is>
          <t>$185/$195/$168/$138/$107</t>
        </is>
      </c>
      <c r="D6" s="30" t="inlineStr">
        <is>
          <t>$185/$190/$162/$128/$95</t>
        </is>
      </c>
    </row>
    <row r="7">
      <c r="A7" s="27" t="inlineStr">
        <is>
          <t>WACC</t>
        </is>
      </c>
      <c r="B7" s="28" t="inlineStr">
        <is>
          <t>11.0%</t>
        </is>
      </c>
      <c r="C7" s="29" t="inlineStr">
        <is>
          <t>8.5%</t>
        </is>
      </c>
      <c r="D7" s="30" t="inlineStr">
        <is>
          <t>8.0%</t>
        </is>
      </c>
    </row>
    <row r="8">
      <c r="A8" s="27" t="inlineStr">
        <is>
          <t>Terminal Growth Rate</t>
        </is>
      </c>
      <c r="B8" s="28" t="inlineStr">
        <is>
          <t>2.0%</t>
        </is>
      </c>
      <c r="C8" s="29" t="inlineStr">
        <is>
          <t>3.0%</t>
        </is>
      </c>
      <c r="D8" s="30" t="inlineStr">
        <is>
          <t>3.5%</t>
        </is>
      </c>
    </row>
    <row r="9">
      <c r="A9" s="27" t="inlineStr">
        <is>
          <t>Exit Multiple Cap</t>
        </is>
      </c>
      <c r="B9" s="28" t="inlineStr">
        <is>
          <t>14x EV/EBITDA</t>
        </is>
      </c>
      <c r="C9" s="29" t="inlineStr">
        <is>
          <t>18x EV/EBITDA</t>
        </is>
      </c>
      <c r="D9" s="30" t="inlineStr">
        <is>
          <t>20x EV/EBITDA</t>
        </is>
      </c>
    </row>
    <row r="10" ht="14" customHeight="1">
      <c r="A10" s="31" t="inlineStr">
        <is>
          <t>--- PROJECTED OUTCOMES ---</t>
        </is>
      </c>
      <c r="B10" s="4" t="n"/>
      <c r="C10" s="4" t="n"/>
      <c r="D10" s="5" t="n"/>
    </row>
    <row r="11">
      <c r="A11" s="27" t="inlineStr">
        <is>
          <t>Y1 FCF ($B)</t>
        </is>
      </c>
      <c r="B11" s="28" t="inlineStr">
        <is>
          <t>$(7)B</t>
        </is>
      </c>
      <c r="C11" s="29" t="inlineStr">
        <is>
          <t>$29B</t>
        </is>
      </c>
      <c r="D11" s="30" t="inlineStr">
        <is>
          <t>$37B</t>
        </is>
      </c>
    </row>
    <row r="12">
      <c r="A12" s="27" t="inlineStr">
        <is>
          <t>Y2 FCF ($B)</t>
        </is>
      </c>
      <c r="B12" s="28" t="inlineStr">
        <is>
          <t>$(8)B</t>
        </is>
      </c>
      <c r="C12" s="29" t="inlineStr">
        <is>
          <t>$51B</t>
        </is>
      </c>
      <c r="D12" s="30" t="inlineStr">
        <is>
          <t>$77B</t>
        </is>
      </c>
    </row>
    <row r="13">
      <c r="A13" s="27" t="inlineStr">
        <is>
          <t>Y5 FCF ($B)</t>
        </is>
      </c>
      <c r="B13" s="28" t="inlineStr">
        <is>
          <t>$51B</t>
        </is>
      </c>
      <c r="C13" s="29" t="inlineStr">
        <is>
          <t>$220B</t>
        </is>
      </c>
      <c r="D13" s="30" t="inlineStr">
        <is>
          <t>$293B</t>
        </is>
      </c>
    </row>
    <row r="14">
      <c r="A14" s="27" t="inlineStr">
        <is>
          <t>Y5 FCF Margin</t>
        </is>
      </c>
      <c r="B14" s="28" t="inlineStr">
        <is>
          <t>9.2%</t>
        </is>
      </c>
      <c r="C14" s="29" t="inlineStr">
        <is>
          <t>30.8%</t>
        </is>
      </c>
      <c r="D14" s="30" t="inlineStr">
        <is>
          <t>35.4%</t>
        </is>
      </c>
    </row>
    <row r="15" ht="14" customHeight="1">
      <c r="A15" s="31" t="inlineStr">
        <is>
          <t>--- VALUATION OUTPUTS ---</t>
        </is>
      </c>
      <c r="B15" s="4" t="n"/>
      <c r="C15" s="4" t="n"/>
      <c r="D15" s="5" t="n"/>
    </row>
    <row r="16">
      <c r="A16" s="27" t="inlineStr">
        <is>
          <t>Sum PV of FCF ($B)</t>
        </is>
      </c>
      <c r="B16" s="28" t="inlineStr">
        <is>
          <t>$44B</t>
        </is>
      </c>
      <c r="C16" s="29" t="inlineStr">
        <is>
          <t>$421B</t>
        </is>
      </c>
      <c r="D16" s="30" t="inlineStr">
        <is>
          <t>$580B</t>
        </is>
      </c>
    </row>
    <row r="17">
      <c r="A17" s="27" t="inlineStr">
        <is>
          <t>Terminal Value ($B)</t>
        </is>
      </c>
      <c r="B17" s="28" t="inlineStr">
        <is>
          <t>$579B</t>
        </is>
      </c>
      <c r="C17" s="29" t="inlineStr">
        <is>
          <t>$4,128B</t>
        </is>
      </c>
      <c r="D17" s="30" t="inlineStr">
        <is>
          <t>$6,745B</t>
        </is>
      </c>
    </row>
    <row r="18">
      <c r="A18" s="27" t="inlineStr">
        <is>
          <t>PV of Terminal Value ($B)</t>
        </is>
      </c>
      <c r="B18" s="28" t="inlineStr">
        <is>
          <t>$344B</t>
        </is>
      </c>
      <c r="C18" s="29" t="inlineStr">
        <is>
          <t>$2,746B</t>
        </is>
      </c>
      <c r="D18" s="30" t="inlineStr">
        <is>
          <t>$4,592B</t>
        </is>
      </c>
    </row>
    <row r="19">
      <c r="A19" s="27" t="inlineStr">
        <is>
          <t>Enterprise Value ($B)</t>
        </is>
      </c>
      <c r="B19" s="28" t="inlineStr">
        <is>
          <t>$388B</t>
        </is>
      </c>
      <c r="C19" s="29" t="inlineStr">
        <is>
          <t>$3,166B</t>
        </is>
      </c>
      <c r="D19" s="30" t="inlineStr">
        <is>
          <t>$5,172B</t>
        </is>
      </c>
    </row>
    <row r="20">
      <c r="A20" s="27" t="inlineStr">
        <is>
          <t>+ Net Cash ($B)</t>
        </is>
      </c>
      <c r="B20" s="28" t="inlineStr">
        <is>
          <t>$70B</t>
        </is>
      </c>
      <c r="C20" s="29" t="inlineStr">
        <is>
          <t>$70B</t>
        </is>
      </c>
      <c r="D20" s="30" t="inlineStr">
        <is>
          <t>$70B</t>
        </is>
      </c>
    </row>
    <row r="21">
      <c r="A21" s="27" t="inlineStr">
        <is>
          <t>Equity Value ($B)</t>
        </is>
      </c>
      <c r="B21" s="28" t="inlineStr">
        <is>
          <t>$458B</t>
        </is>
      </c>
      <c r="C21" s="29" t="inlineStr">
        <is>
          <t>$3,236B</t>
        </is>
      </c>
      <c r="D21" s="30" t="inlineStr">
        <is>
          <t>$5,242B</t>
        </is>
      </c>
    </row>
    <row r="22">
      <c r="A22" s="27" t="inlineStr">
        <is>
          <t>Intrinsic Value / Share</t>
        </is>
      </c>
      <c r="B22" s="32" t="inlineStr">
        <is>
          <t>$37.80</t>
        </is>
      </c>
      <c r="C22" s="33" t="inlineStr">
        <is>
          <t>$267.46</t>
        </is>
      </c>
      <c r="D22" s="34" t="inlineStr">
        <is>
          <t>$433.09</t>
        </is>
      </c>
    </row>
    <row r="23">
      <c r="A23" s="27" t="inlineStr">
        <is>
          <t>Upside vs. $346.08</t>
        </is>
      </c>
      <c r="B23" s="28" t="inlineStr">
        <is>
          <t>-89.1%</t>
        </is>
      </c>
      <c r="C23" s="29" t="inlineStr">
        <is>
          <t>-22.7%</t>
        </is>
      </c>
      <c r="D23" s="30" t="inlineStr">
        <is>
          <t>+25.1%</t>
        </is>
      </c>
    </row>
    <row r="24">
      <c r="A24" s="27" t="inlineStr">
        <is>
          <t>Probability Weight</t>
        </is>
      </c>
      <c r="B24" s="28" t="inlineStr">
        <is>
          <t>25%</t>
        </is>
      </c>
      <c r="C24" s="29" t="inlineStr">
        <is>
          <t>50%</t>
        </is>
      </c>
      <c r="D24" s="30" t="inlineStr">
        <is>
          <t>25%</t>
        </is>
      </c>
    </row>
    <row r="25" ht="14" customHeight="1">
      <c r="A25" s="31" t="inlineStr">
        <is>
          <t>--- PROBABILITY-WEIGHTED IV: $251.45  (Upside: -27.3%) ---</t>
        </is>
      </c>
      <c r="B25" s="4" t="n"/>
      <c r="C25" s="4" t="n"/>
      <c r="D25" s="5" t="n"/>
    </row>
    <row r="26" ht="14" customHeight="1">
      <c r="A26" s="31" t="inlineStr">
        <is>
          <t>--- Sanity Check: Base P/E 24.5x | EV/EBITDA 19.2x | Historical avg P/E 28.4x | EV/EBITDA avg 19.6x ---</t>
        </is>
      </c>
      <c r="B26" s="4" t="n"/>
      <c r="C26" s="4" t="n"/>
      <c r="D26" s="5" t="n"/>
    </row>
  </sheetData>
  <mergeCells count="5">
    <mergeCell ref="A1:D1"/>
    <mergeCell ref="A26:D26"/>
    <mergeCell ref="A15:D15"/>
    <mergeCell ref="A25:D25"/>
    <mergeCell ref="A10:D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6" customHeight="1">
      <c r="A1" s="35" t="inlineStr">
        <is>
          <t>GOOG — Sensitivity: Intrinsic Value / Share (Base FCF)</t>
        </is>
      </c>
    </row>
    <row r="2">
      <c r="A2" s="2" t="inlineStr">
        <is>
          <t>Base-case FCF projections held fixed. Net cash $70B included. Rows = WACC, Columns = Terminal Growth Rate. Current price $346.08.</t>
        </is>
      </c>
    </row>
    <row r="4">
      <c r="A4" s="12" t="inlineStr">
        <is>
          <t>WACC \ Term. G</t>
        </is>
      </c>
      <c r="B4" s="12" t="inlineStr">
        <is>
          <t>2.0%</t>
        </is>
      </c>
      <c r="C4" s="12" t="inlineStr">
        <is>
          <t>2.5%</t>
        </is>
      </c>
      <c r="D4" s="12" t="inlineStr">
        <is>
          <t>3.0%</t>
        </is>
      </c>
      <c r="E4" s="12" t="inlineStr">
        <is>
          <t>3.5%</t>
        </is>
      </c>
      <c r="F4" s="12" t="inlineStr">
        <is>
          <t>4.0%</t>
        </is>
      </c>
    </row>
    <row r="5">
      <c r="A5" s="36" t="inlineStr">
        <is>
          <t>7.0%</t>
        </is>
      </c>
      <c r="B5" s="37" t="n">
        <v>307.41</v>
      </c>
      <c r="C5" s="37" t="n">
        <v>338.3</v>
      </c>
      <c r="D5" s="38" t="n">
        <v>376.9</v>
      </c>
      <c r="E5" s="38" t="n">
        <v>426.54</v>
      </c>
      <c r="F5" s="38" t="n">
        <v>492.73</v>
      </c>
    </row>
    <row r="6">
      <c r="A6" s="36" t="inlineStr">
        <is>
          <t>8.0%</t>
        </is>
      </c>
      <c r="B6" s="39" t="n">
        <v>251.95</v>
      </c>
      <c r="C6" s="37" t="n">
        <v>272.24</v>
      </c>
      <c r="D6" s="37" t="n">
        <v>296.59</v>
      </c>
      <c r="E6" s="37" t="n">
        <v>326.35</v>
      </c>
      <c r="F6" s="38" t="n">
        <v>363.54</v>
      </c>
    </row>
    <row r="7">
      <c r="A7" s="36" t="inlineStr">
        <is>
          <t>9.0%</t>
        </is>
      </c>
      <c r="B7" s="39" t="n">
        <v>212.5</v>
      </c>
      <c r="C7" s="39" t="n">
        <v>226.68</v>
      </c>
      <c r="D7" s="39" t="n">
        <v>243.23</v>
      </c>
      <c r="E7" s="39" t="n">
        <v>262.78</v>
      </c>
      <c r="F7" s="37" t="n">
        <v>286.25</v>
      </c>
    </row>
    <row r="8">
      <c r="A8" s="36" t="inlineStr">
        <is>
          <t>10.0%</t>
        </is>
      </c>
      <c r="B8" s="40" t="n">
        <v>183.05</v>
      </c>
      <c r="C8" s="40" t="n">
        <v>193.42</v>
      </c>
      <c r="D8" s="39" t="n">
        <v>205.27</v>
      </c>
      <c r="E8" s="39" t="n">
        <v>218.94</v>
      </c>
      <c r="F8" s="39" t="n">
        <v>234.89</v>
      </c>
    </row>
    <row r="9">
      <c r="A9" s="36" t="inlineStr">
        <is>
          <t>11.0%</t>
        </is>
      </c>
      <c r="B9" s="40" t="n">
        <v>160.25</v>
      </c>
      <c r="C9" s="40" t="n">
        <v>168.1</v>
      </c>
      <c r="D9" s="40" t="n">
        <v>176.92</v>
      </c>
      <c r="E9" s="40" t="n">
        <v>186.92</v>
      </c>
      <c r="F9" s="40" t="n">
        <v>198.35</v>
      </c>
    </row>
    <row r="11">
      <c r="A11" s="41" t="inlineStr">
        <is>
          <t>Colour Key:</t>
        </is>
      </c>
    </row>
    <row r="12">
      <c r="A12" s="42" t="inlineStr">
        <is>
          <t>≥ $346 — Above current price (market already pricing this in)</t>
        </is>
      </c>
      <c r="B12" s="4" t="n"/>
      <c r="C12" s="4" t="n"/>
      <c r="D12" s="4" t="n"/>
      <c r="E12" s="4" t="n"/>
      <c r="F12" s="5" t="n"/>
    </row>
    <row r="13">
      <c r="A13" s="43" t="inlineStr">
        <is>
          <t>$267–$346 — Between base IV and current price</t>
        </is>
      </c>
      <c r="B13" s="4" t="n"/>
      <c r="C13" s="4" t="n"/>
      <c r="D13" s="4" t="n"/>
      <c r="E13" s="4" t="n"/>
      <c r="F13" s="5" t="n"/>
    </row>
    <row r="14">
      <c r="A14" s="44" t="inlineStr">
        <is>
          <t>$200–$267 — Discount to base IV</t>
        </is>
      </c>
      <c r="B14" s="4" t="n"/>
      <c r="C14" s="4" t="n"/>
      <c r="D14" s="4" t="n"/>
      <c r="E14" s="4" t="n"/>
      <c r="F14" s="5" t="n"/>
    </row>
    <row r="15">
      <c r="A15" s="45" t="inlineStr">
        <is>
          <t>&lt; $200 — Deep discount / Bear territory</t>
        </is>
      </c>
      <c r="B15" s="4" t="n"/>
      <c r="C15" s="4" t="n"/>
      <c r="D15" s="4" t="n"/>
      <c r="E15" s="4" t="n"/>
      <c r="F15" s="5" t="n"/>
    </row>
    <row r="17" ht="44" customHeight="1">
      <c r="A17" s="23" t="inlineStr">
        <is>
          <t>Base case (WACC 8.5%, TG 3.0%) yields $267.46 — highlighted in the table at the intersection of WACC 9% / TG 3.0% (nearest grid point). Market price of $346 is exceeded only at WACC 7-8% with TG 3.5-4.0%, suggesting the market is pricing in a bull-case or option-value scenario (e.g., Waymo ~$9/share in embedded value, Gemini AI platform upside not captured in near-term FCF).</t>
        </is>
      </c>
    </row>
  </sheetData>
  <mergeCells count="7">
    <mergeCell ref="A2:F2"/>
    <mergeCell ref="A13:F13"/>
    <mergeCell ref="A14:F14"/>
    <mergeCell ref="A1:F1"/>
    <mergeCell ref="A17:F17"/>
    <mergeCell ref="A12:F12"/>
    <mergeCell ref="A15:F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26" customHeight="1">
      <c r="A1" s="35" t="inlineStr">
        <is>
          <t>GOOG — Historical Financials &amp; Growth Rates</t>
        </is>
      </c>
    </row>
    <row r="3">
      <c r="A3" s="3" t="inlineStr">
        <is>
          <t>CAGR SUMMARY</t>
        </is>
      </c>
      <c r="B3" s="4" t="n"/>
      <c r="C3" s="5" t="n"/>
    </row>
    <row r="4">
      <c r="A4" s="11" t="inlineStr">
        <is>
          <t>Metric</t>
        </is>
      </c>
      <c r="B4" s="12" t="inlineStr">
        <is>
          <t>3-Year CAGR (FY22→FY25)</t>
        </is>
      </c>
      <c r="C4" s="12" t="inlineStr">
        <is>
          <t>Multi-Year CAGR</t>
        </is>
      </c>
      <c r="D4" s="12" t="inlineStr">
        <is>
          <t>Period / Note</t>
        </is>
      </c>
    </row>
    <row r="5">
      <c r="A5" s="46" t="inlineStr">
        <is>
          <t>Revenue</t>
        </is>
      </c>
      <c r="B5" s="47" t="n">
        <v>0.1251</v>
      </c>
      <c r="C5" s="47" t="n">
        <v>0.1715</v>
      </c>
      <c r="D5" s="48" t="inlineStr">
        <is>
          <t>5yr FY20→FY25</t>
        </is>
      </c>
    </row>
    <row r="6">
      <c r="A6" s="46" t="inlineStr">
        <is>
          <t>EPS</t>
        </is>
      </c>
      <c r="B6" s="47" t="n">
        <v>0.3277</v>
      </c>
      <c r="C6" s="47" t="n">
        <v>0.2968</v>
      </c>
      <c r="D6" s="48" t="inlineStr">
        <is>
          <t>5yr FY20→FY25 (buyback-inflated)</t>
        </is>
      </c>
    </row>
    <row r="7">
      <c r="A7" s="46" t="inlineStr">
        <is>
          <t>Shareholders Equity</t>
        </is>
      </c>
      <c r="B7" s="47" t="n">
        <v>0.1748</v>
      </c>
      <c r="C7" s="47" t="n">
        <v>0.1329</v>
      </c>
      <c r="D7" s="48" t="inlineStr">
        <is>
          <t>5yr FY20→FY25</t>
        </is>
      </c>
    </row>
    <row r="8">
      <c r="A8" s="46" t="inlineStr">
        <is>
          <t>Free Cash Flow</t>
        </is>
      </c>
      <c r="B8" s="47" t="n">
        <v>0.0688</v>
      </c>
      <c r="C8" s="47" t="n">
        <v>0.0226</v>
      </c>
      <c r="D8" s="48" t="inlineStr">
        <is>
          <t>4yr FY21→FY25 (AI capex depressed)</t>
        </is>
      </c>
    </row>
    <row r="10" ht="30" customHeight="1">
      <c r="A10" s="49" t="inlineStr">
        <is>
          <t>SELECTED: Revenue 3yr CAGR 12.5% — used as primary growth anchor. FCF CAGR (6.9%) understates business growth due to AI capex ramp. EPS CAGR (32.8%) overstates due to $70B+/yr buybacks. Projections model FCF explicitly as OCF growth minus absolute CapEx.</t>
        </is>
      </c>
    </row>
    <row r="12">
      <c r="A12" s="3" t="inlineStr">
        <is>
          <t>KEY HISTORICAL FINANCIALS ($M)</t>
        </is>
      </c>
      <c r="B12" s="4" t="n"/>
      <c r="C12" s="4" t="n"/>
      <c r="D12" s="4" t="n"/>
      <c r="E12" s="4" t="n"/>
      <c r="F12" s="5" t="n"/>
    </row>
    <row r="13">
      <c r="A13" s="11" t="inlineStr">
        <is>
          <t>Metric</t>
        </is>
      </c>
      <c r="B13" s="12" t="inlineStr">
        <is>
          <t>FY2021</t>
        </is>
      </c>
      <c r="C13" s="12" t="inlineStr">
        <is>
          <t>FY2022</t>
        </is>
      </c>
      <c r="D13" s="12" t="inlineStr">
        <is>
          <t>FY2023</t>
        </is>
      </c>
      <c r="E13" s="12" t="inlineStr">
        <is>
          <t>FY2024</t>
        </is>
      </c>
      <c r="F13" s="12" t="inlineStr">
        <is>
          <t>FY2025</t>
        </is>
      </c>
    </row>
    <row r="14">
      <c r="A14" s="46" t="inlineStr">
        <is>
          <t>Revenue ($M)</t>
        </is>
      </c>
      <c r="B14" s="50" t="n">
        <v>257637</v>
      </c>
      <c r="C14" s="50" t="n">
        <v>282836</v>
      </c>
      <c r="D14" s="50" t="n">
        <v>307394</v>
      </c>
      <c r="E14" s="50" t="n">
        <v>350018</v>
      </c>
      <c r="F14" s="50" t="n">
        <v>402836</v>
      </c>
    </row>
    <row r="15">
      <c r="A15" s="46" t="inlineStr">
        <is>
          <t>Operating Income ($M)</t>
        </is>
      </c>
      <c r="B15" s="51" t="n">
        <v>78714</v>
      </c>
      <c r="C15" s="51" t="n">
        <v>74842</v>
      </c>
      <c r="D15" s="51" t="n">
        <v>84293</v>
      </c>
      <c r="E15" s="51" t="n">
        <v>112390</v>
      </c>
      <c r="F15" s="51" t="n">
        <v>129039</v>
      </c>
    </row>
    <row r="16">
      <c r="A16" s="46" t="inlineStr">
        <is>
          <t>Net Income ($M)</t>
        </is>
      </c>
      <c r="B16" s="50" t="n">
        <v>76033</v>
      </c>
      <c r="C16" s="50" t="n">
        <v>59972</v>
      </c>
      <c r="D16" s="50" t="n">
        <v>73795</v>
      </c>
      <c r="E16" s="50" t="n">
        <v>100118</v>
      </c>
      <c r="F16" s="50" t="n">
        <v>132170</v>
      </c>
    </row>
    <row r="17">
      <c r="A17" s="46" t="inlineStr">
        <is>
          <t>Operating Cash Flow</t>
        </is>
      </c>
      <c r="B17" s="51" t="n">
        <v>91652</v>
      </c>
      <c r="C17" s="51" t="n">
        <v>91495</v>
      </c>
      <c r="D17" s="51" t="n">
        <v>101746</v>
      </c>
      <c r="E17" s="51" t="n">
        <v>125299</v>
      </c>
      <c r="F17" s="51" t="n">
        <v>164713</v>
      </c>
    </row>
    <row r="18">
      <c r="A18" s="46" t="inlineStr">
        <is>
          <t>Capital Expenditure</t>
        </is>
      </c>
      <c r="B18" s="50" t="n">
        <v>24640</v>
      </c>
      <c r="C18" s="50" t="n">
        <v>31485</v>
      </c>
      <c r="D18" s="50" t="n">
        <v>32251</v>
      </c>
      <c r="E18" s="50" t="n">
        <v>52535</v>
      </c>
      <c r="F18" s="50" t="n">
        <v>91447</v>
      </c>
    </row>
    <row r="19">
      <c r="A19" s="46" t="inlineStr">
        <is>
          <t>Free Cash Flow ($M)</t>
        </is>
      </c>
      <c r="B19" s="51" t="n">
        <v>67012</v>
      </c>
      <c r="C19" s="51" t="n">
        <v>60010</v>
      </c>
      <c r="D19" s="51" t="n">
        <v>69495</v>
      </c>
      <c r="E19" s="51" t="n">
        <v>72764</v>
      </c>
      <c r="F19" s="51" t="n">
        <v>73266</v>
      </c>
    </row>
    <row r="20">
      <c r="A20" s="46" t="inlineStr">
        <is>
          <t>CapEx / Revenue</t>
        </is>
      </c>
      <c r="B20" s="52" t="n">
        <v>0.0956</v>
      </c>
      <c r="C20" s="52" t="n">
        <v>0.1113</v>
      </c>
      <c r="D20" s="52" t="n">
        <v>0.1048</v>
      </c>
      <c r="E20" s="52" t="n">
        <v>0.1501</v>
      </c>
      <c r="F20" s="52" t="n">
        <v>0.227</v>
      </c>
    </row>
    <row r="21">
      <c r="A21" s="46" t="inlineStr">
        <is>
          <t>FCF Margin (%)</t>
        </is>
      </c>
      <c r="B21" s="53" t="n">
        <v>0.2601</v>
      </c>
      <c r="C21" s="53" t="n">
        <v>0.2122</v>
      </c>
      <c r="D21" s="53" t="n">
        <v>0.2261</v>
      </c>
      <c r="E21" s="53" t="n">
        <v>0.2079</v>
      </c>
      <c r="F21" s="53" t="n">
        <v>0.1818</v>
      </c>
    </row>
    <row r="22">
      <c r="A22" s="46" t="inlineStr">
        <is>
          <t>Shareholders Equity</t>
        </is>
      </c>
      <c r="B22" s="50" t="n">
        <v>251635</v>
      </c>
      <c r="C22" s="50" t="n">
        <v>256144</v>
      </c>
      <c r="D22" s="50" t="n">
        <v>283379</v>
      </c>
      <c r="E22" s="50" t="n">
        <v>325084</v>
      </c>
      <c r="F22" s="50" t="n">
        <v>415265</v>
      </c>
    </row>
    <row r="23">
      <c r="A23" s="46" t="inlineStr">
        <is>
          <t>EPS (post-split)</t>
        </is>
      </c>
      <c r="B23" s="54" t="n">
        <v>5.74</v>
      </c>
      <c r="C23" s="54" t="n">
        <v>4.67</v>
      </c>
      <c r="D23" s="54" t="n">
        <v>5.92</v>
      </c>
      <c r="E23" s="54" t="n">
        <v>8.199999999999999</v>
      </c>
      <c r="F23" s="54" t="n">
        <v>10.93</v>
      </c>
    </row>
  </sheetData>
  <mergeCells count="4">
    <mergeCell ref="A3:C3"/>
    <mergeCell ref="A1:F1"/>
    <mergeCell ref="A12:F12"/>
    <mergeCell ref="A10:F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 ht="26" customHeight="1">
      <c r="A1" s="35" t="inlineStr">
        <is>
          <t>GOOG — Sanity Check: Implied Multiples vs. History</t>
        </is>
      </c>
    </row>
    <row r="3">
      <c r="A3" s="55" t="inlineStr">
        <is>
          <t>PRE-FIX MODEL (v1) — TRIPPED SANITY CHECK</t>
        </is>
      </c>
      <c r="B3" s="4" t="n"/>
      <c r="C3" s="4" t="n"/>
      <c r="D3" s="5" t="n"/>
    </row>
    <row r="4">
      <c r="A4" s="11" t="inlineStr">
        <is>
          <t>Multiple</t>
        </is>
      </c>
      <c r="B4" s="12" t="inlineStr">
        <is>
          <t>Pre-Fix (IV $193.85)</t>
        </is>
      </c>
      <c r="C4" s="12" t="inlineStr">
        <is>
          <t>Historical Avg</t>
        </is>
      </c>
      <c r="D4" s="12" t="inlineStr">
        <is>
          <t>Historical Trough</t>
        </is>
      </c>
    </row>
    <row r="5">
      <c r="A5" s="17" t="inlineStr">
        <is>
          <t>P/E</t>
        </is>
      </c>
      <c r="B5" s="56" t="n">
        <v>17.7</v>
      </c>
      <c r="C5" s="57" t="n">
        <v>28.4</v>
      </c>
      <c r="D5" s="57" t="n">
        <v>19</v>
      </c>
    </row>
    <row r="6">
      <c r="A6" s="17" t="inlineStr">
        <is>
          <t>P/B</t>
        </is>
      </c>
      <c r="B6" s="56" t="n">
        <v>5.65</v>
      </c>
      <c r="C6" s="57" t="n">
        <v>5.71</v>
      </c>
      <c r="D6" s="57" t="inlineStr">
        <is>
          <t>N/A</t>
        </is>
      </c>
    </row>
    <row r="7">
      <c r="A7" s="17" t="inlineStr">
        <is>
          <t>EV/EBITDA</t>
        </is>
      </c>
      <c r="B7" s="58" t="n">
        <v>13.7</v>
      </c>
      <c r="C7" s="57" t="n">
        <v>19.6</v>
      </c>
      <c r="D7" s="57" t="n">
        <v>12.6</v>
      </c>
    </row>
    <row r="9" ht="36" customHeight="1">
      <c r="A9" s="41" t="inlineStr">
        <is>
          <t>Trip Reason:</t>
        </is>
      </c>
      <c r="B9" s="59" t="inlineStr">
        <is>
          <t>Implied P/E of 17.7x is BELOW Alphabet's 10-year trough P/E of 19.0x (FY2022 ad-recession low) — no plausible non-catastrophic scenario justifies a sub-trough multiple; Implied EV/EBITDA of 13.7x vs 10-year average 19.6x and trough 12.6x — barely above the all-time low with no recession assumed</t>
        </is>
      </c>
    </row>
    <row r="11">
      <c r="A11" s="60" t="inlineStr">
        <is>
          <t>POST-FIX MODEL (v2) — SANITY CHECK PASSED</t>
        </is>
      </c>
      <c r="B11" s="4" t="n"/>
      <c r="C11" s="4" t="n"/>
      <c r="D11" s="5" t="n"/>
    </row>
    <row r="12">
      <c r="A12" s="11" t="inlineStr">
        <is>
          <t>Multiple</t>
        </is>
      </c>
      <c r="B12" s="12" t="inlineStr">
        <is>
          <t>Post-Fix (IV $267.46)</t>
        </is>
      </c>
      <c r="C12" s="12" t="inlineStr">
        <is>
          <t>Historical Avg</t>
        </is>
      </c>
      <c r="D12" s="12" t="inlineStr">
        <is>
          <t>Historical Trough / Range</t>
        </is>
      </c>
    </row>
    <row r="13">
      <c r="A13" s="27" t="inlineStr">
        <is>
          <t>P/E</t>
        </is>
      </c>
      <c r="B13" s="61" t="n">
        <v>24.5</v>
      </c>
      <c r="C13" s="62" t="n">
        <v>28.4</v>
      </c>
      <c r="D13" s="62" t="inlineStr">
        <is>
          <t>Trough 19.0x (2022)</t>
        </is>
      </c>
    </row>
    <row r="14">
      <c r="A14" s="27" t="inlineStr">
        <is>
          <t>P/B</t>
        </is>
      </c>
      <c r="B14" s="61" t="n">
        <v>7.79</v>
      </c>
      <c r="C14" s="62" t="n">
        <v>5.71</v>
      </c>
      <c r="D14" s="62" t="inlineStr">
        <is>
          <t>Max 9.13x</t>
        </is>
      </c>
    </row>
    <row r="15">
      <c r="A15" s="27" t="inlineStr">
        <is>
          <t>EV/EBITDA</t>
        </is>
      </c>
      <c r="B15" s="61" t="n">
        <v>19.2</v>
      </c>
      <c r="C15" s="62" t="n">
        <v>19.6</v>
      </c>
      <c r="D15" s="62" t="inlineStr">
        <is>
          <t>Trough 12.6x (2022)</t>
        </is>
      </c>
    </row>
    <row r="17" ht="48" customHeight="1">
      <c r="A17" s="41" t="inlineStr">
        <is>
          <t>Diagnosis:</t>
        </is>
      </c>
      <c r="B17" s="63" t="inlineStr">
        <is>
          <t>Two compounding model errors: (1) Original FCF path front-loaded the full $185-200B capex with insufficient offsetting OCF growth, yielding Y1 FCF of only $8B. In reality Q1 2026 OCF was $45.8B (annualizing to ~$183B), making $8B full-year FCF mathematically inconsistent with observable data. (2) WACC of 9.5% was too punitive for a net-cash mega-cap with ~1.0 beta — appropriate for a higher-risk growth company but not for Alphabet's balance sheet and cash flow profile.</t>
        </is>
      </c>
    </row>
    <row r="19" ht="28" customHeight="1">
      <c r="A19" s="41" t="inlineStr">
        <is>
          <t>Fixes Applied:</t>
        </is>
      </c>
      <c r="B19" s="64" t="inlineStr">
        <is>
          <t>• Smoothed FCF path: OCF grown at +30% in Y1 (consistent with Q1 2026 $183B annualized run-rate), trough FCF now $29B Y1 and $51B Y2</t>
        </is>
      </c>
    </row>
    <row r="20" ht="28" customHeight="1">
      <c r="B20" s="64" t="inlineStr">
        <is>
          <t>• WACC reduced from 9.5% to 8.5% — retains 0.5% premium for antitrust and AI-execution risks above mega-cap baseline</t>
        </is>
      </c>
    </row>
    <row r="21" ht="28" customHeight="1">
      <c r="B21" s="64" t="inlineStr">
        <is>
          <t>• Added exit-multiple cap: terminal value = min(Gordon growth TV, scenario EV/EBITDA multiple x Y5 EBITDA). Base 18x, Bull 20x, Bear 14x — anchors terminal value to historical ranges</t>
        </is>
      </c>
    </row>
    <row r="22" ht="28" customHeight="1">
      <c r="B22" s="64" t="inlineStr">
        <is>
          <t>• Net cash updated to $70B (cash $30.7B + ~$64.3B non-current marketable securities net of $25B LTD)</t>
        </is>
      </c>
    </row>
  </sheetData>
  <mergeCells count="9">
    <mergeCell ref="A1:D1"/>
    <mergeCell ref="B19:D19"/>
    <mergeCell ref="B22:D22"/>
    <mergeCell ref="A3:D3"/>
    <mergeCell ref="B17:D17"/>
    <mergeCell ref="B9:D9"/>
    <mergeCell ref="B21:D21"/>
    <mergeCell ref="A11:D11"/>
    <mergeCell ref="B20:D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2026-06-24T03:26:58Z</dcterms:created>
  <dcterms:modified xsi:type="dcterms:W3CDTF">2026-06-24T03:26:58Z</dcterms:modified>
</cp:coreProperties>
</file>