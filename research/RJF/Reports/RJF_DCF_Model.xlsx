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<sst xmlns="http://schemas.openxmlformats.org/spreadsheetml/2006/main" count="387" uniqueCount="175">
  <si>
    <t xml:space="preserve">Ticker</t>
  </si>
  <si>
    <t xml:space="preserve">RJF</t>
  </si>
  <si>
    <t xml:space="preserve">Company</t>
  </si>
  <si>
    <t xml:space="preserve">Raymond James Financial,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</si>
  <si>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</si>
  <si>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</si>
  <si>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</si>
  <si>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</si>
  <si>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2026-10-01T20:02:43Z regular close (Yahoo chart API)</t>
  </si>
  <si>
    <t xml:space="preserve">Balance sheet date</t>
  </si>
  <si>
    <t xml:space="preserve">2026-06-30</t>
  </si>
  <si>
    <t xml:space="preserve">Model</t>
  </si>
  <si>
    <t xml:space="preserve">Bank FCFE at cost of equity on tangible book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</si>
  <si>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</si>
  <si>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</si>
  <si>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</si>
  <si>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</si>
  <si>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</si>
  <si>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</si>
  <si>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</si>
  <si>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</si>
  <si>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2026-10-02T07:57:22Z</t>
  </si>
  <si>
    <t xml:space="preserve">Drivers file</t>
  </si>
  <si>
    <t xml:space="preserve">RJF_Drivers.json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</si>
  <si>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</si>
  <si>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</si>
  <si>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</si>
  <si>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RJF is valued as distributable equity cash flow - net income less the capital needed to grow the bank balance sheet and buy bolt-ons - discounted at a 9.75% USD cost of equity, with no net-debt deduction because every funding cost (deposits, FHLB, senior notes) is already inside net revenues. The engine's 'EBITDA', 'D&amp;A' and 'capex' fields are a mapping device: EBITDA - SBC - D&amp;A = pretax income, and capex in excess of D&amp;A = retained capital. The valuation deliberately does not add the capital RJF holds above its regulatory targets or the parent's surplus cash, which is conservative by roughly $1-2B (~$5-10/share); it also does not add back acquired-intangible amortisation, which management's 'adjusted' EPS does.
key_risks_to_valuation: Rate path: NII + RJBDP fees are a large share of pretax income; each further 25bp Fed cut compresses them, and cash sorting into money funds shrinks the sweep base itself; Market levels: fee-based PCG and asset-management revenue bill on client assets, so a 20-25% equity drawdown flows through to revenue within one to two quarters (the bear case); Capital-markets cyclicality: M&amp;A advisory and underwriting can swing segment pretax income by several hundred million dollars year to year; Recruiting economics: forgivable loans and transition packages for recruited teams are capital-intensive; if recruited assets underperform the k=0.5 retention assumption is too low; Credit: the bank's CRE, corporate and SBL loan books are the source of loss risk in a recession; FY2023 provisions were $292M; Exit multiple: 14x FCFE (~12x terminal net income) in the base; RJF's own trailing P/E has ranged ~10-17x, so the terminal value is sensitive to where in that range the market prices a mature RJF</t>
  </si>
  <si>
    <t xml:space="preserve">Data sources</t>
  </si>
  <si>
    <t xml:space="preserve">price: Yahoo Finance chart API at inputs.price_as_of; 52-week range 138.82-182.73
financials: SEC XBRL companyfacts (CIK 720005): RevenuesNetOfInterestExpense, NoninterestExpense, IncomeTaxExpenseBenefit, NetIncomeLoss, ShareBasedCompensation, StockRepurchasedDuringPeriodValue, PaymentsOfOrdinaryDividends, SeniorNotes, OtherBorrowings, Deposits, StockholdersEquity, IntangibleAssetsNetIncludingGoodwill, MinorityInterest, PreferredStockValue, DepreciationAmortizationAndAccretionNet, PaymentsToAcquirePropertyPlantAndEquipment, dei:EntityCommonStockSharesOutstanding; research/RJF/Reports/RJF_Metrics.csv for EPS and equity history
qualitative: research/RJF/Reports/RJF_Analysis.json (2026-10-02): Q3-FY2026 results, NII/RJBDP guidance, Clark Capital acquisition, recruiting, dividend increase, sell-side targets</t>
  </si>
  <si>
    <t xml:space="preserve">Scenario narrative: bear</t>
  </si>
  <si>
    <t xml:space="preserve">A ~25% equity drawdown in FY2027 hits asset-based fees immediately, further Fed cuts plus cash sorting cut NII/RJBDP by about a fifth, capital markets returns to trough, and credit provisions rise in the bank's CRE and corporate books: net revenue falls 6% and the pretax margin drops to ~16.7% on a sticky payout and technology cost base. Recovery is to 5% growth and an 18% margin, all growth requires proportional capital (0.65x), and the exit multiple de-rates to 12x FCFE.</t>
  </si>
  <si>
    <t xml:space="preserve">Scenario narrative: base</t>
  </si>
  <si>
    <t xml:space="preserve">Raymond James' value turns on three things: (1) client assets under administration (~$1.92T at Jun-2026) compounding through market appreciation plus net new assets from the hybrid employee/independent recruiting model, which drives PCG and asset-management fees (~80% of net revenue); (2) net interest income and RJBDP sweep fees, which ballooned with the 2022-24 rate cycle and are now being compressed by 125bps of cuts and cash sorting - management guides only ~+1% sequential; (3) the pretax margin, which sits at 19.2% and which the base case lets reach management's 20% target by FY2031. Net revenues grow 7% in FY2027-28 (Clark Capital full-year, recruiting, market drift offset by NII drag), tapering to 4% by FY2035-36. About three-quarters of earnings is distributed via the $0.54 quarterly dividend and buybacks; the rest funds bank balance-sheet growth and bolt-on deals. Exit at 14x FCFE.</t>
  </si>
  <si>
    <t xml:space="preserve">Scenario narrative: bull</t>
  </si>
  <si>
    <t xml:space="preserve">Recruiting accelerates (wirehouse breakaways and independent-channel consolidation keep sending multi-billion-dollar teams), markets compound, and the M&amp;A/underwriting cycle recovers with lower rates, taking net revenue growth to ~10% in FY2027 and keeping it above 8% through FY2030. Operating leverage and AI-driven advisor productivity push the pretax margin to 22% by FY2031. Capital-light fee growth means only 0.4x growth is retained; exit at 15x FCFE.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</si>
  <si>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</si>
  <si>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</si>
  <si>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</si>
  <si>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</si>
  <si>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</si>
  <si>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</si>
  <si>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</si>
  <si>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</si>
  <si>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</si>
  <si>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</si>
  <si>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</si>
  <si>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</si>
  <si>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</si>
  <si>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</si>
  <si>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</si>
  <si>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</si>
  <si>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</si>
  <si>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</si>
  <si>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</si>
  <si>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</si>
  <si>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</si>
  <si>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</si>
  <si>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</si>
  <si>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</si>
  <si>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</si>
  <si>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</si>
  <si>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</si>
  <si>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</si>
  <si>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</si>
  <si>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</si>
  <si>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</si>
  <si>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</si>
  <si>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</si>
  <si>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</si>
  <si>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</si>
  <si>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</si>
  <si>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</si>
  <si>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</si>
  <si>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</si>
  <si>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</si>
  <si>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</si>
  <si>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</si>
  <si>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</si>
  <si>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</si>
  <si>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</si>
  <si>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</si>
  <si>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</si>
  <si>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</si>
  <si>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</si>
  <si>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</si>
  <si>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</si>
  <si>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</si>
  <si>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</si>
  <si>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</si>
  <si>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</si>
  <si>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</si>
  <si>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</si>
  <si>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</si>
  <si>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</si>
  <si>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</si>
  <si>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</si>
  <si>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</si>
  <si>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</si>
  <si>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</si>
  <si>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</si>
  <si>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</si>
  <si>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</si>
  <si>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</si>
  <si>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</si>
  <si>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</si>
  <si>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</si>
  <si>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</si>
  <si>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</si>
  <si>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</si>
  <si>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</si>
  <si>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</si>
  <si>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</si>
  <si>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</si>
  <si>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</si>
  <si>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</si>
  <si>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</si>
  <si>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</si>
  <si>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</si>
  <si>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</si>
  <si>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RJF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</si>
  <si>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</si>
  <si>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</si>
  <si>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</si>
  <si>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</si>
  <si>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</si>
  <si>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</si>
  <si>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</si>
  <si>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</si>
  <si>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</si>
  <si>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</si>
  <si>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</si>
  <si>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</si>
  <si>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</si>
  <si>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</si>
  <si>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</si>
  <si>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</si>
  <si>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</si>
  <si>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</si>
  <si>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</si>
  <si>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</si>
  <si>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</si>
  <si>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</si>
  <si>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</si>
  <si>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</si>
  <si>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</si>
  <si>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</si>
  <si>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</si>
  <si>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</si>
  <si>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</si>
  <si>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</si>
  <si>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RJF owner-FCF component DCF: base case (millions, USD)</t>
  </si>
  <si>
    <t xml:space="preserve">RJF owner-FCF component DCF: bull case (millions, USD)</t>
  </si>
  <si>
    <t xml:space="preserve">RJF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</si>
  <si>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</si>
  <si>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</si>
  <si>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</si>
  <si>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</si>
  <si>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</si>
  <si>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</si>
  <si>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</si>
  <si>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</si>
  <si>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</si>
  <si>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</si>
  <si>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</si>
  <si>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</si>
  <si>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</si>
  <si>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</si>
  <si>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</si>
  <si>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9.75%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</si>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</sst>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159.76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644.943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3204.932</v>
      </c>
      <c r="I3" s="0" t="n">
        <v>235.078</v>
      </c>
      <c r="J3" s="0" t="n">
        <v>7.33488261217399</v>
      </c>
      <c r="K3" s="0" t="n">
        <v>1.95</v>
      </c>
      <c r="L3" s="0" t="n">
        <v>227.169</v>
      </c>
      <c r="M3" s="0" t="n">
        <v>51.043</v>
      </c>
      <c r="N3" s="0" t="n">
        <v>176.126</v>
      </c>
      <c r="S3" s="0" t="n">
        <v>3207.493</v>
      </c>
      <c r="T3" s="0" t="n">
        <v>117.14</v>
      </c>
      <c r="U3" s="0" t="n">
        <v>42.127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2602.519</v>
      </c>
      <c r="I4" s="0" t="n">
        <v>152.75</v>
      </c>
      <c r="J4" s="0" t="n">
        <v>5.86931353815284</v>
      </c>
      <c r="K4" s="0" t="n">
        <v>1.25</v>
      </c>
      <c r="L4" s="0" t="n">
        <v>374.159</v>
      </c>
      <c r="M4" s="0" t="n">
        <v>35.539</v>
      </c>
      <c r="N4" s="0" t="n">
        <v>338.62</v>
      </c>
      <c r="O4" s="0" t="n">
        <v>2233.139</v>
      </c>
      <c r="P4" s="0" t="n">
        <v>18226.728</v>
      </c>
      <c r="Q4" s="0" t="n">
        <v>15993.589</v>
      </c>
      <c r="S4" s="0" t="n">
        <v>2306.085</v>
      </c>
      <c r="T4" s="0" t="n">
        <v>117.288</v>
      </c>
      <c r="U4" s="0" t="n">
        <v>31.746</v>
      </c>
      <c r="V4" s="0" t="n">
        <v>0.44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2979.516</v>
      </c>
      <c r="I5" s="0" t="n">
        <v>228.283</v>
      </c>
      <c r="J5" s="0" t="n">
        <v>7.6617477469495</v>
      </c>
      <c r="K5" s="0" t="n">
        <v>1.83</v>
      </c>
      <c r="L5" s="0" t="n">
        <v>-1021.393</v>
      </c>
      <c r="M5" s="0" t="n">
        <v>22.287</v>
      </c>
      <c r="N5" s="0" t="n">
        <v>-1043.68</v>
      </c>
      <c r="O5" s="0" t="n">
        <v>2596.868</v>
      </c>
      <c r="P5" s="0" t="n">
        <v>17883.081</v>
      </c>
      <c r="Q5" s="0" t="n">
        <v>15286.213</v>
      </c>
      <c r="R5" s="0" t="n">
        <v>355.964</v>
      </c>
      <c r="S5" s="0" t="n">
        <v>2943.239</v>
      </c>
      <c r="T5" s="0" t="n">
        <v>119.592</v>
      </c>
      <c r="U5" s="0" t="n">
        <v>41.845</v>
      </c>
      <c r="V5" s="0" t="n">
        <v>0.44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3399.886</v>
      </c>
      <c r="I6" s="0" t="n">
        <v>278.353</v>
      </c>
      <c r="J6" s="0" t="n">
        <v>8.18712745074394</v>
      </c>
      <c r="K6" s="0" t="n">
        <v>2.2</v>
      </c>
      <c r="L6" s="0" t="n">
        <v>1558.441</v>
      </c>
      <c r="M6" s="0" t="n">
        <v>37.2</v>
      </c>
      <c r="N6" s="0" t="n">
        <v>1521.241</v>
      </c>
      <c r="O6" s="0" t="n">
        <v>2911.845</v>
      </c>
      <c r="P6" s="0" t="n">
        <v>18006.995</v>
      </c>
      <c r="Q6" s="0" t="n">
        <v>15095.15</v>
      </c>
      <c r="S6" s="0" t="n">
        <v>2439.695</v>
      </c>
      <c r="T6" s="0" t="n">
        <v>122.836</v>
      </c>
      <c r="U6" s="0" t="n">
        <v>40.978</v>
      </c>
      <c r="V6" s="0" t="n">
        <v>0.52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3897.9</v>
      </c>
      <c r="I7" s="0" t="n">
        <v>295.869</v>
      </c>
      <c r="J7" s="0" t="n">
        <v>7.59047179250366</v>
      </c>
      <c r="K7" s="0" t="n">
        <v>2.22</v>
      </c>
      <c r="L7" s="0" t="n">
        <v>391.289</v>
      </c>
      <c r="M7" s="0" t="n">
        <v>77.515</v>
      </c>
      <c r="N7" s="0" t="n">
        <v>313.774</v>
      </c>
      <c r="O7" s="0" t="n">
        <v>3680.282</v>
      </c>
      <c r="P7" s="0" t="n">
        <v>21160.265</v>
      </c>
      <c r="Q7" s="0" t="n">
        <v>17479.983</v>
      </c>
      <c r="S7" s="0" t="n">
        <v>1980.02</v>
      </c>
      <c r="T7" s="0" t="n">
        <v>131.791</v>
      </c>
      <c r="U7" s="0" t="n">
        <v>55.729</v>
      </c>
      <c r="V7" s="0" t="n">
        <v>0.52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4595.798</v>
      </c>
      <c r="I8" s="0" t="n">
        <v>396.877</v>
      </c>
      <c r="J8" s="0" t="n">
        <v>8.63564934751267</v>
      </c>
      <c r="K8" s="0" t="n">
        <v>2.64</v>
      </c>
      <c r="M8" s="0" t="n">
        <v>72.879</v>
      </c>
      <c r="O8" s="0" t="n">
        <v>3998.337</v>
      </c>
      <c r="P8" s="0" t="n">
        <v>23186.122</v>
      </c>
      <c r="Q8" s="0" t="n">
        <v>19187.785</v>
      </c>
      <c r="R8" s="0" t="n">
        <v>1194.508</v>
      </c>
      <c r="S8" s="0" t="n">
        <v>2596.616</v>
      </c>
      <c r="T8" s="0" t="n">
        <v>140.541</v>
      </c>
      <c r="U8" s="0" t="n">
        <v>61.862</v>
      </c>
      <c r="V8" s="0" t="n">
        <v>0.56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4965.46</v>
      </c>
      <c r="I9" s="0" t="n">
        <v>480.248</v>
      </c>
      <c r="J9" s="0" t="n">
        <v>9.67177260515642</v>
      </c>
      <c r="K9" s="0" t="n">
        <v>3.41</v>
      </c>
      <c r="L9" s="0" t="n">
        <v>507.587</v>
      </c>
      <c r="M9" s="0" t="n">
        <v>60.149</v>
      </c>
      <c r="N9" s="0" t="n">
        <v>447.438</v>
      </c>
      <c r="O9" s="0" t="n">
        <v>4433.256</v>
      </c>
      <c r="P9" s="0" t="n">
        <v>23325.652</v>
      </c>
      <c r="Q9" s="0" t="n">
        <v>18892.396</v>
      </c>
      <c r="R9" s="0" t="n">
        <v>1190.836</v>
      </c>
      <c r="S9" s="0" t="n">
        <v>2199.063</v>
      </c>
      <c r="T9" s="0" t="n">
        <v>143.589</v>
      </c>
      <c r="U9" s="0" t="n">
        <v>69.609</v>
      </c>
      <c r="V9" s="0" t="n">
        <v>0.64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5309.68</v>
      </c>
      <c r="I10" s="0" t="n">
        <v>518.578</v>
      </c>
      <c r="J10" s="0" t="n">
        <v>9.76665260430007</v>
      </c>
      <c r="K10" s="0" t="n">
        <v>3.51</v>
      </c>
      <c r="L10" s="0" t="n">
        <v>898.694</v>
      </c>
      <c r="M10" s="0" t="n">
        <v>74.111</v>
      </c>
      <c r="N10" s="0" t="n">
        <v>824.583</v>
      </c>
      <c r="O10" s="0" t="n">
        <v>4678.935</v>
      </c>
      <c r="P10" s="0" t="n">
        <v>26468.032</v>
      </c>
      <c r="Q10" s="0" t="n">
        <v>21681.934</v>
      </c>
      <c r="S10" s="0" t="n">
        <v>2601.006</v>
      </c>
      <c r="T10" s="0" t="n">
        <v>145.939</v>
      </c>
      <c r="U10" s="0" t="n">
        <v>71.488</v>
      </c>
      <c r="V10" s="0" t="n">
        <v>0.72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5521.12</v>
      </c>
      <c r="I11" s="0" t="n">
        <v>540.651</v>
      </c>
      <c r="J11" s="0" t="n">
        <v>9.79241530703915</v>
      </c>
      <c r="K11" s="0" t="n">
        <v>3.72</v>
      </c>
      <c r="L11" s="0" t="n">
        <v>-573.318</v>
      </c>
      <c r="M11" s="0" t="n">
        <v>121.733</v>
      </c>
      <c r="N11" s="0" t="n">
        <v>-695.051</v>
      </c>
      <c r="O11" s="0" t="n">
        <v>5062.976</v>
      </c>
      <c r="P11" s="0" t="n">
        <v>31486.976</v>
      </c>
      <c r="Q11" s="0" t="n">
        <v>26424</v>
      </c>
      <c r="S11" s="0" t="n">
        <v>1650.452</v>
      </c>
      <c r="T11" s="0" t="n">
        <v>144.513</v>
      </c>
      <c r="U11" s="0" t="n">
        <v>78.528</v>
      </c>
      <c r="V11" s="0" t="n">
        <v>0.8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6525</v>
      </c>
      <c r="I12" s="0" t="n">
        <v>638.867</v>
      </c>
      <c r="J12" s="0" t="n">
        <v>9.79106513409962</v>
      </c>
      <c r="K12" s="0" t="n">
        <v>4.43</v>
      </c>
      <c r="L12" s="0" t="n">
        <v>-125</v>
      </c>
      <c r="M12" s="0" t="n">
        <v>190</v>
      </c>
      <c r="N12" s="0" t="n">
        <v>-315</v>
      </c>
      <c r="O12" s="0" t="n">
        <v>5694</v>
      </c>
      <c r="P12" s="0" t="n">
        <v>34883.456</v>
      </c>
      <c r="Q12" s="0" t="n">
        <v>29190.105</v>
      </c>
      <c r="S12" s="0" t="n">
        <v>3670</v>
      </c>
      <c r="T12" s="0" t="n">
        <v>146.6</v>
      </c>
      <c r="U12" s="0" t="n">
        <v>109</v>
      </c>
      <c r="V12" s="0" t="n">
        <v>0.88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7476</v>
      </c>
      <c r="I13" s="0" t="n">
        <v>857</v>
      </c>
      <c r="J13" s="0" t="n">
        <v>11.4633493846977</v>
      </c>
      <c r="K13" s="0" t="n">
        <v>5.89</v>
      </c>
      <c r="L13" s="0" t="n">
        <v>884</v>
      </c>
      <c r="M13" s="0" t="n">
        <v>134</v>
      </c>
      <c r="N13" s="0" t="n">
        <v>750</v>
      </c>
      <c r="O13" s="0" t="n">
        <v>6452</v>
      </c>
      <c r="P13" s="0" t="n">
        <v>37413</v>
      </c>
      <c r="Q13" s="0" t="n">
        <v>30961</v>
      </c>
      <c r="S13" s="0" t="n">
        <v>3500</v>
      </c>
      <c r="T13" s="0" t="n">
        <v>148.8</v>
      </c>
      <c r="U13" s="0" t="n">
        <v>99</v>
      </c>
      <c r="V13" s="0" t="n">
        <v>1.1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8023</v>
      </c>
      <c r="I14" s="0" t="n">
        <v>1034</v>
      </c>
      <c r="J14" s="0" t="n">
        <v>12.8879471519382</v>
      </c>
      <c r="K14" s="0" t="n">
        <v>4.88</v>
      </c>
      <c r="L14" s="0" t="n">
        <v>577</v>
      </c>
      <c r="M14" s="0" t="n">
        <v>138</v>
      </c>
      <c r="N14" s="0" t="n">
        <v>439</v>
      </c>
      <c r="O14" s="0" t="n">
        <v>6643</v>
      </c>
      <c r="P14" s="0" t="n">
        <v>38830</v>
      </c>
      <c r="Q14" s="0" t="n">
        <v>32187</v>
      </c>
      <c r="S14" s="0" t="n">
        <v>3957</v>
      </c>
      <c r="T14" s="0" t="n">
        <v>216</v>
      </c>
      <c r="U14" s="0" t="n">
        <v>112</v>
      </c>
      <c r="V14" s="0" t="n">
        <v>0.91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8168</v>
      </c>
      <c r="I15" s="0" t="n">
        <v>818</v>
      </c>
      <c r="J15" s="0" t="n">
        <v>10.0146914789422</v>
      </c>
      <c r="K15" s="0" t="n">
        <v>3.96</v>
      </c>
      <c r="L15" s="0" t="n">
        <v>4073</v>
      </c>
      <c r="M15" s="0" t="n">
        <v>124</v>
      </c>
      <c r="N15" s="0" t="n">
        <v>3949</v>
      </c>
      <c r="O15" s="0" t="n">
        <v>7176</v>
      </c>
      <c r="P15" s="0" t="n">
        <v>47482</v>
      </c>
      <c r="Q15" s="0" t="n">
        <v>40306</v>
      </c>
      <c r="S15" s="0" t="n">
        <v>5390</v>
      </c>
      <c r="T15" s="0" t="n">
        <v>204.9</v>
      </c>
      <c r="U15" s="0" t="n">
        <v>120</v>
      </c>
      <c r="V15" s="0" t="n">
        <v>0.99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9910</v>
      </c>
      <c r="I16" s="0" t="n">
        <v>1403</v>
      </c>
      <c r="J16" s="0" t="n">
        <v>14.1574167507568</v>
      </c>
      <c r="K16" s="0" t="n">
        <v>6.81</v>
      </c>
      <c r="L16" s="0" t="n">
        <v>6647</v>
      </c>
      <c r="M16" s="0" t="n">
        <v>74</v>
      </c>
      <c r="N16" s="0" t="n">
        <v>6573</v>
      </c>
      <c r="O16" s="0" t="n">
        <v>8303</v>
      </c>
      <c r="P16" s="0" t="n">
        <v>61891</v>
      </c>
      <c r="Q16" s="0" t="n">
        <v>53588</v>
      </c>
      <c r="R16" s="0" t="n">
        <v>8</v>
      </c>
      <c r="S16" s="0" t="n">
        <v>7201</v>
      </c>
      <c r="T16" s="0" t="n">
        <v>205.7</v>
      </c>
      <c r="U16" s="0" t="n">
        <v>132</v>
      </c>
      <c r="V16" s="0" t="n">
        <v>1.04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11308</v>
      </c>
      <c r="I17" s="0" t="n">
        <v>1509</v>
      </c>
      <c r="J17" s="0" t="n">
        <v>13.3445348425893</v>
      </c>
      <c r="K17" s="0" t="n">
        <v>7.16</v>
      </c>
      <c r="L17" s="0" t="n">
        <v>72</v>
      </c>
      <c r="M17" s="0" t="n">
        <v>91</v>
      </c>
      <c r="N17" s="0" t="n">
        <v>-19</v>
      </c>
      <c r="O17" s="0" t="n">
        <v>9432</v>
      </c>
      <c r="P17" s="0" t="n">
        <v>80951</v>
      </c>
      <c r="Q17" s="0" t="n">
        <v>71519</v>
      </c>
      <c r="R17" s="0" t="n">
        <v>1</v>
      </c>
      <c r="S17" s="0" t="n">
        <v>6178</v>
      </c>
      <c r="T17" s="0" t="n">
        <v>215.1</v>
      </c>
      <c r="U17" s="0" t="n">
        <v>192</v>
      </c>
      <c r="V17" s="0" t="n">
        <v>1.36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12992</v>
      </c>
      <c r="I18" s="0" t="n">
        <v>1739</v>
      </c>
      <c r="J18" s="0" t="n">
        <v>13.3851600985222</v>
      </c>
      <c r="K18" s="0" t="n">
        <v>8.16</v>
      </c>
      <c r="L18" s="0" t="n">
        <v>-3514</v>
      </c>
      <c r="M18" s="0" t="n">
        <v>173</v>
      </c>
      <c r="N18" s="0" t="n">
        <v>-3687</v>
      </c>
      <c r="O18" s="0" t="n">
        <v>10187</v>
      </c>
      <c r="P18" s="0" t="n">
        <v>78360</v>
      </c>
      <c r="Q18" s="0" t="n">
        <v>68173</v>
      </c>
      <c r="S18" s="0" t="n">
        <v>9313</v>
      </c>
      <c r="T18" s="0" t="n">
        <v>216.9</v>
      </c>
      <c r="U18" s="0" t="n">
        <v>237</v>
      </c>
      <c r="V18" s="0" t="n">
        <v>1.68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14923</v>
      </c>
      <c r="I19" s="0" t="n">
        <v>2068</v>
      </c>
      <c r="J19" s="0" t="n">
        <v>13.8578033907391</v>
      </c>
      <c r="K19" s="0" t="n">
        <v>9.94</v>
      </c>
      <c r="L19" s="0" t="n">
        <v>2155</v>
      </c>
      <c r="M19" s="0" t="n">
        <v>205</v>
      </c>
      <c r="N19" s="0" t="n">
        <v>1950</v>
      </c>
      <c r="O19" s="0" t="n">
        <v>11673</v>
      </c>
      <c r="P19" s="0" t="n">
        <v>82992</v>
      </c>
      <c r="Q19" s="0" t="n">
        <v>71325</v>
      </c>
      <c r="S19" s="0" t="n">
        <v>10998</v>
      </c>
      <c r="T19" s="0" t="n">
        <v>212.3</v>
      </c>
      <c r="U19" s="0" t="n">
        <v>254</v>
      </c>
      <c r="V19" s="0" t="n">
        <v>1.8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15912</v>
      </c>
      <c r="I20" s="0" t="n">
        <v>2135</v>
      </c>
      <c r="J20" s="0" t="n">
        <v>13.4175465057818</v>
      </c>
      <c r="K20" s="0" t="n">
        <v>10.53</v>
      </c>
      <c r="L20" s="0" t="n">
        <v>2434</v>
      </c>
      <c r="M20" s="0" t="n">
        <v>188</v>
      </c>
      <c r="N20" s="0" t="n">
        <v>2246</v>
      </c>
      <c r="O20" s="0" t="n">
        <v>12504</v>
      </c>
      <c r="P20" s="0" t="n">
        <v>88230</v>
      </c>
      <c r="Q20" s="0" t="n">
        <v>75726</v>
      </c>
      <c r="S20" s="0" t="n">
        <v>11389</v>
      </c>
      <c r="T20" s="0" t="n">
        <v>206.6</v>
      </c>
      <c r="U20" s="0" t="n">
        <v>254</v>
      </c>
      <c r="V20" s="0" t="n">
        <v>2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159.76</v>
      </c>
    </row>
    <row r="3" customFormat="false" ht="15" hidden="false" customHeight="false" outlineLevel="0" collapsed="false">
      <c r="A3" s="0" t="s">
        <v>85</v>
      </c>
      <c r="B3" s="3" t="n">
        <v>195.6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-84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15540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-6</v>
      </c>
      <c r="D13" s="3" t="n">
        <v>2</v>
      </c>
      <c r="E13" s="3" t="n">
        <v>5</v>
      </c>
      <c r="F13" s="3" t="n">
        <v>5</v>
      </c>
      <c r="G13" s="3" t="n">
        <v>5</v>
      </c>
      <c r="H13" s="3" t="n">
        <v>4.5</v>
      </c>
      <c r="I13" s="3" t="n">
        <v>4</v>
      </c>
      <c r="J13" s="3" t="n">
        <v>4</v>
      </c>
      <c r="K13" s="3" t="n">
        <v>3.5</v>
      </c>
      <c r="L13" s="3" t="n">
        <v>3.5</v>
      </c>
    </row>
    <row r="14" customFormat="false" ht="15" hidden="false" customHeight="false" outlineLevel="0" collapsed="false">
      <c r="A14" s="0" t="s">
        <v>107</v>
      </c>
      <c r="C14" s="3" t="n">
        <v>19.75</v>
      </c>
      <c r="D14" s="3" t="n">
        <v>20.25</v>
      </c>
      <c r="E14" s="3" t="n">
        <v>20.75</v>
      </c>
      <c r="F14" s="3" t="n">
        <v>21.25</v>
      </c>
      <c r="G14" s="3" t="n">
        <v>21.25</v>
      </c>
      <c r="H14" s="3" t="n">
        <v>21.25</v>
      </c>
      <c r="I14" s="3" t="n">
        <v>21.25</v>
      </c>
      <c r="J14" s="3" t="n">
        <v>21.25</v>
      </c>
      <c r="K14" s="3" t="n">
        <v>21.25</v>
      </c>
      <c r="L14" s="3" t="n">
        <v>21.25</v>
      </c>
    </row>
    <row r="15" customFormat="false" ht="15" hidden="false" customHeight="false" outlineLevel="0" collapsed="false">
      <c r="A15" s="0" t="s">
        <v>108</v>
      </c>
      <c r="C15" s="3" t="n">
        <v>1.7</v>
      </c>
      <c r="D15" s="3" t="n">
        <v>1.7</v>
      </c>
      <c r="E15" s="3" t="n">
        <v>1.7</v>
      </c>
      <c r="F15" s="3" t="n">
        <v>1.7</v>
      </c>
      <c r="G15" s="3" t="n">
        <v>1.7</v>
      </c>
      <c r="H15" s="3" t="n">
        <v>1.7</v>
      </c>
      <c r="I15" s="3" t="n">
        <v>1.7</v>
      </c>
      <c r="J15" s="3" t="n">
        <v>1.7</v>
      </c>
      <c r="K15" s="3" t="n">
        <v>1.7</v>
      </c>
      <c r="L15" s="3" t="n">
        <v>1.7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1.35</v>
      </c>
      <c r="D17" s="3" t="n">
        <v>1.35</v>
      </c>
      <c r="E17" s="3" t="n">
        <v>1.35</v>
      </c>
      <c r="F17" s="3" t="n">
        <v>1.35</v>
      </c>
      <c r="G17" s="3" t="n">
        <v>1.35</v>
      </c>
      <c r="H17" s="3" t="n">
        <v>1.35</v>
      </c>
      <c r="I17" s="3" t="n">
        <v>1.35</v>
      </c>
      <c r="J17" s="3" t="n">
        <v>1.35</v>
      </c>
      <c r="K17" s="3" t="n">
        <v>1.35</v>
      </c>
      <c r="L17" s="3" t="n">
        <v>1.35</v>
      </c>
    </row>
    <row r="18" customFormat="false" ht="15" hidden="false" customHeight="false" outlineLevel="0" collapsed="false">
      <c r="A18" s="0" t="s">
        <v>111</v>
      </c>
      <c r="C18" s="3" t="n">
        <v>1.35</v>
      </c>
      <c r="D18" s="3" t="n">
        <v>2.65</v>
      </c>
      <c r="E18" s="3" t="n">
        <v>4.6</v>
      </c>
      <c r="F18" s="3" t="n">
        <v>4.6</v>
      </c>
      <c r="G18" s="3" t="n">
        <v>4.6</v>
      </c>
      <c r="H18" s="3" t="n">
        <v>4.3</v>
      </c>
      <c r="I18" s="3" t="n">
        <v>3.95</v>
      </c>
      <c r="J18" s="3" t="n">
        <v>3.95</v>
      </c>
      <c r="K18" s="3" t="n">
        <v>3.6</v>
      </c>
      <c r="L18" s="3" t="n">
        <v>3.6</v>
      </c>
    </row>
    <row r="19" customFormat="false" ht="15" hidden="false" customHeight="false" outlineLevel="0" collapsed="false">
      <c r="A19" s="0" t="s">
        <v>112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9.75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7</v>
      </c>
      <c r="D27" s="3" t="n">
        <v>7</v>
      </c>
      <c r="E27" s="3" t="n">
        <v>6.5</v>
      </c>
      <c r="F27" s="3" t="n">
        <v>6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4</v>
      </c>
    </row>
    <row r="28" customFormat="false" ht="15" hidden="false" customHeight="false" outlineLevel="0" collapsed="false">
      <c r="A28" s="0" t="s">
        <v>107</v>
      </c>
      <c r="C28" s="3" t="n">
        <v>21.95</v>
      </c>
      <c r="D28" s="3" t="n">
        <v>22.25</v>
      </c>
      <c r="E28" s="3" t="n">
        <v>22.55</v>
      </c>
      <c r="F28" s="3" t="n">
        <v>22.85</v>
      </c>
      <c r="G28" s="3" t="n">
        <v>22.95</v>
      </c>
      <c r="H28" s="3" t="n">
        <v>22.95</v>
      </c>
      <c r="I28" s="3" t="n">
        <v>22.95</v>
      </c>
      <c r="J28" s="3" t="n">
        <v>22.95</v>
      </c>
      <c r="K28" s="3" t="n">
        <v>22.95</v>
      </c>
      <c r="L28" s="3" t="n">
        <v>22.95</v>
      </c>
    </row>
    <row r="29" customFormat="false" ht="15" hidden="false" customHeight="false" outlineLevel="0" collapsed="false">
      <c r="A29" s="0" t="s">
        <v>108</v>
      </c>
      <c r="C29" s="3" t="n">
        <v>1.6</v>
      </c>
      <c r="D29" s="3" t="n">
        <v>1.6</v>
      </c>
      <c r="E29" s="3" t="n">
        <v>1.6</v>
      </c>
      <c r="F29" s="3" t="n">
        <v>1.6</v>
      </c>
      <c r="G29" s="3" t="n">
        <v>1.6</v>
      </c>
      <c r="H29" s="3" t="n">
        <v>1.6</v>
      </c>
      <c r="I29" s="3" t="n">
        <v>1.6</v>
      </c>
      <c r="J29" s="3" t="n">
        <v>1.6</v>
      </c>
      <c r="K29" s="3" t="n">
        <v>1.6</v>
      </c>
      <c r="L29" s="3" t="n">
        <v>1.6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1.35</v>
      </c>
      <c r="D31" s="3" t="n">
        <v>1.35</v>
      </c>
      <c r="E31" s="3" t="n">
        <v>1.35</v>
      </c>
      <c r="F31" s="3" t="n">
        <v>1.35</v>
      </c>
      <c r="G31" s="3" t="n">
        <v>1.35</v>
      </c>
      <c r="H31" s="3" t="n">
        <v>1.35</v>
      </c>
      <c r="I31" s="3" t="n">
        <v>1.35</v>
      </c>
      <c r="J31" s="3" t="n">
        <v>1.35</v>
      </c>
      <c r="K31" s="3" t="n">
        <v>1.35</v>
      </c>
      <c r="L31" s="3" t="n">
        <v>1.35</v>
      </c>
    </row>
    <row r="32" customFormat="false" ht="15" hidden="false" customHeight="false" outlineLevel="0" collapsed="false">
      <c r="A32" s="0" t="s">
        <v>111</v>
      </c>
      <c r="C32" s="3" t="n">
        <v>4.85</v>
      </c>
      <c r="D32" s="3" t="n">
        <v>4.85</v>
      </c>
      <c r="E32" s="3" t="n">
        <v>4.6</v>
      </c>
      <c r="F32" s="3" t="n">
        <v>4.35</v>
      </c>
      <c r="G32" s="3" t="n">
        <v>4.35</v>
      </c>
      <c r="H32" s="3" t="n">
        <v>4.1</v>
      </c>
      <c r="I32" s="3" t="n">
        <v>3.85</v>
      </c>
      <c r="J32" s="3" t="n">
        <v>3.6</v>
      </c>
      <c r="K32" s="3" t="n">
        <v>3.35</v>
      </c>
      <c r="L32" s="3" t="n">
        <v>3.35</v>
      </c>
    </row>
    <row r="33" customFormat="false" ht="15" hidden="false" customHeight="false" outlineLevel="0" collapsed="false">
      <c r="A33" s="0" t="s">
        <v>112</v>
      </c>
      <c r="C33" s="3" t="n">
        <v>23.5</v>
      </c>
      <c r="D33" s="3" t="n">
        <v>23.5</v>
      </c>
      <c r="E33" s="3" t="n">
        <v>23.5</v>
      </c>
      <c r="F33" s="3" t="n">
        <v>23.5</v>
      </c>
      <c r="G33" s="3" t="n">
        <v>23.5</v>
      </c>
      <c r="H33" s="3" t="n">
        <v>23.5</v>
      </c>
      <c r="I33" s="3" t="n">
        <v>23.5</v>
      </c>
      <c r="J33" s="3" t="n">
        <v>23.5</v>
      </c>
      <c r="K33" s="3" t="n">
        <v>23.5</v>
      </c>
      <c r="L33" s="3" t="n">
        <v>23.5</v>
      </c>
    </row>
    <row r="34" customFormat="false" ht="15" hidden="false" customHeight="false" outlineLevel="0" collapsed="false">
      <c r="A34" s="0" t="s">
        <v>113</v>
      </c>
      <c r="B34" s="3" t="n">
        <v>9.75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14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10</v>
      </c>
      <c r="D41" s="3" t="n">
        <v>9.5</v>
      </c>
      <c r="E41" s="3" t="n">
        <v>9</v>
      </c>
      <c r="F41" s="3" t="n">
        <v>8.5</v>
      </c>
      <c r="G41" s="3" t="n">
        <v>8</v>
      </c>
      <c r="H41" s="3" t="n">
        <v>7</v>
      </c>
      <c r="I41" s="3" t="n">
        <v>6</v>
      </c>
      <c r="J41" s="3" t="n">
        <v>5.5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107</v>
      </c>
      <c r="C42" s="3" t="n">
        <v>22.95</v>
      </c>
      <c r="D42" s="3" t="n">
        <v>23.45</v>
      </c>
      <c r="E42" s="3" t="n">
        <v>23.95</v>
      </c>
      <c r="F42" s="3" t="n">
        <v>24.45</v>
      </c>
      <c r="G42" s="3" t="n">
        <v>24.95</v>
      </c>
      <c r="H42" s="3" t="n">
        <v>24.95</v>
      </c>
      <c r="I42" s="3" t="n">
        <v>24.95</v>
      </c>
      <c r="J42" s="3" t="n">
        <v>24.95</v>
      </c>
      <c r="K42" s="3" t="n">
        <v>24.95</v>
      </c>
      <c r="L42" s="3" t="n">
        <v>24.95</v>
      </c>
    </row>
    <row r="43" customFormat="false" ht="15" hidden="false" customHeight="false" outlineLevel="0" collapsed="false">
      <c r="A43" s="0" t="s">
        <v>108</v>
      </c>
      <c r="C43" s="3" t="n">
        <v>1.6</v>
      </c>
      <c r="D43" s="3" t="n">
        <v>1.6</v>
      </c>
      <c r="E43" s="3" t="n">
        <v>1.6</v>
      </c>
      <c r="F43" s="3" t="n">
        <v>1.6</v>
      </c>
      <c r="G43" s="3" t="n">
        <v>1.6</v>
      </c>
      <c r="H43" s="3" t="n">
        <v>1.6</v>
      </c>
      <c r="I43" s="3" t="n">
        <v>1.6</v>
      </c>
      <c r="J43" s="3" t="n">
        <v>1.6</v>
      </c>
      <c r="K43" s="3" t="n">
        <v>1.6</v>
      </c>
      <c r="L43" s="3" t="n">
        <v>1.6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1.35</v>
      </c>
      <c r="D45" s="3" t="n">
        <v>1.35</v>
      </c>
      <c r="E45" s="3" t="n">
        <v>1.35</v>
      </c>
      <c r="F45" s="3" t="n">
        <v>1.35</v>
      </c>
      <c r="G45" s="3" t="n">
        <v>1.35</v>
      </c>
      <c r="H45" s="3" t="n">
        <v>1.35</v>
      </c>
      <c r="I45" s="3" t="n">
        <v>1.35</v>
      </c>
      <c r="J45" s="3" t="n">
        <v>1.35</v>
      </c>
      <c r="K45" s="3" t="n">
        <v>1.35</v>
      </c>
      <c r="L45" s="3" t="n">
        <v>1.35</v>
      </c>
    </row>
    <row r="46" customFormat="false" ht="15" hidden="false" customHeight="false" outlineLevel="0" collapsed="false">
      <c r="A46" s="0" t="s">
        <v>111</v>
      </c>
      <c r="C46" s="3" t="n">
        <v>5.35</v>
      </c>
      <c r="D46" s="3" t="n">
        <v>5.15</v>
      </c>
      <c r="E46" s="3" t="n">
        <v>4.95</v>
      </c>
      <c r="F46" s="3" t="n">
        <v>4.75</v>
      </c>
      <c r="G46" s="3" t="n">
        <v>4.55</v>
      </c>
      <c r="H46" s="3" t="n">
        <v>4.15</v>
      </c>
      <c r="I46" s="3" t="n">
        <v>3.75</v>
      </c>
      <c r="J46" s="3" t="n">
        <v>3.55</v>
      </c>
      <c r="K46" s="3" t="n">
        <v>3.35</v>
      </c>
      <c r="L46" s="3" t="n">
        <v>3.15</v>
      </c>
    </row>
    <row r="47" customFormat="false" ht="15" hidden="false" customHeight="false" outlineLevel="0" collapsed="false">
      <c r="A47" s="0" t="s">
        <v>112</v>
      </c>
      <c r="C47" s="3" t="n">
        <v>23.5</v>
      </c>
      <c r="D47" s="3" t="n">
        <v>23.5</v>
      </c>
      <c r="E47" s="3" t="n">
        <v>23.5</v>
      </c>
      <c r="F47" s="3" t="n">
        <v>23.5</v>
      </c>
      <c r="G47" s="3" t="n">
        <v>23.5</v>
      </c>
      <c r="H47" s="3" t="n">
        <v>23.5</v>
      </c>
      <c r="I47" s="3" t="n">
        <v>23.5</v>
      </c>
      <c r="J47" s="3" t="n">
        <v>23.5</v>
      </c>
      <c r="K47" s="3" t="n">
        <v>23.5</v>
      </c>
      <c r="L47" s="3" t="n">
        <v>23.5</v>
      </c>
    </row>
    <row r="48" customFormat="false" ht="15" hidden="false" customHeight="false" outlineLevel="0" collapsed="false">
      <c r="A48" s="0" t="s">
        <v>113</v>
      </c>
      <c r="B48" s="3" t="n">
        <v>9.75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-6</v>
      </c>
      <c r="D5" s="4" t="n">
        <f aca="false">Assumptions!D13</f>
        <v>2</v>
      </c>
      <c r="E5" s="4" t="n">
        <f aca="false">Assumptions!E13</f>
        <v>5</v>
      </c>
      <c r="F5" s="4" t="n">
        <f aca="false">Assumptions!F13</f>
        <v>5</v>
      </c>
      <c r="G5" s="4" t="n">
        <f aca="false">Assumptions!G13</f>
        <v>5</v>
      </c>
      <c r="H5" s="4" t="n">
        <f aca="false">Assumptions!H13</f>
        <v>4.5</v>
      </c>
      <c r="I5" s="4" t="n">
        <f aca="false">Assumptions!I13</f>
        <v>4</v>
      </c>
      <c r="J5" s="4" t="n">
        <f aca="false">Assumptions!J13</f>
        <v>4</v>
      </c>
      <c r="K5" s="4" t="n">
        <f aca="false">Assumptions!K13</f>
        <v>3.5</v>
      </c>
      <c r="L5" s="4" t="n">
        <f aca="false">Assumptions!L13</f>
        <v>3.5</v>
      </c>
    </row>
    <row r="6" customFormat="false" ht="15" hidden="false" customHeight="false" outlineLevel="0" collapsed="false">
      <c r="A6" s="0" t="s">
        <v>37</v>
      </c>
      <c r="B6" s="3" t="n">
        <v>15540</v>
      </c>
      <c r="C6" s="0" t="n">
        <f aca="false">B6*(1+C5/100)</f>
        <v>14607.6</v>
      </c>
      <c r="D6" s="0" t="n">
        <f aca="false">C6*(1+D5/100)</f>
        <v>14899.752</v>
      </c>
      <c r="E6" s="0" t="n">
        <f aca="false">D6*(1+E5/100)</f>
        <v>15644.7396</v>
      </c>
      <c r="F6" s="0" t="n">
        <f aca="false">E6*(1+F5/100)</f>
        <v>16426.97658</v>
      </c>
      <c r="G6" s="0" t="n">
        <f aca="false">F6*(1+G5/100)</f>
        <v>17248.325409</v>
      </c>
      <c r="H6" s="0" t="n">
        <f aca="false">G6*(1+H5/100)</f>
        <v>18024.500052405</v>
      </c>
      <c r="I6" s="0" t="n">
        <f aca="false">H6*(1+I5/100)</f>
        <v>18745.4800545012</v>
      </c>
      <c r="J6" s="0" t="n">
        <f aca="false">I6*(1+J5/100)</f>
        <v>19495.2992566813</v>
      </c>
      <c r="K6" s="0" t="n">
        <f aca="false">J6*(1+K5/100)</f>
        <v>20177.6347306651</v>
      </c>
      <c r="L6" s="0" t="n">
        <f aca="false">K6*(1+L5/100)</f>
        <v>20883.8519462384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19.75</v>
      </c>
      <c r="D7" s="4" t="n">
        <f aca="false">Assumptions!D14</f>
        <v>20.25</v>
      </c>
      <c r="E7" s="4" t="n">
        <f aca="false">Assumptions!E14</f>
        <v>20.75</v>
      </c>
      <c r="F7" s="4" t="n">
        <f aca="false">Assumptions!F14</f>
        <v>21.25</v>
      </c>
      <c r="G7" s="4" t="n">
        <f aca="false">Assumptions!G14</f>
        <v>21.25</v>
      </c>
      <c r="H7" s="4" t="n">
        <f aca="false">Assumptions!H14</f>
        <v>21.25</v>
      </c>
      <c r="I7" s="4" t="n">
        <f aca="false">Assumptions!I14</f>
        <v>21.25</v>
      </c>
      <c r="J7" s="4" t="n">
        <f aca="false">Assumptions!J14</f>
        <v>21.25</v>
      </c>
      <c r="K7" s="4" t="n">
        <f aca="false">Assumptions!K14</f>
        <v>21.25</v>
      </c>
      <c r="L7" s="4" t="n">
        <f aca="false">Assumptions!L14</f>
        <v>21.25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2885.001</v>
      </c>
      <c r="D8" s="0" t="n">
        <f aca="false">D6*D7/100</f>
        <v>3017.19978</v>
      </c>
      <c r="E8" s="0" t="n">
        <f aca="false">E6*E7/100</f>
        <v>3246.283467</v>
      </c>
      <c r="F8" s="0" t="n">
        <f aca="false">F6*F7/100</f>
        <v>3490.73252325</v>
      </c>
      <c r="G8" s="0" t="n">
        <f aca="false">G6*G7/100</f>
        <v>3665.2691494125</v>
      </c>
      <c r="H8" s="0" t="n">
        <f aca="false">H6*H7/100</f>
        <v>3830.20626113606</v>
      </c>
      <c r="I8" s="0" t="n">
        <f aca="false">I6*I7/100</f>
        <v>3983.41451158151</v>
      </c>
      <c r="J8" s="0" t="n">
        <f aca="false">J6*J7/100</f>
        <v>4142.75109204477</v>
      </c>
      <c r="K8" s="0" t="n">
        <f aca="false">K6*K7/100</f>
        <v>4287.74738026633</v>
      </c>
      <c r="L8" s="0" t="n">
        <f aca="false">L6*L7/100</f>
        <v>4437.81853857565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1.7</v>
      </c>
      <c r="D9" s="4" t="n">
        <f aca="false">Assumptions!D15</f>
        <v>1.7</v>
      </c>
      <c r="E9" s="4" t="n">
        <f aca="false">Assumptions!E15</f>
        <v>1.7</v>
      </c>
      <c r="F9" s="4" t="n">
        <f aca="false">Assumptions!F15</f>
        <v>1.7</v>
      </c>
      <c r="G9" s="4" t="n">
        <f aca="false">Assumptions!G15</f>
        <v>1.7</v>
      </c>
      <c r="H9" s="4" t="n">
        <f aca="false">Assumptions!H15</f>
        <v>1.7</v>
      </c>
      <c r="I9" s="4" t="n">
        <f aca="false">Assumptions!I15</f>
        <v>1.7</v>
      </c>
      <c r="J9" s="4" t="n">
        <f aca="false">Assumptions!J15</f>
        <v>1.7</v>
      </c>
      <c r="K9" s="4" t="n">
        <f aca="false">Assumptions!K15</f>
        <v>1.7</v>
      </c>
      <c r="L9" s="4" t="n">
        <f aca="false">Assumptions!L15</f>
        <v>1.7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-248.3292</v>
      </c>
      <c r="D10" s="0" t="n">
        <f aca="false">-D6*D9/100</f>
        <v>-253.295784</v>
      </c>
      <c r="E10" s="0" t="n">
        <f aca="false">-E6*E9/100</f>
        <v>-265.9605732</v>
      </c>
      <c r="F10" s="0" t="n">
        <f aca="false">-F6*F9/100</f>
        <v>-279.25860186</v>
      </c>
      <c r="G10" s="0" t="n">
        <f aca="false">-G6*G9/100</f>
        <v>-293.221531953</v>
      </c>
      <c r="H10" s="0" t="n">
        <f aca="false">-H6*H9/100</f>
        <v>-306.416500890885</v>
      </c>
      <c r="I10" s="0" t="n">
        <f aca="false">-I6*I9/100</f>
        <v>-318.67316092652</v>
      </c>
      <c r="J10" s="0" t="n">
        <f aca="false">-J6*J9/100</f>
        <v>-331.420087363581</v>
      </c>
      <c r="K10" s="0" t="n">
        <f aca="false">-K6*K9/100</f>
        <v>-343.019790421307</v>
      </c>
      <c r="L10" s="0" t="n">
        <f aca="false">-L6*L9/100</f>
        <v>-355.025483086052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2636.6718</v>
      </c>
      <c r="D11" s="0" t="n">
        <f aca="false">D8+D10+D24</f>
        <v>2763.903996</v>
      </c>
      <c r="E11" s="0" t="n">
        <f aca="false">E8+E10+E24</f>
        <v>2980.3228938</v>
      </c>
      <c r="F11" s="0" t="n">
        <f aca="false">F8+F10+F24</f>
        <v>3211.47392139</v>
      </c>
      <c r="G11" s="0" t="n">
        <f aca="false">G8+G10+G24</f>
        <v>3372.0476174595</v>
      </c>
      <c r="H11" s="0" t="n">
        <f aca="false">H8+H10+H24</f>
        <v>3523.78976024518</v>
      </c>
      <c r="I11" s="0" t="n">
        <f aca="false">I8+I10+I24</f>
        <v>3664.74135065498</v>
      </c>
      <c r="J11" s="0" t="n">
        <f aca="false">J8+J10+J24</f>
        <v>3811.33100468118</v>
      </c>
      <c r="K11" s="0" t="n">
        <f aca="false">K8+K10+K24</f>
        <v>3944.72758984503</v>
      </c>
      <c r="L11" s="0" t="n">
        <f aca="false">L8+L10+L24</f>
        <v>4082.7930554896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-197.2026</v>
      </c>
      <c r="D12" s="4" t="n">
        <f aca="false">-D6*Assumptions!D17/100</f>
        <v>-201.146652</v>
      </c>
      <c r="E12" s="4" t="n">
        <f aca="false">-E6*Assumptions!E17/100</f>
        <v>-211.2039846</v>
      </c>
      <c r="F12" s="4" t="n">
        <f aca="false">-F6*Assumptions!F17/100</f>
        <v>-221.76418383</v>
      </c>
      <c r="G12" s="4" t="n">
        <f aca="false">-G6*Assumptions!G17/100</f>
        <v>-232.8523930215</v>
      </c>
      <c r="H12" s="4" t="n">
        <f aca="false">-H6*Assumptions!H17/100</f>
        <v>-243.330750707468</v>
      </c>
      <c r="I12" s="4" t="n">
        <f aca="false">-I6*Assumptions!I17/100</f>
        <v>-253.063980735766</v>
      </c>
      <c r="J12" s="4" t="n">
        <f aca="false">-J6*Assumptions!J17/100</f>
        <v>-263.186539965197</v>
      </c>
      <c r="K12" s="4" t="n">
        <f aca="false">-K6*Assumptions!K17/100</f>
        <v>-272.398068863979</v>
      </c>
      <c r="L12" s="4" t="n">
        <f aca="false">-L6*Assumptions!L17/100</f>
        <v>-281.932001274218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2439.4692</v>
      </c>
      <c r="D13" s="0" t="n">
        <f aca="false">D11+D12</f>
        <v>2562.757344</v>
      </c>
      <c r="E13" s="0" t="n">
        <f aca="false">E11+E12</f>
        <v>2769.1189092</v>
      </c>
      <c r="F13" s="0" t="n">
        <f aca="false">F11+F12</f>
        <v>2989.70973756</v>
      </c>
      <c r="G13" s="0" t="n">
        <f aca="false">G11+G12</f>
        <v>3139.195224438</v>
      </c>
      <c r="H13" s="0" t="n">
        <f aca="false">H11+H12</f>
        <v>3280.45900953771</v>
      </c>
      <c r="I13" s="0" t="n">
        <f aca="false">I11+I12</f>
        <v>3411.67736991922</v>
      </c>
      <c r="J13" s="0" t="n">
        <f aca="false">J11+J12</f>
        <v>3548.14446471599</v>
      </c>
      <c r="K13" s="0" t="n">
        <f aca="false">K11+K12</f>
        <v>3672.32952098105</v>
      </c>
      <c r="L13" s="0" t="n">
        <f aca="false">L11+L12</f>
        <v>3800.86105421538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1853.996592</v>
      </c>
      <c r="D15" s="0" t="n">
        <f aca="false">D13-MAX(0,D13)*D14/100</f>
        <v>1947.69558144</v>
      </c>
      <c r="E15" s="0" t="n">
        <f aca="false">E13-MAX(0,E13)*E14/100</f>
        <v>2104.530370992</v>
      </c>
      <c r="F15" s="0" t="n">
        <f aca="false">F13-MAX(0,F13)*F14/100</f>
        <v>2272.1794005456</v>
      </c>
      <c r="G15" s="0" t="n">
        <f aca="false">G13-MAX(0,G13)*G14/100</f>
        <v>2385.78837057288</v>
      </c>
      <c r="H15" s="0" t="n">
        <f aca="false">H13-MAX(0,H13)*H14/100</f>
        <v>2493.14884724866</v>
      </c>
      <c r="I15" s="0" t="n">
        <f aca="false">I13-MAX(0,I13)*I14/100</f>
        <v>2592.87480113861</v>
      </c>
      <c r="J15" s="0" t="n">
        <f aca="false">J13-MAX(0,J13)*J14/100</f>
        <v>2696.58979318415</v>
      </c>
      <c r="K15" s="0" t="n">
        <f aca="false">K13-MAX(0,K13)*K14/100</f>
        <v>2790.9704359456</v>
      </c>
      <c r="L15" s="0" t="n">
        <f aca="false">L13-MAX(0,L13)*L14/100</f>
        <v>2888.65440120369</v>
      </c>
    </row>
    <row r="16" customFormat="false" ht="15" hidden="false" customHeight="false" outlineLevel="0" collapsed="false">
      <c r="A16" s="0" t="s">
        <v>128</v>
      </c>
      <c r="C16" s="0" t="n">
        <f aca="false">-C12</f>
        <v>197.2026</v>
      </c>
      <c r="D16" s="0" t="n">
        <f aca="false">-D12</f>
        <v>201.146652</v>
      </c>
      <c r="E16" s="0" t="n">
        <f aca="false">-E12</f>
        <v>211.2039846</v>
      </c>
      <c r="F16" s="0" t="n">
        <f aca="false">-F12</f>
        <v>221.76418383</v>
      </c>
      <c r="G16" s="0" t="n">
        <f aca="false">-G12</f>
        <v>232.8523930215</v>
      </c>
      <c r="H16" s="0" t="n">
        <f aca="false">-H12</f>
        <v>243.330750707468</v>
      </c>
      <c r="I16" s="0" t="n">
        <f aca="false">-I12</f>
        <v>253.063980735766</v>
      </c>
      <c r="J16" s="0" t="n">
        <f aca="false">-J12</f>
        <v>263.186539965197</v>
      </c>
      <c r="K16" s="0" t="n">
        <f aca="false">-K12</f>
        <v>272.398068863979</v>
      </c>
      <c r="L16" s="0" t="n">
        <f aca="false">-L12</f>
        <v>281.932001274218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-197.2026</v>
      </c>
      <c r="D17" s="4" t="n">
        <f aca="false">-D6*Assumptions!D18/100</f>
        <v>-394.843428</v>
      </c>
      <c r="E17" s="4" t="n">
        <f aca="false">-E6*Assumptions!E18/100</f>
        <v>-719.6580216</v>
      </c>
      <c r="F17" s="4" t="n">
        <f aca="false">-F6*Assumptions!F18/100</f>
        <v>-755.64092268</v>
      </c>
      <c r="G17" s="4" t="n">
        <f aca="false">-G6*Assumptions!G18/100</f>
        <v>-793.422968814</v>
      </c>
      <c r="H17" s="4" t="n">
        <f aca="false">-H6*Assumptions!H18/100</f>
        <v>-775.053502253415</v>
      </c>
      <c r="I17" s="4" t="n">
        <f aca="false">-I6*Assumptions!I18/100</f>
        <v>-740.446462152798</v>
      </c>
      <c r="J17" s="4" t="n">
        <f aca="false">-J6*Assumptions!J18/100</f>
        <v>-770.064320638909</v>
      </c>
      <c r="K17" s="4" t="n">
        <f aca="false">-K6*Assumptions!K18/100</f>
        <v>-726.394850303943</v>
      </c>
      <c r="L17" s="4" t="n">
        <f aca="false">-L6*Assumptions!L18/100</f>
        <v>-751.818670064581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1853.996592</v>
      </c>
      <c r="D19" s="0" t="n">
        <f aca="false">D15+D16+D17+D18</f>
        <v>1753.99880544</v>
      </c>
      <c r="E19" s="0" t="n">
        <f aca="false">E15+E16+E17+E18</f>
        <v>1596.076333992</v>
      </c>
      <c r="F19" s="0" t="n">
        <f aca="false">F15+F16+F17+F18</f>
        <v>1738.3026616956</v>
      </c>
      <c r="G19" s="0" t="n">
        <f aca="false">G15+G16+G17+G18</f>
        <v>1825.21779478038</v>
      </c>
      <c r="H19" s="0" t="n">
        <f aca="false">H15+H16+H17+H18</f>
        <v>1961.42609570271</v>
      </c>
      <c r="I19" s="0" t="n">
        <f aca="false">I15+I16+I17+I18</f>
        <v>2105.49231972158</v>
      </c>
      <c r="J19" s="0" t="n">
        <f aca="false">J15+J16+J17+J18</f>
        <v>2189.71201251044</v>
      </c>
      <c r="K19" s="0" t="n">
        <f aca="false">K15+K16+K17+K18</f>
        <v>2336.97365450563</v>
      </c>
      <c r="L19" s="0" t="n">
        <f aca="false">L15+L16+L17+L18</f>
        <v>2418.76773241333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0.911161731207289</v>
      </c>
      <c r="D20" s="0" t="n">
        <f aca="false">1/(1+$B$27/100)^D4</f>
        <v>0.830215700416665</v>
      </c>
      <c r="E20" s="0" t="n">
        <f aca="false">1/(1+$B$27/100)^E4</f>
        <v>0.756460774867121</v>
      </c>
      <c r="F20" s="0" t="n">
        <f aca="false">1/(1+$B$27/100)^F4</f>
        <v>0.689258109218333</v>
      </c>
      <c r="G20" s="0" t="n">
        <f aca="false">1/(1+$B$27/100)^G4</f>
        <v>0.628025612044039</v>
      </c>
      <c r="H20" s="0" t="n">
        <f aca="false">1/(1+$B$27/100)^H4</f>
        <v>0.572232903912564</v>
      </c>
      <c r="I20" s="0" t="n">
        <f aca="false">1/(1+$B$27/100)^I4</f>
        <v>0.521396723382747</v>
      </c>
      <c r="J20" s="0" t="n">
        <f aca="false">1/(1+$B$27/100)^J4</f>
        <v>0.475076741123232</v>
      </c>
      <c r="K20" s="0" t="n">
        <f aca="false">1/(1+$B$27/100)^K4</f>
        <v>0.432871745898161</v>
      </c>
      <c r="L20" s="0" t="n">
        <f aca="false">1/(1+$B$27/100)^L4</f>
        <v>0.39441616938329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1689.29074441913</v>
      </c>
      <c r="D21" s="0" t="n">
        <f aca="false">D19*D20</f>
        <v>1456.19734678836</v>
      </c>
      <c r="E21" s="0" t="n">
        <f aca="false">E19*E20</f>
        <v>1207.36914035866</v>
      </c>
      <c r="F21" s="0" t="n">
        <f aca="false">F19*F20</f>
        <v>1198.1392058495</v>
      </c>
      <c r="G21" s="0" t="n">
        <f aca="false">G19*G20</f>
        <v>1146.28352268062</v>
      </c>
      <c r="H21" s="0" t="n">
        <f aca="false">H19*H20</f>
        <v>1122.39255055385</v>
      </c>
      <c r="I21" s="0" t="n">
        <f aca="false">I19*I20</f>
        <v>1097.79679661037</v>
      </c>
      <c r="J21" s="0" t="n">
        <f aca="false">J19*J20</f>
        <v>1040.28124690185</v>
      </c>
      <c r="K21" s="0" t="n">
        <f aca="false">K19*K20</f>
        <v>1011.60986594386</v>
      </c>
      <c r="L21" s="0" t="n">
        <f aca="false">L19*L20</f>
        <v>954.001103646372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9.75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11923.3615237526</v>
      </c>
    </row>
    <row r="31" customFormat="false" ht="15" hidden="false" customHeight="false" outlineLevel="0" collapsed="false">
      <c r="A31" s="0" t="s">
        <v>137</v>
      </c>
      <c r="B31" s="0" t="n">
        <f aca="false">L19</f>
        <v>2418.76773241333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34196.3713892919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29025.2127889599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29025.2127889599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11448.0132437565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23371.374767509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23287.374767509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119.056108218349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-0.254781495879138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1801.83691749034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1979.70325309047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138.389135675306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19833.8954057893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73.2381995686684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7</v>
      </c>
      <c r="D5" s="4" t="n">
        <f aca="false">Assumptions!D27</f>
        <v>7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37</v>
      </c>
      <c r="B6" s="3" t="n">
        <v>15540</v>
      </c>
      <c r="C6" s="0" t="n">
        <f aca="false">B6*(1+C5/100)</f>
        <v>16627.8</v>
      </c>
      <c r="D6" s="0" t="n">
        <f aca="false">C6*(1+D5/100)</f>
        <v>17791.746</v>
      </c>
      <c r="E6" s="0" t="n">
        <f aca="false">D6*(1+E5/100)</f>
        <v>18948.20949</v>
      </c>
      <c r="F6" s="0" t="n">
        <f aca="false">E6*(1+F5/100)</f>
        <v>20085.1020594</v>
      </c>
      <c r="G6" s="0" t="n">
        <f aca="false">F6*(1+G5/100)</f>
        <v>21290.208182964</v>
      </c>
      <c r="H6" s="0" t="n">
        <f aca="false">G6*(1+H5/100)</f>
        <v>22461.169633027</v>
      </c>
      <c r="I6" s="0" t="n">
        <f aca="false">H6*(1+I5/100)</f>
        <v>23584.2281146784</v>
      </c>
      <c r="J6" s="0" t="n">
        <f aca="false">I6*(1+J5/100)</f>
        <v>24645.5183798389</v>
      </c>
      <c r="K6" s="0" t="n">
        <f aca="false">J6*(1+K5/100)</f>
        <v>25631.3391150325</v>
      </c>
      <c r="L6" s="0" t="n">
        <f aca="false">K6*(1+L5/100)</f>
        <v>26656.5926796337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21.95</v>
      </c>
      <c r="D7" s="4" t="n">
        <f aca="false">Assumptions!D28</f>
        <v>22.25</v>
      </c>
      <c r="E7" s="4" t="n">
        <f aca="false">Assumptions!E28</f>
        <v>22.55</v>
      </c>
      <c r="F7" s="4" t="n">
        <f aca="false">Assumptions!F28</f>
        <v>22.85</v>
      </c>
      <c r="G7" s="4" t="n">
        <f aca="false">Assumptions!G28</f>
        <v>22.95</v>
      </c>
      <c r="H7" s="4" t="n">
        <f aca="false">Assumptions!H28</f>
        <v>22.95</v>
      </c>
      <c r="I7" s="4" t="n">
        <f aca="false">Assumptions!I28</f>
        <v>22.95</v>
      </c>
      <c r="J7" s="4" t="n">
        <f aca="false">Assumptions!J28</f>
        <v>22.95</v>
      </c>
      <c r="K7" s="4" t="n">
        <f aca="false">Assumptions!K28</f>
        <v>22.95</v>
      </c>
      <c r="L7" s="4" t="n">
        <f aca="false">Assumptions!L28</f>
        <v>22.95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3649.8021</v>
      </c>
      <c r="D8" s="0" t="n">
        <f aca="false">D6*D7/100</f>
        <v>3958.663485</v>
      </c>
      <c r="E8" s="0" t="n">
        <f aca="false">E6*E7/100</f>
        <v>4272.821239995</v>
      </c>
      <c r="F8" s="0" t="n">
        <f aca="false">F6*F7/100</f>
        <v>4589.4458205729</v>
      </c>
      <c r="G8" s="0" t="n">
        <f aca="false">G6*G7/100</f>
        <v>4886.10277799024</v>
      </c>
      <c r="H8" s="0" t="n">
        <f aca="false">H6*H7/100</f>
        <v>5154.8384307797</v>
      </c>
      <c r="I8" s="0" t="n">
        <f aca="false">I6*I7/100</f>
        <v>5412.58035231869</v>
      </c>
      <c r="J8" s="0" t="n">
        <f aca="false">J6*J7/100</f>
        <v>5656.14646817303</v>
      </c>
      <c r="K8" s="0" t="n">
        <f aca="false">K6*K7/100</f>
        <v>5882.39232689995</v>
      </c>
      <c r="L8" s="0" t="n">
        <f aca="false">L6*L7/100</f>
        <v>6117.68801997595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1.6</v>
      </c>
      <c r="D9" s="4" t="n">
        <f aca="false">Assumptions!D29</f>
        <v>1.6</v>
      </c>
      <c r="E9" s="4" t="n">
        <f aca="false">Assumptions!E29</f>
        <v>1.6</v>
      </c>
      <c r="F9" s="4" t="n">
        <f aca="false">Assumptions!F29</f>
        <v>1.6</v>
      </c>
      <c r="G9" s="4" t="n">
        <f aca="false">Assumptions!G29</f>
        <v>1.6</v>
      </c>
      <c r="H9" s="4" t="n">
        <f aca="false">Assumptions!H29</f>
        <v>1.6</v>
      </c>
      <c r="I9" s="4" t="n">
        <f aca="false">Assumptions!I29</f>
        <v>1.6</v>
      </c>
      <c r="J9" s="4" t="n">
        <f aca="false">Assumptions!J29</f>
        <v>1.6</v>
      </c>
      <c r="K9" s="4" t="n">
        <f aca="false">Assumptions!K29</f>
        <v>1.6</v>
      </c>
      <c r="L9" s="4" t="n">
        <f aca="false">Assumptions!L29</f>
        <v>1.6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-266.0448</v>
      </c>
      <c r="D10" s="0" t="n">
        <f aca="false">-D6*D9/100</f>
        <v>-284.667936</v>
      </c>
      <c r="E10" s="0" t="n">
        <f aca="false">-E6*E9/100</f>
        <v>-303.17135184</v>
      </c>
      <c r="F10" s="0" t="n">
        <f aca="false">-F6*F9/100</f>
        <v>-321.3616329504</v>
      </c>
      <c r="G10" s="0" t="n">
        <f aca="false">-G6*G9/100</f>
        <v>-340.643330927424</v>
      </c>
      <c r="H10" s="0" t="n">
        <f aca="false">-H6*H9/100</f>
        <v>-359.378714128432</v>
      </c>
      <c r="I10" s="0" t="n">
        <f aca="false">-I6*I9/100</f>
        <v>-377.347649834854</v>
      </c>
      <c r="J10" s="0" t="n">
        <f aca="false">-J6*J9/100</f>
        <v>-394.328294077422</v>
      </c>
      <c r="K10" s="0" t="n">
        <f aca="false">-K6*K9/100</f>
        <v>-410.101425840519</v>
      </c>
      <c r="L10" s="0" t="n">
        <f aca="false">-L6*L9/100</f>
        <v>-426.50548287414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3383.7573</v>
      </c>
      <c r="D11" s="0" t="n">
        <f aca="false">D8+D10+D24</f>
        <v>3673.995549</v>
      </c>
      <c r="E11" s="0" t="n">
        <f aca="false">E8+E10+E24</f>
        <v>3969.649888155</v>
      </c>
      <c r="F11" s="0" t="n">
        <f aca="false">F8+F10+F24</f>
        <v>4268.0841876225</v>
      </c>
      <c r="G11" s="0" t="n">
        <f aca="false">G8+G10+G24</f>
        <v>4545.45944706281</v>
      </c>
      <c r="H11" s="0" t="n">
        <f aca="false">H8+H10+H24</f>
        <v>4795.45971665127</v>
      </c>
      <c r="I11" s="0" t="n">
        <f aca="false">I8+I10+I24</f>
        <v>5035.23270248383</v>
      </c>
      <c r="J11" s="0" t="n">
        <f aca="false">J8+J10+J24</f>
        <v>5261.8181740956</v>
      </c>
      <c r="K11" s="0" t="n">
        <f aca="false">K8+K10+K24</f>
        <v>5472.29090105943</v>
      </c>
      <c r="L11" s="0" t="n">
        <f aca="false">L8+L10+L24</f>
        <v>5691.18253710181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-224.4753</v>
      </c>
      <c r="D12" s="4" t="n">
        <f aca="false">-D6*Assumptions!D31/100</f>
        <v>-240.188571</v>
      </c>
      <c r="E12" s="4" t="n">
        <f aca="false">-E6*Assumptions!E31/100</f>
        <v>-255.800828115</v>
      </c>
      <c r="F12" s="4" t="n">
        <f aca="false">-F6*Assumptions!F31/100</f>
        <v>-271.1488778019</v>
      </c>
      <c r="G12" s="4" t="n">
        <f aca="false">-G6*Assumptions!G31/100</f>
        <v>-287.417810470014</v>
      </c>
      <c r="H12" s="4" t="n">
        <f aca="false">-H6*Assumptions!H31/100</f>
        <v>-303.225790045865</v>
      </c>
      <c r="I12" s="4" t="n">
        <f aca="false">-I6*Assumptions!I31/100</f>
        <v>-318.387079548158</v>
      </c>
      <c r="J12" s="4" t="n">
        <f aca="false">-J6*Assumptions!J31/100</f>
        <v>-332.714498127825</v>
      </c>
      <c r="K12" s="4" t="n">
        <f aca="false">-K6*Assumptions!K31/100</f>
        <v>-346.023078052938</v>
      </c>
      <c r="L12" s="4" t="n">
        <f aca="false">-L6*Assumptions!L31/100</f>
        <v>-359.864001175056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3159.282</v>
      </c>
      <c r="D13" s="0" t="n">
        <f aca="false">D11+D12</f>
        <v>3433.806978</v>
      </c>
      <c r="E13" s="0" t="n">
        <f aca="false">E11+E12</f>
        <v>3713.84906004</v>
      </c>
      <c r="F13" s="0" t="n">
        <f aca="false">F11+F12</f>
        <v>3996.9353098206</v>
      </c>
      <c r="G13" s="0" t="n">
        <f aca="false">G11+G12</f>
        <v>4258.0416365928</v>
      </c>
      <c r="H13" s="0" t="n">
        <f aca="false">H11+H12</f>
        <v>4492.2339266054</v>
      </c>
      <c r="I13" s="0" t="n">
        <f aca="false">I11+I12</f>
        <v>4716.84562293567</v>
      </c>
      <c r="J13" s="0" t="n">
        <f aca="false">J11+J12</f>
        <v>4929.10367596778</v>
      </c>
      <c r="K13" s="0" t="n">
        <f aca="false">K11+K12</f>
        <v>5126.26782300649</v>
      </c>
      <c r="L13" s="0" t="n">
        <f aca="false">L11+L12</f>
        <v>5331.31853592675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23.5</v>
      </c>
      <c r="D14" s="4" t="n">
        <f aca="false">Assumptions!D33</f>
        <v>23.5</v>
      </c>
      <c r="E14" s="4" t="n">
        <f aca="false">Assumptions!E33</f>
        <v>23.5</v>
      </c>
      <c r="F14" s="4" t="n">
        <f aca="false">Assumptions!F33</f>
        <v>23.5</v>
      </c>
      <c r="G14" s="4" t="n">
        <f aca="false">Assumptions!G33</f>
        <v>23.5</v>
      </c>
      <c r="H14" s="4" t="n">
        <f aca="false">Assumptions!H33</f>
        <v>23.5</v>
      </c>
      <c r="I14" s="4" t="n">
        <f aca="false">Assumptions!I33</f>
        <v>23.5</v>
      </c>
      <c r="J14" s="4" t="n">
        <f aca="false">Assumptions!J33</f>
        <v>23.5</v>
      </c>
      <c r="K14" s="4" t="n">
        <f aca="false">Assumptions!K33</f>
        <v>23.5</v>
      </c>
      <c r="L14" s="4" t="n">
        <f aca="false">Assumptions!L33</f>
        <v>23.5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2416.85073</v>
      </c>
      <c r="D15" s="0" t="n">
        <f aca="false">D13-MAX(0,D13)*D14/100</f>
        <v>2626.86233817</v>
      </c>
      <c r="E15" s="0" t="n">
        <f aca="false">E13-MAX(0,E13)*E14/100</f>
        <v>2841.0945309306</v>
      </c>
      <c r="F15" s="0" t="n">
        <f aca="false">F13-MAX(0,F13)*F14/100</f>
        <v>3057.65551201276</v>
      </c>
      <c r="G15" s="0" t="n">
        <f aca="false">G13-MAX(0,G13)*G14/100</f>
        <v>3257.40185199349</v>
      </c>
      <c r="H15" s="0" t="n">
        <f aca="false">H13-MAX(0,H13)*H14/100</f>
        <v>3436.55895385313</v>
      </c>
      <c r="I15" s="0" t="n">
        <f aca="false">I13-MAX(0,I13)*I14/100</f>
        <v>3608.38690154579</v>
      </c>
      <c r="J15" s="0" t="n">
        <f aca="false">J13-MAX(0,J13)*J14/100</f>
        <v>3770.76431211535</v>
      </c>
      <c r="K15" s="0" t="n">
        <f aca="false">K13-MAX(0,K13)*K14/100</f>
        <v>3921.59488459996</v>
      </c>
      <c r="L15" s="0" t="n">
        <f aca="false">L13-MAX(0,L13)*L14/100</f>
        <v>4078.45867998396</v>
      </c>
    </row>
    <row r="16" customFormat="false" ht="15" hidden="false" customHeight="false" outlineLevel="0" collapsed="false">
      <c r="A16" s="0" t="s">
        <v>128</v>
      </c>
      <c r="C16" s="0" t="n">
        <f aca="false">-C12</f>
        <v>224.4753</v>
      </c>
      <c r="D16" s="0" t="n">
        <f aca="false">-D12</f>
        <v>240.188571</v>
      </c>
      <c r="E16" s="0" t="n">
        <f aca="false">-E12</f>
        <v>255.800828115</v>
      </c>
      <c r="F16" s="0" t="n">
        <f aca="false">-F12</f>
        <v>271.1488778019</v>
      </c>
      <c r="G16" s="0" t="n">
        <f aca="false">-G12</f>
        <v>287.417810470014</v>
      </c>
      <c r="H16" s="0" t="n">
        <f aca="false">-H12</f>
        <v>303.225790045865</v>
      </c>
      <c r="I16" s="0" t="n">
        <f aca="false">-I12</f>
        <v>318.387079548158</v>
      </c>
      <c r="J16" s="0" t="n">
        <f aca="false">-J12</f>
        <v>332.714498127825</v>
      </c>
      <c r="K16" s="0" t="n">
        <f aca="false">-K12</f>
        <v>346.023078052938</v>
      </c>
      <c r="L16" s="0" t="n">
        <f aca="false">-L12</f>
        <v>359.864001175056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-806.4483</v>
      </c>
      <c r="D17" s="4" t="n">
        <f aca="false">-D6*Assumptions!D32/100</f>
        <v>-862.899681</v>
      </c>
      <c r="E17" s="4" t="n">
        <f aca="false">-E6*Assumptions!E32/100</f>
        <v>-871.61763654</v>
      </c>
      <c r="F17" s="4" t="n">
        <f aca="false">-F6*Assumptions!F32/100</f>
        <v>-873.7019395839</v>
      </c>
      <c r="G17" s="4" t="n">
        <f aca="false">-G6*Assumptions!G32/100</f>
        <v>-926.124055958934</v>
      </c>
      <c r="H17" s="4" t="n">
        <f aca="false">-H6*Assumptions!H32/100</f>
        <v>-920.907954954108</v>
      </c>
      <c r="I17" s="4" t="n">
        <f aca="false">-I6*Assumptions!I32/100</f>
        <v>-907.992782415117</v>
      </c>
      <c r="J17" s="4" t="n">
        <f aca="false">-J6*Assumptions!J32/100</f>
        <v>-887.2386616742</v>
      </c>
      <c r="K17" s="4" t="n">
        <f aca="false">-K6*Assumptions!K32/100</f>
        <v>-858.649860353587</v>
      </c>
      <c r="L17" s="4" t="n">
        <f aca="false">-L6*Assumptions!L32/100</f>
        <v>-892.995854767731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1834.87773</v>
      </c>
      <c r="D19" s="0" t="n">
        <f aca="false">D15+D16+D17+D18</f>
        <v>2004.15122817</v>
      </c>
      <c r="E19" s="0" t="n">
        <f aca="false">E15+E16+E17+E18</f>
        <v>2225.2777225056</v>
      </c>
      <c r="F19" s="0" t="n">
        <f aca="false">F15+F16+F17+F18</f>
        <v>2455.10245023076</v>
      </c>
      <c r="G19" s="0" t="n">
        <f aca="false">G15+G16+G17+G18</f>
        <v>2618.69560650457</v>
      </c>
      <c r="H19" s="0" t="n">
        <f aca="false">H15+H16+H17+H18</f>
        <v>2818.87678894489</v>
      </c>
      <c r="I19" s="0" t="n">
        <f aca="false">I15+I16+I17+I18</f>
        <v>3018.78119867883</v>
      </c>
      <c r="J19" s="0" t="n">
        <f aca="false">J15+J16+J17+J18</f>
        <v>3216.24014856898</v>
      </c>
      <c r="K19" s="0" t="n">
        <f aca="false">K15+K16+K17+K18</f>
        <v>3408.96810229932</v>
      </c>
      <c r="L19" s="0" t="n">
        <f aca="false">L15+L16+L17+L18</f>
        <v>3545.32682639129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0.911161731207289</v>
      </c>
      <c r="D20" s="0" t="n">
        <f aca="false">1/(1+$B$27/100)^D4</f>
        <v>0.830215700416665</v>
      </c>
      <c r="E20" s="0" t="n">
        <f aca="false">1/(1+$B$27/100)^E4</f>
        <v>0.756460774867121</v>
      </c>
      <c r="F20" s="0" t="n">
        <f aca="false">1/(1+$B$27/100)^F4</f>
        <v>0.689258109218333</v>
      </c>
      <c r="G20" s="0" t="n">
        <f aca="false">1/(1+$B$27/100)^G4</f>
        <v>0.628025612044039</v>
      </c>
      <c r="H20" s="0" t="n">
        <f aca="false">1/(1+$B$27/100)^H4</f>
        <v>0.572232903912564</v>
      </c>
      <c r="I20" s="0" t="n">
        <f aca="false">1/(1+$B$27/100)^I4</f>
        <v>0.521396723382747</v>
      </c>
      <c r="J20" s="0" t="n">
        <f aca="false">1/(1+$B$27/100)^J4</f>
        <v>0.475076741123232</v>
      </c>
      <c r="K20" s="0" t="n">
        <f aca="false">1/(1+$B$27/100)^K4</f>
        <v>0.432871745898161</v>
      </c>
      <c r="L20" s="0" t="n">
        <f aca="false">1/(1+$B$27/100)^L4</f>
        <v>0.39441616938329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1671.8703690205</v>
      </c>
      <c r="D21" s="0" t="n">
        <f aca="false">D19*D20</f>
        <v>1663.87781563608</v>
      </c>
      <c r="E21" s="0" t="n">
        <f aca="false">E19*E20</f>
        <v>1683.33531026113</v>
      </c>
      <c r="F21" s="0" t="n">
        <f aca="false">F19*F20</f>
        <v>1692.19927278335</v>
      </c>
      <c r="G21" s="0" t="n">
        <f aca="false">G19*G20</f>
        <v>1644.60791103207</v>
      </c>
      <c r="H21" s="0" t="n">
        <f aca="false">H19*H20</f>
        <v>1613.05405070966</v>
      </c>
      <c r="I21" s="0" t="n">
        <f aca="false">I19*I20</f>
        <v>1573.98262560058</v>
      </c>
      <c r="J21" s="0" t="n">
        <f aca="false">J19*J20</f>
        <v>1527.96088845185</v>
      </c>
      <c r="K21" s="0" t="n">
        <f aca="false">K19*K20</f>
        <v>1475.64597415345</v>
      </c>
      <c r="L21" s="0" t="n">
        <f aca="false">L19*L20</f>
        <v>1398.33422607707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9.75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15944.8684437257</v>
      </c>
    </row>
    <row r="31" customFormat="false" ht="15" hidden="false" customHeight="false" outlineLevel="0" collapsed="false">
      <c r="A31" s="0" t="s">
        <v>137</v>
      </c>
      <c r="B31" s="0" t="n">
        <f aca="false">L19</f>
        <v>3545.32682639129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54099.0612027115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49634.575569478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49634.575569478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19576.679165079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35521.5476088047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35437.5476088047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181.173556282233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0.134035780434605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2078.99104729486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2566.92264502925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204.925671273665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30430.7219265252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102.086611896551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10</v>
      </c>
      <c r="D5" s="4" t="n">
        <f aca="false">Assumptions!D41</f>
        <v>9.5</v>
      </c>
      <c r="E5" s="4" t="n">
        <f aca="false">Assumptions!E41</f>
        <v>9</v>
      </c>
      <c r="F5" s="4" t="n">
        <f aca="false">Assumptions!F41</f>
        <v>8.5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5.5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37</v>
      </c>
      <c r="B6" s="3" t="n">
        <v>15540</v>
      </c>
      <c r="C6" s="0" t="n">
        <f aca="false">B6*(1+C5/100)</f>
        <v>17094</v>
      </c>
      <c r="D6" s="0" t="n">
        <f aca="false">C6*(1+D5/100)</f>
        <v>18717.93</v>
      </c>
      <c r="E6" s="0" t="n">
        <f aca="false">D6*(1+E5/100)</f>
        <v>20402.5437</v>
      </c>
      <c r="F6" s="0" t="n">
        <f aca="false">E6*(1+F5/100)</f>
        <v>22136.7599145</v>
      </c>
      <c r="G6" s="0" t="n">
        <f aca="false">F6*(1+G5/100)</f>
        <v>23907.70070766</v>
      </c>
      <c r="H6" s="0" t="n">
        <f aca="false">G6*(1+H5/100)</f>
        <v>25581.2397571962</v>
      </c>
      <c r="I6" s="0" t="n">
        <f aca="false">H6*(1+I5/100)</f>
        <v>27116.114142628</v>
      </c>
      <c r="J6" s="0" t="n">
        <f aca="false">I6*(1+J5/100)</f>
        <v>28607.5004204725</v>
      </c>
      <c r="K6" s="0" t="n">
        <f aca="false">J6*(1+K5/100)</f>
        <v>30037.8754414961</v>
      </c>
      <c r="L6" s="0" t="n">
        <f aca="false">K6*(1+L5/100)</f>
        <v>31389.5798363635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22.95</v>
      </c>
      <c r="D7" s="4" t="n">
        <f aca="false">Assumptions!D42</f>
        <v>23.45</v>
      </c>
      <c r="E7" s="4" t="n">
        <f aca="false">Assumptions!E42</f>
        <v>23.95</v>
      </c>
      <c r="F7" s="4" t="n">
        <f aca="false">Assumptions!F42</f>
        <v>24.45</v>
      </c>
      <c r="G7" s="4" t="n">
        <f aca="false">Assumptions!G42</f>
        <v>24.95</v>
      </c>
      <c r="H7" s="4" t="n">
        <f aca="false">Assumptions!H42</f>
        <v>24.95</v>
      </c>
      <c r="I7" s="4" t="n">
        <f aca="false">Assumptions!I42</f>
        <v>24.95</v>
      </c>
      <c r="J7" s="4" t="n">
        <f aca="false">Assumptions!J42</f>
        <v>24.95</v>
      </c>
      <c r="K7" s="4" t="n">
        <f aca="false">Assumptions!K42</f>
        <v>24.95</v>
      </c>
      <c r="L7" s="4" t="n">
        <f aca="false">Assumptions!L42</f>
        <v>24.95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3923.073</v>
      </c>
      <c r="D8" s="0" t="n">
        <f aca="false">D6*D7/100</f>
        <v>4389.354585</v>
      </c>
      <c r="E8" s="0" t="n">
        <f aca="false">E6*E7/100</f>
        <v>4886.40921615</v>
      </c>
      <c r="F8" s="0" t="n">
        <f aca="false">F6*F7/100</f>
        <v>5412.43779909525</v>
      </c>
      <c r="G8" s="0" t="n">
        <f aca="false">G6*G7/100</f>
        <v>5964.97132656117</v>
      </c>
      <c r="H8" s="0" t="n">
        <f aca="false">H6*H7/100</f>
        <v>6382.51931942045</v>
      </c>
      <c r="I8" s="0" t="n">
        <f aca="false">I6*I7/100</f>
        <v>6765.47047858568</v>
      </c>
      <c r="J8" s="0" t="n">
        <f aca="false">J6*J7/100</f>
        <v>7137.57135490789</v>
      </c>
      <c r="K8" s="0" t="n">
        <f aca="false">K6*K7/100</f>
        <v>7494.44992265329</v>
      </c>
      <c r="L8" s="0" t="n">
        <f aca="false">L6*L7/100</f>
        <v>7831.70016917269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1.6</v>
      </c>
      <c r="D9" s="4" t="n">
        <f aca="false">Assumptions!D43</f>
        <v>1.6</v>
      </c>
      <c r="E9" s="4" t="n">
        <f aca="false">Assumptions!E43</f>
        <v>1.6</v>
      </c>
      <c r="F9" s="4" t="n">
        <f aca="false">Assumptions!F43</f>
        <v>1.6</v>
      </c>
      <c r="G9" s="4" t="n">
        <f aca="false">Assumptions!G43</f>
        <v>1.6</v>
      </c>
      <c r="H9" s="4" t="n">
        <f aca="false">Assumptions!H43</f>
        <v>1.6</v>
      </c>
      <c r="I9" s="4" t="n">
        <f aca="false">Assumptions!I43</f>
        <v>1.6</v>
      </c>
      <c r="J9" s="4" t="n">
        <f aca="false">Assumptions!J43</f>
        <v>1.6</v>
      </c>
      <c r="K9" s="4" t="n">
        <f aca="false">Assumptions!K43</f>
        <v>1.6</v>
      </c>
      <c r="L9" s="4" t="n">
        <f aca="false">Assumptions!L43</f>
        <v>1.6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-273.504</v>
      </c>
      <c r="D10" s="0" t="n">
        <f aca="false">-D6*D9/100</f>
        <v>-299.48688</v>
      </c>
      <c r="E10" s="0" t="n">
        <f aca="false">-E6*E9/100</f>
        <v>-326.4406992</v>
      </c>
      <c r="F10" s="0" t="n">
        <f aca="false">-F6*F9/100</f>
        <v>-354.188158632</v>
      </c>
      <c r="G10" s="0" t="n">
        <f aca="false">-G6*G9/100</f>
        <v>-382.52321132256</v>
      </c>
      <c r="H10" s="0" t="n">
        <f aca="false">-H6*H9/100</f>
        <v>-409.299836115139</v>
      </c>
      <c r="I10" s="0" t="n">
        <f aca="false">-I6*I9/100</f>
        <v>-433.857826282048</v>
      </c>
      <c r="J10" s="0" t="n">
        <f aca="false">-J6*J9/100</f>
        <v>-457.72000672756</v>
      </c>
      <c r="K10" s="0" t="n">
        <f aca="false">-K6*K9/100</f>
        <v>-480.606007063938</v>
      </c>
      <c r="L10" s="0" t="n">
        <f aca="false">-L6*L9/100</f>
        <v>-502.233277381815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3649.569</v>
      </c>
      <c r="D11" s="0" t="n">
        <f aca="false">D8+D10+D24</f>
        <v>4089.867705</v>
      </c>
      <c r="E11" s="0" t="n">
        <f aca="false">E8+E10+E24</f>
        <v>4559.96851695</v>
      </c>
      <c r="F11" s="0" t="n">
        <f aca="false">F8+F10+F24</f>
        <v>5058.24964046325</v>
      </c>
      <c r="G11" s="0" t="n">
        <f aca="false">G8+G10+G24</f>
        <v>5582.44811523861</v>
      </c>
      <c r="H11" s="0" t="n">
        <f aca="false">H8+H10+H24</f>
        <v>5973.21948330531</v>
      </c>
      <c r="I11" s="0" t="n">
        <f aca="false">I8+I10+I24</f>
        <v>6331.61265230363</v>
      </c>
      <c r="J11" s="0" t="n">
        <f aca="false">J8+J10+J24</f>
        <v>6679.85134818033</v>
      </c>
      <c r="K11" s="0" t="n">
        <f aca="false">K8+K10+K24</f>
        <v>7013.84391558935</v>
      </c>
      <c r="L11" s="0" t="n">
        <f aca="false">L8+L10+L24</f>
        <v>7329.46689179087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-230.769</v>
      </c>
      <c r="D12" s="4" t="n">
        <f aca="false">-D6*Assumptions!D45/100</f>
        <v>-252.692055</v>
      </c>
      <c r="E12" s="4" t="n">
        <f aca="false">-E6*Assumptions!E45/100</f>
        <v>-275.43433995</v>
      </c>
      <c r="F12" s="4" t="n">
        <f aca="false">-F6*Assumptions!F45/100</f>
        <v>-298.84625884575</v>
      </c>
      <c r="G12" s="4" t="n">
        <f aca="false">-G6*Assumptions!G45/100</f>
        <v>-322.75395955341</v>
      </c>
      <c r="H12" s="4" t="n">
        <f aca="false">-H6*Assumptions!H45/100</f>
        <v>-345.346736722149</v>
      </c>
      <c r="I12" s="4" t="n">
        <f aca="false">-I6*Assumptions!I45/100</f>
        <v>-366.067540925478</v>
      </c>
      <c r="J12" s="4" t="n">
        <f aca="false">-J6*Assumptions!J45/100</f>
        <v>-386.201255676379</v>
      </c>
      <c r="K12" s="4" t="n">
        <f aca="false">-K6*Assumptions!K45/100</f>
        <v>-405.511318460198</v>
      </c>
      <c r="L12" s="4" t="n">
        <f aca="false">-L6*Assumptions!L45/100</f>
        <v>-423.759327790907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3418.8</v>
      </c>
      <c r="D13" s="0" t="n">
        <f aca="false">D11+D12</f>
        <v>3837.17565</v>
      </c>
      <c r="E13" s="0" t="n">
        <f aca="false">E11+E12</f>
        <v>4284.534177</v>
      </c>
      <c r="F13" s="0" t="n">
        <f aca="false">F11+F12</f>
        <v>4759.4033816175</v>
      </c>
      <c r="G13" s="0" t="n">
        <f aca="false">G11+G12</f>
        <v>5259.6941556852</v>
      </c>
      <c r="H13" s="0" t="n">
        <f aca="false">H11+H12</f>
        <v>5627.87274658317</v>
      </c>
      <c r="I13" s="0" t="n">
        <f aca="false">I11+I12</f>
        <v>5965.54511137816</v>
      </c>
      <c r="J13" s="0" t="n">
        <f aca="false">J11+J12</f>
        <v>6293.65009250395</v>
      </c>
      <c r="K13" s="0" t="n">
        <f aca="false">K11+K12</f>
        <v>6608.33259712915</v>
      </c>
      <c r="L13" s="0" t="n">
        <f aca="false">L11+L12</f>
        <v>6905.70756399996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23.5</v>
      </c>
      <c r="D14" s="4" t="n">
        <f aca="false">Assumptions!D47</f>
        <v>23.5</v>
      </c>
      <c r="E14" s="4" t="n">
        <f aca="false">Assumptions!E47</f>
        <v>23.5</v>
      </c>
      <c r="F14" s="4" t="n">
        <f aca="false">Assumptions!F47</f>
        <v>23.5</v>
      </c>
      <c r="G14" s="4" t="n">
        <f aca="false">Assumptions!G47</f>
        <v>23.5</v>
      </c>
      <c r="H14" s="4" t="n">
        <f aca="false">Assumptions!H47</f>
        <v>23.5</v>
      </c>
      <c r="I14" s="4" t="n">
        <f aca="false">Assumptions!I47</f>
        <v>23.5</v>
      </c>
      <c r="J14" s="4" t="n">
        <f aca="false">Assumptions!J47</f>
        <v>23.5</v>
      </c>
      <c r="K14" s="4" t="n">
        <f aca="false">Assumptions!K47</f>
        <v>23.5</v>
      </c>
      <c r="L14" s="4" t="n">
        <f aca="false">Assumptions!L47</f>
        <v>23.5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2615.382</v>
      </c>
      <c r="D15" s="0" t="n">
        <f aca="false">D13-MAX(0,D13)*D14/100</f>
        <v>2935.43937225</v>
      </c>
      <c r="E15" s="0" t="n">
        <f aca="false">E13-MAX(0,E13)*E14/100</f>
        <v>3277.668645405</v>
      </c>
      <c r="F15" s="0" t="n">
        <f aca="false">F13-MAX(0,F13)*F14/100</f>
        <v>3640.94358693739</v>
      </c>
      <c r="G15" s="0" t="n">
        <f aca="false">G13-MAX(0,G13)*G14/100</f>
        <v>4023.66602909918</v>
      </c>
      <c r="H15" s="0" t="n">
        <f aca="false">H13-MAX(0,H13)*H14/100</f>
        <v>4305.32265113612</v>
      </c>
      <c r="I15" s="0" t="n">
        <f aca="false">I13-MAX(0,I13)*I14/100</f>
        <v>4563.64201020429</v>
      </c>
      <c r="J15" s="0" t="n">
        <f aca="false">J13-MAX(0,J13)*J14/100</f>
        <v>4814.64232076552</v>
      </c>
      <c r="K15" s="0" t="n">
        <f aca="false">K13-MAX(0,K13)*K14/100</f>
        <v>5055.3744368038</v>
      </c>
      <c r="L15" s="0" t="n">
        <f aca="false">L13-MAX(0,L13)*L14/100</f>
        <v>5282.86628645997</v>
      </c>
    </row>
    <row r="16" customFormat="false" ht="15" hidden="false" customHeight="false" outlineLevel="0" collapsed="false">
      <c r="A16" s="0" t="s">
        <v>128</v>
      </c>
      <c r="C16" s="0" t="n">
        <f aca="false">-C12</f>
        <v>230.769</v>
      </c>
      <c r="D16" s="0" t="n">
        <f aca="false">-D12</f>
        <v>252.692055</v>
      </c>
      <c r="E16" s="0" t="n">
        <f aca="false">-E12</f>
        <v>275.43433995</v>
      </c>
      <c r="F16" s="0" t="n">
        <f aca="false">-F12</f>
        <v>298.84625884575</v>
      </c>
      <c r="G16" s="0" t="n">
        <f aca="false">-G12</f>
        <v>322.75395955341</v>
      </c>
      <c r="H16" s="0" t="n">
        <f aca="false">-H12</f>
        <v>345.346736722149</v>
      </c>
      <c r="I16" s="0" t="n">
        <f aca="false">-I12</f>
        <v>366.067540925478</v>
      </c>
      <c r="J16" s="0" t="n">
        <f aca="false">-J12</f>
        <v>386.201255676379</v>
      </c>
      <c r="K16" s="0" t="n">
        <f aca="false">-K12</f>
        <v>405.511318460198</v>
      </c>
      <c r="L16" s="0" t="n">
        <f aca="false">-L12</f>
        <v>423.759327790907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-914.529</v>
      </c>
      <c r="D17" s="4" t="n">
        <f aca="false">-D6*Assumptions!D46/100</f>
        <v>-963.973395</v>
      </c>
      <c r="E17" s="4" t="n">
        <f aca="false">-E6*Assumptions!E46/100</f>
        <v>-1009.92591315</v>
      </c>
      <c r="F17" s="4" t="n">
        <f aca="false">-F6*Assumptions!F46/100</f>
        <v>-1051.49609593875</v>
      </c>
      <c r="G17" s="4" t="n">
        <f aca="false">-G6*Assumptions!G46/100</f>
        <v>-1087.80038219853</v>
      </c>
      <c r="H17" s="4" t="n">
        <f aca="false">-H6*Assumptions!H46/100</f>
        <v>-1061.62144992364</v>
      </c>
      <c r="I17" s="4" t="n">
        <f aca="false">-I6*Assumptions!I46/100</f>
        <v>-1016.85428034855</v>
      </c>
      <c r="J17" s="4" t="n">
        <f aca="false">-J6*Assumptions!J46/100</f>
        <v>-1015.56626492677</v>
      </c>
      <c r="K17" s="4" t="n">
        <f aca="false">-K6*Assumptions!K46/100</f>
        <v>-1006.26882729012</v>
      </c>
      <c r="L17" s="4" t="n">
        <f aca="false">-L6*Assumptions!L46/100</f>
        <v>-988.771764845449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1931.622</v>
      </c>
      <c r="D19" s="0" t="n">
        <f aca="false">D15+D16+D17+D18</f>
        <v>2224.15803225</v>
      </c>
      <c r="E19" s="0" t="n">
        <f aca="false">E15+E16+E17+E18</f>
        <v>2543.177072205</v>
      </c>
      <c r="F19" s="0" t="n">
        <f aca="false">F15+F16+F17+F18</f>
        <v>2888.29374984439</v>
      </c>
      <c r="G19" s="0" t="n">
        <f aca="false">G15+G16+G17+G18</f>
        <v>3258.61960645406</v>
      </c>
      <c r="H19" s="0" t="n">
        <f aca="false">H15+H16+H17+H18</f>
        <v>3589.04793793463</v>
      </c>
      <c r="I19" s="0" t="n">
        <f aca="false">I15+I16+I17+I18</f>
        <v>3912.85527078122</v>
      </c>
      <c r="J19" s="0" t="n">
        <f aca="false">J15+J16+J17+J18</f>
        <v>4185.27731151513</v>
      </c>
      <c r="K19" s="0" t="n">
        <f aca="false">K15+K16+K17+K18</f>
        <v>4454.61692797388</v>
      </c>
      <c r="L19" s="0" t="n">
        <f aca="false">L15+L16+L17+L18</f>
        <v>4717.85384940543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0.911161731207289</v>
      </c>
      <c r="D20" s="0" t="n">
        <f aca="false">1/(1+$B$27/100)^D4</f>
        <v>0.830215700416665</v>
      </c>
      <c r="E20" s="0" t="n">
        <f aca="false">1/(1+$B$27/100)^E4</f>
        <v>0.756460774867121</v>
      </c>
      <c r="F20" s="0" t="n">
        <f aca="false">1/(1+$B$27/100)^F4</f>
        <v>0.689258109218333</v>
      </c>
      <c r="G20" s="0" t="n">
        <f aca="false">1/(1+$B$27/100)^G4</f>
        <v>0.628025612044039</v>
      </c>
      <c r="H20" s="0" t="n">
        <f aca="false">1/(1+$B$27/100)^H4</f>
        <v>0.572232903912564</v>
      </c>
      <c r="I20" s="0" t="n">
        <f aca="false">1/(1+$B$27/100)^I4</f>
        <v>0.521396723382747</v>
      </c>
      <c r="J20" s="0" t="n">
        <f aca="false">1/(1+$B$27/100)^J4</f>
        <v>0.475076741123232</v>
      </c>
      <c r="K20" s="0" t="n">
        <f aca="false">1/(1+$B$27/100)^K4</f>
        <v>0.432871745898161</v>
      </c>
      <c r="L20" s="0" t="n">
        <f aca="false">1/(1+$B$27/100)^L4</f>
        <v>0.39441616938329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1760.02004555809</v>
      </c>
      <c r="D21" s="0" t="n">
        <f aca="false">D19*D20</f>
        <v>1846.53091858178</v>
      </c>
      <c r="E21" s="0" t="n">
        <f aca="false">E19*E20</f>
        <v>1923.81369866449</v>
      </c>
      <c r="F21" s="0" t="n">
        <f aca="false">F19*F20</f>
        <v>1990.77988888487</v>
      </c>
      <c r="G21" s="0" t="n">
        <f aca="false">G19*G20</f>
        <v>2046.49657276202</v>
      </c>
      <c r="H21" s="0" t="n">
        <f aca="false">H19*H20</f>
        <v>2053.77132380573</v>
      </c>
      <c r="I21" s="0" t="n">
        <f aca="false">I19*I20</f>
        <v>2040.14991725624</v>
      </c>
      <c r="J21" s="0" t="n">
        <f aca="false">J19*J20</f>
        <v>1988.32790585161</v>
      </c>
      <c r="K21" s="0" t="n">
        <f aca="false">K19*K20</f>
        <v>1928.27780691955</v>
      </c>
      <c r="L21" s="0" t="n">
        <f aca="false">L19*L20</f>
        <v>1860.7978429927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9.75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19438.9659212771</v>
      </c>
    </row>
    <row r="31" customFormat="false" ht="15" hidden="false" customHeight="false" outlineLevel="0" collapsed="false">
      <c r="A31" s="0" t="s">
        <v>137</v>
      </c>
      <c r="B31" s="0" t="n">
        <f aca="false">L19</f>
        <v>4717.85384940543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71990.9550353718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70767.8077410815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70767.8077410815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27911.9676448905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47350.9335661676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47266.9335661676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241.650989602084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0.512587566362567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2313.15480542025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3022.69026909339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268.930361148677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40494.9122073966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128.088580884172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119.056108218349</v>
      </c>
      <c r="C4" s="0" t="n">
        <f aca="false">B4/Assumptions!$B$2-1</f>
        <v>-0.254781495879138</v>
      </c>
      <c r="D4" s="4" t="n">
        <f aca="false">Assumptions!$B$24</f>
        <v>0.25</v>
      </c>
      <c r="E4" s="4" t="n">
        <f aca="false">DCF_Bear!$B$43</f>
        <v>138.389135675306</v>
      </c>
      <c r="F4" s="4" t="n">
        <f aca="false">DCF_Bear!$B$47</f>
        <v>73.2381995686684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181.173556282233</v>
      </c>
      <c r="C5" s="0" t="n">
        <f aca="false">B5/Assumptions!$B$2-1</f>
        <v>0.134035780434605</v>
      </c>
      <c r="D5" s="4" t="n">
        <f aca="false">Assumptions!$B$38</f>
        <v>0.5</v>
      </c>
      <c r="E5" s="4" t="n">
        <f aca="false">DCF_Base!$B$43</f>
        <v>204.925671273665</v>
      </c>
      <c r="F5" s="4" t="n">
        <f aca="false">DCF_Base!$B$47</f>
        <v>102.086611896551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241.650989602084</v>
      </c>
      <c r="C6" s="0" t="n">
        <f aca="false">B6/Assumptions!$B$2-1</f>
        <v>0.512587566362567</v>
      </c>
      <c r="D6" s="4" t="n">
        <f aca="false">Assumptions!$B$52</f>
        <v>0.25</v>
      </c>
      <c r="E6" s="4" t="n">
        <f aca="false">DCF_Bull!$B$43</f>
        <v>268.930361148677</v>
      </c>
      <c r="F6" s="4" t="n">
        <f aca="false">DCF_Bull!$B$47</f>
        <v>128.088580884172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180.763552596224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204.292709842828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0.116193515200161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-89.2660641266967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101.375001061485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191.336564847159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181.173556282233</v>
      </c>
      <c r="C16" s="3" t="n">
        <v>9.75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177.938313339746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158.527107805257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139.618481481936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102.086611896551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7.75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209.925116186431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209.925116186431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209.925116186431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209.925116186431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209.925116186431</v>
      </c>
    </row>
    <row r="25" customFormat="false" ht="15" hidden="false" customHeight="false" outlineLevel="0" collapsed="false">
      <c r="A25" s="3" t="n">
        <v>8.75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194.883453228408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194.883453228408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194.883453228408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194.883453228408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194.883453228408</v>
      </c>
    </row>
    <row r="26" customFormat="false" ht="15" hidden="false" customHeight="false" outlineLevel="0" collapsed="false">
      <c r="A26" s="3" t="n">
        <v>9.75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175.17766442294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181.173556282233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181.173556282233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181.173556282233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181.173556282233</v>
      </c>
    </row>
    <row r="27" customFormat="false" ht="15" hidden="false" customHeight="false" outlineLevel="0" collapsed="false">
      <c r="A27" s="3" t="n">
        <v>10.75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153.366293440569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158.374725826006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164.0294075515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168.662927791577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168.662927791577</v>
      </c>
    </row>
    <row r="28" customFormat="false" ht="15" hidden="false" customHeight="false" outlineLevel="0" collapsed="false">
      <c r="A28" s="3" t="n">
        <v>11.75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136.116740589267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139.81402871557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143.933864056307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148.55307337774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153.76830970839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2026-10-02T07:57:22Z</dcterms:created>
  <dc:creator>openpyxl</dc:creator>
  <dc:description/>
  <dc:language>en-NZ</dc:language>
  <cp:lastModifiedBy/>
  <dcterms:modified xsi:type="dcterms:W3CDTF">2026-10-02T07:57:22Z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