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Actuals" sheetId="2" state="visible" r:id="rId2"/>
    <sheet xmlns:r="http://schemas.openxmlformats.org/officeDocument/2006/relationships" name="Assumptions" sheetId="3" state="visible" r:id="rId3"/>
    <sheet xmlns:r="http://schemas.openxmlformats.org/officeDocument/2006/relationships" name="DCF_Bear" sheetId="4" state="visible" r:id="rId4"/>
    <sheet xmlns:r="http://schemas.openxmlformats.org/officeDocument/2006/relationships" name="DCF_Base" sheetId="5" state="visible" r:id="rId5"/>
    <sheet xmlns:r="http://schemas.openxmlformats.org/officeDocument/2006/relationships" name="DCF_Bull" sheetId="6" state="visible" r:id="rId6"/>
    <sheet xmlns:r="http://schemas.openxmlformats.org/officeDocument/2006/relationships" name="FCF_Quality" sheetId="7" state="visible" r:id="rId7"/>
    <sheet xmlns:r="http://schemas.openxmlformats.org/officeDocument/2006/relationships" name="Valuation"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
    <numFmt numFmtId="168" formatCode="0.0%"/>
  </numFmts>
  <fonts count="7">
    <font>
      <name val="Calibri"/>
      <family val="2"/>
      <color theme="1"/>
      <sz val="11"/>
      <scheme val="minor"/>
    </font>
    <font>
      <b val="1"/>
      <color rgb="001F4E79"/>
      <sz val="14"/>
    </font>
    <font>
      <b val="1"/>
    </font>
    <font/>
    <font>
      <b val="1"/>
      <color rgb="00FFFFFF"/>
    </font>
    <font>
      <b val="1"/>
      <color rgb="000000CC"/>
    </font>
    <font>
      <color rgb="00006600"/>
    </font>
  </fonts>
  <fills count="5">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3" fontId="0" fillId="0" borderId="0" pivotButton="0" quotePrefix="0" xfId="0"/>
    <xf numFmtId="164" fontId="0" fillId="0" borderId="0" pivotButton="0" quotePrefix="0" xfId="0"/>
    <xf numFmtId="3" fontId="5" fillId="0" borderId="0" pivotButton="0" quotePrefix="0" xfId="0"/>
    <xf numFmtId="165" fontId="5" fillId="0" borderId="0" pivotButton="0" quotePrefix="0" xfId="0"/>
    <xf numFmtId="2" fontId="5" fillId="3" borderId="0" pivotButton="0" quotePrefix="0" xfId="0"/>
    <xf numFmtId="4" fontId="5" fillId="0" borderId="0" pivotButton="0" quotePrefix="0" xfId="0"/>
    <xf numFmtId="166" fontId="5" fillId="0" borderId="0" pivotButton="0" quotePrefix="0" xfId="0"/>
    <xf numFmtId="166" fontId="5" fillId="3" borderId="0" pivotButton="0" quotePrefix="0" xfId="0"/>
    <xf numFmtId="9" fontId="5" fillId="3" borderId="0" pivotButton="0" quotePrefix="0" xfId="0"/>
    <xf numFmtId="9" fontId="2" fillId="0" borderId="0" pivotButton="0" quotePrefix="0" xfId="0"/>
    <xf numFmtId="3" fontId="6" fillId="0" borderId="0" pivotButton="0" quotePrefix="0" xfId="0"/>
    <xf numFmtId="3" fontId="2" fillId="0" borderId="0" pivotButton="0" quotePrefix="0" xfId="0"/>
    <xf numFmtId="167" fontId="6" fillId="0" borderId="0" pivotButton="0" quotePrefix="0" xfId="0"/>
    <xf numFmtId="166" fontId="0" fillId="0" borderId="0" pivotButton="0" quotePrefix="0" xfId="0"/>
    <xf numFmtId="166" fontId="6" fillId="0" borderId="0" pivotButton="0" quotePrefix="0" xfId="0"/>
    <xf numFmtId="165" fontId="6" fillId="0" borderId="0" pivotButton="0" quotePrefix="0" xfId="0"/>
    <xf numFmtId="4" fontId="2" fillId="4" borderId="0" pivotButton="0" quotePrefix="0" xfId="0"/>
    <xf numFmtId="4" fontId="2" fillId="0" borderId="0" pivotButton="0" quotePrefix="0" xfId="0"/>
    <xf numFmtId="4" fontId="6" fillId="0" borderId="0" pivotButton="0" quotePrefix="0" xfId="0"/>
    <xf numFmtId="9" fontId="6" fillId="0" borderId="0" pivotButton="0" quotePrefix="0" xfId="0"/>
    <xf numFmtId="4" fontId="0" fillId="0" borderId="0" pivotButton="0" quotePrefix="0" xfId="0"/>
    <xf numFmtId="168" fontId="0" fillId="0" borderId="0" pivotButton="0" quotePrefix="0" xfId="0"/>
    <xf numFmtId="4" fontId="0" fillId="3" borderId="0" pivotButton="0" quotePrefix="0" xfId="0"/>
    <xf numFmtId="166"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8" customWidth="1" min="1" max="1"/>
    <col width="96" customWidth="1" min="2" max="2"/>
  </cols>
  <sheetData>
    <row r="1">
      <c r="A1" s="1" t="inlineStr">
        <is>
          <t>UCB SA (UCB.BR) -- DCF Model: provenance and how to use</t>
        </is>
      </c>
    </row>
    <row r="3" ht="14" customHeight="1">
      <c r="A3" s="2" t="inlineStr">
        <is>
          <t>Version</t>
        </is>
      </c>
      <c r="B3" s="3" t="inlineStr">
        <is>
          <t>v1.0 -- first DCF for this ticker. Supersedes nothing; no prior UCB.BR_DCF.json existed.</t>
        </is>
      </c>
    </row>
    <row r="4" ht="14" customHeight="1">
      <c r="A4" s="2" t="inlineStr">
        <is>
          <t>Built by</t>
        </is>
      </c>
      <c r="B4" s="3" t="inlineStr">
        <is>
          <t>dcf-analyst agent (Claude Opus 5), 2026-08-29, at the user request to value UCB.BR.</t>
        </is>
      </c>
    </row>
    <row r="5" ht="14" customHeight="1">
      <c r="A5" s="2" t="inlineStr">
        <is>
          <t>Model</t>
        </is>
      </c>
      <c r="B5" s="3" t="inlineStr">
        <is>
          <t>Owner-FCF DCF, 10-year explicit component build, three scenarios, probability-weighted.</t>
        </is>
      </c>
    </row>
    <row r="6" ht="28" customHeight="1">
      <c r="A6" s="2" t="inlineStr">
        <is>
          <t>Routing</t>
        </is>
      </c>
      <c r="B6" s="3" t="inlineStr">
        <is>
          <t>Routed via .claude/skills/dcf-methods/SKILL.md. UCB is a conventional branded-pharma operating company, so row 1/2 (owner-FCF DCF) applies. Not a bank/REIT/trust/shell.</t>
        </is>
      </c>
    </row>
    <row r="7" ht="28" customHeight="1">
      <c r="A7" s="2" t="inlineStr">
        <is>
          <t>Authority</t>
        </is>
      </c>
      <c r="B7" s="3" t="inlineStr">
        <is>
          <t>This workbook and UCB.BR_DCF.json implement the SAME model and agree to the cent. If they ever diverge, one is wrong -- do not paper over it.</t>
        </is>
      </c>
    </row>
    <row r="8" ht="14" customHeight="1">
      <c r="A8" s="4" t="inlineStr"/>
      <c r="B8" s="3" t="inlineStr"/>
    </row>
    <row r="9" ht="14" customHeight="1">
      <c r="A9" s="2" t="inlineStr">
        <is>
          <t>DATA VINTAGE -- all figures go stale</t>
        </is>
      </c>
      <c r="B9" s="3" t="inlineStr"/>
    </row>
    <row r="10" ht="28" customHeight="1">
      <c r="A10" s="2" t="inlineStr">
        <is>
          <t>Price</t>
        </is>
      </c>
      <c r="B10" s="3" t="inlineStr">
        <is>
          <t>EUR 216.5 as of 2026-08-28T15:35:27Z regular close (Yahoo regularMarketTime). Source Yahoo Finance chart API. 52wk 191.2-289.5.</t>
        </is>
      </c>
    </row>
    <row r="11" ht="28" customHeight="1">
      <c r="A11" s="2" t="inlineStr">
        <is>
          <t>Balance sheet</t>
        </is>
      </c>
      <c r="B11" s="3" t="inlineStr">
        <is>
          <t>2026-06-30 -- UCB H1-2026 Half-Year Financial Report. Net financial debt EUR 2,821m. NOT the FY2025 near-net-cash position, which the June-2026 acquisitions ended.</t>
        </is>
      </c>
    </row>
    <row r="12" ht="14" customHeight="1">
      <c r="A12" s="2" t="inlineStr">
        <is>
          <t>Share count</t>
        </is>
      </c>
      <c r="B12" s="3" t="inlineStr">
        <is>
          <t>Fully diluted 193,954,539 -- H1-2026 interim report, EPS note 3. Basic 190,597,758.</t>
        </is>
      </c>
    </row>
    <row r="13" ht="42" customHeight="1">
      <c r="A13" s="2" t="inlineStr">
        <is>
          <t>Guidance</t>
        </is>
      </c>
      <c r="B13" s="3" t="inlineStr">
        <is>
          <t>FY2026, raised at H1-2026 results 30-Jul-2026: revenue growth low-teens to mid-teens % CER; adjusted EBITDA growth mid-teens to low-twenties % CER; tax rate 15%; FX drag approx -2pt revenue and -6pt EBITDA. Guidance EXCLUDES US tariffs and MFN pricing.</t>
        </is>
      </c>
    </row>
    <row r="14" ht="28" customHeight="1">
      <c r="A14" s="2" t="inlineStr">
        <is>
          <t>Last actuals</t>
        </is>
      </c>
      <c r="B14" s="3" t="inlineStr">
        <is>
          <t>FY2025 annual report (revenue 7,741; adj EBITDA 2,636; FCF 1,842; SBC 188) and H1-2026 interim (revenue 4,270; adj EBITDA 1,736; OCF 369; capex 446).</t>
        </is>
      </c>
    </row>
    <row r="15" ht="14" customHeight="1">
      <c r="A15" s="4" t="inlineStr"/>
      <c r="B15" s="3" t="inlineStr"/>
    </row>
    <row r="16" ht="14" customHeight="1">
      <c r="A16" s="2" t="inlineStr">
        <is>
          <t>METHODOLOGY CHOICES</t>
        </is>
      </c>
      <c r="B16" s="3" t="inlineStr"/>
    </row>
    <row r="17" ht="28" customHeight="1">
      <c r="A17" s="2" t="inlineStr">
        <is>
          <t>Base FCF</t>
        </is>
      </c>
      <c r="B17" s="3" t="inlineStr">
        <is>
          <t>Owner FCF 1,608 = reported 1,842 - SBC 188 - interest income 46. Interest income stripped because net cash was material at FY2025; its source asset sits in the bridge.</t>
        </is>
      </c>
    </row>
    <row r="18" ht="42" customHeight="1">
      <c r="A18" s="2" t="inlineStr">
        <is>
          <t>FY2025 not mid-cycled</t>
        </is>
      </c>
      <c r="B18" s="3" t="inlineStr">
        <is>
          <t>FY2025 FCF is 2.7x the FY2015-24 median, but that median describes the pre-Bimzelx company. Built off a normalized FORWARD base instead. Terminal MARGIN is mid-cycled instead (base fades 37.5% to 36.0%; bear to 27%).</t>
        </is>
      </c>
    </row>
    <row r="19" ht="42" customHeight="1">
      <c r="A19" s="2" t="inlineStr">
        <is>
          <t>H1-2026 negative FCF</t>
        </is>
      </c>
      <c r="B19" s="3" t="inlineStr">
        <is>
          <t>EUR -77m is not the run-rate: OCF was +369m; the swing is a -623m working-capital outflow from growth plus a capex spike (446m in one half vs 449m for all FY2025). The -2,227m for Candid/Neurona is investing, below the FCF line.</t>
        </is>
      </c>
    </row>
    <row r="20" ht="28" customHeight="1">
      <c r="A20" s="2" t="inlineStr">
        <is>
          <t>Horizon</t>
        </is>
      </c>
      <c r="B20" s="3" t="inlineStr">
        <is>
          <t>10 years. Year-5 base owner-FCF margin is 22.8% and still rising, so a 5-year Gordon would capitalize an immature margin.</t>
        </is>
      </c>
    </row>
    <row r="21" ht="42" customHeight="1">
      <c r="A21" s="2" t="inlineStr">
        <is>
          <t>WACC</t>
        </is>
      </c>
      <c r="B21" s="3" t="inlineStr">
        <is>
          <t>8.0%, built in EUR (the flows own currency). Bund ~2.8% + EUR ERP 5.0% x beta ~1.0 = 7.8% CoE; CAPM WACC ~7.7%, rounded up to 8.0% for Bimzelx single-asset concentration and the MFN/tariff risk management excludes from guidance. SAME WACC in all three scenarios -- risk charged once.</t>
        </is>
      </c>
    </row>
    <row r="22" ht="28" customHeight="1">
      <c r="A22" s="2" t="inlineStr">
        <is>
          <t>Leases</t>
        </is>
      </c>
      <c r="B22" s="3" t="inlineStr">
        <is>
          <t>Treatment (A), leases as debt. Lease principal NOT deducted from flows; lease liabilities of EUR 209m ARE inside the 3,588m total debt. Charged once. lease_cost_pct = 0.</t>
        </is>
      </c>
    </row>
    <row r="23" ht="14" customHeight="1">
      <c r="A23" s="2" t="inlineStr">
        <is>
          <t>Minority interests</t>
        </is>
      </c>
      <c r="B23" s="3" t="inlineStr">
        <is>
          <t>Nil -- UCB reports NCI of EUR 0m FY2022-FY2025. No adjustment either side.</t>
        </is>
      </c>
    </row>
    <row r="24" ht="28" customHeight="1">
      <c r="A24" s="2" t="inlineStr">
        <is>
          <t>Working capital</t>
        </is>
      </c>
      <c r="B24" s="3" t="inlineStr">
        <is>
          <t>wc_capture NEGATIVE (-12% base). Pharma growth consumes cash into receivables and inventory; this is not a prepaid-subscription deferred-revenue tailwind.</t>
        </is>
      </c>
    </row>
    <row r="25" ht="28" customHeight="1">
      <c r="A25" s="2" t="inlineStr">
        <is>
          <t>SBC</t>
        </is>
      </c>
      <c r="B25" s="3" t="inlineStr">
        <is>
          <t>EUR 188m, 2.43% of revenue, fully expensed in the flows AND share count held flat. Charged once.</t>
        </is>
      </c>
    </row>
    <row r="26" ht="28" customHeight="1">
      <c r="A26" s="2" t="inlineStr">
        <is>
          <t>Terminal value</t>
        </is>
      </c>
      <c r="B26" s="3" t="inlineStr">
        <is>
          <t>max(0, min(Gordon, cap x FCF10)). Cap 18x base/bull, 14x bear -- below the 20x house default because branded pharma carries patent-cliff risk.</t>
        </is>
      </c>
    </row>
    <row r="27" ht="14" customHeight="1">
      <c r="A27" s="4" t="inlineStr"/>
      <c r="B27" s="3" t="inlineStr"/>
    </row>
    <row r="28" ht="28" customHeight="1">
      <c r="A28" s="2" t="inlineStr">
        <is>
          <t>SCENARIO DRIVERS</t>
        </is>
      </c>
      <c r="B28" s="3" t="inlineStr">
        <is>
          <t>Set by the dcf-analyst agent on 2026-08-29 from FY2025 actuals, H1-2026 actuals and FY2026 guidance. They are judgments, not facts. Weights 25/50/25 bear/base/bull.</t>
        </is>
      </c>
    </row>
    <row r="29" ht="56" customHeight="1">
      <c r="A29" s="2" t="inlineStr">
        <is>
          <t>REFRESH AFTER NEXT PRINT</t>
        </is>
      </c>
      <c r="B29" s="3" t="inlineStr">
        <is>
          <t>After FY2026 results (approx Feb-2027): reset the FY0 revenue and EBITDA anchors, refresh net debt and the diluted count from the Dec-2026 balance sheet, and re-judge the year-1 growth and margin against actual FY2026. Later-year paths should stay put unless specific evidence moves them, and a reconciliation bridge is required.</t>
        </is>
      </c>
    </row>
    <row r="30" ht="14" customHeight="1">
      <c r="A30" s="4" t="inlineStr"/>
      <c r="B30" s="3" t="inlineStr"/>
    </row>
    <row r="31" ht="14" customHeight="1">
      <c r="A31" s="2" t="inlineStr">
        <is>
          <t>CELL COLOUR LEGEND</t>
        </is>
      </c>
      <c r="B31" s="3" t="inlineStr"/>
    </row>
    <row r="32" ht="14" customHeight="1">
      <c r="A32" s="2" t="inlineStr">
        <is>
          <t>Blue bold</t>
        </is>
      </c>
      <c r="B32" s="3" t="inlineStr">
        <is>
          <t>Hardcoded input -- safe to change.</t>
        </is>
      </c>
    </row>
    <row r="33" ht="14" customHeight="1">
      <c r="A33" s="2" t="inlineStr">
        <is>
          <t>Yellow fill</t>
        </is>
      </c>
      <c r="B33" s="3" t="inlineStr">
        <is>
          <t>Key lever -- the drivers most worth flexing.</t>
        </is>
      </c>
    </row>
    <row r="34" ht="14" customHeight="1">
      <c r="A34" s="2" t="inlineStr">
        <is>
          <t>Black</t>
        </is>
      </c>
      <c r="B34" s="3" t="inlineStr">
        <is>
          <t>Formula -- do not overwrite.</t>
        </is>
      </c>
    </row>
    <row r="35" ht="14" customHeight="1">
      <c r="A35" s="2" t="inlineStr">
        <is>
          <t>Green</t>
        </is>
      </c>
      <c r="B35" s="3" t="inlineStr">
        <is>
          <t>Cross-sheet link, or the highlighted answer cell.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showGridLines="0" workbookViewId="0">
      <selection activeCell="A1" sqref="A1"/>
    </sheetView>
  </sheetViews>
  <sheetFormatPr baseColWidth="8" defaultRowHeight="15"/>
  <cols>
    <col width="34" customWidth="1" min="1" max="1"/>
    <col width="62" customWidth="1" min="9" max="9"/>
  </cols>
  <sheetData>
    <row r="1">
      <c r="A1" s="1" t="inlineStr">
        <is>
          <t>Reported history and current guidance -- all hardcoded</t>
        </is>
      </c>
    </row>
    <row r="3">
      <c r="B3" s="5" t="inlineStr">
        <is>
          <t>FY2020</t>
        </is>
      </c>
      <c r="C3" s="5" t="inlineStr">
        <is>
          <t>FY2021</t>
        </is>
      </c>
      <c r="D3" s="5" t="inlineStr">
        <is>
          <t>FY2022</t>
        </is>
      </c>
      <c r="E3" s="5" t="inlineStr">
        <is>
          <t>FY2023</t>
        </is>
      </c>
      <c r="F3" s="5" t="inlineStr">
        <is>
          <t>FY2024</t>
        </is>
      </c>
      <c r="G3" s="5" t="inlineStr">
        <is>
          <t>FY2025</t>
        </is>
      </c>
      <c r="H3" s="5" t="inlineStr">
        <is>
          <t>H1 2026</t>
        </is>
      </c>
      <c r="I3" s="2" t="inlineStr">
        <is>
          <t>Source</t>
        </is>
      </c>
    </row>
    <row r="4">
      <c r="A4" t="inlineStr">
        <is>
          <t>Revenue</t>
        </is>
      </c>
      <c r="B4" s="6" t="n">
        <v>5347</v>
      </c>
      <c r="C4" s="6" t="n">
        <v>5777</v>
      </c>
      <c r="D4" s="6" t="n">
        <v>5517</v>
      </c>
      <c r="E4" s="6" t="n">
        <v>5252</v>
      </c>
      <c r="F4" s="6" t="n">
        <v>6152</v>
      </c>
      <c r="G4" s="6" t="n">
        <v>7741</v>
      </c>
      <c r="H4" s="6" t="n">
        <v>4270</v>
      </c>
      <c r="I4" t="inlineStr">
        <is>
          <t>UCB.BR_Metrics.csv, from annual/interim reports</t>
        </is>
      </c>
    </row>
    <row r="5">
      <c r="A5" t="inlineStr">
        <is>
          <t>Adjusted EBITDA</t>
        </is>
      </c>
      <c r="B5" s="6" t="n">
        <v>1441</v>
      </c>
      <c r="C5" s="6" t="n">
        <v>1641</v>
      </c>
      <c r="D5" s="6" t="n">
        <v>1260</v>
      </c>
      <c r="E5" s="6" t="n">
        <v>1349</v>
      </c>
      <c r="F5" s="6" t="n">
        <v>1476</v>
      </c>
      <c r="G5" s="6" t="n">
        <v>2636</v>
      </c>
      <c r="H5" s="6" t="n">
        <v>1736</v>
      </c>
      <c r="I5" t="inlineStr">
        <is>
          <t>Company adjusted EBITDA (non-IFRS), results releases</t>
        </is>
      </c>
    </row>
    <row r="6">
      <c r="A6" t="inlineStr">
        <is>
          <t>Adj EBITDA margin %</t>
        </is>
      </c>
      <c r="B6" s="7" t="n">
        <v>26.9</v>
      </c>
      <c r="C6" s="7" t="n">
        <v>28.4</v>
      </c>
      <c r="D6" s="7" t="n">
        <v>22.8</v>
      </c>
      <c r="E6" s="7" t="n">
        <v>25.7</v>
      </c>
      <c r="F6" s="7" t="n">
        <v>24</v>
      </c>
      <c r="G6" s="7" t="n">
        <v>34.1</v>
      </c>
      <c r="H6" s="7" t="n">
        <v>40.7</v>
      </c>
      <c r="I6" t="inlineStr">
        <is>
          <t>Derived</t>
        </is>
      </c>
    </row>
    <row r="7">
      <c r="A7" t="inlineStr">
        <is>
          <t>Net income</t>
        </is>
      </c>
      <c r="B7" s="6" t="n">
        <v>732</v>
      </c>
      <c r="C7" s="6" t="n">
        <v>1058</v>
      </c>
      <c r="D7" s="6" t="n">
        <v>418</v>
      </c>
      <c r="E7" s="6" t="n">
        <v>343</v>
      </c>
      <c r="F7" s="6" t="n">
        <v>1065</v>
      </c>
      <c r="G7" s="6" t="n">
        <v>1558</v>
      </c>
      <c r="H7" s="6" t="n">
        <v>1111</v>
      </c>
      <c r="I7" t="inlineStr">
        <is>
          <t>Consolidated income statement</t>
        </is>
      </c>
    </row>
    <row r="8">
      <c r="A8" t="inlineStr">
        <is>
          <t>Operating cash flow</t>
        </is>
      </c>
      <c r="B8" s="6" t="n">
        <v>1081</v>
      </c>
      <c r="C8" s="6" t="n">
        <v>1553</v>
      </c>
      <c r="D8" s="6" t="n">
        <v>1119</v>
      </c>
      <c r="E8" s="6" t="n">
        <v>761</v>
      </c>
      <c r="F8" s="6" t="n">
        <v>1242</v>
      </c>
      <c r="G8" s="6" t="n">
        <v>2291</v>
      </c>
      <c r="H8" s="6" t="n">
        <v>369</v>
      </c>
      <c r="I8" t="inlineStr">
        <is>
          <t>Consolidated cash flow statement</t>
        </is>
      </c>
    </row>
    <row r="9">
      <c r="A9" t="inlineStr">
        <is>
          <t>Capex</t>
        </is>
      </c>
      <c r="B9" s="6" t="n">
        <v>349</v>
      </c>
      <c r="C9" s="6" t="n">
        <v>493</v>
      </c>
      <c r="D9" s="6" t="n">
        <v>371</v>
      </c>
      <c r="E9" s="6" t="n">
        <v>316</v>
      </c>
      <c r="F9" s="6" t="n">
        <v>322</v>
      </c>
      <c r="G9" s="6" t="n">
        <v>449</v>
      </c>
      <c r="H9" s="6" t="n">
        <v>446</v>
      </c>
      <c r="I9" t="inlineStr">
        <is>
          <t>PP&amp;E + intangible acquisitions</t>
        </is>
      </c>
    </row>
    <row r="10">
      <c r="A10" t="inlineStr">
        <is>
          <t>Reported free cash flow</t>
        </is>
      </c>
      <c r="B10" s="6" t="n">
        <v>732</v>
      </c>
      <c r="C10" s="6" t="n">
        <v>1060</v>
      </c>
      <c r="D10" s="6" t="n">
        <v>748</v>
      </c>
      <c r="E10" s="6" t="n">
        <v>445</v>
      </c>
      <c r="F10" s="6" t="n">
        <v>920</v>
      </c>
      <c r="G10" s="6" t="n">
        <v>1842</v>
      </c>
      <c r="H10" s="6" t="n">
        <v>-77</v>
      </c>
      <c r="I10" t="inlineStr">
        <is>
          <t>OCF less capex</t>
        </is>
      </c>
    </row>
    <row r="11">
      <c r="A11" t="inlineStr">
        <is>
          <t>Stock-based compensation</t>
        </is>
      </c>
      <c r="B11" s="6" t="n">
        <v>81</v>
      </c>
      <c r="C11" s="6" t="n">
        <v>109</v>
      </c>
      <c r="D11" s="6" t="n">
        <v>81</v>
      </c>
      <c r="E11" s="6" t="n">
        <v>104</v>
      </c>
      <c r="F11" s="6" t="n">
        <v>183</v>
      </c>
      <c r="G11" s="6" t="n">
        <v>188</v>
      </c>
      <c r="I11" t="inlineStr">
        <is>
          <t>Share-based payments to employees and directors; H1 not disclosed</t>
        </is>
      </c>
    </row>
    <row r="12">
      <c r="A12" t="inlineStr">
        <is>
          <t>Interest income</t>
        </is>
      </c>
      <c r="B12" s="6" t="n">
        <v>20</v>
      </c>
      <c r="C12" s="6" t="n">
        <v>17</v>
      </c>
      <c r="D12" s="6" t="n">
        <v>20</v>
      </c>
      <c r="E12" s="6" t="n">
        <v>20</v>
      </c>
      <c r="F12" s="6" t="n">
        <v>29</v>
      </c>
      <c r="G12" s="6" t="n">
        <v>46</v>
      </c>
      <c r="H12" s="6" t="n">
        <v>18</v>
      </c>
      <c r="I12" t="inlineStr">
        <is>
          <t>Interest received, cash flow statement</t>
        </is>
      </c>
    </row>
    <row r="13">
      <c r="A13" t="inlineStr">
        <is>
          <t>Owner FCF</t>
        </is>
      </c>
      <c r="B13" s="6" t="n">
        <v>631</v>
      </c>
      <c r="C13" s="6" t="n">
        <v>934</v>
      </c>
      <c r="D13" s="6" t="n">
        <v>647</v>
      </c>
      <c r="E13" s="6" t="n">
        <v>321</v>
      </c>
      <c r="F13" s="6" t="n">
        <v>708</v>
      </c>
      <c r="G13" s="6" t="n">
        <v>1608</v>
      </c>
      <c r="I13" t="inlineStr">
        <is>
          <t>Reported FCF less SBC less interest income</t>
        </is>
      </c>
    </row>
    <row r="14">
      <c r="A14" t="inlineStr">
        <is>
          <t>Shareholders equity</t>
        </is>
      </c>
      <c r="B14" s="6" t="n">
        <v>7272</v>
      </c>
      <c r="C14" s="6" t="n">
        <v>8386</v>
      </c>
      <c r="D14" s="6" t="n">
        <v>9064</v>
      </c>
      <c r="E14" s="6" t="n">
        <v>8975</v>
      </c>
      <c r="F14" s="6" t="n">
        <v>10029</v>
      </c>
      <c r="G14" s="6" t="n">
        <v>10867</v>
      </c>
      <c r="H14" s="6" t="n">
        <v>11654</v>
      </c>
      <c r="I14" t="inlineStr">
        <is>
          <t>Balance sheet</t>
        </is>
      </c>
    </row>
    <row r="15">
      <c r="A15" t="inlineStr">
        <is>
          <t>Total debt</t>
        </is>
      </c>
      <c r="B15" s="6" t="n">
        <v>2747</v>
      </c>
      <c r="C15" s="6" t="n">
        <v>2123</v>
      </c>
      <c r="D15" s="6" t="n">
        <v>2900</v>
      </c>
      <c r="E15" s="6" t="n">
        <v>3038</v>
      </c>
      <c r="F15" s="6" t="n">
        <v>3026</v>
      </c>
      <c r="G15" s="6" t="n">
        <v>2245</v>
      </c>
      <c r="H15" s="6" t="n">
        <v>3588</v>
      </c>
      <c r="I15" t="inlineStr">
        <is>
          <t>Bonds + borrowings + lease liabilities</t>
        </is>
      </c>
    </row>
    <row r="16">
      <c r="A16" t="inlineStr">
        <is>
          <t>Cash and equivalents</t>
        </is>
      </c>
      <c r="B16" s="6" t="n">
        <v>1336</v>
      </c>
      <c r="C16" s="6" t="n">
        <v>1263</v>
      </c>
      <c r="D16" s="6" t="n">
        <v>899</v>
      </c>
      <c r="E16" s="6" t="n">
        <v>861</v>
      </c>
      <c r="F16" s="6" t="n">
        <v>1573</v>
      </c>
      <c r="G16" s="6" t="n">
        <v>2251</v>
      </c>
      <c r="H16" s="6" t="n">
        <v>766</v>
      </c>
      <c r="I16" t="inlineStr">
        <is>
          <t>Balance sheet</t>
        </is>
      </c>
    </row>
    <row r="17">
      <c r="A17" t="inlineStr">
        <is>
          <t>Net financial debt</t>
        </is>
      </c>
      <c r="B17" s="6" t="n">
        <v>1411</v>
      </c>
      <c r="C17" s="6" t="n">
        <v>860</v>
      </c>
      <c r="D17" s="6" t="n">
        <v>2000</v>
      </c>
      <c r="E17" s="6" t="n">
        <v>2177</v>
      </c>
      <c r="F17" s="6" t="n">
        <v>1454</v>
      </c>
      <c r="G17" s="6" t="n">
        <v>-7</v>
      </c>
      <c r="H17" s="6" t="n">
        <v>2821</v>
      </c>
      <c r="I17" t="inlineStr">
        <is>
          <t>Company-stated; H1-2026 is 0.8x adj EBITDA</t>
        </is>
      </c>
    </row>
    <row r="18">
      <c r="A18" t="inlineStr">
        <is>
          <t>Non-controlling interests</t>
        </is>
      </c>
      <c r="C18" s="6" t="n">
        <v>0</v>
      </c>
      <c r="D18" s="6" t="n">
        <v>0</v>
      </c>
      <c r="E18" s="6" t="n">
        <v>0</v>
      </c>
      <c r="F18" s="6" t="n">
        <v>0</v>
      </c>
      <c r="G18" s="6" t="n">
        <v>0</v>
      </c>
      <c r="H18" s="6" t="n">
        <v>0</v>
      </c>
      <c r="I18" t="inlineStr">
        <is>
          <t>NIL -- no NCI adjustment needed anywhere</t>
        </is>
      </c>
    </row>
    <row r="19">
      <c r="A19" t="inlineStr">
        <is>
          <t>Treasury shares acquired</t>
        </is>
      </c>
      <c r="F19" s="6" t="n">
        <v>162</v>
      </c>
      <c r="G19" s="6" t="n">
        <v>121</v>
      </c>
      <c r="H19" s="6" t="n">
        <v>127</v>
      </c>
      <c r="I19" t="inlineStr">
        <is>
          <t>Financing activities -- funds the flat share count</t>
        </is>
      </c>
    </row>
    <row r="20">
      <c r="A20" t="inlineStr">
        <is>
          <t>Dividends paid</t>
        </is>
      </c>
      <c r="B20" s="6" t="n">
        <v>235</v>
      </c>
      <c r="C20" s="6" t="n">
        <v>240</v>
      </c>
      <c r="D20" s="6" t="n">
        <v>247</v>
      </c>
      <c r="E20" s="6" t="n">
        <v>252</v>
      </c>
      <c r="F20" s="6" t="n">
        <v>259</v>
      </c>
      <c r="G20" s="6" t="n">
        <v>264</v>
      </c>
      <c r="H20" s="6" t="n">
        <v>276</v>
      </c>
      <c r="I20" t="inlineStr">
        <is>
          <t>Dividend paid to UCB shareholders</t>
        </is>
      </c>
    </row>
    <row r="22">
      <c r="A22" s="2" t="inlineStr">
        <is>
          <t>BALANCE SHEET SNAPSHOT at 2026-06-30</t>
        </is>
      </c>
    </row>
    <row r="23">
      <c r="A23" t="inlineStr">
        <is>
          <t>Bonds</t>
        </is>
      </c>
      <c r="B23" s="8" t="n">
        <v>1425</v>
      </c>
      <c r="I23" t="inlineStr">
        <is>
          <t>Note 3.25: Eurobond 476, EMTN 145, retail 305, Eurobond 499</t>
        </is>
      </c>
    </row>
    <row r="24">
      <c r="A24" t="inlineStr">
        <is>
          <t>Bank borrowings</t>
        </is>
      </c>
      <c r="B24" s="8" t="n">
        <v>1804</v>
      </c>
      <c r="I24" t="inlineStr">
        <is>
          <t>Note 3.24 non-current 1,805 + current -1</t>
        </is>
      </c>
    </row>
    <row r="25">
      <c r="A25" t="inlineStr">
        <is>
          <t>Debentures and short-term loans</t>
        </is>
      </c>
      <c r="B25" s="8" t="n">
        <v>150</v>
      </c>
      <c r="I25" t="inlineStr">
        <is>
          <t>Note 3.24 current</t>
        </is>
      </c>
    </row>
    <row r="26">
      <c r="A26" t="inlineStr">
        <is>
          <t>Lease liabilities</t>
        </is>
      </c>
      <c r="B26" s="8" t="n">
        <v>209</v>
      </c>
      <c r="I26" t="inlineStr">
        <is>
          <t>Note 3.24: non-current 141 + current 68 -- INSIDE net debt, treatment A</t>
        </is>
      </c>
    </row>
    <row r="27">
      <c r="A27" t="inlineStr">
        <is>
          <t>Total debt</t>
        </is>
      </c>
      <c r="B27" s="8" t="n">
        <v>3588</v>
      </c>
      <c r="I27" t="inlineStr">
        <is>
          <t>Sum of the above</t>
        </is>
      </c>
    </row>
    <row r="28">
      <c r="A28" t="inlineStr">
        <is>
          <t>Less cash</t>
        </is>
      </c>
      <c r="B28" s="8" t="n">
        <v>-766</v>
      </c>
      <c r="I28" t="inlineStr">
        <is>
          <t>Net cash and cash equivalents at 30-Jun-2026</t>
        </is>
      </c>
    </row>
    <row r="29">
      <c r="A29" t="inlineStr">
        <is>
          <t>Net financial debt</t>
        </is>
      </c>
      <c r="B29" s="8" t="n">
        <v>2821</v>
      </c>
      <c r="I29" t="inlineStr">
        <is>
          <t>Agrees with company-stated EUR 2,821m</t>
        </is>
      </c>
    </row>
    <row r="31">
      <c r="A31" s="2" t="inlineStr">
        <is>
          <t>DILUTED SHARE COUNT</t>
        </is>
      </c>
    </row>
    <row r="32">
      <c r="A32" t="inlineStr">
        <is>
          <t>Basic weighted average (m)</t>
        </is>
      </c>
      <c r="B32" s="9" t="n">
        <v>190.598</v>
      </c>
      <c r="I32" t="inlineStr">
        <is>
          <t>H1-2026 EPS note 2</t>
        </is>
      </c>
    </row>
    <row r="33">
      <c r="A33" t="inlineStr">
        <is>
          <t>Fully diluted (m)</t>
        </is>
      </c>
      <c r="B33" s="9" t="n">
        <v>193.955</v>
      </c>
      <c r="I33" t="inlineStr">
        <is>
          <t>H1-2026 EPS note 3 -- THIS is the valuation divisor</t>
        </is>
      </c>
    </row>
    <row r="34">
      <c r="A34" t="inlineStr">
        <is>
          <t>Assumed annual share growth %</t>
        </is>
      </c>
      <c r="B34" s="9" t="n">
        <v>0</v>
      </c>
      <c r="I34" t="inlineStr">
        <is>
          <t>Zero: SBC is expensed, so the count is held flat</t>
        </is>
      </c>
    </row>
    <row r="36">
      <c r="A36" s="2" t="inlineStr">
        <is>
          <t>FY2026 GUIDANCE (raised 30-Jul-2026)</t>
        </is>
      </c>
    </row>
    <row r="37">
      <c r="A37" t="inlineStr">
        <is>
          <t>Revenue growth</t>
        </is>
      </c>
      <c r="B37" t="inlineStr">
        <is>
          <t>Low-teens to mid-teens % CER</t>
        </is>
      </c>
    </row>
    <row r="38">
      <c r="A38" t="inlineStr">
        <is>
          <t>Adjusted EBITDA growth</t>
        </is>
      </c>
      <c r="B38" t="inlineStr">
        <is>
          <t>Mid-teens to low-twenties % CER</t>
        </is>
      </c>
    </row>
    <row r="39">
      <c r="A39" t="inlineStr">
        <is>
          <t>Tax rate</t>
        </is>
      </c>
      <c r="B39" t="inlineStr">
        <is>
          <t>15%</t>
        </is>
      </c>
    </row>
    <row r="40">
      <c r="A40" t="inlineStr">
        <is>
          <t>FX drag</t>
        </is>
      </c>
      <c r="B40" t="inlineStr">
        <is>
          <t>approx -2pt revenue, -6pt adjusted EBITDA at 30-Jun-2026 rates</t>
        </is>
      </c>
    </row>
    <row r="41">
      <c r="A41" t="inlineStr">
        <is>
          <t>BIMZELX peak sales</t>
        </is>
      </c>
      <c r="B41" t="inlineStr">
        <is>
          <t>At least EUR 7 billion</t>
        </is>
      </c>
    </row>
    <row r="42">
      <c r="A42" t="inlineStr">
        <is>
          <t>Excluded from guidance</t>
        </is>
      </c>
      <c r="B42" t="inlineStr">
        <is>
          <t>US tariffs and any Most-Favoured-Nation pricing arrangement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34" customWidth="1" min="1" max="1"/>
    <col width="14" customWidth="1" min="2" max="2"/>
    <col width="92" customWidth="1" min="3" max="3"/>
  </cols>
  <sheetData>
    <row r="1">
      <c r="A1" s="1" t="inlineStr">
        <is>
          <t>Global assumptions, scenario terminals and narratives</t>
        </is>
      </c>
    </row>
    <row r="3">
      <c r="A3" s="2" t="inlineStr">
        <is>
          <t>GLOBALS</t>
        </is>
      </c>
    </row>
    <row r="4" ht="28" customHeight="1">
      <c r="A4" t="inlineStr">
        <is>
          <t>WACC %</t>
        </is>
      </c>
      <c r="B4" s="10" t="n">
        <v>8</v>
      </c>
      <c r="C4" s="3" t="inlineStr">
        <is>
          <t>EUR-built: Bund 2.8% + ERP 5.0% x beta 1.0 = 7.8% CoE, CAPM WACC 7.7%, rounded to 8.0% for Bimzelx concentration and excluded MFN/tariff risk. SAME in all scenarios.</t>
        </is>
      </c>
    </row>
    <row r="5" ht="28" customHeight="1">
      <c r="A5" t="inlineStr">
        <is>
          <t>Diluted shares (m)</t>
        </is>
      </c>
      <c r="B5" s="9" t="n">
        <v>193.955</v>
      </c>
      <c r="C5" s="3" t="inlineStr">
        <is>
          <t>H1-2026 EPS note 3. Held flat -- SBC expensed instead.</t>
        </is>
      </c>
    </row>
    <row r="6" ht="28" customHeight="1">
      <c r="A6" t="inlineStr">
        <is>
          <t>Net debt (EUR m)</t>
        </is>
      </c>
      <c r="B6" s="8" t="n">
        <v>2821</v>
      </c>
      <c r="C6" s="3" t="inlineStr">
        <is>
          <t>At 2026-06-30, post Candid and Neurona. Positive = debt.</t>
        </is>
      </c>
    </row>
    <row r="7" ht="28" customHeight="1">
      <c r="A7" t="inlineStr">
        <is>
          <t>Current price (EUR)</t>
        </is>
      </c>
      <c r="B7" s="11" t="n">
        <v>216.5</v>
      </c>
      <c r="C7" s="3" t="inlineStr">
        <is>
          <t>Yahoo close 2026-08-28T15:35:27Z.</t>
        </is>
      </c>
    </row>
    <row r="8" ht="28" customHeight="1">
      <c r="A8" t="inlineStr">
        <is>
          <t>FY2025 revenue (EUR m)</t>
        </is>
      </c>
      <c r="B8" s="8" t="n">
        <v>7741</v>
      </c>
      <c r="C8" s="3" t="inlineStr">
        <is>
          <t>FY0 anchor for every scenario.</t>
        </is>
      </c>
    </row>
    <row r="9" ht="28" customHeight="1">
      <c r="A9" t="inlineStr">
        <is>
          <t>Entry hurdle rate %</t>
        </is>
      </c>
      <c r="B9" s="12" t="n">
        <v>15</v>
      </c>
      <c r="C9" s="3" t="inlineStr">
        <is>
          <t>IRR required for the entry-price calculation.</t>
        </is>
      </c>
    </row>
    <row r="10" ht="28" customHeight="1">
      <c r="A10" t="inlineStr">
        <is>
          <t>FY2025 owner FCF (EUR m)</t>
        </is>
      </c>
      <c r="B10" s="8" t="n">
        <v>1608</v>
      </c>
      <c r="C10" s="3" t="inlineStr">
        <is>
          <t>1,842 reported - 188 SBC - 46 interest income.</t>
        </is>
      </c>
    </row>
    <row r="12">
      <c r="A12" s="2" t="inlineStr">
        <is>
          <t>PER-SCENARIO TERMINALS AND WEIGHTS</t>
        </is>
      </c>
    </row>
    <row r="13">
      <c r="A13" t="inlineStr"/>
      <c r="B13" s="5" t="inlineStr">
        <is>
          <t>Bear</t>
        </is>
      </c>
      <c r="C13" s="5" t="inlineStr">
        <is>
          <t>Base</t>
        </is>
      </c>
      <c r="D13" s="5" t="inlineStr">
        <is>
          <t>Bull</t>
        </is>
      </c>
    </row>
    <row r="14">
      <c r="A14" t="inlineStr">
        <is>
          <t>Terminal growth %</t>
        </is>
      </c>
      <c r="B14" s="13" t="n">
        <v>1</v>
      </c>
      <c r="C14" s="13" t="n">
        <v>2</v>
      </c>
      <c r="D14" s="13" t="n">
        <v>2.5</v>
      </c>
    </row>
    <row r="15">
      <c r="A15" t="inlineStr">
        <is>
          <t>Terminal FCF cap multiple</t>
        </is>
      </c>
      <c r="B15" s="13" t="n">
        <v>14</v>
      </c>
      <c r="C15" s="13" t="n">
        <v>18</v>
      </c>
      <c r="D15" s="13" t="n">
        <v>18</v>
      </c>
    </row>
    <row r="16">
      <c r="A16" t="inlineStr">
        <is>
          <t>Probability weight</t>
        </is>
      </c>
      <c r="B16" s="14" t="n">
        <v>0.25</v>
      </c>
      <c r="C16" s="14" t="n">
        <v>0.5</v>
      </c>
      <c r="D16" s="14" t="n">
        <v>0.25</v>
      </c>
    </row>
    <row r="17">
      <c r="A17" t="inlineStr">
        <is>
          <t>Working capital capture %</t>
        </is>
      </c>
      <c r="B17" s="13" t="n">
        <v>-13</v>
      </c>
      <c r="C17" s="13" t="n">
        <v>-12</v>
      </c>
      <c r="D17" s="13" t="n">
        <v>-11</v>
      </c>
    </row>
    <row r="18">
      <c r="A18" t="inlineStr">
        <is>
          <t>Weights check (must be 100%)</t>
        </is>
      </c>
      <c r="B18" s="15">
        <f>SUM(B16:D16)</f>
        <v/>
      </c>
    </row>
    <row r="20">
      <c r="A20" s="2" t="inlineStr">
        <is>
          <t>SCENARIO NARRATIVES</t>
        </is>
      </c>
    </row>
    <row r="21" ht="118" customHeight="1">
      <c r="A21" t="inlineStr">
        <is>
          <t>BEAR</t>
        </is>
      </c>
      <c r="C21" s="3" t="inlineStr">
        <is>
          <t>BEAR (25%). The three live adverse paths land together. Cimzia biosimilars finally arrive -- the molecule has been biosimilar-free for over two years past LOE on manufacturing difficulty alone, which is a reprieve rather than a moat, and roughly EUR 1.9bn/yr is exposed. US MFN reference pricing and pharma tariffs land; management explicitly excludes both from guidance, so the guided numbers carry no allowance for them whatsoever. And Bimzelx growth is bought with price: management itself flags net pricing erosion as access widens, and Cosentyx, Taltz, Skyrizi and Tremfya are all well-capitalized defenders. Meanwhile the legacy epilepsy base keeps shrinking -- Briviact lost US exclusivity Feb-2026 with the EU following in Aug-2026, and Vimpat fell 41% in H1 on Japanese generics. Revenue rolls over from FY2028 and the adjusted EBITDA margin retraces from 40.7% to 27%, i.e. the H1-2026 margin proves to be the cycle peak.</t>
        </is>
      </c>
    </row>
    <row r="22" ht="118" customHeight="1">
      <c r="A22" t="inlineStr">
        <is>
          <t>BASE</t>
        </is>
      </c>
      <c r="C22" s="3" t="inlineStr">
        <is>
          <t>BASE (50%). Bimzelx keeps compounding but decelerates as it approaches the guided EUR 7bn+ peak, and the gMG duo plus Fintepla and the Evenity profit-share more than cover the epilepsy and Cimzia decline. Revenue grows 14% in FY2026 -- inside guidance once the -2pt FX drag is applied, and deliberately BELOW the H1-2026 run-rate, which annualizes closer to 20%. Adjusted EBITDA margin improves from 34.5% to a 37.5% peak on operating leverage, then FADES to 36.0% as pricing erosion and the R&amp;D step-up from Candid and Neurona bite. Capex starts elevated at 8% of revenue for the Georgia biologics campus before tapering to 5.5%. Cash tax ramps 17% to 21% as the R&amp;D incentives and recognized deferred tax assets are used up.</t>
        </is>
      </c>
    </row>
    <row r="23" ht="118" customHeight="1">
      <c r="A23" t="inlineStr">
        <is>
          <t>BULL</t>
        </is>
      </c>
      <c r="C23" s="3" t="inlineStr">
        <is>
          <t>BULL (25%). Bimzelx reaches and passes the EUR 7bn peak guidance, helped by pediatric, PPP and further indication expansion, and it holds price while doing so -- the four head-to-head superiority wins (vs secukinumab, ustekinumab, adalimumab and now risankizumab on ACR50) translate into durable share rather than discounting. Rystiggo and Zilbrysq scale as the only dual-mechanism gMG portfolio against argenx Vyvgart, Fintepla broadens into CDKL5 and Rett, and the Candid T-cell-engager platform and Neurona cell therapy start to look like a second growth wave rather than a cash cost. Margin reaches 41.5% and holds. Note this case requires SEVERAL independent things to go right at once, which is why it carries 25% and not the house 35%.</t>
        </is>
      </c>
    </row>
    <row r="25" ht="118" customHeight="1">
      <c r="A25" t="inlineStr">
        <is>
          <t>Weights rationale</t>
        </is>
      </c>
      <c r="C25" s="3" t="inlineStr">
        <is>
          <t>25 bear / 50 base / 25 bull, moved off the 15/50/35 house default by taking 10pp from the bull and giving it to the bear. Bear raised to 25% because three independent adverse paths are live and none is remote: (1) US MFN pricing and pharma tariffs, which management explicitly excludes from guidance so the guided numbers carry no allowance for them at all; (2) Cimzia, ~EUR 1.9bn/yr, has been biosimilar-free for over two years past LOE on manufacturing difficulty alone -- that is a reprieve, not a moat, and it can end in any quarter; (3) Briviact lost US exclusivity Feb-2026 with EU to follow Aug-2026 while Vimpat fell 41% in H1. Bull cut to 25% because it needs several independent things to go right together -- Bimzelx reaching EUR 7bn+ peak AND holding price as access widens (management itself flags net pricing erosion) AND the gMG duo scaling against argenx's Vyvgart AND the Candid/Neurona pipeline paying off. Base at 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5"/>
  <sheetViews>
    <sheetView showGridLines="0"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UCB.BR -- BEAR case, 10-year owner-FCF build</t>
        </is>
      </c>
    </row>
    <row r="3">
      <c r="A3" s="2" t="inlineStr">
        <is>
          <t>Year</t>
        </is>
      </c>
      <c r="B3" s="5" t="inlineStr">
        <is>
          <t>2025A</t>
        </is>
      </c>
      <c r="C3" s="5" t="inlineStr">
        <is>
          <t>2026E</t>
        </is>
      </c>
      <c r="D3" s="5" t="inlineStr">
        <is>
          <t>2027E</t>
        </is>
      </c>
      <c r="E3" s="5" t="inlineStr">
        <is>
          <t>2028E</t>
        </is>
      </c>
      <c r="F3" s="5" t="inlineStr">
        <is>
          <t>2029E</t>
        </is>
      </c>
      <c r="G3" s="5" t="inlineStr">
        <is>
          <t>2030E</t>
        </is>
      </c>
      <c r="H3" s="5" t="inlineStr">
        <is>
          <t>2031E</t>
        </is>
      </c>
      <c r="I3" s="5" t="inlineStr">
        <is>
          <t>2032E</t>
        </is>
      </c>
      <c r="J3" s="5" t="inlineStr">
        <is>
          <t>2033E</t>
        </is>
      </c>
      <c r="K3" s="5" t="inlineStr">
        <is>
          <t>2034E</t>
        </is>
      </c>
      <c r="L3" s="5" t="inlineStr">
        <is>
          <t>2035E</t>
        </is>
      </c>
    </row>
    <row r="4">
      <c r="A4" t="inlineStr">
        <is>
          <t>Year index</t>
        </is>
      </c>
      <c r="B4" t="n">
        <v>0</v>
      </c>
      <c r="C4" t="n">
        <v>1</v>
      </c>
      <c r="D4" t="n">
        <v>2</v>
      </c>
      <c r="E4" t="n">
        <v>3</v>
      </c>
      <c r="F4" t="n">
        <v>4</v>
      </c>
      <c r="G4" t="n">
        <v>5</v>
      </c>
      <c r="H4" t="n">
        <v>6</v>
      </c>
      <c r="I4" t="n">
        <v>7</v>
      </c>
      <c r="J4" t="n">
        <v>8</v>
      </c>
      <c r="K4" t="n">
        <v>9</v>
      </c>
      <c r="L4" t="n">
        <v>10</v>
      </c>
    </row>
    <row r="5">
      <c r="A5" t="inlineStr">
        <is>
          <t>Revenue growth % (driver)</t>
        </is>
      </c>
      <c r="C5" s="13" t="n">
        <v>10</v>
      </c>
      <c r="D5" s="13" t="n">
        <v>4</v>
      </c>
      <c r="E5" s="13" t="n">
        <v>1</v>
      </c>
      <c r="F5" s="13" t="n">
        <v>-1</v>
      </c>
      <c r="G5" s="13" t="n">
        <v>-2</v>
      </c>
      <c r="H5" s="13" t="n">
        <v>-1</v>
      </c>
      <c r="I5" s="13" t="n">
        <v>0</v>
      </c>
      <c r="J5" s="13" t="n">
        <v>1</v>
      </c>
      <c r="K5" s="13" t="n">
        <v>1.5</v>
      </c>
      <c r="L5" s="13" t="n">
        <v>1.5</v>
      </c>
    </row>
    <row r="6">
      <c r="A6" t="inlineStr">
        <is>
          <t>Revenue</t>
        </is>
      </c>
      <c r="B6" s="8" t="n">
        <v>7741</v>
      </c>
      <c r="C6" s="6">
        <f>B6*(1+C5/100)</f>
        <v/>
      </c>
      <c r="D6" s="6">
        <f>C6*(1+D5/100)</f>
        <v/>
      </c>
      <c r="E6" s="6">
        <f>D6*(1+E5/100)</f>
        <v/>
      </c>
      <c r="F6" s="6">
        <f>E6*(1+F5/100)</f>
        <v/>
      </c>
      <c r="G6" s="6">
        <f>F6*(1+G5/100)</f>
        <v/>
      </c>
      <c r="H6" s="6">
        <f>G6*(1+H5/100)</f>
        <v/>
      </c>
      <c r="I6" s="6">
        <f>H6*(1+I5/100)</f>
        <v/>
      </c>
      <c r="J6" s="6">
        <f>I6*(1+J5/100)</f>
        <v/>
      </c>
      <c r="K6" s="6">
        <f>J6*(1+K5/100)</f>
        <v/>
      </c>
      <c r="L6" s="6">
        <f>K6*(1+L5/100)</f>
        <v/>
      </c>
    </row>
    <row r="7">
      <c r="A7" t="inlineStr">
        <is>
          <t>Adj EBITDA margin % (driver)</t>
        </is>
      </c>
      <c r="C7" s="13" t="n">
        <v>32.5</v>
      </c>
      <c r="D7" s="13" t="n">
        <v>31.5</v>
      </c>
      <c r="E7" s="13" t="n">
        <v>30</v>
      </c>
      <c r="F7" s="13" t="n">
        <v>28.5</v>
      </c>
      <c r="G7" s="13" t="n">
        <v>27.5</v>
      </c>
      <c r="H7" s="13" t="n">
        <v>27</v>
      </c>
      <c r="I7" s="13" t="n">
        <v>27</v>
      </c>
      <c r="J7" s="13" t="n">
        <v>27</v>
      </c>
      <c r="K7" s="13" t="n">
        <v>27</v>
      </c>
      <c r="L7" s="13" t="n">
        <v>27</v>
      </c>
    </row>
    <row r="8">
      <c r="A8" t="inlineStr">
        <is>
          <t>Adjusted EBITDA</t>
        </is>
      </c>
      <c r="C8" s="6">
        <f>C6*C7/100</f>
        <v/>
      </c>
      <c r="D8" s="6">
        <f>D6*D7/100</f>
        <v/>
      </c>
      <c r="E8" s="6">
        <f>E6*E7/100</f>
        <v/>
      </c>
      <c r="F8" s="6">
        <f>F6*F7/100</f>
        <v/>
      </c>
      <c r="G8" s="6">
        <f>G6*G7/100</f>
        <v/>
      </c>
      <c r="H8" s="6">
        <f>H6*H7/100</f>
        <v/>
      </c>
      <c r="I8" s="6">
        <f>I6*I7/100</f>
        <v/>
      </c>
      <c r="J8" s="6">
        <f>J6*J7/100</f>
        <v/>
      </c>
      <c r="K8" s="6">
        <f>K6*K7/100</f>
        <v/>
      </c>
      <c r="L8" s="6">
        <f>L6*L7/100</f>
        <v/>
      </c>
    </row>
    <row r="9">
      <c r="A9" t="inlineStr">
        <is>
          <t>SBC % of revenue (driver)</t>
        </is>
      </c>
      <c r="C9" s="10" t="n">
        <v>2.5</v>
      </c>
      <c r="D9" s="10" t="n">
        <v>2.5</v>
      </c>
      <c r="E9" s="10" t="n">
        <v>2.5</v>
      </c>
      <c r="F9" s="10" t="n">
        <v>2.5</v>
      </c>
      <c r="G9" s="10" t="n">
        <v>2.5</v>
      </c>
      <c r="H9" s="10" t="n">
        <v>2.5</v>
      </c>
      <c r="I9" s="10" t="n">
        <v>2.5</v>
      </c>
      <c r="J9" s="10" t="n">
        <v>2.5</v>
      </c>
      <c r="K9" s="10" t="n">
        <v>2.5</v>
      </c>
      <c r="L9" s="10" t="n">
        <v>2.5</v>
      </c>
    </row>
    <row r="10">
      <c r="A10" t="inlineStr">
        <is>
          <t>SBC (negative)</t>
        </is>
      </c>
      <c r="C10" s="6">
        <f>-C6*C9/100</f>
        <v/>
      </c>
      <c r="D10" s="6">
        <f>-D6*D9/100</f>
        <v/>
      </c>
      <c r="E10" s="6">
        <f>-E6*E9/100</f>
        <v/>
      </c>
      <c r="F10" s="6">
        <f>-F6*F9/100</f>
        <v/>
      </c>
      <c r="G10" s="6">
        <f>-G6*G9/100</f>
        <v/>
      </c>
      <c r="H10" s="6">
        <f>-H6*H9/100</f>
        <v/>
      </c>
      <c r="I10" s="6">
        <f>-I6*I9/100</f>
        <v/>
      </c>
      <c r="J10" s="6">
        <f>-J6*J9/100</f>
        <v/>
      </c>
      <c r="K10" s="6">
        <f>-K6*K9/100</f>
        <v/>
      </c>
      <c r="L10" s="6">
        <f>-L6*L9/100</f>
        <v/>
      </c>
    </row>
    <row r="11">
      <c r="A11" t="inlineStr">
        <is>
          <t>Owner EBITDA (SBC expensed)</t>
        </is>
      </c>
      <c r="C11" s="6">
        <f>C8+C10</f>
        <v/>
      </c>
      <c r="D11" s="6">
        <f>D8+D10</f>
        <v/>
      </c>
      <c r="E11" s="6">
        <f>E8+E10</f>
        <v/>
      </c>
      <c r="F11" s="6">
        <f>F8+F10</f>
        <v/>
      </c>
      <c r="G11" s="6">
        <f>G8+G10</f>
        <v/>
      </c>
      <c r="H11" s="6">
        <f>H8+H10</f>
        <v/>
      </c>
      <c r="I11" s="6">
        <f>I8+I10</f>
        <v/>
      </c>
      <c r="J11" s="6">
        <f>J8+J10</f>
        <v/>
      </c>
      <c r="K11" s="6">
        <f>K8+K10</f>
        <v/>
      </c>
      <c r="L11" s="6">
        <f>L8+L10</f>
        <v/>
      </c>
    </row>
    <row r="12">
      <c r="A12" t="inlineStr">
        <is>
          <t>D&amp;A % of revenue (driver)</t>
        </is>
      </c>
      <c r="C12" s="12" t="n">
        <v>7.8</v>
      </c>
      <c r="D12" s="12" t="n">
        <v>7.8</v>
      </c>
      <c r="E12" s="12" t="n">
        <v>7.7</v>
      </c>
      <c r="F12" s="12" t="n">
        <v>7.6</v>
      </c>
      <c r="G12" s="12" t="n">
        <v>7.5</v>
      </c>
      <c r="H12" s="12" t="n">
        <v>7.5</v>
      </c>
      <c r="I12" s="12" t="n">
        <v>7.5</v>
      </c>
      <c r="J12" s="12" t="n">
        <v>7.5</v>
      </c>
      <c r="K12" s="12" t="n">
        <v>7.5</v>
      </c>
      <c r="L12" s="12" t="n">
        <v>7.5</v>
      </c>
    </row>
    <row r="13">
      <c r="A13" t="inlineStr">
        <is>
          <t>D&amp;A (negative)</t>
        </is>
      </c>
      <c r="C13" s="6">
        <f>-C6*C12/100</f>
        <v/>
      </c>
      <c r="D13" s="6">
        <f>-D6*D12/100</f>
        <v/>
      </c>
      <c r="E13" s="6">
        <f>-E6*E12/100</f>
        <v/>
      </c>
      <c r="F13" s="6">
        <f>-F6*F12/100</f>
        <v/>
      </c>
      <c r="G13" s="6">
        <f>-G6*G12/100</f>
        <v/>
      </c>
      <c r="H13" s="6">
        <f>-H6*H12/100</f>
        <v/>
      </c>
      <c r="I13" s="6">
        <f>-I6*I12/100</f>
        <v/>
      </c>
      <c r="J13" s="6">
        <f>-J6*J12/100</f>
        <v/>
      </c>
      <c r="K13" s="6">
        <f>-K6*K12/100</f>
        <v/>
      </c>
      <c r="L13" s="6">
        <f>-L6*L12/100</f>
        <v/>
      </c>
    </row>
    <row r="14">
      <c r="A14" t="inlineStr">
        <is>
          <t>EBIT, SBC expensed</t>
        </is>
      </c>
      <c r="C14" s="6">
        <f>C11+C13</f>
        <v/>
      </c>
      <c r="D14" s="6">
        <f>D11+D13</f>
        <v/>
      </c>
      <c r="E14" s="6">
        <f>E11+E13</f>
        <v/>
      </c>
      <c r="F14" s="6">
        <f>F11+F13</f>
        <v/>
      </c>
      <c r="G14" s="6">
        <f>G11+G13</f>
        <v/>
      </c>
      <c r="H14" s="6">
        <f>H11+H13</f>
        <v/>
      </c>
      <c r="I14" s="6">
        <f>I11+I13</f>
        <v/>
      </c>
      <c r="J14" s="6">
        <f>J11+J13</f>
        <v/>
      </c>
      <c r="K14" s="6">
        <f>K11+K13</f>
        <v/>
      </c>
      <c r="L14" s="6">
        <f>L11+L13</f>
        <v/>
      </c>
    </row>
    <row r="15">
      <c r="A15" t="inlineStr">
        <is>
          <t>Cash tax rate % (driver)</t>
        </is>
      </c>
      <c r="C15" s="13" t="n">
        <v>18</v>
      </c>
      <c r="D15" s="13" t="n">
        <v>20</v>
      </c>
      <c r="E15" s="13" t="n">
        <v>22</v>
      </c>
      <c r="F15" s="13" t="n">
        <v>23</v>
      </c>
      <c r="G15" s="13" t="n">
        <v>24</v>
      </c>
      <c r="H15" s="13" t="n">
        <v>24</v>
      </c>
      <c r="I15" s="13" t="n">
        <v>24</v>
      </c>
      <c r="J15" s="13" t="n">
        <v>24</v>
      </c>
      <c r="K15" s="13" t="n">
        <v>24</v>
      </c>
      <c r="L15" s="13" t="n">
        <v>24</v>
      </c>
    </row>
    <row r="16">
      <c r="A16" t="inlineStr">
        <is>
          <t>NOPAT</t>
        </is>
      </c>
      <c r="C16" s="6">
        <f>C14*(1-C15/100)</f>
        <v/>
      </c>
      <c r="D16" s="6">
        <f>D14*(1-D15/100)</f>
        <v/>
      </c>
      <c r="E16" s="6">
        <f>E14*(1-E15/100)</f>
        <v/>
      </c>
      <c r="F16" s="6">
        <f>F14*(1-F15/100)</f>
        <v/>
      </c>
      <c r="G16" s="6">
        <f>G14*(1-G15/100)</f>
        <v/>
      </c>
      <c r="H16" s="6">
        <f>H14*(1-H15/100)</f>
        <v/>
      </c>
      <c r="I16" s="6">
        <f>I14*(1-I15/100)</f>
        <v/>
      </c>
      <c r="J16" s="6">
        <f>J14*(1-J15/100)</f>
        <v/>
      </c>
      <c r="K16" s="6">
        <f>K14*(1-K15/100)</f>
        <v/>
      </c>
      <c r="L16" s="6">
        <f>L14*(1-L15/100)</f>
        <v/>
      </c>
    </row>
    <row r="17">
      <c r="A17" t="inlineStr">
        <is>
          <t>add back D&amp;A</t>
        </is>
      </c>
      <c r="C17" s="6">
        <f>-C13</f>
        <v/>
      </c>
      <c r="D17" s="6">
        <f>-D13</f>
        <v/>
      </c>
      <c r="E17" s="6">
        <f>-E13</f>
        <v/>
      </c>
      <c r="F17" s="6">
        <f>-F13</f>
        <v/>
      </c>
      <c r="G17" s="6">
        <f>-G13</f>
        <v/>
      </c>
      <c r="H17" s="6">
        <f>-H13</f>
        <v/>
      </c>
      <c r="I17" s="6">
        <f>-I13</f>
        <v/>
      </c>
      <c r="J17" s="6">
        <f>-J13</f>
        <v/>
      </c>
      <c r="K17" s="6">
        <f>-K13</f>
        <v/>
      </c>
      <c r="L17" s="6">
        <f>-L13</f>
        <v/>
      </c>
    </row>
    <row r="18">
      <c r="A18" t="inlineStr">
        <is>
          <t>Capex % of revenue (driver)</t>
        </is>
      </c>
      <c r="C18" s="12" t="n">
        <v>8.199999999999999</v>
      </c>
      <c r="D18" s="12" t="n">
        <v>7.5</v>
      </c>
      <c r="E18" s="12" t="n">
        <v>7</v>
      </c>
      <c r="F18" s="12" t="n">
        <v>6.5</v>
      </c>
      <c r="G18" s="12" t="n">
        <v>6.2</v>
      </c>
      <c r="H18" s="12" t="n">
        <v>6</v>
      </c>
      <c r="I18" s="12" t="n">
        <v>6</v>
      </c>
      <c r="J18" s="12" t="n">
        <v>6</v>
      </c>
      <c r="K18" s="12" t="n">
        <v>6</v>
      </c>
      <c r="L18" s="12" t="n">
        <v>6</v>
      </c>
    </row>
    <row r="19">
      <c r="A19" t="inlineStr">
        <is>
          <t>less capex</t>
        </is>
      </c>
      <c r="C19" s="6">
        <f>-C6*C18/100</f>
        <v/>
      </c>
      <c r="D19" s="6">
        <f>-D6*D18/100</f>
        <v/>
      </c>
      <c r="E19" s="6">
        <f>-E6*E18/100</f>
        <v/>
      </c>
      <c r="F19" s="6">
        <f>-F6*F18/100</f>
        <v/>
      </c>
      <c r="G19" s="6">
        <f>-G6*G18/100</f>
        <v/>
      </c>
      <c r="H19" s="6">
        <f>-H6*H18/100</f>
        <v/>
      </c>
      <c r="I19" s="6">
        <f>-I6*I18/100</f>
        <v/>
      </c>
      <c r="J19" s="6">
        <f>-J6*J18/100</f>
        <v/>
      </c>
      <c r="K19" s="6">
        <f>-K6*K18/100</f>
        <v/>
      </c>
      <c r="L19" s="6">
        <f>-L6*L18/100</f>
        <v/>
      </c>
    </row>
    <row r="20">
      <c r="A20" t="inlineStr">
        <is>
          <t>Working capital (on revenue CHANGE)</t>
        </is>
      </c>
      <c r="C20" s="16">
        <f>Assumptions!$B$17/100*(C6-B6)</f>
        <v/>
      </c>
      <c r="D20" s="16">
        <f>Assumptions!$B$17/100*(D6-C6)</f>
        <v/>
      </c>
      <c r="E20" s="16">
        <f>Assumptions!$B$17/100*(E6-D6)</f>
        <v/>
      </c>
      <c r="F20" s="16">
        <f>Assumptions!$B$17/100*(F6-E6)</f>
        <v/>
      </c>
      <c r="G20" s="16">
        <f>Assumptions!$B$17/100*(G6-F6)</f>
        <v/>
      </c>
      <c r="H20" s="16">
        <f>Assumptions!$B$17/100*(H6-G6)</f>
        <v/>
      </c>
      <c r="I20" s="16">
        <f>Assumptions!$B$17/100*(I6-H6)</f>
        <v/>
      </c>
      <c r="J20" s="16">
        <f>Assumptions!$B$17/100*(J6-I6)</f>
        <v/>
      </c>
      <c r="K20" s="16">
        <f>Assumptions!$B$17/100*(K6-J6)</f>
        <v/>
      </c>
      <c r="L20" s="16">
        <f>Assumptions!$B$17/100*(L6-K6)</f>
        <v/>
      </c>
    </row>
    <row r="21">
      <c r="A21" s="2" t="inlineStr">
        <is>
          <t>UNLEVERED OWNER FCF</t>
        </is>
      </c>
      <c r="C21" s="17">
        <f>C16+C17+C19+C20</f>
        <v/>
      </c>
      <c r="D21" s="17">
        <f>D16+D17+D19+D20</f>
        <v/>
      </c>
      <c r="E21" s="17">
        <f>E16+E17+E19+E20</f>
        <v/>
      </c>
      <c r="F21" s="17">
        <f>F16+F17+F19+F20</f>
        <v/>
      </c>
      <c r="G21" s="17">
        <f>G16+G17+G19+G20</f>
        <v/>
      </c>
      <c r="H21" s="17">
        <f>H16+H17+H19+H20</f>
        <v/>
      </c>
      <c r="I21" s="17">
        <f>I16+I17+I19+I20</f>
        <v/>
      </c>
      <c r="J21" s="17">
        <f>J16+J17+J19+J20</f>
        <v/>
      </c>
      <c r="K21" s="17">
        <f>K16+K17+K19+K20</f>
        <v/>
      </c>
      <c r="L21" s="17">
        <f>L16+L17+L19+L20</f>
        <v/>
      </c>
    </row>
    <row r="22">
      <c r="A22" t="inlineStr">
        <is>
          <t>Discount factor</t>
        </is>
      </c>
      <c r="C22" s="18">
        <f>1/(1+Assumptions!$B$4/100)^C4</f>
        <v/>
      </c>
      <c r="D22" s="18">
        <f>1/(1+Assumptions!$B$4/100)^D4</f>
        <v/>
      </c>
      <c r="E22" s="18">
        <f>1/(1+Assumptions!$B$4/100)^E4</f>
        <v/>
      </c>
      <c r="F22" s="18">
        <f>1/(1+Assumptions!$B$4/100)^F4</f>
        <v/>
      </c>
      <c r="G22" s="18">
        <f>1/(1+Assumptions!$B$4/100)^G4</f>
        <v/>
      </c>
      <c r="H22" s="18">
        <f>1/(1+Assumptions!$B$4/100)^H4</f>
        <v/>
      </c>
      <c r="I22" s="18">
        <f>1/(1+Assumptions!$B$4/100)^I4</f>
        <v/>
      </c>
      <c r="J22" s="18">
        <f>1/(1+Assumptions!$B$4/100)^J4</f>
        <v/>
      </c>
      <c r="K22" s="18">
        <f>1/(1+Assumptions!$B$4/100)^K4</f>
        <v/>
      </c>
      <c r="L22" s="18">
        <f>1/(1+Assumptions!$B$4/100)^L4</f>
        <v/>
      </c>
    </row>
    <row r="23">
      <c r="A23" t="inlineStr">
        <is>
          <t>PV of FCF</t>
        </is>
      </c>
      <c r="C23" s="6">
        <f>C21*C22</f>
        <v/>
      </c>
      <c r="D23" s="6">
        <f>D21*D22</f>
        <v/>
      </c>
      <c r="E23" s="6">
        <f>E21*E22</f>
        <v/>
      </c>
      <c r="F23" s="6">
        <f>F21*F22</f>
        <v/>
      </c>
      <c r="G23" s="6">
        <f>G21*G22</f>
        <v/>
      </c>
      <c r="H23" s="6">
        <f>H21*H22</f>
        <v/>
      </c>
      <c r="I23" s="6">
        <f>I21*I22</f>
        <v/>
      </c>
      <c r="J23" s="6">
        <f>J21*J22</f>
        <v/>
      </c>
      <c r="K23" s="6">
        <f>K21*K22</f>
        <v/>
      </c>
      <c r="L23" s="6">
        <f>L21*L22</f>
        <v/>
      </c>
    </row>
    <row r="25">
      <c r="A25" t="inlineStr">
        <is>
          <t>Memo: FCF before SBC (company style)</t>
        </is>
      </c>
      <c r="C25" s="6">
        <f>C21-C10</f>
        <v/>
      </c>
      <c r="D25" s="6">
        <f>D21-D10</f>
        <v/>
      </c>
      <c r="E25" s="6">
        <f>E21-E10</f>
        <v/>
      </c>
      <c r="F25" s="6">
        <f>F21-F10</f>
        <v/>
      </c>
      <c r="G25" s="6">
        <f>G21-G10</f>
        <v/>
      </c>
      <c r="H25" s="6">
        <f>H21-H10</f>
        <v/>
      </c>
      <c r="I25" s="6">
        <f>I21-I10</f>
        <v/>
      </c>
      <c r="J25" s="6">
        <f>J21-J10</f>
        <v/>
      </c>
      <c r="K25" s="6">
        <f>K21-K10</f>
        <v/>
      </c>
      <c r="L25" s="6">
        <f>L21-L10</f>
        <v/>
      </c>
    </row>
    <row r="26">
      <c r="A26" t="inlineStr">
        <is>
          <t>Memo: owner FCF margin %</t>
        </is>
      </c>
      <c r="C26" s="19">
        <f>C21/C6*100</f>
        <v/>
      </c>
      <c r="D26" s="19">
        <f>D21/D6*100</f>
        <v/>
      </c>
      <c r="E26" s="19">
        <f>E21/E6*100</f>
        <v/>
      </c>
      <c r="F26" s="19">
        <f>F21/F6*100</f>
        <v/>
      </c>
      <c r="G26" s="19">
        <f>G21/G6*100</f>
        <v/>
      </c>
      <c r="H26" s="19">
        <f>H21/H6*100</f>
        <v/>
      </c>
      <c r="I26" s="19">
        <f>I21/I6*100</f>
        <v/>
      </c>
      <c r="J26" s="19">
        <f>J21/J6*100</f>
        <v/>
      </c>
      <c r="K26" s="19">
        <f>K21/K6*100</f>
        <v/>
      </c>
      <c r="L26" s="19">
        <f>L21/L6*100</f>
        <v/>
      </c>
    </row>
    <row r="28">
      <c r="A28" s="2" t="inlineStr">
        <is>
          <t>VALUATION</t>
        </is>
      </c>
    </row>
    <row r="29">
      <c r="A29" t="inlineStr">
        <is>
          <t>Sum of PV of FCF</t>
        </is>
      </c>
      <c r="B29" s="6">
        <f>SUM(C23:L23)</f>
        <v/>
      </c>
    </row>
    <row r="30">
      <c r="A30" t="inlineStr">
        <is>
          <t>Terminal growth %</t>
        </is>
      </c>
      <c r="B30" s="20">
        <f>Assumptions!$B$14</f>
        <v/>
      </c>
    </row>
    <row r="31">
      <c r="A31" t="inlineStr">
        <is>
          <t>Terminal FCF cap multiple</t>
        </is>
      </c>
      <c r="B31" s="20">
        <f>Assumptions!$B$15</f>
        <v/>
      </c>
    </row>
    <row r="32">
      <c r="A32" t="inlineStr">
        <is>
          <t>Terminal-year FCF grown one year</t>
        </is>
      </c>
      <c r="B32" s="6">
        <f>L21*(1+B30/100)</f>
        <v/>
      </c>
    </row>
    <row r="33">
      <c r="A33" t="inlineStr">
        <is>
          <t>Gordon terminal value</t>
        </is>
      </c>
      <c r="B33" s="6">
        <f>L21*(1+B30/100)/((Assumptions!$B$4-B30)/100)</f>
        <v/>
      </c>
    </row>
    <row r="34">
      <c r="A34" t="inlineStr">
        <is>
          <t>Cap terminal value</t>
        </is>
      </c>
      <c r="B34" s="6">
        <f>B31*L21</f>
        <v/>
      </c>
    </row>
    <row r="35">
      <c r="A35" t="inlineStr">
        <is>
          <t>Terminal value used</t>
        </is>
      </c>
      <c r="B35" s="17">
        <f>MAX(0,MIN(B33,B34))</f>
        <v/>
      </c>
    </row>
    <row r="36">
      <c r="A36" t="inlineStr">
        <is>
          <t>Which bound</t>
        </is>
      </c>
      <c r="B36">
        <f>IF(B34&lt;B33,"cap","gordon")</f>
        <v/>
      </c>
    </row>
    <row r="37">
      <c r="A37" t="inlineStr">
        <is>
          <t>Implied exit multiple</t>
        </is>
      </c>
      <c r="B37" s="19">
        <f>B35/L21</f>
        <v/>
      </c>
    </row>
    <row r="38">
      <c r="A38" t="inlineStr">
        <is>
          <t>PV of terminal value</t>
        </is>
      </c>
      <c r="B38" s="6">
        <f>B35*L22</f>
        <v/>
      </c>
    </row>
    <row r="39">
      <c r="A39" t="inlineStr">
        <is>
          <t>Enterprise value</t>
        </is>
      </c>
      <c r="B39" s="6">
        <f>B29+B38</f>
        <v/>
      </c>
    </row>
    <row r="40">
      <c r="A40" t="inlineStr">
        <is>
          <t>Terminal % of EV</t>
        </is>
      </c>
      <c r="B40" s="19">
        <f>B38/B39*100</f>
        <v/>
      </c>
    </row>
    <row r="41">
      <c r="A41" t="inlineStr">
        <is>
          <t>less net debt</t>
        </is>
      </c>
      <c r="B41" s="16">
        <f>-Assumptions!$B$6</f>
        <v/>
      </c>
    </row>
    <row r="42">
      <c r="A42" t="inlineStr">
        <is>
          <t>Equity value</t>
        </is>
      </c>
      <c r="B42" s="6">
        <f>B39+B41</f>
        <v/>
      </c>
    </row>
    <row r="43">
      <c r="A43" t="inlineStr">
        <is>
          <t>Diluted shares (m)</t>
        </is>
      </c>
      <c r="B43" s="21">
        <f>Assumptions!$B$5</f>
        <v/>
      </c>
    </row>
    <row r="44">
      <c r="A44" s="2" t="inlineStr">
        <is>
          <t>VALUE PER SHARE (EUR)</t>
        </is>
      </c>
      <c r="B44" s="22">
        <f>B42/B43</f>
        <v/>
      </c>
    </row>
    <row r="45">
      <c r="A45" t="inlineStr">
        <is>
          <t>Upside vs price %</t>
        </is>
      </c>
      <c r="B45" s="19">
        <f>(B44/Assumptions!$B$7-1)*100</f>
        <v/>
      </c>
    </row>
    <row r="47">
      <c r="A47" s="2" t="inlineStr">
        <is>
          <t>STREET BASIS MEMO (SBC as non-cash)</t>
        </is>
      </c>
    </row>
    <row r="48">
      <c r="A48" t="inlineStr">
        <is>
          <t>PV of explicit-period SBC</t>
        </is>
      </c>
      <c r="B48" s="6">
        <f>SUMPRODUCT(-C10:L10,C22:L22)</f>
        <v/>
      </c>
    </row>
    <row r="49">
      <c r="A49" t="inlineStr">
        <is>
          <t>PV of terminal SBC</t>
        </is>
      </c>
      <c r="B49" s="6">
        <f>(-L10*(1+B30/100)/((Assumptions!$B$4-B30)/100))*L22</f>
        <v/>
      </c>
    </row>
    <row r="50">
      <c r="A50" t="inlineStr">
        <is>
          <t>Street value per share (EUR)</t>
        </is>
      </c>
      <c r="B50" s="23">
        <f>(B42+B48+B49)/B43</f>
        <v/>
      </c>
    </row>
    <row r="52">
      <c r="A52" s="2" t="inlineStr">
        <is>
          <t>ENTRY PRICE AT 15% HURDLE</t>
        </is>
      </c>
    </row>
    <row r="53">
      <c r="A53" t="inlineStr">
        <is>
          <t>PV of interim FCF at hurdle</t>
        </is>
      </c>
      <c r="B53" s="6">
        <f>SUMPRODUCT(C21:L21,1/(1+Assumptions!$B$9/100)^C4:L4)</f>
        <v/>
      </c>
    </row>
    <row r="54">
      <c r="A54" t="inlineStr">
        <is>
          <t>PV of terminal value at hurdle</t>
        </is>
      </c>
      <c r="B54" s="6">
        <f>B35/(1+Assumptions!$B$9/100)^10</f>
        <v/>
      </c>
    </row>
    <row r="55">
      <c r="A55" t="inlineStr">
        <is>
          <t>Entry price (EUR)</t>
        </is>
      </c>
      <c r="B55" s="22">
        <f>(B53+B54+B41)/B43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showGridLines="0"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UCB.BR -- BASE case, 10-year owner-FCF build</t>
        </is>
      </c>
    </row>
    <row r="3">
      <c r="A3" s="2" t="inlineStr">
        <is>
          <t>Year</t>
        </is>
      </c>
      <c r="B3" s="5" t="inlineStr">
        <is>
          <t>2025A</t>
        </is>
      </c>
      <c r="C3" s="5" t="inlineStr">
        <is>
          <t>2026E</t>
        </is>
      </c>
      <c r="D3" s="5" t="inlineStr">
        <is>
          <t>2027E</t>
        </is>
      </c>
      <c r="E3" s="5" t="inlineStr">
        <is>
          <t>2028E</t>
        </is>
      </c>
      <c r="F3" s="5" t="inlineStr">
        <is>
          <t>2029E</t>
        </is>
      </c>
      <c r="G3" s="5" t="inlineStr">
        <is>
          <t>2030E</t>
        </is>
      </c>
      <c r="H3" s="5" t="inlineStr">
        <is>
          <t>2031E</t>
        </is>
      </c>
      <c r="I3" s="5" t="inlineStr">
        <is>
          <t>2032E</t>
        </is>
      </c>
      <c r="J3" s="5" t="inlineStr">
        <is>
          <t>2033E</t>
        </is>
      </c>
      <c r="K3" s="5" t="inlineStr">
        <is>
          <t>2034E</t>
        </is>
      </c>
      <c r="L3" s="5" t="inlineStr">
        <is>
          <t>2035E</t>
        </is>
      </c>
    </row>
    <row r="4">
      <c r="A4" t="inlineStr">
        <is>
          <t>Year index</t>
        </is>
      </c>
      <c r="B4" t="n">
        <v>0</v>
      </c>
      <c r="C4" t="n">
        <v>1</v>
      </c>
      <c r="D4" t="n">
        <v>2</v>
      </c>
      <c r="E4" t="n">
        <v>3</v>
      </c>
      <c r="F4" t="n">
        <v>4</v>
      </c>
      <c r="G4" t="n">
        <v>5</v>
      </c>
      <c r="H4" t="n">
        <v>6</v>
      </c>
      <c r="I4" t="n">
        <v>7</v>
      </c>
      <c r="J4" t="n">
        <v>8</v>
      </c>
      <c r="K4" t="n">
        <v>9</v>
      </c>
      <c r="L4" t="n">
        <v>10</v>
      </c>
    </row>
    <row r="5">
      <c r="A5" t="inlineStr">
        <is>
          <t>Revenue growth % (driver)</t>
        </is>
      </c>
      <c r="C5" s="13" t="n">
        <v>14</v>
      </c>
      <c r="D5" s="13" t="n">
        <v>11</v>
      </c>
      <c r="E5" s="13" t="n">
        <v>9</v>
      </c>
      <c r="F5" s="13" t="n">
        <v>7.5</v>
      </c>
      <c r="G5" s="13" t="n">
        <v>6</v>
      </c>
      <c r="H5" s="13" t="n">
        <v>5</v>
      </c>
      <c r="I5" s="13" t="n">
        <v>4</v>
      </c>
      <c r="J5" s="13" t="n">
        <v>3.5</v>
      </c>
      <c r="K5" s="13" t="n">
        <v>3</v>
      </c>
      <c r="L5" s="13" t="n">
        <v>2.5</v>
      </c>
    </row>
    <row r="6">
      <c r="A6" t="inlineStr">
        <is>
          <t>Revenue</t>
        </is>
      </c>
      <c r="B6" s="8" t="n">
        <v>7741</v>
      </c>
      <c r="C6" s="6">
        <f>B6*(1+C5/100)</f>
        <v/>
      </c>
      <c r="D6" s="6">
        <f>C6*(1+D5/100)</f>
        <v/>
      </c>
      <c r="E6" s="6">
        <f>D6*(1+E5/100)</f>
        <v/>
      </c>
      <c r="F6" s="6">
        <f>E6*(1+F5/100)</f>
        <v/>
      </c>
      <c r="G6" s="6">
        <f>F6*(1+G5/100)</f>
        <v/>
      </c>
      <c r="H6" s="6">
        <f>G6*(1+H5/100)</f>
        <v/>
      </c>
      <c r="I6" s="6">
        <f>H6*(1+I5/100)</f>
        <v/>
      </c>
      <c r="J6" s="6">
        <f>I6*(1+J5/100)</f>
        <v/>
      </c>
      <c r="K6" s="6">
        <f>J6*(1+K5/100)</f>
        <v/>
      </c>
      <c r="L6" s="6">
        <f>K6*(1+L5/100)</f>
        <v/>
      </c>
    </row>
    <row r="7">
      <c r="A7" t="inlineStr">
        <is>
          <t>Adj EBITDA margin % (driver)</t>
        </is>
      </c>
      <c r="C7" s="13" t="n">
        <v>34.5</v>
      </c>
      <c r="D7" s="13" t="n">
        <v>36</v>
      </c>
      <c r="E7" s="13" t="n">
        <v>36.8</v>
      </c>
      <c r="F7" s="13" t="n">
        <v>37.3</v>
      </c>
      <c r="G7" s="13" t="n">
        <v>37.5</v>
      </c>
      <c r="H7" s="13" t="n">
        <v>37.3</v>
      </c>
      <c r="I7" s="13" t="n">
        <v>37</v>
      </c>
      <c r="J7" s="13" t="n">
        <v>36.5</v>
      </c>
      <c r="K7" s="13" t="n">
        <v>36</v>
      </c>
      <c r="L7" s="13" t="n">
        <v>36</v>
      </c>
    </row>
    <row r="8">
      <c r="A8" t="inlineStr">
        <is>
          <t>Adjusted EBITDA</t>
        </is>
      </c>
      <c r="C8" s="6">
        <f>C6*C7/100</f>
        <v/>
      </c>
      <c r="D8" s="6">
        <f>D6*D7/100</f>
        <v/>
      </c>
      <c r="E8" s="6">
        <f>E6*E7/100</f>
        <v/>
      </c>
      <c r="F8" s="6">
        <f>F6*F7/100</f>
        <v/>
      </c>
      <c r="G8" s="6">
        <f>G6*G7/100</f>
        <v/>
      </c>
      <c r="H8" s="6">
        <f>H6*H7/100</f>
        <v/>
      </c>
      <c r="I8" s="6">
        <f>I6*I7/100</f>
        <v/>
      </c>
      <c r="J8" s="6">
        <f>J6*J7/100</f>
        <v/>
      </c>
      <c r="K8" s="6">
        <f>K6*K7/100</f>
        <v/>
      </c>
      <c r="L8" s="6">
        <f>L6*L7/100</f>
        <v/>
      </c>
    </row>
    <row r="9">
      <c r="A9" t="inlineStr">
        <is>
          <t>SBC % of revenue (driver)</t>
        </is>
      </c>
      <c r="C9" s="10" t="n">
        <v>2.4</v>
      </c>
      <c r="D9" s="10" t="n">
        <v>2.4</v>
      </c>
      <c r="E9" s="10" t="n">
        <v>2.3</v>
      </c>
      <c r="F9" s="10" t="n">
        <v>2.3</v>
      </c>
      <c r="G9" s="10" t="n">
        <v>2.2</v>
      </c>
      <c r="H9" s="10" t="n">
        <v>2.2</v>
      </c>
      <c r="I9" s="10" t="n">
        <v>2.1</v>
      </c>
      <c r="J9" s="10" t="n">
        <v>2.1</v>
      </c>
      <c r="K9" s="10" t="n">
        <v>2</v>
      </c>
      <c r="L9" s="10" t="n">
        <v>2</v>
      </c>
    </row>
    <row r="10">
      <c r="A10" t="inlineStr">
        <is>
          <t>SBC (negative)</t>
        </is>
      </c>
      <c r="C10" s="6">
        <f>-C6*C9/100</f>
        <v/>
      </c>
      <c r="D10" s="6">
        <f>-D6*D9/100</f>
        <v/>
      </c>
      <c r="E10" s="6">
        <f>-E6*E9/100</f>
        <v/>
      </c>
      <c r="F10" s="6">
        <f>-F6*F9/100</f>
        <v/>
      </c>
      <c r="G10" s="6">
        <f>-G6*G9/100</f>
        <v/>
      </c>
      <c r="H10" s="6">
        <f>-H6*H9/100</f>
        <v/>
      </c>
      <c r="I10" s="6">
        <f>-I6*I9/100</f>
        <v/>
      </c>
      <c r="J10" s="6">
        <f>-J6*J9/100</f>
        <v/>
      </c>
      <c r="K10" s="6">
        <f>-K6*K9/100</f>
        <v/>
      </c>
      <c r="L10" s="6">
        <f>-L6*L9/100</f>
        <v/>
      </c>
    </row>
    <row r="11">
      <c r="A11" t="inlineStr">
        <is>
          <t>Owner EBITDA (SBC expensed)</t>
        </is>
      </c>
      <c r="C11" s="6">
        <f>C8+C10</f>
        <v/>
      </c>
      <c r="D11" s="6">
        <f>D8+D10</f>
        <v/>
      </c>
      <c r="E11" s="6">
        <f>E8+E10</f>
        <v/>
      </c>
      <c r="F11" s="6">
        <f>F8+F10</f>
        <v/>
      </c>
      <c r="G11" s="6">
        <f>G8+G10</f>
        <v/>
      </c>
      <c r="H11" s="6">
        <f>H8+H10</f>
        <v/>
      </c>
      <c r="I11" s="6">
        <f>I8+I10</f>
        <v/>
      </c>
      <c r="J11" s="6">
        <f>J8+J10</f>
        <v/>
      </c>
      <c r="K11" s="6">
        <f>K8+K10</f>
        <v/>
      </c>
      <c r="L11" s="6">
        <f>L8+L10</f>
        <v/>
      </c>
    </row>
    <row r="12">
      <c r="A12" t="inlineStr">
        <is>
          <t>D&amp;A % of revenue (driver)</t>
        </is>
      </c>
      <c r="C12" s="12" t="n">
        <v>7.5</v>
      </c>
      <c r="D12" s="12" t="n">
        <v>7.2</v>
      </c>
      <c r="E12" s="12" t="n">
        <v>7</v>
      </c>
      <c r="F12" s="12" t="n">
        <v>6.8</v>
      </c>
      <c r="G12" s="12" t="n">
        <v>6.6</v>
      </c>
      <c r="H12" s="12" t="n">
        <v>6.5</v>
      </c>
      <c r="I12" s="12" t="n">
        <v>6.5</v>
      </c>
      <c r="J12" s="12" t="n">
        <v>6.5</v>
      </c>
      <c r="K12" s="12" t="n">
        <v>6.5</v>
      </c>
      <c r="L12" s="12" t="n">
        <v>6.5</v>
      </c>
    </row>
    <row r="13">
      <c r="A13" t="inlineStr">
        <is>
          <t>D&amp;A (negative)</t>
        </is>
      </c>
      <c r="C13" s="6">
        <f>-C6*C12/100</f>
        <v/>
      </c>
      <c r="D13" s="6">
        <f>-D6*D12/100</f>
        <v/>
      </c>
      <c r="E13" s="6">
        <f>-E6*E12/100</f>
        <v/>
      </c>
      <c r="F13" s="6">
        <f>-F6*F12/100</f>
        <v/>
      </c>
      <c r="G13" s="6">
        <f>-G6*G12/100</f>
        <v/>
      </c>
      <c r="H13" s="6">
        <f>-H6*H12/100</f>
        <v/>
      </c>
      <c r="I13" s="6">
        <f>-I6*I12/100</f>
        <v/>
      </c>
      <c r="J13" s="6">
        <f>-J6*J12/100</f>
        <v/>
      </c>
      <c r="K13" s="6">
        <f>-K6*K12/100</f>
        <v/>
      </c>
      <c r="L13" s="6">
        <f>-L6*L12/100</f>
        <v/>
      </c>
    </row>
    <row r="14">
      <c r="A14" t="inlineStr">
        <is>
          <t>EBIT, SBC expensed</t>
        </is>
      </c>
      <c r="C14" s="6">
        <f>C11+C13</f>
        <v/>
      </c>
      <c r="D14" s="6">
        <f>D11+D13</f>
        <v/>
      </c>
      <c r="E14" s="6">
        <f>E11+E13</f>
        <v/>
      </c>
      <c r="F14" s="6">
        <f>F11+F13</f>
        <v/>
      </c>
      <c r="G14" s="6">
        <f>G11+G13</f>
        <v/>
      </c>
      <c r="H14" s="6">
        <f>H11+H13</f>
        <v/>
      </c>
      <c r="I14" s="6">
        <f>I11+I13</f>
        <v/>
      </c>
      <c r="J14" s="6">
        <f>J11+J13</f>
        <v/>
      </c>
      <c r="K14" s="6">
        <f>K11+K13</f>
        <v/>
      </c>
      <c r="L14" s="6">
        <f>L11+L13</f>
        <v/>
      </c>
    </row>
    <row r="15">
      <c r="A15" t="inlineStr">
        <is>
          <t>Cash tax rate % (driver)</t>
        </is>
      </c>
      <c r="C15" s="13" t="n">
        <v>17</v>
      </c>
      <c r="D15" s="13" t="n">
        <v>18</v>
      </c>
      <c r="E15" s="13" t="n">
        <v>19</v>
      </c>
      <c r="F15" s="13" t="n">
        <v>20</v>
      </c>
      <c r="G15" s="13" t="n">
        <v>21</v>
      </c>
      <c r="H15" s="13" t="n">
        <v>21</v>
      </c>
      <c r="I15" s="13" t="n">
        <v>21</v>
      </c>
      <c r="J15" s="13" t="n">
        <v>21</v>
      </c>
      <c r="K15" s="13" t="n">
        <v>21</v>
      </c>
      <c r="L15" s="13" t="n">
        <v>21</v>
      </c>
    </row>
    <row r="16">
      <c r="A16" t="inlineStr">
        <is>
          <t>NOPAT</t>
        </is>
      </c>
      <c r="C16" s="6">
        <f>C14*(1-C15/100)</f>
        <v/>
      </c>
      <c r="D16" s="6">
        <f>D14*(1-D15/100)</f>
        <v/>
      </c>
      <c r="E16" s="6">
        <f>E14*(1-E15/100)</f>
        <v/>
      </c>
      <c r="F16" s="6">
        <f>F14*(1-F15/100)</f>
        <v/>
      </c>
      <c r="G16" s="6">
        <f>G14*(1-G15/100)</f>
        <v/>
      </c>
      <c r="H16" s="6">
        <f>H14*(1-H15/100)</f>
        <v/>
      </c>
      <c r="I16" s="6">
        <f>I14*(1-I15/100)</f>
        <v/>
      </c>
      <c r="J16" s="6">
        <f>J14*(1-J15/100)</f>
        <v/>
      </c>
      <c r="K16" s="6">
        <f>K14*(1-K15/100)</f>
        <v/>
      </c>
      <c r="L16" s="6">
        <f>L14*(1-L15/100)</f>
        <v/>
      </c>
    </row>
    <row r="17">
      <c r="A17" t="inlineStr">
        <is>
          <t>add back D&amp;A</t>
        </is>
      </c>
      <c r="C17" s="6">
        <f>-C13</f>
        <v/>
      </c>
      <c r="D17" s="6">
        <f>-D13</f>
        <v/>
      </c>
      <c r="E17" s="6">
        <f>-E13</f>
        <v/>
      </c>
      <c r="F17" s="6">
        <f>-F13</f>
        <v/>
      </c>
      <c r="G17" s="6">
        <f>-G13</f>
        <v/>
      </c>
      <c r="H17" s="6">
        <f>-H13</f>
        <v/>
      </c>
      <c r="I17" s="6">
        <f>-I13</f>
        <v/>
      </c>
      <c r="J17" s="6">
        <f>-J13</f>
        <v/>
      </c>
      <c r="K17" s="6">
        <f>-K13</f>
        <v/>
      </c>
      <c r="L17" s="6">
        <f>-L13</f>
        <v/>
      </c>
    </row>
    <row r="18">
      <c r="A18" t="inlineStr">
        <is>
          <t>Capex % of revenue (driver)</t>
        </is>
      </c>
      <c r="C18" s="12" t="n">
        <v>8</v>
      </c>
      <c r="D18" s="12" t="n">
        <v>7</v>
      </c>
      <c r="E18" s="12" t="n">
        <v>6.5</v>
      </c>
      <c r="F18" s="12" t="n">
        <v>6</v>
      </c>
      <c r="G18" s="12" t="n">
        <v>5.8</v>
      </c>
      <c r="H18" s="12" t="n">
        <v>5.5</v>
      </c>
      <c r="I18" s="12" t="n">
        <v>5.5</v>
      </c>
      <c r="J18" s="12" t="n">
        <v>5.5</v>
      </c>
      <c r="K18" s="12" t="n">
        <v>5.5</v>
      </c>
      <c r="L18" s="12" t="n">
        <v>5.5</v>
      </c>
    </row>
    <row r="19">
      <c r="A19" t="inlineStr">
        <is>
          <t>less capex</t>
        </is>
      </c>
      <c r="C19" s="6">
        <f>-C6*C18/100</f>
        <v/>
      </c>
      <c r="D19" s="6">
        <f>-D6*D18/100</f>
        <v/>
      </c>
      <c r="E19" s="6">
        <f>-E6*E18/100</f>
        <v/>
      </c>
      <c r="F19" s="6">
        <f>-F6*F18/100</f>
        <v/>
      </c>
      <c r="G19" s="6">
        <f>-G6*G18/100</f>
        <v/>
      </c>
      <c r="H19" s="6">
        <f>-H6*H18/100</f>
        <v/>
      </c>
      <c r="I19" s="6">
        <f>-I6*I18/100</f>
        <v/>
      </c>
      <c r="J19" s="6">
        <f>-J6*J18/100</f>
        <v/>
      </c>
      <c r="K19" s="6">
        <f>-K6*K18/100</f>
        <v/>
      </c>
      <c r="L19" s="6">
        <f>-L6*L18/100</f>
        <v/>
      </c>
    </row>
    <row r="20">
      <c r="A20" t="inlineStr">
        <is>
          <t>Working capital (on revenue CHANGE)</t>
        </is>
      </c>
      <c r="C20" s="16">
        <f>Assumptions!$C$17/100*(C6-B6)</f>
        <v/>
      </c>
      <c r="D20" s="16">
        <f>Assumptions!$C$17/100*(D6-C6)</f>
        <v/>
      </c>
      <c r="E20" s="16">
        <f>Assumptions!$C$17/100*(E6-D6)</f>
        <v/>
      </c>
      <c r="F20" s="16">
        <f>Assumptions!$C$17/100*(F6-E6)</f>
        <v/>
      </c>
      <c r="G20" s="16">
        <f>Assumptions!$C$17/100*(G6-F6)</f>
        <v/>
      </c>
      <c r="H20" s="16">
        <f>Assumptions!$C$17/100*(H6-G6)</f>
        <v/>
      </c>
      <c r="I20" s="16">
        <f>Assumptions!$C$17/100*(I6-H6)</f>
        <v/>
      </c>
      <c r="J20" s="16">
        <f>Assumptions!$C$17/100*(J6-I6)</f>
        <v/>
      </c>
      <c r="K20" s="16">
        <f>Assumptions!$C$17/100*(K6-J6)</f>
        <v/>
      </c>
      <c r="L20" s="16">
        <f>Assumptions!$C$17/100*(L6-K6)</f>
        <v/>
      </c>
    </row>
    <row r="21">
      <c r="A21" s="2" t="inlineStr">
        <is>
          <t>UNLEVERED OWNER FCF</t>
        </is>
      </c>
      <c r="C21" s="17">
        <f>C16+C17+C19+C20</f>
        <v/>
      </c>
      <c r="D21" s="17">
        <f>D16+D17+D19+D20</f>
        <v/>
      </c>
      <c r="E21" s="17">
        <f>E16+E17+E19+E20</f>
        <v/>
      </c>
      <c r="F21" s="17">
        <f>F16+F17+F19+F20</f>
        <v/>
      </c>
      <c r="G21" s="17">
        <f>G16+G17+G19+G20</f>
        <v/>
      </c>
      <c r="H21" s="17">
        <f>H16+H17+H19+H20</f>
        <v/>
      </c>
      <c r="I21" s="17">
        <f>I16+I17+I19+I20</f>
        <v/>
      </c>
      <c r="J21" s="17">
        <f>J16+J17+J19+J20</f>
        <v/>
      </c>
      <c r="K21" s="17">
        <f>K16+K17+K19+K20</f>
        <v/>
      </c>
      <c r="L21" s="17">
        <f>L16+L17+L19+L20</f>
        <v/>
      </c>
    </row>
    <row r="22">
      <c r="A22" t="inlineStr">
        <is>
          <t>Discount factor</t>
        </is>
      </c>
      <c r="C22" s="18">
        <f>1/(1+Assumptions!$B$4/100)^C4</f>
        <v/>
      </c>
      <c r="D22" s="18">
        <f>1/(1+Assumptions!$B$4/100)^D4</f>
        <v/>
      </c>
      <c r="E22" s="18">
        <f>1/(1+Assumptions!$B$4/100)^E4</f>
        <v/>
      </c>
      <c r="F22" s="18">
        <f>1/(1+Assumptions!$B$4/100)^F4</f>
        <v/>
      </c>
      <c r="G22" s="18">
        <f>1/(1+Assumptions!$B$4/100)^G4</f>
        <v/>
      </c>
      <c r="H22" s="18">
        <f>1/(1+Assumptions!$B$4/100)^H4</f>
        <v/>
      </c>
      <c r="I22" s="18">
        <f>1/(1+Assumptions!$B$4/100)^I4</f>
        <v/>
      </c>
      <c r="J22" s="18">
        <f>1/(1+Assumptions!$B$4/100)^J4</f>
        <v/>
      </c>
      <c r="K22" s="18">
        <f>1/(1+Assumptions!$B$4/100)^K4</f>
        <v/>
      </c>
      <c r="L22" s="18">
        <f>1/(1+Assumptions!$B$4/100)^L4</f>
        <v/>
      </c>
    </row>
    <row r="23">
      <c r="A23" t="inlineStr">
        <is>
          <t>PV of FCF</t>
        </is>
      </c>
      <c r="C23" s="6">
        <f>C21*C22</f>
        <v/>
      </c>
      <c r="D23" s="6">
        <f>D21*D22</f>
        <v/>
      </c>
      <c r="E23" s="6">
        <f>E21*E22</f>
        <v/>
      </c>
      <c r="F23" s="6">
        <f>F21*F22</f>
        <v/>
      </c>
      <c r="G23" s="6">
        <f>G21*G22</f>
        <v/>
      </c>
      <c r="H23" s="6">
        <f>H21*H22</f>
        <v/>
      </c>
      <c r="I23" s="6">
        <f>I21*I22</f>
        <v/>
      </c>
      <c r="J23" s="6">
        <f>J21*J22</f>
        <v/>
      </c>
      <c r="K23" s="6">
        <f>K21*K22</f>
        <v/>
      </c>
      <c r="L23" s="6">
        <f>L21*L22</f>
        <v/>
      </c>
    </row>
    <row r="25">
      <c r="A25" t="inlineStr">
        <is>
          <t>Memo: FCF before SBC (company style)</t>
        </is>
      </c>
      <c r="C25" s="6">
        <f>C21-C10</f>
        <v/>
      </c>
      <c r="D25" s="6">
        <f>D21-D10</f>
        <v/>
      </c>
      <c r="E25" s="6">
        <f>E21-E10</f>
        <v/>
      </c>
      <c r="F25" s="6">
        <f>F21-F10</f>
        <v/>
      </c>
      <c r="G25" s="6">
        <f>G21-G10</f>
        <v/>
      </c>
      <c r="H25" s="6">
        <f>H21-H10</f>
        <v/>
      </c>
      <c r="I25" s="6">
        <f>I21-I10</f>
        <v/>
      </c>
      <c r="J25" s="6">
        <f>J21-J10</f>
        <v/>
      </c>
      <c r="K25" s="6">
        <f>K21-K10</f>
        <v/>
      </c>
      <c r="L25" s="6">
        <f>L21-L10</f>
        <v/>
      </c>
    </row>
    <row r="26">
      <c r="A26" t="inlineStr">
        <is>
          <t>Memo: owner FCF margin %</t>
        </is>
      </c>
      <c r="C26" s="19">
        <f>C21/C6*100</f>
        <v/>
      </c>
      <c r="D26" s="19">
        <f>D21/D6*100</f>
        <v/>
      </c>
      <c r="E26" s="19">
        <f>E21/E6*100</f>
        <v/>
      </c>
      <c r="F26" s="19">
        <f>F21/F6*100</f>
        <v/>
      </c>
      <c r="G26" s="19">
        <f>G21/G6*100</f>
        <v/>
      </c>
      <c r="H26" s="19">
        <f>H21/H6*100</f>
        <v/>
      </c>
      <c r="I26" s="19">
        <f>I21/I6*100</f>
        <v/>
      </c>
      <c r="J26" s="19">
        <f>J21/J6*100</f>
        <v/>
      </c>
      <c r="K26" s="19">
        <f>K21/K6*100</f>
        <v/>
      </c>
      <c r="L26" s="19">
        <f>L21/L6*100</f>
        <v/>
      </c>
    </row>
    <row r="28">
      <c r="A28" s="2" t="inlineStr">
        <is>
          <t>VALUATION</t>
        </is>
      </c>
    </row>
    <row r="29">
      <c r="A29" t="inlineStr">
        <is>
          <t>Sum of PV of FCF</t>
        </is>
      </c>
      <c r="B29" s="6">
        <f>SUM(C23:L23)</f>
        <v/>
      </c>
    </row>
    <row r="30">
      <c r="A30" t="inlineStr">
        <is>
          <t>Terminal growth %</t>
        </is>
      </c>
      <c r="B30" s="20">
        <f>Assumptions!$C$14</f>
        <v/>
      </c>
    </row>
    <row r="31">
      <c r="A31" t="inlineStr">
        <is>
          <t>Terminal FCF cap multiple</t>
        </is>
      </c>
      <c r="B31" s="20">
        <f>Assumptions!$C$15</f>
        <v/>
      </c>
    </row>
    <row r="32">
      <c r="A32" t="inlineStr">
        <is>
          <t>Terminal-year FCF grown one year</t>
        </is>
      </c>
      <c r="B32" s="6">
        <f>L21*(1+B30/100)</f>
        <v/>
      </c>
    </row>
    <row r="33">
      <c r="A33" t="inlineStr">
        <is>
          <t>Gordon terminal value</t>
        </is>
      </c>
      <c r="B33" s="6">
        <f>L21*(1+B30/100)/((Assumptions!$B$4-B30)/100)</f>
        <v/>
      </c>
    </row>
    <row r="34">
      <c r="A34" t="inlineStr">
        <is>
          <t>Cap terminal value</t>
        </is>
      </c>
      <c r="B34" s="6">
        <f>B31*L21</f>
        <v/>
      </c>
    </row>
    <row r="35">
      <c r="A35" t="inlineStr">
        <is>
          <t>Terminal value used</t>
        </is>
      </c>
      <c r="B35" s="17">
        <f>MAX(0,MIN(B33,B34))</f>
        <v/>
      </c>
    </row>
    <row r="36">
      <c r="A36" t="inlineStr">
        <is>
          <t>Which bound</t>
        </is>
      </c>
      <c r="B36">
        <f>IF(B34&lt;B33,"cap","gordon")</f>
        <v/>
      </c>
    </row>
    <row r="37">
      <c r="A37" t="inlineStr">
        <is>
          <t>Implied exit multiple</t>
        </is>
      </c>
      <c r="B37" s="19">
        <f>B35/L21</f>
        <v/>
      </c>
    </row>
    <row r="38">
      <c r="A38" t="inlineStr">
        <is>
          <t>PV of terminal value</t>
        </is>
      </c>
      <c r="B38" s="6">
        <f>B35*L22</f>
        <v/>
      </c>
    </row>
    <row r="39">
      <c r="A39" t="inlineStr">
        <is>
          <t>Enterprise value</t>
        </is>
      </c>
      <c r="B39" s="6">
        <f>B29+B38</f>
        <v/>
      </c>
    </row>
    <row r="40">
      <c r="A40" t="inlineStr">
        <is>
          <t>Terminal % of EV</t>
        </is>
      </c>
      <c r="B40" s="19">
        <f>B38/B39*100</f>
        <v/>
      </c>
    </row>
    <row r="41">
      <c r="A41" t="inlineStr">
        <is>
          <t>less net debt</t>
        </is>
      </c>
      <c r="B41" s="16">
        <f>-Assumptions!$B$6</f>
        <v/>
      </c>
    </row>
    <row r="42">
      <c r="A42" t="inlineStr">
        <is>
          <t>Equity value</t>
        </is>
      </c>
      <c r="B42" s="6">
        <f>B39+B41</f>
        <v/>
      </c>
    </row>
    <row r="43">
      <c r="A43" t="inlineStr">
        <is>
          <t>Diluted shares (m)</t>
        </is>
      </c>
      <c r="B43" s="21">
        <f>Assumptions!$B$5</f>
        <v/>
      </c>
    </row>
    <row r="44">
      <c r="A44" s="2" t="inlineStr">
        <is>
          <t>VALUE PER SHARE (EUR)</t>
        </is>
      </c>
      <c r="B44" s="22">
        <f>B42/B43</f>
        <v/>
      </c>
    </row>
    <row r="45">
      <c r="A45" t="inlineStr">
        <is>
          <t>Upside vs price %</t>
        </is>
      </c>
      <c r="B45" s="19">
        <f>(B44/Assumptions!$B$7-1)*100</f>
        <v/>
      </c>
    </row>
    <row r="47">
      <c r="A47" s="2" t="inlineStr">
        <is>
          <t>STREET BASIS MEMO (SBC as non-cash)</t>
        </is>
      </c>
    </row>
    <row r="48">
      <c r="A48" t="inlineStr">
        <is>
          <t>PV of explicit-period SBC</t>
        </is>
      </c>
      <c r="B48" s="6">
        <f>SUMPRODUCT(-C10:L10,C22:L22)</f>
        <v/>
      </c>
    </row>
    <row r="49">
      <c r="A49" t="inlineStr">
        <is>
          <t>PV of terminal SBC</t>
        </is>
      </c>
      <c r="B49" s="6">
        <f>(-L10*(1+B30/100)/((Assumptions!$B$4-B30)/100))*L22</f>
        <v/>
      </c>
    </row>
    <row r="50">
      <c r="A50" t="inlineStr">
        <is>
          <t>Street value per share (EUR)</t>
        </is>
      </c>
      <c r="B50" s="23">
        <f>(B42+B48+B49)/B43</f>
        <v/>
      </c>
    </row>
    <row r="52">
      <c r="A52" s="2" t="inlineStr">
        <is>
          <t>ENTRY PRICE AT 15% HURDLE</t>
        </is>
      </c>
    </row>
    <row r="53">
      <c r="A53" t="inlineStr">
        <is>
          <t>PV of interim FCF at hurdle</t>
        </is>
      </c>
      <c r="B53" s="6">
        <f>SUMPRODUCT(C21:L21,1/(1+Assumptions!$B$9/100)^C4:L4)</f>
        <v/>
      </c>
    </row>
    <row r="54">
      <c r="A54" t="inlineStr">
        <is>
          <t>PV of terminal value at hurdle</t>
        </is>
      </c>
      <c r="B54" s="6">
        <f>B35/(1+Assumptions!$B$9/100)^10</f>
        <v/>
      </c>
    </row>
    <row r="55">
      <c r="A55" t="inlineStr">
        <is>
          <t>Entry price (EUR)</t>
        </is>
      </c>
      <c r="B55" s="22">
        <f>(B53+B54+B41)/B43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 t="inlineStr">
        <is>
          <t>UCB.BR -- BULL case, 10-year owner-FCF build</t>
        </is>
      </c>
    </row>
    <row r="3">
      <c r="A3" s="2" t="inlineStr">
        <is>
          <t>Year</t>
        </is>
      </c>
      <c r="B3" s="5" t="inlineStr">
        <is>
          <t>2025A</t>
        </is>
      </c>
      <c r="C3" s="5" t="inlineStr">
        <is>
          <t>2026E</t>
        </is>
      </c>
      <c r="D3" s="5" t="inlineStr">
        <is>
          <t>2027E</t>
        </is>
      </c>
      <c r="E3" s="5" t="inlineStr">
        <is>
          <t>2028E</t>
        </is>
      </c>
      <c r="F3" s="5" t="inlineStr">
        <is>
          <t>2029E</t>
        </is>
      </c>
      <c r="G3" s="5" t="inlineStr">
        <is>
          <t>2030E</t>
        </is>
      </c>
      <c r="H3" s="5" t="inlineStr">
        <is>
          <t>2031E</t>
        </is>
      </c>
      <c r="I3" s="5" t="inlineStr">
        <is>
          <t>2032E</t>
        </is>
      </c>
      <c r="J3" s="5" t="inlineStr">
        <is>
          <t>2033E</t>
        </is>
      </c>
      <c r="K3" s="5" t="inlineStr">
        <is>
          <t>2034E</t>
        </is>
      </c>
      <c r="L3" s="5" t="inlineStr">
        <is>
          <t>2035E</t>
        </is>
      </c>
    </row>
    <row r="4">
      <c r="A4" t="inlineStr">
        <is>
          <t>Year index</t>
        </is>
      </c>
      <c r="B4" t="n">
        <v>0</v>
      </c>
      <c r="C4" t="n">
        <v>1</v>
      </c>
      <c r="D4" t="n">
        <v>2</v>
      </c>
      <c r="E4" t="n">
        <v>3</v>
      </c>
      <c r="F4" t="n">
        <v>4</v>
      </c>
      <c r="G4" t="n">
        <v>5</v>
      </c>
      <c r="H4" t="n">
        <v>6</v>
      </c>
      <c r="I4" t="n">
        <v>7</v>
      </c>
      <c r="J4" t="n">
        <v>8</v>
      </c>
      <c r="K4" t="n">
        <v>9</v>
      </c>
      <c r="L4" t="n">
        <v>10</v>
      </c>
    </row>
    <row r="5">
      <c r="A5" t="inlineStr">
        <is>
          <t>Revenue growth % (driver)</t>
        </is>
      </c>
      <c r="C5" s="13" t="n">
        <v>18</v>
      </c>
      <c r="D5" s="13" t="n">
        <v>15</v>
      </c>
      <c r="E5" s="13" t="n">
        <v>13</v>
      </c>
      <c r="F5" s="13" t="n">
        <v>11</v>
      </c>
      <c r="G5" s="13" t="n">
        <v>9</v>
      </c>
      <c r="H5" s="13" t="n">
        <v>7.5</v>
      </c>
      <c r="I5" s="13" t="n">
        <v>6</v>
      </c>
      <c r="J5" s="13" t="n">
        <v>5</v>
      </c>
      <c r="K5" s="13" t="n">
        <v>4</v>
      </c>
      <c r="L5" s="13" t="n">
        <v>3.5</v>
      </c>
    </row>
    <row r="6">
      <c r="A6" t="inlineStr">
        <is>
          <t>Revenue</t>
        </is>
      </c>
      <c r="B6" s="8" t="n">
        <v>7741</v>
      </c>
      <c r="C6" s="6">
        <f>B6*(1+C5/100)</f>
        <v/>
      </c>
      <c r="D6" s="6">
        <f>C6*(1+D5/100)</f>
        <v/>
      </c>
      <c r="E6" s="6">
        <f>D6*(1+E5/100)</f>
        <v/>
      </c>
      <c r="F6" s="6">
        <f>E6*(1+F5/100)</f>
        <v/>
      </c>
      <c r="G6" s="6">
        <f>F6*(1+G5/100)</f>
        <v/>
      </c>
      <c r="H6" s="6">
        <f>G6*(1+H5/100)</f>
        <v/>
      </c>
      <c r="I6" s="6">
        <f>H6*(1+I5/100)</f>
        <v/>
      </c>
      <c r="J6" s="6">
        <f>I6*(1+J5/100)</f>
        <v/>
      </c>
      <c r="K6" s="6">
        <f>J6*(1+K5/100)</f>
        <v/>
      </c>
      <c r="L6" s="6">
        <f>K6*(1+L5/100)</f>
        <v/>
      </c>
    </row>
    <row r="7">
      <c r="A7" t="inlineStr">
        <is>
          <t>Adj EBITDA margin % (driver)</t>
        </is>
      </c>
      <c r="C7" s="13" t="n">
        <v>36.5</v>
      </c>
      <c r="D7" s="13" t="n">
        <v>38.5</v>
      </c>
      <c r="E7" s="13" t="n">
        <v>40</v>
      </c>
      <c r="F7" s="13" t="n">
        <v>41</v>
      </c>
      <c r="G7" s="13" t="n">
        <v>41.5</v>
      </c>
      <c r="H7" s="13" t="n">
        <v>41.5</v>
      </c>
      <c r="I7" s="13" t="n">
        <v>41</v>
      </c>
      <c r="J7" s="13" t="n">
        <v>40.5</v>
      </c>
      <c r="K7" s="13" t="n">
        <v>40</v>
      </c>
      <c r="L7" s="13" t="n">
        <v>40</v>
      </c>
    </row>
    <row r="8">
      <c r="A8" t="inlineStr">
        <is>
          <t>Adjusted EBITDA</t>
        </is>
      </c>
      <c r="C8" s="6">
        <f>C6*C7/100</f>
        <v/>
      </c>
      <c r="D8" s="6">
        <f>D6*D7/100</f>
        <v/>
      </c>
      <c r="E8" s="6">
        <f>E6*E7/100</f>
        <v/>
      </c>
      <c r="F8" s="6">
        <f>F6*F7/100</f>
        <v/>
      </c>
      <c r="G8" s="6">
        <f>G6*G7/100</f>
        <v/>
      </c>
      <c r="H8" s="6">
        <f>H6*H7/100</f>
        <v/>
      </c>
      <c r="I8" s="6">
        <f>I6*I7/100</f>
        <v/>
      </c>
      <c r="J8" s="6">
        <f>J6*J7/100</f>
        <v/>
      </c>
      <c r="K8" s="6">
        <f>K6*K7/100</f>
        <v/>
      </c>
      <c r="L8" s="6">
        <f>L6*L7/100</f>
        <v/>
      </c>
    </row>
    <row r="9">
      <c r="A9" t="inlineStr">
        <is>
          <t>SBC % of revenue (driver)</t>
        </is>
      </c>
      <c r="C9" s="10" t="n">
        <v>2.4</v>
      </c>
      <c r="D9" s="10" t="n">
        <v>2.3</v>
      </c>
      <c r="E9" s="10" t="n">
        <v>2.2</v>
      </c>
      <c r="F9" s="10" t="n">
        <v>2.1</v>
      </c>
      <c r="G9" s="10" t="n">
        <v>2</v>
      </c>
      <c r="H9" s="10" t="n">
        <v>2</v>
      </c>
      <c r="I9" s="10" t="n">
        <v>1.9</v>
      </c>
      <c r="J9" s="10" t="n">
        <v>1.9</v>
      </c>
      <c r="K9" s="10" t="n">
        <v>1.8</v>
      </c>
      <c r="L9" s="10" t="n">
        <v>1.8</v>
      </c>
    </row>
    <row r="10">
      <c r="A10" t="inlineStr">
        <is>
          <t>SBC (negative)</t>
        </is>
      </c>
      <c r="C10" s="6">
        <f>-C6*C9/100</f>
        <v/>
      </c>
      <c r="D10" s="6">
        <f>-D6*D9/100</f>
        <v/>
      </c>
      <c r="E10" s="6">
        <f>-E6*E9/100</f>
        <v/>
      </c>
      <c r="F10" s="6">
        <f>-F6*F9/100</f>
        <v/>
      </c>
      <c r="G10" s="6">
        <f>-G6*G9/100</f>
        <v/>
      </c>
      <c r="H10" s="6">
        <f>-H6*H9/100</f>
        <v/>
      </c>
      <c r="I10" s="6">
        <f>-I6*I9/100</f>
        <v/>
      </c>
      <c r="J10" s="6">
        <f>-J6*J9/100</f>
        <v/>
      </c>
      <c r="K10" s="6">
        <f>-K6*K9/100</f>
        <v/>
      </c>
      <c r="L10" s="6">
        <f>-L6*L9/100</f>
        <v/>
      </c>
    </row>
    <row r="11">
      <c r="A11" t="inlineStr">
        <is>
          <t>Owner EBITDA (SBC expensed)</t>
        </is>
      </c>
      <c r="C11" s="6">
        <f>C8+C10</f>
        <v/>
      </c>
      <c r="D11" s="6">
        <f>D8+D10</f>
        <v/>
      </c>
      <c r="E11" s="6">
        <f>E8+E10</f>
        <v/>
      </c>
      <c r="F11" s="6">
        <f>F8+F10</f>
        <v/>
      </c>
      <c r="G11" s="6">
        <f>G8+G10</f>
        <v/>
      </c>
      <c r="H11" s="6">
        <f>H8+H10</f>
        <v/>
      </c>
      <c r="I11" s="6">
        <f>I8+I10</f>
        <v/>
      </c>
      <c r="J11" s="6">
        <f>J8+J10</f>
        <v/>
      </c>
      <c r="K11" s="6">
        <f>K8+K10</f>
        <v/>
      </c>
      <c r="L11" s="6">
        <f>L8+L10</f>
        <v/>
      </c>
    </row>
    <row r="12">
      <c r="A12" t="inlineStr">
        <is>
          <t>D&amp;A % of revenue (driver)</t>
        </is>
      </c>
      <c r="C12" s="12" t="n">
        <v>7.3</v>
      </c>
      <c r="D12" s="12" t="n">
        <v>6.9</v>
      </c>
      <c r="E12" s="12" t="n">
        <v>6.6</v>
      </c>
      <c r="F12" s="12" t="n">
        <v>6.3</v>
      </c>
      <c r="G12" s="12" t="n">
        <v>6</v>
      </c>
      <c r="H12" s="12" t="n">
        <v>5.8</v>
      </c>
      <c r="I12" s="12" t="n">
        <v>5.8</v>
      </c>
      <c r="J12" s="12" t="n">
        <v>5.8</v>
      </c>
      <c r="K12" s="12" t="n">
        <v>5.8</v>
      </c>
      <c r="L12" s="12" t="n">
        <v>5.8</v>
      </c>
    </row>
    <row r="13">
      <c r="A13" t="inlineStr">
        <is>
          <t>D&amp;A (negative)</t>
        </is>
      </c>
      <c r="C13" s="6">
        <f>-C6*C12/100</f>
        <v/>
      </c>
      <c r="D13" s="6">
        <f>-D6*D12/100</f>
        <v/>
      </c>
      <c r="E13" s="6">
        <f>-E6*E12/100</f>
        <v/>
      </c>
      <c r="F13" s="6">
        <f>-F6*F12/100</f>
        <v/>
      </c>
      <c r="G13" s="6">
        <f>-G6*G12/100</f>
        <v/>
      </c>
      <c r="H13" s="6">
        <f>-H6*H12/100</f>
        <v/>
      </c>
      <c r="I13" s="6">
        <f>-I6*I12/100</f>
        <v/>
      </c>
      <c r="J13" s="6">
        <f>-J6*J12/100</f>
        <v/>
      </c>
      <c r="K13" s="6">
        <f>-K6*K12/100</f>
        <v/>
      </c>
      <c r="L13" s="6">
        <f>-L6*L12/100</f>
        <v/>
      </c>
    </row>
    <row r="14">
      <c r="A14" t="inlineStr">
        <is>
          <t>EBIT, SBC expensed</t>
        </is>
      </c>
      <c r="C14" s="6">
        <f>C11+C13</f>
        <v/>
      </c>
      <c r="D14" s="6">
        <f>D11+D13</f>
        <v/>
      </c>
      <c r="E14" s="6">
        <f>E11+E13</f>
        <v/>
      </c>
      <c r="F14" s="6">
        <f>F11+F13</f>
        <v/>
      </c>
      <c r="G14" s="6">
        <f>G11+G13</f>
        <v/>
      </c>
      <c r="H14" s="6">
        <f>H11+H13</f>
        <v/>
      </c>
      <c r="I14" s="6">
        <f>I11+I13</f>
        <v/>
      </c>
      <c r="J14" s="6">
        <f>J11+J13</f>
        <v/>
      </c>
      <c r="K14" s="6">
        <f>K11+K13</f>
        <v/>
      </c>
      <c r="L14" s="6">
        <f>L11+L13</f>
        <v/>
      </c>
    </row>
    <row r="15">
      <c r="A15" t="inlineStr">
        <is>
          <t>Cash tax rate % (driver)</t>
        </is>
      </c>
      <c r="C15" s="13" t="n">
        <v>16</v>
      </c>
      <c r="D15" s="13" t="n">
        <v>17</v>
      </c>
      <c r="E15" s="13" t="n">
        <v>18</v>
      </c>
      <c r="F15" s="13" t="n">
        <v>18.5</v>
      </c>
      <c r="G15" s="13" t="n">
        <v>19</v>
      </c>
      <c r="H15" s="13" t="n">
        <v>19</v>
      </c>
      <c r="I15" s="13" t="n">
        <v>19</v>
      </c>
      <c r="J15" s="13" t="n">
        <v>19</v>
      </c>
      <c r="K15" s="13" t="n">
        <v>19</v>
      </c>
      <c r="L15" s="13" t="n">
        <v>19</v>
      </c>
    </row>
    <row r="16">
      <c r="A16" t="inlineStr">
        <is>
          <t>NOPAT</t>
        </is>
      </c>
      <c r="C16" s="6">
        <f>C14*(1-C15/100)</f>
        <v/>
      </c>
      <c r="D16" s="6">
        <f>D14*(1-D15/100)</f>
        <v/>
      </c>
      <c r="E16" s="6">
        <f>E14*(1-E15/100)</f>
        <v/>
      </c>
      <c r="F16" s="6">
        <f>F14*(1-F15/100)</f>
        <v/>
      </c>
      <c r="G16" s="6">
        <f>G14*(1-G15/100)</f>
        <v/>
      </c>
      <c r="H16" s="6">
        <f>H14*(1-H15/100)</f>
        <v/>
      </c>
      <c r="I16" s="6">
        <f>I14*(1-I15/100)</f>
        <v/>
      </c>
      <c r="J16" s="6">
        <f>J14*(1-J15/100)</f>
        <v/>
      </c>
      <c r="K16" s="6">
        <f>K14*(1-K15/100)</f>
        <v/>
      </c>
      <c r="L16" s="6">
        <f>L14*(1-L15/100)</f>
        <v/>
      </c>
    </row>
    <row r="17">
      <c r="A17" t="inlineStr">
        <is>
          <t>add back D&amp;A</t>
        </is>
      </c>
      <c r="C17" s="6">
        <f>-C13</f>
        <v/>
      </c>
      <c r="D17" s="6">
        <f>-D13</f>
        <v/>
      </c>
      <c r="E17" s="6">
        <f>-E13</f>
        <v/>
      </c>
      <c r="F17" s="6">
        <f>-F13</f>
        <v/>
      </c>
      <c r="G17" s="6">
        <f>-G13</f>
        <v/>
      </c>
      <c r="H17" s="6">
        <f>-H13</f>
        <v/>
      </c>
      <c r="I17" s="6">
        <f>-I13</f>
        <v/>
      </c>
      <c r="J17" s="6">
        <f>-J13</f>
        <v/>
      </c>
      <c r="K17" s="6">
        <f>-K13</f>
        <v/>
      </c>
      <c r="L17" s="6">
        <f>-L13</f>
        <v/>
      </c>
    </row>
    <row r="18">
      <c r="A18" t="inlineStr">
        <is>
          <t>Capex % of revenue (driver)</t>
        </is>
      </c>
      <c r="C18" s="12" t="n">
        <v>8</v>
      </c>
      <c r="D18" s="12" t="n">
        <v>6.8</v>
      </c>
      <c r="E18" s="12" t="n">
        <v>6.2</v>
      </c>
      <c r="F18" s="12" t="n">
        <v>5.8</v>
      </c>
      <c r="G18" s="12" t="n">
        <v>5.5</v>
      </c>
      <c r="H18" s="12" t="n">
        <v>5.2</v>
      </c>
      <c r="I18" s="12" t="n">
        <v>5.2</v>
      </c>
      <c r="J18" s="12" t="n">
        <v>5.2</v>
      </c>
      <c r="K18" s="12" t="n">
        <v>5.2</v>
      </c>
      <c r="L18" s="12" t="n">
        <v>5.2</v>
      </c>
    </row>
    <row r="19">
      <c r="A19" t="inlineStr">
        <is>
          <t>less capex</t>
        </is>
      </c>
      <c r="C19" s="6">
        <f>-C6*C18/100</f>
        <v/>
      </c>
      <c r="D19" s="6">
        <f>-D6*D18/100</f>
        <v/>
      </c>
      <c r="E19" s="6">
        <f>-E6*E18/100</f>
        <v/>
      </c>
      <c r="F19" s="6">
        <f>-F6*F18/100</f>
        <v/>
      </c>
      <c r="G19" s="6">
        <f>-G6*G18/100</f>
        <v/>
      </c>
      <c r="H19" s="6">
        <f>-H6*H18/100</f>
        <v/>
      </c>
      <c r="I19" s="6">
        <f>-I6*I18/100</f>
        <v/>
      </c>
      <c r="J19" s="6">
        <f>-J6*J18/100</f>
        <v/>
      </c>
      <c r="K19" s="6">
        <f>-K6*K18/100</f>
        <v/>
      </c>
      <c r="L19" s="6">
        <f>-L6*L18/100</f>
        <v/>
      </c>
    </row>
    <row r="20">
      <c r="A20" t="inlineStr">
        <is>
          <t>Working capital (on revenue CHANGE)</t>
        </is>
      </c>
      <c r="C20" s="16">
        <f>Assumptions!$D$17/100*(C6-B6)</f>
        <v/>
      </c>
      <c r="D20" s="16">
        <f>Assumptions!$D$17/100*(D6-C6)</f>
        <v/>
      </c>
      <c r="E20" s="16">
        <f>Assumptions!$D$17/100*(E6-D6)</f>
        <v/>
      </c>
      <c r="F20" s="16">
        <f>Assumptions!$D$17/100*(F6-E6)</f>
        <v/>
      </c>
      <c r="G20" s="16">
        <f>Assumptions!$D$17/100*(G6-F6)</f>
        <v/>
      </c>
      <c r="H20" s="16">
        <f>Assumptions!$D$17/100*(H6-G6)</f>
        <v/>
      </c>
      <c r="I20" s="16">
        <f>Assumptions!$D$17/100*(I6-H6)</f>
        <v/>
      </c>
      <c r="J20" s="16">
        <f>Assumptions!$D$17/100*(J6-I6)</f>
        <v/>
      </c>
      <c r="K20" s="16">
        <f>Assumptions!$D$17/100*(K6-J6)</f>
        <v/>
      </c>
      <c r="L20" s="16">
        <f>Assumptions!$D$17/100*(L6-K6)</f>
        <v/>
      </c>
    </row>
    <row r="21">
      <c r="A21" s="2" t="inlineStr">
        <is>
          <t>UNLEVERED OWNER FCF</t>
        </is>
      </c>
      <c r="C21" s="17">
        <f>C16+C17+C19+C20</f>
        <v/>
      </c>
      <c r="D21" s="17">
        <f>D16+D17+D19+D20</f>
        <v/>
      </c>
      <c r="E21" s="17">
        <f>E16+E17+E19+E20</f>
        <v/>
      </c>
      <c r="F21" s="17">
        <f>F16+F17+F19+F20</f>
        <v/>
      </c>
      <c r="G21" s="17">
        <f>G16+G17+G19+G20</f>
        <v/>
      </c>
      <c r="H21" s="17">
        <f>H16+H17+H19+H20</f>
        <v/>
      </c>
      <c r="I21" s="17">
        <f>I16+I17+I19+I20</f>
        <v/>
      </c>
      <c r="J21" s="17">
        <f>J16+J17+J19+J20</f>
        <v/>
      </c>
      <c r="K21" s="17">
        <f>K16+K17+K19+K20</f>
        <v/>
      </c>
      <c r="L21" s="17">
        <f>L16+L17+L19+L20</f>
        <v/>
      </c>
    </row>
    <row r="22">
      <c r="A22" t="inlineStr">
        <is>
          <t>Discount factor</t>
        </is>
      </c>
      <c r="C22" s="18">
        <f>1/(1+Assumptions!$B$4/100)^C4</f>
        <v/>
      </c>
      <c r="D22" s="18">
        <f>1/(1+Assumptions!$B$4/100)^D4</f>
        <v/>
      </c>
      <c r="E22" s="18">
        <f>1/(1+Assumptions!$B$4/100)^E4</f>
        <v/>
      </c>
      <c r="F22" s="18">
        <f>1/(1+Assumptions!$B$4/100)^F4</f>
        <v/>
      </c>
      <c r="G22" s="18">
        <f>1/(1+Assumptions!$B$4/100)^G4</f>
        <v/>
      </c>
      <c r="H22" s="18">
        <f>1/(1+Assumptions!$B$4/100)^H4</f>
        <v/>
      </c>
      <c r="I22" s="18">
        <f>1/(1+Assumptions!$B$4/100)^I4</f>
        <v/>
      </c>
      <c r="J22" s="18">
        <f>1/(1+Assumptions!$B$4/100)^J4</f>
        <v/>
      </c>
      <c r="K22" s="18">
        <f>1/(1+Assumptions!$B$4/100)^K4</f>
        <v/>
      </c>
      <c r="L22" s="18">
        <f>1/(1+Assumptions!$B$4/100)^L4</f>
        <v/>
      </c>
    </row>
    <row r="23">
      <c r="A23" t="inlineStr">
        <is>
          <t>PV of FCF</t>
        </is>
      </c>
      <c r="C23" s="6">
        <f>C21*C22</f>
        <v/>
      </c>
      <c r="D23" s="6">
        <f>D21*D22</f>
        <v/>
      </c>
      <c r="E23" s="6">
        <f>E21*E22</f>
        <v/>
      </c>
      <c r="F23" s="6">
        <f>F21*F22</f>
        <v/>
      </c>
      <c r="G23" s="6">
        <f>G21*G22</f>
        <v/>
      </c>
      <c r="H23" s="6">
        <f>H21*H22</f>
        <v/>
      </c>
      <c r="I23" s="6">
        <f>I21*I22</f>
        <v/>
      </c>
      <c r="J23" s="6">
        <f>J21*J22</f>
        <v/>
      </c>
      <c r="K23" s="6">
        <f>K21*K22</f>
        <v/>
      </c>
      <c r="L23" s="6">
        <f>L21*L22</f>
        <v/>
      </c>
    </row>
    <row r="25">
      <c r="A25" t="inlineStr">
        <is>
          <t>Memo: FCF before SBC (company style)</t>
        </is>
      </c>
      <c r="C25" s="6">
        <f>C21-C10</f>
        <v/>
      </c>
      <c r="D25" s="6">
        <f>D21-D10</f>
        <v/>
      </c>
      <c r="E25" s="6">
        <f>E21-E10</f>
        <v/>
      </c>
      <c r="F25" s="6">
        <f>F21-F10</f>
        <v/>
      </c>
      <c r="G25" s="6">
        <f>G21-G10</f>
        <v/>
      </c>
      <c r="H25" s="6">
        <f>H21-H10</f>
        <v/>
      </c>
      <c r="I25" s="6">
        <f>I21-I10</f>
        <v/>
      </c>
      <c r="J25" s="6">
        <f>J21-J10</f>
        <v/>
      </c>
      <c r="K25" s="6">
        <f>K21-K10</f>
        <v/>
      </c>
      <c r="L25" s="6">
        <f>L21-L10</f>
        <v/>
      </c>
    </row>
    <row r="26">
      <c r="A26" t="inlineStr">
        <is>
          <t>Memo: owner FCF margin %</t>
        </is>
      </c>
      <c r="C26" s="19">
        <f>C21/C6*100</f>
        <v/>
      </c>
      <c r="D26" s="19">
        <f>D21/D6*100</f>
        <v/>
      </c>
      <c r="E26" s="19">
        <f>E21/E6*100</f>
        <v/>
      </c>
      <c r="F26" s="19">
        <f>F21/F6*100</f>
        <v/>
      </c>
      <c r="G26" s="19">
        <f>G21/G6*100</f>
        <v/>
      </c>
      <c r="H26" s="19">
        <f>H21/H6*100</f>
        <v/>
      </c>
      <c r="I26" s="19">
        <f>I21/I6*100</f>
        <v/>
      </c>
      <c r="J26" s="19">
        <f>J21/J6*100</f>
        <v/>
      </c>
      <c r="K26" s="19">
        <f>K21/K6*100</f>
        <v/>
      </c>
      <c r="L26" s="19">
        <f>L21/L6*100</f>
        <v/>
      </c>
    </row>
    <row r="28">
      <c r="A28" s="2" t="inlineStr">
        <is>
          <t>VALUATION</t>
        </is>
      </c>
    </row>
    <row r="29">
      <c r="A29" t="inlineStr">
        <is>
          <t>Sum of PV of FCF</t>
        </is>
      </c>
      <c r="B29" s="6">
        <f>SUM(C23:L23)</f>
        <v/>
      </c>
    </row>
    <row r="30">
      <c r="A30" t="inlineStr">
        <is>
          <t>Terminal growth %</t>
        </is>
      </c>
      <c r="B30" s="20">
        <f>Assumptions!$D$14</f>
        <v/>
      </c>
    </row>
    <row r="31">
      <c r="A31" t="inlineStr">
        <is>
          <t>Terminal FCF cap multiple</t>
        </is>
      </c>
      <c r="B31" s="20">
        <f>Assumptions!$D$15</f>
        <v/>
      </c>
    </row>
    <row r="32">
      <c r="A32" t="inlineStr">
        <is>
          <t>Terminal-year FCF grown one year</t>
        </is>
      </c>
      <c r="B32" s="6">
        <f>L21*(1+B30/100)</f>
        <v/>
      </c>
    </row>
    <row r="33">
      <c r="A33" t="inlineStr">
        <is>
          <t>Gordon terminal value</t>
        </is>
      </c>
      <c r="B33" s="6">
        <f>L21*(1+B30/100)/((Assumptions!$B$4-B30)/100)</f>
        <v/>
      </c>
    </row>
    <row r="34">
      <c r="A34" t="inlineStr">
        <is>
          <t>Cap terminal value</t>
        </is>
      </c>
      <c r="B34" s="6">
        <f>B31*L21</f>
        <v/>
      </c>
    </row>
    <row r="35">
      <c r="A35" t="inlineStr">
        <is>
          <t>Terminal value used</t>
        </is>
      </c>
      <c r="B35" s="17">
        <f>MAX(0,MIN(B33,B34))</f>
        <v/>
      </c>
    </row>
    <row r="36">
      <c r="A36" t="inlineStr">
        <is>
          <t>Which bound</t>
        </is>
      </c>
      <c r="B36">
        <f>IF(B34&lt;B33,"cap","gordon")</f>
        <v/>
      </c>
    </row>
    <row r="37">
      <c r="A37" t="inlineStr">
        <is>
          <t>Implied exit multiple</t>
        </is>
      </c>
      <c r="B37" s="19">
        <f>B35/L21</f>
        <v/>
      </c>
    </row>
    <row r="38">
      <c r="A38" t="inlineStr">
        <is>
          <t>PV of terminal value</t>
        </is>
      </c>
      <c r="B38" s="6">
        <f>B35*L22</f>
        <v/>
      </c>
    </row>
    <row r="39">
      <c r="A39" t="inlineStr">
        <is>
          <t>Enterprise value</t>
        </is>
      </c>
      <c r="B39" s="6">
        <f>B29+B38</f>
        <v/>
      </c>
    </row>
    <row r="40">
      <c r="A40" t="inlineStr">
        <is>
          <t>Terminal % of EV</t>
        </is>
      </c>
      <c r="B40" s="19">
        <f>B38/B39*100</f>
        <v/>
      </c>
    </row>
    <row r="41">
      <c r="A41" t="inlineStr">
        <is>
          <t>less net debt</t>
        </is>
      </c>
      <c r="B41" s="16">
        <f>-Assumptions!$B$6</f>
        <v/>
      </c>
    </row>
    <row r="42">
      <c r="A42" t="inlineStr">
        <is>
          <t>Equity value</t>
        </is>
      </c>
      <c r="B42" s="6">
        <f>B39+B41</f>
        <v/>
      </c>
    </row>
    <row r="43">
      <c r="A43" t="inlineStr">
        <is>
          <t>Diluted shares (m)</t>
        </is>
      </c>
      <c r="B43" s="21">
        <f>Assumptions!$B$5</f>
        <v/>
      </c>
    </row>
    <row r="44">
      <c r="A44" s="2" t="inlineStr">
        <is>
          <t>VALUE PER SHARE (EUR)</t>
        </is>
      </c>
      <c r="B44" s="22">
        <f>B42/B43</f>
        <v/>
      </c>
    </row>
    <row r="45">
      <c r="A45" t="inlineStr">
        <is>
          <t>Upside vs price %</t>
        </is>
      </c>
      <c r="B45" s="19">
        <f>(B44/Assumptions!$B$7-1)*100</f>
        <v/>
      </c>
    </row>
    <row r="47">
      <c r="A47" s="2" t="inlineStr">
        <is>
          <t>STREET BASIS MEMO (SBC as non-cash)</t>
        </is>
      </c>
    </row>
    <row r="48">
      <c r="A48" t="inlineStr">
        <is>
          <t>PV of explicit-period SBC</t>
        </is>
      </c>
      <c r="B48" s="6">
        <f>SUMPRODUCT(-C10:L10,C22:L22)</f>
        <v/>
      </c>
    </row>
    <row r="49">
      <c r="A49" t="inlineStr">
        <is>
          <t>PV of terminal SBC</t>
        </is>
      </c>
      <c r="B49" s="6">
        <f>(-L10*(1+B30/100)/((Assumptions!$B$4-B30)/100))*L22</f>
        <v/>
      </c>
    </row>
    <row r="50">
      <c r="A50" t="inlineStr">
        <is>
          <t>Street value per share (EUR)</t>
        </is>
      </c>
      <c r="B50" s="23">
        <f>(B42+B48+B49)/B43</f>
        <v/>
      </c>
    </row>
    <row r="52">
      <c r="A52" s="2" t="inlineStr">
        <is>
          <t>ENTRY PRICE AT 15% HURDLE</t>
        </is>
      </c>
    </row>
    <row r="53">
      <c r="A53" t="inlineStr">
        <is>
          <t>PV of interim FCF at hurdle</t>
        </is>
      </c>
      <c r="B53" s="6">
        <f>SUMPRODUCT(C21:L21,1/(1+Assumptions!$B$9/100)^C4:L4)</f>
        <v/>
      </c>
    </row>
    <row r="54">
      <c r="A54" t="inlineStr">
        <is>
          <t>PV of terminal value at hurdle</t>
        </is>
      </c>
      <c r="B54" s="6">
        <f>B35/(1+Assumptions!$B$9/100)^10</f>
        <v/>
      </c>
    </row>
    <row r="55">
      <c r="A55" t="inlineStr">
        <is>
          <t>Entry price (EUR)</t>
        </is>
      </c>
      <c r="B55" s="22">
        <f>(B53+B54+B41)/B43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40" customWidth="1" min="1" max="1"/>
  </cols>
  <sheetData>
    <row r="1">
      <c r="A1" s="1" t="inlineStr">
        <is>
          <t>Reported FCF reconciled to owner FCF -- every historical year</t>
        </is>
      </c>
    </row>
    <row r="3">
      <c r="B3" s="5" t="inlineStr">
        <is>
          <t>FY2019</t>
        </is>
      </c>
      <c r="C3" s="5" t="inlineStr">
        <is>
          <t>FY2020</t>
        </is>
      </c>
      <c r="D3" s="5" t="inlineStr">
        <is>
          <t>FY2021</t>
        </is>
      </c>
      <c r="E3" s="5" t="inlineStr">
        <is>
          <t>FY2022</t>
        </is>
      </c>
      <c r="F3" s="5" t="inlineStr">
        <is>
          <t>FY2023</t>
        </is>
      </c>
      <c r="G3" s="5" t="inlineStr">
        <is>
          <t>FY2024</t>
        </is>
      </c>
      <c r="H3" s="5" t="inlineStr">
        <is>
          <t>FY2025</t>
        </is>
      </c>
    </row>
    <row r="4">
      <c r="A4" t="inlineStr">
        <is>
          <t>Revenue</t>
        </is>
      </c>
      <c r="B4" s="6" t="n">
        <v>4913</v>
      </c>
      <c r="C4" s="6" t="n">
        <v>5347</v>
      </c>
      <c r="D4" s="6" t="n">
        <v>5777</v>
      </c>
      <c r="E4" s="6" t="n">
        <v>5517</v>
      </c>
      <c r="F4" s="6" t="n">
        <v>5252</v>
      </c>
      <c r="G4" s="6" t="n">
        <v>6152</v>
      </c>
      <c r="H4" s="6" t="n">
        <v>7741</v>
      </c>
    </row>
    <row r="5">
      <c r="A5" t="inlineStr">
        <is>
          <t>Free cash flow (company definition)</t>
        </is>
      </c>
      <c r="B5" s="6" t="n">
        <v>599</v>
      </c>
      <c r="C5" s="6" t="n">
        <v>732</v>
      </c>
      <c r="D5" s="6" t="n">
        <v>1060</v>
      </c>
      <c r="E5" s="6" t="n">
        <v>748</v>
      </c>
      <c r="F5" s="6" t="n">
        <v>445</v>
      </c>
      <c r="G5" s="6" t="n">
        <v>920</v>
      </c>
      <c r="H5" s="6" t="n">
        <v>1842</v>
      </c>
    </row>
    <row r="6">
      <c r="A6" t="inlineStr">
        <is>
          <t>less: SBC incl. equity-award taxes</t>
        </is>
      </c>
      <c r="B6" s="6" t="n">
        <v>-69</v>
      </c>
      <c r="C6" s="6" t="n">
        <v>-81</v>
      </c>
      <c r="D6" s="6" t="n">
        <v>-109</v>
      </c>
      <c r="E6" s="6" t="n">
        <v>-81</v>
      </c>
      <c r="F6" s="6" t="n">
        <v>-104</v>
      </c>
      <c r="G6" s="6" t="n">
        <v>-183</v>
      </c>
      <c r="H6" s="6" t="n">
        <v>-188</v>
      </c>
    </row>
    <row r="7">
      <c r="A7" t="inlineStr">
        <is>
          <t>less: interest income</t>
        </is>
      </c>
      <c r="B7" s="6" t="n">
        <v>-20</v>
      </c>
      <c r="C7" s="6" t="n">
        <v>-20</v>
      </c>
      <c r="D7" s="6" t="n">
        <v>-17</v>
      </c>
      <c r="E7" s="6" t="n">
        <v>-20</v>
      </c>
      <c r="F7" s="6" t="n">
        <v>-20</v>
      </c>
      <c r="G7" s="6" t="n">
        <v>-29</v>
      </c>
      <c r="H7" s="6" t="n">
        <v>-46</v>
      </c>
    </row>
    <row r="8">
      <c r="A8" s="2" t="inlineStr">
        <is>
          <t>Owner FCF (equals sum above)</t>
        </is>
      </c>
      <c r="B8" s="17">
        <f>SUM(B5:B7)</f>
        <v/>
      </c>
      <c r="C8" s="17">
        <f>SUM(C5:C7)</f>
        <v/>
      </c>
      <c r="D8" s="17">
        <f>SUM(D5:D7)</f>
        <v/>
      </c>
      <c r="E8" s="17">
        <f>SUM(E5:E7)</f>
        <v/>
      </c>
      <c r="F8" s="17">
        <f>SUM(F5:F7)</f>
        <v/>
      </c>
      <c r="G8" s="17">
        <f>SUM(G5:G7)</f>
        <v/>
      </c>
      <c r="H8" s="17">
        <f>SUM(H5:H7)</f>
        <v/>
      </c>
    </row>
    <row r="9">
      <c r="A9" t="inlineStr">
        <is>
          <t>Reported FCF margin %</t>
        </is>
      </c>
      <c r="B9" s="19">
        <f>B5/B4*100</f>
        <v/>
      </c>
      <c r="C9" s="19">
        <f>C5/C4*100</f>
        <v/>
      </c>
      <c r="D9" s="19">
        <f>D5/D4*100</f>
        <v/>
      </c>
      <c r="E9" s="19">
        <f>E5/E4*100</f>
        <v/>
      </c>
      <c r="F9" s="19">
        <f>F5/F4*100</f>
        <v/>
      </c>
      <c r="G9" s="19">
        <f>G5/G4*100</f>
        <v/>
      </c>
      <c r="H9" s="19">
        <f>H5/H4*100</f>
        <v/>
      </c>
    </row>
    <row r="10">
      <c r="A10" t="inlineStr">
        <is>
          <t>Owner FCF margin %</t>
        </is>
      </c>
      <c r="B10" s="19">
        <f>B8/B4*100</f>
        <v/>
      </c>
      <c r="C10" s="19">
        <f>C8/C4*100</f>
        <v/>
      </c>
      <c r="D10" s="19">
        <f>D8/D4*100</f>
        <v/>
      </c>
      <c r="E10" s="19">
        <f>E8/E4*100</f>
        <v/>
      </c>
      <c r="F10" s="19">
        <f>F8/F4*100</f>
        <v/>
      </c>
      <c r="G10" s="19">
        <f>G8/G4*100</f>
        <v/>
      </c>
      <c r="H10" s="19">
        <f>H8/H4*100</f>
        <v/>
      </c>
    </row>
    <row r="12">
      <c r="A12" s="2" t="inlineStr">
        <is>
          <t>MEMO: working capital inside OCF</t>
        </is>
      </c>
    </row>
    <row r="13">
      <c r="A13" t="inlineStr">
        <is>
          <t>Change in working capital (EUR m)</t>
        </is>
      </c>
      <c r="G13" s="6" t="n">
        <v>168</v>
      </c>
      <c r="H13" s="6" t="n">
        <v>303</v>
      </c>
      <c r="J13" t="inlineStr">
        <is>
          <t>FY2025 +303 was an INFLOW; H1-2026 was -623, an outflow. Growth consumes WC -- hence the negative capture rate.</t>
        </is>
      </c>
    </row>
    <row r="14">
      <c r="A14" t="inlineStr">
        <is>
          <t>Cash taxes paid (EUR m)</t>
        </is>
      </c>
      <c r="C14" s="6" t="n">
        <v>-72</v>
      </c>
      <c r="D14" s="6" t="n">
        <v>-126</v>
      </c>
      <c r="G14" s="6" t="n">
        <v>-215</v>
      </c>
      <c r="H14" s="6" t="n">
        <v>-582</v>
      </c>
      <c r="J14" t="inlineStr">
        <is>
          <t>FY2025 cash tax 582 on PBT 1,822 = 31.9% cash rate, well above the 15% guided book rate -- the model ramps 17% to 21%.</t>
        </is>
      </c>
    </row>
    <row r="16">
      <c r="A16" s="2" t="inlineStr">
        <is>
          <t>MEMO: the FY2025 step-change</t>
        </is>
      </c>
    </row>
    <row r="17">
      <c r="A17" t="inlineStr">
        <is>
          <t>Owner FCF median FY2015-FY2024</t>
        </is>
      </c>
      <c r="B17" s="6" t="n">
        <v>605</v>
      </c>
      <c r="D17" t="inlineStr">
        <is>
          <t>NOT used as the base. That median describes the pre-Bimzelx company -- see Model_Info.</t>
        </is>
      </c>
    </row>
    <row r="18">
      <c r="A18" t="inlineStr">
        <is>
          <t>FY2025 owner FCF</t>
        </is>
      </c>
      <c r="B18" s="6" t="n">
        <v>1608</v>
      </c>
      <c r="D18" t="inlineStr">
        <is>
          <t>2.7x the median. A genuine product-cycle inflection, confirmed by H1-2026 (+22% revenue, 40.7% margin).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showGridLines="0" workbookViewId="0">
      <selection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UCB.BR -- valuation summary, entry prices and sensitivity</t>
        </is>
      </c>
    </row>
    <row r="3">
      <c r="A3" t="inlineStr"/>
      <c r="B3" s="5" t="inlineStr">
        <is>
          <t>Bear</t>
        </is>
      </c>
      <c r="C3" s="5" t="inlineStr">
        <is>
          <t>Base</t>
        </is>
      </c>
      <c r="D3" s="5" t="inlineStr">
        <is>
          <t>Bull</t>
        </is>
      </c>
    </row>
    <row r="4">
      <c r="A4" t="inlineStr">
        <is>
          <t>Value per share (EUR)</t>
        </is>
      </c>
      <c r="B4" s="24">
        <f>DCF_Bear!$B$44</f>
        <v/>
      </c>
      <c r="C4" s="24">
        <f>DCF_Base!$B$44</f>
        <v/>
      </c>
      <c r="D4" s="24">
        <f>DCF_Bull!$B$44</f>
        <v/>
      </c>
    </row>
    <row r="5">
      <c r="A5" t="inlineStr">
        <is>
          <t>Street value per share (EUR)</t>
        </is>
      </c>
      <c r="B5" s="24">
        <f>DCF_Bear!$B$50</f>
        <v/>
      </c>
      <c r="C5" s="24">
        <f>DCF_Base!$B$50</f>
        <v/>
      </c>
      <c r="D5" s="24">
        <f>DCF_Bull!$B$50</f>
        <v/>
      </c>
    </row>
    <row r="6">
      <c r="A6" t="inlineStr">
        <is>
          <t>Entry price at 15% (EUR)</t>
        </is>
      </c>
      <c r="B6" s="24">
        <f>DCF_Bear!$B$55</f>
        <v/>
      </c>
      <c r="C6" s="24">
        <f>DCF_Base!$B$55</f>
        <v/>
      </c>
      <c r="D6" s="24">
        <f>DCF_Bull!$B$55</f>
        <v/>
      </c>
    </row>
    <row r="7">
      <c r="A7" t="inlineStr">
        <is>
          <t>Upside vs price %</t>
        </is>
      </c>
      <c r="B7" s="19">
        <f>(B4/Assumptions!$B$7-1)*100</f>
        <v/>
      </c>
      <c r="C7" s="19">
        <f>(C4/Assumptions!$B$7-1)*100</f>
        <v/>
      </c>
      <c r="D7" s="19">
        <f>(D4/Assumptions!$B$7-1)*100</f>
        <v/>
      </c>
    </row>
    <row r="8">
      <c r="A8" t="inlineStr">
        <is>
          <t>Probability weight</t>
        </is>
      </c>
      <c r="B8" s="25">
        <f>Assumptions!$B$16</f>
        <v/>
      </c>
      <c r="C8" s="25">
        <f>Assumptions!$C$16</f>
        <v/>
      </c>
      <c r="D8" s="25">
        <f>Assumptions!$D$16</f>
        <v/>
      </c>
    </row>
    <row r="10">
      <c r="A10" s="2" t="inlineStr">
        <is>
          <t>PROBABILITY-WEIGHTED VALUE (EUR)</t>
        </is>
      </c>
      <c r="B10" s="22">
        <f>SUMPRODUCT(B4:D4,B8:D8)</f>
        <v/>
      </c>
    </row>
    <row r="11">
      <c r="A11" t="inlineStr">
        <is>
          <t>Street weighted value (EUR)</t>
        </is>
      </c>
      <c r="B11" s="26">
        <f>SUMPRODUCT(B5:D5,B8:D8)</f>
        <v/>
      </c>
    </row>
    <row r="12">
      <c r="A12" t="inlineStr">
        <is>
          <t>Weighted entry price at 15% (EUR)</t>
        </is>
      </c>
      <c r="B12" s="22">
        <f>SUMPRODUCT(B6:D6,B8:D8)</f>
        <v/>
      </c>
    </row>
    <row r="13">
      <c r="A13" t="inlineStr">
        <is>
          <t>Current price (EUR)</t>
        </is>
      </c>
      <c r="B13" s="24">
        <f>Assumptions!$B$7</f>
        <v/>
      </c>
    </row>
    <row r="14">
      <c r="A14" t="inlineStr">
        <is>
          <t>Upside vs weighted %</t>
        </is>
      </c>
      <c r="B14" s="19">
        <f>(B10/Assumptions!$B$7-1)*100</f>
        <v/>
      </c>
    </row>
    <row r="15">
      <c r="A15" t="inlineStr">
        <is>
          <t>Margin of safety</t>
        </is>
      </c>
      <c r="B15" s="27">
        <f>1-Assumptions!$B$7/B10</f>
        <v/>
      </c>
    </row>
    <row r="16">
      <c r="A16" t="inlineStr">
        <is>
          <t>Band position (0% house, 100% street)</t>
        </is>
      </c>
      <c r="B16" s="19">
        <f>(Assumptions!$B$7-B10)/(B11-B10)*100</f>
        <v/>
      </c>
      <c r="D16" t="inlineStr">
        <is>
          <t>Not collapsed -- UCB has real SBC (2.4% of revenue), so this is a meaningful number, not n/a.</t>
        </is>
      </c>
    </row>
    <row r="18">
      <c r="A18" s="2" t="inlineStr">
        <is>
          <t>REQUIRED-RETURN TABLE (base case)</t>
        </is>
      </c>
    </row>
    <row r="19">
      <c r="A19" t="inlineStr">
        <is>
          <t>Required return %</t>
        </is>
      </c>
      <c r="B19" s="2" t="inlineStr">
        <is>
          <t>Value per share (EUR)</t>
        </is>
      </c>
    </row>
    <row r="20">
      <c r="A20" s="19" t="n">
        <v>7</v>
      </c>
      <c r="B20" s="26">
        <f>IF(7/100&gt;DCF_Base!$B$30/100,(SUMPRODUCT(DCF_Base!$C$21:$L$21,1/(1+7/100)^DCF_Base!$C$4:$L$4)+MAX(0,MIN(DCF_Base!$L$21*(1+DCF_Base!$B$30/100)/((7-DCF_Base!$B$30)/100),DCF_Base!$B$31*DCF_Base!$L$21))/(1+7/100)^10+DCF_Base!$B$41)/DCF_Base!$B$43,"n/a")</f>
        <v/>
      </c>
    </row>
    <row r="21">
      <c r="A21" s="19" t="n">
        <v>8</v>
      </c>
      <c r="B21" s="28">
        <f>IF(8/100&gt;DCF_Base!$B$30/100,(SUMPRODUCT(DCF_Base!$C$21:$L$21,1/(1+8/100)^DCF_Base!$C$4:$L$4)+MAX(0,MIN(DCF_Base!$L$21*(1+DCF_Base!$B$30/100)/((8-DCF_Base!$B$30)/100),DCF_Base!$B$31*DCF_Base!$L$21))/(1+8/100)^10+DCF_Base!$B$41)/DCF_Base!$B$43,"n/a")</f>
        <v/>
      </c>
    </row>
    <row r="22">
      <c r="A22" s="19" t="n">
        <v>9</v>
      </c>
      <c r="B22" s="26">
        <f>IF(9/100&gt;DCF_Base!$B$30/100,(SUMPRODUCT(DCF_Base!$C$21:$L$21,1/(1+9/100)^DCF_Base!$C$4:$L$4)+MAX(0,MIN(DCF_Base!$L$21*(1+DCF_Base!$B$30/100)/((9-DCF_Base!$B$30)/100),DCF_Base!$B$31*DCF_Base!$L$21))/(1+9/100)^10+DCF_Base!$B$41)/DCF_Base!$B$43,"n/a")</f>
        <v/>
      </c>
    </row>
    <row r="23">
      <c r="A23" s="19" t="n">
        <v>10</v>
      </c>
      <c r="B23" s="26">
        <f>IF(10/100&gt;DCF_Base!$B$30/100,(SUMPRODUCT(DCF_Base!$C$21:$L$21,1/(1+10/100)^DCF_Base!$C$4:$L$4)+MAX(0,MIN(DCF_Base!$L$21*(1+DCF_Base!$B$30/100)/((10-DCF_Base!$B$30)/100),DCF_Base!$B$31*DCF_Base!$L$21))/(1+10/100)^10+DCF_Base!$B$41)/DCF_Base!$B$43,"n/a")</f>
        <v/>
      </c>
    </row>
    <row r="24">
      <c r="A24" s="19" t="n">
        <v>11</v>
      </c>
      <c r="B24" s="26">
        <f>IF(11/100&gt;DCF_Base!$B$30/100,(SUMPRODUCT(DCF_Base!$C$21:$L$21,1/(1+11/100)^DCF_Base!$C$4:$L$4)+MAX(0,MIN(DCF_Base!$L$21*(1+DCF_Base!$B$30/100)/((11-DCF_Base!$B$30)/100),DCF_Base!$B$31*DCF_Base!$L$21))/(1+11/100)^10+DCF_Base!$B$41)/DCF_Base!$B$43,"n/a")</f>
        <v/>
      </c>
    </row>
    <row r="25">
      <c r="A25" s="19" t="n">
        <v>12</v>
      </c>
      <c r="B25" s="26">
        <f>IF(12/100&gt;DCF_Base!$B$30/100,(SUMPRODUCT(DCF_Base!$C$21:$L$21,1/(1+12/100)^DCF_Base!$C$4:$L$4)+MAX(0,MIN(DCF_Base!$L$21*(1+DCF_Base!$B$30/100)/((12-DCF_Base!$B$30)/100),DCF_Base!$B$31*DCF_Base!$L$21))/(1+12/100)^10+DCF_Base!$B$41)/DCF_Base!$B$43,"n/a")</f>
        <v/>
      </c>
    </row>
    <row r="26">
      <c r="A26" s="19" t="n">
        <v>15</v>
      </c>
      <c r="B26" s="26">
        <f>IF(15/100&gt;DCF_Base!$B$30/100,(SUMPRODUCT(DCF_Base!$C$21:$L$21,1/(1+15/100)^DCF_Base!$C$4:$L$4)+MAX(0,MIN(DCF_Base!$L$21*(1+DCF_Base!$B$30/100)/((15-DCF_Base!$B$30)/100),DCF_Base!$B$31*DCF_Base!$L$21))/(1+15/100)^10+DCF_Base!$B$41)/DCF_Base!$B$43,"n/a")</f>
        <v/>
      </c>
    </row>
    <row r="27">
      <c r="A27" t="inlineStr">
        <is>
          <t>Note: the market price sits between the 7% and 8% rows, so EUR 216.50 implies a required return of roughly 7.5%.</t>
        </is>
      </c>
    </row>
    <row r="29">
      <c r="A29" s="2" t="inlineStr">
        <is>
          <t>SENSITIVITY -- base case, WACC (rows) x terminal growth (cols)</t>
        </is>
      </c>
    </row>
    <row r="30">
      <c r="A30" t="inlineStr">
        <is>
          <t>WACC % \ g %</t>
        </is>
      </c>
      <c r="B30" s="29" t="n">
        <v>1</v>
      </c>
      <c r="C30" s="29" t="n">
        <v>1.5</v>
      </c>
      <c r="D30" s="29" t="n">
        <v>2</v>
      </c>
      <c r="E30" s="29" t="n">
        <v>2.5</v>
      </c>
      <c r="F30" s="29" t="n">
        <v>3</v>
      </c>
    </row>
    <row r="31">
      <c r="A31" s="29" t="n">
        <v>6</v>
      </c>
      <c r="B31" s="26">
        <f>IF(6.0&gt;1.0,(SUMPRODUCT(DCF_Base!$C$21:$L$21,1/(1+6.0/100)^DCF_Base!$C$4:$L$4)+MAX(0,MIN(DCF_Base!$L$21*(1+1.0/100)/((6.0-1.0)/100),DCF_Base!$B$31*DCF_Base!$L$21))/(1+6.0/100)^10+DCF_Base!$B$41)/DCF_Base!$B$43,"n/a")</f>
        <v/>
      </c>
      <c r="C31" s="26">
        <f>IF(6.0&gt;1.5,(SUMPRODUCT(DCF_Base!$C$21:$L$21,1/(1+6.0/100)^DCF_Base!$C$4:$L$4)+MAX(0,MIN(DCF_Base!$L$21*(1+1.5/100)/((6.0-1.5)/100),DCF_Base!$B$31*DCF_Base!$L$21))/(1+6.0/100)^10+DCF_Base!$B$41)/DCF_Base!$B$43,"n/a")</f>
        <v/>
      </c>
      <c r="D31" s="26">
        <f>IF(6.0&gt;2.0,(SUMPRODUCT(DCF_Base!$C$21:$L$21,1/(1+6.0/100)^DCF_Base!$C$4:$L$4)+MAX(0,MIN(DCF_Base!$L$21*(1+2.0/100)/((6.0-2.0)/100),DCF_Base!$B$31*DCF_Base!$L$21))/(1+6.0/100)^10+DCF_Base!$B$41)/DCF_Base!$B$43,"n/a")</f>
        <v/>
      </c>
      <c r="E31" s="26">
        <f>IF(6.0&gt;2.5,(SUMPRODUCT(DCF_Base!$C$21:$L$21,1/(1+6.0/100)^DCF_Base!$C$4:$L$4)+MAX(0,MIN(DCF_Base!$L$21*(1+2.5/100)/((6.0-2.5)/100),DCF_Base!$B$31*DCF_Base!$L$21))/(1+6.0/100)^10+DCF_Base!$B$41)/DCF_Base!$B$43,"n/a")</f>
        <v/>
      </c>
      <c r="F31" s="26">
        <f>IF(6.0&gt;3.0,(SUMPRODUCT(DCF_Base!$C$21:$L$21,1/(1+6.0/100)^DCF_Base!$C$4:$L$4)+MAX(0,MIN(DCF_Base!$L$21*(1+3.0/100)/((6.0-3.0)/100),DCF_Base!$B$31*DCF_Base!$L$21))/(1+6.0/100)^10+DCF_Base!$B$41)/DCF_Base!$B$43,"n/a")</f>
        <v/>
      </c>
    </row>
    <row r="32">
      <c r="A32" s="29" t="n">
        <v>7</v>
      </c>
      <c r="B32" s="26">
        <f>IF(7.0&gt;1.0,(SUMPRODUCT(DCF_Base!$C$21:$L$21,1/(1+7.0/100)^DCF_Base!$C$4:$L$4)+MAX(0,MIN(DCF_Base!$L$21*(1+1.0/100)/((7.0-1.0)/100),DCF_Base!$B$31*DCF_Base!$L$21))/(1+7.0/100)^10+DCF_Base!$B$41)/DCF_Base!$B$43,"n/a")</f>
        <v/>
      </c>
      <c r="C32" s="26">
        <f>IF(7.0&gt;1.5,(SUMPRODUCT(DCF_Base!$C$21:$L$21,1/(1+7.0/100)^DCF_Base!$C$4:$L$4)+MAX(0,MIN(DCF_Base!$L$21*(1+1.5/100)/((7.0-1.5)/100),DCF_Base!$B$31*DCF_Base!$L$21))/(1+7.0/100)^10+DCF_Base!$B$41)/DCF_Base!$B$43,"n/a")</f>
        <v/>
      </c>
      <c r="D32" s="26">
        <f>IF(7.0&gt;2.0,(SUMPRODUCT(DCF_Base!$C$21:$L$21,1/(1+7.0/100)^DCF_Base!$C$4:$L$4)+MAX(0,MIN(DCF_Base!$L$21*(1+2.0/100)/((7.0-2.0)/100),DCF_Base!$B$31*DCF_Base!$L$21))/(1+7.0/100)^10+DCF_Base!$B$41)/DCF_Base!$B$43,"n/a")</f>
        <v/>
      </c>
      <c r="E32" s="26">
        <f>IF(7.0&gt;2.5,(SUMPRODUCT(DCF_Base!$C$21:$L$21,1/(1+7.0/100)^DCF_Base!$C$4:$L$4)+MAX(0,MIN(DCF_Base!$L$21*(1+2.5/100)/((7.0-2.5)/100),DCF_Base!$B$31*DCF_Base!$L$21))/(1+7.0/100)^10+DCF_Base!$B$41)/DCF_Base!$B$43,"n/a")</f>
        <v/>
      </c>
      <c r="F32" s="26">
        <f>IF(7.0&gt;3.0,(SUMPRODUCT(DCF_Base!$C$21:$L$21,1/(1+7.0/100)^DCF_Base!$C$4:$L$4)+MAX(0,MIN(DCF_Base!$L$21*(1+3.0/100)/((7.0-3.0)/100),DCF_Base!$B$31*DCF_Base!$L$21))/(1+7.0/100)^10+DCF_Base!$B$41)/DCF_Base!$B$43,"n/a")</f>
        <v/>
      </c>
    </row>
    <row r="33">
      <c r="A33" s="29" t="n">
        <v>8</v>
      </c>
      <c r="B33" s="26">
        <f>IF(8.0&gt;1.0,(SUMPRODUCT(DCF_Base!$C$21:$L$21,1/(1+8.0/100)^DCF_Base!$C$4:$L$4)+MAX(0,MIN(DCF_Base!$L$21*(1+1.0/100)/((8.0-1.0)/100),DCF_Base!$B$31*DCF_Base!$L$21))/(1+8.0/100)^10+DCF_Base!$B$41)/DCF_Base!$B$43,"n/a")</f>
        <v/>
      </c>
      <c r="C33" s="26">
        <f>IF(8.0&gt;1.5,(SUMPRODUCT(DCF_Base!$C$21:$L$21,1/(1+8.0/100)^DCF_Base!$C$4:$L$4)+MAX(0,MIN(DCF_Base!$L$21*(1+1.5/100)/((8.0-1.5)/100),DCF_Base!$B$31*DCF_Base!$L$21))/(1+8.0/100)^10+DCF_Base!$B$41)/DCF_Base!$B$43,"n/a")</f>
        <v/>
      </c>
      <c r="D33" s="22">
        <f>IF(8.0&gt;2.0,(SUMPRODUCT(DCF_Base!$C$21:$L$21,1/(1+8.0/100)^DCF_Base!$C$4:$L$4)+MAX(0,MIN(DCF_Base!$L$21*(1+2.0/100)/((8.0-2.0)/100),DCF_Base!$B$31*DCF_Base!$L$21))/(1+8.0/100)^10+DCF_Base!$B$41)/DCF_Base!$B$43,"n/a")</f>
        <v/>
      </c>
      <c r="E33" s="26">
        <f>IF(8.0&gt;2.5,(SUMPRODUCT(DCF_Base!$C$21:$L$21,1/(1+8.0/100)^DCF_Base!$C$4:$L$4)+MAX(0,MIN(DCF_Base!$L$21*(1+2.5/100)/((8.0-2.5)/100),DCF_Base!$B$31*DCF_Base!$L$21))/(1+8.0/100)^10+DCF_Base!$B$41)/DCF_Base!$B$43,"n/a")</f>
        <v/>
      </c>
      <c r="F33" s="26">
        <f>IF(8.0&gt;3.0,(SUMPRODUCT(DCF_Base!$C$21:$L$21,1/(1+8.0/100)^DCF_Base!$C$4:$L$4)+MAX(0,MIN(DCF_Base!$L$21*(1+3.0/100)/((8.0-3.0)/100),DCF_Base!$B$31*DCF_Base!$L$21))/(1+8.0/100)^10+DCF_Base!$B$41)/DCF_Base!$B$43,"n/a")</f>
        <v/>
      </c>
    </row>
    <row r="34">
      <c r="A34" s="29" t="n">
        <v>9</v>
      </c>
      <c r="B34" s="26">
        <f>IF(9.0&gt;1.0,(SUMPRODUCT(DCF_Base!$C$21:$L$21,1/(1+9.0/100)^DCF_Base!$C$4:$L$4)+MAX(0,MIN(DCF_Base!$L$21*(1+1.0/100)/((9.0-1.0)/100),DCF_Base!$B$31*DCF_Base!$L$21))/(1+9.0/100)^10+DCF_Base!$B$41)/DCF_Base!$B$43,"n/a")</f>
        <v/>
      </c>
      <c r="C34" s="26">
        <f>IF(9.0&gt;1.5,(SUMPRODUCT(DCF_Base!$C$21:$L$21,1/(1+9.0/100)^DCF_Base!$C$4:$L$4)+MAX(0,MIN(DCF_Base!$L$21*(1+1.5/100)/((9.0-1.5)/100),DCF_Base!$B$31*DCF_Base!$L$21))/(1+9.0/100)^10+DCF_Base!$B$41)/DCF_Base!$B$43,"n/a")</f>
        <v/>
      </c>
      <c r="D34" s="26">
        <f>IF(9.0&gt;2.0,(SUMPRODUCT(DCF_Base!$C$21:$L$21,1/(1+9.0/100)^DCF_Base!$C$4:$L$4)+MAX(0,MIN(DCF_Base!$L$21*(1+2.0/100)/((9.0-2.0)/100),DCF_Base!$B$31*DCF_Base!$L$21))/(1+9.0/100)^10+DCF_Base!$B$41)/DCF_Base!$B$43,"n/a")</f>
        <v/>
      </c>
      <c r="E34" s="26">
        <f>IF(9.0&gt;2.5,(SUMPRODUCT(DCF_Base!$C$21:$L$21,1/(1+9.0/100)^DCF_Base!$C$4:$L$4)+MAX(0,MIN(DCF_Base!$L$21*(1+2.5/100)/((9.0-2.5)/100),DCF_Base!$B$31*DCF_Base!$L$21))/(1+9.0/100)^10+DCF_Base!$B$41)/DCF_Base!$B$43,"n/a")</f>
        <v/>
      </c>
      <c r="F34" s="26">
        <f>IF(9.0&gt;3.0,(SUMPRODUCT(DCF_Base!$C$21:$L$21,1/(1+9.0/100)^DCF_Base!$C$4:$L$4)+MAX(0,MIN(DCF_Base!$L$21*(1+3.0/100)/((9.0-3.0)/100),DCF_Base!$B$31*DCF_Base!$L$21))/(1+9.0/100)^10+DCF_Base!$B$41)/DCF_Base!$B$43,"n/a")</f>
        <v/>
      </c>
    </row>
    <row r="35">
      <c r="A35" s="29" t="n">
        <v>10</v>
      </c>
      <c r="B35" s="26">
        <f>IF(10.0&gt;1.0,(SUMPRODUCT(DCF_Base!$C$21:$L$21,1/(1+10.0/100)^DCF_Base!$C$4:$L$4)+MAX(0,MIN(DCF_Base!$L$21*(1+1.0/100)/((10.0-1.0)/100),DCF_Base!$B$31*DCF_Base!$L$21))/(1+10.0/100)^10+DCF_Base!$B$41)/DCF_Base!$B$43,"n/a")</f>
        <v/>
      </c>
      <c r="C35" s="26">
        <f>IF(10.0&gt;1.5,(SUMPRODUCT(DCF_Base!$C$21:$L$21,1/(1+10.0/100)^DCF_Base!$C$4:$L$4)+MAX(0,MIN(DCF_Base!$L$21*(1+1.5/100)/((10.0-1.5)/100),DCF_Base!$B$31*DCF_Base!$L$21))/(1+10.0/100)^10+DCF_Base!$B$41)/DCF_Base!$B$43,"n/a")</f>
        <v/>
      </c>
      <c r="D35" s="26">
        <f>IF(10.0&gt;2.0,(SUMPRODUCT(DCF_Base!$C$21:$L$21,1/(1+10.0/100)^DCF_Base!$C$4:$L$4)+MAX(0,MIN(DCF_Base!$L$21*(1+2.0/100)/((10.0-2.0)/100),DCF_Base!$B$31*DCF_Base!$L$21))/(1+10.0/100)^10+DCF_Base!$B$41)/DCF_Base!$B$43,"n/a")</f>
        <v/>
      </c>
      <c r="E35" s="26">
        <f>IF(10.0&gt;2.5,(SUMPRODUCT(DCF_Base!$C$21:$L$21,1/(1+10.0/100)^DCF_Base!$C$4:$L$4)+MAX(0,MIN(DCF_Base!$L$21*(1+2.5/100)/((10.0-2.5)/100),DCF_Base!$B$31*DCF_Base!$L$21))/(1+10.0/100)^10+DCF_Base!$B$41)/DCF_Base!$B$43,"n/a")</f>
        <v/>
      </c>
      <c r="F35" s="26">
        <f>IF(10.0&gt;3.0,(SUMPRODUCT(DCF_Base!$C$21:$L$21,1/(1+10.0/100)^DCF_Base!$C$4:$L$4)+MAX(0,MIN(DCF_Base!$L$21*(1+3.0/100)/((10.0-3.0)/100),DCF_Base!$B$31*DCF_Base!$L$21))/(1+10.0/100)^10+DCF_Base!$B$41)/DCF_Base!$B$43,"n/a")</f>
        <v/>
      </c>
    </row>
    <row r="36">
      <c r="A36" t="inlineStr">
        <is>
          <t>Note: flat cells at low WACC are the 18x terminal cap binding -- Gordon there implies an exit multiple no buyer has to grant.</t>
        </is>
      </c>
    </row>
    <row r="38">
      <c r="A38" s="2" t="inlineStr">
        <is>
          <t>SANITY CHECK vs 10-year historical multiples</t>
        </is>
      </c>
    </row>
    <row r="39">
      <c r="A39" t="inlineStr">
        <is>
          <t>TTM EV/EBITDA at current price</t>
        </is>
      </c>
      <c r="B39" s="3" t="inlineStr">
        <is>
          <t>13.4x vs 10y median 12.3x, range 10.0-25.2x -- inside the band</t>
        </is>
      </c>
    </row>
    <row r="40">
      <c r="A40" t="inlineStr">
        <is>
          <t>TTM P/E at current price</t>
        </is>
      </c>
      <c r="B40" s="3" t="inlineStr">
        <is>
          <t>19.1x vs 10y median 22.6x, range 15.7-48.4x -- BELOW the median</t>
        </is>
      </c>
    </row>
    <row r="41">
      <c r="A41" t="inlineStr">
        <is>
          <t>TTM EV/Sales at current price</t>
        </is>
      </c>
      <c r="B41" s="3" t="inlineStr">
        <is>
          <t>5.26x vs 10y median 3.14x, range 3.0-6.3x -- FLAG, near the top</t>
        </is>
      </c>
    </row>
    <row r="42">
      <c r="A42" t="inlineStr">
        <is>
          <t>Model weighted IV implies</t>
        </is>
      </c>
      <c r="B42" s="3" t="inlineStr">
        <is>
          <t>12.5x EV/EBITDA and 17.8x P/E -- both inside the historical bands</t>
        </is>
      </c>
    </row>
    <row r="43">
      <c r="A43" t="inlineStr">
        <is>
          <t>Verdict</t>
        </is>
      </c>
      <c r="B43" s="3" t="inlineStr">
        <is>
          <t>PASS with one flag. EBITDA and P/E look benign only because margin went from ~24% to ~40%. If that margin is the cycle peak rather than the new normal, EV/Sales is the honest multiple and the stock is expensive -- which is precisely the bear case.</t>
        </is>
      </c>
    </row>
    <row r="45" ht="150" customHeight="1">
      <c r="A45" s="2" t="inlineStr">
        <is>
          <t>CONCLUSION</t>
        </is>
      </c>
      <c r="B45" s="3" t="inlineStr">
        <is>
          <t>The honest answer is that UCB is FULLY VALUED to modestly overvalued at EUR 216.50. The probability-weighted intrinsic value is EUR 201.33, about 7% BELOW the market price, and the base case alone at EUR 206.80 is still below it. The bull case at EUR 317.34 shows there is real upside if Bimzelx reaches its guided peak with margins intact -- but the market is already paying for a meaningful share of that: the price implies a required return of only ~7.5%, and a 15% hurdle would need an entry around EUR 117. This is not a call that the business is bad. It is a very good business at a price that has already re-rated to reflect it, which is exactly what the Analysis JSON's own high-severity 'valuation / expectations risk' flags. The margin for error is thin: the bear case, which requires nothing more exotic than Cimzia biosimilars arriving, MFN pricing landing, and the 40.7% margin proving to be a peak, produces EUR 74.37.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2026-08-28T21:24:19Z</dcterms:created>
  <dcterms:modified xsi:type="dcterms:W3CDTF">2026-08-28T21:24:19Z</dcterms:modified>
</cp:coreProperties>
</file>