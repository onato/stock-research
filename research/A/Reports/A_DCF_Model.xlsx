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<sst xmlns="http://schemas.openxmlformats.org/spreadsheetml/2006/main" count="389" uniqueCount="175">
  <si>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</si>
  <si>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A</t>
  </si>
  <si>
    <t xml:space="preserve">Company</t>
  </si>
  <si>
    <t xml:space="preserve">Agilent Technologies,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</si>
  <si>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</si>
  <si>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</si>
  <si>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</si>
  <si>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</si>
  <si>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2026-09-24T20:02:58Z regular close (Yahoo Finance chart API); 52-week range 108.35-174.77</t>
  </si>
  <si>
    <t xml:space="preserve">Balance sheet date</t>
  </si>
  <si>
    <t xml:space="preserve">2026-07-31 (Q3 FY2026 10-Q)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</si>
  <si>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</si>
  <si>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</si>
  <si>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</si>
  <si>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</si>
  <si>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</si>
  <si>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</si>
  <si>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</si>
  <si>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</si>
  <si>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</si>
  <si>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</si>
  <si>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2026-09-25T06:45:00Z</t>
  </si>
  <si>
    <t xml:space="preserve">Drivers file</t>
  </si>
  <si>
    <t xml:space="preserve">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</si>
  <si>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</si>
  <si>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</si>
  <si>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</si>
  <si>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Agilent is a high-quality, moderately cyclical life-sciences instrumentation and consumables business with a large recurring CrossLab annuity (&gt;40% of revenue) that dampens the instrument-capex cycle, augmented by GLP-1/biologics CDMO and pharma-reshoring growth vectors. The owner-FCF DCF here -- built from components off a fresh TTM base through Q3 FY2026, margin still maturing over a 10-year horizon, and a 9% WACC applied uniformly across scenarios -- values even the bull case (all growth and margin tailwinds sustained) at roughly two-thirds of the current $172.84 price, with a probability-weighted intrinsic value well below that. The gap is not a quality problem with the business; it is that the stock trades at rich multiples (EV/TTM-EBITDA ~26.6x, TTM P/E ~37x) near its 52-week high following a beat-and-raise Q3 print, pricing in sustained double-digit CDMO growth, a persistent China recovery and continued margin expansion toward levels this model treats as a bull-case outcome, not a base case.
key_risks_to_valuation: China revenue is genuinely volatile (flat-expected to +9% swing in one quarter); if the model's bear case is closer to the truth than base, downside from here is significant; BIOVECTRA and Biocare Medical integration risk -- trade press already flags BIOVECTRA as 'a work in progress' two years post-close; NIH/academic government funding policy is a real, ongoing headwind to a historically stable customer base; Roughly $20M/quarter of recent EPS benefit came from tariff refunds that FY2026 guidance already nets out of Q4 -- underlying ex-tariff growth is more moderate than headline prints suggest; The valuation gap versus the market price could close via multiple compression (a normal risk for any DCF on a richly-priced quality name) rather than the business underperforming operationally</t>
  </si>
  <si>
    <t xml:space="preserve">Data sources</t>
  </si>
  <si>
    <t xml:space="preserve">price: Yahoo Finance chart API at inputs.price_as_of
financials: research/A/Reports/A_Metrics.csv and A.duckdb core_metrics/metrics_normalized/kpis (SEC XBRL-sourced; no PDF extraction for this ticker)
qualitative: research/A/Reports/A_Analysis.json (Q3 FY2026 earnings, guidance, bull/bear case, recent developments)</t>
  </si>
  <si>
    <t xml:space="preserve">Scenario narrative: bear</t>
  </si>
  <si>
    <t xml:space="preserve">China re-accelerates and then reverses again as it has historically; NIH/academic funding and Europe capex stay weak; recent M&amp;A integration disappoints; tariff-refund tailwind fades, exposing a lower underlying margin.</t>
  </si>
  <si>
    <t xml:space="preserve">Scenario narrative: base</t>
  </si>
  <si>
    <t xml:space="preserve">Guidance-consistent deceleration: FY2026 core growth (~6%) fades toward a ~3% long-run rate as GLP-1/CDMO, reshoring and China tailwinds normalize; margin keeps expanding on pricing and mix but at a moderating pace.</t>
  </si>
  <si>
    <t xml:space="preserve">Scenario narrative: bull</t>
  </si>
  <si>
    <t xml:space="preserve">GLP-1/CDMO, China and reshoring tailwinds all persist and compound; BIOVECTRA/Biocare integrate cleanly; margin reaches a Danaher/Thermo-like low-30s ceiling.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</si>
  <si>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</si>
  <si>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</si>
  <si>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</si>
  <si>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</si>
  <si>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</si>
  <si>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</si>
  <si>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</si>
  <si>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</si>
  <si>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</si>
  <si>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</si>
  <si>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</si>
  <si>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</si>
  <si>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</si>
  <si>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</si>
  <si>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</si>
  <si>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</si>
  <si>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</si>
  <si>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</si>
  <si>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</si>
  <si>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</si>
  <si>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</si>
  <si>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</si>
  <si>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</si>
  <si>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</si>
  <si>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</si>
  <si>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</si>
  <si>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</si>
  <si>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</si>
  <si>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</si>
  <si>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</si>
  <si>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</si>
  <si>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</si>
  <si>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</si>
  <si>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</si>
  <si>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</si>
  <si>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</si>
  <si>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</si>
  <si>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</si>
  <si>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</si>
  <si>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</si>
  <si>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</si>
  <si>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</si>
  <si>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</si>
  <si>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</si>
  <si>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</si>
  <si>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</si>
  <si>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</si>
  <si>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</si>
  <si>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</si>
  <si>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</si>
  <si>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</si>
  <si>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</si>
  <si>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</si>
  <si>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</si>
  <si>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</si>
  <si>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</si>
  <si>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through Q3 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</si>
  <si>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</si>
  <si>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</si>
  <si>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</si>
  <si>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</si>
  <si>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through Q3 FY2027</t>
  </si>
  <si>
    <t xml:space="preserve">TTM through Q3 FY2028</t>
  </si>
  <si>
    <t xml:space="preserve">TTM through Q3 FY2029</t>
  </si>
  <si>
    <t xml:space="preserve">TTM through Q3 FY2030</t>
  </si>
  <si>
    <t xml:space="preserve">TTM through Q3 FY2031</t>
  </si>
  <si>
    <t xml:space="preserve">TTM through Q3 FY2032</t>
  </si>
  <si>
    <t xml:space="preserve">TTM through Q3 FY2033</t>
  </si>
  <si>
    <t xml:space="preserve">TTM through Q3 FY2034</t>
  </si>
  <si>
    <t xml:space="preserve">TTM through Q3 FY2035</t>
  </si>
  <si>
    <t xml:space="preserve">TTM through Q3 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</si>
  <si>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</si>
  <si>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</si>
  <si>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</si>
  <si>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</si>
  <si>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</si>
  <si>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</si>
  <si>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</si>
  <si>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</si>
  <si>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</si>
  <si>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</si>
  <si>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</si>
  <si>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</si>
  <si>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</si>
  <si>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</si>
  <si>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</si>
  <si>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</si>
  <si>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</si>
  <si>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</si>
  <si>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</si>
  <si>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</si>
  <si>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</si>
  <si>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</si>
  <si>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</si>
  <si>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</si>
  <si>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</si>
  <si>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</si>
  <si>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</si>
  <si>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</si>
  <si>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</si>
  <si>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</si>
  <si>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</si>
  <si>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</si>
  <si>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</si>
  <si>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</si>
  <si>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</si>
  <si>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</si>
  <si>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</si>
  <si>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</si>
  <si>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</si>
  <si>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</si>
  <si>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</si>
  <si>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</si>
  <si>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</si>
  <si>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</si>
  <si>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</si>
  <si>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 owner-FCF component DCF: base case (millions, USD)</t>
  </si>
  <si>
    <t xml:space="preserve">A owner-FCF component DCF: bull case (millions, USD)</t>
  </si>
  <si>
    <t xml:space="preserve">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</si>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</sst>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172.84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3648</v>
      </c>
      <c r="S2" s="0" t="n">
        <v>2262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5420</v>
      </c>
      <c r="C3" s="0" t="n">
        <v>2451</v>
      </c>
      <c r="F3" s="0" t="n">
        <v>584</v>
      </c>
      <c r="G3" s="0" t="n">
        <v>10.7749077490775</v>
      </c>
      <c r="H3" s="0" t="n">
        <v>775</v>
      </c>
      <c r="I3" s="0" t="n">
        <v>638</v>
      </c>
      <c r="J3" s="0" t="n">
        <v>11.7712177121771</v>
      </c>
      <c r="K3" s="0" t="n">
        <v>1.57</v>
      </c>
      <c r="L3" s="0" t="n">
        <v>969</v>
      </c>
      <c r="M3" s="0" t="n">
        <v>154</v>
      </c>
      <c r="N3" s="0" t="n">
        <v>815</v>
      </c>
      <c r="O3" s="0" t="n">
        <v>3248</v>
      </c>
      <c r="S3" s="0" t="n">
        <v>1826</v>
      </c>
      <c r="U3" s="0" t="n">
        <v>139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5774</v>
      </c>
      <c r="C4" s="0" t="n">
        <v>2578</v>
      </c>
      <c r="F4" s="0" t="n">
        <v>795</v>
      </c>
      <c r="G4" s="0" t="n">
        <v>13.7686179425009</v>
      </c>
      <c r="H4" s="0" t="n">
        <v>996</v>
      </c>
      <c r="I4" s="0" t="n">
        <v>693</v>
      </c>
      <c r="J4" s="0" t="n">
        <v>12.0020782819536</v>
      </c>
      <c r="K4" s="0" t="n">
        <v>1.87</v>
      </c>
      <c r="L4" s="0" t="n">
        <v>756</v>
      </c>
      <c r="M4" s="0" t="n">
        <v>154</v>
      </c>
      <c r="N4" s="0" t="n">
        <v>602</v>
      </c>
      <c r="O4" s="0" t="n">
        <v>2573</v>
      </c>
      <c r="P4" s="0" t="n">
        <v>7007</v>
      </c>
      <c r="Q4" s="0" t="n">
        <v>4448</v>
      </c>
      <c r="R4" s="0" t="n">
        <v>1514</v>
      </c>
      <c r="S4" s="0" t="n">
        <v>1405</v>
      </c>
      <c r="T4" s="0" t="n">
        <v>371</v>
      </c>
      <c r="U4" s="0" t="n">
        <v>82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4481</v>
      </c>
      <c r="C5" s="0" t="n">
        <v>2189</v>
      </c>
      <c r="F5" s="0" t="n">
        <v>47</v>
      </c>
      <c r="G5" s="0" t="n">
        <v>1.04887301941531</v>
      </c>
      <c r="H5" s="0" t="n">
        <v>209</v>
      </c>
      <c r="I5" s="0" t="n">
        <v>-31</v>
      </c>
      <c r="J5" s="0" t="n">
        <v>-0.691809863869672</v>
      </c>
      <c r="K5" s="0" t="n">
        <v>-0.09</v>
      </c>
      <c r="L5" s="0" t="n">
        <v>408</v>
      </c>
      <c r="M5" s="0" t="n">
        <v>128</v>
      </c>
      <c r="N5" s="0" t="n">
        <v>280</v>
      </c>
      <c r="O5" s="0" t="n">
        <v>2514</v>
      </c>
      <c r="P5" s="0" t="n">
        <v>7612</v>
      </c>
      <c r="Q5" s="0" t="n">
        <v>5098</v>
      </c>
      <c r="R5" s="0" t="n">
        <v>2904</v>
      </c>
      <c r="S5" s="0" t="n">
        <v>2479</v>
      </c>
      <c r="T5" s="0" t="n">
        <v>346</v>
      </c>
      <c r="U5" s="0" t="n">
        <v>71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5444</v>
      </c>
      <c r="C6" s="0" t="n">
        <v>2514</v>
      </c>
      <c r="F6" s="0" t="n">
        <v>566</v>
      </c>
      <c r="G6" s="0" t="n">
        <v>10.3967670830272</v>
      </c>
      <c r="H6" s="0" t="n">
        <v>768</v>
      </c>
      <c r="I6" s="0" t="n">
        <v>684</v>
      </c>
      <c r="J6" s="0" t="n">
        <v>12.5642909625276</v>
      </c>
      <c r="K6" s="0" t="n">
        <v>1.94</v>
      </c>
      <c r="L6" s="0" t="n">
        <v>718</v>
      </c>
      <c r="M6" s="0" t="n">
        <v>121</v>
      </c>
      <c r="N6" s="0" t="n">
        <v>597</v>
      </c>
      <c r="O6" s="0" t="n">
        <v>3236</v>
      </c>
      <c r="P6" s="0" t="n">
        <v>9696</v>
      </c>
      <c r="Q6" s="0" t="n">
        <v>6460</v>
      </c>
      <c r="R6" s="0" t="n">
        <v>2190</v>
      </c>
      <c r="S6" s="0" t="n">
        <v>2649</v>
      </c>
      <c r="T6" s="0" t="n">
        <v>353</v>
      </c>
      <c r="U6" s="0" t="n">
        <v>66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6615</v>
      </c>
      <c r="C7" s="0" t="n">
        <v>3086</v>
      </c>
      <c r="F7" s="0" t="n">
        <v>1071</v>
      </c>
      <c r="G7" s="0" t="n">
        <v>16.1904761904762</v>
      </c>
      <c r="H7" s="0" t="n">
        <v>1324</v>
      </c>
      <c r="I7" s="0" t="n">
        <v>1012</v>
      </c>
      <c r="J7" s="0" t="n">
        <v>15.2985638699924</v>
      </c>
      <c r="K7" s="0" t="n">
        <v>2.85</v>
      </c>
      <c r="L7" s="0" t="n">
        <v>1260</v>
      </c>
      <c r="M7" s="0" t="n">
        <v>188</v>
      </c>
      <c r="N7" s="0" t="n">
        <v>1072</v>
      </c>
      <c r="O7" s="0" t="n">
        <v>4316</v>
      </c>
      <c r="P7" s="0" t="n">
        <v>9057</v>
      </c>
      <c r="Q7" s="0" t="n">
        <v>4741</v>
      </c>
      <c r="R7" s="0" t="n">
        <v>1932</v>
      </c>
      <c r="S7" s="0" t="n">
        <v>3527</v>
      </c>
      <c r="T7" s="0" t="n">
        <v>355</v>
      </c>
      <c r="U7" s="0" t="n">
        <v>72</v>
      </c>
      <c r="V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6858</v>
      </c>
      <c r="C8" s="0" t="n">
        <v>3254</v>
      </c>
      <c r="F8" s="0" t="n">
        <v>1119</v>
      </c>
      <c r="G8" s="0" t="n">
        <v>16.3167104111986</v>
      </c>
      <c r="H8" s="0" t="n">
        <v>1420</v>
      </c>
      <c r="I8" s="0" t="n">
        <v>1153</v>
      </c>
      <c r="J8" s="0" t="n">
        <v>16.8124817731117</v>
      </c>
      <c r="K8" s="0" t="n">
        <v>3.27</v>
      </c>
      <c r="L8" s="0" t="n">
        <v>1228</v>
      </c>
      <c r="M8" s="0" t="n">
        <v>194</v>
      </c>
      <c r="N8" s="0" t="n">
        <v>1034</v>
      </c>
      <c r="O8" s="0" t="n">
        <v>5186</v>
      </c>
      <c r="P8" s="0" t="n">
        <v>10536</v>
      </c>
      <c r="Q8" s="0" t="n">
        <v>5351</v>
      </c>
      <c r="R8" s="0" t="n">
        <v>2112</v>
      </c>
      <c r="S8" s="0" t="n">
        <v>2351</v>
      </c>
      <c r="T8" s="0" t="n">
        <v>353</v>
      </c>
      <c r="U8" s="0" t="n">
        <v>74</v>
      </c>
      <c r="V8" s="0" t="n">
        <v>0.3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3894</v>
      </c>
      <c r="C9" s="0" t="n">
        <v>1987</v>
      </c>
      <c r="F9" s="0" t="n">
        <v>386</v>
      </c>
      <c r="G9" s="0" t="n">
        <v>9.91268618387263</v>
      </c>
      <c r="H9" s="0" t="n">
        <v>758</v>
      </c>
      <c r="I9" s="0" t="n">
        <v>734</v>
      </c>
      <c r="J9" s="0" t="n">
        <v>18.8495120698511</v>
      </c>
      <c r="K9" s="0" t="n">
        <v>2.13</v>
      </c>
      <c r="L9" s="0" t="n">
        <v>1152</v>
      </c>
      <c r="M9" s="0" t="n">
        <v>195</v>
      </c>
      <c r="N9" s="0" t="n">
        <v>957</v>
      </c>
      <c r="O9" s="0" t="n">
        <v>5300</v>
      </c>
      <c r="P9" s="0" t="n">
        <v>10686</v>
      </c>
      <c r="Q9" s="0" t="n">
        <v>5397</v>
      </c>
      <c r="R9" s="0" t="n">
        <v>2699</v>
      </c>
      <c r="S9" s="0" t="n">
        <v>2675</v>
      </c>
      <c r="T9" s="0" t="n">
        <v>345</v>
      </c>
      <c r="U9" s="0" t="n">
        <v>85</v>
      </c>
      <c r="V9" s="0" t="n">
        <v>0.46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4048</v>
      </c>
      <c r="C10" s="0" t="n">
        <v>2072</v>
      </c>
      <c r="F10" s="0" t="n">
        <v>419</v>
      </c>
      <c r="G10" s="0" t="n">
        <v>10.350790513834</v>
      </c>
      <c r="H10" s="0" t="n">
        <v>803</v>
      </c>
      <c r="I10" s="0" t="n">
        <v>549</v>
      </c>
      <c r="J10" s="0" t="n">
        <v>13.5622529644269</v>
      </c>
      <c r="K10" s="0" t="n">
        <v>1.62</v>
      </c>
      <c r="L10" s="0" t="n">
        <v>731</v>
      </c>
      <c r="M10" s="0" t="n">
        <v>205</v>
      </c>
      <c r="N10" s="0" t="n">
        <v>526</v>
      </c>
      <c r="O10" s="0" t="n">
        <v>5304</v>
      </c>
      <c r="P10" s="0" t="n">
        <v>10815</v>
      </c>
      <c r="Q10" s="0" t="n">
        <v>5511</v>
      </c>
      <c r="R10" s="0" t="n">
        <v>1663</v>
      </c>
      <c r="S10" s="0" t="n">
        <v>2218</v>
      </c>
      <c r="T10" s="0" t="n">
        <v>338</v>
      </c>
      <c r="U10" s="0" t="n">
        <v>96</v>
      </c>
      <c r="V10" s="0" t="n">
        <v>0.528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4038</v>
      </c>
      <c r="C11" s="0" t="n">
        <v>1997</v>
      </c>
      <c r="F11" s="0" t="n">
        <v>522</v>
      </c>
      <c r="G11" s="0" t="n">
        <v>12.927191679049</v>
      </c>
      <c r="H11" s="0" t="n">
        <v>775</v>
      </c>
      <c r="I11" s="0" t="n">
        <v>401</v>
      </c>
      <c r="J11" s="0" t="n">
        <v>9.93065874195146</v>
      </c>
      <c r="K11" s="0" t="n">
        <v>1.2</v>
      </c>
      <c r="L11" s="0" t="n">
        <v>512</v>
      </c>
      <c r="M11" s="0" t="n">
        <v>98</v>
      </c>
      <c r="N11" s="0" t="n">
        <v>414</v>
      </c>
      <c r="O11" s="0" t="n">
        <v>4170</v>
      </c>
      <c r="P11" s="0" t="n">
        <v>7479</v>
      </c>
      <c r="Q11" s="0" t="n">
        <v>3309</v>
      </c>
      <c r="R11" s="0" t="n">
        <v>1655</v>
      </c>
      <c r="S11" s="0" t="n">
        <v>2003</v>
      </c>
      <c r="T11" s="0" t="n">
        <v>335</v>
      </c>
      <c r="U11" s="0" t="n">
        <v>54</v>
      </c>
      <c r="V11" s="0" t="n">
        <v>0.4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4202</v>
      </c>
      <c r="C12" s="0" t="n">
        <v>2005</v>
      </c>
      <c r="F12" s="0" t="n">
        <v>615</v>
      </c>
      <c r="G12" s="0" t="n">
        <v>14.6358876725369</v>
      </c>
      <c r="H12" s="0" t="n">
        <v>861</v>
      </c>
      <c r="I12" s="0" t="n">
        <v>462</v>
      </c>
      <c r="J12" s="0" t="n">
        <v>10.9947643979058</v>
      </c>
      <c r="K12" s="0" t="n">
        <v>1.4</v>
      </c>
      <c r="L12" s="0" t="n">
        <v>793</v>
      </c>
      <c r="M12" s="0" t="n">
        <v>139</v>
      </c>
      <c r="N12" s="0" t="n">
        <v>654</v>
      </c>
      <c r="O12" s="0" t="n">
        <v>4246</v>
      </c>
      <c r="P12" s="0" t="n">
        <v>7794</v>
      </c>
      <c r="Q12" s="0" t="n">
        <v>3548</v>
      </c>
      <c r="R12" s="0" t="n">
        <v>1904</v>
      </c>
      <c r="S12" s="0" t="n">
        <v>2289</v>
      </c>
      <c r="T12" s="0" t="n">
        <v>329</v>
      </c>
      <c r="U12" s="0" t="n">
        <v>58</v>
      </c>
      <c r="V12" s="0" t="n">
        <v>0.46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4472</v>
      </c>
      <c r="C13" s="0" t="n">
        <v>2073</v>
      </c>
      <c r="F13" s="0" t="n">
        <v>807</v>
      </c>
      <c r="G13" s="0" t="n">
        <v>18.0456171735242</v>
      </c>
      <c r="H13" s="0" t="n">
        <v>1019</v>
      </c>
      <c r="I13" s="0" t="n">
        <v>684</v>
      </c>
      <c r="J13" s="0" t="n">
        <v>15.2951699463327</v>
      </c>
      <c r="K13" s="0" t="n">
        <v>2.1</v>
      </c>
      <c r="L13" s="0" t="n">
        <v>889</v>
      </c>
      <c r="M13" s="0" t="n">
        <v>176</v>
      </c>
      <c r="N13" s="0" t="n">
        <v>713</v>
      </c>
      <c r="O13" s="0" t="n">
        <v>4835</v>
      </c>
      <c r="P13" s="0" t="n">
        <v>8426</v>
      </c>
      <c r="Q13" s="0" t="n">
        <v>3591</v>
      </c>
      <c r="R13" s="0" t="n">
        <v>1801</v>
      </c>
      <c r="S13" s="0" t="n">
        <v>2678</v>
      </c>
      <c r="T13" s="0" t="n">
        <v>326</v>
      </c>
      <c r="U13" s="0" t="n">
        <v>60</v>
      </c>
      <c r="V13" s="0" t="n">
        <v>0.528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4914</v>
      </c>
      <c r="C14" s="0" t="n">
        <v>2234</v>
      </c>
      <c r="F14" s="0" t="n">
        <v>904</v>
      </c>
      <c r="G14" s="0" t="n">
        <v>18.3964183964184</v>
      </c>
      <c r="H14" s="0" t="n">
        <v>1114</v>
      </c>
      <c r="I14" s="0" t="n">
        <v>316</v>
      </c>
      <c r="J14" s="0" t="n">
        <v>6.43060643060643</v>
      </c>
      <c r="K14" s="0" t="n">
        <v>0.97</v>
      </c>
      <c r="L14" s="0" t="n">
        <v>1087</v>
      </c>
      <c r="M14" s="0" t="n">
        <v>177</v>
      </c>
      <c r="N14" s="0" t="n">
        <v>910</v>
      </c>
      <c r="O14" s="0" t="n">
        <v>4571</v>
      </c>
      <c r="P14" s="0" t="n">
        <v>8541</v>
      </c>
      <c r="Q14" s="0" t="n">
        <v>3970</v>
      </c>
      <c r="R14" s="0" t="n">
        <v>1799</v>
      </c>
      <c r="S14" s="0" t="n">
        <v>2247</v>
      </c>
      <c r="T14" s="0" t="n">
        <v>325</v>
      </c>
      <c r="U14" s="0" t="n">
        <v>70</v>
      </c>
      <c r="V14" s="0" t="n">
        <v>0.596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5163</v>
      </c>
      <c r="C15" s="0" t="n">
        <v>2358</v>
      </c>
      <c r="F15" s="0" t="n">
        <v>941</v>
      </c>
      <c r="G15" s="0" t="n">
        <v>18.2258376912648</v>
      </c>
      <c r="H15" s="0" t="n">
        <v>1179</v>
      </c>
      <c r="I15" s="0" t="n">
        <v>1071</v>
      </c>
      <c r="J15" s="0" t="n">
        <v>20.7437536316095</v>
      </c>
      <c r="K15" s="0" t="n">
        <v>3.37</v>
      </c>
      <c r="L15" s="0" t="n">
        <v>1021</v>
      </c>
      <c r="M15" s="0" t="n">
        <v>155</v>
      </c>
      <c r="N15" s="0" t="n">
        <v>866</v>
      </c>
      <c r="O15" s="0" t="n">
        <v>4748</v>
      </c>
      <c r="P15" s="0" t="n">
        <v>9452</v>
      </c>
      <c r="Q15" s="0" t="n">
        <v>4704</v>
      </c>
      <c r="R15" s="0" t="n">
        <v>1791</v>
      </c>
      <c r="S15" s="0" t="n">
        <v>1382</v>
      </c>
      <c r="T15" s="0" t="n">
        <v>318</v>
      </c>
      <c r="U15" s="0" t="n">
        <v>72</v>
      </c>
      <c r="V15" s="0" t="n">
        <v>0.656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5339</v>
      </c>
      <c r="C16" s="0" t="n">
        <v>2502</v>
      </c>
      <c r="F16" s="0" t="n">
        <v>846</v>
      </c>
      <c r="G16" s="0" t="n">
        <v>15.8456639820191</v>
      </c>
      <c r="H16" s="0" t="n">
        <v>1154</v>
      </c>
      <c r="I16" s="0" t="n">
        <v>719</v>
      </c>
      <c r="J16" s="0" t="n">
        <v>13.4669413747893</v>
      </c>
      <c r="K16" s="0" t="n">
        <v>2.3</v>
      </c>
      <c r="L16" s="0" t="n">
        <v>921</v>
      </c>
      <c r="M16" s="0" t="n">
        <v>119</v>
      </c>
      <c r="N16" s="0" t="n">
        <v>802</v>
      </c>
      <c r="O16" s="0" t="n">
        <v>4873</v>
      </c>
      <c r="P16" s="0" t="n">
        <v>9627</v>
      </c>
      <c r="Q16" s="0" t="n">
        <v>4754</v>
      </c>
      <c r="R16" s="0" t="n">
        <v>2284</v>
      </c>
      <c r="S16" s="0" t="n">
        <v>1441</v>
      </c>
      <c r="T16" s="0" t="n">
        <v>312</v>
      </c>
      <c r="U16" s="0" t="n">
        <v>83</v>
      </c>
      <c r="V16" s="0" t="n">
        <v>0.72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6319</v>
      </c>
      <c r="C17" s="0" t="n">
        <v>2912</v>
      </c>
      <c r="F17" s="0" t="n">
        <v>1347</v>
      </c>
      <c r="G17" s="0" t="n">
        <v>21.3166640291185</v>
      </c>
      <c r="H17" s="0" t="n">
        <v>1668</v>
      </c>
      <c r="I17" s="0" t="n">
        <v>1210</v>
      </c>
      <c r="J17" s="0" t="n">
        <v>19.1485994619402</v>
      </c>
      <c r="K17" s="0" t="n">
        <v>3.94</v>
      </c>
      <c r="L17" s="0" t="n">
        <v>1485</v>
      </c>
      <c r="M17" s="0" t="n">
        <v>188</v>
      </c>
      <c r="N17" s="0" t="n">
        <v>1297</v>
      </c>
      <c r="O17" s="0" t="n">
        <v>5389</v>
      </c>
      <c r="P17" s="0" t="n">
        <v>10705</v>
      </c>
      <c r="Q17" s="0" t="n">
        <v>5316</v>
      </c>
      <c r="R17" s="0" t="n">
        <v>2729</v>
      </c>
      <c r="S17" s="0" t="n">
        <v>1484</v>
      </c>
      <c r="T17" s="0" t="n">
        <v>307</v>
      </c>
      <c r="U17" s="0" t="n">
        <v>110</v>
      </c>
      <c r="V17" s="0" t="n">
        <v>0.776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6848</v>
      </c>
      <c r="C18" s="0" t="n">
        <v>3126</v>
      </c>
      <c r="F18" s="0" t="n">
        <v>1618</v>
      </c>
      <c r="G18" s="0" t="n">
        <v>23.6273364485981</v>
      </c>
      <c r="H18" s="0" t="n">
        <v>1935</v>
      </c>
      <c r="I18" s="0" t="n">
        <v>1254</v>
      </c>
      <c r="J18" s="0" t="n">
        <v>18.3119158878505</v>
      </c>
      <c r="K18" s="0" t="n">
        <v>4.18</v>
      </c>
      <c r="L18" s="0" t="n">
        <v>1312</v>
      </c>
      <c r="M18" s="0" t="n">
        <v>291</v>
      </c>
      <c r="N18" s="0" t="n">
        <v>1021</v>
      </c>
      <c r="O18" s="0" t="n">
        <v>5305</v>
      </c>
      <c r="P18" s="0" t="n">
        <v>10532</v>
      </c>
      <c r="Q18" s="0" t="n">
        <v>5227</v>
      </c>
      <c r="R18" s="0" t="n">
        <v>2733</v>
      </c>
      <c r="S18" s="0" t="n">
        <v>1053</v>
      </c>
      <c r="T18" s="0" t="n">
        <v>300</v>
      </c>
      <c r="U18" s="0" t="n">
        <v>125</v>
      </c>
      <c r="V18" s="0" t="n">
        <v>0.84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6833</v>
      </c>
      <c r="C19" s="0" t="n">
        <v>3368</v>
      </c>
      <c r="F19" s="0" t="n">
        <v>1350</v>
      </c>
      <c r="G19" s="0" t="n">
        <v>19.7570613200644</v>
      </c>
      <c r="H19" s="0" t="n">
        <v>1621</v>
      </c>
      <c r="I19" s="0" t="n">
        <v>1240</v>
      </c>
      <c r="J19" s="0" t="n">
        <v>18.1472266939851</v>
      </c>
      <c r="K19" s="0" t="n">
        <v>4.19</v>
      </c>
      <c r="L19" s="0" t="n">
        <v>1772</v>
      </c>
      <c r="M19" s="0" t="n">
        <v>298</v>
      </c>
      <c r="N19" s="0" t="n">
        <v>1474</v>
      </c>
      <c r="O19" s="0" t="n">
        <v>-327</v>
      </c>
      <c r="P19" s="0" t="n">
        <v>10763</v>
      </c>
      <c r="Q19" s="0" t="n">
        <v>4918</v>
      </c>
      <c r="R19" s="0" t="n">
        <v>2735</v>
      </c>
      <c r="S19" s="0" t="n">
        <v>1590</v>
      </c>
      <c r="T19" s="0" t="n">
        <v>296</v>
      </c>
      <c r="U19" s="0" t="n">
        <v>111</v>
      </c>
      <c r="V19" s="0" t="n">
        <v>0.9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6510</v>
      </c>
      <c r="C20" s="0" t="n">
        <v>2975</v>
      </c>
      <c r="F20" s="0" t="n">
        <v>1488</v>
      </c>
      <c r="G20" s="0" t="n">
        <v>22.8571428571429</v>
      </c>
      <c r="H20" s="0" t="n">
        <v>1745</v>
      </c>
      <c r="I20" s="0" t="n">
        <v>1289</v>
      </c>
      <c r="J20" s="0" t="n">
        <v>19.8003072196621</v>
      </c>
      <c r="K20" s="0" t="n">
        <v>4.43</v>
      </c>
      <c r="L20" s="0" t="n">
        <v>1751</v>
      </c>
      <c r="M20" s="0" t="n">
        <v>378</v>
      </c>
      <c r="N20" s="0" t="n">
        <v>1373</v>
      </c>
      <c r="O20" s="0" t="n">
        <v>5898</v>
      </c>
      <c r="P20" s="0" t="n">
        <v>11846</v>
      </c>
      <c r="Q20" s="0" t="n">
        <v>5948</v>
      </c>
      <c r="R20" s="0" t="n">
        <v>3345</v>
      </c>
      <c r="S20" s="0" t="n">
        <v>1329</v>
      </c>
      <c r="T20" s="0" t="n">
        <v>291</v>
      </c>
      <c r="U20" s="0" t="n">
        <v>129</v>
      </c>
      <c r="V20" s="0" t="n">
        <v>0.944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6948</v>
      </c>
      <c r="C21" s="0" t="n">
        <v>3305</v>
      </c>
      <c r="F21" s="0" t="n">
        <v>1479</v>
      </c>
      <c r="G21" s="0" t="n">
        <v>21.286701208981</v>
      </c>
      <c r="H21" s="0" t="n">
        <v>1767</v>
      </c>
      <c r="I21" s="0" t="n">
        <v>1303</v>
      </c>
      <c r="J21" s="0" t="n">
        <v>18.7535981577432</v>
      </c>
      <c r="K21" s="0" t="n">
        <v>4.57</v>
      </c>
      <c r="L21" s="0" t="n">
        <v>1559</v>
      </c>
      <c r="M21" s="0" t="n">
        <v>407</v>
      </c>
      <c r="N21" s="0" t="n">
        <v>1152</v>
      </c>
      <c r="O21" s="0" t="n">
        <v>6741</v>
      </c>
      <c r="P21" s="0" t="n">
        <v>12727</v>
      </c>
      <c r="Q21" s="0" t="n">
        <v>5986</v>
      </c>
      <c r="R21" s="0" t="n">
        <v>3050</v>
      </c>
      <c r="S21" s="0" t="n">
        <v>1789</v>
      </c>
      <c r="T21" s="0" t="n">
        <v>285</v>
      </c>
      <c r="U21" s="0" t="n">
        <v>128</v>
      </c>
      <c r="V21" s="0" t="n">
        <v>0.992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172.84</v>
      </c>
    </row>
    <row r="3" customFormat="false" ht="15" hidden="false" customHeight="false" outlineLevel="0" collapsed="false">
      <c r="A3" s="0" t="s">
        <v>86</v>
      </c>
      <c r="B3" s="3" t="n">
        <v>283</v>
      </c>
    </row>
    <row r="4" customFormat="false" ht="15" hidden="false" customHeight="false" outlineLevel="0" collapsed="false">
      <c r="A4" s="0" t="s">
        <v>87</v>
      </c>
      <c r="B4" s="3" t="n">
        <v>1887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7372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1.5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24.5</v>
      </c>
      <c r="D14" s="3" t="n">
        <v>24</v>
      </c>
      <c r="E14" s="3" t="n">
        <v>24</v>
      </c>
      <c r="F14" s="3" t="n">
        <v>24.3</v>
      </c>
      <c r="G14" s="3" t="n">
        <v>24.6</v>
      </c>
      <c r="H14" s="3" t="n">
        <v>24.9</v>
      </c>
      <c r="I14" s="3" t="n">
        <v>25.2</v>
      </c>
      <c r="J14" s="3" t="n">
        <v>25.4</v>
      </c>
      <c r="K14" s="3" t="n">
        <v>25.6</v>
      </c>
      <c r="L14" s="3" t="n">
        <v>25.8</v>
      </c>
    </row>
    <row r="15" customFormat="false" ht="15" hidden="false" customHeight="false" outlineLevel="0" collapsed="false">
      <c r="A15" s="0" t="s">
        <v>109</v>
      </c>
      <c r="C15" s="3" t="n">
        <v>1.9</v>
      </c>
      <c r="D15" s="3" t="n">
        <v>1.95</v>
      </c>
      <c r="E15" s="3" t="n">
        <v>1.95</v>
      </c>
      <c r="F15" s="3" t="n">
        <v>1.9</v>
      </c>
      <c r="G15" s="3" t="n">
        <v>1.85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4.3</v>
      </c>
      <c r="D17" s="3" t="n">
        <v>4.3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112</v>
      </c>
      <c r="C18" s="3" t="n">
        <v>5.6</v>
      </c>
      <c r="D18" s="3" t="n">
        <v>5.6</v>
      </c>
      <c r="E18" s="3" t="n">
        <v>5.6</v>
      </c>
      <c r="F18" s="3" t="n">
        <v>5.6</v>
      </c>
      <c r="G18" s="3" t="n">
        <v>5.6</v>
      </c>
      <c r="H18" s="3" t="n">
        <v>5.6</v>
      </c>
      <c r="I18" s="3" t="n">
        <v>5.6</v>
      </c>
      <c r="J18" s="3" t="n">
        <v>5.6</v>
      </c>
      <c r="K18" s="3" t="n">
        <v>5.6</v>
      </c>
      <c r="L18" s="3" t="n">
        <v>5.6</v>
      </c>
    </row>
    <row r="19" customFormat="false" ht="15" hidden="false" customHeight="false" outlineLevel="0" collapsed="false">
      <c r="A19" s="0" t="s">
        <v>113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-6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</v>
      </c>
      <c r="D27" s="3" t="n">
        <v>6.5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26.3</v>
      </c>
      <c r="D28" s="3" t="n">
        <v>26.7</v>
      </c>
      <c r="E28" s="3" t="n">
        <v>27.1</v>
      </c>
      <c r="F28" s="3" t="n">
        <v>27.5</v>
      </c>
      <c r="G28" s="3" t="n">
        <v>27.9</v>
      </c>
      <c r="H28" s="3" t="n">
        <v>28.2</v>
      </c>
      <c r="I28" s="3" t="n">
        <v>28.5</v>
      </c>
      <c r="J28" s="3" t="n">
        <v>28.7</v>
      </c>
      <c r="K28" s="3" t="n">
        <v>28.9</v>
      </c>
      <c r="L28" s="3" t="n">
        <v>29</v>
      </c>
    </row>
    <row r="29" customFormat="false" ht="15" hidden="false" customHeight="false" outlineLevel="0" collapsed="false">
      <c r="A29" s="0" t="s">
        <v>109</v>
      </c>
      <c r="C29" s="3" t="n">
        <v>1.75</v>
      </c>
      <c r="D29" s="3" t="n">
        <v>1.7</v>
      </c>
      <c r="E29" s="3" t="n">
        <v>1.65</v>
      </c>
      <c r="F29" s="3" t="n">
        <v>1.6</v>
      </c>
      <c r="G29" s="3" t="n">
        <v>1.55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4.1</v>
      </c>
      <c r="D31" s="3" t="n">
        <v>4.1</v>
      </c>
      <c r="E31" s="3" t="n">
        <v>4.1</v>
      </c>
      <c r="F31" s="3" t="n">
        <v>4.1</v>
      </c>
      <c r="G31" s="3" t="n">
        <v>4.1</v>
      </c>
      <c r="H31" s="3" t="n">
        <v>4.1</v>
      </c>
      <c r="I31" s="3" t="n">
        <v>4.1</v>
      </c>
      <c r="J31" s="3" t="n">
        <v>4.1</v>
      </c>
      <c r="K31" s="3" t="n">
        <v>4.1</v>
      </c>
      <c r="L31" s="3" t="n">
        <v>4.1</v>
      </c>
    </row>
    <row r="32" customFormat="false" ht="15" hidden="false" customHeight="false" outlineLevel="0" collapsed="false">
      <c r="A32" s="0" t="s">
        <v>112</v>
      </c>
      <c r="C32" s="3" t="n">
        <v>5.6</v>
      </c>
      <c r="D32" s="3" t="n">
        <v>5.6</v>
      </c>
      <c r="E32" s="3" t="n">
        <v>5.5</v>
      </c>
      <c r="F32" s="3" t="n">
        <v>5.4</v>
      </c>
      <c r="G32" s="3" t="n">
        <v>5.3</v>
      </c>
      <c r="H32" s="3" t="n">
        <v>5.2</v>
      </c>
      <c r="I32" s="3" t="n">
        <v>5.1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113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9</v>
      </c>
      <c r="D41" s="3" t="n">
        <v>10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108</v>
      </c>
      <c r="C42" s="3" t="n">
        <v>27</v>
      </c>
      <c r="D42" s="3" t="n">
        <v>28</v>
      </c>
      <c r="E42" s="3" t="n">
        <v>29</v>
      </c>
      <c r="F42" s="3" t="n">
        <v>30</v>
      </c>
      <c r="G42" s="3" t="n">
        <v>30.8</v>
      </c>
      <c r="H42" s="3" t="n">
        <v>31.5</v>
      </c>
      <c r="I42" s="3" t="n">
        <v>32</v>
      </c>
      <c r="J42" s="3" t="n">
        <v>32.3</v>
      </c>
      <c r="K42" s="3" t="n">
        <v>32.5</v>
      </c>
      <c r="L42" s="3" t="n">
        <v>32.5</v>
      </c>
    </row>
    <row r="43" customFormat="false" ht="15" hidden="false" customHeight="false" outlineLevel="0" collapsed="false">
      <c r="A43" s="0" t="s">
        <v>109</v>
      </c>
      <c r="C43" s="3" t="n">
        <v>1.7</v>
      </c>
      <c r="D43" s="3" t="n">
        <v>1.6</v>
      </c>
      <c r="E43" s="3" t="n">
        <v>1.5</v>
      </c>
      <c r="F43" s="3" t="n">
        <v>1.45</v>
      </c>
      <c r="G43" s="3" t="n">
        <v>1.4</v>
      </c>
      <c r="H43" s="3" t="n">
        <v>1.4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4</v>
      </c>
      <c r="D45" s="3" t="n">
        <v>4</v>
      </c>
      <c r="E45" s="3" t="n">
        <v>4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112</v>
      </c>
      <c r="C46" s="3" t="n">
        <v>5.8</v>
      </c>
      <c r="D46" s="3" t="n">
        <v>5.8</v>
      </c>
      <c r="E46" s="3" t="n">
        <v>5.7</v>
      </c>
      <c r="F46" s="3" t="n">
        <v>5.6</v>
      </c>
      <c r="G46" s="3" t="n">
        <v>5.5</v>
      </c>
      <c r="H46" s="3" t="n">
        <v>5.4</v>
      </c>
      <c r="I46" s="3" t="n">
        <v>5.3</v>
      </c>
      <c r="J46" s="3" t="n">
        <v>5.2</v>
      </c>
      <c r="K46" s="3" t="n">
        <v>5.1</v>
      </c>
      <c r="L46" s="3" t="n">
        <v>5</v>
      </c>
    </row>
    <row r="47" customFormat="false" ht="15" hidden="false" customHeight="false" outlineLevel="0" collapsed="false">
      <c r="A47" s="0" t="s">
        <v>113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-4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7372</v>
      </c>
      <c r="C6" s="0" t="n">
        <f aca="false">B6*(1+C5/100)</f>
        <v>7519.44</v>
      </c>
      <c r="D6" s="0" t="n">
        <f aca="false">C6*(1+D5/100)</f>
        <v>7632.2316</v>
      </c>
      <c r="E6" s="0" t="n">
        <f aca="false">D6*(1+E5/100)</f>
        <v>7784.876232</v>
      </c>
      <c r="F6" s="0" t="n">
        <f aca="false">E6*(1+F5/100)</f>
        <v>7979.4981378</v>
      </c>
      <c r="G6" s="0" t="n">
        <f aca="false">F6*(1+G5/100)</f>
        <v>8178.985591245</v>
      </c>
      <c r="H6" s="0" t="n">
        <f aca="false">G6*(1+H5/100)</f>
        <v>8383.46023102612</v>
      </c>
      <c r="I6" s="0" t="n">
        <f aca="false">H6*(1+I5/100)</f>
        <v>8593.04673680178</v>
      </c>
      <c r="J6" s="0" t="n">
        <f aca="false">I6*(1+J5/100)</f>
        <v>8807.87290522182</v>
      </c>
      <c r="K6" s="0" t="n">
        <f aca="false">J6*(1+K5/100)</f>
        <v>9028.06972785237</v>
      </c>
      <c r="L6" s="0" t="n">
        <f aca="false">K6*(1+L5/100)</f>
        <v>9253.77147104867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24.5</v>
      </c>
      <c r="D7" s="4" t="n">
        <f aca="false">Assumptions!D14</f>
        <v>24</v>
      </c>
      <c r="E7" s="4" t="n">
        <f aca="false">Assumptions!E14</f>
        <v>24</v>
      </c>
      <c r="F7" s="4" t="n">
        <f aca="false">Assumptions!F14</f>
        <v>24.3</v>
      </c>
      <c r="G7" s="4" t="n">
        <f aca="false">Assumptions!G14</f>
        <v>24.6</v>
      </c>
      <c r="H7" s="4" t="n">
        <f aca="false">Assumptions!H14</f>
        <v>24.9</v>
      </c>
      <c r="I7" s="4" t="n">
        <f aca="false">Assumptions!I14</f>
        <v>25.2</v>
      </c>
      <c r="J7" s="4" t="n">
        <f aca="false">Assumptions!J14</f>
        <v>25.4</v>
      </c>
      <c r="K7" s="4" t="n">
        <f aca="false">Assumptions!K14</f>
        <v>25.6</v>
      </c>
      <c r="L7" s="4" t="n">
        <f aca="false">Assumptions!L14</f>
        <v>25.8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1842.2628</v>
      </c>
      <c r="D8" s="0" t="n">
        <f aca="false">D6*D7/100</f>
        <v>1831.735584</v>
      </c>
      <c r="E8" s="0" t="n">
        <f aca="false">E6*E7/100</f>
        <v>1868.37029568</v>
      </c>
      <c r="F8" s="0" t="n">
        <f aca="false">F6*F7/100</f>
        <v>1939.0180474854</v>
      </c>
      <c r="G8" s="0" t="n">
        <f aca="false">G6*G7/100</f>
        <v>2012.03045544627</v>
      </c>
      <c r="H8" s="0" t="n">
        <f aca="false">H6*H7/100</f>
        <v>2087.4815975255</v>
      </c>
      <c r="I8" s="0" t="n">
        <f aca="false">I6*I7/100</f>
        <v>2165.44777767405</v>
      </c>
      <c r="J8" s="0" t="n">
        <f aca="false">J6*J7/100</f>
        <v>2237.19971792634</v>
      </c>
      <c r="K8" s="0" t="n">
        <f aca="false">K6*K7/100</f>
        <v>2311.18585033021</v>
      </c>
      <c r="L8" s="0" t="n">
        <f aca="false">L6*L7/100</f>
        <v>2387.47303953056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1.9</v>
      </c>
      <c r="D9" s="4" t="n">
        <f aca="false">Assumptions!D15</f>
        <v>1.95</v>
      </c>
      <c r="E9" s="4" t="n">
        <f aca="false">Assumptions!E15</f>
        <v>1.95</v>
      </c>
      <c r="F9" s="4" t="n">
        <f aca="false">Assumptions!F15</f>
        <v>1.9</v>
      </c>
      <c r="G9" s="4" t="n">
        <f aca="false">Assumptions!G15</f>
        <v>1.85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-142.86936</v>
      </c>
      <c r="D10" s="0" t="n">
        <f aca="false">-D6*D9/100</f>
        <v>-148.8285162</v>
      </c>
      <c r="E10" s="0" t="n">
        <f aca="false">-E6*E9/100</f>
        <v>-151.805086524</v>
      </c>
      <c r="F10" s="0" t="n">
        <f aca="false">-F6*F9/100</f>
        <v>-151.6104646182</v>
      </c>
      <c r="G10" s="0" t="n">
        <f aca="false">-G6*G9/100</f>
        <v>-151.311233438032</v>
      </c>
      <c r="H10" s="0" t="n">
        <f aca="false">-H6*H9/100</f>
        <v>-150.90228415847</v>
      </c>
      <c r="I10" s="0" t="n">
        <f aca="false">-I6*I9/100</f>
        <v>-154.674841262432</v>
      </c>
      <c r="J10" s="0" t="n">
        <f aca="false">-J6*J9/100</f>
        <v>-158.541712293993</v>
      </c>
      <c r="K10" s="0" t="n">
        <f aca="false">-K6*K9/100</f>
        <v>-162.505255101343</v>
      </c>
      <c r="L10" s="0" t="n">
        <f aca="false">-L6*L9/100</f>
        <v>-166.567886478876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1699.39344</v>
      </c>
      <c r="D11" s="0" t="n">
        <f aca="false">D8+D10+D24</f>
        <v>1682.9070678</v>
      </c>
      <c r="E11" s="0" t="n">
        <f aca="false">E8+E10+E24</f>
        <v>1716.565209156</v>
      </c>
      <c r="F11" s="0" t="n">
        <f aca="false">F8+F10+F24</f>
        <v>1787.4075828672</v>
      </c>
      <c r="G11" s="0" t="n">
        <f aca="false">G8+G10+G24</f>
        <v>1860.71922200824</v>
      </c>
      <c r="H11" s="0" t="n">
        <f aca="false">H8+H10+H24</f>
        <v>1936.57931336703</v>
      </c>
      <c r="I11" s="0" t="n">
        <f aca="false">I8+I10+I24</f>
        <v>2010.77293641162</v>
      </c>
      <c r="J11" s="0" t="n">
        <f aca="false">J8+J10+J24</f>
        <v>2078.65800563235</v>
      </c>
      <c r="K11" s="0" t="n">
        <f aca="false">K8+K10+K24</f>
        <v>2148.68059522886</v>
      </c>
      <c r="L11" s="0" t="n">
        <f aca="false">L8+L10+L24</f>
        <v>2220.90515305168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-323.33592</v>
      </c>
      <c r="D12" s="4" t="n">
        <f aca="false">-D6*Assumptions!D17/100</f>
        <v>-328.1859588</v>
      </c>
      <c r="E12" s="4" t="n">
        <f aca="false">-E6*Assumptions!E17/100</f>
        <v>-334.749677976</v>
      </c>
      <c r="F12" s="4" t="n">
        <f aca="false">-F6*Assumptions!F17/100</f>
        <v>-343.1184199254</v>
      </c>
      <c r="G12" s="4" t="n">
        <f aca="false">-G6*Assumptions!G17/100</f>
        <v>-351.696380423535</v>
      </c>
      <c r="H12" s="4" t="n">
        <f aca="false">-H6*Assumptions!H17/100</f>
        <v>-360.488789934123</v>
      </c>
      <c r="I12" s="4" t="n">
        <f aca="false">-I6*Assumptions!I17/100</f>
        <v>-369.501009682476</v>
      </c>
      <c r="J12" s="4" t="n">
        <f aca="false">-J6*Assumptions!J17/100</f>
        <v>-378.738534924538</v>
      </c>
      <c r="K12" s="4" t="n">
        <f aca="false">-K6*Assumptions!K17/100</f>
        <v>-388.206998297652</v>
      </c>
      <c r="L12" s="4" t="n">
        <f aca="false">-L6*Assumptions!L17/100</f>
        <v>-397.912173255093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1376.05752</v>
      </c>
      <c r="D13" s="0" t="n">
        <f aca="false">D11+D12</f>
        <v>1354.721109</v>
      </c>
      <c r="E13" s="0" t="n">
        <f aca="false">E11+E12</f>
        <v>1381.81553118</v>
      </c>
      <c r="F13" s="0" t="n">
        <f aca="false">F11+F12</f>
        <v>1444.2891629418</v>
      </c>
      <c r="G13" s="0" t="n">
        <f aca="false">G11+G12</f>
        <v>1509.0228415847</v>
      </c>
      <c r="H13" s="0" t="n">
        <f aca="false">H11+H12</f>
        <v>1576.09052343291</v>
      </c>
      <c r="I13" s="0" t="n">
        <f aca="false">I11+I12</f>
        <v>1641.27192672914</v>
      </c>
      <c r="J13" s="0" t="n">
        <f aca="false">J11+J12</f>
        <v>1699.91947070781</v>
      </c>
      <c r="K13" s="0" t="n">
        <f aca="false">K11+K12</f>
        <v>1760.47359693121</v>
      </c>
      <c r="L13" s="0" t="n">
        <f aca="false">L11+L12</f>
        <v>1822.99297979659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1087.0854408</v>
      </c>
      <c r="D15" s="0" t="n">
        <f aca="false">D13-MAX(0,D13)*D14/100</f>
        <v>1070.22967611</v>
      </c>
      <c r="E15" s="0" t="n">
        <f aca="false">E13-MAX(0,E13)*E14/100</f>
        <v>1091.6342696322</v>
      </c>
      <c r="F15" s="0" t="n">
        <f aca="false">F13-MAX(0,F13)*F14/100</f>
        <v>1140.98843872402</v>
      </c>
      <c r="G15" s="0" t="n">
        <f aca="false">G13-MAX(0,G13)*G14/100</f>
        <v>1192.12804485192</v>
      </c>
      <c r="H15" s="0" t="n">
        <f aca="false">H13-MAX(0,H13)*H14/100</f>
        <v>1245.111513512</v>
      </c>
      <c r="I15" s="0" t="n">
        <f aca="false">I13-MAX(0,I13)*I14/100</f>
        <v>1296.60482211602</v>
      </c>
      <c r="J15" s="0" t="n">
        <f aca="false">J13-MAX(0,J13)*J14/100</f>
        <v>1342.93638185917</v>
      </c>
      <c r="K15" s="0" t="n">
        <f aca="false">K13-MAX(0,K13)*K14/100</f>
        <v>1390.77414157566</v>
      </c>
      <c r="L15" s="0" t="n">
        <f aca="false">L13-MAX(0,L13)*L14/100</f>
        <v>1440.16445403931</v>
      </c>
    </row>
    <row r="16" customFormat="false" ht="15" hidden="false" customHeight="false" outlineLevel="0" collapsed="false">
      <c r="A16" s="0" t="s">
        <v>129</v>
      </c>
      <c r="C16" s="0" t="n">
        <f aca="false">-C12</f>
        <v>323.33592</v>
      </c>
      <c r="D16" s="0" t="n">
        <f aca="false">-D12</f>
        <v>328.1859588</v>
      </c>
      <c r="E16" s="0" t="n">
        <f aca="false">-E12</f>
        <v>334.749677976</v>
      </c>
      <c r="F16" s="0" t="n">
        <f aca="false">-F12</f>
        <v>343.1184199254</v>
      </c>
      <c r="G16" s="0" t="n">
        <f aca="false">-G12</f>
        <v>351.696380423535</v>
      </c>
      <c r="H16" s="0" t="n">
        <f aca="false">-H12</f>
        <v>360.488789934123</v>
      </c>
      <c r="I16" s="0" t="n">
        <f aca="false">-I12</f>
        <v>369.501009682476</v>
      </c>
      <c r="J16" s="0" t="n">
        <f aca="false">-J12</f>
        <v>378.738534924538</v>
      </c>
      <c r="K16" s="0" t="n">
        <f aca="false">-K12</f>
        <v>388.206998297652</v>
      </c>
      <c r="L16" s="0" t="n">
        <f aca="false">-L12</f>
        <v>397.912173255093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-421.08864</v>
      </c>
      <c r="D17" s="4" t="n">
        <f aca="false">-D6*Assumptions!D18/100</f>
        <v>-427.4049696</v>
      </c>
      <c r="E17" s="4" t="n">
        <f aca="false">-E6*Assumptions!E18/100</f>
        <v>-435.953068992</v>
      </c>
      <c r="F17" s="4" t="n">
        <f aca="false">-F6*Assumptions!F18/100</f>
        <v>-446.8518957168</v>
      </c>
      <c r="G17" s="4" t="n">
        <f aca="false">-G6*Assumptions!G18/100</f>
        <v>-458.02319310972</v>
      </c>
      <c r="H17" s="4" t="n">
        <f aca="false">-H6*Assumptions!H18/100</f>
        <v>-469.473772937463</v>
      </c>
      <c r="I17" s="4" t="n">
        <f aca="false">-I6*Assumptions!I18/100</f>
        <v>-481.210617260899</v>
      </c>
      <c r="J17" s="4" t="n">
        <f aca="false">-J6*Assumptions!J18/100</f>
        <v>-493.240882692422</v>
      </c>
      <c r="K17" s="4" t="n">
        <f aca="false">-K6*Assumptions!K18/100</f>
        <v>-505.571904759732</v>
      </c>
      <c r="L17" s="4" t="n">
        <f aca="false">-L6*Assumptions!L18/100</f>
        <v>-518.211202378726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-8.84640000000003</v>
      </c>
      <c r="D18" s="4" t="n">
        <f aca="false">(D6-C6)*Assumptions!$B$23/100</f>
        <v>-6.76749599999997</v>
      </c>
      <c r="E18" s="4" t="n">
        <f aca="false">(E6-D6)*Assumptions!$B$23/100</f>
        <v>-9.15867792000003</v>
      </c>
      <c r="F18" s="4" t="n">
        <f aca="false">(F6-E6)*Assumptions!$B$23/100</f>
        <v>-11.677314348</v>
      </c>
      <c r="G18" s="4" t="n">
        <f aca="false">(G6-F6)*Assumptions!$B$23/100</f>
        <v>-11.9692472066999</v>
      </c>
      <c r="H18" s="4" t="n">
        <f aca="false">(H6-G6)*Assumptions!$B$23/100</f>
        <v>-12.2684783868674</v>
      </c>
      <c r="I18" s="4" t="n">
        <f aca="false">(I6-H6)*Assumptions!$B$23/100</f>
        <v>-12.5751903465392</v>
      </c>
      <c r="J18" s="4" t="n">
        <f aca="false">(J6-I6)*Assumptions!$B$23/100</f>
        <v>-12.8895701052027</v>
      </c>
      <c r="K18" s="4" t="n">
        <f aca="false">(K6-J6)*Assumptions!$B$23/100</f>
        <v>-13.2118093578327</v>
      </c>
      <c r="L18" s="4" t="n">
        <f aca="false">(L6-K6)*Assumptions!$B$23/100</f>
        <v>-13.5421045917785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980.4863208</v>
      </c>
      <c r="D19" s="0" t="n">
        <f aca="false">D15+D16+D17+D18</f>
        <v>964.24316931</v>
      </c>
      <c r="E19" s="0" t="n">
        <f aca="false">E15+E16+E17+E18</f>
        <v>981.2722006962</v>
      </c>
      <c r="F19" s="0" t="n">
        <f aca="false">F15+F16+F17+F18</f>
        <v>1025.57764858462</v>
      </c>
      <c r="G19" s="0" t="n">
        <f aca="false">G15+G16+G17+G18</f>
        <v>1073.83198495903</v>
      </c>
      <c r="H19" s="0" t="n">
        <f aca="false">H15+H16+H17+H18</f>
        <v>1123.85805212179</v>
      </c>
      <c r="I19" s="0" t="n">
        <f aca="false">I15+I16+I17+I18</f>
        <v>1172.32002419106</v>
      </c>
      <c r="J19" s="0" t="n">
        <f aca="false">J15+J16+J17+J18</f>
        <v>1215.54446398608</v>
      </c>
      <c r="K19" s="0" t="n">
        <f aca="false">K15+K16+K17+K18</f>
        <v>1260.19742575574</v>
      </c>
      <c r="L19" s="0" t="n">
        <f aca="false">L15+L16+L17+L18</f>
        <v>1306.32332032389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899.528734678899</v>
      </c>
      <c r="D21" s="0" t="n">
        <f aca="false">D19*D20</f>
        <v>811.584184252168</v>
      </c>
      <c r="E21" s="0" t="n">
        <f aca="false">E19*E20</f>
        <v>757.722182820771</v>
      </c>
      <c r="F21" s="0" t="n">
        <f aca="false">F19*F20</f>
        <v>726.545062162309</v>
      </c>
      <c r="G21" s="0" t="n">
        <f aca="false">G19*G20</f>
        <v>697.917110635926</v>
      </c>
      <c r="H21" s="0" t="n">
        <f aca="false">H19*H20</f>
        <v>670.119836530344</v>
      </c>
      <c r="I21" s="0" t="n">
        <f aca="false">I19*I20</f>
        <v>641.299199148055</v>
      </c>
      <c r="J21" s="0" t="n">
        <f aca="false">J19*J20</f>
        <v>610.040777917525</v>
      </c>
      <c r="K21" s="0" t="n">
        <f aca="false">K19*K20</f>
        <v>580.229902492876</v>
      </c>
      <c r="L21" s="0" t="n">
        <f aca="false">L19*L20</f>
        <v>551.805087804671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6946.79207844354</v>
      </c>
    </row>
    <row r="31" customFormat="false" ht="15" hidden="false" customHeight="false" outlineLevel="0" collapsed="false">
      <c r="A31" s="0" t="s">
        <v>138</v>
      </c>
      <c r="B31" s="0" t="n">
        <f aca="false">L19</f>
        <v>1306.32332032389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20599.7138974152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19594.8498048584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19594.8498048584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8277.07631707007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15223.8683955136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13336.8683955136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47.1267434470446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-0.727338906230939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978.646051963167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1109.52426482635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54.5054371459475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10711.8512266559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21.6009184150301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</v>
      </c>
      <c r="D5" s="4" t="n">
        <f aca="false">Assumptions!D27</f>
        <v>6.5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7372</v>
      </c>
      <c r="C6" s="0" t="n">
        <f aca="false">B6*(1+C5/100)</f>
        <v>7814.32</v>
      </c>
      <c r="D6" s="0" t="n">
        <f aca="false">C6*(1+D5/100)</f>
        <v>8322.2508</v>
      </c>
      <c r="E6" s="0" t="n">
        <f aca="false">D6*(1+E5/100)</f>
        <v>8863.197102</v>
      </c>
      <c r="F6" s="0" t="n">
        <f aca="false">E6*(1+F5/100)</f>
        <v>9394.98892812</v>
      </c>
      <c r="G6" s="0" t="n">
        <f aca="false">F6*(1+G5/100)</f>
        <v>9911.7133191666</v>
      </c>
      <c r="H6" s="0" t="n">
        <f aca="false">G6*(1+H5/100)</f>
        <v>10407.2989851249</v>
      </c>
      <c r="I6" s="0" t="n">
        <f aca="false">H6*(1+I5/100)</f>
        <v>10875.6274394556</v>
      </c>
      <c r="J6" s="0" t="n">
        <f aca="false">I6*(1+J5/100)</f>
        <v>11310.6525370338</v>
      </c>
      <c r="K6" s="0" t="n">
        <f aca="false">J6*(1+K5/100)</f>
        <v>11706.52537583</v>
      </c>
      <c r="L6" s="0" t="n">
        <f aca="false">K6*(1+L5/100)</f>
        <v>12057.7211371049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26.3</v>
      </c>
      <c r="D7" s="4" t="n">
        <f aca="false">Assumptions!D28</f>
        <v>26.7</v>
      </c>
      <c r="E7" s="4" t="n">
        <f aca="false">Assumptions!E28</f>
        <v>27.1</v>
      </c>
      <c r="F7" s="4" t="n">
        <f aca="false">Assumptions!F28</f>
        <v>27.5</v>
      </c>
      <c r="G7" s="4" t="n">
        <f aca="false">Assumptions!G28</f>
        <v>27.9</v>
      </c>
      <c r="H7" s="4" t="n">
        <f aca="false">Assumptions!H28</f>
        <v>28.2</v>
      </c>
      <c r="I7" s="4" t="n">
        <f aca="false">Assumptions!I28</f>
        <v>28.5</v>
      </c>
      <c r="J7" s="4" t="n">
        <f aca="false">Assumptions!J28</f>
        <v>28.7</v>
      </c>
      <c r="K7" s="4" t="n">
        <f aca="false">Assumptions!K28</f>
        <v>28.9</v>
      </c>
      <c r="L7" s="4" t="n">
        <f aca="false">Assumptions!L28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2055.16616</v>
      </c>
      <c r="D8" s="0" t="n">
        <f aca="false">D6*D7/100</f>
        <v>2222.0409636</v>
      </c>
      <c r="E8" s="0" t="n">
        <f aca="false">E6*E7/100</f>
        <v>2401.926414642</v>
      </c>
      <c r="F8" s="0" t="n">
        <f aca="false">F6*F7/100</f>
        <v>2583.621955233</v>
      </c>
      <c r="G8" s="0" t="n">
        <f aca="false">G6*G7/100</f>
        <v>2765.36801604748</v>
      </c>
      <c r="H8" s="0" t="n">
        <f aca="false">H6*H7/100</f>
        <v>2934.85831380523</v>
      </c>
      <c r="I8" s="0" t="n">
        <f aca="false">I6*I7/100</f>
        <v>3099.55382024483</v>
      </c>
      <c r="J8" s="0" t="n">
        <f aca="false">J6*J7/100</f>
        <v>3246.15727812869</v>
      </c>
      <c r="K8" s="0" t="n">
        <f aca="false">K6*K7/100</f>
        <v>3383.18583361486</v>
      </c>
      <c r="L8" s="0" t="n">
        <f aca="false">L6*L7/100</f>
        <v>3496.73912976041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1.75</v>
      </c>
      <c r="D9" s="4" t="n">
        <f aca="false">Assumptions!D29</f>
        <v>1.7</v>
      </c>
      <c r="E9" s="4" t="n">
        <f aca="false">Assumptions!E29</f>
        <v>1.65</v>
      </c>
      <c r="F9" s="4" t="n">
        <f aca="false">Assumptions!F29</f>
        <v>1.6</v>
      </c>
      <c r="G9" s="4" t="n">
        <f aca="false">Assumptions!G29</f>
        <v>1.55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-136.7506</v>
      </c>
      <c r="D10" s="0" t="n">
        <f aca="false">-D6*D9/100</f>
        <v>-141.4782636</v>
      </c>
      <c r="E10" s="0" t="n">
        <f aca="false">-E6*E9/100</f>
        <v>-146.242752183</v>
      </c>
      <c r="F10" s="0" t="n">
        <f aca="false">-F6*F9/100</f>
        <v>-150.31982284992</v>
      </c>
      <c r="G10" s="0" t="n">
        <f aca="false">-G6*G9/100</f>
        <v>-153.631556447082</v>
      </c>
      <c r="H10" s="0" t="n">
        <f aca="false">-H6*H9/100</f>
        <v>-156.109484776874</v>
      </c>
      <c r="I10" s="0" t="n">
        <f aca="false">-I6*I9/100</f>
        <v>-163.134411591833</v>
      </c>
      <c r="J10" s="0" t="n">
        <f aca="false">-J6*J9/100</f>
        <v>-169.659788055507</v>
      </c>
      <c r="K10" s="0" t="n">
        <f aca="false">-K6*K9/100</f>
        <v>-175.597880637449</v>
      </c>
      <c r="L10" s="0" t="n">
        <f aca="false">-L6*L9/100</f>
        <v>-180.865817056573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1918.41556</v>
      </c>
      <c r="D11" s="0" t="n">
        <f aca="false">D8+D10+D24</f>
        <v>2080.5627</v>
      </c>
      <c r="E11" s="0" t="n">
        <f aca="false">E8+E10+E24</f>
        <v>2255.683662459</v>
      </c>
      <c r="F11" s="0" t="n">
        <f aca="false">F8+F10+F24</f>
        <v>2433.30213238308</v>
      </c>
      <c r="G11" s="0" t="n">
        <f aca="false">G8+G10+G24</f>
        <v>2611.7364596004</v>
      </c>
      <c r="H11" s="0" t="n">
        <f aca="false">H8+H10+H24</f>
        <v>2778.74882902836</v>
      </c>
      <c r="I11" s="0" t="n">
        <f aca="false">I8+I10+I24</f>
        <v>2936.419408653</v>
      </c>
      <c r="J11" s="0" t="n">
        <f aca="false">J8+J10+J24</f>
        <v>3076.49749007319</v>
      </c>
      <c r="K11" s="0" t="n">
        <f aca="false">K8+K10+K24</f>
        <v>3207.58795297741</v>
      </c>
      <c r="L11" s="0" t="n">
        <f aca="false">L8+L10+L24</f>
        <v>3315.87331270384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-320.38712</v>
      </c>
      <c r="D12" s="4" t="n">
        <f aca="false">-D6*Assumptions!D31/100</f>
        <v>-341.2122828</v>
      </c>
      <c r="E12" s="4" t="n">
        <f aca="false">-E6*Assumptions!E31/100</f>
        <v>-363.391081182</v>
      </c>
      <c r="F12" s="4" t="n">
        <f aca="false">-F6*Assumptions!F31/100</f>
        <v>-385.19454605292</v>
      </c>
      <c r="G12" s="4" t="n">
        <f aca="false">-G6*Assumptions!G31/100</f>
        <v>-406.380246085831</v>
      </c>
      <c r="H12" s="4" t="n">
        <f aca="false">-H6*Assumptions!H31/100</f>
        <v>-426.699258390122</v>
      </c>
      <c r="I12" s="4" t="n">
        <f aca="false">-I6*Assumptions!I31/100</f>
        <v>-445.900725017678</v>
      </c>
      <c r="J12" s="4" t="n">
        <f aca="false">-J6*Assumptions!J31/100</f>
        <v>-463.736754018385</v>
      </c>
      <c r="K12" s="4" t="n">
        <f aca="false">-K6*Assumptions!K31/100</f>
        <v>-479.967540409028</v>
      </c>
      <c r="L12" s="4" t="n">
        <f aca="false">-L6*Assumptions!L31/100</f>
        <v>-494.366566621299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1598.02844</v>
      </c>
      <c r="D13" s="0" t="n">
        <f aca="false">D11+D12</f>
        <v>1739.3504172</v>
      </c>
      <c r="E13" s="0" t="n">
        <f aca="false">E11+E12</f>
        <v>1892.292581277</v>
      </c>
      <c r="F13" s="0" t="n">
        <f aca="false">F11+F12</f>
        <v>2048.10758633016</v>
      </c>
      <c r="G13" s="0" t="n">
        <f aca="false">G11+G12</f>
        <v>2205.35621351457</v>
      </c>
      <c r="H13" s="0" t="n">
        <f aca="false">H11+H12</f>
        <v>2352.04957063823</v>
      </c>
      <c r="I13" s="0" t="n">
        <f aca="false">I11+I12</f>
        <v>2490.51868363532</v>
      </c>
      <c r="J13" s="0" t="n">
        <f aca="false">J11+J12</f>
        <v>2612.7607360548</v>
      </c>
      <c r="K13" s="0" t="n">
        <f aca="false">K11+K12</f>
        <v>2727.62041256838</v>
      </c>
      <c r="L13" s="0" t="n">
        <f aca="false">L11+L12</f>
        <v>2821.50674608254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1262.4424676</v>
      </c>
      <c r="D15" s="0" t="n">
        <f aca="false">D13-MAX(0,D13)*D14/100</f>
        <v>1374.086829588</v>
      </c>
      <c r="E15" s="0" t="n">
        <f aca="false">E13-MAX(0,E13)*E14/100</f>
        <v>1494.91113920883</v>
      </c>
      <c r="F15" s="0" t="n">
        <f aca="false">F13-MAX(0,F13)*F14/100</f>
        <v>1618.00499320083</v>
      </c>
      <c r="G15" s="0" t="n">
        <f aca="false">G13-MAX(0,G13)*G14/100</f>
        <v>1742.23140867651</v>
      </c>
      <c r="H15" s="0" t="n">
        <f aca="false">H13-MAX(0,H13)*H14/100</f>
        <v>1858.1191608042</v>
      </c>
      <c r="I15" s="0" t="n">
        <f aca="false">I13-MAX(0,I13)*I14/100</f>
        <v>1967.5097600719</v>
      </c>
      <c r="J15" s="0" t="n">
        <f aca="false">J13-MAX(0,J13)*J14/100</f>
        <v>2064.08098148329</v>
      </c>
      <c r="K15" s="0" t="n">
        <f aca="false">K13-MAX(0,K13)*K14/100</f>
        <v>2154.82012592902</v>
      </c>
      <c r="L15" s="0" t="n">
        <f aca="false">L13-MAX(0,L13)*L14/100</f>
        <v>2228.9903294052</v>
      </c>
    </row>
    <row r="16" customFormat="false" ht="15" hidden="false" customHeight="false" outlineLevel="0" collapsed="false">
      <c r="A16" s="0" t="s">
        <v>129</v>
      </c>
      <c r="C16" s="0" t="n">
        <f aca="false">-C12</f>
        <v>320.38712</v>
      </c>
      <c r="D16" s="0" t="n">
        <f aca="false">-D12</f>
        <v>341.2122828</v>
      </c>
      <c r="E16" s="0" t="n">
        <f aca="false">-E12</f>
        <v>363.391081182</v>
      </c>
      <c r="F16" s="0" t="n">
        <f aca="false">-F12</f>
        <v>385.19454605292</v>
      </c>
      <c r="G16" s="0" t="n">
        <f aca="false">-G12</f>
        <v>406.380246085831</v>
      </c>
      <c r="H16" s="0" t="n">
        <f aca="false">-H12</f>
        <v>426.699258390122</v>
      </c>
      <c r="I16" s="0" t="n">
        <f aca="false">-I12</f>
        <v>445.900725017678</v>
      </c>
      <c r="J16" s="0" t="n">
        <f aca="false">-J12</f>
        <v>463.736754018385</v>
      </c>
      <c r="K16" s="0" t="n">
        <f aca="false">-K12</f>
        <v>479.967540409028</v>
      </c>
      <c r="L16" s="0" t="n">
        <f aca="false">-L12</f>
        <v>494.366566621299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-437.60192</v>
      </c>
      <c r="D17" s="4" t="n">
        <f aca="false">-D6*Assumptions!D32/100</f>
        <v>-466.0460448</v>
      </c>
      <c r="E17" s="4" t="n">
        <f aca="false">-E6*Assumptions!E32/100</f>
        <v>-487.47584061</v>
      </c>
      <c r="F17" s="4" t="n">
        <f aca="false">-F6*Assumptions!F32/100</f>
        <v>-507.32940211848</v>
      </c>
      <c r="G17" s="4" t="n">
        <f aca="false">-G6*Assumptions!G32/100</f>
        <v>-525.32080591583</v>
      </c>
      <c r="H17" s="4" t="n">
        <f aca="false">-H6*Assumptions!H32/100</f>
        <v>-541.179547226496</v>
      </c>
      <c r="I17" s="4" t="n">
        <f aca="false">-I6*Assumptions!I32/100</f>
        <v>-554.656999412233</v>
      </c>
      <c r="J17" s="4" t="n">
        <f aca="false">-J6*Assumptions!J32/100</f>
        <v>-565.532626851689</v>
      </c>
      <c r="K17" s="4" t="n">
        <f aca="false">-K6*Assumptions!K32/100</f>
        <v>-585.326268791498</v>
      </c>
      <c r="L17" s="4" t="n">
        <f aca="false">-L6*Assumptions!L32/100</f>
        <v>-602.886056855243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-22.116</v>
      </c>
      <c r="D18" s="4" t="n">
        <f aca="false">(D6-C6)*Assumptions!$B$37/100</f>
        <v>-25.39654</v>
      </c>
      <c r="E18" s="4" t="n">
        <f aca="false">(E6-D6)*Assumptions!$B$37/100</f>
        <v>-27.0473151</v>
      </c>
      <c r="F18" s="4" t="n">
        <f aca="false">(F6-E6)*Assumptions!$B$37/100</f>
        <v>-26.5895913060001</v>
      </c>
      <c r="G18" s="4" t="n">
        <f aca="false">(G6-F6)*Assumptions!$B$37/100</f>
        <v>-25.8362195523299</v>
      </c>
      <c r="H18" s="4" t="n">
        <f aca="false">(H6-G6)*Assumptions!$B$37/100</f>
        <v>-24.7792832979165</v>
      </c>
      <c r="I18" s="4" t="n">
        <f aca="false">(I6-H6)*Assumptions!$B$37/100</f>
        <v>-23.4164227165311</v>
      </c>
      <c r="J18" s="4" t="n">
        <f aca="false">(J6-I6)*Assumptions!$B$37/100</f>
        <v>-21.7512548789111</v>
      </c>
      <c r="K18" s="4" t="n">
        <f aca="false">(K6-J6)*Assumptions!$B$37/100</f>
        <v>-19.7936419398091</v>
      </c>
      <c r="L18" s="4" t="n">
        <f aca="false">(L6-K6)*Assumptions!$B$37/100</f>
        <v>-17.559788063745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1123.1116676</v>
      </c>
      <c r="D19" s="0" t="n">
        <f aca="false">D15+D16+D17+D18</f>
        <v>1223.856527588</v>
      </c>
      <c r="E19" s="0" t="n">
        <f aca="false">E15+E16+E17+E18</f>
        <v>1343.77906468083</v>
      </c>
      <c r="F19" s="0" t="n">
        <f aca="false">F15+F16+F17+F18</f>
        <v>1469.28054582927</v>
      </c>
      <c r="G19" s="0" t="n">
        <f aca="false">G15+G16+G17+G18</f>
        <v>1597.45462929418</v>
      </c>
      <c r="H19" s="0" t="n">
        <f aca="false">H15+H16+H17+H18</f>
        <v>1718.85958866991</v>
      </c>
      <c r="I19" s="0" t="n">
        <f aca="false">I15+I16+I17+I18</f>
        <v>1835.33706296082</v>
      </c>
      <c r="J19" s="0" t="n">
        <f aca="false">J15+J16+J17+J18</f>
        <v>1940.53385377108</v>
      </c>
      <c r="K19" s="0" t="n">
        <f aca="false">K15+K16+K17+K18</f>
        <v>2029.66775560674</v>
      </c>
      <c r="L19" s="0" t="n">
        <f aca="false">L15+L16+L17+L18</f>
        <v>2102.91105110752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1030.37767669725</v>
      </c>
      <c r="D21" s="0" t="n">
        <f aca="false">D19*D20</f>
        <v>1030.0955538995</v>
      </c>
      <c r="E21" s="0" t="n">
        <f aca="false">E19*E20</f>
        <v>1037.64399459845</v>
      </c>
      <c r="F21" s="0" t="n">
        <f aca="false">F19*F20</f>
        <v>1040.87538079309</v>
      </c>
      <c r="G21" s="0" t="n">
        <f aca="false">G19*G20</f>
        <v>1038.23590176588</v>
      </c>
      <c r="H21" s="0" t="n">
        <f aca="false">H19*H20</f>
        <v>1024.89981221692</v>
      </c>
      <c r="I21" s="0" t="n">
        <f aca="false">I19*I20</f>
        <v>1003.99222426972</v>
      </c>
      <c r="J21" s="0" t="n">
        <f aca="false">J19*J20</f>
        <v>973.88850577115</v>
      </c>
      <c r="K21" s="0" t="n">
        <f aca="false">K19*K20</f>
        <v>934.515417869846</v>
      </c>
      <c r="L21" s="0" t="n">
        <f aca="false">L19*L20</f>
        <v>888.292353928187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10002.81682181</v>
      </c>
    </row>
    <row r="31" customFormat="false" ht="15" hidden="false" customHeight="false" outlineLevel="0" collapsed="false">
      <c r="A31" s="0" t="s">
        <v>138</v>
      </c>
      <c r="B31" s="0" t="n">
        <f aca="false">L19</f>
        <v>2102.91105110752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36099.9730440123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37852.3989199353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36099.9730440123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15249.0187424339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25251.8355642439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23364.8355642439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82.5612564107557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-0.522325524121988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988.524689489565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1311.52776657327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90.6886502484335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18049.9865220062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35.8966849531453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7372</v>
      </c>
      <c r="C6" s="0" t="n">
        <f aca="false">B6*(1+C5/100)</f>
        <v>8035.48</v>
      </c>
      <c r="D6" s="0" t="n">
        <f aca="false">C6*(1+D5/100)</f>
        <v>8839.028</v>
      </c>
      <c r="E6" s="0" t="n">
        <f aca="false">D6*(1+E5/100)</f>
        <v>9722.9308</v>
      </c>
      <c r="F6" s="0" t="n">
        <f aca="false">E6*(1+F5/100)</f>
        <v>10597.994572</v>
      </c>
      <c r="G6" s="0" t="n">
        <f aca="false">F6*(1+G5/100)</f>
        <v>11445.83413776</v>
      </c>
      <c r="H6" s="0" t="n">
        <f aca="false">G6*(1+H5/100)</f>
        <v>12247.0425274032</v>
      </c>
      <c r="I6" s="0" t="n">
        <f aca="false">H6*(1+I5/100)</f>
        <v>12981.8650790474</v>
      </c>
      <c r="J6" s="0" t="n">
        <f aca="false">I6*(1+J5/100)</f>
        <v>13695.867658395</v>
      </c>
      <c r="K6" s="0" t="n">
        <f aca="false">J6*(1+K5/100)</f>
        <v>14380.6610413148</v>
      </c>
      <c r="L6" s="0" t="n">
        <f aca="false">K6*(1+L5/100)</f>
        <v>15027.7907881739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27</v>
      </c>
      <c r="D7" s="4" t="n">
        <f aca="false">Assumptions!D42</f>
        <v>28</v>
      </c>
      <c r="E7" s="4" t="n">
        <f aca="false">Assumptions!E42</f>
        <v>29</v>
      </c>
      <c r="F7" s="4" t="n">
        <f aca="false">Assumptions!F42</f>
        <v>30</v>
      </c>
      <c r="G7" s="4" t="n">
        <f aca="false">Assumptions!G42</f>
        <v>30.8</v>
      </c>
      <c r="H7" s="4" t="n">
        <f aca="false">Assumptions!H42</f>
        <v>31.5</v>
      </c>
      <c r="I7" s="4" t="n">
        <f aca="false">Assumptions!I42</f>
        <v>32</v>
      </c>
      <c r="J7" s="4" t="n">
        <f aca="false">Assumptions!J42</f>
        <v>32.3</v>
      </c>
      <c r="K7" s="4" t="n">
        <f aca="false">Assumptions!K42</f>
        <v>32.5</v>
      </c>
      <c r="L7" s="4" t="n">
        <f aca="false">Assumptions!L42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2169.5796</v>
      </c>
      <c r="D8" s="0" t="n">
        <f aca="false">D6*D7/100</f>
        <v>2474.92784</v>
      </c>
      <c r="E8" s="0" t="n">
        <f aca="false">E6*E7/100</f>
        <v>2819.649932</v>
      </c>
      <c r="F8" s="0" t="n">
        <f aca="false">F6*F7/100</f>
        <v>3179.3983716</v>
      </c>
      <c r="G8" s="0" t="n">
        <f aca="false">G6*G7/100</f>
        <v>3525.31691443008</v>
      </c>
      <c r="H8" s="0" t="n">
        <f aca="false">H6*H7/100</f>
        <v>3857.81839613201</v>
      </c>
      <c r="I8" s="0" t="n">
        <f aca="false">I6*I7/100</f>
        <v>4154.19682529517</v>
      </c>
      <c r="J8" s="0" t="n">
        <f aca="false">J6*J7/100</f>
        <v>4423.76525366159</v>
      </c>
      <c r="K8" s="0" t="n">
        <f aca="false">K6*K7/100</f>
        <v>4673.7148384273</v>
      </c>
      <c r="L8" s="0" t="n">
        <f aca="false">L6*L7/100</f>
        <v>4884.03200615653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1.7</v>
      </c>
      <c r="D9" s="4" t="n">
        <f aca="false">Assumptions!D43</f>
        <v>1.6</v>
      </c>
      <c r="E9" s="4" t="n">
        <f aca="false">Assumptions!E43</f>
        <v>1.5</v>
      </c>
      <c r="F9" s="4" t="n">
        <f aca="false">Assumptions!F43</f>
        <v>1.45</v>
      </c>
      <c r="G9" s="4" t="n">
        <f aca="false">Assumptions!G43</f>
        <v>1.4</v>
      </c>
      <c r="H9" s="4" t="n">
        <f aca="false">Assumptions!H43</f>
        <v>1.4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-136.60316</v>
      </c>
      <c r="D10" s="0" t="n">
        <f aca="false">-D6*D9/100</f>
        <v>-141.424448</v>
      </c>
      <c r="E10" s="0" t="n">
        <f aca="false">-E6*E9/100</f>
        <v>-145.843962</v>
      </c>
      <c r="F10" s="0" t="n">
        <f aca="false">-F6*F9/100</f>
        <v>-153.670921294</v>
      </c>
      <c r="G10" s="0" t="n">
        <f aca="false">-G6*G9/100</f>
        <v>-160.24167792864</v>
      </c>
      <c r="H10" s="0" t="n">
        <f aca="false">-H6*H9/100</f>
        <v>-171.458595383645</v>
      </c>
      <c r="I10" s="0" t="n">
        <f aca="false">-I6*I9/100</f>
        <v>-181.746111106664</v>
      </c>
      <c r="J10" s="0" t="n">
        <f aca="false">-J6*J9/100</f>
        <v>-191.74214721753</v>
      </c>
      <c r="K10" s="0" t="n">
        <f aca="false">-K6*K9/100</f>
        <v>-201.329254578407</v>
      </c>
      <c r="L10" s="0" t="n">
        <f aca="false">-L6*L9/100</f>
        <v>-210.389071034435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2032.97644</v>
      </c>
      <c r="D11" s="0" t="n">
        <f aca="false">D8+D10+D24</f>
        <v>2333.503392</v>
      </c>
      <c r="E11" s="0" t="n">
        <f aca="false">E8+E10+E24</f>
        <v>2673.80597</v>
      </c>
      <c r="F11" s="0" t="n">
        <f aca="false">F8+F10+F24</f>
        <v>3025.727450306</v>
      </c>
      <c r="G11" s="0" t="n">
        <f aca="false">G8+G10+G24</f>
        <v>3365.07523650144</v>
      </c>
      <c r="H11" s="0" t="n">
        <f aca="false">H8+H10+H24</f>
        <v>3686.35980074837</v>
      </c>
      <c r="I11" s="0" t="n">
        <f aca="false">I8+I10+I24</f>
        <v>3972.4507141885</v>
      </c>
      <c r="J11" s="0" t="n">
        <f aca="false">J8+J10+J24</f>
        <v>4232.02310644406</v>
      </c>
      <c r="K11" s="0" t="n">
        <f aca="false">K8+K10+K24</f>
        <v>4472.38558384889</v>
      </c>
      <c r="L11" s="0" t="n">
        <f aca="false">L8+L10+L24</f>
        <v>4673.64293512209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-321.4192</v>
      </c>
      <c r="D12" s="4" t="n">
        <f aca="false">-D6*Assumptions!D45/100</f>
        <v>-353.56112</v>
      </c>
      <c r="E12" s="4" t="n">
        <f aca="false">-E6*Assumptions!E45/100</f>
        <v>-388.917232</v>
      </c>
      <c r="F12" s="4" t="n">
        <f aca="false">-F6*Assumptions!F45/100</f>
        <v>-423.91978288</v>
      </c>
      <c r="G12" s="4" t="n">
        <f aca="false">-G6*Assumptions!G45/100</f>
        <v>-457.8333655104</v>
      </c>
      <c r="H12" s="4" t="n">
        <f aca="false">-H6*Assumptions!H45/100</f>
        <v>-489.881701096128</v>
      </c>
      <c r="I12" s="4" t="n">
        <f aca="false">-I6*Assumptions!I45/100</f>
        <v>-519.274603161896</v>
      </c>
      <c r="J12" s="4" t="n">
        <f aca="false">-J6*Assumptions!J45/100</f>
        <v>-547.8347063358</v>
      </c>
      <c r="K12" s="4" t="n">
        <f aca="false">-K6*Assumptions!K45/100</f>
        <v>-575.22644165259</v>
      </c>
      <c r="L12" s="4" t="n">
        <f aca="false">-L6*Assumptions!L45/100</f>
        <v>-601.111631526957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1711.55724</v>
      </c>
      <c r="D13" s="0" t="n">
        <f aca="false">D11+D12</f>
        <v>1979.942272</v>
      </c>
      <c r="E13" s="0" t="n">
        <f aca="false">E11+E12</f>
        <v>2284.888738</v>
      </c>
      <c r="F13" s="0" t="n">
        <f aca="false">F11+F12</f>
        <v>2601.807667426</v>
      </c>
      <c r="G13" s="0" t="n">
        <f aca="false">G11+G12</f>
        <v>2907.24187099104</v>
      </c>
      <c r="H13" s="0" t="n">
        <f aca="false">H11+H12</f>
        <v>3196.47809965224</v>
      </c>
      <c r="I13" s="0" t="n">
        <f aca="false">I11+I12</f>
        <v>3453.17611102661</v>
      </c>
      <c r="J13" s="0" t="n">
        <f aca="false">J11+J12</f>
        <v>3684.18840010826</v>
      </c>
      <c r="K13" s="0" t="n">
        <f aca="false">K11+K12</f>
        <v>3897.1591421963</v>
      </c>
      <c r="L13" s="0" t="n">
        <f aca="false">L11+L12</f>
        <v>4072.53130359513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1352.1302196</v>
      </c>
      <c r="D15" s="0" t="n">
        <f aca="false">D13-MAX(0,D13)*D14/100</f>
        <v>1564.15439488</v>
      </c>
      <c r="E15" s="0" t="n">
        <f aca="false">E13-MAX(0,E13)*E14/100</f>
        <v>1805.06210302</v>
      </c>
      <c r="F15" s="0" t="n">
        <f aca="false">F13-MAX(0,F13)*F14/100</f>
        <v>2055.42805726654</v>
      </c>
      <c r="G15" s="0" t="n">
        <f aca="false">G13-MAX(0,G13)*G14/100</f>
        <v>2296.72107808292</v>
      </c>
      <c r="H15" s="0" t="n">
        <f aca="false">H13-MAX(0,H13)*H14/100</f>
        <v>2525.21769872527</v>
      </c>
      <c r="I15" s="0" t="n">
        <f aca="false">I13-MAX(0,I13)*I14/100</f>
        <v>2728.00912771102</v>
      </c>
      <c r="J15" s="0" t="n">
        <f aca="false">J13-MAX(0,J13)*J14/100</f>
        <v>2910.50883608552</v>
      </c>
      <c r="K15" s="0" t="n">
        <f aca="false">K13-MAX(0,K13)*K14/100</f>
        <v>3078.75572233508</v>
      </c>
      <c r="L15" s="0" t="n">
        <f aca="false">L13-MAX(0,L13)*L14/100</f>
        <v>3217.29972984016</v>
      </c>
    </row>
    <row r="16" customFormat="false" ht="15" hidden="false" customHeight="false" outlineLevel="0" collapsed="false">
      <c r="A16" s="0" t="s">
        <v>129</v>
      </c>
      <c r="C16" s="0" t="n">
        <f aca="false">-C12</f>
        <v>321.4192</v>
      </c>
      <c r="D16" s="0" t="n">
        <f aca="false">-D12</f>
        <v>353.56112</v>
      </c>
      <c r="E16" s="0" t="n">
        <f aca="false">-E12</f>
        <v>388.917232</v>
      </c>
      <c r="F16" s="0" t="n">
        <f aca="false">-F12</f>
        <v>423.91978288</v>
      </c>
      <c r="G16" s="0" t="n">
        <f aca="false">-G12</f>
        <v>457.8333655104</v>
      </c>
      <c r="H16" s="0" t="n">
        <f aca="false">-H12</f>
        <v>489.881701096128</v>
      </c>
      <c r="I16" s="0" t="n">
        <f aca="false">-I12</f>
        <v>519.274603161896</v>
      </c>
      <c r="J16" s="0" t="n">
        <f aca="false">-J12</f>
        <v>547.8347063358</v>
      </c>
      <c r="K16" s="0" t="n">
        <f aca="false">-K12</f>
        <v>575.22644165259</v>
      </c>
      <c r="L16" s="0" t="n">
        <f aca="false">-L12</f>
        <v>601.111631526957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-466.05784</v>
      </c>
      <c r="D17" s="4" t="n">
        <f aca="false">-D6*Assumptions!D46/100</f>
        <v>-512.663624</v>
      </c>
      <c r="E17" s="4" t="n">
        <f aca="false">-E6*Assumptions!E46/100</f>
        <v>-554.2070556</v>
      </c>
      <c r="F17" s="4" t="n">
        <f aca="false">-F6*Assumptions!F46/100</f>
        <v>-593.487696032</v>
      </c>
      <c r="G17" s="4" t="n">
        <f aca="false">-G6*Assumptions!G46/100</f>
        <v>-629.5208775768</v>
      </c>
      <c r="H17" s="4" t="n">
        <f aca="false">-H6*Assumptions!H46/100</f>
        <v>-661.340296479773</v>
      </c>
      <c r="I17" s="4" t="n">
        <f aca="false">-I6*Assumptions!I46/100</f>
        <v>-688.038849189512</v>
      </c>
      <c r="J17" s="4" t="n">
        <f aca="false">-J6*Assumptions!J46/100</f>
        <v>-712.185118236541</v>
      </c>
      <c r="K17" s="4" t="n">
        <f aca="false">-K6*Assumptions!K46/100</f>
        <v>-733.413713107053</v>
      </c>
      <c r="L17" s="4" t="n">
        <f aca="false">-L6*Assumptions!L46/100</f>
        <v>-751.389539408696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-26.5392</v>
      </c>
      <c r="D18" s="4" t="n">
        <f aca="false">(D6-C6)*Assumptions!$B$51/100</f>
        <v>-32.1419200000001</v>
      </c>
      <c r="E18" s="4" t="n">
        <f aca="false">(E6-D6)*Assumptions!$B$51/100</f>
        <v>-35.3561120000001</v>
      </c>
      <c r="F18" s="4" t="n">
        <f aca="false">(F6-E6)*Assumptions!$B$51/100</f>
        <v>-35.0025508800001</v>
      </c>
      <c r="G18" s="4" t="n">
        <f aca="false">(G6-F6)*Assumptions!$B$51/100</f>
        <v>-33.9135826304001</v>
      </c>
      <c r="H18" s="4" t="n">
        <f aca="false">(H6-G6)*Assumptions!$B$51/100</f>
        <v>-32.0483355857281</v>
      </c>
      <c r="I18" s="4" t="n">
        <f aca="false">(I6-H6)*Assumptions!$B$51/100</f>
        <v>-29.3929020657677</v>
      </c>
      <c r="J18" s="4" t="n">
        <f aca="false">(J6-I6)*Assumptions!$B$51/100</f>
        <v>-28.5601031739043</v>
      </c>
      <c r="K18" s="4" t="n">
        <f aca="false">(K6-J6)*Assumptions!$B$51/100</f>
        <v>-27.3917353167901</v>
      </c>
      <c r="L18" s="4" t="n">
        <f aca="false">(L6-K6)*Assumptions!$B$51/100</f>
        <v>-25.8851898743666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1180.9523796</v>
      </c>
      <c r="D19" s="0" t="n">
        <f aca="false">D15+D16+D17+D18</f>
        <v>1372.90997088</v>
      </c>
      <c r="E19" s="0" t="n">
        <f aca="false">E15+E16+E17+E18</f>
        <v>1604.41616742</v>
      </c>
      <c r="F19" s="0" t="n">
        <f aca="false">F15+F16+F17+F18</f>
        <v>1850.85759323454</v>
      </c>
      <c r="G19" s="0" t="n">
        <f aca="false">G15+G16+G17+G18</f>
        <v>2091.11998338612</v>
      </c>
      <c r="H19" s="0" t="n">
        <f aca="false">H15+H16+H17+H18</f>
        <v>2321.71076775589</v>
      </c>
      <c r="I19" s="0" t="n">
        <f aca="false">I15+I16+I17+I18</f>
        <v>2529.85197961764</v>
      </c>
      <c r="J19" s="0" t="n">
        <f aca="false">J15+J16+J17+J18</f>
        <v>2717.59832101088</v>
      </c>
      <c r="K19" s="0" t="n">
        <f aca="false">K15+K16+K17+K18</f>
        <v>2893.17671556382</v>
      </c>
      <c r="L19" s="0" t="n">
        <f aca="false">L15+L16+L17+L18</f>
        <v>3041.13663208405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1083.44255009174</v>
      </c>
      <c r="D21" s="0" t="n">
        <f aca="false">D19*D20</f>
        <v>1155.55085504587</v>
      </c>
      <c r="E21" s="0" t="n">
        <f aca="false">E19*E20</f>
        <v>1238.90365962461</v>
      </c>
      <c r="F21" s="0" t="n">
        <f aca="false">F19*F20</f>
        <v>1311.1941811388</v>
      </c>
      <c r="G21" s="0" t="n">
        <f aca="false">G19*G20</f>
        <v>1359.08450971832</v>
      </c>
      <c r="H21" s="0" t="n">
        <f aca="false">H19*H20</f>
        <v>1384.3602732765</v>
      </c>
      <c r="I21" s="0" t="n">
        <f aca="false">I19*I20</f>
        <v>1383.9156672355</v>
      </c>
      <c r="J21" s="0" t="n">
        <f aca="false">J19*J20</f>
        <v>1363.87095901069</v>
      </c>
      <c r="K21" s="0" t="n">
        <f aca="false">K19*K20</f>
        <v>1332.09893089532</v>
      </c>
      <c r="L21" s="0" t="n">
        <f aca="false">L19*L20</f>
        <v>1284.60897863866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12897.030564676</v>
      </c>
    </row>
    <row r="31" customFormat="false" ht="15" hidden="false" customHeight="false" outlineLevel="0" collapsed="false">
      <c r="A31" s="0" t="s">
        <v>138</v>
      </c>
      <c r="B31" s="0" t="n">
        <f aca="false">L19</f>
        <v>3041.13663208405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57228.6620764908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60822.732641681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57228.6620764908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24174.0053252912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37071.0358899672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35184.0358899672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124.325215158895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-0.280691881746733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1049.44049925238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1672.38343384926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133.942967572681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27370.2296887564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51.2851252952371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47.1267434470446</v>
      </c>
      <c r="C4" s="0" t="n">
        <f aca="false">B4/Assumptions!$B$2-1</f>
        <v>-0.727338906230939</v>
      </c>
      <c r="D4" s="4" t="n">
        <f aca="false">Assumptions!$B$24</f>
        <v>0.2</v>
      </c>
      <c r="E4" s="4" t="n">
        <f aca="false">DCF_Bear!$B$43</f>
        <v>54.5054371459475</v>
      </c>
      <c r="F4" s="4" t="n">
        <f aca="false">DCF_Bear!$B$47</f>
        <v>21.6009184150301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82.5612564107557</v>
      </c>
      <c r="C5" s="0" t="n">
        <f aca="false">B5/Assumptions!$B$2-1</f>
        <v>-0.522325524121988</v>
      </c>
      <c r="D5" s="4" t="n">
        <f aca="false">Assumptions!$B$38</f>
        <v>0.5</v>
      </c>
      <c r="E5" s="4" t="n">
        <f aca="false">DCF_Base!$B$43</f>
        <v>90.6886502484335</v>
      </c>
      <c r="F5" s="4" t="n">
        <f aca="false">DCF_Base!$B$47</f>
        <v>35.8966849531453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124.325215158895</v>
      </c>
      <c r="C6" s="0" t="n">
        <f aca="false">B6/Assumptions!$B$2-1</f>
        <v>-0.280691881746733</v>
      </c>
      <c r="D6" s="4" t="n">
        <f aca="false">Assumptions!$B$52</f>
        <v>0.3</v>
      </c>
      <c r="E6" s="4" t="n">
        <f aca="false">DCF_Bull!$B$43</f>
        <v>133.942967572681</v>
      </c>
      <c r="F6" s="4" t="n">
        <f aca="false">DCF_Bull!$B$47</f>
        <v>51.2851252952371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88.0035414424551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96.4283028252107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-0.964011870056602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1006.9894529143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37.6540637481498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82.5612564107557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69.1490488941292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59.1202415848872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51.3452442310674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35.8966849531453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100.428855189333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100.428855189333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100.428855189333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100.428855189333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100.428855189333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88.9996025146654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92.4414919312531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92.4414919312531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92.4414919312531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92.4414919312531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74.4152134544901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78.1749255881511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82.5612564107557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85.1769582774464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85.1769582774464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63.5215907390063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66.1477378780636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69.1490488941292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72.6121000665125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76.652326434293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55.0856910253459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56.9843030533653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59.1202415848872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61.540971920612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64.307520875726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2026-09-25T06:45:00Z</dcterms:created>
  <dc:creator>openpyxl</dc:creator>
  <dc:description/>
  <dc:language>en-NZ</dc:language>
  <cp:lastModifiedBy/>
  <dcterms:modified xsi:type="dcterms:W3CDTF">2026-09-25T06:45:00Z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