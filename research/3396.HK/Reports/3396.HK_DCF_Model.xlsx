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<sst xmlns="http://schemas.openxmlformats.org/spreadsheetml/2006/main" count="356" uniqueCount="164">
  <si>
    <t xml:space="preserve">Ticker</t>
  </si>
  <si>
    <t xml:space="preserve">3396.HK</t>
  </si>
  <si>
    <t xml:space="preserve">Company</t>
  </si>
  <si>
    <t xml:space="preserve">Legend Holdings Corporation</t>
  </si>
  <si>
    <t xml:space="preserve">Valuation date</t>
  </si>
  <si>
    <t xml:space="preserve">2026-10-22</t>
  </si>
  <si>
    <t xml:space="preserve">Current price</t>
  </si>
  <si>
    <t xml:space="preserve">Price as of</t>
  </si>
  <si>
    <t xml:space="preserve">2026-10-22T08:08:34Z regular HKEX close</t>
  </si>
  <si>
    <t xml:space="preserve">Balance sheet date</t>
  </si>
  <si>
    <t xml:space="preserve">2026-06-30</t>
  </si>
  <si>
    <t xml:space="preserve">Model</t>
  </si>
  <si>
    <t xml:space="preserve">Sum-of-the-parts NAV: look-through owner-FCF DCF of the fully diluted Lenovo stake plus BIL, Levima and the investment portfolio at indicative, market or book value, less holdco net liabilities and a holding-company discount (engine route)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</si>
  <si>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</si>
  <si>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</si>
  <si>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</si>
  <si>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</si>
  <si>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</si>
  <si>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</si>
  <si>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</si>
  <si>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</si>
  <si>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</si>
  <si>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2026-10-22T10:06:50Z</t>
  </si>
  <si>
    <t xml:space="preserve">Drivers file</t>
  </si>
  <si>
    <t xml:space="preserve">3396.HK_Drivers.json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</si>
  <si>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</si>
  <si>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</si>
  <si>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</si>
  <si>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Legend as what it is: a leveraged holding company whose worth is ~70% a listed Lenovo stake, ~15% a saleable Luxembourg bank, and the rest a mixed bag of listed, VC/PE and loss-making industrial holdings, all sitting behind holdco debt and a structure the market has discounted by 60-75% for a decade. The Lenovo piece is DCF'd on a fully diluted look-through so that the AI-server upside and the PC-cycle downside are explicit driver paths rather than a market price taken on faith; every other part is marked at the most defensible external anchor (sale indication, market, book-with-haircut, zero) and the holding-company discount is applied once, explicitly, as a fixed amount off the base NAV so that the reader can see exactly what the structure costs. Consolidated P/E, EV/EBITDA and FCF are meaningless for this ticker and are not used.
key_risks_to_valuation: Lenovo path risk: a 1pp change in Lenovo's mature EBITDA margin moves Legend's NAV by roughly RMB10-12bn (HK$5-6/share) before the discount; the base case is already slightly above Lenovo's current market price on a diluted basis; Holding-company discount persistence: the market has paid 25-40% of NAV since 2019; a 60% discount assumes partial normalisation on the BIL catalyst and may still be too generous -- at the market's 70% the base case is HK$17; BIL sale execution: Luxembourg/ECB approval, price below the EUR2.5bn indication, or no deal (fallback to book is slightly ABOVE the indication, so the main risk is not price but that the de-levering catalyst never arrives); Lenovo-level dilution and warrant accounting: the Alat CB converts mandatorily in Jan 2028 and the warrants are deep in the money; the warrant exercise price used (~HK$10.09 post-adjustment) is from the 2024 announcement and should be re-checked against Lenovo's own disclosure; Lenovo net cash estimate: Lenovo's 30 Jun 2026 balance sheet is not in Legend's filings; the USD1.5bn ex-CB net cash is a Mar-2026 figure haircut for the H1 inventory build (+/-USD1bn = +/-HK$0.8/share pre-discount); Investment-portfolio marks: the 25% haircut on ~RMB33bn of VC/PE, bank-associate and industrial carrying values is a judgment; FY2023-24 losses show the marks can fall RMB2-4bn in a bad year; Attributable earnings volatility and governance: no dividend was paid for FY2025; Legend's own shareholders have received little of the group's cash generation, and Chinese Academy of Sciences affiliates control ~29%</t>
  </si>
  <si>
    <t xml:space="preserve">Data sources</t>
  </si>
  <si>
    <t xml:space="preserve">price: Yahoo Finance chart API at inputs.price_as_of; 52-week range 7.76-26.22. Lenovo 0992.HK, Levima 003022.SZ, Lakala 300773.SZ closes and CNYHKD/USDCNY/USDHKD/EURCNY rates from the same source, same date. Lenovo and Levima balance-sheet and share-count data from Yahoo fundamentals timeseries (31 Mar 2026 / 30 Jun 2026).
financials: 3396.HK_Metrics.csv (FY2017-FY2025, H1 FY2023-H1 FY2026); FY2025 annual report segment note (lines 10836-10872), borrowings note 43 (13477+), goodwill CGU note 19 (12300-12345), Company balance sheet note 49 (14388-14470), Lenovo CB terms (13566-13596), Alat transaction (3606-3660); H1 FY2026 interim segment note (3262-3310), balance sheet (2196-2340), borrowings note 22 (4187+), stakes (lines 585, 731, 908, 968, 1210, 1312), bonds (1476-1492, 1814-1830).
qualitative: 3396.HK_Analysis.json (2026-10-22): BIL sale process (FT/WealthBriefing, Sept 2026, ~EUR2.5bn via Goldman Sachs), Lenovo AI mix and backlog, Legend's Dec-2025 Lenovo purchase, portfolio exits.</t>
  </si>
  <si>
    <t xml:space="preserve">Scenario narrative: bear</t>
  </si>
  <si>
    <t xml:space="preserve">PC/memory cycle turns in CY2027, tariffs and export controls hit Lenovo's US-exposed server and PC lines, ISG margins stall; Lenovo's warrants and convertibles still dilute Legend to 26% while the warrant mark-to-market keeps attributable earnings negative in headline terms. Joyvio and the solar/leasing incubations keep absorbing cash, no BIL sale completes, and the holdco discount stays at the modelled 60% (the engine holds it constant; at the market's historical 70-75% the bear case would be HK$9-11).</t>
  </si>
  <si>
    <t xml:space="preserve">Scenario narrative: base</t>
  </si>
  <si>
    <t xml:space="preserve">Lenovo delivers CY2026 +24% then fades to GDP-plus growth with EBITDA settling at 5.8%; Legend's fully diluted 26.25% look-through is valued at 9% WACC with a 14x owner-FCF exit cap. BIL is sold at roughly the EUR2.5bn indication (or stays at ~book), Levima is worth its market price, Joyvio nothing, the VC/PE and financial-services book is worth 75% of carrying value, and the market keeps charging a holding-company discount for the structure (PRC realisation tax, no access to Lenovo's cash beyond a ~RMB1.5bn dividend that does not cover ~RMB2.1bn of holdco interest, SOE-flavoured governance). Lenovo stake at market on the same diluted basis: HK$35.5/share -- the base look-through DCF is checked against it in the build output.</t>
  </si>
  <si>
    <t xml:space="preserve">Scenario narrative: bull</t>
  </si>
  <si>
    <t xml:space="preserve">Lenovo's AI-infrastructure franchise scales (ISG/SSG margin expansion to 7% EBITDA, CY2026 +30%), the BIL sale closes and de-levers the holdco so the dividend is restored, and Legend's own on-market Lenovo buying plus portfolio recycling (RMB45bn of exits since 2024) narrow the structural discount. Only the Lenovo path varies in the engine; the 60% discount and the BIL/portfolio marks are held at base in every scenario, so this scenario understates the bull case for the structure itself (a narrowing to 45% would add ~HK$8/share).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</si>
  <si>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</si>
  <si>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</si>
  <si>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</si>
  <si>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</si>
  <si>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</si>
  <si>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</si>
  <si>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</si>
  <si>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</si>
  <si>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</si>
  <si>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</si>
  <si>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</si>
  <si>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</si>
  <si>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</si>
  <si>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</si>
  <si>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</si>
  <si>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</si>
  <si>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</si>
  <si>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</si>
  <si>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</si>
  <si>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</si>
  <si>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</si>
  <si>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</si>
  <si>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</si>
  <si>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</si>
  <si>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</si>
  <si>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</si>
  <si>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</si>
  <si>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</si>
  <si>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</si>
  <si>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</si>
  <si>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</si>
  <si>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</si>
  <si>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</si>
  <si>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</si>
  <si>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</si>
  <si>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</si>
  <si>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</si>
  <si>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</si>
  <si>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</si>
  <si>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</si>
  <si>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</si>
  <si>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</si>
  <si>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</si>
  <si>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</si>
  <si>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</si>
  <si>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</si>
  <si>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</si>
  <si>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</si>
  <si>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</si>
  <si>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</si>
  <si>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</si>
  <si>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</si>
  <si>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</si>
  <si>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</si>
  <si>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</si>
  <si>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</si>
  <si>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</si>
  <si>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</si>
  <si>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</si>
  <si>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</si>
  <si>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</si>
  <si>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</si>
  <si>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</si>
  <si>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</si>
  <si>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</si>
  <si>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</si>
  <si>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</si>
  <si>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</si>
  <si>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</si>
  <si>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</si>
  <si>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</si>
  <si>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</si>
  <si>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</si>
  <si>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3396.HK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</si>
  <si>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</si>
  <si>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</si>
  <si>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</si>
  <si>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</si>
  <si>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</si>
  <si>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</si>
  <si>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</si>
  <si>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</si>
  <si>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</si>
  <si>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</si>
  <si>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</si>
  <si>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</si>
  <si>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</si>
  <si>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</si>
  <si>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</si>
  <si>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</si>
  <si>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</si>
  <si>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</si>
  <si>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</si>
  <si>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</si>
  <si>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</si>
  <si>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</si>
  <si>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</si>
  <si>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</si>
  <si>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</si>
  <si>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</si>
  <si>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</si>
  <si>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</si>
  <si>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</si>
  <si>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</si>
  <si>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3396.HK owner-FCF component DCF: base case (millions, CNY)</t>
  </si>
  <si>
    <t xml:space="preserve">3396.HK owner-FCF component DCF: bull case (millions, CNY)</t>
  </si>
  <si>
    <t xml:space="preserve">3396.HK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</si>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</sst>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15.79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316262.914</v>
      </c>
      <c r="C2" s="0" t="n">
        <v>269706.4</v>
      </c>
      <c r="D2" s="0" t="n">
        <v>46556.5</v>
      </c>
      <c r="E2" s="0" t="n">
        <v>14.7</v>
      </c>
      <c r="I2" s="0" t="n">
        <v>5047.826</v>
      </c>
      <c r="J2" s="0" t="n">
        <v>1.6</v>
      </c>
      <c r="K2" s="0" t="n">
        <v>2.16</v>
      </c>
      <c r="L2" s="0" t="n">
        <v>-5370.121</v>
      </c>
      <c r="M2" s="0" t="n">
        <v>6442.351</v>
      </c>
      <c r="N2" s="0" t="n">
        <v>-11812.472</v>
      </c>
      <c r="O2" s="0" t="n">
        <v>54433.323</v>
      </c>
      <c r="P2" s="0" t="n">
        <v>335073.741</v>
      </c>
      <c r="Q2" s="0" t="n">
        <v>256092.093</v>
      </c>
      <c r="R2" s="0" t="n">
        <v>87577.605</v>
      </c>
      <c r="S2" s="0" t="n">
        <v>32202.477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358919.679</v>
      </c>
      <c r="C3" s="0" t="n">
        <v>303813.715</v>
      </c>
      <c r="D3" s="0" t="n">
        <v>55105.964</v>
      </c>
      <c r="E3" s="0" t="n">
        <v>15.4</v>
      </c>
      <c r="I3" s="0" t="n">
        <v>4361.525</v>
      </c>
      <c r="J3" s="0" t="n">
        <v>1.22</v>
      </c>
      <c r="K3" s="0" t="n">
        <v>1.87</v>
      </c>
      <c r="L3" s="0" t="n">
        <v>2761.35</v>
      </c>
      <c r="M3" s="0" t="n">
        <v>5006.604</v>
      </c>
      <c r="N3" s="0" t="n">
        <v>-2245.254</v>
      </c>
      <c r="O3" s="0" t="n">
        <v>57472.754</v>
      </c>
      <c r="P3" s="0" t="n">
        <v>558266.891</v>
      </c>
      <c r="Q3" s="0" t="n">
        <v>475248.918</v>
      </c>
      <c r="R3" s="0" t="n">
        <v>128225.097</v>
      </c>
      <c r="S3" s="0" t="n">
        <v>60023.193</v>
      </c>
      <c r="T3" s="0" t="n">
        <v>2356.231</v>
      </c>
      <c r="U3" s="0" t="n">
        <v>1453.96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389218.264</v>
      </c>
      <c r="C4" s="0" t="n">
        <v>320544.108</v>
      </c>
      <c r="D4" s="0" t="n">
        <v>68674.156</v>
      </c>
      <c r="E4" s="0" t="n">
        <v>17.6</v>
      </c>
      <c r="I4" s="0" t="n">
        <v>3606.896</v>
      </c>
      <c r="J4" s="0" t="n">
        <v>0.93</v>
      </c>
      <c r="K4" s="0" t="n">
        <v>1.54</v>
      </c>
      <c r="L4" s="0" t="n">
        <v>9206.971</v>
      </c>
      <c r="M4" s="0" t="n">
        <v>7898.955</v>
      </c>
      <c r="N4" s="0" t="n">
        <v>1308.016</v>
      </c>
      <c r="O4" s="0" t="n">
        <v>60537.239</v>
      </c>
      <c r="P4" s="0" t="n">
        <v>624075.194</v>
      </c>
      <c r="Q4" s="0" t="n">
        <v>532250.769</v>
      </c>
      <c r="R4" s="0" t="n">
        <v>137904.827</v>
      </c>
      <c r="S4" s="0" t="n">
        <v>62339.559</v>
      </c>
      <c r="T4" s="0" t="n">
        <v>2356.231</v>
      </c>
      <c r="U4" s="0" t="n">
        <v>1802.25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417566.853</v>
      </c>
      <c r="C5" s="0" t="n">
        <v>347222.508</v>
      </c>
      <c r="D5" s="0" t="n">
        <v>70344.345</v>
      </c>
      <c r="E5" s="0" t="n">
        <v>16.8</v>
      </c>
      <c r="I5" s="0" t="n">
        <v>3868.011</v>
      </c>
      <c r="J5" s="0" t="n">
        <v>0.93</v>
      </c>
      <c r="K5" s="0" t="n">
        <v>1.66</v>
      </c>
      <c r="L5" s="0" t="n">
        <v>42757.597</v>
      </c>
      <c r="M5" s="0" t="n">
        <v>7556.608</v>
      </c>
      <c r="N5" s="0" t="n">
        <v>35200.989</v>
      </c>
      <c r="O5" s="0" t="n">
        <v>60434.362</v>
      </c>
      <c r="P5" s="0" t="n">
        <v>651732.771</v>
      </c>
      <c r="Q5" s="0" t="n">
        <v>565059.573</v>
      </c>
      <c r="R5" s="0" t="n">
        <v>136389.456</v>
      </c>
      <c r="S5" s="0" t="n">
        <v>69718.438</v>
      </c>
      <c r="T5" s="0" t="n">
        <v>2356.231</v>
      </c>
      <c r="U5" s="0" t="n">
        <v>1883.94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489871.677</v>
      </c>
      <c r="C6" s="0" t="n">
        <v>403940.867</v>
      </c>
      <c r="D6" s="0" t="n">
        <v>85930.81</v>
      </c>
      <c r="E6" s="0" t="n">
        <v>17.5</v>
      </c>
      <c r="I6" s="0" t="n">
        <v>5754.886</v>
      </c>
      <c r="J6" s="0" t="n">
        <v>1.17</v>
      </c>
      <c r="K6" s="0" t="n">
        <v>2.46</v>
      </c>
      <c r="L6" s="0" t="n">
        <v>22168.101</v>
      </c>
      <c r="M6" s="0" t="n">
        <v>9856.639</v>
      </c>
      <c r="N6" s="0" t="n">
        <v>12311.462</v>
      </c>
      <c r="O6" s="0" t="n">
        <v>61269.888</v>
      </c>
      <c r="P6" s="0" t="n">
        <v>680686.174</v>
      </c>
      <c r="Q6" s="0" t="n">
        <v>587875.45</v>
      </c>
      <c r="R6" s="0" t="n">
        <v>132868.685</v>
      </c>
      <c r="S6" s="0" t="n">
        <v>59956.63</v>
      </c>
      <c r="T6" s="0" t="n">
        <v>2356.231</v>
      </c>
      <c r="U6" s="0" t="n">
        <v>2423.34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483662.697</v>
      </c>
      <c r="C7" s="0" t="n">
        <v>398208.721</v>
      </c>
      <c r="D7" s="0" t="n">
        <v>85453.976</v>
      </c>
      <c r="E7" s="0" t="n">
        <v>17.7</v>
      </c>
      <c r="I7" s="0" t="n">
        <v>1167.063</v>
      </c>
      <c r="J7" s="0" t="n">
        <v>0.24</v>
      </c>
      <c r="K7" s="0" t="n">
        <v>0.5</v>
      </c>
      <c r="L7" s="0" t="n">
        <v>47552.16</v>
      </c>
      <c r="M7" s="0" t="n">
        <v>14295.81</v>
      </c>
      <c r="N7" s="0" t="n">
        <v>33256.35</v>
      </c>
      <c r="O7" s="0" t="n">
        <v>62585.427</v>
      </c>
      <c r="P7" s="0" t="n">
        <v>681074.168</v>
      </c>
      <c r="Q7" s="0" t="n">
        <v>578918.542</v>
      </c>
      <c r="R7" s="0" t="n">
        <v>132487.245</v>
      </c>
      <c r="S7" s="0" t="n">
        <v>81159.017</v>
      </c>
      <c r="T7" s="0" t="n">
        <v>2356.231</v>
      </c>
      <c r="U7" s="0" t="n">
        <v>2419.41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436012.166</v>
      </c>
      <c r="C8" s="0" t="n">
        <v>358781.651</v>
      </c>
      <c r="D8" s="0" t="n">
        <v>77230.515</v>
      </c>
      <c r="E8" s="0" t="n">
        <v>17.7</v>
      </c>
      <c r="I8" s="0" t="n">
        <v>-3874.279</v>
      </c>
      <c r="J8" s="0" t="n">
        <v>-0.89</v>
      </c>
      <c r="K8" s="0" t="n">
        <v>-1.65</v>
      </c>
      <c r="L8" s="0" t="n">
        <v>8955.749</v>
      </c>
      <c r="M8" s="0" t="n">
        <v>14776.433</v>
      </c>
      <c r="N8" s="0" t="n">
        <v>-5820.684</v>
      </c>
      <c r="O8" s="0" t="n">
        <v>56964.568</v>
      </c>
      <c r="P8" s="0" t="n">
        <v>665732.567</v>
      </c>
      <c r="Q8" s="0" t="n">
        <v>565613.611</v>
      </c>
      <c r="R8" s="0" t="n">
        <v>124512.862</v>
      </c>
      <c r="S8" s="0" t="n">
        <v>59571.033</v>
      </c>
      <c r="T8" s="0" t="n">
        <v>2356.231</v>
      </c>
      <c r="U8" s="0" t="n">
        <v>2332.23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512806.435</v>
      </c>
      <c r="C9" s="0" t="n">
        <v>427071.274</v>
      </c>
      <c r="D9" s="0" t="n">
        <v>85735.161</v>
      </c>
      <c r="E9" s="0" t="n">
        <v>16.7</v>
      </c>
      <c r="I9" s="0" t="n">
        <v>133.231</v>
      </c>
      <c r="J9" s="0" t="n">
        <v>0.03</v>
      </c>
      <c r="K9" s="0" t="n">
        <v>0.06</v>
      </c>
      <c r="L9" s="0" t="n">
        <v>27076.865</v>
      </c>
      <c r="M9" s="0" t="n">
        <v>12781.328</v>
      </c>
      <c r="N9" s="0" t="n">
        <v>14295.537</v>
      </c>
      <c r="O9" s="0" t="n">
        <v>54379.116</v>
      </c>
      <c r="P9" s="0" t="n">
        <v>695967.994</v>
      </c>
      <c r="Q9" s="0" t="n">
        <v>598322.429</v>
      </c>
      <c r="R9" s="0" t="n">
        <v>131245.429</v>
      </c>
      <c r="S9" s="0" t="n">
        <v>60967.998</v>
      </c>
      <c r="T9" s="0" t="n">
        <v>2356.231</v>
      </c>
      <c r="U9" s="0" t="n">
        <v>1901.65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605945.121</v>
      </c>
      <c r="C10" s="0" t="n">
        <v>509807.228</v>
      </c>
      <c r="D10" s="0" t="n">
        <v>96137.893</v>
      </c>
      <c r="E10" s="0" t="n">
        <v>15.9</v>
      </c>
      <c r="I10" s="0" t="n">
        <v>1060.796</v>
      </c>
      <c r="J10" s="0" t="n">
        <v>0.18</v>
      </c>
      <c r="K10" s="0" t="n">
        <v>0.45</v>
      </c>
      <c r="L10" s="0" t="n">
        <v>25918.375</v>
      </c>
      <c r="M10" s="0" t="n">
        <v>17137.263</v>
      </c>
      <c r="N10" s="0" t="n">
        <v>8781.112</v>
      </c>
      <c r="O10" s="0" t="n">
        <v>55799.216</v>
      </c>
      <c r="P10" s="0" t="n">
        <v>774524.461</v>
      </c>
      <c r="Q10" s="0" t="n">
        <v>665713.277</v>
      </c>
      <c r="R10" s="0" t="n">
        <v>143673.327</v>
      </c>
      <c r="S10" s="0" t="n">
        <v>72254.243</v>
      </c>
      <c r="T10" s="0" t="n">
        <v>2356.231</v>
      </c>
      <c r="U10" s="0" t="n">
        <v>2415.06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15.79</v>
      </c>
    </row>
    <row r="3" customFormat="false" ht="15" hidden="false" customHeight="false" outlineLevel="0" collapsed="false">
      <c r="A3" s="0" t="s">
        <v>76</v>
      </c>
      <c r="B3" s="3" t="n">
        <v>2356.231</v>
      </c>
    </row>
    <row r="4" customFormat="false" ht="15" hidden="false" customHeight="false" outlineLevel="0" collapsed="false">
      <c r="A4" s="0" t="s">
        <v>77</v>
      </c>
      <c r="B4" s="3" t="n">
        <v>-2088</v>
      </c>
    </row>
    <row r="5" customFormat="false" ht="15" hidden="false" customHeight="false" outlineLevel="0" collapsed="false">
      <c r="A5" s="0" t="s">
        <v>78</v>
      </c>
      <c r="B5" s="3" t="n">
        <v>14854.4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58843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1.1742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15</v>
      </c>
      <c r="D13" s="3" t="n">
        <v>-6</v>
      </c>
      <c r="E13" s="3" t="n">
        <v>-2</v>
      </c>
      <c r="F13" s="3" t="n">
        <v>2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97</v>
      </c>
      <c r="C14" s="3" t="n">
        <v>4.8</v>
      </c>
      <c r="D14" s="3" t="n">
        <v>4.3</v>
      </c>
      <c r="E14" s="3" t="n">
        <v>4.2</v>
      </c>
      <c r="F14" s="3" t="n">
        <v>4.3</v>
      </c>
      <c r="G14" s="3" t="n">
        <v>4.4</v>
      </c>
      <c r="H14" s="3" t="n">
        <v>4.5</v>
      </c>
      <c r="I14" s="3" t="n">
        <v>4.5</v>
      </c>
      <c r="J14" s="3" t="n">
        <v>4.5</v>
      </c>
      <c r="K14" s="3" t="n">
        <v>4.5</v>
      </c>
      <c r="L14" s="3" t="n">
        <v>4.5</v>
      </c>
    </row>
    <row r="15" customFormat="false" ht="15" hidden="false" customHeight="false" outlineLevel="0" collapsed="false">
      <c r="A15" s="0" t="s">
        <v>98</v>
      </c>
      <c r="C15" s="3" t="n">
        <v>0.42</v>
      </c>
      <c r="D15" s="3" t="n">
        <v>0.42</v>
      </c>
      <c r="E15" s="3" t="n">
        <v>0.42</v>
      </c>
      <c r="F15" s="3" t="n">
        <v>0.42</v>
      </c>
      <c r="G15" s="3" t="n">
        <v>0.42</v>
      </c>
      <c r="H15" s="3" t="n">
        <v>0.42</v>
      </c>
      <c r="I15" s="3" t="n">
        <v>0.42</v>
      </c>
      <c r="J15" s="3" t="n">
        <v>0.42</v>
      </c>
      <c r="K15" s="3" t="n">
        <v>0.42</v>
      </c>
      <c r="L15" s="3" t="n">
        <v>0.42</v>
      </c>
    </row>
    <row r="16" customFormat="false" ht="15" hidden="false" customHeight="false" outlineLevel="0" collapsed="false">
      <c r="A16" s="0" t="s">
        <v>99</v>
      </c>
      <c r="C16" s="3" t="n">
        <v>0.15</v>
      </c>
      <c r="D16" s="3" t="n">
        <v>0.15</v>
      </c>
      <c r="E16" s="3" t="n">
        <v>0.15</v>
      </c>
      <c r="F16" s="3" t="n">
        <v>0.15</v>
      </c>
      <c r="G16" s="3" t="n">
        <v>0.15</v>
      </c>
      <c r="H16" s="3" t="n">
        <v>0.15</v>
      </c>
      <c r="I16" s="3" t="n">
        <v>0.15</v>
      </c>
      <c r="J16" s="3" t="n">
        <v>0.15</v>
      </c>
      <c r="K16" s="3" t="n">
        <v>0.15</v>
      </c>
      <c r="L16" s="3" t="n">
        <v>0.15</v>
      </c>
    </row>
    <row r="17" customFormat="false" ht="15" hidden="false" customHeight="false" outlineLevel="0" collapsed="false">
      <c r="A17" s="0" t="s">
        <v>100</v>
      </c>
      <c r="C17" s="3" t="n">
        <v>1.8</v>
      </c>
      <c r="D17" s="3" t="n">
        <v>1.8</v>
      </c>
      <c r="E17" s="3" t="n">
        <v>1.8</v>
      </c>
      <c r="F17" s="3" t="n">
        <v>1.8</v>
      </c>
      <c r="G17" s="3" t="n">
        <v>1.8</v>
      </c>
      <c r="H17" s="3" t="n">
        <v>1.8</v>
      </c>
      <c r="I17" s="3" t="n">
        <v>1.8</v>
      </c>
      <c r="J17" s="3" t="n">
        <v>1.8</v>
      </c>
      <c r="K17" s="3" t="n">
        <v>1.8</v>
      </c>
      <c r="L17" s="3" t="n">
        <v>1.8</v>
      </c>
    </row>
    <row r="18" customFormat="false" ht="15" hidden="false" customHeight="false" outlineLevel="0" collapsed="false">
      <c r="A18" s="0" t="s">
        <v>101</v>
      </c>
      <c r="C18" s="3" t="n">
        <v>2</v>
      </c>
      <c r="D18" s="3" t="n">
        <v>2</v>
      </c>
      <c r="E18" s="3" t="n">
        <v>2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</row>
    <row r="19" customFormat="false" ht="15" hidden="false" customHeight="false" outlineLevel="0" collapsed="false">
      <c r="A19" s="0" t="s">
        <v>102</v>
      </c>
      <c r="C19" s="3" t="n">
        <v>21</v>
      </c>
      <c r="D19" s="3" t="n">
        <v>21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103</v>
      </c>
      <c r="B20" s="3" t="n">
        <v>9</v>
      </c>
    </row>
    <row r="21" customFormat="false" ht="15" hidden="false" customHeight="false" outlineLevel="0" collapsed="false">
      <c r="A21" s="0" t="s">
        <v>104</v>
      </c>
      <c r="B21" s="3" t="n">
        <v>2.5</v>
      </c>
    </row>
    <row r="22" customFormat="false" ht="15" hidden="false" customHeight="false" outlineLevel="0" collapsed="false">
      <c r="A22" s="0" t="s">
        <v>105</v>
      </c>
      <c r="B22" s="3" t="n">
        <v>12</v>
      </c>
    </row>
    <row r="23" customFormat="false" ht="15" hidden="false" customHeight="false" outlineLevel="0" collapsed="false">
      <c r="A23" s="0" t="s">
        <v>106</v>
      </c>
      <c r="B23" s="3" t="n">
        <v>0</v>
      </c>
    </row>
    <row r="24" customFormat="false" ht="15" hidden="false" customHeight="false" outlineLevel="0" collapsed="false">
      <c r="A24" s="0" t="s">
        <v>107</v>
      </c>
      <c r="B24" s="3" t="n">
        <v>0.3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24</v>
      </c>
      <c r="D27" s="3" t="n">
        <v>9</v>
      </c>
      <c r="E27" s="3" t="n">
        <v>7</v>
      </c>
      <c r="F27" s="3" t="n">
        <v>6</v>
      </c>
      <c r="G27" s="3" t="n">
        <v>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97</v>
      </c>
      <c r="C28" s="3" t="n">
        <v>5.4</v>
      </c>
      <c r="D28" s="3" t="n">
        <v>5.6</v>
      </c>
      <c r="E28" s="3" t="n">
        <v>5.7</v>
      </c>
      <c r="F28" s="3" t="n">
        <v>5.8</v>
      </c>
      <c r="G28" s="3" t="n">
        <v>5.8</v>
      </c>
      <c r="H28" s="3" t="n">
        <v>5.8</v>
      </c>
      <c r="I28" s="3" t="n">
        <v>5.8</v>
      </c>
      <c r="J28" s="3" t="n">
        <v>5.8</v>
      </c>
      <c r="K28" s="3" t="n">
        <v>5.8</v>
      </c>
      <c r="L28" s="3" t="n">
        <v>5.8</v>
      </c>
    </row>
    <row r="29" customFormat="false" ht="15" hidden="false" customHeight="false" outlineLevel="0" collapsed="false">
      <c r="A29" s="0" t="s">
        <v>98</v>
      </c>
      <c r="C29" s="3" t="n">
        <v>0.42</v>
      </c>
      <c r="D29" s="3" t="n">
        <v>0.42</v>
      </c>
      <c r="E29" s="3" t="n">
        <v>0.42</v>
      </c>
      <c r="F29" s="3" t="n">
        <v>0.42</v>
      </c>
      <c r="G29" s="3" t="n">
        <v>0.42</v>
      </c>
      <c r="H29" s="3" t="n">
        <v>0.42</v>
      </c>
      <c r="I29" s="3" t="n">
        <v>0.42</v>
      </c>
      <c r="J29" s="3" t="n">
        <v>0.42</v>
      </c>
      <c r="K29" s="3" t="n">
        <v>0.42</v>
      </c>
      <c r="L29" s="3" t="n">
        <v>0.42</v>
      </c>
    </row>
    <row r="30" customFormat="false" ht="15" hidden="false" customHeight="false" outlineLevel="0" collapsed="false">
      <c r="A30" s="0" t="s">
        <v>99</v>
      </c>
      <c r="C30" s="3" t="n">
        <v>0.15</v>
      </c>
      <c r="D30" s="3" t="n">
        <v>0.15</v>
      </c>
      <c r="E30" s="3" t="n">
        <v>0.15</v>
      </c>
      <c r="F30" s="3" t="n">
        <v>0.15</v>
      </c>
      <c r="G30" s="3" t="n">
        <v>0.15</v>
      </c>
      <c r="H30" s="3" t="n">
        <v>0.15</v>
      </c>
      <c r="I30" s="3" t="n">
        <v>0.15</v>
      </c>
      <c r="J30" s="3" t="n">
        <v>0.15</v>
      </c>
      <c r="K30" s="3" t="n">
        <v>0.15</v>
      </c>
      <c r="L30" s="3" t="n">
        <v>0.15</v>
      </c>
    </row>
    <row r="31" customFormat="false" ht="15" hidden="false" customHeight="false" outlineLevel="0" collapsed="false">
      <c r="A31" s="0" t="s">
        <v>100</v>
      </c>
      <c r="C31" s="3" t="n">
        <v>1.8</v>
      </c>
      <c r="D31" s="3" t="n">
        <v>1.8</v>
      </c>
      <c r="E31" s="3" t="n">
        <v>1.8</v>
      </c>
      <c r="F31" s="3" t="n">
        <v>1.8</v>
      </c>
      <c r="G31" s="3" t="n">
        <v>1.8</v>
      </c>
      <c r="H31" s="3" t="n">
        <v>1.8</v>
      </c>
      <c r="I31" s="3" t="n">
        <v>1.8</v>
      </c>
      <c r="J31" s="3" t="n">
        <v>1.8</v>
      </c>
      <c r="K31" s="3" t="n">
        <v>1.8</v>
      </c>
      <c r="L31" s="3" t="n">
        <v>1.8</v>
      </c>
    </row>
    <row r="32" customFormat="false" ht="15" hidden="false" customHeight="false" outlineLevel="0" collapsed="false">
      <c r="A32" s="0" t="s">
        <v>101</v>
      </c>
      <c r="C32" s="3" t="n">
        <v>2.2</v>
      </c>
      <c r="D32" s="3" t="n">
        <v>2.2</v>
      </c>
      <c r="E32" s="3" t="n">
        <v>2.2</v>
      </c>
      <c r="F32" s="3" t="n">
        <v>2.2</v>
      </c>
      <c r="G32" s="3" t="n">
        <v>2.2</v>
      </c>
      <c r="H32" s="3" t="n">
        <v>2.2</v>
      </c>
      <c r="I32" s="3" t="n">
        <v>2.2</v>
      </c>
      <c r="J32" s="3" t="n">
        <v>2.2</v>
      </c>
      <c r="K32" s="3" t="n">
        <v>2.2</v>
      </c>
      <c r="L32" s="3" t="n">
        <v>2.2</v>
      </c>
    </row>
    <row r="33" customFormat="false" ht="15" hidden="false" customHeight="false" outlineLevel="0" collapsed="false">
      <c r="A33" s="0" t="s">
        <v>102</v>
      </c>
      <c r="C33" s="3" t="n">
        <v>21</v>
      </c>
      <c r="D33" s="3" t="n">
        <v>21</v>
      </c>
      <c r="E33" s="3" t="n">
        <v>21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103</v>
      </c>
      <c r="B34" s="3" t="n">
        <v>9</v>
      </c>
    </row>
    <row r="35" customFormat="false" ht="15" hidden="false" customHeight="false" outlineLevel="0" collapsed="false">
      <c r="A35" s="0" t="s">
        <v>104</v>
      </c>
      <c r="B35" s="3" t="n">
        <v>3</v>
      </c>
    </row>
    <row r="36" customFormat="false" ht="15" hidden="false" customHeight="false" outlineLevel="0" collapsed="false">
      <c r="A36" s="0" t="s">
        <v>105</v>
      </c>
      <c r="B36" s="3" t="n">
        <v>14</v>
      </c>
    </row>
    <row r="37" customFormat="false" ht="15" hidden="false" customHeight="false" outlineLevel="0" collapsed="false">
      <c r="A37" s="0" t="s">
        <v>106</v>
      </c>
      <c r="B37" s="3" t="n">
        <v>0</v>
      </c>
    </row>
    <row r="38" customFormat="false" ht="15" hidden="false" customHeight="false" outlineLevel="0" collapsed="false">
      <c r="A38" s="0" t="s">
        <v>107</v>
      </c>
      <c r="B38" s="3" t="n">
        <v>0.45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30</v>
      </c>
      <c r="D41" s="3" t="n">
        <v>15</v>
      </c>
      <c r="E41" s="3" t="n">
        <v>10</v>
      </c>
      <c r="F41" s="3" t="n">
        <v>8</v>
      </c>
      <c r="G41" s="3" t="n">
        <v>6</v>
      </c>
      <c r="H41" s="3" t="n">
        <v>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5.8</v>
      </c>
      <c r="D42" s="3" t="n">
        <v>6.2</v>
      </c>
      <c r="E42" s="3" t="n">
        <v>6.5</v>
      </c>
      <c r="F42" s="3" t="n">
        <v>6.8</v>
      </c>
      <c r="G42" s="3" t="n">
        <v>7</v>
      </c>
      <c r="H42" s="3" t="n">
        <v>7</v>
      </c>
      <c r="I42" s="3" t="n">
        <v>7</v>
      </c>
      <c r="J42" s="3" t="n">
        <v>7</v>
      </c>
      <c r="K42" s="3" t="n">
        <v>7</v>
      </c>
      <c r="L42" s="3" t="n">
        <v>7</v>
      </c>
    </row>
    <row r="43" customFormat="false" ht="15" hidden="false" customHeight="false" outlineLevel="0" collapsed="false">
      <c r="A43" s="0" t="s">
        <v>98</v>
      </c>
      <c r="C43" s="3" t="n">
        <v>0.42</v>
      </c>
      <c r="D43" s="3" t="n">
        <v>0.42</v>
      </c>
      <c r="E43" s="3" t="n">
        <v>0.42</v>
      </c>
      <c r="F43" s="3" t="n">
        <v>0.42</v>
      </c>
      <c r="G43" s="3" t="n">
        <v>0.42</v>
      </c>
      <c r="H43" s="3" t="n">
        <v>0.42</v>
      </c>
      <c r="I43" s="3" t="n">
        <v>0.42</v>
      </c>
      <c r="J43" s="3" t="n">
        <v>0.42</v>
      </c>
      <c r="K43" s="3" t="n">
        <v>0.42</v>
      </c>
      <c r="L43" s="3" t="n">
        <v>0.42</v>
      </c>
    </row>
    <row r="44" customFormat="false" ht="15" hidden="false" customHeight="false" outlineLevel="0" collapsed="false">
      <c r="A44" s="0" t="s">
        <v>99</v>
      </c>
      <c r="C44" s="3" t="n">
        <v>0.15</v>
      </c>
      <c r="D44" s="3" t="n">
        <v>0.15</v>
      </c>
      <c r="E44" s="3" t="n">
        <v>0.15</v>
      </c>
      <c r="F44" s="3" t="n">
        <v>0.15</v>
      </c>
      <c r="G44" s="3" t="n">
        <v>0.15</v>
      </c>
      <c r="H44" s="3" t="n">
        <v>0.15</v>
      </c>
      <c r="I44" s="3" t="n">
        <v>0.15</v>
      </c>
      <c r="J44" s="3" t="n">
        <v>0.15</v>
      </c>
      <c r="K44" s="3" t="n">
        <v>0.15</v>
      </c>
      <c r="L44" s="3" t="n">
        <v>0.15</v>
      </c>
    </row>
    <row r="45" customFormat="false" ht="15" hidden="false" customHeight="false" outlineLevel="0" collapsed="false">
      <c r="A45" s="0" t="s">
        <v>100</v>
      </c>
      <c r="C45" s="3" t="n">
        <v>1.8</v>
      </c>
      <c r="D45" s="3" t="n">
        <v>1.8</v>
      </c>
      <c r="E45" s="3" t="n">
        <v>1.8</v>
      </c>
      <c r="F45" s="3" t="n">
        <v>1.8</v>
      </c>
      <c r="G45" s="3" t="n">
        <v>1.8</v>
      </c>
      <c r="H45" s="3" t="n">
        <v>1.8</v>
      </c>
      <c r="I45" s="3" t="n">
        <v>1.8</v>
      </c>
      <c r="J45" s="3" t="n">
        <v>1.8</v>
      </c>
      <c r="K45" s="3" t="n">
        <v>1.8</v>
      </c>
      <c r="L45" s="3" t="n">
        <v>1.8</v>
      </c>
    </row>
    <row r="46" customFormat="false" ht="15" hidden="false" customHeight="false" outlineLevel="0" collapsed="false">
      <c r="A46" s="0" t="s">
        <v>101</v>
      </c>
      <c r="C46" s="3" t="n">
        <v>2.3</v>
      </c>
      <c r="D46" s="3" t="n">
        <v>2.3</v>
      </c>
      <c r="E46" s="3" t="n">
        <v>2.3</v>
      </c>
      <c r="F46" s="3" t="n">
        <v>2.3</v>
      </c>
      <c r="G46" s="3" t="n">
        <v>2.3</v>
      </c>
      <c r="H46" s="3" t="n">
        <v>2.3</v>
      </c>
      <c r="I46" s="3" t="n">
        <v>2.3</v>
      </c>
      <c r="J46" s="3" t="n">
        <v>2.3</v>
      </c>
      <c r="K46" s="3" t="n">
        <v>2.3</v>
      </c>
      <c r="L46" s="3" t="n">
        <v>2.3</v>
      </c>
    </row>
    <row r="47" customFormat="false" ht="15" hidden="false" customHeight="false" outlineLevel="0" collapsed="false">
      <c r="A47" s="0" t="s">
        <v>102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103</v>
      </c>
      <c r="B48" s="3" t="n">
        <v>9</v>
      </c>
    </row>
    <row r="49" customFormat="false" ht="15" hidden="false" customHeight="false" outlineLevel="0" collapsed="false">
      <c r="A49" s="0" t="s">
        <v>104</v>
      </c>
      <c r="B49" s="3" t="n">
        <v>3</v>
      </c>
    </row>
    <row r="50" customFormat="false" ht="15" hidden="false" customHeight="false" outlineLevel="0" collapsed="false">
      <c r="A50" s="0" t="s">
        <v>105</v>
      </c>
      <c r="B50" s="3" t="n">
        <v>16</v>
      </c>
    </row>
    <row r="51" customFormat="false" ht="15" hidden="false" customHeight="false" outlineLevel="0" collapsed="false">
      <c r="A51" s="0" t="s">
        <v>106</v>
      </c>
      <c r="B51" s="3" t="n">
        <v>0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15</v>
      </c>
      <c r="D5" s="4" t="n">
        <f aca="false">Assumptions!D13</f>
        <v>-6</v>
      </c>
      <c r="E5" s="4" t="n">
        <f aca="false">Assumptions!E13</f>
        <v>-2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58843</v>
      </c>
      <c r="C6" s="0" t="n">
        <f aca="false">B6*(1+C5/100)</f>
        <v>67669.45</v>
      </c>
      <c r="D6" s="0" t="n">
        <f aca="false">C6*(1+D5/100)</f>
        <v>63609.283</v>
      </c>
      <c r="E6" s="0" t="n">
        <f aca="false">D6*(1+E5/100)</f>
        <v>62337.09734</v>
      </c>
      <c r="F6" s="0" t="n">
        <f aca="false">E6*(1+F5/100)</f>
        <v>63583.8392868</v>
      </c>
      <c r="G6" s="0" t="n">
        <f aca="false">F6*(1+G5/100)</f>
        <v>65491.354465404</v>
      </c>
      <c r="H6" s="0" t="n">
        <f aca="false">G6*(1+H5/100)</f>
        <v>67456.0950993661</v>
      </c>
      <c r="I6" s="0" t="n">
        <f aca="false">H6*(1+I5/100)</f>
        <v>69479.7779523471</v>
      </c>
      <c r="J6" s="0" t="n">
        <f aca="false">I6*(1+J5/100)</f>
        <v>71216.7724011558</v>
      </c>
      <c r="K6" s="0" t="n">
        <f aca="false">J6*(1+K5/100)</f>
        <v>72997.1917111847</v>
      </c>
      <c r="L6" s="0" t="n">
        <f aca="false">K6*(1+L5/100)</f>
        <v>74822.1215039643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4.8</v>
      </c>
      <c r="D7" s="4" t="n">
        <f aca="false">Assumptions!D14</f>
        <v>4.3</v>
      </c>
      <c r="E7" s="4" t="n">
        <f aca="false">Assumptions!E14</f>
        <v>4.2</v>
      </c>
      <c r="F7" s="4" t="n">
        <f aca="false">Assumptions!F14</f>
        <v>4.3</v>
      </c>
      <c r="G7" s="4" t="n">
        <f aca="false">Assumptions!G14</f>
        <v>4.4</v>
      </c>
      <c r="H7" s="4" t="n">
        <f aca="false">Assumptions!H14</f>
        <v>4.5</v>
      </c>
      <c r="I7" s="4" t="n">
        <f aca="false">Assumptions!I14</f>
        <v>4.5</v>
      </c>
      <c r="J7" s="4" t="n">
        <f aca="false">Assumptions!J14</f>
        <v>4.5</v>
      </c>
      <c r="K7" s="4" t="n">
        <f aca="false">Assumptions!K14</f>
        <v>4.5</v>
      </c>
      <c r="L7" s="4" t="n">
        <f aca="false">Assumptions!L14</f>
        <v>4.5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3248.1336</v>
      </c>
      <c r="D8" s="0" t="n">
        <f aca="false">D6*D7/100</f>
        <v>2735.199169</v>
      </c>
      <c r="E8" s="0" t="n">
        <f aca="false">E6*E7/100</f>
        <v>2618.15808828</v>
      </c>
      <c r="F8" s="0" t="n">
        <f aca="false">F6*F7/100</f>
        <v>2734.1050893324</v>
      </c>
      <c r="G8" s="0" t="n">
        <f aca="false">G6*G7/100</f>
        <v>2881.61959647778</v>
      </c>
      <c r="H8" s="0" t="n">
        <f aca="false">H6*H7/100</f>
        <v>3035.52427947148</v>
      </c>
      <c r="I8" s="0" t="n">
        <f aca="false">I6*I7/100</f>
        <v>3126.59000785562</v>
      </c>
      <c r="J8" s="0" t="n">
        <f aca="false">J6*J7/100</f>
        <v>3204.75475805201</v>
      </c>
      <c r="K8" s="0" t="n">
        <f aca="false">K6*K7/100</f>
        <v>3284.87362700331</v>
      </c>
      <c r="L8" s="0" t="n">
        <f aca="false">L6*L7/100</f>
        <v>3366.99546767839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0.42</v>
      </c>
      <c r="D9" s="4" t="n">
        <f aca="false">Assumptions!D15</f>
        <v>0.42</v>
      </c>
      <c r="E9" s="4" t="n">
        <f aca="false">Assumptions!E15</f>
        <v>0.42</v>
      </c>
      <c r="F9" s="4" t="n">
        <f aca="false">Assumptions!F15</f>
        <v>0.42</v>
      </c>
      <c r="G9" s="4" t="n">
        <f aca="false">Assumptions!G15</f>
        <v>0.42</v>
      </c>
      <c r="H9" s="4" t="n">
        <f aca="false">Assumptions!H15</f>
        <v>0.42</v>
      </c>
      <c r="I9" s="4" t="n">
        <f aca="false">Assumptions!I15</f>
        <v>0.42</v>
      </c>
      <c r="J9" s="4" t="n">
        <f aca="false">Assumptions!J15</f>
        <v>0.42</v>
      </c>
      <c r="K9" s="4" t="n">
        <f aca="false">Assumptions!K15</f>
        <v>0.42</v>
      </c>
      <c r="L9" s="4" t="n">
        <f aca="false">Assumptions!L15</f>
        <v>0.42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-284.21169</v>
      </c>
      <c r="D10" s="0" t="n">
        <f aca="false">-D6*D9/100</f>
        <v>-267.1589886</v>
      </c>
      <c r="E10" s="0" t="n">
        <f aca="false">-E6*E9/100</f>
        <v>-261.815808828</v>
      </c>
      <c r="F10" s="0" t="n">
        <f aca="false">-F6*F9/100</f>
        <v>-267.05212500456</v>
      </c>
      <c r="G10" s="0" t="n">
        <f aca="false">-G6*G9/100</f>
        <v>-275.063688754697</v>
      </c>
      <c r="H10" s="0" t="n">
        <f aca="false">-H6*H9/100</f>
        <v>-283.315599417338</v>
      </c>
      <c r="I10" s="0" t="n">
        <f aca="false">-I6*I9/100</f>
        <v>-291.815067399858</v>
      </c>
      <c r="J10" s="0" t="n">
        <f aca="false">-J6*J9/100</f>
        <v>-299.110444084854</v>
      </c>
      <c r="K10" s="0" t="n">
        <f aca="false">-K6*K9/100</f>
        <v>-306.588205186976</v>
      </c>
      <c r="L10" s="0" t="n">
        <f aca="false">-L6*L9/100</f>
        <v>-314.25291031665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2862.417735</v>
      </c>
      <c r="D11" s="0" t="n">
        <f aca="false">D8+D10+D24</f>
        <v>2372.6262559</v>
      </c>
      <c r="E11" s="0" t="n">
        <f aca="false">E8+E10+E24</f>
        <v>2262.836633442</v>
      </c>
      <c r="F11" s="0" t="n">
        <f aca="false">F8+F10+F24</f>
        <v>2371.67720539764</v>
      </c>
      <c r="G11" s="0" t="n">
        <f aca="false">G8+G10+G24</f>
        <v>2508.31887602497</v>
      </c>
      <c r="H11" s="0" t="n">
        <f aca="false">H8+H10+H24</f>
        <v>2651.02453740509</v>
      </c>
      <c r="I11" s="0" t="n">
        <f aca="false">I8+I10+I24</f>
        <v>2730.55527352724</v>
      </c>
      <c r="J11" s="0" t="n">
        <f aca="false">J8+J10+J24</f>
        <v>2798.81915536542</v>
      </c>
      <c r="K11" s="0" t="n">
        <f aca="false">K8+K10+K24</f>
        <v>2868.78963424956</v>
      </c>
      <c r="L11" s="0" t="n">
        <f aca="false">L8+L10+L24</f>
        <v>2940.5093751058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-1218.0501</v>
      </c>
      <c r="D12" s="4" t="n">
        <f aca="false">-D6*Assumptions!D17/100</f>
        <v>-1144.967094</v>
      </c>
      <c r="E12" s="4" t="n">
        <f aca="false">-E6*Assumptions!E17/100</f>
        <v>-1122.06775212</v>
      </c>
      <c r="F12" s="4" t="n">
        <f aca="false">-F6*Assumptions!F17/100</f>
        <v>-1144.5091071624</v>
      </c>
      <c r="G12" s="4" t="n">
        <f aca="false">-G6*Assumptions!G17/100</f>
        <v>-1178.84438037727</v>
      </c>
      <c r="H12" s="4" t="n">
        <f aca="false">-H6*Assumptions!H17/100</f>
        <v>-1214.20971178859</v>
      </c>
      <c r="I12" s="4" t="n">
        <f aca="false">-I6*Assumptions!I17/100</f>
        <v>-1250.63600314225</v>
      </c>
      <c r="J12" s="4" t="n">
        <f aca="false">-J6*Assumptions!J17/100</f>
        <v>-1281.9019032208</v>
      </c>
      <c r="K12" s="4" t="n">
        <f aca="false">-K6*Assumptions!K17/100</f>
        <v>-1313.94945080132</v>
      </c>
      <c r="L12" s="4" t="n">
        <f aca="false">-L6*Assumptions!L17/100</f>
        <v>-1346.79818707136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1644.367635</v>
      </c>
      <c r="D13" s="0" t="n">
        <f aca="false">D11+D12</f>
        <v>1227.6591619</v>
      </c>
      <c r="E13" s="0" t="n">
        <f aca="false">E11+E12</f>
        <v>1140.768881322</v>
      </c>
      <c r="F13" s="0" t="n">
        <f aca="false">F11+F12</f>
        <v>1227.16809823524</v>
      </c>
      <c r="G13" s="0" t="n">
        <f aca="false">G11+G12</f>
        <v>1329.4744956477</v>
      </c>
      <c r="H13" s="0" t="n">
        <f aca="false">H11+H12</f>
        <v>1436.8148256165</v>
      </c>
      <c r="I13" s="0" t="n">
        <f aca="false">I11+I12</f>
        <v>1479.91927038499</v>
      </c>
      <c r="J13" s="0" t="n">
        <f aca="false">J11+J12</f>
        <v>1516.91725214462</v>
      </c>
      <c r="K13" s="0" t="n">
        <f aca="false">K11+K12</f>
        <v>1554.84018344823</v>
      </c>
      <c r="L13" s="0" t="n">
        <f aca="false">L11+L12</f>
        <v>1593.71118803444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21</v>
      </c>
      <c r="D14" s="4" t="n">
        <f aca="false">Assumptions!D19</f>
        <v>21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1299.05043165</v>
      </c>
      <c r="D15" s="0" t="n">
        <f aca="false">D13-MAX(0,D13)*D14/100</f>
        <v>969.850737901</v>
      </c>
      <c r="E15" s="0" t="n">
        <f aca="false">E13-MAX(0,E13)*E14/100</f>
        <v>901.20741624438</v>
      </c>
      <c r="F15" s="0" t="n">
        <f aca="false">F13-MAX(0,F13)*F14/100</f>
        <v>969.46279760584</v>
      </c>
      <c r="G15" s="0" t="n">
        <f aca="false">G13-MAX(0,G13)*G14/100</f>
        <v>1050.28485156168</v>
      </c>
      <c r="H15" s="0" t="n">
        <f aca="false">H13-MAX(0,H13)*H14/100</f>
        <v>1135.08371223703</v>
      </c>
      <c r="I15" s="0" t="n">
        <f aca="false">I13-MAX(0,I13)*I14/100</f>
        <v>1169.13622360414</v>
      </c>
      <c r="J15" s="0" t="n">
        <f aca="false">J13-MAX(0,J13)*J14/100</f>
        <v>1198.36462919425</v>
      </c>
      <c r="K15" s="0" t="n">
        <f aca="false">K13-MAX(0,K13)*K14/100</f>
        <v>1228.3237449241</v>
      </c>
      <c r="L15" s="0" t="n">
        <f aca="false">L13-MAX(0,L13)*L14/100</f>
        <v>1259.03183854721</v>
      </c>
    </row>
    <row r="16" customFormat="false" ht="15" hidden="false" customHeight="false" outlineLevel="0" collapsed="false">
      <c r="A16" s="0" t="s">
        <v>118</v>
      </c>
      <c r="C16" s="0" t="n">
        <f aca="false">-C12</f>
        <v>1218.0501</v>
      </c>
      <c r="D16" s="0" t="n">
        <f aca="false">-D12</f>
        <v>1144.967094</v>
      </c>
      <c r="E16" s="0" t="n">
        <f aca="false">-E12</f>
        <v>1122.06775212</v>
      </c>
      <c r="F16" s="0" t="n">
        <f aca="false">-F12</f>
        <v>1144.5091071624</v>
      </c>
      <c r="G16" s="0" t="n">
        <f aca="false">-G12</f>
        <v>1178.84438037727</v>
      </c>
      <c r="H16" s="0" t="n">
        <f aca="false">-H12</f>
        <v>1214.20971178859</v>
      </c>
      <c r="I16" s="0" t="n">
        <f aca="false">-I12</f>
        <v>1250.63600314225</v>
      </c>
      <c r="J16" s="0" t="n">
        <f aca="false">-J12</f>
        <v>1281.9019032208</v>
      </c>
      <c r="K16" s="0" t="n">
        <f aca="false">-K12</f>
        <v>1313.94945080132</v>
      </c>
      <c r="L16" s="0" t="n">
        <f aca="false">-L12</f>
        <v>1346.79818707136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-1353.389</v>
      </c>
      <c r="D17" s="4" t="n">
        <f aca="false">-D6*Assumptions!D18/100</f>
        <v>-1272.18566</v>
      </c>
      <c r="E17" s="4" t="n">
        <f aca="false">-E6*Assumptions!E18/100</f>
        <v>-1246.7419468</v>
      </c>
      <c r="F17" s="4" t="n">
        <f aca="false">-F6*Assumptions!F18/100</f>
        <v>-1271.676785736</v>
      </c>
      <c r="G17" s="4" t="n">
        <f aca="false">-G6*Assumptions!G18/100</f>
        <v>-1309.82708930808</v>
      </c>
      <c r="H17" s="4" t="n">
        <f aca="false">-H6*Assumptions!H18/100</f>
        <v>-1349.12190198732</v>
      </c>
      <c r="I17" s="4" t="n">
        <f aca="false">-I6*Assumptions!I18/100</f>
        <v>-1389.59555904694</v>
      </c>
      <c r="J17" s="4" t="n">
        <f aca="false">-J6*Assumptions!J18/100</f>
        <v>-1424.33544802312</v>
      </c>
      <c r="K17" s="4" t="n">
        <f aca="false">-K6*Assumptions!K18/100</f>
        <v>-1459.94383422369</v>
      </c>
      <c r="L17" s="4" t="n">
        <f aca="false">-L6*Assumptions!L18/100</f>
        <v>-1496.44243007929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1163.71153165</v>
      </c>
      <c r="D19" s="0" t="n">
        <f aca="false">D15+D16+D17+D18</f>
        <v>842.632171901</v>
      </c>
      <c r="E19" s="0" t="n">
        <f aca="false">E15+E16+E17+E18</f>
        <v>776.53322156438</v>
      </c>
      <c r="F19" s="0" t="n">
        <f aca="false">F15+F16+F17+F18</f>
        <v>842.295119032239</v>
      </c>
      <c r="G19" s="0" t="n">
        <f aca="false">G15+G16+G17+G18</f>
        <v>919.302142630877</v>
      </c>
      <c r="H19" s="0" t="n">
        <f aca="false">H15+H16+H17+H18</f>
        <v>1000.1715220383</v>
      </c>
      <c r="I19" s="0" t="n">
        <f aca="false">I15+I16+I17+I18</f>
        <v>1030.17666769945</v>
      </c>
      <c r="J19" s="0" t="n">
        <f aca="false">J15+J16+J17+J18</f>
        <v>1055.93108439194</v>
      </c>
      <c r="K19" s="0" t="n">
        <f aca="false">K15+K16+K17+K18</f>
        <v>1082.32936150174</v>
      </c>
      <c r="L19" s="0" t="n">
        <f aca="false">L15+L16+L17+L18</f>
        <v>1109.38759553928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1067.6252583945</v>
      </c>
      <c r="D21" s="0" t="n">
        <f aca="false">D19*D20</f>
        <v>709.22664077182</v>
      </c>
      <c r="E21" s="0" t="n">
        <f aca="false">E19*E20</f>
        <v>599.626125410613</v>
      </c>
      <c r="F21" s="0" t="n">
        <f aca="false">F19*F20</f>
        <v>596.703097479599</v>
      </c>
      <c r="G21" s="0" t="n">
        <f aca="false">G19*G20</f>
        <v>597.483315987125</v>
      </c>
      <c r="H21" s="0" t="n">
        <f aca="false">H19*H20</f>
        <v>596.369599866495</v>
      </c>
      <c r="I21" s="0" t="n">
        <f aca="false">I19*I20</f>
        <v>563.541915470174</v>
      </c>
      <c r="J21" s="0" t="n">
        <f aca="false">J19*J20</f>
        <v>529.936204914613</v>
      </c>
      <c r="K21" s="0" t="n">
        <f aca="false">K19*K20</f>
        <v>498.33450462154</v>
      </c>
      <c r="L21" s="0" t="n">
        <f aca="false">L19*L20</f>
        <v>468.617309391815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0.15</v>
      </c>
      <c r="D23" s="4" t="n">
        <f aca="false">Assumptions!D16</f>
        <v>0.15</v>
      </c>
      <c r="E23" s="4" t="n">
        <f aca="false">Assumptions!E16</f>
        <v>0.15</v>
      </c>
      <c r="F23" s="4" t="n">
        <f aca="false">Assumptions!F16</f>
        <v>0.15</v>
      </c>
      <c r="G23" s="4" t="n">
        <f aca="false">Assumptions!G16</f>
        <v>0.15</v>
      </c>
      <c r="H23" s="4" t="n">
        <f aca="false">Assumptions!H16</f>
        <v>0.15</v>
      </c>
      <c r="I23" s="4" t="n">
        <f aca="false">Assumptions!I16</f>
        <v>0.15</v>
      </c>
      <c r="J23" s="4" t="n">
        <f aca="false">Assumptions!J16</f>
        <v>0.15</v>
      </c>
      <c r="K23" s="4" t="n">
        <f aca="false">Assumptions!K16</f>
        <v>0.15</v>
      </c>
      <c r="L23" s="4" t="n">
        <f aca="false">Assumptions!L16</f>
        <v>0.15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-101.504175</v>
      </c>
      <c r="D24" s="0" t="n">
        <f aca="false">-D6*D23/100</f>
        <v>-95.4139245</v>
      </c>
      <c r="E24" s="0" t="n">
        <f aca="false">-E6*E23/100</f>
        <v>-93.50564601</v>
      </c>
      <c r="F24" s="0" t="n">
        <f aca="false">-F6*F23/100</f>
        <v>-95.3757589302</v>
      </c>
      <c r="G24" s="0" t="n">
        <f aca="false">-G6*G23/100</f>
        <v>-98.237031698106</v>
      </c>
      <c r="H24" s="0" t="n">
        <f aca="false">-H6*H23/100</f>
        <v>-101.184142649049</v>
      </c>
      <c r="I24" s="0" t="n">
        <f aca="false">-I6*I23/100</f>
        <v>-104.219666928521</v>
      </c>
      <c r="J24" s="0" t="n">
        <f aca="false">-J6*J23/100</f>
        <v>-106.825158601734</v>
      </c>
      <c r="K24" s="0" t="n">
        <f aca="false">-K6*K23/100</f>
        <v>-109.495787566777</v>
      </c>
      <c r="L24" s="0" t="n">
        <f aca="false">-L6*L23/100</f>
        <v>-112.233182255946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6227.46397230829</v>
      </c>
    </row>
    <row r="31" customFormat="false" ht="15" hidden="false" customHeight="false" outlineLevel="0" collapsed="false">
      <c r="A31" s="0" t="s">
        <v>127</v>
      </c>
      <c r="B31" s="0" t="n">
        <f aca="false">L19</f>
        <v>1109.38759553928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17494.1890065809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13312.6511464713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13312.6511464713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5623.40771270178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11850.8716850101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28793.2716850101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14.3487882183618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-0.0912737037136299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1808.31953831815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2093.26801617814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16.2930984776231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9096.97828342208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11.978102700601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24</v>
      </c>
      <c r="D5" s="4" t="n">
        <f aca="false">Assumptions!D27</f>
        <v>9</v>
      </c>
      <c r="E5" s="4" t="n">
        <f aca="false">Assumptions!E27</f>
        <v>7</v>
      </c>
      <c r="F5" s="4" t="n">
        <f aca="false">Assumptions!F27</f>
        <v>6</v>
      </c>
      <c r="G5" s="4" t="n">
        <f aca="false">Assumptions!G27</f>
        <v>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58843</v>
      </c>
      <c r="C6" s="0" t="n">
        <f aca="false">B6*(1+C5/100)</f>
        <v>72965.32</v>
      </c>
      <c r="D6" s="0" t="n">
        <f aca="false">C6*(1+D5/100)</f>
        <v>79532.1988</v>
      </c>
      <c r="E6" s="0" t="n">
        <f aca="false">D6*(1+E5/100)</f>
        <v>85099.452716</v>
      </c>
      <c r="F6" s="0" t="n">
        <f aca="false">E6*(1+F5/100)</f>
        <v>90205.41987896</v>
      </c>
      <c r="G6" s="0" t="n">
        <f aca="false">F6*(1+G5/100)</f>
        <v>94715.690872908</v>
      </c>
      <c r="H6" s="0" t="n">
        <f aca="false">G6*(1+H5/100)</f>
        <v>98504.3185078243</v>
      </c>
      <c r="I6" s="0" t="n">
        <f aca="false">H6*(1+I5/100)</f>
        <v>101951.969655598</v>
      </c>
      <c r="J6" s="0" t="n">
        <f aca="false">I6*(1+J5/100)</f>
        <v>105010.528745266</v>
      </c>
      <c r="K6" s="0" t="n">
        <f aca="false">J6*(1+K5/100)</f>
        <v>108160.844607624</v>
      </c>
      <c r="L6" s="0" t="n">
        <f aca="false">K6*(1+L5/100)</f>
        <v>111405.669945853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5.4</v>
      </c>
      <c r="D7" s="4" t="n">
        <f aca="false">Assumptions!D28</f>
        <v>5.6</v>
      </c>
      <c r="E7" s="4" t="n">
        <f aca="false">Assumptions!E28</f>
        <v>5.7</v>
      </c>
      <c r="F7" s="4" t="n">
        <f aca="false">Assumptions!F28</f>
        <v>5.8</v>
      </c>
      <c r="G7" s="4" t="n">
        <f aca="false">Assumptions!G28</f>
        <v>5.8</v>
      </c>
      <c r="H7" s="4" t="n">
        <f aca="false">Assumptions!H28</f>
        <v>5.8</v>
      </c>
      <c r="I7" s="4" t="n">
        <f aca="false">Assumptions!I28</f>
        <v>5.8</v>
      </c>
      <c r="J7" s="4" t="n">
        <f aca="false">Assumptions!J28</f>
        <v>5.8</v>
      </c>
      <c r="K7" s="4" t="n">
        <f aca="false">Assumptions!K28</f>
        <v>5.8</v>
      </c>
      <c r="L7" s="4" t="n">
        <f aca="false">Assumptions!L28</f>
        <v>5.8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3940.12728</v>
      </c>
      <c r="D8" s="0" t="n">
        <f aca="false">D6*D7/100</f>
        <v>4453.8031328</v>
      </c>
      <c r="E8" s="0" t="n">
        <f aca="false">E6*E7/100</f>
        <v>4850.668804812</v>
      </c>
      <c r="F8" s="0" t="n">
        <f aca="false">F6*F7/100</f>
        <v>5231.91435297968</v>
      </c>
      <c r="G8" s="0" t="n">
        <f aca="false">G6*G7/100</f>
        <v>5493.51007062866</v>
      </c>
      <c r="H8" s="0" t="n">
        <f aca="false">H6*H7/100</f>
        <v>5713.25047345381</v>
      </c>
      <c r="I8" s="0" t="n">
        <f aca="false">I6*I7/100</f>
        <v>5913.21424002469</v>
      </c>
      <c r="J8" s="0" t="n">
        <f aca="false">J6*J7/100</f>
        <v>6090.61066722544</v>
      </c>
      <c r="K8" s="0" t="n">
        <f aca="false">K6*K7/100</f>
        <v>6273.3289872422</v>
      </c>
      <c r="L8" s="0" t="n">
        <f aca="false">L6*L7/100</f>
        <v>6461.52885685946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0.42</v>
      </c>
      <c r="D9" s="4" t="n">
        <f aca="false">Assumptions!D29</f>
        <v>0.42</v>
      </c>
      <c r="E9" s="4" t="n">
        <f aca="false">Assumptions!E29</f>
        <v>0.42</v>
      </c>
      <c r="F9" s="4" t="n">
        <f aca="false">Assumptions!F29</f>
        <v>0.42</v>
      </c>
      <c r="G9" s="4" t="n">
        <f aca="false">Assumptions!G29</f>
        <v>0.42</v>
      </c>
      <c r="H9" s="4" t="n">
        <f aca="false">Assumptions!H29</f>
        <v>0.42</v>
      </c>
      <c r="I9" s="4" t="n">
        <f aca="false">Assumptions!I29</f>
        <v>0.42</v>
      </c>
      <c r="J9" s="4" t="n">
        <f aca="false">Assumptions!J29</f>
        <v>0.42</v>
      </c>
      <c r="K9" s="4" t="n">
        <f aca="false">Assumptions!K29</f>
        <v>0.42</v>
      </c>
      <c r="L9" s="4" t="n">
        <f aca="false">Assumptions!L29</f>
        <v>0.42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-306.454344</v>
      </c>
      <c r="D10" s="0" t="n">
        <f aca="false">-D6*D9/100</f>
        <v>-334.03523496</v>
      </c>
      <c r="E10" s="0" t="n">
        <f aca="false">-E6*E9/100</f>
        <v>-357.4177014072</v>
      </c>
      <c r="F10" s="0" t="n">
        <f aca="false">-F6*F9/100</f>
        <v>-378.862763491632</v>
      </c>
      <c r="G10" s="0" t="n">
        <f aca="false">-G6*G9/100</f>
        <v>-397.805901666214</v>
      </c>
      <c r="H10" s="0" t="n">
        <f aca="false">-H6*H9/100</f>
        <v>-413.718137732862</v>
      </c>
      <c r="I10" s="0" t="n">
        <f aca="false">-I6*I9/100</f>
        <v>-428.198272553512</v>
      </c>
      <c r="J10" s="0" t="n">
        <f aca="false">-J6*J9/100</f>
        <v>-441.044220730118</v>
      </c>
      <c r="K10" s="0" t="n">
        <f aca="false">-K6*K9/100</f>
        <v>-454.275547352021</v>
      </c>
      <c r="L10" s="0" t="n">
        <f aca="false">-L6*L9/100</f>
        <v>-467.903813772582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3524.224956</v>
      </c>
      <c r="D11" s="0" t="n">
        <f aca="false">D8+D10+D24</f>
        <v>4000.46959964</v>
      </c>
      <c r="E11" s="0" t="n">
        <f aca="false">E8+E10+E24</f>
        <v>4365.6019243308</v>
      </c>
      <c r="F11" s="0" t="n">
        <f aca="false">F8+F10+F24</f>
        <v>4717.74345966961</v>
      </c>
      <c r="G11" s="0" t="n">
        <f aca="false">G8+G10+G24</f>
        <v>4953.63063265309</v>
      </c>
      <c r="H11" s="0" t="n">
        <f aca="false">H8+H10+H24</f>
        <v>5151.77585795921</v>
      </c>
      <c r="I11" s="0" t="n">
        <f aca="false">I8+I10+I24</f>
        <v>5332.08801298778</v>
      </c>
      <c r="J11" s="0" t="n">
        <f aca="false">J8+J10+J24</f>
        <v>5492.05065337742</v>
      </c>
      <c r="K11" s="0" t="n">
        <f aca="false">K8+K10+K24</f>
        <v>5656.81217297874</v>
      </c>
      <c r="L11" s="0" t="n">
        <f aca="false">L8+L10+L24</f>
        <v>5826.5165381681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-1313.37576</v>
      </c>
      <c r="D12" s="4" t="n">
        <f aca="false">-D6*Assumptions!D31/100</f>
        <v>-1431.5795784</v>
      </c>
      <c r="E12" s="4" t="n">
        <f aca="false">-E6*Assumptions!E31/100</f>
        <v>-1531.790148888</v>
      </c>
      <c r="F12" s="4" t="n">
        <f aca="false">-F6*Assumptions!F31/100</f>
        <v>-1623.69755782128</v>
      </c>
      <c r="G12" s="4" t="n">
        <f aca="false">-G6*Assumptions!G31/100</f>
        <v>-1704.88243571234</v>
      </c>
      <c r="H12" s="4" t="n">
        <f aca="false">-H6*Assumptions!H31/100</f>
        <v>-1773.07773314084</v>
      </c>
      <c r="I12" s="4" t="n">
        <f aca="false">-I6*Assumptions!I31/100</f>
        <v>-1835.13545380077</v>
      </c>
      <c r="J12" s="4" t="n">
        <f aca="false">-J6*Assumptions!J31/100</f>
        <v>-1890.18951741479</v>
      </c>
      <c r="K12" s="4" t="n">
        <f aca="false">-K6*Assumptions!K31/100</f>
        <v>-1946.89520293723</v>
      </c>
      <c r="L12" s="4" t="n">
        <f aca="false">-L6*Assumptions!L31/100</f>
        <v>-2005.30205902535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2210.849196</v>
      </c>
      <c r="D13" s="0" t="n">
        <f aca="false">D11+D12</f>
        <v>2568.89002124</v>
      </c>
      <c r="E13" s="0" t="n">
        <f aca="false">E11+E12</f>
        <v>2833.8117754428</v>
      </c>
      <c r="F13" s="0" t="n">
        <f aca="false">F11+F12</f>
        <v>3094.04590184833</v>
      </c>
      <c r="G13" s="0" t="n">
        <f aca="false">G11+G12</f>
        <v>3248.74819694074</v>
      </c>
      <c r="H13" s="0" t="n">
        <f aca="false">H11+H12</f>
        <v>3378.69812481837</v>
      </c>
      <c r="I13" s="0" t="n">
        <f aca="false">I11+I12</f>
        <v>3496.95255918702</v>
      </c>
      <c r="J13" s="0" t="n">
        <f aca="false">J11+J12</f>
        <v>3601.86113596263</v>
      </c>
      <c r="K13" s="0" t="n">
        <f aca="false">K11+K12</f>
        <v>3709.91697004151</v>
      </c>
      <c r="L13" s="0" t="n">
        <f aca="false">L11+L12</f>
        <v>3821.21447914275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21</v>
      </c>
      <c r="D14" s="4" t="n">
        <f aca="false">Assumptions!D33</f>
        <v>21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1746.57086484</v>
      </c>
      <c r="D15" s="0" t="n">
        <f aca="false">D13-MAX(0,D13)*D14/100</f>
        <v>2029.4231167796</v>
      </c>
      <c r="E15" s="0" t="n">
        <f aca="false">E13-MAX(0,E13)*E14/100</f>
        <v>2238.71130259981</v>
      </c>
      <c r="F15" s="0" t="n">
        <f aca="false">F13-MAX(0,F13)*F14/100</f>
        <v>2444.29626246018</v>
      </c>
      <c r="G15" s="0" t="n">
        <f aca="false">G13-MAX(0,G13)*G14/100</f>
        <v>2566.51107558319</v>
      </c>
      <c r="H15" s="0" t="n">
        <f aca="false">H13-MAX(0,H13)*H14/100</f>
        <v>2669.17151860652</v>
      </c>
      <c r="I15" s="0" t="n">
        <f aca="false">I13-MAX(0,I13)*I14/100</f>
        <v>2762.59252175774</v>
      </c>
      <c r="J15" s="0" t="n">
        <f aca="false">J13-MAX(0,J13)*J14/100</f>
        <v>2845.47029741048</v>
      </c>
      <c r="K15" s="0" t="n">
        <f aca="false">K13-MAX(0,K13)*K14/100</f>
        <v>2930.83440633279</v>
      </c>
      <c r="L15" s="0" t="n">
        <f aca="false">L13-MAX(0,L13)*L14/100</f>
        <v>3018.75943852277</v>
      </c>
    </row>
    <row r="16" customFormat="false" ht="15" hidden="false" customHeight="false" outlineLevel="0" collapsed="false">
      <c r="A16" s="0" t="s">
        <v>118</v>
      </c>
      <c r="C16" s="0" t="n">
        <f aca="false">-C12</f>
        <v>1313.37576</v>
      </c>
      <c r="D16" s="0" t="n">
        <f aca="false">-D12</f>
        <v>1431.5795784</v>
      </c>
      <c r="E16" s="0" t="n">
        <f aca="false">-E12</f>
        <v>1531.790148888</v>
      </c>
      <c r="F16" s="0" t="n">
        <f aca="false">-F12</f>
        <v>1623.69755782128</v>
      </c>
      <c r="G16" s="0" t="n">
        <f aca="false">-G12</f>
        <v>1704.88243571234</v>
      </c>
      <c r="H16" s="0" t="n">
        <f aca="false">-H12</f>
        <v>1773.07773314084</v>
      </c>
      <c r="I16" s="0" t="n">
        <f aca="false">-I12</f>
        <v>1835.13545380077</v>
      </c>
      <c r="J16" s="0" t="n">
        <f aca="false">-J12</f>
        <v>1890.18951741479</v>
      </c>
      <c r="K16" s="0" t="n">
        <f aca="false">-K12</f>
        <v>1946.89520293723</v>
      </c>
      <c r="L16" s="0" t="n">
        <f aca="false">-L12</f>
        <v>2005.30205902535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-1605.23704</v>
      </c>
      <c r="D17" s="4" t="n">
        <f aca="false">-D6*Assumptions!D32/100</f>
        <v>-1749.7083736</v>
      </c>
      <c r="E17" s="4" t="n">
        <f aca="false">-E6*Assumptions!E32/100</f>
        <v>-1872.187959752</v>
      </c>
      <c r="F17" s="4" t="n">
        <f aca="false">-F6*Assumptions!F32/100</f>
        <v>-1984.51923733712</v>
      </c>
      <c r="G17" s="4" t="n">
        <f aca="false">-G6*Assumptions!G32/100</f>
        <v>-2083.74519920398</v>
      </c>
      <c r="H17" s="4" t="n">
        <f aca="false">-H6*Assumptions!H32/100</f>
        <v>-2167.09500717214</v>
      </c>
      <c r="I17" s="4" t="n">
        <f aca="false">-I6*Assumptions!I32/100</f>
        <v>-2242.94333242316</v>
      </c>
      <c r="J17" s="4" t="n">
        <f aca="false">-J6*Assumptions!J32/100</f>
        <v>-2310.23163239586</v>
      </c>
      <c r="K17" s="4" t="n">
        <f aca="false">-K6*Assumptions!K32/100</f>
        <v>-2379.53858136773</v>
      </c>
      <c r="L17" s="4" t="n">
        <f aca="false">-L6*Assumptions!L32/100</f>
        <v>-2450.92473880876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1454.70958484</v>
      </c>
      <c r="D19" s="0" t="n">
        <f aca="false">D15+D16+D17+D18</f>
        <v>1711.2943215796</v>
      </c>
      <c r="E19" s="0" t="n">
        <f aca="false">E15+E16+E17+E18</f>
        <v>1898.31349173581</v>
      </c>
      <c r="F19" s="0" t="n">
        <f aca="false">F15+F16+F17+F18</f>
        <v>2083.47458294434</v>
      </c>
      <c r="G19" s="0" t="n">
        <f aca="false">G15+G16+G17+G18</f>
        <v>2187.64831209156</v>
      </c>
      <c r="H19" s="0" t="n">
        <f aca="false">H15+H16+H17+H18</f>
        <v>2275.15424457522</v>
      </c>
      <c r="I19" s="0" t="n">
        <f aca="false">I15+I16+I17+I18</f>
        <v>2354.78464313535</v>
      </c>
      <c r="J19" s="0" t="n">
        <f aca="false">J15+J16+J17+J18</f>
        <v>2425.42818242941</v>
      </c>
      <c r="K19" s="0" t="n">
        <f aca="false">K15+K16+K17+K18</f>
        <v>2498.19102790229</v>
      </c>
      <c r="L19" s="0" t="n">
        <f aca="false">L15+L16+L17+L18</f>
        <v>2573.13675873936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1334.5959493945</v>
      </c>
      <c r="D21" s="0" t="n">
        <f aca="false">D19*D20</f>
        <v>1440.36219306422</v>
      </c>
      <c r="E21" s="0" t="n">
        <f aca="false">E19*E20</f>
        <v>1465.84631829543</v>
      </c>
      <c r="F21" s="0" t="n">
        <f aca="false">F19*F20</f>
        <v>1475.98592117132</v>
      </c>
      <c r="G21" s="0" t="n">
        <f aca="false">G19*G20</f>
        <v>1421.8213002109</v>
      </c>
      <c r="H21" s="0" t="n">
        <f aca="false">H19*H20</f>
        <v>1356.60013965077</v>
      </c>
      <c r="I21" s="0" t="n">
        <f aca="false">I19*I20</f>
        <v>1288.14783902619</v>
      </c>
      <c r="J21" s="0" t="n">
        <f aca="false">J19*J20</f>
        <v>1217.24061852933</v>
      </c>
      <c r="K21" s="0" t="n">
        <f aca="false">K19*K20</f>
        <v>1150.2365477846</v>
      </c>
      <c r="L21" s="0" t="n">
        <f aca="false">L19*L20</f>
        <v>1086.92077451205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0.15</v>
      </c>
      <c r="D23" s="4" t="n">
        <f aca="false">Assumptions!D30</f>
        <v>0.15</v>
      </c>
      <c r="E23" s="4" t="n">
        <f aca="false">Assumptions!E30</f>
        <v>0.15</v>
      </c>
      <c r="F23" s="4" t="n">
        <f aca="false">Assumptions!F30</f>
        <v>0.15</v>
      </c>
      <c r="G23" s="4" t="n">
        <f aca="false">Assumptions!G30</f>
        <v>0.15</v>
      </c>
      <c r="H23" s="4" t="n">
        <f aca="false">Assumptions!H30</f>
        <v>0.15</v>
      </c>
      <c r="I23" s="4" t="n">
        <f aca="false">Assumptions!I30</f>
        <v>0.15</v>
      </c>
      <c r="J23" s="4" t="n">
        <f aca="false">Assumptions!J30</f>
        <v>0.15</v>
      </c>
      <c r="K23" s="4" t="n">
        <f aca="false">Assumptions!K30</f>
        <v>0.15</v>
      </c>
      <c r="L23" s="4" t="n">
        <f aca="false">Assumptions!L30</f>
        <v>0.15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-109.44798</v>
      </c>
      <c r="D24" s="0" t="n">
        <f aca="false">-D6*D23/100</f>
        <v>-119.2982982</v>
      </c>
      <c r="E24" s="0" t="n">
        <f aca="false">-E6*E23/100</f>
        <v>-127.649179074</v>
      </c>
      <c r="F24" s="0" t="n">
        <f aca="false">-F6*F23/100</f>
        <v>-135.30812981844</v>
      </c>
      <c r="G24" s="0" t="n">
        <f aca="false">-G6*G23/100</f>
        <v>-142.073536309362</v>
      </c>
      <c r="H24" s="0" t="n">
        <f aca="false">-H6*H23/100</f>
        <v>-147.756477761736</v>
      </c>
      <c r="I24" s="0" t="n">
        <f aca="false">-I6*I23/100</f>
        <v>-152.927954483397</v>
      </c>
      <c r="J24" s="0" t="n">
        <f aca="false">-J6*J23/100</f>
        <v>-157.515793117899</v>
      </c>
      <c r="K24" s="0" t="n">
        <f aca="false">-K6*K23/100</f>
        <v>-162.241266911436</v>
      </c>
      <c r="L24" s="0" t="n">
        <f aca="false">-L6*L23/100</f>
        <v>-167.108504918779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13237.7576016393</v>
      </c>
    </row>
    <row r="31" customFormat="false" ht="15" hidden="false" customHeight="false" outlineLevel="0" collapsed="false">
      <c r="A31" s="0" t="s">
        <v>127</v>
      </c>
      <c r="B31" s="0" t="n">
        <f aca="false">L19</f>
        <v>2573.13675873936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44172.1810250257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36023.9146223511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36023.9146223511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15216.8908431687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28454.648444808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45397.048444808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22.6230850387307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0.432747627532029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2474.31572551781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3392.9509391834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25.5469683581897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22086.0905125129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16.193833626665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30</v>
      </c>
      <c r="D5" s="4" t="n">
        <f aca="false">Assumptions!D41</f>
        <v>15</v>
      </c>
      <c r="E5" s="4" t="n">
        <f aca="false">Assumptions!E41</f>
        <v>10</v>
      </c>
      <c r="F5" s="4" t="n">
        <f aca="false">Assumptions!F41</f>
        <v>8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58843</v>
      </c>
      <c r="C6" s="0" t="n">
        <f aca="false">B6*(1+C5/100)</f>
        <v>76495.9</v>
      </c>
      <c r="D6" s="0" t="n">
        <f aca="false">C6*(1+D5/100)</f>
        <v>87970.285</v>
      </c>
      <c r="E6" s="0" t="n">
        <f aca="false">D6*(1+E5/100)</f>
        <v>96767.3135</v>
      </c>
      <c r="F6" s="0" t="n">
        <f aca="false">E6*(1+F5/100)</f>
        <v>104508.69858</v>
      </c>
      <c r="G6" s="0" t="n">
        <f aca="false">F6*(1+G5/100)</f>
        <v>110779.2204948</v>
      </c>
      <c r="H6" s="0" t="n">
        <f aca="false">G6*(1+H5/100)</f>
        <v>116318.18151954</v>
      </c>
      <c r="I6" s="0" t="n">
        <f aca="false">H6*(1+I5/100)</f>
        <v>120970.908780322</v>
      </c>
      <c r="J6" s="0" t="n">
        <f aca="false">I6*(1+J5/100)</f>
        <v>125204.890587633</v>
      </c>
      <c r="K6" s="0" t="n">
        <f aca="false">J6*(1+K5/100)</f>
        <v>128961.037305262</v>
      </c>
      <c r="L6" s="0" t="n">
        <f aca="false">K6*(1+L5/100)</f>
        <v>132829.86842442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5.8</v>
      </c>
      <c r="D7" s="4" t="n">
        <f aca="false">Assumptions!D42</f>
        <v>6.2</v>
      </c>
      <c r="E7" s="4" t="n">
        <f aca="false">Assumptions!E42</f>
        <v>6.5</v>
      </c>
      <c r="F7" s="4" t="n">
        <f aca="false">Assumptions!F42</f>
        <v>6.8</v>
      </c>
      <c r="G7" s="4" t="n">
        <f aca="false">Assumptions!G42</f>
        <v>7</v>
      </c>
      <c r="H7" s="4" t="n">
        <f aca="false">Assumptions!H42</f>
        <v>7</v>
      </c>
      <c r="I7" s="4" t="n">
        <f aca="false">Assumptions!I42</f>
        <v>7</v>
      </c>
      <c r="J7" s="4" t="n">
        <f aca="false">Assumptions!J42</f>
        <v>7</v>
      </c>
      <c r="K7" s="4" t="n">
        <f aca="false">Assumptions!K42</f>
        <v>7</v>
      </c>
      <c r="L7" s="4" t="n">
        <f aca="false">Assumptions!L42</f>
        <v>7</v>
      </c>
    </row>
    <row r="8" customFormat="false" ht="15" hidden="false" customHeight="false" outlineLevel="0" collapsed="false">
      <c r="A8" s="0" t="s">
        <v>44</v>
      </c>
      <c r="C8" s="0" t="n">
        <f aca="false">C6*C7/100</f>
        <v>4436.7622</v>
      </c>
      <c r="D8" s="0" t="n">
        <f aca="false">D6*D7/100</f>
        <v>5454.15767</v>
      </c>
      <c r="E8" s="0" t="n">
        <f aca="false">E6*E7/100</f>
        <v>6289.8753775</v>
      </c>
      <c r="F8" s="0" t="n">
        <f aca="false">F6*F7/100</f>
        <v>7106.59150344</v>
      </c>
      <c r="G8" s="0" t="n">
        <f aca="false">G6*G7/100</f>
        <v>7754.545434636</v>
      </c>
      <c r="H8" s="0" t="n">
        <f aca="false">H6*H7/100</f>
        <v>8142.2727063678</v>
      </c>
      <c r="I8" s="0" t="n">
        <f aca="false">I6*I7/100</f>
        <v>8467.96361462252</v>
      </c>
      <c r="J8" s="0" t="n">
        <f aca="false">J6*J7/100</f>
        <v>8764.3423411343</v>
      </c>
      <c r="K8" s="0" t="n">
        <f aca="false">K6*K7/100</f>
        <v>9027.27261136833</v>
      </c>
      <c r="L8" s="0" t="n">
        <f aca="false">L6*L7/100</f>
        <v>9298.09078970938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0.42</v>
      </c>
      <c r="D9" s="4" t="n">
        <f aca="false">Assumptions!D43</f>
        <v>0.42</v>
      </c>
      <c r="E9" s="4" t="n">
        <f aca="false">Assumptions!E43</f>
        <v>0.42</v>
      </c>
      <c r="F9" s="4" t="n">
        <f aca="false">Assumptions!F43</f>
        <v>0.42</v>
      </c>
      <c r="G9" s="4" t="n">
        <f aca="false">Assumptions!G43</f>
        <v>0.42</v>
      </c>
      <c r="H9" s="4" t="n">
        <f aca="false">Assumptions!H43</f>
        <v>0.42</v>
      </c>
      <c r="I9" s="4" t="n">
        <f aca="false">Assumptions!I43</f>
        <v>0.42</v>
      </c>
      <c r="J9" s="4" t="n">
        <f aca="false">Assumptions!J43</f>
        <v>0.42</v>
      </c>
      <c r="K9" s="4" t="n">
        <f aca="false">Assumptions!K43</f>
        <v>0.42</v>
      </c>
      <c r="L9" s="4" t="n">
        <f aca="false">Assumptions!L43</f>
        <v>0.42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-321.28278</v>
      </c>
      <c r="D10" s="0" t="n">
        <f aca="false">-D6*D9/100</f>
        <v>-369.475197</v>
      </c>
      <c r="E10" s="0" t="n">
        <f aca="false">-E6*E9/100</f>
        <v>-406.4227167</v>
      </c>
      <c r="F10" s="0" t="n">
        <f aca="false">-F6*F9/100</f>
        <v>-438.936534036</v>
      </c>
      <c r="G10" s="0" t="n">
        <f aca="false">-G6*G9/100</f>
        <v>-465.27272607816</v>
      </c>
      <c r="H10" s="0" t="n">
        <f aca="false">-H6*H9/100</f>
        <v>-488.536362382068</v>
      </c>
      <c r="I10" s="0" t="n">
        <f aca="false">-I6*I9/100</f>
        <v>-508.077816877351</v>
      </c>
      <c r="J10" s="0" t="n">
        <f aca="false">-J6*J9/100</f>
        <v>-525.860540468058</v>
      </c>
      <c r="K10" s="0" t="n">
        <f aca="false">-K6*K9/100</f>
        <v>-541.6363566821</v>
      </c>
      <c r="L10" s="0" t="n">
        <f aca="false">-L6*L9/100</f>
        <v>-557.885447382563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4000.73557</v>
      </c>
      <c r="D11" s="0" t="n">
        <f aca="false">D8+D10+D24</f>
        <v>4952.7270455</v>
      </c>
      <c r="E11" s="0" t="n">
        <f aca="false">E8+E10+E24</f>
        <v>5738.30169055</v>
      </c>
      <c r="F11" s="0" t="n">
        <f aca="false">F8+F10+F24</f>
        <v>6510.891921534</v>
      </c>
      <c r="G11" s="0" t="n">
        <f aca="false">G8+G10+G24</f>
        <v>7123.10387781564</v>
      </c>
      <c r="H11" s="0" t="n">
        <f aca="false">H8+H10+H24</f>
        <v>7479.25907170642</v>
      </c>
      <c r="I11" s="0" t="n">
        <f aca="false">I8+I10+I24</f>
        <v>7778.42943457468</v>
      </c>
      <c r="J11" s="0" t="n">
        <f aca="false">J8+J10+J24</f>
        <v>8050.6744647848</v>
      </c>
      <c r="K11" s="0" t="n">
        <f aca="false">K8+K10+K24</f>
        <v>8292.19469872834</v>
      </c>
      <c r="L11" s="0" t="n">
        <f aca="false">L8+L10+L24</f>
        <v>8540.96053969019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-1376.9262</v>
      </c>
      <c r="D12" s="4" t="n">
        <f aca="false">-D6*Assumptions!D45/100</f>
        <v>-1583.46513</v>
      </c>
      <c r="E12" s="4" t="n">
        <f aca="false">-E6*Assumptions!E45/100</f>
        <v>-1741.811643</v>
      </c>
      <c r="F12" s="4" t="n">
        <f aca="false">-F6*Assumptions!F45/100</f>
        <v>-1881.15657444</v>
      </c>
      <c r="G12" s="4" t="n">
        <f aca="false">-G6*Assumptions!G45/100</f>
        <v>-1994.0259689064</v>
      </c>
      <c r="H12" s="4" t="n">
        <f aca="false">-H6*Assumptions!H45/100</f>
        <v>-2093.72726735172</v>
      </c>
      <c r="I12" s="4" t="n">
        <f aca="false">-I6*Assumptions!I45/100</f>
        <v>-2177.47635804579</v>
      </c>
      <c r="J12" s="4" t="n">
        <f aca="false">-J6*Assumptions!J45/100</f>
        <v>-2253.68803057739</v>
      </c>
      <c r="K12" s="4" t="n">
        <f aca="false">-K6*Assumptions!K45/100</f>
        <v>-2321.29867149471</v>
      </c>
      <c r="L12" s="4" t="n">
        <f aca="false">-L6*Assumptions!L45/100</f>
        <v>-2390.93763163956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2623.80937</v>
      </c>
      <c r="D13" s="0" t="n">
        <f aca="false">D11+D12</f>
        <v>3369.2619155</v>
      </c>
      <c r="E13" s="0" t="n">
        <f aca="false">E11+E12</f>
        <v>3996.49004755</v>
      </c>
      <c r="F13" s="0" t="n">
        <f aca="false">F11+F12</f>
        <v>4629.735347094</v>
      </c>
      <c r="G13" s="0" t="n">
        <f aca="false">G11+G12</f>
        <v>5129.07790890924</v>
      </c>
      <c r="H13" s="0" t="n">
        <f aca="false">H11+H12</f>
        <v>5385.5318043547</v>
      </c>
      <c r="I13" s="0" t="n">
        <f aca="false">I11+I12</f>
        <v>5600.95307652889</v>
      </c>
      <c r="J13" s="0" t="n">
        <f aca="false">J11+J12</f>
        <v>5796.9864342074</v>
      </c>
      <c r="K13" s="0" t="n">
        <f aca="false">K11+K12</f>
        <v>5970.89602723363</v>
      </c>
      <c r="L13" s="0" t="n">
        <f aca="false">L11+L12</f>
        <v>6150.02290805063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2072.8094023</v>
      </c>
      <c r="D15" s="0" t="n">
        <f aca="false">D13-MAX(0,D13)*D14/100</f>
        <v>2661.716913245</v>
      </c>
      <c r="E15" s="0" t="n">
        <f aca="false">E13-MAX(0,E13)*E14/100</f>
        <v>3157.2271375645</v>
      </c>
      <c r="F15" s="0" t="n">
        <f aca="false">F13-MAX(0,F13)*F14/100</f>
        <v>3657.49092420426</v>
      </c>
      <c r="G15" s="0" t="n">
        <f aca="false">G13-MAX(0,G13)*G14/100</f>
        <v>4051.9715480383</v>
      </c>
      <c r="H15" s="0" t="n">
        <f aca="false">H13-MAX(0,H13)*H14/100</f>
        <v>4254.57012544022</v>
      </c>
      <c r="I15" s="0" t="n">
        <f aca="false">I13-MAX(0,I13)*I14/100</f>
        <v>4424.75293045782</v>
      </c>
      <c r="J15" s="0" t="n">
        <f aca="false">J13-MAX(0,J13)*J14/100</f>
        <v>4579.61928302385</v>
      </c>
      <c r="K15" s="0" t="n">
        <f aca="false">K13-MAX(0,K13)*K14/100</f>
        <v>4717.00786151457</v>
      </c>
      <c r="L15" s="0" t="n">
        <f aca="false">L13-MAX(0,L13)*L14/100</f>
        <v>4858.51809736</v>
      </c>
    </row>
    <row r="16" customFormat="false" ht="15" hidden="false" customHeight="false" outlineLevel="0" collapsed="false">
      <c r="A16" s="0" t="s">
        <v>118</v>
      </c>
      <c r="C16" s="0" t="n">
        <f aca="false">-C12</f>
        <v>1376.9262</v>
      </c>
      <c r="D16" s="0" t="n">
        <f aca="false">-D12</f>
        <v>1583.46513</v>
      </c>
      <c r="E16" s="0" t="n">
        <f aca="false">-E12</f>
        <v>1741.811643</v>
      </c>
      <c r="F16" s="0" t="n">
        <f aca="false">-F12</f>
        <v>1881.15657444</v>
      </c>
      <c r="G16" s="0" t="n">
        <f aca="false">-G12</f>
        <v>1994.0259689064</v>
      </c>
      <c r="H16" s="0" t="n">
        <f aca="false">-H12</f>
        <v>2093.72726735172</v>
      </c>
      <c r="I16" s="0" t="n">
        <f aca="false">-I12</f>
        <v>2177.47635804579</v>
      </c>
      <c r="J16" s="0" t="n">
        <f aca="false">-J12</f>
        <v>2253.68803057739</v>
      </c>
      <c r="K16" s="0" t="n">
        <f aca="false">-K12</f>
        <v>2321.29867149471</v>
      </c>
      <c r="L16" s="0" t="n">
        <f aca="false">-L12</f>
        <v>2390.93763163956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-1759.4057</v>
      </c>
      <c r="D17" s="4" t="n">
        <f aca="false">-D6*Assumptions!D46/100</f>
        <v>-2023.316555</v>
      </c>
      <c r="E17" s="4" t="n">
        <f aca="false">-E6*Assumptions!E46/100</f>
        <v>-2225.6482105</v>
      </c>
      <c r="F17" s="4" t="n">
        <f aca="false">-F6*Assumptions!F46/100</f>
        <v>-2403.70006734</v>
      </c>
      <c r="G17" s="4" t="n">
        <f aca="false">-G6*Assumptions!G46/100</f>
        <v>-2547.9220713804</v>
      </c>
      <c r="H17" s="4" t="n">
        <f aca="false">-H6*Assumptions!H46/100</f>
        <v>-2675.31817494942</v>
      </c>
      <c r="I17" s="4" t="n">
        <f aca="false">-I6*Assumptions!I46/100</f>
        <v>-2782.3309019474</v>
      </c>
      <c r="J17" s="4" t="n">
        <f aca="false">-J6*Assumptions!J46/100</f>
        <v>-2879.71248351556</v>
      </c>
      <c r="K17" s="4" t="n">
        <f aca="false">-K6*Assumptions!K46/100</f>
        <v>-2966.10385802102</v>
      </c>
      <c r="L17" s="4" t="n">
        <f aca="false">-L6*Assumptions!L46/100</f>
        <v>-3055.08697376165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1690.3299023</v>
      </c>
      <c r="D19" s="0" t="n">
        <f aca="false">D15+D16+D17+D18</f>
        <v>2221.865488245</v>
      </c>
      <c r="E19" s="0" t="n">
        <f aca="false">E15+E16+E17+E18</f>
        <v>2673.3905700645</v>
      </c>
      <c r="F19" s="0" t="n">
        <f aca="false">F15+F16+F17+F18</f>
        <v>3134.94743130426</v>
      </c>
      <c r="G19" s="0" t="n">
        <f aca="false">G15+G16+G17+G18</f>
        <v>3498.0754455643</v>
      </c>
      <c r="H19" s="0" t="n">
        <f aca="false">H15+H16+H17+H18</f>
        <v>3672.97921784252</v>
      </c>
      <c r="I19" s="0" t="n">
        <f aca="false">I15+I16+I17+I18</f>
        <v>3819.89838655622</v>
      </c>
      <c r="J19" s="0" t="n">
        <f aca="false">J15+J16+J17+J18</f>
        <v>3953.59483008568</v>
      </c>
      <c r="K19" s="0" t="n">
        <f aca="false">K15+K16+K17+K18</f>
        <v>4072.20267498826</v>
      </c>
      <c r="L19" s="0" t="n">
        <f aca="false">L15+L16+L17+L18</f>
        <v>4194.3687552379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1550.76137825688</v>
      </c>
      <c r="D21" s="0" t="n">
        <f aca="false">D19*D20</f>
        <v>1870.09972918525</v>
      </c>
      <c r="E21" s="0" t="n">
        <f aca="false">E19*E20</f>
        <v>2064.34803395484</v>
      </c>
      <c r="F21" s="0" t="n">
        <f aca="false">F19*F20</f>
        <v>2220.87579570002</v>
      </c>
      <c r="G21" s="0" t="n">
        <f aca="false">G19*G20</f>
        <v>2273.50902371181</v>
      </c>
      <c r="H21" s="0" t="n">
        <f aca="false">H19*H20</f>
        <v>2190.07749990587</v>
      </c>
      <c r="I21" s="0" t="n">
        <f aca="false">I19*I20</f>
        <v>2089.61522926799</v>
      </c>
      <c r="J21" s="0" t="n">
        <f aca="false">J19*J20</f>
        <v>1984.17592870859</v>
      </c>
      <c r="K21" s="0" t="n">
        <f aca="false">K19*K20</f>
        <v>1874.95523538518</v>
      </c>
      <c r="L21" s="0" t="n">
        <f aca="false">L19*L20</f>
        <v>1771.74669031811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0.15</v>
      </c>
      <c r="D23" s="4" t="n">
        <f aca="false">Assumptions!D44</f>
        <v>0.15</v>
      </c>
      <c r="E23" s="4" t="n">
        <f aca="false">Assumptions!E44</f>
        <v>0.15</v>
      </c>
      <c r="F23" s="4" t="n">
        <f aca="false">Assumptions!F44</f>
        <v>0.15</v>
      </c>
      <c r="G23" s="4" t="n">
        <f aca="false">Assumptions!G44</f>
        <v>0.15</v>
      </c>
      <c r="H23" s="4" t="n">
        <f aca="false">Assumptions!H44</f>
        <v>0.15</v>
      </c>
      <c r="I23" s="4" t="n">
        <f aca="false">Assumptions!I44</f>
        <v>0.15</v>
      </c>
      <c r="J23" s="4" t="n">
        <f aca="false">Assumptions!J44</f>
        <v>0.15</v>
      </c>
      <c r="K23" s="4" t="n">
        <f aca="false">Assumptions!K44</f>
        <v>0.15</v>
      </c>
      <c r="L23" s="4" t="n">
        <f aca="false">Assumptions!L44</f>
        <v>0.15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-114.74385</v>
      </c>
      <c r="D24" s="0" t="n">
        <f aca="false">-D6*D23/100</f>
        <v>-131.9554275</v>
      </c>
      <c r="E24" s="0" t="n">
        <f aca="false">-E6*E23/100</f>
        <v>-145.15097025</v>
      </c>
      <c r="F24" s="0" t="n">
        <f aca="false">-F6*F23/100</f>
        <v>-156.76304787</v>
      </c>
      <c r="G24" s="0" t="n">
        <f aca="false">-G6*G23/100</f>
        <v>-166.1688307422</v>
      </c>
      <c r="H24" s="0" t="n">
        <f aca="false">-H6*H23/100</f>
        <v>-174.47727227931</v>
      </c>
      <c r="I24" s="0" t="n">
        <f aca="false">-I6*I23/100</f>
        <v>-181.456363170482</v>
      </c>
      <c r="J24" s="0" t="n">
        <f aca="false">-J6*J23/100</f>
        <v>-187.807335881449</v>
      </c>
      <c r="K24" s="0" t="n">
        <f aca="false">-K6*K23/100</f>
        <v>-193.441555957893</v>
      </c>
      <c r="L24" s="0" t="n">
        <f aca="false">-L6*L23/100</f>
        <v>-199.24480263663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19890.1645443945</v>
      </c>
    </row>
    <row r="31" customFormat="false" ht="15" hidden="false" customHeight="false" outlineLevel="0" collapsed="false">
      <c r="A31" s="0" t="s">
        <v>127</v>
      </c>
      <c r="B31" s="0" t="n">
        <f aca="false">L19</f>
        <v>4194.3687552379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72003.3302982507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67109.9000838064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67109.9000838064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28347.9470450897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48238.1115894843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65180.5115894843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32.4819411629727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1.05712103628706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2851.10386357864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4045.44245406263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35.9187538889637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36001.6651491253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20.3279666999089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14.3487882183618</v>
      </c>
      <c r="C4" s="0" t="n">
        <f aca="false">B4/Assumptions!$B$2-1</f>
        <v>-0.0912737037136299</v>
      </c>
      <c r="D4" s="4" t="n">
        <f aca="false">Assumptions!$B$24</f>
        <v>0.3</v>
      </c>
      <c r="E4" s="4" t="n">
        <f aca="false">DCF_Bear!$B$43</f>
        <v>16.2930984776231</v>
      </c>
      <c r="F4" s="4" t="n">
        <f aca="false">DCF_Bear!$B$47</f>
        <v>11.978102700601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22.6230850387307</v>
      </c>
      <c r="C5" s="0" t="n">
        <f aca="false">B5/Assumptions!$B$2-1</f>
        <v>0.432747627532029</v>
      </c>
      <c r="D5" s="4" t="n">
        <f aca="false">Assumptions!$B$38</f>
        <v>0.45</v>
      </c>
      <c r="E5" s="4" t="n">
        <f aca="false">DCF_Base!$B$43</f>
        <v>25.5469683581897</v>
      </c>
      <c r="F5" s="4" t="n">
        <f aca="false">DCF_Base!$B$47</f>
        <v>16.193833626665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32.4819411629727</v>
      </c>
      <c r="C6" s="0" t="n">
        <f aca="false">B6/Assumptions!$B$2-1</f>
        <v>1.05712103628706</v>
      </c>
      <c r="D6" s="4" t="n">
        <f aca="false">Assumptions!$B$52</f>
        <v>0.25</v>
      </c>
      <c r="E6" s="4" t="n">
        <f aca="false">DCF_Bull!$B$43</f>
        <v>35.9187538889637</v>
      </c>
      <c r="F6" s="4" t="n">
        <f aca="false">DCF_Bull!$B$47</f>
        <v>20.3279666999089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22.6055100236806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25.3637537767132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0.301497732921793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-247.096001438848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15.9626476171568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22.6230850387307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21.6534038489927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20.2594711918227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18.9021580276176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16.193833626665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24.8517320303033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24.8517320303033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24.8517320303033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24.8517320303033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24.8517320303033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23.6857565046958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23.6857565046958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23.6857565046958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23.6857565046958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23.6857565046958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22.6230850387307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22.6230850387307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22.6230850387307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22.6230850387307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22.6230850387307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21.0354297956217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21.4886107680938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21.6534038489927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21.6534038489927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21.6534038489927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19.563249141326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19.8908830474421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20.2594711918227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20.6772044221207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20.7675251205636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2026-10-22T10:06:50Z</dcterms:created>
  <dc:creator>openpyxl</dc:creator>
  <dc:description/>
  <dc:language>en-NZ</dc:language>
  <cp:lastModifiedBy/>
  <dcterms:modified xsi:type="dcterms:W3CDTF">2026-10-22T10:06:50Z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