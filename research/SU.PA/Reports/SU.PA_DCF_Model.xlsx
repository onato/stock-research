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<sst xmlns="http://schemas.openxmlformats.org/spreadsheetml/2006/main" count="377" uniqueCount="172">
  <si>
    <t xml:space="preserve">Ticker</t>
  </si>
  <si>
    <t xml:space="preserve">SU.PA</t>
  </si>
  <si>
    <t xml:space="preserve">Company</t>
  </si>
  <si>
    <t xml:space="preserve">Schneider Electric SE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</si>
  <si>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</si>
  <si>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</si>
  <si>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</si>
  <si>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</si>
  <si>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2026-10-23T15:39:57Z regular close (Euronext Paris); latest close as of the valuation date</t>
  </si>
  <si>
    <t xml:space="preserve">Balance sheet date</t>
  </si>
  <si>
    <t xml:space="preserve">2026-06-30 (net debt EUR 15,360m, H1 2026 results presentation p.39); gross cash/debt split only disclosed at 2025-12-31 (cash 4,634 / financial liabilities 17,880 excl. IFRS 16 leases 1,554); total_debt here = June-26 net debt + Dec-25 cash, a derived figure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</si>
  <si>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</si>
  <si>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</si>
  <si>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</si>
  <si>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</si>
  <si>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</si>
  <si>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</si>
  <si>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</si>
  <si>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</si>
  <si>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</si>
  <si>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</si>
  <si>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2026-10-25T21:50:21Z</t>
  </si>
  <si>
    <t xml:space="preserve">Drivers file</t>
  </si>
  <si>
    <t xml:space="preserve">SU.PA_Drivers.json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</si>
  <si>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</si>
  <si>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</si>
  <si>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</si>
  <si>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standalone Schneider (excluding the unclosed PTC, Cognite and AiDASH deals from the flows), with SBC fully expensed, IFRS 16 leases charged as an operating cost, NCI deducted once at a fair multiple, and the PTC deal carried in the bridge at its expected NPV to Schneider shareholders rather than pro-forma'd into the flows on an unknown funding mix. Terminal value is the lower of Gordon at 7.5%/2.5% and 20x year-10 owner FCF (the cap binds marginally). One WACC across scenarios; risk is priced in the flows and the 25/50/25 weights.
key_risks_to_valuation: Data-centre capex cycle: 30% of orders; a 25% peak-to-trough in that end-market is the bear case and the single largest driver of the bear/base gap; PTC deal: the -EUR 3.3bn bridge item assumes ~85% completion and EUR 250m synergies; if the deal breaks the item reverses to ~zero (+EUR 6/share), if synergies are not delivered it roughly doubles (-EUR 6/share more); PTC's own revenue, FCF and the equity-funding share count are not yet in the model and must be added at closing; Terminal value is ~65% of EV and the 20x cap binds: a 1pp change in WACC moves the base IV by roughly 15-20%; Margin trajectory: the base assumes adj EBITA ~21% by 2030 (from 18.7% FY25); if price/cost (raw materials, tariffs) turns negative the base converges on the bear path; FX: &gt;80% of revenue is non-EUR (USD EUR 15bn); 10% EUR appreciation vs USD = -EUR 427m adj EBITA per management, not separately modelled; Shareholders' equity fell EUR 6.3bn in FY2025 as reported (FX translation / NCI effects, not bridged here); it does not enter the DCF but distorts the equity CAGR and any P/B-based screen</t>
  </si>
  <si>
    <t xml:space="preserve">Data sources</t>
  </si>
  <si>
    <t xml:space="preserve">price: Yahoo Finance chart API (SU.PA, EUR) at inputs.price_as_of; 52-week range 220.4-312.3; previous close 235.75. Regular-session close, not after-hours.
financials: SU.PA_Metrics.csv / metrics_normalized (FY2011-FY2025 annuals, H1 FY2010-H1 FY2026); FY2025 Universal Registration Document (SU.PA_Annual_FY2025.txt) for SBC, net debt after hedging, IFRS 16 debt by maturity, diluted share table, NCI, restructuring, segment adj EBITA; H1 2026 results presentation (SU.PA_Presentation_H1-2026.txt p.39-40) for June-2026 net debt EUR 15,360m, H1 FCF EUR 1,631m, 1.64x ND/adj EBITDA, buyback EUR 0.6bn.
qualitative: SU.PA_Analysis.json (2026-10-26): Q3 2026 release (16-Oct-2026) guidance of +12-14% organic revenue, +18-21% adj EBITA, +100-120bps margin, FX -EUR 300-400m, scope -EUR 50m, ETR 23-25%; PTC ($22.6bn, 5-Oct-2026, close ~Q3 2027, EUR 250m synergies), Cognite ($3.1bn), AiDASH announcements. PTC undisturbed price and EURUSD from Yahoo Finance chart API (PTC daily closes Sep-Oct 2026; EURUSD=X 2026-10-25).</t>
  </si>
  <si>
    <t xml:space="preserve">Scenario narrative: bear</t>
  </si>
  <si>
    <t xml:space="preserve">Hyperscaler capex digestion in 2027-28 takes Data Center &amp; Networks down ~25% from peak; two flat-to-down years, ~150bps margin compression on under-absorbed capacity and price/cost, slow recovery to ~19% adj EBITA, while five acquisitions are integrated at once.</t>
  </si>
  <si>
    <t xml:space="preserve">Scenario narrative: base</t>
  </si>
  <si>
    <t xml:space="preserve">Guidance-year at midpoint, then a decade of deceleration from 8% to 3% as the data-centre supercycle normalises into the 6-7% electrification market; adj EBITA margin reaches ~21% by 2030 and holds; PTC carried as a modestly value-destructive deal (premium &gt; PV of synergies) in the bridge.</t>
  </si>
  <si>
    <t xml:space="preserve">Scenario narrative: bull</t>
  </si>
  <si>
    <t xml:space="preserve">AI-factory capex sustains through 2029 with share gains from the integrated power + liquid-cooling + software offer; double-digit growth through 2028, adj EBITA toward 22.5%,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</si>
  <si>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</si>
  <si>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</si>
  <si>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</si>
  <si>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</si>
  <si>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</si>
  <si>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</si>
  <si>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</si>
  <si>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</si>
  <si>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</si>
  <si>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</si>
  <si>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</si>
  <si>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</si>
  <si>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</si>
  <si>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</si>
  <si>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</si>
  <si>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</si>
  <si>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</si>
  <si>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</si>
  <si>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</si>
  <si>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</si>
  <si>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</si>
  <si>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</si>
  <si>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</si>
  <si>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</si>
  <si>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</si>
  <si>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</si>
  <si>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</si>
  <si>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</si>
  <si>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</si>
  <si>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</si>
  <si>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</si>
  <si>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</si>
  <si>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</si>
  <si>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</si>
  <si>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</si>
  <si>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</si>
  <si>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</si>
  <si>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</si>
  <si>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</si>
  <si>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</si>
  <si>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</si>
  <si>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</si>
  <si>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</si>
  <si>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</si>
  <si>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</si>
  <si>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</si>
  <si>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</si>
  <si>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</si>
  <si>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</si>
  <si>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</si>
  <si>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</si>
  <si>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</si>
  <si>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</si>
  <si>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</si>
  <si>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</si>
  <si>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</si>
  <si>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</si>
  <si>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</si>
  <si>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</si>
  <si>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</si>
  <si>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</si>
  <si>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</si>
  <si>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</si>
  <si>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</si>
  <si>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</si>
  <si>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</si>
  <si>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</si>
  <si>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</si>
  <si>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</si>
  <si>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</si>
  <si>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</si>
  <si>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</si>
  <si>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</si>
  <si>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</si>
  <si>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</si>
  <si>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</si>
  <si>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</si>
  <si>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</si>
  <si>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</si>
  <si>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</si>
  <si>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</si>
  <si>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SU.PA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</si>
  <si>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</si>
  <si>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</si>
  <si>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</si>
  <si>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</si>
  <si>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</si>
  <si>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</si>
  <si>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</si>
  <si>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</si>
  <si>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</si>
  <si>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</si>
  <si>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</si>
  <si>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</si>
  <si>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</si>
  <si>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</si>
  <si>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</si>
  <si>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</si>
  <si>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</si>
  <si>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</si>
  <si>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</si>
  <si>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</si>
  <si>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</si>
  <si>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</si>
  <si>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</si>
  <si>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</si>
  <si>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</si>
  <si>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</si>
  <si>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</si>
  <si>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</si>
  <si>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</si>
  <si>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</si>
  <si>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SU.PA owner-FCF component DCF: base case (millions, EUR)</t>
  </si>
  <si>
    <t xml:space="preserve">SU.PA owner-FCF component DCF: bull case (millions, EUR)</t>
  </si>
  <si>
    <t xml:space="preserve">SU.PA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</si>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</sst>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231.4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22345</v>
      </c>
      <c r="C2" s="0" t="n">
        <v>13958</v>
      </c>
      <c r="D2" s="0" t="n">
        <v>8387</v>
      </c>
      <c r="E2" s="0" t="n">
        <v>37.5</v>
      </c>
      <c r="F2" s="0" t="n">
        <v>2811</v>
      </c>
      <c r="G2" s="0" t="n">
        <v>12.6</v>
      </c>
      <c r="H2" s="0" t="n">
        <v>3577</v>
      </c>
      <c r="I2" s="0" t="n">
        <v>1793</v>
      </c>
      <c r="J2" s="0" t="n">
        <v>8</v>
      </c>
      <c r="K2" s="0" t="n">
        <v>3.3</v>
      </c>
      <c r="L2" s="0" t="n">
        <v>2252</v>
      </c>
      <c r="M2" s="0" t="n">
        <v>812</v>
      </c>
      <c r="N2" s="0" t="n">
        <v>1440</v>
      </c>
      <c r="O2" s="0" t="n">
        <v>15853</v>
      </c>
      <c r="P2" s="0" t="n">
        <v>35828</v>
      </c>
      <c r="Q2" s="0" t="n">
        <v>19783</v>
      </c>
      <c r="R2" s="0" t="n">
        <v>8037</v>
      </c>
      <c r="S2" s="0" t="n">
        <v>2771</v>
      </c>
      <c r="T2" s="0" t="n">
        <v>543.3</v>
      </c>
      <c r="U2" s="0" t="n">
        <v>51</v>
      </c>
      <c r="AA2" s="0" t="s">
        <v>17</v>
      </c>
      <c r="AB2" s="0" t="s">
        <v>14</v>
      </c>
      <c r="AC2" s="0" t="n">
        <v>1877</v>
      </c>
      <c r="AD2" s="0" t="n">
        <v>16045</v>
      </c>
    </row>
    <row r="3" customFormat="false" ht="15" hidden="false" customHeight="false" outlineLevel="0" collapsed="false">
      <c r="A3" s="0" t="s">
        <v>66</v>
      </c>
      <c r="B3" s="0" t="n">
        <v>23946</v>
      </c>
      <c r="C3" s="0" t="n">
        <v>14889</v>
      </c>
      <c r="D3" s="0" t="n">
        <v>9057</v>
      </c>
      <c r="E3" s="0" t="n">
        <v>37.8</v>
      </c>
      <c r="F3" s="0" t="n">
        <v>2866</v>
      </c>
      <c r="G3" s="0" t="n">
        <v>12</v>
      </c>
      <c r="H3" s="0" t="n">
        <v>3680</v>
      </c>
      <c r="I3" s="0" t="n">
        <v>1840</v>
      </c>
      <c r="J3" s="0" t="n">
        <v>7.7</v>
      </c>
      <c r="K3" s="0" t="n">
        <v>3.36</v>
      </c>
      <c r="L3" s="0" t="n">
        <v>2801</v>
      </c>
      <c r="M3" s="0" t="n">
        <v>787</v>
      </c>
      <c r="N3" s="0" t="n">
        <v>2014</v>
      </c>
      <c r="O3" s="0" t="n">
        <v>16642</v>
      </c>
      <c r="P3" s="0" t="n">
        <v>36156</v>
      </c>
      <c r="Q3" s="0" t="n">
        <v>19340</v>
      </c>
      <c r="R3" s="0" t="n">
        <v>8132</v>
      </c>
      <c r="S3" s="0" t="n">
        <v>3737</v>
      </c>
      <c r="T3" s="0" t="n">
        <v>547.6</v>
      </c>
      <c r="U3" s="0" t="n">
        <v>57</v>
      </c>
      <c r="AA3" s="0" t="s">
        <v>17</v>
      </c>
      <c r="AB3" s="0" t="s">
        <v>14</v>
      </c>
      <c r="AC3" s="0" t="n">
        <v>1927</v>
      </c>
      <c r="AD3" s="0" t="n">
        <v>16816</v>
      </c>
    </row>
    <row r="4" customFormat="false" ht="15" hidden="false" customHeight="false" outlineLevel="0" collapsed="false">
      <c r="A4" s="0" t="s">
        <v>67</v>
      </c>
      <c r="B4" s="0" t="n">
        <v>23551</v>
      </c>
      <c r="C4" s="0" t="n">
        <v>14660</v>
      </c>
      <c r="D4" s="0" t="n">
        <v>8891</v>
      </c>
      <c r="E4" s="0" t="n">
        <v>37.8</v>
      </c>
      <c r="F4" s="0" t="n">
        <v>3091</v>
      </c>
      <c r="G4" s="0" t="n">
        <v>13.1</v>
      </c>
      <c r="H4" s="0" t="n">
        <v>3911</v>
      </c>
      <c r="I4" s="0" t="n">
        <v>1888</v>
      </c>
      <c r="J4" s="0" t="n">
        <v>8</v>
      </c>
      <c r="K4" s="0" t="n">
        <v>3.4</v>
      </c>
      <c r="L4" s="0" t="n">
        <v>2901</v>
      </c>
      <c r="M4" s="0" t="n">
        <v>822</v>
      </c>
      <c r="N4" s="0" t="n">
        <v>2079</v>
      </c>
      <c r="O4" s="0" t="n">
        <v>17212</v>
      </c>
      <c r="P4" s="0" t="n">
        <v>36988</v>
      </c>
      <c r="Q4" s="0" t="n">
        <v>19625</v>
      </c>
      <c r="R4" s="0" t="n">
        <v>8859</v>
      </c>
      <c r="S4" s="0" t="n">
        <v>5528</v>
      </c>
      <c r="T4" s="0" t="n">
        <v>555.3</v>
      </c>
      <c r="U4" s="0" t="n">
        <v>66</v>
      </c>
      <c r="AA4" s="0" t="s">
        <v>17</v>
      </c>
      <c r="AB4" s="0" t="s">
        <v>14</v>
      </c>
      <c r="AC4" s="0" t="n">
        <v>1965</v>
      </c>
      <c r="AD4" s="0" t="n">
        <v>17363</v>
      </c>
    </row>
    <row r="5" customFormat="false" ht="15" hidden="false" customHeight="false" outlineLevel="0" collapsed="false">
      <c r="A5" s="0" t="s">
        <v>68</v>
      </c>
      <c r="B5" s="0" t="n">
        <v>24939</v>
      </c>
      <c r="C5" s="0" t="n">
        <v>15532</v>
      </c>
      <c r="D5" s="0" t="n">
        <v>9407</v>
      </c>
      <c r="E5" s="0" t="n">
        <v>37.7</v>
      </c>
      <c r="F5" s="0" t="n">
        <v>2896</v>
      </c>
      <c r="G5" s="0" t="n">
        <v>11.6</v>
      </c>
      <c r="H5" s="0" t="n">
        <v>3793</v>
      </c>
      <c r="I5" s="0" t="n">
        <v>1941</v>
      </c>
      <c r="J5" s="0" t="n">
        <v>7.8</v>
      </c>
      <c r="K5" s="0" t="n">
        <v>3.37</v>
      </c>
      <c r="L5" s="0" t="n">
        <v>2533</v>
      </c>
      <c r="M5" s="0" t="n">
        <v>871</v>
      </c>
      <c r="N5" s="0" t="n">
        <v>1662</v>
      </c>
      <c r="O5" s="0" t="n">
        <v>19732</v>
      </c>
      <c r="P5" s="0" t="n">
        <v>41158</v>
      </c>
      <c r="Q5" s="0" t="n">
        <v>21007</v>
      </c>
      <c r="R5" s="0" t="n">
        <v>7672</v>
      </c>
      <c r="S5" s="0" t="n">
        <v>2650</v>
      </c>
      <c r="T5" s="0" t="n">
        <v>576</v>
      </c>
      <c r="U5" s="0" t="n">
        <v>86</v>
      </c>
      <c r="AA5" s="0" t="s">
        <v>17</v>
      </c>
      <c r="AB5" s="0" t="s">
        <v>14</v>
      </c>
      <c r="AC5" s="0" t="n">
        <v>2061</v>
      </c>
      <c r="AD5" s="0" t="n">
        <v>20151</v>
      </c>
    </row>
    <row r="6" customFormat="false" ht="15" hidden="false" customHeight="false" outlineLevel="0" collapsed="false">
      <c r="A6" s="0" t="s">
        <v>69</v>
      </c>
      <c r="B6" s="0" t="n">
        <v>26640</v>
      </c>
      <c r="C6" s="0" t="n">
        <v>16795</v>
      </c>
      <c r="D6" s="0" t="n">
        <v>9845</v>
      </c>
      <c r="E6" s="0" t="n">
        <v>37</v>
      </c>
      <c r="F6" s="0" t="n">
        <v>2229</v>
      </c>
      <c r="G6" s="0" t="n">
        <v>8.4</v>
      </c>
      <c r="H6" s="0" t="n">
        <v>3206</v>
      </c>
      <c r="I6" s="0" t="n">
        <v>1407</v>
      </c>
      <c r="J6" s="0" t="n">
        <v>5.3</v>
      </c>
      <c r="K6" s="0" t="n">
        <v>2.46</v>
      </c>
      <c r="L6" s="0" t="n">
        <v>2832</v>
      </c>
      <c r="M6" s="0" t="n">
        <v>905</v>
      </c>
      <c r="N6" s="0" t="n">
        <v>1927</v>
      </c>
      <c r="O6" s="0" t="n">
        <v>20848</v>
      </c>
      <c r="P6" s="0" t="n">
        <v>42577</v>
      </c>
      <c r="Q6" s="0" t="n">
        <v>21288</v>
      </c>
      <c r="R6" s="0" t="n">
        <v>7630</v>
      </c>
      <c r="S6" s="0" t="n">
        <v>2999</v>
      </c>
      <c r="T6" s="0" t="n">
        <v>572</v>
      </c>
      <c r="U6" s="0" t="n">
        <v>97</v>
      </c>
      <c r="AA6" s="0" t="s">
        <v>17</v>
      </c>
      <c r="AB6" s="0" t="s">
        <v>14</v>
      </c>
      <c r="AC6" s="0" t="n">
        <v>1503</v>
      </c>
      <c r="AD6" s="0" t="n">
        <v>21289</v>
      </c>
    </row>
    <row r="7" customFormat="false" ht="15" hidden="false" customHeight="false" outlineLevel="0" collapsed="false">
      <c r="A7" s="0" t="s">
        <v>70</v>
      </c>
      <c r="B7" s="0" t="n">
        <v>24693</v>
      </c>
      <c r="C7" s="0" t="n">
        <v>15303</v>
      </c>
      <c r="D7" s="0" t="n">
        <v>9390</v>
      </c>
      <c r="E7" s="0" t="n">
        <v>38</v>
      </c>
      <c r="F7" s="0" t="n">
        <v>2951</v>
      </c>
      <c r="G7" s="0" t="n">
        <v>12</v>
      </c>
      <c r="H7" s="0" t="n">
        <v>3793</v>
      </c>
      <c r="I7" s="0" t="n">
        <v>1750</v>
      </c>
      <c r="J7" s="0" t="n">
        <v>7.1</v>
      </c>
      <c r="K7" s="0" t="n">
        <v>3.09</v>
      </c>
      <c r="L7" s="0" t="n">
        <v>2970</v>
      </c>
      <c r="M7" s="0" t="n">
        <v>859</v>
      </c>
      <c r="N7" s="0" t="n">
        <v>2111</v>
      </c>
      <c r="O7" s="0" t="n">
        <v>20494</v>
      </c>
      <c r="P7" s="0" t="n">
        <v>41851</v>
      </c>
      <c r="Q7" s="0" t="n">
        <v>21198</v>
      </c>
      <c r="R7" s="0" t="n">
        <v>7619</v>
      </c>
      <c r="S7" s="0" t="n">
        <v>2795</v>
      </c>
      <c r="T7" s="0" t="n">
        <v>566.3</v>
      </c>
      <c r="U7" s="0" t="n">
        <v>118</v>
      </c>
      <c r="AA7" s="0" t="s">
        <v>17</v>
      </c>
      <c r="AB7" s="0" t="s">
        <v>14</v>
      </c>
      <c r="AC7" s="0" t="n">
        <v>1811</v>
      </c>
      <c r="AD7" s="0" t="n">
        <v>20653</v>
      </c>
    </row>
    <row r="8" customFormat="false" ht="15" hidden="false" customHeight="false" outlineLevel="0" collapsed="false">
      <c r="A8" s="0" t="s">
        <v>71</v>
      </c>
      <c r="B8" s="0" t="n">
        <v>24743</v>
      </c>
      <c r="C8" s="0" t="n">
        <v>15245</v>
      </c>
      <c r="D8" s="0" t="n">
        <v>9498</v>
      </c>
      <c r="E8" s="0" t="n">
        <v>38.4</v>
      </c>
      <c r="F8" s="0" t="n">
        <v>3210</v>
      </c>
      <c r="G8" s="0" t="n">
        <v>13</v>
      </c>
      <c r="H8" s="0" t="n">
        <v>3996</v>
      </c>
      <c r="I8" s="0" t="n">
        <v>2150</v>
      </c>
      <c r="J8" s="0" t="n">
        <v>8.7</v>
      </c>
      <c r="K8" s="0" t="n">
        <v>3.81</v>
      </c>
      <c r="L8" s="0" t="n">
        <v>2941</v>
      </c>
      <c r="M8" s="0" t="n">
        <v>749</v>
      </c>
      <c r="N8" s="0" t="n">
        <v>2192</v>
      </c>
      <c r="O8" s="0" t="n">
        <v>19797</v>
      </c>
      <c r="P8" s="0" t="n">
        <v>39849</v>
      </c>
      <c r="Q8" s="0" t="n">
        <v>19907</v>
      </c>
      <c r="R8" s="0" t="n">
        <v>7341</v>
      </c>
      <c r="S8" s="0" t="n">
        <v>3045</v>
      </c>
      <c r="T8" s="0" t="n">
        <v>564.3</v>
      </c>
      <c r="U8" s="0" t="n">
        <v>102</v>
      </c>
      <c r="AA8" s="0" t="s">
        <v>17</v>
      </c>
      <c r="AB8" s="0" t="s">
        <v>14</v>
      </c>
      <c r="AC8" s="0" t="n">
        <v>2210</v>
      </c>
      <c r="AD8" s="0" t="n">
        <v>19942</v>
      </c>
    </row>
    <row r="9" customFormat="false" ht="15" hidden="false" customHeight="false" outlineLevel="0" collapsed="false">
      <c r="A9" s="0" t="s">
        <v>72</v>
      </c>
      <c r="B9" s="0" t="n">
        <v>25720</v>
      </c>
      <c r="C9" s="0" t="n">
        <v>15677</v>
      </c>
      <c r="D9" s="0" t="n">
        <v>10043</v>
      </c>
      <c r="E9" s="0" t="n">
        <v>39</v>
      </c>
      <c r="F9" s="0" t="n">
        <v>3396</v>
      </c>
      <c r="G9" s="0" t="n">
        <v>13.2</v>
      </c>
      <c r="H9" s="0" t="n">
        <v>4256</v>
      </c>
      <c r="I9" s="0" t="n">
        <v>2334</v>
      </c>
      <c r="J9" s="0" t="n">
        <v>9.1</v>
      </c>
      <c r="K9" s="0" t="n">
        <v>4.16</v>
      </c>
      <c r="L9" s="0" t="n">
        <v>2872</v>
      </c>
      <c r="M9" s="0" t="n">
        <v>824</v>
      </c>
      <c r="N9" s="0" t="n">
        <v>2048</v>
      </c>
      <c r="O9" s="0" t="n">
        <v>20782</v>
      </c>
      <c r="P9" s="0" t="n">
        <v>42259</v>
      </c>
      <c r="Q9" s="0" t="n">
        <v>19995</v>
      </c>
      <c r="R9" s="0" t="n">
        <v>7497</v>
      </c>
      <c r="S9" s="0" t="n">
        <v>2361</v>
      </c>
      <c r="T9" s="0" t="n">
        <v>561.1</v>
      </c>
      <c r="U9" s="0" t="n">
        <v>135</v>
      </c>
      <c r="AA9" s="0" t="s">
        <v>17</v>
      </c>
      <c r="AB9" s="0" t="s">
        <v>14</v>
      </c>
      <c r="AC9" s="0" t="n">
        <v>2431</v>
      </c>
      <c r="AD9" s="0" t="n">
        <v>22264</v>
      </c>
    </row>
    <row r="10" customFormat="false" ht="15" hidden="false" customHeight="false" outlineLevel="0" collapsed="false">
      <c r="A10" s="0" t="s">
        <v>73</v>
      </c>
      <c r="B10" s="0" t="n">
        <v>27158</v>
      </c>
      <c r="C10" s="0" t="n">
        <v>16423</v>
      </c>
      <c r="D10" s="0" t="n">
        <v>10735</v>
      </c>
      <c r="E10" s="0" t="n">
        <v>39.5</v>
      </c>
      <c r="F10" s="0" t="n">
        <v>3399</v>
      </c>
      <c r="G10" s="0" t="n">
        <v>12.5</v>
      </c>
      <c r="H10" s="0" t="n">
        <v>4574</v>
      </c>
      <c r="I10" s="0" t="n">
        <v>2413</v>
      </c>
      <c r="J10" s="0" t="n">
        <v>8.9</v>
      </c>
      <c r="K10" s="0" t="n">
        <v>4.33</v>
      </c>
      <c r="L10" s="0" t="n">
        <v>4282</v>
      </c>
      <c r="M10" s="0" t="n">
        <v>844</v>
      </c>
      <c r="N10" s="0" t="n">
        <v>3438</v>
      </c>
      <c r="O10" s="0" t="n">
        <v>21561</v>
      </c>
      <c r="P10" s="0" t="n">
        <v>45003</v>
      </c>
      <c r="Q10" s="0" t="n">
        <v>21863</v>
      </c>
      <c r="R10" s="0" t="n">
        <v>7384</v>
      </c>
      <c r="S10" s="0" t="n">
        <v>3592</v>
      </c>
      <c r="T10" s="0" t="n">
        <v>557.3</v>
      </c>
      <c r="U10" s="0" t="n">
        <v>154</v>
      </c>
      <c r="AA10" s="0" t="s">
        <v>17</v>
      </c>
      <c r="AB10" s="0" t="s">
        <v>14</v>
      </c>
      <c r="AC10" s="0" t="n">
        <v>2523</v>
      </c>
      <c r="AD10" s="0" t="n">
        <v>23140</v>
      </c>
    </row>
    <row r="11" customFormat="false" ht="15" hidden="false" customHeight="false" outlineLevel="0" collapsed="false">
      <c r="A11" s="0" t="s">
        <v>74</v>
      </c>
      <c r="B11" s="0" t="n">
        <v>25159</v>
      </c>
      <c r="C11" s="0" t="n">
        <v>15003</v>
      </c>
      <c r="D11" s="0" t="n">
        <v>10156</v>
      </c>
      <c r="E11" s="0" t="n">
        <v>40.4</v>
      </c>
      <c r="F11" s="0" t="n">
        <v>3088</v>
      </c>
      <c r="G11" s="0" t="n">
        <v>12.3</v>
      </c>
      <c r="H11" s="0" t="n">
        <v>4298</v>
      </c>
      <c r="I11" s="0" t="n">
        <v>2126</v>
      </c>
      <c r="J11" s="0" t="n">
        <v>8.5</v>
      </c>
      <c r="K11" s="0" t="n">
        <v>3.81</v>
      </c>
      <c r="L11" s="0" t="n">
        <v>4435</v>
      </c>
      <c r="M11" s="0" t="n">
        <v>817</v>
      </c>
      <c r="N11" s="0" t="n">
        <v>3618</v>
      </c>
      <c r="O11" s="0" t="n">
        <v>20623</v>
      </c>
      <c r="P11" s="0" t="n">
        <v>49482</v>
      </c>
      <c r="Q11" s="0" t="n">
        <v>25755</v>
      </c>
      <c r="R11" s="0" t="n">
        <v>10456</v>
      </c>
      <c r="S11" s="0" t="n">
        <v>6895</v>
      </c>
      <c r="T11" s="0" t="n">
        <v>558</v>
      </c>
      <c r="U11" s="0" t="n">
        <v>145</v>
      </c>
      <c r="AA11" s="0" t="s">
        <v>17</v>
      </c>
      <c r="AB11" s="0" t="s">
        <v>14</v>
      </c>
      <c r="AC11" s="0" t="n">
        <v>2238</v>
      </c>
      <c r="AD11" s="0" t="n">
        <v>23727</v>
      </c>
    </row>
    <row r="12" customFormat="false" ht="15" hidden="false" customHeight="false" outlineLevel="0" collapsed="false">
      <c r="A12" s="0" t="s">
        <v>75</v>
      </c>
      <c r="B12" s="0" t="n">
        <v>28905</v>
      </c>
      <c r="C12" s="0" t="n">
        <v>17062</v>
      </c>
      <c r="D12" s="0" t="n">
        <v>11843</v>
      </c>
      <c r="E12" s="0" t="n">
        <v>41</v>
      </c>
      <c r="F12" s="0" t="n">
        <v>4331</v>
      </c>
      <c r="G12" s="0" t="n">
        <v>15</v>
      </c>
      <c r="H12" s="0" t="n">
        <v>5745</v>
      </c>
      <c r="I12" s="0" t="n">
        <v>3204</v>
      </c>
      <c r="J12" s="0" t="n">
        <v>11.1</v>
      </c>
      <c r="K12" s="0" t="n">
        <v>5.67</v>
      </c>
      <c r="L12" s="0" t="n">
        <v>3616</v>
      </c>
      <c r="M12" s="0" t="n">
        <v>876</v>
      </c>
      <c r="N12" s="0" t="n">
        <v>2740</v>
      </c>
      <c r="O12" s="0" t="n">
        <v>24440</v>
      </c>
      <c r="P12" s="0" t="n">
        <v>54547</v>
      </c>
      <c r="Q12" s="0" t="n">
        <v>26438</v>
      </c>
      <c r="R12" s="0" t="n">
        <v>9749</v>
      </c>
      <c r="S12" s="0" t="n">
        <v>2622</v>
      </c>
      <c r="T12" s="0" t="n">
        <v>565.1</v>
      </c>
      <c r="U12" s="0" t="n">
        <v>161</v>
      </c>
      <c r="AA12" s="0" t="s">
        <v>17</v>
      </c>
      <c r="AB12" s="0" t="s">
        <v>14</v>
      </c>
      <c r="AC12" s="0" t="n">
        <v>3273</v>
      </c>
      <c r="AD12" s="0" t="n">
        <v>28109</v>
      </c>
    </row>
    <row r="13" customFormat="false" ht="15" hidden="false" customHeight="false" outlineLevel="0" collapsed="false">
      <c r="A13" s="0" t="s">
        <v>76</v>
      </c>
      <c r="B13" s="0" t="n">
        <v>34176</v>
      </c>
      <c r="C13" s="0" t="n">
        <v>20300</v>
      </c>
      <c r="D13" s="0" t="n">
        <v>13876</v>
      </c>
      <c r="E13" s="0" t="n">
        <v>40.6</v>
      </c>
      <c r="F13" s="0" t="n">
        <v>4933</v>
      </c>
      <c r="G13" s="0" t="n">
        <v>14.4</v>
      </c>
      <c r="H13" s="0" t="n">
        <v>6415</v>
      </c>
      <c r="I13" s="0" t="n">
        <v>3477</v>
      </c>
      <c r="J13" s="0" t="n">
        <v>10.2</v>
      </c>
      <c r="K13" s="0" t="n">
        <v>6.15</v>
      </c>
      <c r="L13" s="0" t="n">
        <v>4354</v>
      </c>
      <c r="M13" s="0" t="n">
        <v>1093</v>
      </c>
      <c r="N13" s="0" t="n">
        <v>3261</v>
      </c>
      <c r="O13" s="0" t="n">
        <v>25439</v>
      </c>
      <c r="P13" s="0" t="n">
        <v>58368</v>
      </c>
      <c r="Q13" s="0" t="n">
        <v>32274</v>
      </c>
      <c r="R13" s="0" t="n">
        <v>10463</v>
      </c>
      <c r="S13" s="0" t="n">
        <v>3986</v>
      </c>
      <c r="T13" s="0" t="n">
        <v>565.4</v>
      </c>
      <c r="U13" s="0" t="n">
        <v>184</v>
      </c>
      <c r="AA13" s="0" t="s">
        <v>17</v>
      </c>
      <c r="AB13" s="0" t="s">
        <v>14</v>
      </c>
      <c r="AC13" s="0" t="n">
        <v>3536</v>
      </c>
      <c r="AD13" s="0" t="n">
        <v>26094</v>
      </c>
    </row>
    <row r="14" customFormat="false" ht="15" hidden="false" customHeight="false" outlineLevel="0" collapsed="false">
      <c r="A14" s="0" t="s">
        <v>77</v>
      </c>
      <c r="B14" s="0" t="n">
        <v>35902</v>
      </c>
      <c r="C14" s="0" t="n">
        <v>20890</v>
      </c>
      <c r="D14" s="0" t="n">
        <v>15012</v>
      </c>
      <c r="E14" s="0" t="n">
        <v>41.8</v>
      </c>
      <c r="F14" s="0" t="n">
        <v>5933</v>
      </c>
      <c r="G14" s="0" t="n">
        <v>16.5</v>
      </c>
      <c r="H14" s="0" t="n">
        <v>7393</v>
      </c>
      <c r="I14" s="0" t="n">
        <v>4003</v>
      </c>
      <c r="J14" s="0" t="n">
        <v>11.1</v>
      </c>
      <c r="K14" s="0" t="n">
        <v>7.07</v>
      </c>
      <c r="L14" s="0" t="n">
        <v>5907</v>
      </c>
      <c r="M14" s="0" t="n">
        <v>1365</v>
      </c>
      <c r="N14" s="0" t="n">
        <v>4542</v>
      </c>
      <c r="O14" s="0" t="n">
        <v>26462</v>
      </c>
      <c r="P14" s="0" t="n">
        <v>58899</v>
      </c>
      <c r="Q14" s="0" t="n">
        <v>31731</v>
      </c>
      <c r="R14" s="0" t="n">
        <v>13933</v>
      </c>
      <c r="S14" s="0" t="n">
        <v>4696</v>
      </c>
      <c r="T14" s="0" t="n">
        <v>566.2</v>
      </c>
      <c r="U14" s="0" t="n">
        <v>208</v>
      </c>
      <c r="AA14" s="0" t="s">
        <v>17</v>
      </c>
      <c r="AB14" s="0" t="s">
        <v>14</v>
      </c>
      <c r="AC14" s="0" t="n">
        <v>4169</v>
      </c>
      <c r="AD14" s="0" t="n">
        <v>27168</v>
      </c>
    </row>
    <row r="15" customFormat="false" ht="15" hidden="false" customHeight="false" outlineLevel="0" collapsed="false">
      <c r="A15" s="0" t="s">
        <v>78</v>
      </c>
      <c r="B15" s="0" t="n">
        <v>38153</v>
      </c>
      <c r="C15" s="0" t="n">
        <v>21885</v>
      </c>
      <c r="D15" s="0" t="n">
        <v>16268</v>
      </c>
      <c r="E15" s="0" t="n">
        <v>42.6</v>
      </c>
      <c r="F15" s="0" t="n">
        <v>6449</v>
      </c>
      <c r="G15" s="0" t="n">
        <v>16.9</v>
      </c>
      <c r="H15" s="0" t="n">
        <v>7987</v>
      </c>
      <c r="I15" s="0" t="n">
        <v>4269</v>
      </c>
      <c r="J15" s="0" t="n">
        <v>11.2</v>
      </c>
      <c r="K15" s="0" t="n">
        <v>7.53</v>
      </c>
      <c r="L15" s="0" t="n">
        <v>5580</v>
      </c>
      <c r="M15" s="0" t="n">
        <v>1419</v>
      </c>
      <c r="N15" s="0" t="n">
        <v>4161</v>
      </c>
      <c r="O15" s="0" t="n">
        <v>30489</v>
      </c>
      <c r="P15" s="0" t="n">
        <v>65943</v>
      </c>
      <c r="Q15" s="0" t="n">
        <v>34663</v>
      </c>
      <c r="R15" s="0" t="n">
        <v>14831</v>
      </c>
      <c r="S15" s="0" t="n">
        <v>6887</v>
      </c>
      <c r="T15" s="0" t="n">
        <v>566.9</v>
      </c>
      <c r="U15" s="0" t="n">
        <v>233</v>
      </c>
      <c r="AA15" s="0" t="s">
        <v>17</v>
      </c>
      <c r="AB15" s="0" t="s">
        <v>14</v>
      </c>
      <c r="AC15" s="0" t="n">
        <v>4439</v>
      </c>
      <c r="AD15" s="0" t="n">
        <v>31280</v>
      </c>
    </row>
    <row r="16" customFormat="false" ht="15" hidden="false" customHeight="false" outlineLevel="0" collapsed="false">
      <c r="A16" s="0" t="s">
        <v>79</v>
      </c>
      <c r="B16" s="0" t="n">
        <v>40152</v>
      </c>
      <c r="C16" s="0" t="n">
        <v>23257</v>
      </c>
      <c r="D16" s="0" t="n">
        <v>16895</v>
      </c>
      <c r="E16" s="0" t="n">
        <v>42.1</v>
      </c>
      <c r="F16" s="0" t="n">
        <v>6699</v>
      </c>
      <c r="G16" s="0" t="n">
        <v>16.7</v>
      </c>
      <c r="H16" s="0" t="n">
        <v>8351</v>
      </c>
      <c r="I16" s="0" t="n">
        <v>4163</v>
      </c>
      <c r="J16" s="0" t="n">
        <v>10.4</v>
      </c>
      <c r="K16" s="0" t="n">
        <v>7.33</v>
      </c>
      <c r="L16" s="0" t="n">
        <v>6131</v>
      </c>
      <c r="M16" s="0" t="n">
        <v>1543</v>
      </c>
      <c r="N16" s="0" t="n">
        <v>4588</v>
      </c>
      <c r="O16" s="0" t="n">
        <v>24199</v>
      </c>
      <c r="P16" s="0" t="n">
        <v>62504</v>
      </c>
      <c r="Q16" s="0" t="n">
        <v>38049</v>
      </c>
      <c r="R16" s="0" t="n">
        <v>17880</v>
      </c>
      <c r="S16" s="0" t="n">
        <v>4634</v>
      </c>
      <c r="T16" s="0" t="n">
        <v>567.9</v>
      </c>
      <c r="U16" s="0" t="n">
        <v>202</v>
      </c>
      <c r="AA16" s="0" t="s">
        <v>17</v>
      </c>
      <c r="AB16" s="0" t="s">
        <v>14</v>
      </c>
      <c r="AC16" s="0" t="n">
        <v>4351</v>
      </c>
      <c r="AD16" s="0" t="n">
        <v>24455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231.4</v>
      </c>
    </row>
    <row r="3" customFormat="false" ht="15" hidden="false" customHeight="false" outlineLevel="0" collapsed="false">
      <c r="A3" s="0" t="s">
        <v>83</v>
      </c>
      <c r="B3" s="3" t="n">
        <v>564.5</v>
      </c>
    </row>
    <row r="4" customFormat="false" ht="15" hidden="false" customHeight="false" outlineLevel="0" collapsed="false">
      <c r="A4" s="0" t="s">
        <v>84</v>
      </c>
      <c r="B4" s="3" t="n">
        <v>15360</v>
      </c>
    </row>
    <row r="5" customFormat="false" ht="15" hidden="false" customHeight="false" outlineLevel="0" collapsed="false">
      <c r="A5" s="0" t="s">
        <v>85</v>
      </c>
      <c r="B5" s="3" t="n">
        <v>-6120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40152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11</v>
      </c>
      <c r="D13" s="3" t="n">
        <v>2</v>
      </c>
      <c r="E13" s="3" t="n">
        <v>-3</v>
      </c>
      <c r="F13" s="3" t="n">
        <v>1</v>
      </c>
      <c r="G13" s="3" t="n">
        <v>3</v>
      </c>
      <c r="H13" s="3" t="n">
        <v>3.5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104</v>
      </c>
      <c r="C14" s="3" t="n">
        <v>21.6</v>
      </c>
      <c r="D14" s="3" t="n">
        <v>21</v>
      </c>
      <c r="E14" s="3" t="n">
        <v>20.3</v>
      </c>
      <c r="F14" s="3" t="n">
        <v>20.5</v>
      </c>
      <c r="G14" s="3" t="n">
        <v>20.8</v>
      </c>
      <c r="H14" s="3" t="n">
        <v>21</v>
      </c>
      <c r="I14" s="3" t="n">
        <v>21.2</v>
      </c>
      <c r="J14" s="3" t="n">
        <v>21.3</v>
      </c>
      <c r="K14" s="3" t="n">
        <v>21.3</v>
      </c>
      <c r="L14" s="3" t="n">
        <v>21.3</v>
      </c>
    </row>
    <row r="15" customFormat="false" ht="15" hidden="false" customHeight="false" outlineLevel="0" collapsed="false">
      <c r="A15" s="0" t="s">
        <v>105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106</v>
      </c>
      <c r="C16" s="3" t="n">
        <v>0.85</v>
      </c>
      <c r="D16" s="3" t="n">
        <v>0.85</v>
      </c>
      <c r="E16" s="3" t="n">
        <v>0.85</v>
      </c>
      <c r="F16" s="3" t="n">
        <v>0.85</v>
      </c>
      <c r="G16" s="3" t="n">
        <v>0.85</v>
      </c>
      <c r="H16" s="3" t="n">
        <v>0.85</v>
      </c>
      <c r="I16" s="3" t="n">
        <v>0.85</v>
      </c>
      <c r="J16" s="3" t="n">
        <v>0.85</v>
      </c>
      <c r="K16" s="3" t="n">
        <v>0.85</v>
      </c>
      <c r="L16" s="3" t="n">
        <v>0.85</v>
      </c>
    </row>
    <row r="17" customFormat="false" ht="15" hidden="false" customHeight="false" outlineLevel="0" collapsed="false">
      <c r="A17" s="0" t="s">
        <v>107</v>
      </c>
      <c r="C17" s="3" t="n">
        <v>3.4</v>
      </c>
      <c r="D17" s="3" t="n">
        <v>3.4</v>
      </c>
      <c r="E17" s="3" t="n">
        <v>3.45</v>
      </c>
      <c r="F17" s="3" t="n">
        <v>3.45</v>
      </c>
      <c r="G17" s="3" t="n">
        <v>3.4</v>
      </c>
      <c r="H17" s="3" t="n">
        <v>3.4</v>
      </c>
      <c r="I17" s="3" t="n">
        <v>3.35</v>
      </c>
      <c r="J17" s="3" t="n">
        <v>3.35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108</v>
      </c>
      <c r="C18" s="3" t="n">
        <v>3.9</v>
      </c>
      <c r="D18" s="3" t="n">
        <v>3.7</v>
      </c>
      <c r="E18" s="3" t="n">
        <v>3.4</v>
      </c>
      <c r="F18" s="3" t="n">
        <v>3.4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109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110</v>
      </c>
      <c r="B20" s="3" t="n">
        <v>7.5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20</v>
      </c>
    </row>
    <row r="23" customFormat="false" ht="15" hidden="false" customHeight="false" outlineLevel="0" collapsed="false">
      <c r="A23" s="0" t="s">
        <v>113</v>
      </c>
      <c r="B23" s="3" t="n">
        <v>-5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12</v>
      </c>
      <c r="D27" s="3" t="n">
        <v>8</v>
      </c>
      <c r="E27" s="3" t="n">
        <v>7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22</v>
      </c>
      <c r="D28" s="3" t="n">
        <v>22.4</v>
      </c>
      <c r="E28" s="3" t="n">
        <v>22.8</v>
      </c>
      <c r="F28" s="3" t="n">
        <v>23.1</v>
      </c>
      <c r="G28" s="3" t="n">
        <v>23.3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105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106</v>
      </c>
      <c r="C30" s="3" t="n">
        <v>0.85</v>
      </c>
      <c r="D30" s="3" t="n">
        <v>0.85</v>
      </c>
      <c r="E30" s="3" t="n">
        <v>0.85</v>
      </c>
      <c r="F30" s="3" t="n">
        <v>0.85</v>
      </c>
      <c r="G30" s="3" t="n">
        <v>0.85</v>
      </c>
      <c r="H30" s="3" t="n">
        <v>0.85</v>
      </c>
      <c r="I30" s="3" t="n">
        <v>0.85</v>
      </c>
      <c r="J30" s="3" t="n">
        <v>0.85</v>
      </c>
      <c r="K30" s="3" t="n">
        <v>0.85</v>
      </c>
      <c r="L30" s="3" t="n">
        <v>0.85</v>
      </c>
    </row>
    <row r="31" customFormat="false" ht="15" hidden="false" customHeight="false" outlineLevel="0" collapsed="false">
      <c r="A31" s="0" t="s">
        <v>107</v>
      </c>
      <c r="C31" s="3" t="n">
        <v>3.4</v>
      </c>
      <c r="D31" s="3" t="n">
        <v>3.4</v>
      </c>
      <c r="E31" s="3" t="n">
        <v>3.4</v>
      </c>
      <c r="F31" s="3" t="n">
        <v>3.35</v>
      </c>
      <c r="G31" s="3" t="n">
        <v>3.35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108</v>
      </c>
      <c r="C32" s="3" t="n">
        <v>3.9</v>
      </c>
      <c r="D32" s="3" t="n">
        <v>3.9</v>
      </c>
      <c r="E32" s="3" t="n">
        <v>3.8</v>
      </c>
      <c r="F32" s="3" t="n">
        <v>3.8</v>
      </c>
      <c r="G32" s="3" t="n">
        <v>3.7</v>
      </c>
      <c r="H32" s="3" t="n">
        <v>3.7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109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110</v>
      </c>
      <c r="B34" s="3" t="n">
        <v>7.5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20</v>
      </c>
    </row>
    <row r="37" customFormat="false" ht="15" hidden="false" customHeight="false" outlineLevel="0" collapsed="false">
      <c r="A37" s="0" t="s">
        <v>113</v>
      </c>
      <c r="B37" s="3" t="n">
        <v>-8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13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22.2</v>
      </c>
      <c r="D42" s="3" t="n">
        <v>22.9</v>
      </c>
      <c r="E42" s="3" t="n">
        <v>23.5</v>
      </c>
      <c r="F42" s="3" t="n">
        <v>24</v>
      </c>
      <c r="G42" s="3" t="n">
        <v>24.4</v>
      </c>
      <c r="H42" s="3" t="n">
        <v>24.7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105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106</v>
      </c>
      <c r="C44" s="3" t="n">
        <v>0.85</v>
      </c>
      <c r="D44" s="3" t="n">
        <v>0.85</v>
      </c>
      <c r="E44" s="3" t="n">
        <v>0.85</v>
      </c>
      <c r="F44" s="3" t="n">
        <v>0.85</v>
      </c>
      <c r="G44" s="3" t="n">
        <v>0.85</v>
      </c>
      <c r="H44" s="3" t="n">
        <v>0.85</v>
      </c>
      <c r="I44" s="3" t="n">
        <v>0.85</v>
      </c>
      <c r="J44" s="3" t="n">
        <v>0.85</v>
      </c>
      <c r="K44" s="3" t="n">
        <v>0.85</v>
      </c>
      <c r="L44" s="3" t="n">
        <v>0.85</v>
      </c>
    </row>
    <row r="45" customFormat="false" ht="15" hidden="false" customHeight="false" outlineLevel="0" collapsed="false">
      <c r="A45" s="0" t="s">
        <v>107</v>
      </c>
      <c r="C45" s="3" t="n">
        <v>3.4</v>
      </c>
      <c r="D45" s="3" t="n">
        <v>3.4</v>
      </c>
      <c r="E45" s="3" t="n">
        <v>3.4</v>
      </c>
      <c r="F45" s="3" t="n">
        <v>3.35</v>
      </c>
      <c r="G45" s="3" t="n">
        <v>3.35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108</v>
      </c>
      <c r="C46" s="3" t="n">
        <v>4</v>
      </c>
      <c r="D46" s="3" t="n">
        <v>4</v>
      </c>
      <c r="E46" s="3" t="n">
        <v>3.9</v>
      </c>
      <c r="F46" s="3" t="n">
        <v>3.9</v>
      </c>
      <c r="G46" s="3" t="n">
        <v>3.8</v>
      </c>
      <c r="H46" s="3" t="n">
        <v>3.8</v>
      </c>
      <c r="I46" s="3" t="n">
        <v>3.7</v>
      </c>
      <c r="J46" s="3" t="n">
        <v>3.7</v>
      </c>
      <c r="K46" s="3" t="n">
        <v>3.7</v>
      </c>
      <c r="L46" s="3" t="n">
        <v>3.7</v>
      </c>
    </row>
    <row r="47" customFormat="false" ht="15" hidden="false" customHeight="false" outlineLevel="0" collapsed="false">
      <c r="A47" s="0" t="s">
        <v>109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110</v>
      </c>
      <c r="B48" s="3" t="n">
        <v>7.5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20</v>
      </c>
    </row>
    <row r="51" customFormat="false" ht="15" hidden="false" customHeight="false" outlineLevel="0" collapsed="false">
      <c r="A51" s="0" t="s">
        <v>113</v>
      </c>
      <c r="B51" s="3" t="n">
        <v>-8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11</v>
      </c>
      <c r="D5" s="4" t="n">
        <f aca="false">Assumptions!D13</f>
        <v>2</v>
      </c>
      <c r="E5" s="4" t="n">
        <f aca="false">Assumptions!E13</f>
        <v>-3</v>
      </c>
      <c r="F5" s="4" t="n">
        <f aca="false">Assumptions!F13</f>
        <v>1</v>
      </c>
      <c r="G5" s="4" t="n">
        <f aca="false">Assumptions!G13</f>
        <v>3</v>
      </c>
      <c r="H5" s="4" t="n">
        <f aca="false">Assumptions!H13</f>
        <v>3.5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40152</v>
      </c>
      <c r="C6" s="0" t="n">
        <f aca="false">B6*(1+C5/100)</f>
        <v>44568.72</v>
      </c>
      <c r="D6" s="0" t="n">
        <f aca="false">C6*(1+D5/100)</f>
        <v>45460.0944</v>
      </c>
      <c r="E6" s="0" t="n">
        <f aca="false">D6*(1+E5/100)</f>
        <v>44096.291568</v>
      </c>
      <c r="F6" s="0" t="n">
        <f aca="false">E6*(1+F5/100)</f>
        <v>44537.25448368</v>
      </c>
      <c r="G6" s="0" t="n">
        <f aca="false">F6*(1+G5/100)</f>
        <v>45873.3721181904</v>
      </c>
      <c r="H6" s="0" t="n">
        <f aca="false">G6*(1+H5/100)</f>
        <v>47478.9401423271</v>
      </c>
      <c r="I6" s="0" t="n">
        <f aca="false">H6*(1+I5/100)</f>
        <v>49140.7030473085</v>
      </c>
      <c r="J6" s="0" t="n">
        <f aca="false">I6*(1+J5/100)</f>
        <v>50614.9241387278</v>
      </c>
      <c r="K6" s="0" t="n">
        <f aca="false">J6*(1+K5/100)</f>
        <v>52133.3718628896</v>
      </c>
      <c r="L6" s="0" t="n">
        <f aca="false">K6*(1+L5/100)</f>
        <v>53436.7061594618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21.6</v>
      </c>
      <c r="D7" s="4" t="n">
        <f aca="false">Assumptions!D14</f>
        <v>21</v>
      </c>
      <c r="E7" s="4" t="n">
        <f aca="false">Assumptions!E14</f>
        <v>20.3</v>
      </c>
      <c r="F7" s="4" t="n">
        <f aca="false">Assumptions!F14</f>
        <v>20.5</v>
      </c>
      <c r="G7" s="4" t="n">
        <f aca="false">Assumptions!G14</f>
        <v>20.8</v>
      </c>
      <c r="H7" s="4" t="n">
        <f aca="false">Assumptions!H14</f>
        <v>21</v>
      </c>
      <c r="I7" s="4" t="n">
        <f aca="false">Assumptions!I14</f>
        <v>21.2</v>
      </c>
      <c r="J7" s="4" t="n">
        <f aca="false">Assumptions!J14</f>
        <v>21.3</v>
      </c>
      <c r="K7" s="4" t="n">
        <f aca="false">Assumptions!K14</f>
        <v>21.3</v>
      </c>
      <c r="L7" s="4" t="n">
        <f aca="false">Assumptions!L14</f>
        <v>21.3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9626.84352</v>
      </c>
      <c r="D8" s="0" t="n">
        <f aca="false">D6*D7/100</f>
        <v>9546.619824</v>
      </c>
      <c r="E8" s="0" t="n">
        <f aca="false">E6*E7/100</f>
        <v>8951.547188304</v>
      </c>
      <c r="F8" s="0" t="n">
        <f aca="false">F6*F7/100</f>
        <v>9130.1371691544</v>
      </c>
      <c r="G8" s="0" t="n">
        <f aca="false">G6*G7/100</f>
        <v>9541.6614005836</v>
      </c>
      <c r="H8" s="0" t="n">
        <f aca="false">H6*H7/100</f>
        <v>9970.57742988868</v>
      </c>
      <c r="I8" s="0" t="n">
        <f aca="false">I6*I7/100</f>
        <v>10417.8290460294</v>
      </c>
      <c r="J8" s="0" t="n">
        <f aca="false">J6*J7/100</f>
        <v>10780.978841549</v>
      </c>
      <c r="K8" s="0" t="n">
        <f aca="false">K6*K7/100</f>
        <v>11104.4082067955</v>
      </c>
      <c r="L8" s="0" t="n">
        <f aca="false">L6*L7/100</f>
        <v>11382.0184119654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-245.12796</v>
      </c>
      <c r="D10" s="0" t="n">
        <f aca="false">-D6*D9/100</f>
        <v>-250.0305192</v>
      </c>
      <c r="E10" s="0" t="n">
        <f aca="false">-E6*E9/100</f>
        <v>-242.529603624</v>
      </c>
      <c r="F10" s="0" t="n">
        <f aca="false">-F6*F9/100</f>
        <v>-244.95489966024</v>
      </c>
      <c r="G10" s="0" t="n">
        <f aca="false">-G6*G9/100</f>
        <v>-252.303546650047</v>
      </c>
      <c r="H10" s="0" t="n">
        <f aca="false">-H6*H9/100</f>
        <v>-261.134170782799</v>
      </c>
      <c r="I10" s="0" t="n">
        <f aca="false">-I6*I9/100</f>
        <v>-270.273866760197</v>
      </c>
      <c r="J10" s="0" t="n">
        <f aca="false">-J6*J9/100</f>
        <v>-278.382082763003</v>
      </c>
      <c r="K10" s="0" t="n">
        <f aca="false">-K6*K9/100</f>
        <v>-286.733545245893</v>
      </c>
      <c r="L10" s="0" t="n">
        <f aca="false">-L6*L9/100</f>
        <v>-293.90188387704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9002.88144</v>
      </c>
      <c r="D11" s="0" t="n">
        <f aca="false">D8+D10+D24</f>
        <v>8910.1785024</v>
      </c>
      <c r="E11" s="0" t="n">
        <f aca="false">E8+E10+E24</f>
        <v>8334.199106352</v>
      </c>
      <c r="F11" s="0" t="n">
        <f aca="false">F8+F10+F24</f>
        <v>8506.61560638288</v>
      </c>
      <c r="G11" s="0" t="n">
        <f aca="false">G8+G10+G24</f>
        <v>8899.43419092894</v>
      </c>
      <c r="H11" s="0" t="n">
        <f aca="false">H8+H10+H24</f>
        <v>9305.8722678961</v>
      </c>
      <c r="I11" s="0" t="n">
        <f aca="false">I8+I10+I24</f>
        <v>9729.85920336708</v>
      </c>
      <c r="J11" s="0" t="n">
        <f aca="false">J8+J10+J24</f>
        <v>10072.3699036068</v>
      </c>
      <c r="K11" s="0" t="n">
        <f aca="false">K8+K10+K24</f>
        <v>10374.541000715</v>
      </c>
      <c r="L11" s="0" t="n">
        <f aca="false">L8+L10+L24</f>
        <v>10633.9045257329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-1515.33648</v>
      </c>
      <c r="D12" s="4" t="n">
        <f aca="false">-D6*Assumptions!D17/100</f>
        <v>-1545.6432096</v>
      </c>
      <c r="E12" s="4" t="n">
        <f aca="false">-E6*Assumptions!E17/100</f>
        <v>-1521.322059096</v>
      </c>
      <c r="F12" s="4" t="n">
        <f aca="false">-F6*Assumptions!F17/100</f>
        <v>-1536.53527968696</v>
      </c>
      <c r="G12" s="4" t="n">
        <f aca="false">-G6*Assumptions!G17/100</f>
        <v>-1559.69465201847</v>
      </c>
      <c r="H12" s="4" t="n">
        <f aca="false">-H6*Assumptions!H17/100</f>
        <v>-1614.28396483912</v>
      </c>
      <c r="I12" s="4" t="n">
        <f aca="false">-I6*Assumptions!I17/100</f>
        <v>-1646.21355208483</v>
      </c>
      <c r="J12" s="4" t="n">
        <f aca="false">-J6*Assumptions!J17/100</f>
        <v>-1695.59995864738</v>
      </c>
      <c r="K12" s="4" t="n">
        <f aca="false">-K6*Assumptions!K17/100</f>
        <v>-1720.40127147536</v>
      </c>
      <c r="L12" s="4" t="n">
        <f aca="false">-L6*Assumptions!L17/100</f>
        <v>-1763.41130326224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7487.54496</v>
      </c>
      <c r="D13" s="0" t="n">
        <f aca="false">D11+D12</f>
        <v>7364.5352928</v>
      </c>
      <c r="E13" s="0" t="n">
        <f aca="false">E11+E12</f>
        <v>6812.877047256</v>
      </c>
      <c r="F13" s="0" t="n">
        <f aca="false">F11+F12</f>
        <v>6970.08032669592</v>
      </c>
      <c r="G13" s="0" t="n">
        <f aca="false">G11+G12</f>
        <v>7339.73953891046</v>
      </c>
      <c r="H13" s="0" t="n">
        <f aca="false">H11+H12</f>
        <v>7691.58830305698</v>
      </c>
      <c r="I13" s="0" t="n">
        <f aca="false">I11+I12</f>
        <v>8083.64565128225</v>
      </c>
      <c r="J13" s="0" t="n">
        <f aca="false">J11+J12</f>
        <v>8376.76994495944</v>
      </c>
      <c r="K13" s="0" t="n">
        <f aca="false">K11+K12</f>
        <v>8654.13972923967</v>
      </c>
      <c r="L13" s="0" t="n">
        <f aca="false">L11+L12</f>
        <v>8870.49322247066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5690.5341696</v>
      </c>
      <c r="D15" s="0" t="n">
        <f aca="false">D13-MAX(0,D13)*D14/100</f>
        <v>5597.046822528</v>
      </c>
      <c r="E15" s="0" t="n">
        <f aca="false">E13-MAX(0,E13)*E14/100</f>
        <v>5177.78655591456</v>
      </c>
      <c r="F15" s="0" t="n">
        <f aca="false">F13-MAX(0,F13)*F14/100</f>
        <v>5297.2610482889</v>
      </c>
      <c r="G15" s="0" t="n">
        <f aca="false">G13-MAX(0,G13)*G14/100</f>
        <v>5578.20204957195</v>
      </c>
      <c r="H15" s="0" t="n">
        <f aca="false">H13-MAX(0,H13)*H14/100</f>
        <v>5845.60711032331</v>
      </c>
      <c r="I15" s="0" t="n">
        <f aca="false">I13-MAX(0,I13)*I14/100</f>
        <v>6143.57069497451</v>
      </c>
      <c r="J15" s="0" t="n">
        <f aca="false">J13-MAX(0,J13)*J14/100</f>
        <v>6366.34515816918</v>
      </c>
      <c r="K15" s="0" t="n">
        <f aca="false">K13-MAX(0,K13)*K14/100</f>
        <v>6577.14619422215</v>
      </c>
      <c r="L15" s="0" t="n">
        <f aca="false">L13-MAX(0,L13)*L14/100</f>
        <v>6741.5748490777</v>
      </c>
    </row>
    <row r="16" customFormat="false" ht="15" hidden="false" customHeight="false" outlineLevel="0" collapsed="false">
      <c r="A16" s="0" t="s">
        <v>125</v>
      </c>
      <c r="C16" s="0" t="n">
        <f aca="false">-C12</f>
        <v>1515.33648</v>
      </c>
      <c r="D16" s="0" t="n">
        <f aca="false">-D12</f>
        <v>1545.6432096</v>
      </c>
      <c r="E16" s="0" t="n">
        <f aca="false">-E12</f>
        <v>1521.322059096</v>
      </c>
      <c r="F16" s="0" t="n">
        <f aca="false">-F12</f>
        <v>1536.53527968696</v>
      </c>
      <c r="G16" s="0" t="n">
        <f aca="false">-G12</f>
        <v>1559.69465201847</v>
      </c>
      <c r="H16" s="0" t="n">
        <f aca="false">-H12</f>
        <v>1614.28396483912</v>
      </c>
      <c r="I16" s="0" t="n">
        <f aca="false">-I12</f>
        <v>1646.21355208483</v>
      </c>
      <c r="J16" s="0" t="n">
        <f aca="false">-J12</f>
        <v>1695.59995864738</v>
      </c>
      <c r="K16" s="0" t="n">
        <f aca="false">-K12</f>
        <v>1720.40127147536</v>
      </c>
      <c r="L16" s="0" t="n">
        <f aca="false">-L12</f>
        <v>1763.41130326224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-1738.18008</v>
      </c>
      <c r="D17" s="4" t="n">
        <f aca="false">-D6*Assumptions!D18/100</f>
        <v>-1682.0234928</v>
      </c>
      <c r="E17" s="4" t="n">
        <f aca="false">-E6*Assumptions!E18/100</f>
        <v>-1499.273913312</v>
      </c>
      <c r="F17" s="4" t="n">
        <f aca="false">-F6*Assumptions!F18/100</f>
        <v>-1514.26665244512</v>
      </c>
      <c r="G17" s="4" t="n">
        <f aca="false">-G6*Assumptions!G18/100</f>
        <v>-1605.56802413666</v>
      </c>
      <c r="H17" s="4" t="n">
        <f aca="false">-H6*Assumptions!H18/100</f>
        <v>-1661.76290498145</v>
      </c>
      <c r="I17" s="4" t="n">
        <f aca="false">-I6*Assumptions!I18/100</f>
        <v>-1719.9246066558</v>
      </c>
      <c r="J17" s="4" t="n">
        <f aca="false">-J6*Assumptions!J18/100</f>
        <v>-1771.52234485547</v>
      </c>
      <c r="K17" s="4" t="n">
        <f aca="false">-K6*Assumptions!K18/100</f>
        <v>-1824.66801520114</v>
      </c>
      <c r="L17" s="4" t="n">
        <f aca="false">-L6*Assumptions!L18/100</f>
        <v>-1870.28471558116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-220.836</v>
      </c>
      <c r="D18" s="4" t="n">
        <f aca="false">(D6-C6)*Assumptions!$B$23/100</f>
        <v>-44.56872</v>
      </c>
      <c r="E18" s="4" t="n">
        <f aca="false">(E6-D6)*Assumptions!$B$23/100</f>
        <v>68.1901416000001</v>
      </c>
      <c r="F18" s="4" t="n">
        <f aca="false">(F6-E6)*Assumptions!$B$23/100</f>
        <v>-22.048145784</v>
      </c>
      <c r="G18" s="4" t="n">
        <f aca="false">(G6-F6)*Assumptions!$B$23/100</f>
        <v>-66.8058817255202</v>
      </c>
      <c r="H18" s="4" t="n">
        <f aca="false">(H6-G6)*Assumptions!$B$23/100</f>
        <v>-80.2784012068329</v>
      </c>
      <c r="I18" s="4" t="n">
        <f aca="false">(I6-H6)*Assumptions!$B$23/100</f>
        <v>-83.0881452490721</v>
      </c>
      <c r="J18" s="4" t="n">
        <f aca="false">(J6-I6)*Assumptions!$B$23/100</f>
        <v>-73.7110545709627</v>
      </c>
      <c r="K18" s="4" t="n">
        <f aca="false">(K6-J6)*Assumptions!$B$23/100</f>
        <v>-75.9223862080919</v>
      </c>
      <c r="L18" s="4" t="n">
        <f aca="false">(L6-K6)*Assumptions!$B$23/100</f>
        <v>-65.1667148286117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5246.8545696</v>
      </c>
      <c r="D19" s="0" t="n">
        <f aca="false">D15+D16+D17+D18</f>
        <v>5416.097819328</v>
      </c>
      <c r="E19" s="0" t="n">
        <f aca="false">E15+E16+E17+E18</f>
        <v>5268.02484329856</v>
      </c>
      <c r="F19" s="0" t="n">
        <f aca="false">F15+F16+F17+F18</f>
        <v>5297.48152974674</v>
      </c>
      <c r="G19" s="0" t="n">
        <f aca="false">G15+G16+G17+G18</f>
        <v>5465.52279572824</v>
      </c>
      <c r="H19" s="0" t="n">
        <f aca="false">H15+H16+H17+H18</f>
        <v>5717.84976897415</v>
      </c>
      <c r="I19" s="0" t="n">
        <f aca="false">I15+I16+I17+I18</f>
        <v>5986.77149515447</v>
      </c>
      <c r="J19" s="0" t="n">
        <f aca="false">J15+J16+J17+J18</f>
        <v>6216.71171739012</v>
      </c>
      <c r="K19" s="0" t="n">
        <f aca="false">K15+K16+K17+K18</f>
        <v>6396.95706428828</v>
      </c>
      <c r="L19" s="0" t="n">
        <f aca="false">L15+L16+L17+L18</f>
        <v>6569.53472193017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4880.79494846512</v>
      </c>
      <c r="D21" s="0" t="n">
        <f aca="false">D19*D20</f>
        <v>4686.72607405344</v>
      </c>
      <c r="E21" s="0" t="n">
        <f aca="false">E19*E20</f>
        <v>4240.55227805235</v>
      </c>
      <c r="F21" s="0" t="n">
        <f aca="false">F19*F20</f>
        <v>3966.75697595492</v>
      </c>
      <c r="G21" s="0" t="n">
        <f aca="false">G19*G20</f>
        <v>3807.05708367085</v>
      </c>
      <c r="H21" s="0" t="n">
        <f aca="false">H19*H20</f>
        <v>3704.94661866052</v>
      </c>
      <c r="I21" s="0" t="n">
        <f aca="false">I19*I20</f>
        <v>3608.55585926011</v>
      </c>
      <c r="J21" s="0" t="n">
        <f aca="false">J19*J20</f>
        <v>3485.72414430344</v>
      </c>
      <c r="K21" s="0" t="n">
        <f aca="false">K19*K20</f>
        <v>3336.54708173767</v>
      </c>
      <c r="L21" s="0" t="n">
        <f aca="false">L19*L20</f>
        <v>3187.49835884617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0.85</v>
      </c>
      <c r="D23" s="4" t="n">
        <f aca="false">Assumptions!D16</f>
        <v>0.85</v>
      </c>
      <c r="E23" s="4" t="n">
        <f aca="false">Assumptions!E16</f>
        <v>0.85</v>
      </c>
      <c r="F23" s="4" t="n">
        <f aca="false">Assumptions!F16</f>
        <v>0.85</v>
      </c>
      <c r="G23" s="4" t="n">
        <f aca="false">Assumptions!G16</f>
        <v>0.85</v>
      </c>
      <c r="H23" s="4" t="n">
        <f aca="false">Assumptions!H16</f>
        <v>0.85</v>
      </c>
      <c r="I23" s="4" t="n">
        <f aca="false">Assumptions!I16</f>
        <v>0.85</v>
      </c>
      <c r="J23" s="4" t="n">
        <f aca="false">Assumptions!J16</f>
        <v>0.85</v>
      </c>
      <c r="K23" s="4" t="n">
        <f aca="false">Assumptions!K16</f>
        <v>0.85</v>
      </c>
      <c r="L23" s="4" t="n">
        <f aca="false">Assumptions!L16</f>
        <v>0.85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-378.83412</v>
      </c>
      <c r="D24" s="0" t="n">
        <f aca="false">-D6*D23/100</f>
        <v>-386.4108024</v>
      </c>
      <c r="E24" s="0" t="n">
        <f aca="false">-E6*E23/100</f>
        <v>-374.818478328</v>
      </c>
      <c r="F24" s="0" t="n">
        <f aca="false">-F6*F23/100</f>
        <v>-378.56666311128</v>
      </c>
      <c r="G24" s="0" t="n">
        <f aca="false">-G6*G23/100</f>
        <v>-389.923663004618</v>
      </c>
      <c r="H24" s="0" t="n">
        <f aca="false">-H6*H23/100</f>
        <v>-403.57099120978</v>
      </c>
      <c r="I24" s="0" t="n">
        <f aca="false">-I6*I23/100</f>
        <v>-417.695975902122</v>
      </c>
      <c r="J24" s="0" t="n">
        <f aca="false">-J6*J23/100</f>
        <v>-430.226855179186</v>
      </c>
      <c r="K24" s="0" t="n">
        <f aca="false">-K6*K23/100</f>
        <v>-443.133660834562</v>
      </c>
      <c r="L24" s="0" t="n">
        <f aca="false">-L6*L23/100</f>
        <v>-454.212002355426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38905.1594230046</v>
      </c>
    </row>
    <row r="31" customFormat="false" ht="15" hidden="false" customHeight="false" outlineLevel="0" collapsed="false">
      <c r="A31" s="0" t="s">
        <v>134</v>
      </c>
      <c r="B31" s="0" t="n">
        <f aca="false">L19</f>
        <v>6569.53472193017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121835.007570341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131390.694438603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121835.007570341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59113.6059276926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98018.7653506971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76538.7653506971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135.586829673511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-0.414058644453279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1779.13704654826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2644.57086845404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143.423336165987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51545.5801259136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34.2361287941396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12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40152</v>
      </c>
      <c r="C6" s="0" t="n">
        <f aca="false">B6*(1+C5/100)</f>
        <v>44970.24</v>
      </c>
      <c r="D6" s="0" t="n">
        <f aca="false">C6*(1+D5/100)</f>
        <v>48567.8592</v>
      </c>
      <c r="E6" s="0" t="n">
        <f aca="false">D6*(1+E5/100)</f>
        <v>51967.609344</v>
      </c>
      <c r="F6" s="0" t="n">
        <f aca="false">E6*(1+F5/100)</f>
        <v>55085.66590464</v>
      </c>
      <c r="G6" s="0" t="n">
        <f aca="false">F6*(1+G5/100)</f>
        <v>58115.3775293952</v>
      </c>
      <c r="H6" s="0" t="n">
        <f aca="false">G6*(1+H5/100)</f>
        <v>61021.146405865</v>
      </c>
      <c r="I6" s="0" t="n">
        <f aca="false">H6*(1+I5/100)</f>
        <v>63767.0979941289</v>
      </c>
      <c r="J6" s="0" t="n">
        <f aca="false">I6*(1+J5/100)</f>
        <v>66317.7819138941</v>
      </c>
      <c r="K6" s="0" t="n">
        <f aca="false">J6*(1+K5/100)</f>
        <v>68638.9042808803</v>
      </c>
      <c r="L6" s="0" t="n">
        <f aca="false">K6*(1+L5/100)</f>
        <v>70698.0714093068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22</v>
      </c>
      <c r="D7" s="4" t="n">
        <f aca="false">Assumptions!D28</f>
        <v>22.4</v>
      </c>
      <c r="E7" s="4" t="n">
        <f aca="false">Assumptions!E28</f>
        <v>22.8</v>
      </c>
      <c r="F7" s="4" t="n">
        <f aca="false">Assumptions!F28</f>
        <v>23.1</v>
      </c>
      <c r="G7" s="4" t="n">
        <f aca="false">Assumptions!G28</f>
        <v>23.3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9893.4528</v>
      </c>
      <c r="D8" s="0" t="n">
        <f aca="false">D6*D7/100</f>
        <v>10879.2004608</v>
      </c>
      <c r="E8" s="0" t="n">
        <f aca="false">E6*E7/100</f>
        <v>11848.614930432</v>
      </c>
      <c r="F8" s="0" t="n">
        <f aca="false">F6*F7/100</f>
        <v>12724.7888239718</v>
      </c>
      <c r="G8" s="0" t="n">
        <f aca="false">G6*G7/100</f>
        <v>13540.8829643491</v>
      </c>
      <c r="H8" s="0" t="n">
        <f aca="false">H6*H7/100</f>
        <v>14339.9694053783</v>
      </c>
      <c r="I8" s="0" t="n">
        <f aca="false">I6*I7/100</f>
        <v>14985.2680286203</v>
      </c>
      <c r="J8" s="0" t="n">
        <f aca="false">J6*J7/100</f>
        <v>15584.6787497651</v>
      </c>
      <c r="K8" s="0" t="n">
        <f aca="false">K6*K7/100</f>
        <v>16130.1425060069</v>
      </c>
      <c r="L8" s="0" t="n">
        <f aca="false">L6*L7/100</f>
        <v>16614.0467811871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-247.33632</v>
      </c>
      <c r="D10" s="0" t="n">
        <f aca="false">-D6*D9/100</f>
        <v>-267.1232256</v>
      </c>
      <c r="E10" s="0" t="n">
        <f aca="false">-E6*E9/100</f>
        <v>-285.821851392</v>
      </c>
      <c r="F10" s="0" t="n">
        <f aca="false">-F6*F9/100</f>
        <v>-302.97116247552</v>
      </c>
      <c r="G10" s="0" t="n">
        <f aca="false">-G6*G9/100</f>
        <v>-319.634576411674</v>
      </c>
      <c r="H10" s="0" t="n">
        <f aca="false">-H6*H9/100</f>
        <v>-335.616305232257</v>
      </c>
      <c r="I10" s="0" t="n">
        <f aca="false">-I6*I9/100</f>
        <v>-350.719038967709</v>
      </c>
      <c r="J10" s="0" t="n">
        <f aca="false">-J6*J9/100</f>
        <v>-364.747800526417</v>
      </c>
      <c r="K10" s="0" t="n">
        <f aca="false">-K6*K9/100</f>
        <v>-377.513973544842</v>
      </c>
      <c r="L10" s="0" t="n">
        <f aca="false">-L6*L9/100</f>
        <v>-388.839392751187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9263.86944</v>
      </c>
      <c r="D11" s="0" t="n">
        <f aca="false">D8+D10+D24</f>
        <v>10199.250432</v>
      </c>
      <c r="E11" s="0" t="n">
        <f aca="false">E8+E10+E24</f>
        <v>11121.068399616</v>
      </c>
      <c r="F11" s="0" t="n">
        <f aca="false">F8+F10+F24</f>
        <v>11953.5895013069</v>
      </c>
      <c r="G11" s="0" t="n">
        <f aca="false">G8+G10+G24</f>
        <v>12727.2676789376</v>
      </c>
      <c r="H11" s="0" t="n">
        <f aca="false">H8+H10+H24</f>
        <v>13485.6733556962</v>
      </c>
      <c r="I11" s="0" t="n">
        <f aca="false">I8+I10+I24</f>
        <v>14092.5286567025</v>
      </c>
      <c r="J11" s="0" t="n">
        <f aca="false">J8+J10+J24</f>
        <v>14656.2298029706</v>
      </c>
      <c r="K11" s="0" t="n">
        <f aca="false">K8+K10+K24</f>
        <v>15169.1978460746</v>
      </c>
      <c r="L11" s="0" t="n">
        <f aca="false">L8+L10+L24</f>
        <v>15624.2737814568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-1528.98816</v>
      </c>
      <c r="D12" s="4" t="n">
        <f aca="false">-D6*Assumptions!D31/100</f>
        <v>-1651.3072128</v>
      </c>
      <c r="E12" s="4" t="n">
        <f aca="false">-E6*Assumptions!E31/100</f>
        <v>-1766.898717696</v>
      </c>
      <c r="F12" s="4" t="n">
        <f aca="false">-F6*Assumptions!F31/100</f>
        <v>-1845.36980780544</v>
      </c>
      <c r="G12" s="4" t="n">
        <f aca="false">-G6*Assumptions!G31/100</f>
        <v>-1946.86514723474</v>
      </c>
      <c r="H12" s="4" t="n">
        <f aca="false">-H6*Assumptions!H31/100</f>
        <v>-2013.69783139354</v>
      </c>
      <c r="I12" s="4" t="n">
        <f aca="false">-I6*Assumptions!I31/100</f>
        <v>-2104.31423380625</v>
      </c>
      <c r="J12" s="4" t="n">
        <f aca="false">-J6*Assumptions!J31/100</f>
        <v>-2188.4868031585</v>
      </c>
      <c r="K12" s="4" t="n">
        <f aca="false">-K6*Assumptions!K31/100</f>
        <v>-2265.08384126905</v>
      </c>
      <c r="L12" s="4" t="n">
        <f aca="false">-L6*Assumptions!L31/100</f>
        <v>-2333.03635650712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7734.88128</v>
      </c>
      <c r="D13" s="0" t="n">
        <f aca="false">D11+D12</f>
        <v>8547.9432192</v>
      </c>
      <c r="E13" s="0" t="n">
        <f aca="false">E11+E12</f>
        <v>9354.16968192</v>
      </c>
      <c r="F13" s="0" t="n">
        <f aca="false">F11+F12</f>
        <v>10108.2196935014</v>
      </c>
      <c r="G13" s="0" t="n">
        <f aca="false">G11+G12</f>
        <v>10780.4025317028</v>
      </c>
      <c r="H13" s="0" t="n">
        <f aca="false">H11+H12</f>
        <v>11471.9755243026</v>
      </c>
      <c r="I13" s="0" t="n">
        <f aca="false">I11+I12</f>
        <v>11988.2144228962</v>
      </c>
      <c r="J13" s="0" t="n">
        <f aca="false">J11+J12</f>
        <v>12467.7429998121</v>
      </c>
      <c r="K13" s="0" t="n">
        <f aca="false">K11+K12</f>
        <v>12904.1140048055</v>
      </c>
      <c r="L13" s="0" t="n">
        <f aca="false">L11+L12</f>
        <v>13291.2374249497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5878.5097728</v>
      </c>
      <c r="D15" s="0" t="n">
        <f aca="false">D13-MAX(0,D13)*D14/100</f>
        <v>6496.436846592</v>
      </c>
      <c r="E15" s="0" t="n">
        <f aca="false">E13-MAX(0,E13)*E14/100</f>
        <v>7109.1689582592</v>
      </c>
      <c r="F15" s="0" t="n">
        <f aca="false">F13-MAX(0,F13)*F14/100</f>
        <v>7682.2469670611</v>
      </c>
      <c r="G15" s="0" t="n">
        <f aca="false">G13-MAX(0,G13)*G14/100</f>
        <v>8193.10592409414</v>
      </c>
      <c r="H15" s="0" t="n">
        <f aca="false">H13-MAX(0,H13)*H14/100</f>
        <v>8718.70139846999</v>
      </c>
      <c r="I15" s="0" t="n">
        <f aca="false">I13-MAX(0,I13)*I14/100</f>
        <v>9111.04296140114</v>
      </c>
      <c r="J15" s="0" t="n">
        <f aca="false">J13-MAX(0,J13)*J14/100</f>
        <v>9475.48467985718</v>
      </c>
      <c r="K15" s="0" t="n">
        <f aca="false">K13-MAX(0,K13)*K14/100</f>
        <v>9807.12664365218</v>
      </c>
      <c r="L15" s="0" t="n">
        <f aca="false">L13-MAX(0,L13)*L14/100</f>
        <v>10101.3404429617</v>
      </c>
    </row>
    <row r="16" customFormat="false" ht="15" hidden="false" customHeight="false" outlineLevel="0" collapsed="false">
      <c r="A16" s="0" t="s">
        <v>125</v>
      </c>
      <c r="C16" s="0" t="n">
        <f aca="false">-C12</f>
        <v>1528.98816</v>
      </c>
      <c r="D16" s="0" t="n">
        <f aca="false">-D12</f>
        <v>1651.3072128</v>
      </c>
      <c r="E16" s="0" t="n">
        <f aca="false">-E12</f>
        <v>1766.898717696</v>
      </c>
      <c r="F16" s="0" t="n">
        <f aca="false">-F12</f>
        <v>1845.36980780544</v>
      </c>
      <c r="G16" s="0" t="n">
        <f aca="false">-G12</f>
        <v>1946.86514723474</v>
      </c>
      <c r="H16" s="0" t="n">
        <f aca="false">-H12</f>
        <v>2013.69783139354</v>
      </c>
      <c r="I16" s="0" t="n">
        <f aca="false">-I12</f>
        <v>2104.31423380625</v>
      </c>
      <c r="J16" s="0" t="n">
        <f aca="false">-J12</f>
        <v>2188.4868031585</v>
      </c>
      <c r="K16" s="0" t="n">
        <f aca="false">-K12</f>
        <v>2265.08384126905</v>
      </c>
      <c r="L16" s="0" t="n">
        <f aca="false">-L12</f>
        <v>2333.03635650712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-1753.83936</v>
      </c>
      <c r="D17" s="4" t="n">
        <f aca="false">-D6*Assumptions!D32/100</f>
        <v>-1894.1465088</v>
      </c>
      <c r="E17" s="4" t="n">
        <f aca="false">-E6*Assumptions!E32/100</f>
        <v>-1974.769155072</v>
      </c>
      <c r="F17" s="4" t="n">
        <f aca="false">-F6*Assumptions!F32/100</f>
        <v>-2093.25530437632</v>
      </c>
      <c r="G17" s="4" t="n">
        <f aca="false">-G6*Assumptions!G32/100</f>
        <v>-2150.26896858762</v>
      </c>
      <c r="H17" s="4" t="n">
        <f aca="false">-H6*Assumptions!H32/100</f>
        <v>-2257.782417017</v>
      </c>
      <c r="I17" s="4" t="n">
        <f aca="false">-I6*Assumptions!I32/100</f>
        <v>-2295.61552778864</v>
      </c>
      <c r="J17" s="4" t="n">
        <f aca="false">-J6*Assumptions!J32/100</f>
        <v>-2387.44014890019</v>
      </c>
      <c r="K17" s="4" t="n">
        <f aca="false">-K6*Assumptions!K32/100</f>
        <v>-2471.00055411169</v>
      </c>
      <c r="L17" s="4" t="n">
        <f aca="false">-L6*Assumptions!L32/100</f>
        <v>-2545.13057073504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-385.4592</v>
      </c>
      <c r="D18" s="4" t="n">
        <f aca="false">(D6-C6)*Assumptions!$B$37/100</f>
        <v>-287.809536</v>
      </c>
      <c r="E18" s="4" t="n">
        <f aca="false">(E6-D6)*Assumptions!$B$37/100</f>
        <v>-271.98001152</v>
      </c>
      <c r="F18" s="4" t="n">
        <f aca="false">(F6-E6)*Assumptions!$B$37/100</f>
        <v>-249.4445248512</v>
      </c>
      <c r="G18" s="4" t="n">
        <f aca="false">(G6-F6)*Assumptions!$B$37/100</f>
        <v>-242.376929980416</v>
      </c>
      <c r="H18" s="4" t="n">
        <f aca="false">(H6-G6)*Assumptions!$B$37/100</f>
        <v>-232.461510117581</v>
      </c>
      <c r="I18" s="4" t="n">
        <f aca="false">(I6-H6)*Assumptions!$B$37/100</f>
        <v>-219.676127061113</v>
      </c>
      <c r="J18" s="4" t="n">
        <f aca="false">(J6-I6)*Assumptions!$B$37/100</f>
        <v>-204.054713581213</v>
      </c>
      <c r="K18" s="4" t="n">
        <f aca="false">(K6-J6)*Assumptions!$B$37/100</f>
        <v>-185.689789358903</v>
      </c>
      <c r="L18" s="4" t="n">
        <f aca="false">(L6-K6)*Assumptions!$B$37/100</f>
        <v>-164.733370274113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5268.1993728</v>
      </c>
      <c r="D19" s="0" t="n">
        <f aca="false">D15+D16+D17+D18</f>
        <v>5965.788014592</v>
      </c>
      <c r="E19" s="0" t="n">
        <f aca="false">E15+E16+E17+E18</f>
        <v>6629.3185093632</v>
      </c>
      <c r="F19" s="0" t="n">
        <f aca="false">F15+F16+F17+F18</f>
        <v>7184.91694563902</v>
      </c>
      <c r="G19" s="0" t="n">
        <f aca="false">G15+G16+G17+G18</f>
        <v>7747.32517276084</v>
      </c>
      <c r="H19" s="0" t="n">
        <f aca="false">H15+H16+H17+H18</f>
        <v>8242.15530272895</v>
      </c>
      <c r="I19" s="0" t="n">
        <f aca="false">I15+I16+I17+I18</f>
        <v>8700.06554035764</v>
      </c>
      <c r="J19" s="0" t="n">
        <f aca="false">J15+J16+J17+J18</f>
        <v>9072.47662053429</v>
      </c>
      <c r="K19" s="0" t="n">
        <f aca="false">K15+K16+K17+K18</f>
        <v>9415.52014145064</v>
      </c>
      <c r="L19" s="0" t="n">
        <f aca="false">L15+L16+L17+L18</f>
        <v>9724.51285845971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4900.65057934884</v>
      </c>
      <c r="D21" s="0" t="n">
        <f aca="false">D19*D20</f>
        <v>5162.39092663451</v>
      </c>
      <c r="E21" s="0" t="n">
        <f aca="false">E19*E20</f>
        <v>5336.34000275756</v>
      </c>
      <c r="F21" s="0" t="n">
        <f aca="false">F19*F20</f>
        <v>5380.06961529375</v>
      </c>
      <c r="G21" s="0" t="n">
        <f aca="false">G19*G20</f>
        <v>5396.46622670992</v>
      </c>
      <c r="H21" s="0" t="n">
        <f aca="false">H19*H20</f>
        <v>5340.59946538245</v>
      </c>
      <c r="I21" s="0" t="n">
        <f aca="false">I19*I20</f>
        <v>5244.00714258336</v>
      </c>
      <c r="J21" s="0" t="n">
        <f aca="false">J19*J20</f>
        <v>5086.9579035428</v>
      </c>
      <c r="K21" s="0" t="n">
        <f aca="false">K19*K20</f>
        <v>4910.9796947644</v>
      </c>
      <c r="L21" s="0" t="n">
        <f aca="false">L19*L20</f>
        <v>4718.27459461417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0.85</v>
      </c>
      <c r="D23" s="4" t="n">
        <f aca="false">Assumptions!D30</f>
        <v>0.85</v>
      </c>
      <c r="E23" s="4" t="n">
        <f aca="false">Assumptions!E30</f>
        <v>0.85</v>
      </c>
      <c r="F23" s="4" t="n">
        <f aca="false">Assumptions!F30</f>
        <v>0.85</v>
      </c>
      <c r="G23" s="4" t="n">
        <f aca="false">Assumptions!G30</f>
        <v>0.85</v>
      </c>
      <c r="H23" s="4" t="n">
        <f aca="false">Assumptions!H30</f>
        <v>0.85</v>
      </c>
      <c r="I23" s="4" t="n">
        <f aca="false">Assumptions!I30</f>
        <v>0.85</v>
      </c>
      <c r="J23" s="4" t="n">
        <f aca="false">Assumptions!J30</f>
        <v>0.85</v>
      </c>
      <c r="K23" s="4" t="n">
        <f aca="false">Assumptions!K30</f>
        <v>0.85</v>
      </c>
      <c r="L23" s="4" t="n">
        <f aca="false">Assumptions!L30</f>
        <v>0.85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-382.24704</v>
      </c>
      <c r="D24" s="0" t="n">
        <f aca="false">-D6*D23/100</f>
        <v>-412.8268032</v>
      </c>
      <c r="E24" s="0" t="n">
        <f aca="false">-E6*E23/100</f>
        <v>-441.724679424</v>
      </c>
      <c r="F24" s="0" t="n">
        <f aca="false">-F6*F23/100</f>
        <v>-468.22816018944</v>
      </c>
      <c r="G24" s="0" t="n">
        <f aca="false">-G6*G23/100</f>
        <v>-493.980708999859</v>
      </c>
      <c r="H24" s="0" t="n">
        <f aca="false">-H6*H23/100</f>
        <v>-518.679744449852</v>
      </c>
      <c r="I24" s="0" t="n">
        <f aca="false">-I6*I23/100</f>
        <v>-542.020332950096</v>
      </c>
      <c r="J24" s="0" t="n">
        <f aca="false">-J6*J23/100</f>
        <v>-563.7011462681</v>
      </c>
      <c r="K24" s="0" t="n">
        <f aca="false">-K6*K23/100</f>
        <v>-583.430686387483</v>
      </c>
      <c r="L24" s="0" t="n">
        <f aca="false">-L6*L23/100</f>
        <v>-600.933606979107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51476.7361516317</v>
      </c>
    </row>
    <row r="31" customFormat="false" ht="15" hidden="false" customHeight="false" outlineLevel="0" collapsed="false">
      <c r="A31" s="0" t="s">
        <v>134</v>
      </c>
      <c r="B31" s="0" t="n">
        <f aca="false">L19</f>
        <v>9724.51285845971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199352.513598424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194490.257169194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194490.257169194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94365.4918922834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145842.228043915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124362.228043915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220.30509839489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-0.0479468522260609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2159.76178547144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3867.58150516974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230.982411575831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79741.0054393696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61.1541059319011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13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40152</v>
      </c>
      <c r="C6" s="0" t="n">
        <f aca="false">B6*(1+C5/100)</f>
        <v>45371.76</v>
      </c>
      <c r="D6" s="0" t="n">
        <f aca="false">C6*(1+D5/100)</f>
        <v>50362.6536</v>
      </c>
      <c r="E6" s="0" t="n">
        <f aca="false">D6*(1+E5/100)</f>
        <v>55398.91896</v>
      </c>
      <c r="F6" s="0" t="n">
        <f aca="false">E6*(1+F5/100)</f>
        <v>60384.8216664</v>
      </c>
      <c r="G6" s="0" t="n">
        <f aca="false">F6*(1+G5/100)</f>
        <v>65215.607399712</v>
      </c>
      <c r="H6" s="0" t="n">
        <f aca="false">G6*(1+H5/100)</f>
        <v>69780.6999176919</v>
      </c>
      <c r="I6" s="0" t="n">
        <f aca="false">H6*(1+I5/100)</f>
        <v>73967.5419127534</v>
      </c>
      <c r="J6" s="0" t="n">
        <f aca="false">I6*(1+J5/100)</f>
        <v>77665.9190083911</v>
      </c>
      <c r="K6" s="0" t="n">
        <f aca="false">J6*(1+K5/100)</f>
        <v>80772.5557687267</v>
      </c>
      <c r="L6" s="0" t="n">
        <f aca="false">K6*(1+L5/100)</f>
        <v>83599.5952206321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22.2</v>
      </c>
      <c r="D7" s="4" t="n">
        <f aca="false">Assumptions!D42</f>
        <v>22.9</v>
      </c>
      <c r="E7" s="4" t="n">
        <f aca="false">Assumptions!E42</f>
        <v>23.5</v>
      </c>
      <c r="F7" s="4" t="n">
        <f aca="false">Assumptions!F42</f>
        <v>24</v>
      </c>
      <c r="G7" s="4" t="n">
        <f aca="false">Assumptions!G42</f>
        <v>24.4</v>
      </c>
      <c r="H7" s="4" t="n">
        <f aca="false">Assumptions!H42</f>
        <v>24.7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10072.53072</v>
      </c>
      <c r="D8" s="0" t="n">
        <f aca="false">D6*D7/100</f>
        <v>11533.0476744</v>
      </c>
      <c r="E8" s="0" t="n">
        <f aca="false">E6*E7/100</f>
        <v>13018.7459556</v>
      </c>
      <c r="F8" s="0" t="n">
        <f aca="false">F6*F7/100</f>
        <v>14492.357199936</v>
      </c>
      <c r="G8" s="0" t="n">
        <f aca="false">G6*G7/100</f>
        <v>15912.6082055297</v>
      </c>
      <c r="H8" s="0" t="n">
        <f aca="false">H6*H7/100</f>
        <v>17235.8328796699</v>
      </c>
      <c r="I8" s="0" t="n">
        <f aca="false">I6*I7/100</f>
        <v>18491.8854781883</v>
      </c>
      <c r="J8" s="0" t="n">
        <f aca="false">J6*J7/100</f>
        <v>19416.4797520978</v>
      </c>
      <c r="K8" s="0" t="n">
        <f aca="false">K6*K7/100</f>
        <v>20193.1389421817</v>
      </c>
      <c r="L8" s="0" t="n">
        <f aca="false">L6*L7/100</f>
        <v>20899.898805158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-249.54468</v>
      </c>
      <c r="D10" s="0" t="n">
        <f aca="false">-D6*D9/100</f>
        <v>-276.9945948</v>
      </c>
      <c r="E10" s="0" t="n">
        <f aca="false">-E6*E9/100</f>
        <v>-304.69405428</v>
      </c>
      <c r="F10" s="0" t="n">
        <f aca="false">-F6*F9/100</f>
        <v>-332.1165191652</v>
      </c>
      <c r="G10" s="0" t="n">
        <f aca="false">-G6*G9/100</f>
        <v>-358.685840698416</v>
      </c>
      <c r="H10" s="0" t="n">
        <f aca="false">-H6*H9/100</f>
        <v>-383.793849547305</v>
      </c>
      <c r="I10" s="0" t="n">
        <f aca="false">-I6*I9/100</f>
        <v>-406.821480520144</v>
      </c>
      <c r="J10" s="0" t="n">
        <f aca="false">-J6*J9/100</f>
        <v>-427.162554546151</v>
      </c>
      <c r="K10" s="0" t="n">
        <f aca="false">-K6*K9/100</f>
        <v>-444.249056727997</v>
      </c>
      <c r="L10" s="0" t="n">
        <f aca="false">-L6*L9/100</f>
        <v>-459.797773713477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9437.32608</v>
      </c>
      <c r="D11" s="0" t="n">
        <f aca="false">D8+D10+D24</f>
        <v>10827.970524</v>
      </c>
      <c r="E11" s="0" t="n">
        <f aca="false">E8+E10+E24</f>
        <v>12243.16109016</v>
      </c>
      <c r="F11" s="0" t="n">
        <f aca="false">F8+F10+F24</f>
        <v>13646.9696966064</v>
      </c>
      <c r="G11" s="0" t="n">
        <f aca="false">G8+G10+G24</f>
        <v>14999.5897019338</v>
      </c>
      <c r="H11" s="0" t="n">
        <f aca="false">H8+H10+H24</f>
        <v>16258.9030808222</v>
      </c>
      <c r="I11" s="0" t="n">
        <f aca="false">I8+I10+I24</f>
        <v>17456.3398914098</v>
      </c>
      <c r="J11" s="0" t="n">
        <f aca="false">J8+J10+J24</f>
        <v>18329.1568859803</v>
      </c>
      <c r="K11" s="0" t="n">
        <f aca="false">K8+K10+K24</f>
        <v>19062.3231614195</v>
      </c>
      <c r="L11" s="0" t="n">
        <f aca="false">L8+L10+L24</f>
        <v>19729.5044720692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-1542.63984</v>
      </c>
      <c r="D12" s="4" t="n">
        <f aca="false">-D6*Assumptions!D45/100</f>
        <v>-1712.3302224</v>
      </c>
      <c r="E12" s="4" t="n">
        <f aca="false">-E6*Assumptions!E45/100</f>
        <v>-1883.56324464</v>
      </c>
      <c r="F12" s="4" t="n">
        <f aca="false">-F6*Assumptions!F45/100</f>
        <v>-2022.8915258244</v>
      </c>
      <c r="G12" s="4" t="n">
        <f aca="false">-G6*Assumptions!G45/100</f>
        <v>-2184.72284789035</v>
      </c>
      <c r="H12" s="4" t="n">
        <f aca="false">-H6*Assumptions!H45/100</f>
        <v>-2302.76309728383</v>
      </c>
      <c r="I12" s="4" t="n">
        <f aca="false">-I6*Assumptions!I45/100</f>
        <v>-2440.92888312086</v>
      </c>
      <c r="J12" s="4" t="n">
        <f aca="false">-J6*Assumptions!J45/100</f>
        <v>-2562.9753272769</v>
      </c>
      <c r="K12" s="4" t="n">
        <f aca="false">-K6*Assumptions!K45/100</f>
        <v>-2665.49434036798</v>
      </c>
      <c r="L12" s="4" t="n">
        <f aca="false">-L6*Assumptions!L45/100</f>
        <v>-2758.78664228086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7894.68624</v>
      </c>
      <c r="D13" s="0" t="n">
        <f aca="false">D11+D12</f>
        <v>9115.6403016</v>
      </c>
      <c r="E13" s="0" t="n">
        <f aca="false">E11+E12</f>
        <v>10359.59784552</v>
      </c>
      <c r="F13" s="0" t="n">
        <f aca="false">F11+F12</f>
        <v>11624.078170782</v>
      </c>
      <c r="G13" s="0" t="n">
        <f aca="false">G11+G12</f>
        <v>12814.8668540434</v>
      </c>
      <c r="H13" s="0" t="n">
        <f aca="false">H11+H12</f>
        <v>13956.1399835384</v>
      </c>
      <c r="I13" s="0" t="n">
        <f aca="false">I11+I12</f>
        <v>15015.4110082889</v>
      </c>
      <c r="J13" s="0" t="n">
        <f aca="false">J11+J12</f>
        <v>15766.1815587034</v>
      </c>
      <c r="K13" s="0" t="n">
        <f aca="false">K11+K12</f>
        <v>16396.8288210515</v>
      </c>
      <c r="L13" s="0" t="n">
        <f aca="false">L11+L12</f>
        <v>16970.7178297883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5999.9615424</v>
      </c>
      <c r="D15" s="0" t="n">
        <f aca="false">D13-MAX(0,D13)*D14/100</f>
        <v>6927.886629216</v>
      </c>
      <c r="E15" s="0" t="n">
        <f aca="false">E13-MAX(0,E13)*E14/100</f>
        <v>7873.2943625952</v>
      </c>
      <c r="F15" s="0" t="n">
        <f aca="false">F13-MAX(0,F13)*F14/100</f>
        <v>8834.29940979432</v>
      </c>
      <c r="G15" s="0" t="n">
        <f aca="false">G13-MAX(0,G13)*G14/100</f>
        <v>9739.29880907299</v>
      </c>
      <c r="H15" s="0" t="n">
        <f aca="false">H13-MAX(0,H13)*H14/100</f>
        <v>10606.6663874892</v>
      </c>
      <c r="I15" s="0" t="n">
        <f aca="false">I13-MAX(0,I13)*I14/100</f>
        <v>11411.7123662996</v>
      </c>
      <c r="J15" s="0" t="n">
        <f aca="false">J13-MAX(0,J13)*J14/100</f>
        <v>11982.2979846146</v>
      </c>
      <c r="K15" s="0" t="n">
        <f aca="false">K13-MAX(0,K13)*K14/100</f>
        <v>12461.5899039992</v>
      </c>
      <c r="L15" s="0" t="n">
        <f aca="false">L13-MAX(0,L13)*L14/100</f>
        <v>12897.7455506391</v>
      </c>
    </row>
    <row r="16" customFormat="false" ht="15" hidden="false" customHeight="false" outlineLevel="0" collapsed="false">
      <c r="A16" s="0" t="s">
        <v>125</v>
      </c>
      <c r="C16" s="0" t="n">
        <f aca="false">-C12</f>
        <v>1542.63984</v>
      </c>
      <c r="D16" s="0" t="n">
        <f aca="false">-D12</f>
        <v>1712.3302224</v>
      </c>
      <c r="E16" s="0" t="n">
        <f aca="false">-E12</f>
        <v>1883.56324464</v>
      </c>
      <c r="F16" s="0" t="n">
        <f aca="false">-F12</f>
        <v>2022.8915258244</v>
      </c>
      <c r="G16" s="0" t="n">
        <f aca="false">-G12</f>
        <v>2184.72284789035</v>
      </c>
      <c r="H16" s="0" t="n">
        <f aca="false">-H12</f>
        <v>2302.76309728383</v>
      </c>
      <c r="I16" s="0" t="n">
        <f aca="false">-I12</f>
        <v>2440.92888312086</v>
      </c>
      <c r="J16" s="0" t="n">
        <f aca="false">-J12</f>
        <v>2562.9753272769</v>
      </c>
      <c r="K16" s="0" t="n">
        <f aca="false">-K12</f>
        <v>2665.49434036798</v>
      </c>
      <c r="L16" s="0" t="n">
        <f aca="false">-L12</f>
        <v>2758.78664228086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-1814.8704</v>
      </c>
      <c r="D17" s="4" t="n">
        <f aca="false">-D6*Assumptions!D46/100</f>
        <v>-2014.506144</v>
      </c>
      <c r="E17" s="4" t="n">
        <f aca="false">-E6*Assumptions!E46/100</f>
        <v>-2160.55783944</v>
      </c>
      <c r="F17" s="4" t="n">
        <f aca="false">-F6*Assumptions!F46/100</f>
        <v>-2355.0080449896</v>
      </c>
      <c r="G17" s="4" t="n">
        <f aca="false">-G6*Assumptions!G46/100</f>
        <v>-2478.19308118906</v>
      </c>
      <c r="H17" s="4" t="n">
        <f aca="false">-H6*Assumptions!H46/100</f>
        <v>-2651.66659687229</v>
      </c>
      <c r="I17" s="4" t="n">
        <f aca="false">-I6*Assumptions!I46/100</f>
        <v>-2736.79905077188</v>
      </c>
      <c r="J17" s="4" t="n">
        <f aca="false">-J6*Assumptions!J46/100</f>
        <v>-2873.63900331047</v>
      </c>
      <c r="K17" s="4" t="n">
        <f aca="false">-K6*Assumptions!K46/100</f>
        <v>-2988.58456344289</v>
      </c>
      <c r="L17" s="4" t="n">
        <f aca="false">-L6*Assumptions!L46/100</f>
        <v>-3093.18502316339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-417.5808</v>
      </c>
      <c r="D18" s="4" t="n">
        <f aca="false">(D6-C6)*Assumptions!$B$51/100</f>
        <v>-399.271488</v>
      </c>
      <c r="E18" s="4" t="n">
        <f aca="false">(E6-D6)*Assumptions!$B$51/100</f>
        <v>-402.9012288</v>
      </c>
      <c r="F18" s="4" t="n">
        <f aca="false">(F6-E6)*Assumptions!$B$51/100</f>
        <v>-398.872216512</v>
      </c>
      <c r="G18" s="4" t="n">
        <f aca="false">(G6-F6)*Assumptions!$B$51/100</f>
        <v>-386.46285866496</v>
      </c>
      <c r="H18" s="4" t="n">
        <f aca="false">(H6-G6)*Assumptions!$B$51/100</f>
        <v>-365.207401438388</v>
      </c>
      <c r="I18" s="4" t="n">
        <f aca="false">(I6-H6)*Assumptions!$B$51/100</f>
        <v>-334.947359604922</v>
      </c>
      <c r="J18" s="4" t="n">
        <f aca="false">(J6-I6)*Assumptions!$B$51/100</f>
        <v>-295.870167651013</v>
      </c>
      <c r="K18" s="4" t="n">
        <f aca="false">(K6-J6)*Assumptions!$B$51/100</f>
        <v>-248.530940826852</v>
      </c>
      <c r="L18" s="4" t="n">
        <f aca="false">(L6-K6)*Assumptions!$B$51/100</f>
        <v>-226.163156152434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5310.1501824</v>
      </c>
      <c r="D19" s="0" t="n">
        <f aca="false">D15+D16+D17+D18</f>
        <v>6226.439219616</v>
      </c>
      <c r="E19" s="0" t="n">
        <f aca="false">E15+E16+E17+E18</f>
        <v>7193.3985389952</v>
      </c>
      <c r="F19" s="0" t="n">
        <f aca="false">F15+F16+F17+F18</f>
        <v>8103.31067411712</v>
      </c>
      <c r="G19" s="0" t="n">
        <f aca="false">G15+G16+G17+G18</f>
        <v>9059.36571710933</v>
      </c>
      <c r="H19" s="0" t="n">
        <f aca="false">H15+H16+H17+H18</f>
        <v>9892.55548646232</v>
      </c>
      <c r="I19" s="0" t="n">
        <f aca="false">I15+I16+I17+I18</f>
        <v>10780.8948390437</v>
      </c>
      <c r="J19" s="0" t="n">
        <f aca="false">J15+J16+J17+J18</f>
        <v>11375.76414093</v>
      </c>
      <c r="K19" s="0" t="n">
        <f aca="false">K15+K16+K17+K18</f>
        <v>11889.9687400974</v>
      </c>
      <c r="L19" s="0" t="n">
        <f aca="false">L15+L16+L17+L18</f>
        <v>12337.1840136042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4939.67458827907</v>
      </c>
      <c r="D21" s="0" t="n">
        <f aca="false">D19*D20</f>
        <v>5387.94091475695</v>
      </c>
      <c r="E21" s="0" t="n">
        <f aca="false">E19*E20</f>
        <v>5790.40218465912</v>
      </c>
      <c r="F21" s="0" t="n">
        <f aca="false">F19*F20</f>
        <v>6067.76332572145</v>
      </c>
      <c r="G21" s="0" t="n">
        <f aca="false">G19*G20</f>
        <v>6310.37939386921</v>
      </c>
      <c r="H21" s="0" t="n">
        <f aca="false">H19*H20</f>
        <v>6409.99527450961</v>
      </c>
      <c r="I21" s="0" t="n">
        <f aca="false">I19*I20</f>
        <v>6498.23720029826</v>
      </c>
      <c r="J21" s="0" t="n">
        <f aca="false">J19*J20</f>
        <v>6378.41636037577</v>
      </c>
      <c r="K21" s="0" t="n">
        <f aca="false">K19*K20</f>
        <v>6201.61118841868</v>
      </c>
      <c r="L21" s="0" t="n">
        <f aca="false">L19*L20</f>
        <v>5985.92677573863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0.85</v>
      </c>
      <c r="D23" s="4" t="n">
        <f aca="false">Assumptions!D44</f>
        <v>0.85</v>
      </c>
      <c r="E23" s="4" t="n">
        <f aca="false">Assumptions!E44</f>
        <v>0.85</v>
      </c>
      <c r="F23" s="4" t="n">
        <f aca="false">Assumptions!F44</f>
        <v>0.85</v>
      </c>
      <c r="G23" s="4" t="n">
        <f aca="false">Assumptions!G44</f>
        <v>0.85</v>
      </c>
      <c r="H23" s="4" t="n">
        <f aca="false">Assumptions!H44</f>
        <v>0.85</v>
      </c>
      <c r="I23" s="4" t="n">
        <f aca="false">Assumptions!I44</f>
        <v>0.85</v>
      </c>
      <c r="J23" s="4" t="n">
        <f aca="false">Assumptions!J44</f>
        <v>0.85</v>
      </c>
      <c r="K23" s="4" t="n">
        <f aca="false">Assumptions!K44</f>
        <v>0.85</v>
      </c>
      <c r="L23" s="4" t="n">
        <f aca="false">Assumptions!L44</f>
        <v>0.85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-385.65996</v>
      </c>
      <c r="D24" s="0" t="n">
        <f aca="false">-D6*D23/100</f>
        <v>-428.0825556</v>
      </c>
      <c r="E24" s="0" t="n">
        <f aca="false">-E6*E23/100</f>
        <v>-470.89081116</v>
      </c>
      <c r="F24" s="0" t="n">
        <f aca="false">-F6*F23/100</f>
        <v>-513.2709841644</v>
      </c>
      <c r="G24" s="0" t="n">
        <f aca="false">-G6*G23/100</f>
        <v>-554.332662897552</v>
      </c>
      <c r="H24" s="0" t="n">
        <f aca="false">-H6*H23/100</f>
        <v>-593.135949300381</v>
      </c>
      <c r="I24" s="0" t="n">
        <f aca="false">-I6*I23/100</f>
        <v>-628.724106258404</v>
      </c>
      <c r="J24" s="0" t="n">
        <f aca="false">-J6*J23/100</f>
        <v>-660.160311571324</v>
      </c>
      <c r="K24" s="0" t="n">
        <f aca="false">-K6*K23/100</f>
        <v>-686.566724034177</v>
      </c>
      <c r="L24" s="0" t="n">
        <f aca="false">-L6*L23/100</f>
        <v>-710.596559375373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59970.3472066268</v>
      </c>
    </row>
    <row r="31" customFormat="false" ht="15" hidden="false" customHeight="false" outlineLevel="0" collapsed="false">
      <c r="A31" s="0" t="s">
        <v>134</v>
      </c>
      <c r="B31" s="0" t="n">
        <f aca="false">L19</f>
        <v>12337.1840136042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282384.434089162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246743.680272083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246743.680272083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119718.535514773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179688.882721399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158208.882721399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280.263742641983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0.211165698539252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2403.84082489857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5106.30712653064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293.567813415108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105894.162783436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82.1363200084417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135.586829673511</v>
      </c>
      <c r="C4" s="0" t="n">
        <f aca="false">B4/Assumptions!$B$2-1</f>
        <v>-0.414058644453279</v>
      </c>
      <c r="D4" s="4" t="n">
        <f aca="false">Assumptions!$B$24</f>
        <v>0.25</v>
      </c>
      <c r="E4" s="4" t="n">
        <f aca="false">DCF_Bear!$B$43</f>
        <v>143.423336165987</v>
      </c>
      <c r="F4" s="4" t="n">
        <f aca="false">DCF_Bear!$B$47</f>
        <v>34.2361287941396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220.30509839489</v>
      </c>
      <c r="C5" s="0" t="n">
        <f aca="false">B5/Assumptions!$B$2-1</f>
        <v>-0.0479468522260609</v>
      </c>
      <c r="D5" s="4" t="n">
        <f aca="false">Assumptions!$B$38</f>
        <v>0.5</v>
      </c>
      <c r="E5" s="4" t="n">
        <f aca="false">DCF_Base!$B$43</f>
        <v>230.982411575831</v>
      </c>
      <c r="F5" s="4" t="n">
        <f aca="false">DCF_Base!$B$47</f>
        <v>61.1541059319011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280.263742641983</v>
      </c>
      <c r="C6" s="0" t="n">
        <f aca="false">B6/Assumptions!$B$2-1</f>
        <v>0.211165698539252</v>
      </c>
      <c r="D6" s="4" t="n">
        <f aca="false">Assumptions!$B$52</f>
        <v>0.25</v>
      </c>
      <c r="E6" s="4" t="n">
        <f aca="false">DCF_Bull!$B$43</f>
        <v>293.567813415108</v>
      </c>
      <c r="F6" s="4" t="n">
        <f aca="false">DCF_Bull!$B$47</f>
        <v>82.1363200084417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214.115192276318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224.738993183189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-0.0807266758604193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162.698904800666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59.6701651665959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220.30509839489</v>
      </c>
      <c r="C15" s="3" t="n">
        <v>7.5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161.318828422515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133.337985597839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112.001300973962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95.2071286083211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61.1541059319011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264.810452043033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264.810452043033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264.810452043033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264.810452043033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264.810452043033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241.480354610894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241.480354610894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241.480354610894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241.480354610894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241.480354610894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194.533595589941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208.147534418108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220.30509839489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220.30509839489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220.30509839489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159.158009378876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168.242380597429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178.84081368574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191.36623460829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201.063334677362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132.727436940146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139.070449772716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146.319607295653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154.684019822119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164.442501102996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2026-10-25T21:50:21Z</dcterms:created>
  <dc:creator>openpyxl</dc:creator>
  <dc:description/>
  <dc:language>en-NZ</dc:language>
  <cp:lastModifiedBy/>
  <dcterms:modified xsi:type="dcterms:W3CDTF">2026-10-25T21:50:21Z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