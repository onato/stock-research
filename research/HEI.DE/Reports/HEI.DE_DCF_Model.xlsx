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<sst xmlns="http://schemas.openxmlformats.org/spreadsheetml/2006/main" count="372" uniqueCount="169">
  <si>
    <t xml:space="preserve">Ticker</t>
  </si>
  <si>
    <t xml:space="preserve">HEI.DE</t>
  </si>
  <si>
    <t xml:space="preserve">Company</t>
  </si>
  <si>
    <t xml:space="preserve">Heidelberg Materials AG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</si>
  <si>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</si>
  <si>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</si>
  <si>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</si>
  <si>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</si>
  <si>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2026-10-23T15:37:30Z (Xetra closing auction, Friday regular close; valuation run on Sunday 2026-10-25)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</si>
  <si>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</si>
  <si>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</si>
  <si>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</si>
  <si>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</si>
  <si>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</si>
  <si>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</si>
  <si>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</si>
  <si>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</si>
  <si>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</si>
  <si>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</si>
  <si>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</si>
  <si>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</si>
  <si>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2026-10-24T23:08:48Z</t>
  </si>
  <si>
    <t xml:space="preserve">Drivers file</t>
  </si>
  <si>
    <t xml:space="preserve">HEI.DE_Drivers.json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</si>
  <si>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</si>
  <si>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</si>
  <si>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</si>
  <si>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company on mid-cycle unlevered owner FCF, not on the 2023-25 peak-margin cash flows: cement is a local-oligopoly but cyclical, carbon-intensive business whose margin has ranged 17.7-21.8% RCOBD in seven years. SBC is immaterial, so house and street coincide. Leases are treated as debt (inside company net debt) with lease renewal charged in capex; NCI and pensions are deducted once in the bridge.
key_risks_to_valuation: Terminal value is cap-bound (14x terminal FCF ~ 7x EV/RCOBD); a peer re-rating toward CRH/Holcim multiples is upside the model does not grant; EU ETS free-allocation phase-out and post-2030 reform: net carbon cost could exceed pass-through; Construction-cycle volume sensitivity in Europe and North America; FY2026 guidance already lowered; Maas Group acquisition (~EUR 1bn) excluded from both flows and net debt; overpaying would destroy value the model treats as neutral; NCI valued at a market-proxy multiple (EUR 2.0bn) rather than observed prices</t>
  </si>
  <si>
    <t xml:space="preserve">Data sources</t>
  </si>
  <si>
    <t xml:space="preserve">price: Yahoo Finance chart API at inputs.price_as_of; 52-week range 137.2-241.8 EUR
financials: HEI.DE_Metrics.csv / HEI.DE.duckdb (core_metrics, kpis); FY2025 Annual Report (cash flow statement, P&amp;L, right-of-use note, outlook); H1-2026 Half-Year Financial Report (balance sheet 30-Jun-2026, cash flow, net debt key figure, treasury-share note, revised RCO guidance 3.40-3.65bn)
qualitative: HEI.DE_Analysis.json (2026-10-25)</t>
  </si>
  <si>
    <t xml:space="preserve">Scenario narrative: bear</t>
  </si>
  <si>
    <t xml:space="preserve">2027-28 construction downturn in Europe and North America on persistent high rates, energy-cost spikes (Middle East) and post-2030 ETS reform outpacing pass-through; leverage already 1.66x after the M&amp;A wave limits buybacks; RCOBD margin troughs near FY2022's 17.7% and settles ~19.5%; 12x cap.</t>
  </si>
  <si>
    <t xml:space="preserve">Scenario narrative: base</t>
  </si>
  <si>
    <t xml:space="preserve">Mid-cycle: guidance-midpoint FY2026 (RCO ~3.5bn), then the 2023-25 peak pricing margin fades ~1pp as European construction stabilises without a residential recovery and US infrastructure offsets housing; carbon cost broadly passed through behind CBAM; capex held at the Strategy-2030 ~1.3bn plus CCS; 2% terminal growth, 14x terminal FCF cap (cyclical).</t>
  </si>
  <si>
    <t xml:space="preserve">Scenario narrative: bull</t>
  </si>
  <si>
    <t xml:space="preserve">Strategy 2030 on track: RCO +7% p.a., European recovery from 2027, US infrastructure/data-centre demand, Akcansa/Maas growth geographies, and evoZero/CCS converting rising EU ETS prices into premium pricing and share gains; RCOBD margin to ~22.7%, ROIC ~12%; 16x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</si>
  <si>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</si>
  <si>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</si>
  <si>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</si>
  <si>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</si>
  <si>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</si>
  <si>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</si>
  <si>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</si>
  <si>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</si>
  <si>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</si>
  <si>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</si>
  <si>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</si>
  <si>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</si>
  <si>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</si>
  <si>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</si>
  <si>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</si>
  <si>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</si>
  <si>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</si>
  <si>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</si>
  <si>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</si>
  <si>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</si>
  <si>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</si>
  <si>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</si>
  <si>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</si>
  <si>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</si>
  <si>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</si>
  <si>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</si>
  <si>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</si>
  <si>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</si>
  <si>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</si>
  <si>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</si>
  <si>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</si>
  <si>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</si>
  <si>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</si>
  <si>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</si>
  <si>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</si>
  <si>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</si>
  <si>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</si>
  <si>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</si>
  <si>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</si>
  <si>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</si>
  <si>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</si>
  <si>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</si>
  <si>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</si>
  <si>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</si>
  <si>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</si>
  <si>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</si>
  <si>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</si>
  <si>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</si>
  <si>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</si>
  <si>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</si>
  <si>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</si>
  <si>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</si>
  <si>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</si>
  <si>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</si>
  <si>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</si>
  <si>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</si>
  <si>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</si>
  <si>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</si>
  <si>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</si>
  <si>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</si>
  <si>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</si>
  <si>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</si>
  <si>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</si>
  <si>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</si>
  <si>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</si>
  <si>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</si>
  <si>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</si>
  <si>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</si>
  <si>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</si>
  <si>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</si>
  <si>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</si>
  <si>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</si>
  <si>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</si>
  <si>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</si>
  <si>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</si>
  <si>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</si>
  <si>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</si>
  <si>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</si>
  <si>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HEI.DE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</si>
  <si>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</si>
  <si>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</si>
  <si>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</si>
  <si>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</si>
  <si>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</si>
  <si>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</si>
  <si>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</si>
  <si>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</si>
  <si>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</si>
  <si>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</si>
  <si>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</si>
  <si>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</si>
  <si>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</si>
  <si>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</si>
  <si>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</si>
  <si>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</si>
  <si>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</si>
  <si>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</si>
  <si>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</si>
  <si>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</si>
  <si>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</si>
  <si>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</si>
  <si>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</si>
  <si>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</si>
  <si>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</si>
  <si>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</si>
  <si>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</si>
  <si>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</si>
  <si>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</si>
  <si>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</si>
  <si>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HEI.DE owner-FCF component DCF: base case (millions, EUR)</t>
  </si>
  <si>
    <t xml:space="preserve">HEI.DE owner-FCF component DCF: bull case (millions, EUR)</t>
  </si>
  <si>
    <t xml:space="preserve">HEI.DE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</si>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</sst>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147.8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14020.2</v>
      </c>
      <c r="F2" s="0" t="n">
        <v>1239.2</v>
      </c>
      <c r="G2" s="0" t="n">
        <v>8.8</v>
      </c>
      <c r="H2" s="0" t="n">
        <v>2476.9</v>
      </c>
      <c r="I2" s="0" t="n">
        <v>284.7</v>
      </c>
      <c r="J2" s="0" t="n">
        <v>2</v>
      </c>
      <c r="K2" s="0" t="n">
        <v>1.52</v>
      </c>
      <c r="L2" s="0" t="n">
        <v>1513.4</v>
      </c>
      <c r="M2" s="0" t="n">
        <v>831.4</v>
      </c>
      <c r="N2" s="0" t="n">
        <v>682</v>
      </c>
      <c r="O2" s="0" t="n">
        <v>12609.2</v>
      </c>
      <c r="P2" s="0" t="n">
        <v>28007.8</v>
      </c>
      <c r="Q2" s="0" t="n">
        <v>14300.3</v>
      </c>
      <c r="R2" s="0" t="n">
        <v>8573.1</v>
      </c>
      <c r="S2" s="0" t="n">
        <v>1474.8</v>
      </c>
      <c r="T2" s="0" t="n">
        <v>187.5</v>
      </c>
      <c r="W2" s="0" t="n">
        <v>2476.9</v>
      </c>
      <c r="Z2" s="0" t="n">
        <v>1604.2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13935.9</v>
      </c>
      <c r="F3" s="0" t="n">
        <v>1649.7</v>
      </c>
      <c r="G3" s="0" t="n">
        <v>11.8</v>
      </c>
      <c r="H3" s="0" t="n">
        <v>2424.4</v>
      </c>
      <c r="I3" s="0" t="n">
        <v>745.4</v>
      </c>
      <c r="J3" s="0" t="n">
        <v>5.3</v>
      </c>
      <c r="K3" s="0" t="n">
        <v>3.98</v>
      </c>
      <c r="L3" s="0" t="n">
        <v>1057.4</v>
      </c>
      <c r="M3" s="0" t="n">
        <v>936.4</v>
      </c>
      <c r="N3" s="0" t="n">
        <v>121</v>
      </c>
      <c r="O3" s="0" t="n">
        <v>11622.2</v>
      </c>
      <c r="P3" s="0" t="n">
        <v>26865.8</v>
      </c>
      <c r="Q3" s="0" t="n">
        <v>14284.2</v>
      </c>
      <c r="R3" s="0" t="n">
        <v>9065.3</v>
      </c>
      <c r="S3" s="0" t="n">
        <v>1464.9</v>
      </c>
      <c r="T3" s="0" t="n">
        <v>187.5</v>
      </c>
      <c r="W3" s="0" t="n">
        <v>2424.4</v>
      </c>
      <c r="Z3" s="0" t="n">
        <v>1606.7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12614.3</v>
      </c>
      <c r="F4" s="0" t="n">
        <v>1559.9</v>
      </c>
      <c r="G4" s="0" t="n">
        <v>12.4</v>
      </c>
      <c r="H4" s="0" t="n">
        <v>2288</v>
      </c>
      <c r="I4" s="0" t="n">
        <v>485.7</v>
      </c>
      <c r="J4" s="0" t="n">
        <v>3.9</v>
      </c>
      <c r="K4" s="0" t="n">
        <v>2.59</v>
      </c>
      <c r="L4" s="0" t="n">
        <v>1479.8</v>
      </c>
      <c r="M4" s="0" t="n">
        <v>941.2</v>
      </c>
      <c r="N4" s="0" t="n">
        <v>538.6</v>
      </c>
      <c r="O4" s="0" t="n">
        <v>13150.3</v>
      </c>
      <c r="P4" s="0" t="n">
        <v>28132.6</v>
      </c>
      <c r="Q4" s="0" t="n">
        <v>13887.7</v>
      </c>
      <c r="R4" s="0" t="n">
        <v>8221.8</v>
      </c>
      <c r="S4" s="0" t="n">
        <v>1228.1</v>
      </c>
      <c r="T4" s="0" t="n">
        <v>187.5</v>
      </c>
      <c r="W4" s="0" t="n">
        <v>2288</v>
      </c>
      <c r="Z4" s="0" t="n">
        <v>1595.1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13464.7</v>
      </c>
      <c r="F5" s="0" t="n">
        <v>1863.2</v>
      </c>
      <c r="G5" s="0" t="n">
        <v>13.8</v>
      </c>
      <c r="H5" s="0" t="n">
        <v>2612.7</v>
      </c>
      <c r="I5" s="0" t="n">
        <v>800.1</v>
      </c>
      <c r="J5" s="0" t="n">
        <v>5.9</v>
      </c>
      <c r="K5" s="0" t="n">
        <v>4.26</v>
      </c>
      <c r="L5" s="0" t="n">
        <v>1449.3</v>
      </c>
      <c r="M5" s="0" t="n">
        <v>907.7</v>
      </c>
      <c r="N5" s="0" t="n">
        <v>541.6</v>
      </c>
      <c r="O5" s="0" t="n">
        <v>14915.4</v>
      </c>
      <c r="P5" s="0" t="n">
        <v>28374.4</v>
      </c>
      <c r="Q5" s="0" t="n">
        <v>12398</v>
      </c>
      <c r="R5" s="0" t="n">
        <v>6711.6</v>
      </c>
      <c r="S5" s="0" t="n">
        <v>1350.5</v>
      </c>
      <c r="T5" s="0" t="n">
        <v>187.9</v>
      </c>
      <c r="W5" s="0" t="n">
        <v>2612.7</v>
      </c>
      <c r="Z5" s="0" t="n">
        <v>1846.1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15165.7</v>
      </c>
      <c r="F6" s="0" t="n">
        <v>1698.1</v>
      </c>
      <c r="G6" s="0" t="n">
        <v>11.2</v>
      </c>
      <c r="H6" s="0" t="n">
        <v>2939.4</v>
      </c>
      <c r="I6" s="0" t="n">
        <v>706.2</v>
      </c>
      <c r="J6" s="0" t="n">
        <v>4.7</v>
      </c>
      <c r="K6" s="0" t="n">
        <v>3.66</v>
      </c>
      <c r="L6" s="0" t="n">
        <v>1874</v>
      </c>
      <c r="M6" s="0" t="n">
        <v>1039.9</v>
      </c>
      <c r="N6" s="0" t="n">
        <v>834.1</v>
      </c>
      <c r="O6" s="0" t="n">
        <v>16093.1</v>
      </c>
      <c r="P6" s="0" t="n">
        <v>37153.8</v>
      </c>
      <c r="Q6" s="0" t="n">
        <v>19281.2</v>
      </c>
      <c r="R6" s="0" t="n">
        <v>11050.8</v>
      </c>
      <c r="S6" s="0" t="n">
        <v>1972.4</v>
      </c>
      <c r="T6" s="0" t="n">
        <v>193</v>
      </c>
      <c r="W6" s="0" t="n">
        <v>2939.4</v>
      </c>
      <c r="Z6" s="0" t="n">
        <v>1984.3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17266.1</v>
      </c>
      <c r="F7" s="0" t="n">
        <v>2106.7</v>
      </c>
      <c r="G7" s="0" t="n">
        <v>12.2</v>
      </c>
      <c r="H7" s="0" t="n">
        <v>3297.3</v>
      </c>
      <c r="I7" s="0" t="n">
        <v>917.7</v>
      </c>
      <c r="J7" s="0" t="n">
        <v>5.3</v>
      </c>
      <c r="K7" s="0" t="n">
        <v>4.62</v>
      </c>
      <c r="L7" s="0" t="n">
        <v>2037.9</v>
      </c>
      <c r="M7" s="0" t="n">
        <v>1035.4</v>
      </c>
      <c r="N7" s="0" t="n">
        <v>1002.5</v>
      </c>
      <c r="O7" s="0" t="n">
        <v>14558</v>
      </c>
      <c r="P7" s="0" t="n">
        <v>34558</v>
      </c>
      <c r="Q7" s="0" t="n">
        <v>18505.7</v>
      </c>
      <c r="R7" s="0" t="n">
        <v>10824</v>
      </c>
      <c r="S7" s="0" t="n">
        <v>2108.6</v>
      </c>
      <c r="T7" s="0" t="n">
        <v>198.4</v>
      </c>
      <c r="W7" s="0" t="n">
        <v>3297.3</v>
      </c>
      <c r="Z7" s="0" t="n">
        <v>2188.3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18074.6</v>
      </c>
      <c r="F8" s="0" t="n">
        <v>2131.2</v>
      </c>
      <c r="G8" s="0" t="n">
        <v>11.8</v>
      </c>
      <c r="H8" s="0" t="n">
        <v>3074.1</v>
      </c>
      <c r="I8" s="0" t="n">
        <v>1143</v>
      </c>
      <c r="J8" s="0" t="n">
        <v>6.3</v>
      </c>
      <c r="K8" s="0" t="n">
        <v>5.76</v>
      </c>
      <c r="L8" s="0" t="n">
        <v>1968.3</v>
      </c>
      <c r="M8" s="0" t="n">
        <v>1060.8</v>
      </c>
      <c r="N8" s="0" t="n">
        <v>907.5</v>
      </c>
      <c r="O8" s="0" t="n">
        <v>15429.7</v>
      </c>
      <c r="P8" s="0" t="n">
        <v>35783.3</v>
      </c>
      <c r="Q8" s="0" t="n">
        <v>18961.6</v>
      </c>
      <c r="R8" s="0" t="n">
        <v>10980.7</v>
      </c>
      <c r="S8" s="0" t="n">
        <v>2585.9</v>
      </c>
      <c r="T8" s="0" t="n">
        <v>198.4</v>
      </c>
      <c r="W8" s="0" t="n">
        <v>3074.1</v>
      </c>
      <c r="Z8" s="0" t="n">
        <v>1983.7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18851.3</v>
      </c>
      <c r="F9" s="0" t="n">
        <v>2008.1</v>
      </c>
      <c r="G9" s="0" t="n">
        <v>10.7</v>
      </c>
      <c r="H9" s="0" t="n">
        <v>3580.2</v>
      </c>
      <c r="I9" s="0" t="n">
        <v>1090.9</v>
      </c>
      <c r="J9" s="0" t="n">
        <v>5.8</v>
      </c>
      <c r="K9" s="0" t="n">
        <v>5.5</v>
      </c>
      <c r="L9" s="0" t="n">
        <v>2663.6</v>
      </c>
      <c r="M9" s="0" t="n">
        <v>1182.8</v>
      </c>
      <c r="N9" s="0" t="n">
        <v>1480.8</v>
      </c>
      <c r="O9" s="0" t="n">
        <v>16987.2</v>
      </c>
      <c r="P9" s="0" t="n">
        <v>38588.7</v>
      </c>
      <c r="Q9" s="0" t="n">
        <v>20084.3</v>
      </c>
      <c r="R9" s="0" t="n">
        <v>12027.7</v>
      </c>
      <c r="S9" s="0" t="n">
        <v>3541.5</v>
      </c>
      <c r="T9" s="0" t="n">
        <v>198.4</v>
      </c>
      <c r="W9" s="0" t="n">
        <v>3580.2</v>
      </c>
      <c r="Z9" s="0" t="n">
        <v>2186.3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17605.9</v>
      </c>
      <c r="F10" s="0" t="n">
        <v>-1314.9</v>
      </c>
      <c r="G10" s="0" t="n">
        <v>-7.5</v>
      </c>
      <c r="H10" s="0" t="n">
        <v>3707.1</v>
      </c>
      <c r="I10" s="0" t="n">
        <v>-2139.2</v>
      </c>
      <c r="J10" s="0" t="n">
        <v>-12.2</v>
      </c>
      <c r="K10" s="0" t="n">
        <v>-10.78</v>
      </c>
      <c r="L10" s="0" t="n">
        <v>3026.8</v>
      </c>
      <c r="M10" s="0" t="n">
        <v>969.3</v>
      </c>
      <c r="N10" s="0" t="n">
        <v>2057.5</v>
      </c>
      <c r="O10" s="0" t="n">
        <v>13270.8</v>
      </c>
      <c r="P10" s="0" t="n">
        <v>32335.3</v>
      </c>
      <c r="Q10" s="0" t="n">
        <v>17786.8</v>
      </c>
      <c r="R10" s="0" t="n">
        <v>9904</v>
      </c>
      <c r="S10" s="0" t="n">
        <v>2857.2</v>
      </c>
      <c r="T10" s="0" t="n">
        <v>198.4</v>
      </c>
      <c r="W10" s="0" t="n">
        <v>3707.1</v>
      </c>
      <c r="Z10" s="0" t="n">
        <v>2363.2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18719.9</v>
      </c>
      <c r="F11" s="0" t="n">
        <v>3095.3</v>
      </c>
      <c r="G11" s="0" t="n">
        <v>16.5</v>
      </c>
      <c r="H11" s="0" t="n">
        <v>3874.7</v>
      </c>
      <c r="I11" s="0" t="n">
        <v>1759</v>
      </c>
      <c r="J11" s="0" t="n">
        <v>9.4</v>
      </c>
      <c r="K11" s="0" t="n">
        <v>8.91</v>
      </c>
      <c r="L11" s="0" t="n">
        <v>2396</v>
      </c>
      <c r="M11" s="0" t="n">
        <v>1419.5</v>
      </c>
      <c r="N11" s="0" t="n">
        <v>976.5</v>
      </c>
      <c r="O11" s="0" t="n">
        <v>15437.2</v>
      </c>
      <c r="P11" s="0" t="n">
        <v>33710.9</v>
      </c>
      <c r="Q11" s="0" t="n">
        <v>17051.5</v>
      </c>
      <c r="R11" s="0" t="n">
        <v>8226.3</v>
      </c>
      <c r="S11" s="0" t="n">
        <v>3115.1</v>
      </c>
      <c r="T11" s="0" t="n">
        <v>197.4</v>
      </c>
      <c r="W11" s="0" t="n">
        <v>3874.7</v>
      </c>
      <c r="Z11" s="0" t="n">
        <v>2614.2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21095.1</v>
      </c>
      <c r="F12" s="0" t="n">
        <v>2282.4</v>
      </c>
      <c r="G12" s="0" t="n">
        <v>10.8</v>
      </c>
      <c r="H12" s="0" t="n">
        <v>3739.4</v>
      </c>
      <c r="I12" s="0" t="n">
        <v>1596.6</v>
      </c>
      <c r="J12" s="0" t="n">
        <v>7.6</v>
      </c>
      <c r="K12" s="0" t="n">
        <v>8.45</v>
      </c>
      <c r="L12" s="0" t="n">
        <v>2420.2</v>
      </c>
      <c r="M12" s="0" t="n">
        <v>1335.2</v>
      </c>
      <c r="N12" s="0" t="n">
        <v>1085</v>
      </c>
      <c r="O12" s="0" t="n">
        <v>16537.9</v>
      </c>
      <c r="P12" s="0" t="n">
        <v>33255.6</v>
      </c>
      <c r="Q12" s="0" t="n">
        <v>15631.3</v>
      </c>
      <c r="R12" s="0" t="n">
        <v>7109.9</v>
      </c>
      <c r="S12" s="0" t="n">
        <v>1454.1</v>
      </c>
      <c r="T12" s="0" t="n">
        <v>188.9</v>
      </c>
      <c r="W12" s="0" t="n">
        <v>3739.4</v>
      </c>
      <c r="Z12" s="0" t="n">
        <v>2475.6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21177.6</v>
      </c>
      <c r="F13" s="0" t="n">
        <v>3023.4</v>
      </c>
      <c r="G13" s="0" t="n">
        <v>14.3</v>
      </c>
      <c r="H13" s="0" t="n">
        <v>4258</v>
      </c>
      <c r="I13" s="0" t="n">
        <v>1928.9</v>
      </c>
      <c r="J13" s="0" t="n">
        <v>9.1</v>
      </c>
      <c r="K13" s="0" t="n">
        <v>10.43</v>
      </c>
      <c r="L13" s="0" t="n">
        <v>3205.1</v>
      </c>
      <c r="M13" s="0" t="n">
        <v>1329.7</v>
      </c>
      <c r="N13" s="0" t="n">
        <v>1875.4</v>
      </c>
      <c r="O13" s="0" t="n">
        <v>17241.3</v>
      </c>
      <c r="P13" s="0" t="n">
        <v>35471.5</v>
      </c>
      <c r="Q13" s="0" t="n">
        <v>17096.6</v>
      </c>
      <c r="R13" s="0" t="n">
        <v>8619.4</v>
      </c>
      <c r="S13" s="0" t="n">
        <v>3266.5</v>
      </c>
      <c r="T13" s="0" t="n">
        <v>184.9</v>
      </c>
      <c r="W13" s="0" t="n">
        <v>4258</v>
      </c>
      <c r="Z13" s="0" t="n">
        <v>3022.5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21156.4</v>
      </c>
      <c r="F14" s="0" t="n">
        <v>2767.9</v>
      </c>
      <c r="G14" s="0" t="n">
        <v>13.1</v>
      </c>
      <c r="H14" s="0" t="n">
        <v>4499.1</v>
      </c>
      <c r="I14" s="0" t="n">
        <v>1781.8</v>
      </c>
      <c r="J14" s="0" t="n">
        <v>8.4</v>
      </c>
      <c r="K14" s="0" t="n">
        <v>9.87</v>
      </c>
      <c r="L14" s="0" t="n">
        <v>3231.7</v>
      </c>
      <c r="M14" s="0" t="n">
        <v>1410.1</v>
      </c>
      <c r="N14" s="0" t="n">
        <v>1821.6</v>
      </c>
      <c r="O14" s="0" t="n">
        <v>18795.6</v>
      </c>
      <c r="P14" s="0" t="n">
        <v>37301.7</v>
      </c>
      <c r="Q14" s="0" t="n">
        <v>17326.9</v>
      </c>
      <c r="R14" s="0" t="n">
        <v>8557.7</v>
      </c>
      <c r="S14" s="0" t="n">
        <v>3220.1</v>
      </c>
      <c r="T14" s="0" t="n">
        <v>180.5</v>
      </c>
      <c r="W14" s="0" t="n">
        <v>4499.1</v>
      </c>
      <c r="Z14" s="0" t="n">
        <v>3204.1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21460.2</v>
      </c>
      <c r="F15" s="0" t="n">
        <v>3117.5</v>
      </c>
      <c r="G15" s="0" t="n">
        <v>14.5</v>
      </c>
      <c r="H15" s="0" t="n">
        <v>4679.3</v>
      </c>
      <c r="I15" s="0" t="n">
        <v>1940.9</v>
      </c>
      <c r="J15" s="0" t="n">
        <v>9</v>
      </c>
      <c r="K15" s="0" t="n">
        <v>10.92</v>
      </c>
      <c r="L15" s="0" t="n">
        <v>3254.8</v>
      </c>
      <c r="M15" s="0" t="n">
        <v>1414.6</v>
      </c>
      <c r="N15" s="0" t="n">
        <v>1840.2</v>
      </c>
      <c r="O15" s="0" t="n">
        <v>18164.6</v>
      </c>
      <c r="P15" s="0" t="n">
        <v>36139</v>
      </c>
      <c r="Q15" s="0" t="n">
        <v>16838.2</v>
      </c>
      <c r="R15" s="0" t="n">
        <v>8386.7</v>
      </c>
      <c r="S15" s="0" t="n">
        <v>2627.4</v>
      </c>
      <c r="T15" s="0" t="n">
        <v>177.7</v>
      </c>
      <c r="W15" s="0" t="n">
        <v>4679.3</v>
      </c>
      <c r="Z15" s="0" t="n">
        <v>3381.4</v>
      </c>
      <c r="AA15" s="0" t="s">
        <v>17</v>
      </c>
      <c r="AB15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147.8</v>
      </c>
    </row>
    <row r="3" customFormat="false" ht="15" hidden="false" customHeight="false" outlineLevel="0" collapsed="false">
      <c r="A3" s="0" t="s">
        <v>80</v>
      </c>
      <c r="B3" s="3" t="n">
        <v>175.8</v>
      </c>
    </row>
    <row r="4" customFormat="false" ht="15" hidden="false" customHeight="false" outlineLevel="0" collapsed="false">
      <c r="A4" s="0" t="s">
        <v>81</v>
      </c>
      <c r="B4" s="3" t="n">
        <v>7726</v>
      </c>
    </row>
    <row r="5" customFormat="false" ht="15" hidden="false" customHeight="false" outlineLevel="0" collapsed="false">
      <c r="A5" s="0" t="s">
        <v>82</v>
      </c>
      <c r="B5" s="3" t="n">
        <v>-1971.4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21460.2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3</v>
      </c>
      <c r="D13" s="3" t="n">
        <v>-1.5</v>
      </c>
      <c r="E13" s="3" t="n">
        <v>0.5</v>
      </c>
      <c r="F13" s="3" t="n">
        <v>2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1.5</v>
      </c>
    </row>
    <row r="14" customFormat="false" ht="15" hidden="false" customHeight="false" outlineLevel="0" collapsed="false">
      <c r="A14" s="0" t="s">
        <v>101</v>
      </c>
      <c r="C14" s="3" t="n">
        <v>19</v>
      </c>
      <c r="D14" s="3" t="n">
        <v>17.5</v>
      </c>
      <c r="E14" s="3" t="n">
        <v>17</v>
      </c>
      <c r="F14" s="3" t="n">
        <v>17.3</v>
      </c>
      <c r="G14" s="3" t="n">
        <v>17.5</v>
      </c>
      <c r="H14" s="3" t="n">
        <v>17.5</v>
      </c>
      <c r="I14" s="3" t="n">
        <v>17.5</v>
      </c>
      <c r="J14" s="3" t="n">
        <v>17.5</v>
      </c>
      <c r="K14" s="3" t="n">
        <v>17.5</v>
      </c>
      <c r="L14" s="3" t="n">
        <v>17.5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6</v>
      </c>
      <c r="D17" s="3" t="n">
        <v>6</v>
      </c>
      <c r="E17" s="3" t="n">
        <v>6</v>
      </c>
      <c r="F17" s="3" t="n">
        <v>6</v>
      </c>
      <c r="G17" s="3" t="n">
        <v>6</v>
      </c>
      <c r="H17" s="3" t="n">
        <v>6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105</v>
      </c>
      <c r="C18" s="3" t="n">
        <v>6.9</v>
      </c>
      <c r="D18" s="3" t="n">
        <v>6.8</v>
      </c>
      <c r="E18" s="3" t="n">
        <v>6.6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106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107</v>
      </c>
      <c r="B20" s="3" t="n">
        <v>8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-8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4.5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101</v>
      </c>
      <c r="C28" s="3" t="n">
        <v>19.5</v>
      </c>
      <c r="D28" s="3" t="n">
        <v>19.4</v>
      </c>
      <c r="E28" s="3" t="n">
        <v>19.2</v>
      </c>
      <c r="F28" s="3" t="n">
        <v>19</v>
      </c>
      <c r="G28" s="3" t="n">
        <v>18.9</v>
      </c>
      <c r="H28" s="3" t="n">
        <v>18.8</v>
      </c>
      <c r="I28" s="3" t="n">
        <v>18.8</v>
      </c>
      <c r="J28" s="3" t="n">
        <v>18.8</v>
      </c>
      <c r="K28" s="3" t="n">
        <v>18.8</v>
      </c>
      <c r="L28" s="3" t="n">
        <v>18.8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6</v>
      </c>
      <c r="D31" s="3" t="n">
        <v>6</v>
      </c>
      <c r="E31" s="3" t="n">
        <v>6</v>
      </c>
      <c r="F31" s="3" t="n">
        <v>6</v>
      </c>
      <c r="G31" s="3" t="n">
        <v>6</v>
      </c>
      <c r="H31" s="3" t="n">
        <v>6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105</v>
      </c>
      <c r="C32" s="3" t="n">
        <v>6.9</v>
      </c>
      <c r="D32" s="3" t="n">
        <v>6.9</v>
      </c>
      <c r="E32" s="3" t="n">
        <v>6.8</v>
      </c>
      <c r="F32" s="3" t="n">
        <v>6.7</v>
      </c>
      <c r="G32" s="3" t="n">
        <v>6.6</v>
      </c>
      <c r="H32" s="3" t="n">
        <v>6.6</v>
      </c>
      <c r="I32" s="3" t="n">
        <v>6.6</v>
      </c>
      <c r="J32" s="3" t="n">
        <v>6.6</v>
      </c>
      <c r="K32" s="3" t="n">
        <v>6.6</v>
      </c>
      <c r="L32" s="3" t="n">
        <v>6.6</v>
      </c>
    </row>
    <row r="33" customFormat="false" ht="15" hidden="false" customHeight="false" outlineLevel="0" collapsed="false">
      <c r="A33" s="0" t="s">
        <v>106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107</v>
      </c>
      <c r="B34" s="3" t="n">
        <v>8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14</v>
      </c>
    </row>
    <row r="37" customFormat="false" ht="15" hidden="false" customHeight="false" outlineLevel="0" collapsed="false">
      <c r="A37" s="0" t="s">
        <v>110</v>
      </c>
      <c r="B37" s="3" t="n">
        <v>-8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5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19.7</v>
      </c>
      <c r="D42" s="3" t="n">
        <v>20</v>
      </c>
      <c r="E42" s="3" t="n">
        <v>20.3</v>
      </c>
      <c r="F42" s="3" t="n">
        <v>20.5</v>
      </c>
      <c r="G42" s="3" t="n">
        <v>20.6</v>
      </c>
      <c r="H42" s="3" t="n">
        <v>20.7</v>
      </c>
      <c r="I42" s="3" t="n">
        <v>20.7</v>
      </c>
      <c r="J42" s="3" t="n">
        <v>20.7</v>
      </c>
      <c r="K42" s="3" t="n">
        <v>20.7</v>
      </c>
      <c r="L42" s="3" t="n">
        <v>20.7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6</v>
      </c>
      <c r="D45" s="3" t="n">
        <v>6</v>
      </c>
      <c r="E45" s="3" t="n">
        <v>6</v>
      </c>
      <c r="F45" s="3" t="n">
        <v>6</v>
      </c>
      <c r="G45" s="3" t="n">
        <v>6</v>
      </c>
      <c r="H45" s="3" t="n">
        <v>6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105</v>
      </c>
      <c r="C46" s="3" t="n">
        <v>6.9</v>
      </c>
      <c r="D46" s="3" t="n">
        <v>6.9</v>
      </c>
      <c r="E46" s="3" t="n">
        <v>6.8</v>
      </c>
      <c r="F46" s="3" t="n">
        <v>6.7</v>
      </c>
      <c r="G46" s="3" t="n">
        <v>6.6</v>
      </c>
      <c r="H46" s="3" t="n">
        <v>6.6</v>
      </c>
      <c r="I46" s="3" t="n">
        <v>6.6</v>
      </c>
      <c r="J46" s="3" t="n">
        <v>6.6</v>
      </c>
      <c r="K46" s="3" t="n">
        <v>6.6</v>
      </c>
      <c r="L46" s="3" t="n">
        <v>6.6</v>
      </c>
    </row>
    <row r="47" customFormat="false" ht="15" hidden="false" customHeight="false" outlineLevel="0" collapsed="false">
      <c r="A47" s="0" t="s">
        <v>106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107</v>
      </c>
      <c r="B48" s="3" t="n">
        <v>8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16</v>
      </c>
    </row>
    <row r="51" customFormat="false" ht="15" hidden="false" customHeight="false" outlineLevel="0" collapsed="false">
      <c r="A51" s="0" t="s">
        <v>110</v>
      </c>
      <c r="B51" s="3" t="n">
        <v>-8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3</v>
      </c>
      <c r="D5" s="4" t="n">
        <f aca="false">Assumptions!D13</f>
        <v>-1.5</v>
      </c>
      <c r="E5" s="4" t="n">
        <f aca="false">Assumptions!E13</f>
        <v>0.5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21460.2</v>
      </c>
      <c r="C6" s="0" t="n">
        <f aca="false">B6*(1+C5/100)</f>
        <v>22104.006</v>
      </c>
      <c r="D6" s="0" t="n">
        <f aca="false">C6*(1+D5/100)</f>
        <v>21772.44591</v>
      </c>
      <c r="E6" s="0" t="n">
        <f aca="false">D6*(1+E5/100)</f>
        <v>21881.30813955</v>
      </c>
      <c r="F6" s="0" t="n">
        <f aca="false">E6*(1+F5/100)</f>
        <v>22318.934302341</v>
      </c>
      <c r="G6" s="0" t="n">
        <f aca="false">F6*(1+G5/100)</f>
        <v>22876.9076598995</v>
      </c>
      <c r="H6" s="0" t="n">
        <f aca="false">G6*(1+H5/100)</f>
        <v>23448.830351397</v>
      </c>
      <c r="I6" s="0" t="n">
        <f aca="false">H6*(1+I5/100)</f>
        <v>23917.806958425</v>
      </c>
      <c r="J6" s="0" t="n">
        <f aca="false">I6*(1+J5/100)</f>
        <v>24396.1630975935</v>
      </c>
      <c r="K6" s="0" t="n">
        <f aca="false">J6*(1+K5/100)</f>
        <v>24884.0863595453</v>
      </c>
      <c r="L6" s="0" t="n">
        <f aca="false">K6*(1+L5/100)</f>
        <v>25257.3476549385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19</v>
      </c>
      <c r="D7" s="4" t="n">
        <f aca="false">Assumptions!D14</f>
        <v>17.5</v>
      </c>
      <c r="E7" s="4" t="n">
        <f aca="false">Assumptions!E14</f>
        <v>17</v>
      </c>
      <c r="F7" s="4" t="n">
        <f aca="false">Assumptions!F14</f>
        <v>17.3</v>
      </c>
      <c r="G7" s="4" t="n">
        <f aca="false">Assumptions!G14</f>
        <v>17.5</v>
      </c>
      <c r="H7" s="4" t="n">
        <f aca="false">Assumptions!H14</f>
        <v>17.5</v>
      </c>
      <c r="I7" s="4" t="n">
        <f aca="false">Assumptions!I14</f>
        <v>17.5</v>
      </c>
      <c r="J7" s="4" t="n">
        <f aca="false">Assumptions!J14</f>
        <v>17.5</v>
      </c>
      <c r="K7" s="4" t="n">
        <f aca="false">Assumptions!K14</f>
        <v>17.5</v>
      </c>
      <c r="L7" s="4" t="n">
        <f aca="false">Assumptions!L14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4199.76114</v>
      </c>
      <c r="D8" s="0" t="n">
        <f aca="false">D6*D7/100</f>
        <v>3810.17803425</v>
      </c>
      <c r="E8" s="0" t="n">
        <f aca="false">E6*E7/100</f>
        <v>3719.8223837235</v>
      </c>
      <c r="F8" s="0" t="n">
        <f aca="false">F6*F7/100</f>
        <v>3861.17563430499</v>
      </c>
      <c r="G8" s="0" t="n">
        <f aca="false">G6*G7/100</f>
        <v>4003.45884048242</v>
      </c>
      <c r="H8" s="0" t="n">
        <f aca="false">H6*H7/100</f>
        <v>4103.54531149448</v>
      </c>
      <c r="I8" s="0" t="n">
        <f aca="false">I6*I7/100</f>
        <v>4185.61621772437</v>
      </c>
      <c r="J8" s="0" t="n">
        <f aca="false">J6*J7/100</f>
        <v>4269.32854207885</v>
      </c>
      <c r="K8" s="0" t="n">
        <f aca="false">K6*K7/100</f>
        <v>4354.71511292043</v>
      </c>
      <c r="L8" s="0" t="n">
        <f aca="false">L6*L7/100</f>
        <v>4420.03583961424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4199.76114</v>
      </c>
      <c r="D11" s="0" t="n">
        <f aca="false">D8+D10+D24</f>
        <v>3810.17803425</v>
      </c>
      <c r="E11" s="0" t="n">
        <f aca="false">E8+E10+E24</f>
        <v>3719.8223837235</v>
      </c>
      <c r="F11" s="0" t="n">
        <f aca="false">F8+F10+F24</f>
        <v>3861.17563430499</v>
      </c>
      <c r="G11" s="0" t="n">
        <f aca="false">G8+G10+G24</f>
        <v>4003.45884048242</v>
      </c>
      <c r="H11" s="0" t="n">
        <f aca="false">H8+H10+H24</f>
        <v>4103.54531149448</v>
      </c>
      <c r="I11" s="0" t="n">
        <f aca="false">I8+I10+I24</f>
        <v>4185.61621772437</v>
      </c>
      <c r="J11" s="0" t="n">
        <f aca="false">J8+J10+J24</f>
        <v>4269.32854207885</v>
      </c>
      <c r="K11" s="0" t="n">
        <f aca="false">K8+K10+K24</f>
        <v>4354.71511292043</v>
      </c>
      <c r="L11" s="0" t="n">
        <f aca="false">L8+L10+L24</f>
        <v>4420.03583961424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-1326.24036</v>
      </c>
      <c r="D12" s="4" t="n">
        <f aca="false">-D6*Assumptions!D17/100</f>
        <v>-1306.3467546</v>
      </c>
      <c r="E12" s="4" t="n">
        <f aca="false">-E6*Assumptions!E17/100</f>
        <v>-1312.878488373</v>
      </c>
      <c r="F12" s="4" t="n">
        <f aca="false">-F6*Assumptions!F17/100</f>
        <v>-1339.13605814046</v>
      </c>
      <c r="G12" s="4" t="n">
        <f aca="false">-G6*Assumptions!G17/100</f>
        <v>-1372.61445959397</v>
      </c>
      <c r="H12" s="4" t="n">
        <f aca="false">-H6*Assumptions!H17/100</f>
        <v>-1406.92982108382</v>
      </c>
      <c r="I12" s="4" t="n">
        <f aca="false">-I6*Assumptions!I17/100</f>
        <v>-1435.0684175055</v>
      </c>
      <c r="J12" s="4" t="n">
        <f aca="false">-J6*Assumptions!J17/100</f>
        <v>-1463.76978585561</v>
      </c>
      <c r="K12" s="4" t="n">
        <f aca="false">-K6*Assumptions!K17/100</f>
        <v>-1493.04518157272</v>
      </c>
      <c r="L12" s="4" t="n">
        <f aca="false">-L6*Assumptions!L17/100</f>
        <v>-1515.44085929631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2873.52078</v>
      </c>
      <c r="D13" s="0" t="n">
        <f aca="false">D11+D12</f>
        <v>2503.83127965</v>
      </c>
      <c r="E13" s="0" t="n">
        <f aca="false">E11+E12</f>
        <v>2406.9438953505</v>
      </c>
      <c r="F13" s="0" t="n">
        <f aca="false">F11+F12</f>
        <v>2522.03957616453</v>
      </c>
      <c r="G13" s="0" t="n">
        <f aca="false">G11+G12</f>
        <v>2630.84438088845</v>
      </c>
      <c r="H13" s="0" t="n">
        <f aca="false">H11+H12</f>
        <v>2696.61549041066</v>
      </c>
      <c r="I13" s="0" t="n">
        <f aca="false">I11+I12</f>
        <v>2750.54780021887</v>
      </c>
      <c r="J13" s="0" t="n">
        <f aca="false">J11+J12</f>
        <v>2805.55875622325</v>
      </c>
      <c r="K13" s="0" t="n">
        <f aca="false">K11+K12</f>
        <v>2861.66993134771</v>
      </c>
      <c r="L13" s="0" t="n">
        <f aca="false">L11+L12</f>
        <v>2904.59498031793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2169.5081889</v>
      </c>
      <c r="D15" s="0" t="n">
        <f aca="false">D13-MAX(0,D13)*D14/100</f>
        <v>1890.39261613575</v>
      </c>
      <c r="E15" s="0" t="n">
        <f aca="false">E13-MAX(0,E13)*E14/100</f>
        <v>1817.24264098963</v>
      </c>
      <c r="F15" s="0" t="n">
        <f aca="false">F13-MAX(0,F13)*F14/100</f>
        <v>1904.13988000422</v>
      </c>
      <c r="G15" s="0" t="n">
        <f aca="false">G13-MAX(0,G13)*G14/100</f>
        <v>1986.28750757078</v>
      </c>
      <c r="H15" s="0" t="n">
        <f aca="false">H13-MAX(0,H13)*H14/100</f>
        <v>2035.94469526005</v>
      </c>
      <c r="I15" s="0" t="n">
        <f aca="false">I13-MAX(0,I13)*I14/100</f>
        <v>2076.66358916525</v>
      </c>
      <c r="J15" s="0" t="n">
        <f aca="false">J13-MAX(0,J13)*J14/100</f>
        <v>2118.19686094855</v>
      </c>
      <c r="K15" s="0" t="n">
        <f aca="false">K13-MAX(0,K13)*K14/100</f>
        <v>2160.56079816752</v>
      </c>
      <c r="L15" s="0" t="n">
        <f aca="false">L13-MAX(0,L13)*L14/100</f>
        <v>2192.96921014004</v>
      </c>
    </row>
    <row r="16" customFormat="false" ht="15" hidden="false" customHeight="false" outlineLevel="0" collapsed="false">
      <c r="A16" s="0" t="s">
        <v>122</v>
      </c>
      <c r="C16" s="0" t="n">
        <f aca="false">-C12</f>
        <v>1326.24036</v>
      </c>
      <c r="D16" s="0" t="n">
        <f aca="false">-D12</f>
        <v>1306.3467546</v>
      </c>
      <c r="E16" s="0" t="n">
        <f aca="false">-E12</f>
        <v>1312.878488373</v>
      </c>
      <c r="F16" s="0" t="n">
        <f aca="false">-F12</f>
        <v>1339.13605814046</v>
      </c>
      <c r="G16" s="0" t="n">
        <f aca="false">-G12</f>
        <v>1372.61445959397</v>
      </c>
      <c r="H16" s="0" t="n">
        <f aca="false">-H12</f>
        <v>1406.92982108382</v>
      </c>
      <c r="I16" s="0" t="n">
        <f aca="false">-I12</f>
        <v>1435.0684175055</v>
      </c>
      <c r="J16" s="0" t="n">
        <f aca="false">-J12</f>
        <v>1463.76978585561</v>
      </c>
      <c r="K16" s="0" t="n">
        <f aca="false">-K12</f>
        <v>1493.04518157272</v>
      </c>
      <c r="L16" s="0" t="n">
        <f aca="false">-L12</f>
        <v>1515.44085929631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-1525.176414</v>
      </c>
      <c r="D17" s="4" t="n">
        <f aca="false">-D6*Assumptions!D18/100</f>
        <v>-1480.52632188</v>
      </c>
      <c r="E17" s="4" t="n">
        <f aca="false">-E6*Assumptions!E18/100</f>
        <v>-1444.1663372103</v>
      </c>
      <c r="F17" s="4" t="n">
        <f aca="false">-F6*Assumptions!F18/100</f>
        <v>-1450.73072965217</v>
      </c>
      <c r="G17" s="4" t="n">
        <f aca="false">-G6*Assumptions!G18/100</f>
        <v>-1486.99899789347</v>
      </c>
      <c r="H17" s="4" t="n">
        <f aca="false">-H6*Assumptions!H18/100</f>
        <v>-1524.17397284081</v>
      </c>
      <c r="I17" s="4" t="n">
        <f aca="false">-I6*Assumptions!I18/100</f>
        <v>-1554.65745229762</v>
      </c>
      <c r="J17" s="4" t="n">
        <f aca="false">-J6*Assumptions!J18/100</f>
        <v>-1585.75060134357</v>
      </c>
      <c r="K17" s="4" t="n">
        <f aca="false">-K6*Assumptions!K18/100</f>
        <v>-1617.46561337045</v>
      </c>
      <c r="L17" s="4" t="n">
        <f aca="false">-L6*Assumptions!L18/100</f>
        <v>-1641.727597571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-51.50448</v>
      </c>
      <c r="D18" s="4" t="n">
        <f aca="false">(D6-C6)*Assumptions!$B$23/100</f>
        <v>26.5248071999999</v>
      </c>
      <c r="E18" s="4" t="n">
        <f aca="false">(E6-D6)*Assumptions!$B$23/100</f>
        <v>-8.70897836399992</v>
      </c>
      <c r="F18" s="4" t="n">
        <f aca="false">(F6-E6)*Assumptions!$B$23/100</f>
        <v>-35.0100930232799</v>
      </c>
      <c r="G18" s="4" t="n">
        <f aca="false">(G6-F6)*Assumptions!$B$23/100</f>
        <v>-44.6378686046819</v>
      </c>
      <c r="H18" s="4" t="n">
        <f aca="false">(H6-G6)*Assumptions!$B$23/100</f>
        <v>-45.7538153197989</v>
      </c>
      <c r="I18" s="4" t="n">
        <f aca="false">(I6-H6)*Assumptions!$B$23/100</f>
        <v>-37.5181285622352</v>
      </c>
      <c r="J18" s="4" t="n">
        <f aca="false">(J6-I6)*Assumptions!$B$23/100</f>
        <v>-38.26849113348</v>
      </c>
      <c r="K18" s="4" t="n">
        <f aca="false">(K6-J6)*Assumptions!$B$23/100</f>
        <v>-39.0338609561496</v>
      </c>
      <c r="L18" s="4" t="n">
        <f aca="false">(L6-K6)*Assumptions!$B$23/100</f>
        <v>-29.8609036314543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1919.0676549</v>
      </c>
      <c r="D19" s="0" t="n">
        <f aca="false">D15+D16+D17+D18</f>
        <v>1742.73785605575</v>
      </c>
      <c r="E19" s="0" t="n">
        <f aca="false">E15+E16+E17+E18</f>
        <v>1677.24581378833</v>
      </c>
      <c r="F19" s="0" t="n">
        <f aca="false">F15+F16+F17+F18</f>
        <v>1757.53511546924</v>
      </c>
      <c r="G19" s="0" t="n">
        <f aca="false">G15+G16+G17+G18</f>
        <v>1827.2651006666</v>
      </c>
      <c r="H19" s="0" t="n">
        <f aca="false">H15+H16+H17+H18</f>
        <v>1872.94672818326</v>
      </c>
      <c r="I19" s="0" t="n">
        <f aca="false">I15+I16+I17+I18</f>
        <v>1919.55642581089</v>
      </c>
      <c r="J19" s="0" t="n">
        <f aca="false">J15+J16+J17+J18</f>
        <v>1957.9475543271</v>
      </c>
      <c r="K19" s="0" t="n">
        <f aca="false">K15+K16+K17+K18</f>
        <v>1997.10650541365</v>
      </c>
      <c r="L19" s="0" t="n">
        <f aca="false">L15+L16+L17+L18</f>
        <v>2036.82156823389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1776.91449527778</v>
      </c>
      <c r="D21" s="0" t="n">
        <f aca="false">D19*D20</f>
        <v>1494.1168176061</v>
      </c>
      <c r="E21" s="0" t="n">
        <f aca="false">E19*E20</f>
        <v>1331.45180310129</v>
      </c>
      <c r="F21" s="0" t="n">
        <f aca="false">F19*F20</f>
        <v>1291.84077720795</v>
      </c>
      <c r="G21" s="0" t="n">
        <f aca="false">G19*G20</f>
        <v>1243.60592403987</v>
      </c>
      <c r="H21" s="0" t="n">
        <f aca="false">H19*H20</f>
        <v>1180.27414087118</v>
      </c>
      <c r="I21" s="0" t="n">
        <f aca="false">I19*I20</f>
        <v>1120.04273762436</v>
      </c>
      <c r="J21" s="0" t="n">
        <f aca="false">J19*J20</f>
        <v>1057.81814108968</v>
      </c>
      <c r="K21" s="0" t="n">
        <f aca="false">K19*K20</f>
        <v>999.050466584694</v>
      </c>
      <c r="L21" s="0" t="n">
        <f aca="false">L19*L20</f>
        <v>943.442486796371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12438.5577901993</v>
      </c>
    </row>
    <row r="31" customFormat="false" ht="15" hidden="false" customHeight="false" outlineLevel="0" collapsed="false">
      <c r="A31" s="0" t="s">
        <v>131</v>
      </c>
      <c r="B31" s="0" t="n">
        <f aca="false">L19</f>
        <v>2036.82156823389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31805.752180883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24441.8588188067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24441.8588188067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11321.3098415565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23759.8676317557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14062.4676317557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79.991283457086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-0.458786986081962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79.991283457086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15313.8806796844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18.9603363044129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4.5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21460.2</v>
      </c>
      <c r="C6" s="0" t="n">
        <f aca="false">B6*(1+C5/100)</f>
        <v>22425.909</v>
      </c>
      <c r="D6" s="0" t="n">
        <f aca="false">C6*(1+D5/100)</f>
        <v>23322.94536</v>
      </c>
      <c r="E6" s="0" t="n">
        <f aca="false">D6*(1+E5/100)</f>
        <v>24139.2484476</v>
      </c>
      <c r="F6" s="0" t="n">
        <f aca="false">E6*(1+F5/100)</f>
        <v>24863.425901028</v>
      </c>
      <c r="G6" s="0" t="n">
        <f aca="false">F6*(1+G5/100)</f>
        <v>25609.3286780588</v>
      </c>
      <c r="H6" s="0" t="n">
        <f aca="false">G6*(1+H5/100)</f>
        <v>26249.5618950103</v>
      </c>
      <c r="I6" s="0" t="n">
        <f aca="false">H6*(1+I5/100)</f>
        <v>26905.8009423856</v>
      </c>
      <c r="J6" s="0" t="n">
        <f aca="false">I6*(1+J5/100)</f>
        <v>27578.4459659452</v>
      </c>
      <c r="K6" s="0" t="n">
        <f aca="false">J6*(1+K5/100)</f>
        <v>28130.0148852641</v>
      </c>
      <c r="L6" s="0" t="n">
        <f aca="false">K6*(1+L5/100)</f>
        <v>28692.6151829694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19.5</v>
      </c>
      <c r="D7" s="4" t="n">
        <f aca="false">Assumptions!D28</f>
        <v>19.4</v>
      </c>
      <c r="E7" s="4" t="n">
        <f aca="false">Assumptions!E28</f>
        <v>19.2</v>
      </c>
      <c r="F7" s="4" t="n">
        <f aca="false">Assumptions!F28</f>
        <v>19</v>
      </c>
      <c r="G7" s="4" t="n">
        <f aca="false">Assumptions!G28</f>
        <v>18.9</v>
      </c>
      <c r="H7" s="4" t="n">
        <f aca="false">Assumptions!H28</f>
        <v>18.8</v>
      </c>
      <c r="I7" s="4" t="n">
        <f aca="false">Assumptions!I28</f>
        <v>18.8</v>
      </c>
      <c r="J7" s="4" t="n">
        <f aca="false">Assumptions!J28</f>
        <v>18.8</v>
      </c>
      <c r="K7" s="4" t="n">
        <f aca="false">Assumptions!K28</f>
        <v>18.8</v>
      </c>
      <c r="L7" s="4" t="n">
        <f aca="false">Assumptions!L28</f>
        <v>18.8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4373.052255</v>
      </c>
      <c r="D8" s="0" t="n">
        <f aca="false">D6*D7/100</f>
        <v>4524.65139984</v>
      </c>
      <c r="E8" s="0" t="n">
        <f aca="false">E6*E7/100</f>
        <v>4634.7357019392</v>
      </c>
      <c r="F8" s="0" t="n">
        <f aca="false">F6*F7/100</f>
        <v>4724.05092119532</v>
      </c>
      <c r="G8" s="0" t="n">
        <f aca="false">G6*G7/100</f>
        <v>4840.16312015312</v>
      </c>
      <c r="H8" s="0" t="n">
        <f aca="false">H6*H7/100</f>
        <v>4934.91763626194</v>
      </c>
      <c r="I8" s="0" t="n">
        <f aca="false">I6*I7/100</f>
        <v>5058.29057716849</v>
      </c>
      <c r="J8" s="0" t="n">
        <f aca="false">J6*J7/100</f>
        <v>5184.7478415977</v>
      </c>
      <c r="K8" s="0" t="n">
        <f aca="false">K6*K7/100</f>
        <v>5288.44279842965</v>
      </c>
      <c r="L8" s="0" t="n">
        <f aca="false">L6*L7/100</f>
        <v>5394.21165439825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4373.052255</v>
      </c>
      <c r="D11" s="0" t="n">
        <f aca="false">D8+D10+D24</f>
        <v>4524.65139984</v>
      </c>
      <c r="E11" s="0" t="n">
        <f aca="false">E8+E10+E24</f>
        <v>4634.7357019392</v>
      </c>
      <c r="F11" s="0" t="n">
        <f aca="false">F8+F10+F24</f>
        <v>4724.05092119532</v>
      </c>
      <c r="G11" s="0" t="n">
        <f aca="false">G8+G10+G24</f>
        <v>4840.16312015312</v>
      </c>
      <c r="H11" s="0" t="n">
        <f aca="false">H8+H10+H24</f>
        <v>4934.91763626194</v>
      </c>
      <c r="I11" s="0" t="n">
        <f aca="false">I8+I10+I24</f>
        <v>5058.29057716849</v>
      </c>
      <c r="J11" s="0" t="n">
        <f aca="false">J8+J10+J24</f>
        <v>5184.7478415977</v>
      </c>
      <c r="K11" s="0" t="n">
        <f aca="false">K8+K10+K24</f>
        <v>5288.44279842965</v>
      </c>
      <c r="L11" s="0" t="n">
        <f aca="false">L8+L10+L24</f>
        <v>5394.21165439825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-1345.55454</v>
      </c>
      <c r="D12" s="4" t="n">
        <f aca="false">-D6*Assumptions!D31/100</f>
        <v>-1399.3767216</v>
      </c>
      <c r="E12" s="4" t="n">
        <f aca="false">-E6*Assumptions!E31/100</f>
        <v>-1448.354906856</v>
      </c>
      <c r="F12" s="4" t="n">
        <f aca="false">-F6*Assumptions!F31/100</f>
        <v>-1491.80555406168</v>
      </c>
      <c r="G12" s="4" t="n">
        <f aca="false">-G6*Assumptions!G31/100</f>
        <v>-1536.55972068353</v>
      </c>
      <c r="H12" s="4" t="n">
        <f aca="false">-H6*Assumptions!H31/100</f>
        <v>-1574.97371370062</v>
      </c>
      <c r="I12" s="4" t="n">
        <f aca="false">-I6*Assumptions!I31/100</f>
        <v>-1614.34805654313</v>
      </c>
      <c r="J12" s="4" t="n">
        <f aca="false">-J6*Assumptions!J31/100</f>
        <v>-1654.70675795671</v>
      </c>
      <c r="K12" s="4" t="n">
        <f aca="false">-K6*Assumptions!K31/100</f>
        <v>-1687.80089311585</v>
      </c>
      <c r="L12" s="4" t="n">
        <f aca="false">-L6*Assumptions!L31/100</f>
        <v>-1721.55691097816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3027.497715</v>
      </c>
      <c r="D13" s="0" t="n">
        <f aca="false">D11+D12</f>
        <v>3125.27467824</v>
      </c>
      <c r="E13" s="0" t="n">
        <f aca="false">E11+E12</f>
        <v>3186.3807950832</v>
      </c>
      <c r="F13" s="0" t="n">
        <f aca="false">F11+F12</f>
        <v>3232.24536713364</v>
      </c>
      <c r="G13" s="0" t="n">
        <f aca="false">G11+G12</f>
        <v>3303.60339946959</v>
      </c>
      <c r="H13" s="0" t="n">
        <f aca="false">H11+H12</f>
        <v>3359.94392256132</v>
      </c>
      <c r="I13" s="0" t="n">
        <f aca="false">I11+I12</f>
        <v>3443.94252062535</v>
      </c>
      <c r="J13" s="0" t="n">
        <f aca="false">J11+J12</f>
        <v>3530.04108364099</v>
      </c>
      <c r="K13" s="0" t="n">
        <f aca="false">K11+K12</f>
        <v>3600.64190531381</v>
      </c>
      <c r="L13" s="0" t="n">
        <f aca="false">L11+L12</f>
        <v>3672.65474342008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2285.760774825</v>
      </c>
      <c r="D15" s="0" t="n">
        <f aca="false">D13-MAX(0,D13)*D14/100</f>
        <v>2359.5823820712</v>
      </c>
      <c r="E15" s="0" t="n">
        <f aca="false">E13-MAX(0,E13)*E14/100</f>
        <v>2405.71750028782</v>
      </c>
      <c r="F15" s="0" t="n">
        <f aca="false">F13-MAX(0,F13)*F14/100</f>
        <v>2440.3452521859</v>
      </c>
      <c r="G15" s="0" t="n">
        <f aca="false">G13-MAX(0,G13)*G14/100</f>
        <v>2494.22056659954</v>
      </c>
      <c r="H15" s="0" t="n">
        <f aca="false">H13-MAX(0,H13)*H14/100</f>
        <v>2536.7576615338</v>
      </c>
      <c r="I15" s="0" t="n">
        <f aca="false">I13-MAX(0,I13)*I14/100</f>
        <v>2600.17660307214</v>
      </c>
      <c r="J15" s="0" t="n">
        <f aca="false">J13-MAX(0,J13)*J14/100</f>
        <v>2665.18101814895</v>
      </c>
      <c r="K15" s="0" t="n">
        <f aca="false">K13-MAX(0,K13)*K14/100</f>
        <v>2718.48463851193</v>
      </c>
      <c r="L15" s="0" t="n">
        <f aca="false">L13-MAX(0,L13)*L14/100</f>
        <v>2772.85433128216</v>
      </c>
    </row>
    <row r="16" customFormat="false" ht="15" hidden="false" customHeight="false" outlineLevel="0" collapsed="false">
      <c r="A16" s="0" t="s">
        <v>122</v>
      </c>
      <c r="C16" s="0" t="n">
        <f aca="false">-C12</f>
        <v>1345.55454</v>
      </c>
      <c r="D16" s="0" t="n">
        <f aca="false">-D12</f>
        <v>1399.3767216</v>
      </c>
      <c r="E16" s="0" t="n">
        <f aca="false">-E12</f>
        <v>1448.354906856</v>
      </c>
      <c r="F16" s="0" t="n">
        <f aca="false">-F12</f>
        <v>1491.80555406168</v>
      </c>
      <c r="G16" s="0" t="n">
        <f aca="false">-G12</f>
        <v>1536.55972068353</v>
      </c>
      <c r="H16" s="0" t="n">
        <f aca="false">-H12</f>
        <v>1574.97371370062</v>
      </c>
      <c r="I16" s="0" t="n">
        <f aca="false">-I12</f>
        <v>1614.34805654313</v>
      </c>
      <c r="J16" s="0" t="n">
        <f aca="false">-J12</f>
        <v>1654.70675795671</v>
      </c>
      <c r="K16" s="0" t="n">
        <f aca="false">-K12</f>
        <v>1687.80089311585</v>
      </c>
      <c r="L16" s="0" t="n">
        <f aca="false">-L12</f>
        <v>1721.55691097816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-1547.387721</v>
      </c>
      <c r="D17" s="4" t="n">
        <f aca="false">-D6*Assumptions!D32/100</f>
        <v>-1609.28322984</v>
      </c>
      <c r="E17" s="4" t="n">
        <f aca="false">-E6*Assumptions!E32/100</f>
        <v>-1641.4688944368</v>
      </c>
      <c r="F17" s="4" t="n">
        <f aca="false">-F6*Assumptions!F32/100</f>
        <v>-1665.84953536888</v>
      </c>
      <c r="G17" s="4" t="n">
        <f aca="false">-G6*Assumptions!G32/100</f>
        <v>-1690.21569275188</v>
      </c>
      <c r="H17" s="4" t="n">
        <f aca="false">-H6*Assumptions!H32/100</f>
        <v>-1732.47108507068</v>
      </c>
      <c r="I17" s="4" t="n">
        <f aca="false">-I6*Assumptions!I32/100</f>
        <v>-1775.78286219745</v>
      </c>
      <c r="J17" s="4" t="n">
        <f aca="false">-J6*Assumptions!J32/100</f>
        <v>-1820.17743375238</v>
      </c>
      <c r="K17" s="4" t="n">
        <f aca="false">-K6*Assumptions!K32/100</f>
        <v>-1856.58098242743</v>
      </c>
      <c r="L17" s="4" t="n">
        <f aca="false">-L6*Assumptions!L32/100</f>
        <v>-1893.71260207598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-77.2567199999999</v>
      </c>
      <c r="D18" s="4" t="n">
        <f aca="false">(D6-C6)*Assumptions!$B$37/100</f>
        <v>-71.7629088000002</v>
      </c>
      <c r="E18" s="4" t="n">
        <f aca="false">(E6-D6)*Assumptions!$B$37/100</f>
        <v>-65.3042470079998</v>
      </c>
      <c r="F18" s="4" t="n">
        <f aca="false">(F6-E6)*Assumptions!$B$37/100</f>
        <v>-57.9341962742401</v>
      </c>
      <c r="G18" s="4" t="n">
        <f aca="false">(G6-F6)*Assumptions!$B$37/100</f>
        <v>-59.6722221624674</v>
      </c>
      <c r="H18" s="4" t="n">
        <f aca="false">(H6-G6)*Assumptions!$B$37/100</f>
        <v>-51.2186573561176</v>
      </c>
      <c r="I18" s="4" t="n">
        <f aca="false">(I6-H6)*Assumptions!$B$37/100</f>
        <v>-52.4991237900205</v>
      </c>
      <c r="J18" s="4" t="n">
        <f aca="false">(J6-I6)*Assumptions!$B$37/100</f>
        <v>-53.8116018847711</v>
      </c>
      <c r="K18" s="4" t="n">
        <f aca="false">(K6-J6)*Assumptions!$B$37/100</f>
        <v>-44.1255135455125</v>
      </c>
      <c r="L18" s="4" t="n">
        <f aca="false">(L6-K6)*Assumptions!$B$37/100</f>
        <v>-45.0080238164225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2006.670873825</v>
      </c>
      <c r="D19" s="0" t="n">
        <f aca="false">D15+D16+D17+D18</f>
        <v>2077.9129650312</v>
      </c>
      <c r="E19" s="0" t="n">
        <f aca="false">E15+E16+E17+E18</f>
        <v>2147.29926569902</v>
      </c>
      <c r="F19" s="0" t="n">
        <f aca="false">F15+F16+F17+F18</f>
        <v>2208.36707460446</v>
      </c>
      <c r="G19" s="0" t="n">
        <f aca="false">G15+G16+G17+G18</f>
        <v>2280.89237236872</v>
      </c>
      <c r="H19" s="0" t="n">
        <f aca="false">H15+H16+H17+H18</f>
        <v>2328.04163280762</v>
      </c>
      <c r="I19" s="0" t="n">
        <f aca="false">I15+I16+I17+I18</f>
        <v>2386.24267362781</v>
      </c>
      <c r="J19" s="0" t="n">
        <f aca="false">J15+J16+J17+J18</f>
        <v>2445.8987404685</v>
      </c>
      <c r="K19" s="0" t="n">
        <f aca="false">K15+K16+K17+K18</f>
        <v>2505.57903565483</v>
      </c>
      <c r="L19" s="0" t="n">
        <f aca="false">L15+L16+L17+L18</f>
        <v>2555.69061636792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1858.028586875</v>
      </c>
      <c r="D21" s="0" t="n">
        <f aca="false">D19*D20</f>
        <v>1781.47545012963</v>
      </c>
      <c r="E21" s="0" t="n">
        <f aca="false">E19*E20</f>
        <v>1704.59538823081</v>
      </c>
      <c r="F21" s="0" t="n">
        <f aca="false">F19*F20</f>
        <v>1623.21572576705</v>
      </c>
      <c r="G21" s="0" t="n">
        <f aca="false">G19*G20</f>
        <v>1552.33702287661</v>
      </c>
      <c r="H21" s="0" t="n">
        <f aca="false">H19*H20</f>
        <v>1467.06112711471</v>
      </c>
      <c r="I21" s="0" t="n">
        <f aca="false">I19*I20</f>
        <v>1392.34968082646</v>
      </c>
      <c r="J21" s="0" t="n">
        <f aca="false">J19*J20</f>
        <v>1321.44298411771</v>
      </c>
      <c r="K21" s="0" t="n">
        <f aca="false">K19*K20</f>
        <v>1253.41332465256</v>
      </c>
      <c r="L21" s="0" t="n">
        <f aca="false">L19*L20</f>
        <v>1183.77925106076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15137.6985416513</v>
      </c>
    </row>
    <row r="31" customFormat="false" ht="15" hidden="false" customHeight="false" outlineLevel="0" collapsed="false">
      <c r="A31" s="0" t="s">
        <v>131</v>
      </c>
      <c r="B31" s="0" t="n">
        <f aca="false">L19</f>
        <v>2555.69061636792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43446.7404782547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35779.6686291509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35779.6686291509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16572.9095148506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31710.6080565019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22013.2080565019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125.217338205358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-0.152792028380531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125.217338205358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20052.3417591945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36.581272915178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21460.2</v>
      </c>
      <c r="C6" s="0" t="n">
        <f aca="false">B6*(1+C5/100)</f>
        <v>22533.21</v>
      </c>
      <c r="D6" s="0" t="n">
        <f aca="false">C6*(1+D5/100)</f>
        <v>23772.53655</v>
      </c>
      <c r="E6" s="0" t="n">
        <f aca="false">D6*(1+E5/100)</f>
        <v>24961.1633775</v>
      </c>
      <c r="F6" s="0" t="n">
        <f aca="false">E6*(1+F5/100)</f>
        <v>26084.4157294875</v>
      </c>
      <c r="G6" s="0" t="n">
        <f aca="false">F6*(1+G5/100)</f>
        <v>27127.792358667</v>
      </c>
      <c r="H6" s="0" t="n">
        <f aca="false">G6*(1+H5/100)</f>
        <v>28077.2650912203</v>
      </c>
      <c r="I6" s="0" t="n">
        <f aca="false">H6*(1+I5/100)</f>
        <v>28919.583043957</v>
      </c>
      <c r="J6" s="0" t="n">
        <f aca="false">I6*(1+J5/100)</f>
        <v>29787.1705352757</v>
      </c>
      <c r="K6" s="0" t="n">
        <f aca="false">J6*(1+K5/100)</f>
        <v>30531.8497986576</v>
      </c>
      <c r="L6" s="0" t="n">
        <f aca="false">K6*(1+L5/100)</f>
        <v>31295.146043624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19.7</v>
      </c>
      <c r="D7" s="4" t="n">
        <f aca="false">Assumptions!D42</f>
        <v>20</v>
      </c>
      <c r="E7" s="4" t="n">
        <f aca="false">Assumptions!E42</f>
        <v>20.3</v>
      </c>
      <c r="F7" s="4" t="n">
        <f aca="false">Assumptions!F42</f>
        <v>20.5</v>
      </c>
      <c r="G7" s="4" t="n">
        <f aca="false">Assumptions!G42</f>
        <v>20.6</v>
      </c>
      <c r="H7" s="4" t="n">
        <f aca="false">Assumptions!H42</f>
        <v>20.7</v>
      </c>
      <c r="I7" s="4" t="n">
        <f aca="false">Assumptions!I42</f>
        <v>20.7</v>
      </c>
      <c r="J7" s="4" t="n">
        <f aca="false">Assumptions!J42</f>
        <v>20.7</v>
      </c>
      <c r="K7" s="4" t="n">
        <f aca="false">Assumptions!K42</f>
        <v>20.7</v>
      </c>
      <c r="L7" s="4" t="n">
        <f aca="false">Assumptions!L42</f>
        <v>20.7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4439.04237</v>
      </c>
      <c r="D8" s="0" t="n">
        <f aca="false">D6*D7/100</f>
        <v>4754.50731</v>
      </c>
      <c r="E8" s="0" t="n">
        <f aca="false">E6*E7/100</f>
        <v>5067.1161656325</v>
      </c>
      <c r="F8" s="0" t="n">
        <f aca="false">F6*F7/100</f>
        <v>5347.30522454494</v>
      </c>
      <c r="G8" s="0" t="n">
        <f aca="false">G6*G7/100</f>
        <v>5588.3252258854</v>
      </c>
      <c r="H8" s="0" t="n">
        <f aca="false">H6*H7/100</f>
        <v>5811.99387388261</v>
      </c>
      <c r="I8" s="0" t="n">
        <f aca="false">I6*I7/100</f>
        <v>5986.35369009909</v>
      </c>
      <c r="J8" s="0" t="n">
        <f aca="false">J6*J7/100</f>
        <v>6165.94430080206</v>
      </c>
      <c r="K8" s="0" t="n">
        <f aca="false">K6*K7/100</f>
        <v>6320.09290832211</v>
      </c>
      <c r="L8" s="0" t="n">
        <f aca="false">L6*L7/100</f>
        <v>6478.09523103017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4439.04237</v>
      </c>
      <c r="D11" s="0" t="n">
        <f aca="false">D8+D10+D24</f>
        <v>4754.50731</v>
      </c>
      <c r="E11" s="0" t="n">
        <f aca="false">E8+E10+E24</f>
        <v>5067.1161656325</v>
      </c>
      <c r="F11" s="0" t="n">
        <f aca="false">F8+F10+F24</f>
        <v>5347.30522454494</v>
      </c>
      <c r="G11" s="0" t="n">
        <f aca="false">G8+G10+G24</f>
        <v>5588.3252258854</v>
      </c>
      <c r="H11" s="0" t="n">
        <f aca="false">H8+H10+H24</f>
        <v>5811.99387388261</v>
      </c>
      <c r="I11" s="0" t="n">
        <f aca="false">I8+I10+I24</f>
        <v>5986.35369009909</v>
      </c>
      <c r="J11" s="0" t="n">
        <f aca="false">J8+J10+J24</f>
        <v>6165.94430080206</v>
      </c>
      <c r="K11" s="0" t="n">
        <f aca="false">K8+K10+K24</f>
        <v>6320.09290832211</v>
      </c>
      <c r="L11" s="0" t="n">
        <f aca="false">L8+L10+L24</f>
        <v>6478.09523103017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-1351.9926</v>
      </c>
      <c r="D12" s="4" t="n">
        <f aca="false">-D6*Assumptions!D45/100</f>
        <v>-1426.352193</v>
      </c>
      <c r="E12" s="4" t="n">
        <f aca="false">-E6*Assumptions!E45/100</f>
        <v>-1497.66980265</v>
      </c>
      <c r="F12" s="4" t="n">
        <f aca="false">-F6*Assumptions!F45/100</f>
        <v>-1565.06494376925</v>
      </c>
      <c r="G12" s="4" t="n">
        <f aca="false">-G6*Assumptions!G45/100</f>
        <v>-1627.66754152002</v>
      </c>
      <c r="H12" s="4" t="n">
        <f aca="false">-H6*Assumptions!H45/100</f>
        <v>-1684.63590547322</v>
      </c>
      <c r="I12" s="4" t="n">
        <f aca="false">-I6*Assumptions!I45/100</f>
        <v>-1735.17498263742</v>
      </c>
      <c r="J12" s="4" t="n">
        <f aca="false">-J6*Assumptions!J45/100</f>
        <v>-1787.23023211654</v>
      </c>
      <c r="K12" s="4" t="n">
        <f aca="false">-K6*Assumptions!K45/100</f>
        <v>-1831.91098791945</v>
      </c>
      <c r="L12" s="4" t="n">
        <f aca="false">-L6*Assumptions!L45/100</f>
        <v>-1877.70876261744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3087.04977</v>
      </c>
      <c r="D13" s="0" t="n">
        <f aca="false">D11+D12</f>
        <v>3328.155117</v>
      </c>
      <c r="E13" s="0" t="n">
        <f aca="false">E11+E12</f>
        <v>3569.4463629825</v>
      </c>
      <c r="F13" s="0" t="n">
        <f aca="false">F11+F12</f>
        <v>3782.24028077569</v>
      </c>
      <c r="G13" s="0" t="n">
        <f aca="false">G11+G12</f>
        <v>3960.65768436538</v>
      </c>
      <c r="H13" s="0" t="n">
        <f aca="false">H11+H12</f>
        <v>4127.35796840939</v>
      </c>
      <c r="I13" s="0" t="n">
        <f aca="false">I11+I12</f>
        <v>4251.17870746167</v>
      </c>
      <c r="J13" s="0" t="n">
        <f aca="false">J11+J12</f>
        <v>4378.71406868552</v>
      </c>
      <c r="K13" s="0" t="n">
        <f aca="false">K11+K12</f>
        <v>4488.18192040266</v>
      </c>
      <c r="L13" s="0" t="n">
        <f aca="false">L11+L12</f>
        <v>4600.38646841273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2330.72257635</v>
      </c>
      <c r="D15" s="0" t="n">
        <f aca="false">D13-MAX(0,D13)*D14/100</f>
        <v>2512.757113335</v>
      </c>
      <c r="E15" s="0" t="n">
        <f aca="false">E13-MAX(0,E13)*E14/100</f>
        <v>2694.93200405179</v>
      </c>
      <c r="F15" s="0" t="n">
        <f aca="false">F13-MAX(0,F13)*F14/100</f>
        <v>2855.59141198564</v>
      </c>
      <c r="G15" s="0" t="n">
        <f aca="false">G13-MAX(0,G13)*G14/100</f>
        <v>2990.29655169586</v>
      </c>
      <c r="H15" s="0" t="n">
        <f aca="false">H13-MAX(0,H13)*H14/100</f>
        <v>3116.15526614909</v>
      </c>
      <c r="I15" s="0" t="n">
        <f aca="false">I13-MAX(0,I13)*I14/100</f>
        <v>3209.63992413356</v>
      </c>
      <c r="J15" s="0" t="n">
        <f aca="false">J13-MAX(0,J13)*J14/100</f>
        <v>3305.92912185757</v>
      </c>
      <c r="K15" s="0" t="n">
        <f aca="false">K13-MAX(0,K13)*K14/100</f>
        <v>3388.57734990401</v>
      </c>
      <c r="L15" s="0" t="n">
        <f aca="false">L13-MAX(0,L13)*L14/100</f>
        <v>3473.29178365161</v>
      </c>
    </row>
    <row r="16" customFormat="false" ht="15" hidden="false" customHeight="false" outlineLevel="0" collapsed="false">
      <c r="A16" s="0" t="s">
        <v>122</v>
      </c>
      <c r="C16" s="0" t="n">
        <f aca="false">-C12</f>
        <v>1351.9926</v>
      </c>
      <c r="D16" s="0" t="n">
        <f aca="false">-D12</f>
        <v>1426.352193</v>
      </c>
      <c r="E16" s="0" t="n">
        <f aca="false">-E12</f>
        <v>1497.66980265</v>
      </c>
      <c r="F16" s="0" t="n">
        <f aca="false">-F12</f>
        <v>1565.06494376925</v>
      </c>
      <c r="G16" s="0" t="n">
        <f aca="false">-G12</f>
        <v>1627.66754152002</v>
      </c>
      <c r="H16" s="0" t="n">
        <f aca="false">-H12</f>
        <v>1684.63590547322</v>
      </c>
      <c r="I16" s="0" t="n">
        <f aca="false">-I12</f>
        <v>1735.17498263742</v>
      </c>
      <c r="J16" s="0" t="n">
        <f aca="false">-J12</f>
        <v>1787.23023211654</v>
      </c>
      <c r="K16" s="0" t="n">
        <f aca="false">-K12</f>
        <v>1831.91098791945</v>
      </c>
      <c r="L16" s="0" t="n">
        <f aca="false">-L12</f>
        <v>1877.70876261744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-1554.79149</v>
      </c>
      <c r="D17" s="4" t="n">
        <f aca="false">-D6*Assumptions!D46/100</f>
        <v>-1640.30502195</v>
      </c>
      <c r="E17" s="4" t="n">
        <f aca="false">-E6*Assumptions!E46/100</f>
        <v>-1697.35910967</v>
      </c>
      <c r="F17" s="4" t="n">
        <f aca="false">-F6*Assumptions!F46/100</f>
        <v>-1747.65585387566</v>
      </c>
      <c r="G17" s="4" t="n">
        <f aca="false">-G6*Assumptions!G46/100</f>
        <v>-1790.43429567202</v>
      </c>
      <c r="H17" s="4" t="n">
        <f aca="false">-H6*Assumptions!H46/100</f>
        <v>-1853.09949602054</v>
      </c>
      <c r="I17" s="4" t="n">
        <f aca="false">-I6*Assumptions!I46/100</f>
        <v>-1908.69248090116</v>
      </c>
      <c r="J17" s="4" t="n">
        <f aca="false">-J6*Assumptions!J46/100</f>
        <v>-1965.95325532819</v>
      </c>
      <c r="K17" s="4" t="n">
        <f aca="false">-K6*Assumptions!K46/100</f>
        <v>-2015.1020867114</v>
      </c>
      <c r="L17" s="4" t="n">
        <f aca="false">-L6*Assumptions!L46/100</f>
        <v>-2065.47963887918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-85.8408000000002</v>
      </c>
      <c r="D18" s="4" t="n">
        <f aca="false">(D6-C6)*Assumptions!$B$51/100</f>
        <v>-99.1461239999998</v>
      </c>
      <c r="E18" s="4" t="n">
        <f aca="false">(E6-D6)*Assumptions!$B$51/100</f>
        <v>-95.0901462</v>
      </c>
      <c r="F18" s="4" t="n">
        <f aca="false">(F6-E6)*Assumptions!$B$51/100</f>
        <v>-89.860188159</v>
      </c>
      <c r="G18" s="4" t="n">
        <f aca="false">(G6-F6)*Assumptions!$B$51/100</f>
        <v>-83.47013033436</v>
      </c>
      <c r="H18" s="4" t="n">
        <f aca="false">(H6-G6)*Assumptions!$B$51/100</f>
        <v>-75.9578186042674</v>
      </c>
      <c r="I18" s="4" t="n">
        <f aca="false">(I6-H6)*Assumptions!$B$51/100</f>
        <v>-67.385436218929</v>
      </c>
      <c r="J18" s="4" t="n">
        <f aca="false">(J6-I6)*Assumptions!$B$51/100</f>
        <v>-69.4069993054969</v>
      </c>
      <c r="K18" s="4" t="n">
        <f aca="false">(K6-J6)*Assumptions!$B$51/100</f>
        <v>-59.574341070551</v>
      </c>
      <c r="L18" s="4" t="n">
        <f aca="false">(L6-K6)*Assumptions!$B$51/100</f>
        <v>-61.063699597315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2042.08288635</v>
      </c>
      <c r="D19" s="0" t="n">
        <f aca="false">D15+D16+D17+D18</f>
        <v>2199.658160385</v>
      </c>
      <c r="E19" s="0" t="n">
        <f aca="false">E15+E16+E17+E18</f>
        <v>2400.15255083179</v>
      </c>
      <c r="F19" s="0" t="n">
        <f aca="false">F15+F16+F17+F18</f>
        <v>2583.14031372023</v>
      </c>
      <c r="G19" s="0" t="n">
        <f aca="false">G15+G16+G17+G18</f>
        <v>2744.0596672095</v>
      </c>
      <c r="H19" s="0" t="n">
        <f aca="false">H15+H16+H17+H18</f>
        <v>2871.7338569975</v>
      </c>
      <c r="I19" s="0" t="n">
        <f aca="false">I15+I16+I17+I18</f>
        <v>2968.73698965089</v>
      </c>
      <c r="J19" s="0" t="n">
        <f aca="false">J15+J16+J17+J18</f>
        <v>3057.79909934042</v>
      </c>
      <c r="K19" s="0" t="n">
        <f aca="false">K15+K16+K17+K18</f>
        <v>3145.81191004151</v>
      </c>
      <c r="L19" s="0" t="n">
        <f aca="false">L15+L16+L17+L18</f>
        <v>3224.45720779255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1890.81748736111</v>
      </c>
      <c r="D21" s="0" t="n">
        <f aca="false">D19*D20</f>
        <v>1885.85233229167</v>
      </c>
      <c r="E21" s="0" t="n">
        <f aca="false">E19*E20</f>
        <v>1905.31847821708</v>
      </c>
      <c r="F21" s="0" t="n">
        <f aca="false">F19*F20</f>
        <v>1898.68524454637</v>
      </c>
      <c r="G21" s="0" t="n">
        <f aca="false">G19*G20</f>
        <v>1867.56090116082</v>
      </c>
      <c r="H21" s="0" t="n">
        <f aca="false">H19*H20</f>
        <v>1809.67945317169</v>
      </c>
      <c r="I21" s="0" t="n">
        <f aca="false">I19*I20</f>
        <v>1732.22951952072</v>
      </c>
      <c r="J21" s="0" t="n">
        <f aca="false">J19*J20</f>
        <v>1652.03370843179</v>
      </c>
      <c r="K21" s="0" t="n">
        <f aca="false">K19*K20</f>
        <v>1573.68915878811</v>
      </c>
      <c r="L21" s="0" t="n">
        <f aca="false">L19*L20</f>
        <v>1493.54758125723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17709.4138647466</v>
      </c>
    </row>
    <row r="31" customFormat="false" ht="15" hidden="false" customHeight="false" outlineLevel="0" collapsed="false">
      <c r="A31" s="0" t="s">
        <v>131</v>
      </c>
      <c r="B31" s="0" t="n">
        <f aca="false">L19</f>
        <v>3224.45720779255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60092.1570543157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51591.3153246808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51591.3153246808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23896.7613001157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41606.1751648623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31908.7751648623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181.506115841082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0.228052204608135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181.506115841082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26440.5491038989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55.4327785758868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79.991283457086</v>
      </c>
      <c r="C4" s="0" t="n">
        <f aca="false">B4/Assumptions!$B$2-1</f>
        <v>-0.458786986081962</v>
      </c>
      <c r="D4" s="4" t="n">
        <f aca="false">Assumptions!$B$24</f>
        <v>0.25</v>
      </c>
      <c r="E4" s="4" t="n">
        <f aca="false">DCF_Bear!$B$43</f>
        <v>79.991283457086</v>
      </c>
      <c r="F4" s="4" t="n">
        <f aca="false">DCF_Bear!$B$47</f>
        <v>18.9603363044129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125.217338205358</v>
      </c>
      <c r="C5" s="0" t="n">
        <f aca="false">B5/Assumptions!$B$2-1</f>
        <v>-0.152792028380531</v>
      </c>
      <c r="D5" s="4" t="n">
        <f aca="false">Assumptions!$B$38</f>
        <v>0.5</v>
      </c>
      <c r="E5" s="4" t="n">
        <f aca="false">DCF_Base!$B$43</f>
        <v>125.217338205358</v>
      </c>
      <c r="F5" s="4" t="n">
        <f aca="false">DCF_Base!$B$47</f>
        <v>36.581272915178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181.506115841082</v>
      </c>
      <c r="C6" s="0" t="n">
        <f aca="false">B6/Assumptions!$B$2-1</f>
        <v>0.228052204608135</v>
      </c>
      <c r="D6" s="4" t="n">
        <f aca="false">Assumptions!$B$52</f>
        <v>0.25</v>
      </c>
      <c r="E6" s="4" t="n">
        <f aca="false">DCF_Bull!$B$43</f>
        <v>181.506115841082</v>
      </c>
      <c r="F6" s="4" t="n">
        <f aca="false">DCF_Bull!$B$47</f>
        <v>55.4327785758868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127.983018927221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127.983018927221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-0.154840706516294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36.8889151776639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125.217338205358</v>
      </c>
      <c r="C15" s="3" t="n">
        <v>8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113.000168604051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94.8383610281545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77.992436416827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64.5234142097176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36.581272915178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153.319959105547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153.319959105547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153.319959105547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153.319959105547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153.319959105547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138.613297709662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138.613297709662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138.613297709662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138.613297709662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138.613297709662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125.217338205358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125.217338205358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125.217338205358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125.217338205358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125.217338205358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104.556578807555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110.134465400392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113.000168604051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113.000168604051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113.000168604051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86.2754241072647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90.305041481801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94.8383610281545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99.9761231806883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101.844400327064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2026-10-24T23:08:48Z</dcterms:created>
  <dc:creator>openpyxl</dc:creator>
  <dc:description/>
  <dc:language>en-NZ</dc:language>
  <cp:lastModifiedBy/>
  <dcterms:modified xsi:type="dcterms:W3CDTF">2026-10-24T23:08:48Z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