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<sst xmlns="http://schemas.openxmlformats.org/spreadsheetml/2006/main" count="354" uniqueCount="166">
  <si>
    <t xml:space="preserve">Ticker</t>
  </si>
  <si>
    <t xml:space="preserve">1024.HK</t>
  </si>
  <si>
    <t xml:space="preserve">Company</t>
  </si>
  <si>
    <t xml:space="preserve">Kuaishou Technology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</si>
  <si>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</si>
  <si>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</si>
  <si>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</si>
  <si>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</si>
  <si>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</si>
  <si>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</si>
  <si>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</si>
  <si>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</si>
  <si>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</si>
  <si>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</si>
  <si>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</si>
  <si>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</si>
  <si>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</si>
  <si>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</si>
  <si>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</si>
  <si>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</si>
  <si>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</si>
  <si>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</si>
  <si>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2026-10-11T13:38:05Z</t>
  </si>
  <si>
    <t xml:space="preserve">Drivers file</t>
  </si>
  <si>
    <t xml:space="preserve">1024.HK_Drivers.json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</si>
  <si>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</si>
  <si>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</si>
  <si>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</si>
  <si>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strict basis: SBC expensed, share count flat, lease payments charged as operating cost, all investment income stripped from the flows and its source assets (cash, time deposits, wealth-management products) added once to the bridge at carrying value. The value is roughly 80% cash pile and 20% operating business at the current price, so the thesis is about whether the operating business is worth more than the ~HK$5/share the market assigns to it after the AI capex cycle -- not about the cash, which is the floor.
key_risks_to_valuation: Live-streaming revenue (25% of FY2025 revenue) is in structural decline (-13.5% YoY in Q2 FY2026) under content-governance tightening; a faster decline is the bear path.; AI/Kling capex step-up (RMB17.9bn in H1 FY2026 alone vs RMB14.9bn in all of FY2025) may not fade as modelled; every 1pp of permanent capex/revenue is ~RMB1.5bn/yr of owner FCF.; Competition from Douyin (ByteDance) and WeChat Video Channels for ad budgets and e-commerce GMV; online marketing growth has already slowed from ~20% to ~4%.; RMB82.8bn of the cash pile is in non-guaranteed bank wealth-management products (RMB27bn non-current); taken at carrying value with no haircut.; Cash tax rate is held at 8-10% near term on HNTE preferential rates, R&amp;D super-deductions and deferred-tax-asset recognition; a faster ramp to 25% statutory would cut owner FCF by ~RMB1-2bn/yr.; HKD/CNY rate and China regulatory/VIE/delisting risk are carried in a 10% CNY WACC; dividend repatriation attracts 5-10% withholding tax not deducted from the cash pile.; Recurring regulatory penalties (CAC RMB119m Feb-2026 content-moderation fine, SAMR RMB26.7m Jan-2026 e-commerce fine, three in six months) signal governance enforcement risk whose timing and scale are not modelled beyond the bear revenue path.</t>
  </si>
  <si>
    <t xml:space="preserve">Data sources</t>
  </si>
  <si>
    <t xml:space="preserve">price: Yahoo Finance chart API at inputs.price_as_of (HKEX regular close); 52-week range HK$28.52-85.20
fx: Yahoo Finance HKDCNY=X and CNYHKD=X, 2026-10-09/11; see inputs.fx_note
financials: research/1024.HK/Reports/1024.HK_Metrics.csv (core_metrics, millions CNY) and the FY2025 annual report / H1 FY2026 interim report in research/1024.HK/Extracted (balance sheet, Notes 7/8 other gains, Note 10 finance income, Note 12 income tax, Note 14 FVTPL, Note 18 dividends, diluted-EPS note)
qualitative: research/1024.HK/Reports/1024.HK_Analysis.json (2026-10-12) and the FY2025 annual / H1 FY2026 interim MD&amp;A (business review and outlook)</t>
  </si>
  <si>
    <t xml:space="preserve">Scenario narrative: bear</t>
  </si>
  <si>
    <t xml:space="preserve">The H2 FY2026 'cautious' outlook is the start of a structural decline: live-streaming regulation and user migration to Douyin/WeChat Video pull revenue down 3% and 2% in FY2026-27 before stalling at 1-2% growth; the ad market stays weak and share is lost to larger reach platforms; Kling is out-competed by ByteDance/Google video models and never covers its compute cost, so AI capex only fades to 8% of revenue (vs a 14-15% EBITDA margin) and ex-ROU D&amp;A rises to 7.5%. Owner FCF is negative for the first three years and only ~2% of revenue at maturity; the valuation collapses toward the net cash pile, which itself carries WMP credit and onshore-remittance risk not modelled here. Terminal growth 2%.</t>
  </si>
  <si>
    <t xml:space="preserve">Scenario narrative: base</t>
  </si>
  <si>
    <t xml:space="preserve">Kuaishou is a mature 412m-DAU platform whose growth has slowed to low single digits: live-streaming tipping (25% of revenue) is shrinking ~10-13% a year under a 'healthy ecosystem' regime, online marketing (58%) grows 4-5% in a soft Chinese ad market, and other services (e-commerce commissions on RMB1.6tn GMV plus Kling AI) grow high-teens. Revenue +2.5% FY2026, recovering to 4-5% FY2027-29 as live streaming bottoms and Kling (RMB850m+ in Q2, roughly doubling YoY) becomes a RMB10bn+ business, fading to 3% nominal. Adjusted EBITDA margin dips to 16.5% in FY2026 on R&amp;D and compute costs, then rebuilds to 19.5% (flat on FY2025) by FY2032. The AI capex step-up (RMB~30bn FY2026, 20% of revenue) fades to 8% over six years, leaving an owner-FCF margin of ~6% at maturity. ~RMB94bn of net cash and WMPs (HK$25/share) is added at face.</t>
  </si>
  <si>
    <t xml:space="preserve">Scenario narrative: bull</t>
  </si>
  <si>
    <t xml:space="preserve">Kling AI becomes the global leader in commercial video generation and a multi-billion-RMB, high-margin business; AI-generated marketing material and smart-bidding lift online marketing back to high-single-digit growth; e-commerce take-rate and pan-shelf GMV keep compounding; live streaming stabilises after the FY2026 reset. Revenue 5% -&gt; 9% -&gt; fading to 3.5% terminal, adjusted EBITDA margin expands to 24% on operating leverage over a fixed content/R&amp;D base, capex normalises to 7% of revenue, terminal growth 3%. Buybacks (RMB2.9bn FY2025) and the FY2025 dividend become a sustained capital-return programme on top of the cash pile.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</si>
  <si>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</si>
  <si>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</si>
  <si>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</si>
  <si>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</si>
  <si>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</si>
  <si>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</si>
  <si>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</si>
  <si>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</si>
  <si>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</si>
  <si>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</si>
  <si>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</si>
  <si>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</si>
  <si>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</si>
  <si>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</si>
  <si>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</si>
  <si>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</si>
  <si>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</si>
  <si>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</si>
  <si>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</si>
  <si>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</si>
  <si>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</si>
  <si>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</si>
  <si>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</si>
  <si>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</si>
  <si>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</si>
  <si>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</si>
  <si>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</si>
  <si>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</si>
  <si>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DAU</t>
  </si>
  <si>
    <t xml:space="preserve">GMV</t>
  </si>
  <si>
    <t xml:space="preserve">MAU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</si>
  <si>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</si>
  <si>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</si>
  <si>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</si>
  <si>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</si>
  <si>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</si>
  <si>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</si>
  <si>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</si>
  <si>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</si>
  <si>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</si>
  <si>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</si>
  <si>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</si>
  <si>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</si>
  <si>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</si>
  <si>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</si>
  <si>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</si>
  <si>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</si>
  <si>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</si>
  <si>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</si>
  <si>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</si>
  <si>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</si>
  <si>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</si>
  <si>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</si>
  <si>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</si>
  <si>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</si>
  <si>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</si>
  <si>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</si>
  <si>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</si>
  <si>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</si>
  <si>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</si>
  <si>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</si>
  <si>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</si>
  <si>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</si>
  <si>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</si>
  <si>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</si>
  <si>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</si>
  <si>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</si>
  <si>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</si>
  <si>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</si>
  <si>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</si>
  <si>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</si>
  <si>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</si>
  <si>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</si>
  <si>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</si>
  <si>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</si>
  <si>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1024.HK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</si>
  <si>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</si>
  <si>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</si>
  <si>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</si>
  <si>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</si>
  <si>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</si>
  <si>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</si>
  <si>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</si>
  <si>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</si>
  <si>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</si>
  <si>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</si>
  <si>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</si>
  <si>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</si>
  <si>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</si>
  <si>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</si>
  <si>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</si>
  <si>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</si>
  <si>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</si>
  <si>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</si>
  <si>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</si>
  <si>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</si>
  <si>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</si>
  <si>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</si>
  <si>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</si>
  <si>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</si>
  <si>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</si>
  <si>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</si>
  <si>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</si>
  <si>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</si>
  <si>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</si>
  <si>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</si>
  <si>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1024.HK owner-FCF component DCF: base case (millions, CNY)</t>
  </si>
  <si>
    <t xml:space="preserve">1024.HK owner-FCF component DCF: bull case (millions, CNY)</t>
  </si>
  <si>
    <t xml:space="preserve">1024.HK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</si>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</sst>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30.1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39120.348</v>
      </c>
      <c r="C2" s="0" t="n">
        <v>25016.774</v>
      </c>
      <c r="D2" s="0" t="n">
        <v>14103.574</v>
      </c>
      <c r="E2" s="0" t="n">
        <v>36.1</v>
      </c>
      <c r="F2" s="0" t="n">
        <v>688.684</v>
      </c>
      <c r="G2" s="0" t="n">
        <v>1.8</v>
      </c>
      <c r="H2" s="0" t="n">
        <v>2849.067</v>
      </c>
      <c r="I2" s="0" t="n">
        <v>-19651.5</v>
      </c>
      <c r="J2" s="0" t="n">
        <v>-50.2</v>
      </c>
      <c r="K2" s="0" t="n">
        <v>-21.04</v>
      </c>
      <c r="L2" s="0" t="n">
        <v>8020.09</v>
      </c>
      <c r="M2" s="0" t="n">
        <v>2548.294</v>
      </c>
      <c r="N2" s="0" t="n">
        <v>5471.796</v>
      </c>
      <c r="O2" s="0" t="n">
        <v>-55729.036</v>
      </c>
      <c r="P2" s="0" t="n">
        <v>32414.382</v>
      </c>
      <c r="Q2" s="0" t="n">
        <v>88143.418</v>
      </c>
      <c r="R2" s="0" t="n">
        <v>0</v>
      </c>
      <c r="S2" s="0" t="n">
        <v>14169.5</v>
      </c>
      <c r="T2" s="0" t="n">
        <v>934</v>
      </c>
      <c r="U2" s="0" t="n">
        <v>742.303</v>
      </c>
      <c r="AA2" s="0" t="s">
        <v>18</v>
      </c>
      <c r="AB2" s="0" t="s">
        <v>14</v>
      </c>
      <c r="AC2" s="0" t="n">
        <v>3591.37</v>
      </c>
      <c r="AD2" s="0" t="n">
        <v>175.6</v>
      </c>
      <c r="AE2" s="0" t="n">
        <v>59641.1</v>
      </c>
      <c r="AF2" s="0" t="n">
        <v>330.4</v>
      </c>
    </row>
    <row r="3" customFormat="false" ht="15" hidden="false" customHeight="false" outlineLevel="0" collapsed="false">
      <c r="A3" s="0" t="s">
        <v>69</v>
      </c>
      <c r="B3" s="0" t="n">
        <v>58776.097</v>
      </c>
      <c r="C3" s="0" t="n">
        <v>34961.46</v>
      </c>
      <c r="D3" s="0" t="n">
        <v>23814.637</v>
      </c>
      <c r="E3" s="0" t="n">
        <v>40.5</v>
      </c>
      <c r="F3" s="0" t="n">
        <v>-10319.953</v>
      </c>
      <c r="G3" s="0" t="n">
        <v>-17.6</v>
      </c>
      <c r="H3" s="0" t="n">
        <v>-5456.961</v>
      </c>
      <c r="I3" s="0" t="n">
        <v>-116635.242</v>
      </c>
      <c r="J3" s="0" t="n">
        <v>-198.4</v>
      </c>
      <c r="K3" s="0" t="n">
        <v>-125.25</v>
      </c>
      <c r="L3" s="0" t="n">
        <v>2288.64</v>
      </c>
      <c r="M3" s="0" t="n">
        <v>5908.461</v>
      </c>
      <c r="N3" s="0" t="n">
        <v>-3619.821</v>
      </c>
      <c r="O3" s="0" t="n">
        <v>-160049.839</v>
      </c>
      <c r="P3" s="0" t="n">
        <v>52147.443</v>
      </c>
      <c r="Q3" s="0" t="n">
        <v>212197.282</v>
      </c>
      <c r="R3" s="0" t="n">
        <v>0</v>
      </c>
      <c r="S3" s="0" t="n">
        <v>26811.088</v>
      </c>
      <c r="T3" s="0" t="n">
        <v>931.2</v>
      </c>
      <c r="U3" s="0" t="n">
        <v>1840.886</v>
      </c>
      <c r="AA3" s="0" t="s">
        <v>18</v>
      </c>
      <c r="AB3" s="0" t="s">
        <v>14</v>
      </c>
      <c r="AC3" s="0" t="n">
        <v>-3616.075</v>
      </c>
      <c r="AD3" s="0" t="n">
        <v>264.6</v>
      </c>
      <c r="AE3" s="0" t="n">
        <v>381168.5</v>
      </c>
      <c r="AF3" s="0" t="n">
        <v>481.1</v>
      </c>
    </row>
    <row r="4" customFormat="false" ht="15" hidden="false" customHeight="false" outlineLevel="0" collapsed="false">
      <c r="A4" s="0" t="s">
        <v>70</v>
      </c>
      <c r="B4" s="0" t="n">
        <v>81081.513</v>
      </c>
      <c r="C4" s="0" t="n">
        <v>47051.808</v>
      </c>
      <c r="D4" s="0" t="n">
        <v>34029.705</v>
      </c>
      <c r="E4" s="0" t="n">
        <v>42</v>
      </c>
      <c r="F4" s="0" t="n">
        <v>-27701.265</v>
      </c>
      <c r="G4" s="0" t="n">
        <v>-34.2</v>
      </c>
      <c r="H4" s="0" t="n">
        <v>-20816.248</v>
      </c>
      <c r="I4" s="0" t="n">
        <v>-78073.643</v>
      </c>
      <c r="J4" s="0" t="n">
        <v>-96.3</v>
      </c>
      <c r="K4" s="0" t="n">
        <v>-20.37</v>
      </c>
      <c r="L4" s="0" t="n">
        <v>-5519.291</v>
      </c>
      <c r="M4" s="0" t="n">
        <v>7764.297</v>
      </c>
      <c r="N4" s="0" t="n">
        <v>-13283.588</v>
      </c>
      <c r="O4" s="0" t="n">
        <v>45095.971</v>
      </c>
      <c r="P4" s="0" t="n">
        <v>92515.375</v>
      </c>
      <c r="Q4" s="0" t="n">
        <v>47419.404</v>
      </c>
      <c r="R4" s="0" t="n">
        <v>0</v>
      </c>
      <c r="S4" s="0" t="n">
        <v>45280.042</v>
      </c>
      <c r="T4" s="0" t="n">
        <v>3832.8</v>
      </c>
      <c r="U4" s="0" t="n">
        <v>7830.249</v>
      </c>
      <c r="AA4" s="0" t="s">
        <v>18</v>
      </c>
      <c r="AB4" s="0" t="s">
        <v>14</v>
      </c>
      <c r="AC4" s="0" t="n">
        <v>-12953.371</v>
      </c>
      <c r="AD4" s="0" t="n">
        <v>308.2</v>
      </c>
      <c r="AF4" s="0" t="n">
        <v>544.2</v>
      </c>
    </row>
    <row r="5" customFormat="false" ht="15" hidden="false" customHeight="false" outlineLevel="0" collapsed="false">
      <c r="A5" s="0" t="s">
        <v>71</v>
      </c>
      <c r="B5" s="0" t="n">
        <v>94182.522</v>
      </c>
      <c r="C5" s="0" t="n">
        <v>52051.359</v>
      </c>
      <c r="D5" s="0" t="n">
        <v>42131.163</v>
      </c>
      <c r="E5" s="0" t="n">
        <v>44.7</v>
      </c>
      <c r="F5" s="0" t="n">
        <v>-12557.952</v>
      </c>
      <c r="G5" s="0" t="n">
        <v>-13.3</v>
      </c>
      <c r="H5" s="0" t="n">
        <v>-5984.525</v>
      </c>
      <c r="I5" s="0" t="n">
        <v>-13690.732</v>
      </c>
      <c r="J5" s="0" t="n">
        <v>-14.5</v>
      </c>
      <c r="K5" s="0" t="n">
        <v>-3.22</v>
      </c>
      <c r="L5" s="0" t="n">
        <v>795</v>
      </c>
      <c r="M5" s="0" t="n">
        <v>5100</v>
      </c>
      <c r="N5" s="0" t="n">
        <v>-4305</v>
      </c>
      <c r="O5" s="0" t="n">
        <v>39837.768</v>
      </c>
      <c r="P5" s="0" t="n">
        <v>89307.288</v>
      </c>
      <c r="Q5" s="0" t="n">
        <v>49469.52</v>
      </c>
      <c r="R5" s="0" t="n">
        <v>0</v>
      </c>
      <c r="S5" s="0" t="n">
        <v>34679.791</v>
      </c>
      <c r="T5" s="0" t="n">
        <v>4251.8</v>
      </c>
      <c r="U5" s="0" t="n">
        <v>6249.115</v>
      </c>
      <c r="AA5" s="0" t="s">
        <v>18</v>
      </c>
      <c r="AB5" s="0" t="s">
        <v>14</v>
      </c>
      <c r="AC5" s="0" t="n">
        <v>1814.718</v>
      </c>
      <c r="AD5" s="0" t="n">
        <v>355.7</v>
      </c>
      <c r="AE5" s="0" t="n">
        <v>901156.6</v>
      </c>
      <c r="AF5" s="0" t="n">
        <v>612.7</v>
      </c>
    </row>
    <row r="6" customFormat="false" ht="15" hidden="false" customHeight="false" outlineLevel="0" collapsed="false">
      <c r="A6" s="0" t="s">
        <v>72</v>
      </c>
      <c r="B6" s="0" t="n">
        <v>113470</v>
      </c>
      <c r="C6" s="0" t="n">
        <v>56079</v>
      </c>
      <c r="D6" s="0" t="n">
        <v>57391</v>
      </c>
      <c r="E6" s="0" t="n">
        <v>50.6</v>
      </c>
      <c r="F6" s="0" t="n">
        <v>6431</v>
      </c>
      <c r="G6" s="0" t="n">
        <v>5.7</v>
      </c>
      <c r="H6" s="0" t="n">
        <v>13633</v>
      </c>
      <c r="I6" s="0" t="n">
        <v>6396</v>
      </c>
      <c r="J6" s="0" t="n">
        <v>5.6</v>
      </c>
      <c r="K6" s="0" t="n">
        <v>1.48</v>
      </c>
      <c r="L6" s="0" t="n">
        <v>20781</v>
      </c>
      <c r="M6" s="0" t="n">
        <v>4897</v>
      </c>
      <c r="N6" s="0" t="n">
        <v>15884</v>
      </c>
      <c r="O6" s="0" t="n">
        <v>49074</v>
      </c>
      <c r="P6" s="0" t="n">
        <v>106296</v>
      </c>
      <c r="Q6" s="0" t="n">
        <v>57222</v>
      </c>
      <c r="R6" s="0" t="n">
        <v>0</v>
      </c>
      <c r="S6" s="0" t="n">
        <v>47907</v>
      </c>
      <c r="T6" s="0" t="n">
        <v>4441.7</v>
      </c>
      <c r="U6" s="0" t="n">
        <v>3570</v>
      </c>
      <c r="AA6" s="0" t="s">
        <v>18</v>
      </c>
      <c r="AB6" s="0" t="s">
        <v>14</v>
      </c>
      <c r="AC6" s="0" t="n">
        <v>17424</v>
      </c>
      <c r="AD6" s="0" t="n">
        <v>379.9</v>
      </c>
      <c r="AE6" s="0" t="n">
        <v>1184370.8</v>
      </c>
      <c r="AF6" s="0" t="n">
        <v>678.2</v>
      </c>
    </row>
    <row r="7" customFormat="false" ht="15" hidden="false" customHeight="false" outlineLevel="0" collapsed="false">
      <c r="A7" s="0" t="s">
        <v>73</v>
      </c>
      <c r="B7" s="0" t="n">
        <v>126898</v>
      </c>
      <c r="C7" s="0" t="n">
        <v>57606</v>
      </c>
      <c r="D7" s="0" t="n">
        <v>69292</v>
      </c>
      <c r="E7" s="0" t="n">
        <v>54.6</v>
      </c>
      <c r="F7" s="0" t="n">
        <v>15287</v>
      </c>
      <c r="G7" s="0" t="n">
        <v>12</v>
      </c>
      <c r="H7" s="0" t="n">
        <v>22427</v>
      </c>
      <c r="I7" s="0" t="n">
        <v>15335</v>
      </c>
      <c r="J7" s="0" t="n">
        <v>12.1</v>
      </c>
      <c r="K7" s="0" t="n">
        <v>3.56</v>
      </c>
      <c r="L7" s="0" t="n">
        <v>29787</v>
      </c>
      <c r="M7" s="0" t="n">
        <v>8063</v>
      </c>
      <c r="N7" s="0" t="n">
        <v>21724</v>
      </c>
      <c r="O7" s="0" t="n">
        <v>62024</v>
      </c>
      <c r="P7" s="0" t="n">
        <v>139873</v>
      </c>
      <c r="Q7" s="0" t="n">
        <v>77849</v>
      </c>
      <c r="R7" s="0" t="n">
        <v>11100</v>
      </c>
      <c r="S7" s="0" t="n">
        <v>51269</v>
      </c>
      <c r="T7" s="0" t="n">
        <v>4406.6</v>
      </c>
      <c r="U7" s="0" t="n">
        <v>2349</v>
      </c>
      <c r="AA7" s="0" t="s">
        <v>18</v>
      </c>
      <c r="AB7" s="0" t="s">
        <v>14</v>
      </c>
      <c r="AC7" s="0" t="n">
        <v>24770</v>
      </c>
      <c r="AD7" s="0" t="n">
        <v>399.4</v>
      </c>
      <c r="AE7" s="0" t="n">
        <v>1389582.3</v>
      </c>
      <c r="AF7" s="0" t="n">
        <v>709.7</v>
      </c>
    </row>
    <row r="8" customFormat="false" ht="15" hidden="false" customHeight="false" outlineLevel="0" collapsed="false">
      <c r="A8" s="0" t="s">
        <v>74</v>
      </c>
      <c r="B8" s="0" t="n">
        <v>142776</v>
      </c>
      <c r="C8" s="0" t="n">
        <v>64227</v>
      </c>
      <c r="D8" s="0" t="n">
        <v>78549</v>
      </c>
      <c r="E8" s="0" t="n">
        <v>55</v>
      </c>
      <c r="F8" s="0" t="n">
        <v>20637</v>
      </c>
      <c r="G8" s="0" t="n">
        <v>14.5</v>
      </c>
      <c r="H8" s="0" t="n">
        <v>27832</v>
      </c>
      <c r="I8" s="0" t="n">
        <v>18617</v>
      </c>
      <c r="J8" s="0" t="n">
        <v>13</v>
      </c>
      <c r="K8" s="0" t="n">
        <v>4.35</v>
      </c>
      <c r="L8" s="0" t="n">
        <v>26716</v>
      </c>
      <c r="M8" s="0" t="n">
        <v>14942</v>
      </c>
      <c r="N8" s="0" t="n">
        <v>11774</v>
      </c>
      <c r="O8" s="0" t="n">
        <v>79584</v>
      </c>
      <c r="P8" s="0" t="n">
        <v>164504</v>
      </c>
      <c r="Q8" s="0" t="n">
        <v>84920</v>
      </c>
      <c r="R8" s="0" t="n">
        <v>13066</v>
      </c>
      <c r="S8" s="0" t="n">
        <v>62134</v>
      </c>
      <c r="T8" s="0" t="n">
        <v>4401.2</v>
      </c>
      <c r="U8" s="0" t="n">
        <v>2640</v>
      </c>
      <c r="AA8" s="0" t="s">
        <v>18</v>
      </c>
      <c r="AB8" s="0" t="s">
        <v>14</v>
      </c>
      <c r="AC8" s="0" t="n">
        <v>29839</v>
      </c>
      <c r="AD8" s="0" t="n">
        <v>410.2</v>
      </c>
      <c r="AE8" s="0" t="n">
        <v>1598070.7</v>
      </c>
      <c r="AF8" s="0" t="n">
        <v>724.6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30.1</v>
      </c>
    </row>
    <row r="3" customFormat="false" ht="15" hidden="false" customHeight="false" outlineLevel="0" collapsed="false">
      <c r="A3" s="0" t="s">
        <v>78</v>
      </c>
      <c r="B3" s="3" t="n">
        <v>4388</v>
      </c>
    </row>
    <row r="4" customFormat="false" ht="15" hidden="false" customHeight="false" outlineLevel="0" collapsed="false">
      <c r="A4" s="0" t="s">
        <v>79</v>
      </c>
      <c r="B4" s="3" t="n">
        <v>-93733</v>
      </c>
    </row>
    <row r="5" customFormat="false" ht="15" hidden="false" customHeight="false" outlineLevel="0" collapsed="false">
      <c r="A5" s="0" t="s">
        <v>80</v>
      </c>
      <c r="B5" s="3" t="n">
        <v>-2584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142776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1.1747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-3</v>
      </c>
      <c r="D13" s="3" t="n">
        <v>-2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15.5</v>
      </c>
      <c r="D14" s="3" t="n">
        <v>14.5</v>
      </c>
      <c r="E14" s="3" t="n">
        <v>14</v>
      </c>
      <c r="F14" s="3" t="n">
        <v>14</v>
      </c>
      <c r="G14" s="3" t="n">
        <v>14</v>
      </c>
      <c r="H14" s="3" t="n">
        <v>14.5</v>
      </c>
      <c r="I14" s="3" t="n">
        <v>15</v>
      </c>
      <c r="J14" s="3" t="n">
        <v>15</v>
      </c>
      <c r="K14" s="3" t="n">
        <v>15</v>
      </c>
      <c r="L14" s="3" t="n">
        <v>15</v>
      </c>
    </row>
    <row r="15" customFormat="false" ht="15" hidden="false" customHeight="false" outlineLevel="0" collapsed="false">
      <c r="A15" s="0" t="s">
        <v>100</v>
      </c>
      <c r="C15" s="3" t="n">
        <v>1.9</v>
      </c>
      <c r="D15" s="3" t="n">
        <v>1.85</v>
      </c>
      <c r="E15" s="3" t="n">
        <v>1.8</v>
      </c>
      <c r="F15" s="3" t="n">
        <v>1.75</v>
      </c>
      <c r="G15" s="3" t="n">
        <v>1.7</v>
      </c>
      <c r="H15" s="3" t="n">
        <v>1.65</v>
      </c>
      <c r="I15" s="3" t="n">
        <v>1.6</v>
      </c>
      <c r="J15" s="3" t="n">
        <v>1.55</v>
      </c>
      <c r="K15" s="3" t="n">
        <v>1.5</v>
      </c>
      <c r="L15" s="3" t="n">
        <v>1.5</v>
      </c>
    </row>
    <row r="16" customFormat="false" ht="15" hidden="false" customHeight="false" outlineLevel="0" collapsed="false">
      <c r="A16" s="0" t="s">
        <v>101</v>
      </c>
      <c r="C16" s="3" t="n">
        <v>2.9</v>
      </c>
      <c r="D16" s="3" t="n">
        <v>2.9</v>
      </c>
      <c r="E16" s="3" t="n">
        <v>2.9</v>
      </c>
      <c r="F16" s="3" t="n">
        <v>2.9</v>
      </c>
      <c r="G16" s="3" t="n">
        <v>2.9</v>
      </c>
      <c r="H16" s="3" t="n">
        <v>2.9</v>
      </c>
      <c r="I16" s="3" t="n">
        <v>2.9</v>
      </c>
      <c r="J16" s="3" t="n">
        <v>2.9</v>
      </c>
      <c r="K16" s="3" t="n">
        <v>2.9</v>
      </c>
      <c r="L16" s="3" t="n">
        <v>2.9</v>
      </c>
    </row>
    <row r="17" customFormat="false" ht="15" hidden="false" customHeight="false" outlineLevel="0" collapsed="false">
      <c r="A17" s="0" t="s">
        <v>102</v>
      </c>
      <c r="C17" s="3" t="n">
        <v>4.5</v>
      </c>
      <c r="D17" s="3" t="n">
        <v>6</v>
      </c>
      <c r="E17" s="3" t="n">
        <v>7</v>
      </c>
      <c r="F17" s="3" t="n">
        <v>7.5</v>
      </c>
      <c r="G17" s="3" t="n">
        <v>7.5</v>
      </c>
      <c r="H17" s="3" t="n">
        <v>7.5</v>
      </c>
      <c r="I17" s="3" t="n">
        <v>7.5</v>
      </c>
      <c r="J17" s="3" t="n">
        <v>7.5</v>
      </c>
      <c r="K17" s="3" t="n">
        <v>7.5</v>
      </c>
      <c r="L17" s="3" t="n">
        <v>7.5</v>
      </c>
    </row>
    <row r="18" customFormat="false" ht="15" hidden="false" customHeight="false" outlineLevel="0" collapsed="false">
      <c r="A18" s="0" t="s">
        <v>103</v>
      </c>
      <c r="C18" s="3" t="n">
        <v>20</v>
      </c>
      <c r="D18" s="3" t="n">
        <v>16</v>
      </c>
      <c r="E18" s="3" t="n">
        <v>13</v>
      </c>
      <c r="F18" s="3" t="n">
        <v>11</v>
      </c>
      <c r="G18" s="3" t="n">
        <v>9.5</v>
      </c>
      <c r="H18" s="3" t="n">
        <v>8.5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104</v>
      </c>
      <c r="C19" s="3" t="n">
        <v>10</v>
      </c>
      <c r="D19" s="3" t="n">
        <v>12</v>
      </c>
      <c r="E19" s="3" t="n">
        <v>14</v>
      </c>
      <c r="F19" s="3" t="n">
        <v>15</v>
      </c>
      <c r="G19" s="3" t="n">
        <v>16</v>
      </c>
      <c r="H19" s="3" t="n">
        <v>17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105</v>
      </c>
      <c r="B20" s="3" t="n">
        <v>10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18</v>
      </c>
    </row>
    <row r="23" customFormat="false" ht="15" hidden="false" customHeight="false" outlineLevel="0" collapsed="false">
      <c r="A23" s="0" t="s">
        <v>108</v>
      </c>
      <c r="B23" s="3" t="n">
        <v>8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2.5</v>
      </c>
      <c r="D27" s="3" t="n">
        <v>4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16.5</v>
      </c>
      <c r="D28" s="3" t="n">
        <v>17</v>
      </c>
      <c r="E28" s="3" t="n">
        <v>17.5</v>
      </c>
      <c r="F28" s="3" t="n">
        <v>18</v>
      </c>
      <c r="G28" s="3" t="n">
        <v>18.5</v>
      </c>
      <c r="H28" s="3" t="n">
        <v>19</v>
      </c>
      <c r="I28" s="3" t="n">
        <v>19.5</v>
      </c>
      <c r="J28" s="3" t="n">
        <v>19.5</v>
      </c>
      <c r="K28" s="3" t="n">
        <v>19.5</v>
      </c>
      <c r="L28" s="3" t="n">
        <v>19.5</v>
      </c>
    </row>
    <row r="29" customFormat="false" ht="15" hidden="false" customHeight="false" outlineLevel="0" collapsed="false">
      <c r="A29" s="0" t="s">
        <v>100</v>
      </c>
      <c r="C29" s="3" t="n">
        <v>1.9</v>
      </c>
      <c r="D29" s="3" t="n">
        <v>1.85</v>
      </c>
      <c r="E29" s="3" t="n">
        <v>1.8</v>
      </c>
      <c r="F29" s="3" t="n">
        <v>1.75</v>
      </c>
      <c r="G29" s="3" t="n">
        <v>1.7</v>
      </c>
      <c r="H29" s="3" t="n">
        <v>1.65</v>
      </c>
      <c r="I29" s="3" t="n">
        <v>1.6</v>
      </c>
      <c r="J29" s="3" t="n">
        <v>1.55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101</v>
      </c>
      <c r="C30" s="3" t="n">
        <v>2.9</v>
      </c>
      <c r="D30" s="3" t="n">
        <v>2.9</v>
      </c>
      <c r="E30" s="3" t="n">
        <v>2.9</v>
      </c>
      <c r="F30" s="3" t="n">
        <v>2.9</v>
      </c>
      <c r="G30" s="3" t="n">
        <v>2.9</v>
      </c>
      <c r="H30" s="3" t="n">
        <v>2.9</v>
      </c>
      <c r="I30" s="3" t="n">
        <v>2.9</v>
      </c>
      <c r="J30" s="3" t="n">
        <v>2.9</v>
      </c>
      <c r="K30" s="3" t="n">
        <v>2.9</v>
      </c>
      <c r="L30" s="3" t="n">
        <v>2.9</v>
      </c>
    </row>
    <row r="31" customFormat="false" ht="15" hidden="false" customHeight="false" outlineLevel="0" collapsed="false">
      <c r="A31" s="0" t="s">
        <v>102</v>
      </c>
      <c r="C31" s="3" t="n">
        <v>4.5</v>
      </c>
      <c r="D31" s="3" t="n">
        <v>5.5</v>
      </c>
      <c r="E31" s="3" t="n">
        <v>6.5</v>
      </c>
      <c r="F31" s="3" t="n">
        <v>7</v>
      </c>
      <c r="G31" s="3" t="n">
        <v>7</v>
      </c>
      <c r="H31" s="3" t="n">
        <v>7</v>
      </c>
      <c r="I31" s="3" t="n">
        <v>7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103</v>
      </c>
      <c r="C32" s="3" t="n">
        <v>20</v>
      </c>
      <c r="D32" s="3" t="n">
        <v>15</v>
      </c>
      <c r="E32" s="3" t="n">
        <v>12</v>
      </c>
      <c r="F32" s="3" t="n">
        <v>10</v>
      </c>
      <c r="G32" s="3" t="n">
        <v>9</v>
      </c>
      <c r="H32" s="3" t="n">
        <v>8.5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104</v>
      </c>
      <c r="C33" s="3" t="n">
        <v>10</v>
      </c>
      <c r="D33" s="3" t="n">
        <v>12</v>
      </c>
      <c r="E33" s="3" t="n">
        <v>14</v>
      </c>
      <c r="F33" s="3" t="n">
        <v>15</v>
      </c>
      <c r="G33" s="3" t="n">
        <v>16</v>
      </c>
      <c r="H33" s="3" t="n">
        <v>17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105</v>
      </c>
      <c r="B34" s="3" t="n">
        <v>10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18</v>
      </c>
    </row>
    <row r="37" customFormat="false" ht="15" hidden="false" customHeight="false" outlineLevel="0" collapsed="false">
      <c r="A37" s="0" t="s">
        <v>108</v>
      </c>
      <c r="B37" s="3" t="n">
        <v>8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5</v>
      </c>
      <c r="D41" s="3" t="n">
        <v>8</v>
      </c>
      <c r="E41" s="3" t="n">
        <v>9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99</v>
      </c>
      <c r="C42" s="3" t="n">
        <v>17</v>
      </c>
      <c r="D42" s="3" t="n">
        <v>18.5</v>
      </c>
      <c r="E42" s="3" t="n">
        <v>20</v>
      </c>
      <c r="F42" s="3" t="n">
        <v>21</v>
      </c>
      <c r="G42" s="3" t="n">
        <v>22</v>
      </c>
      <c r="H42" s="3" t="n">
        <v>23</v>
      </c>
      <c r="I42" s="3" t="n">
        <v>23.5</v>
      </c>
      <c r="J42" s="3" t="n">
        <v>24</v>
      </c>
      <c r="K42" s="3" t="n">
        <v>24</v>
      </c>
      <c r="L42" s="3" t="n">
        <v>24</v>
      </c>
    </row>
    <row r="43" customFormat="false" ht="15" hidden="false" customHeight="false" outlineLevel="0" collapsed="false">
      <c r="A43" s="0" t="s">
        <v>100</v>
      </c>
      <c r="C43" s="3" t="n">
        <v>1.9</v>
      </c>
      <c r="D43" s="3" t="n">
        <v>1.85</v>
      </c>
      <c r="E43" s="3" t="n">
        <v>1.8</v>
      </c>
      <c r="F43" s="3" t="n">
        <v>1.75</v>
      </c>
      <c r="G43" s="3" t="n">
        <v>1.7</v>
      </c>
      <c r="H43" s="3" t="n">
        <v>1.65</v>
      </c>
      <c r="I43" s="3" t="n">
        <v>1.6</v>
      </c>
      <c r="J43" s="3" t="n">
        <v>1.55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101</v>
      </c>
      <c r="C44" s="3" t="n">
        <v>2.9</v>
      </c>
      <c r="D44" s="3" t="n">
        <v>2.9</v>
      </c>
      <c r="E44" s="3" t="n">
        <v>2.9</v>
      </c>
      <c r="F44" s="3" t="n">
        <v>2.9</v>
      </c>
      <c r="G44" s="3" t="n">
        <v>2.9</v>
      </c>
      <c r="H44" s="3" t="n">
        <v>2.9</v>
      </c>
      <c r="I44" s="3" t="n">
        <v>2.9</v>
      </c>
      <c r="J44" s="3" t="n">
        <v>2.9</v>
      </c>
      <c r="K44" s="3" t="n">
        <v>2.9</v>
      </c>
      <c r="L44" s="3" t="n">
        <v>2.9</v>
      </c>
    </row>
    <row r="45" customFormat="false" ht="15" hidden="false" customHeight="false" outlineLevel="0" collapsed="false">
      <c r="A45" s="0" t="s">
        <v>102</v>
      </c>
      <c r="C45" s="3" t="n">
        <v>4.5</v>
      </c>
      <c r="D45" s="3" t="n">
        <v>5.5</v>
      </c>
      <c r="E45" s="3" t="n">
        <v>6</v>
      </c>
      <c r="F45" s="3" t="n">
        <v>6.5</v>
      </c>
      <c r="G45" s="3" t="n">
        <v>6.5</v>
      </c>
      <c r="H45" s="3" t="n">
        <v>6.5</v>
      </c>
      <c r="I45" s="3" t="n">
        <v>6.5</v>
      </c>
      <c r="J45" s="3" t="n">
        <v>6.5</v>
      </c>
      <c r="K45" s="3" t="n">
        <v>6.5</v>
      </c>
      <c r="L45" s="3" t="n">
        <v>6.5</v>
      </c>
    </row>
    <row r="46" customFormat="false" ht="15" hidden="false" customHeight="false" outlineLevel="0" collapsed="false">
      <c r="A46" s="0" t="s">
        <v>103</v>
      </c>
      <c r="C46" s="3" t="n">
        <v>20</v>
      </c>
      <c r="D46" s="3" t="n">
        <v>14</v>
      </c>
      <c r="E46" s="3" t="n">
        <v>11</v>
      </c>
      <c r="F46" s="3" t="n">
        <v>9</v>
      </c>
      <c r="G46" s="3" t="n">
        <v>8</v>
      </c>
      <c r="H46" s="3" t="n">
        <v>7.5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104</v>
      </c>
      <c r="C47" s="3" t="n">
        <v>10</v>
      </c>
      <c r="D47" s="3" t="n">
        <v>12</v>
      </c>
      <c r="E47" s="3" t="n">
        <v>14</v>
      </c>
      <c r="F47" s="3" t="n">
        <v>15</v>
      </c>
      <c r="G47" s="3" t="n">
        <v>16</v>
      </c>
      <c r="H47" s="3" t="n">
        <v>17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105</v>
      </c>
      <c r="B48" s="3" t="n">
        <v>10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18</v>
      </c>
    </row>
    <row r="51" customFormat="false" ht="15" hidden="false" customHeight="false" outlineLevel="0" collapsed="false">
      <c r="A51" s="0" t="s">
        <v>108</v>
      </c>
      <c r="B51" s="3" t="n">
        <v>8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-3</v>
      </c>
      <c r="D5" s="4" t="n">
        <f aca="false">Assumptions!D13</f>
        <v>-2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142776</v>
      </c>
      <c r="C6" s="0" t="n">
        <f aca="false">B6*(1+C5/100)</f>
        <v>138492.72</v>
      </c>
      <c r="D6" s="0" t="n">
        <f aca="false">C6*(1+D5/100)</f>
        <v>135722.8656</v>
      </c>
      <c r="E6" s="0" t="n">
        <f aca="false">D6*(1+E5/100)</f>
        <v>135722.8656</v>
      </c>
      <c r="F6" s="0" t="n">
        <f aca="false">E6*(1+F5/100)</f>
        <v>137080.094256</v>
      </c>
      <c r="G6" s="0" t="n">
        <f aca="false">F6*(1+G5/100)</f>
        <v>139136.29566984</v>
      </c>
      <c r="H6" s="0" t="n">
        <f aca="false">G6*(1+H5/100)</f>
        <v>141919.021583237</v>
      </c>
      <c r="I6" s="0" t="n">
        <f aca="false">H6*(1+I5/100)</f>
        <v>144757.402014902</v>
      </c>
      <c r="J6" s="0" t="n">
        <f aca="false">I6*(1+J5/100)</f>
        <v>147652.5500552</v>
      </c>
      <c r="K6" s="0" t="n">
        <f aca="false">J6*(1+K5/100)</f>
        <v>150605.601056304</v>
      </c>
      <c r="L6" s="0" t="n">
        <f aca="false">K6*(1+L5/100)</f>
        <v>153617.71307743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15.5</v>
      </c>
      <c r="D7" s="4" t="n">
        <f aca="false">Assumptions!D14</f>
        <v>14.5</v>
      </c>
      <c r="E7" s="4" t="n">
        <f aca="false">Assumptions!E14</f>
        <v>14</v>
      </c>
      <c r="F7" s="4" t="n">
        <f aca="false">Assumptions!F14</f>
        <v>14</v>
      </c>
      <c r="G7" s="4" t="n">
        <f aca="false">Assumptions!G14</f>
        <v>14</v>
      </c>
      <c r="H7" s="4" t="n">
        <f aca="false">Assumptions!H14</f>
        <v>14.5</v>
      </c>
      <c r="I7" s="4" t="n">
        <f aca="false">Assumptions!I14</f>
        <v>15</v>
      </c>
      <c r="J7" s="4" t="n">
        <f aca="false">Assumptions!J14</f>
        <v>15</v>
      </c>
      <c r="K7" s="4" t="n">
        <f aca="false">Assumptions!K14</f>
        <v>15</v>
      </c>
      <c r="L7" s="4" t="n">
        <f aca="false">Assumptions!L14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21466.3716</v>
      </c>
      <c r="D8" s="0" t="n">
        <f aca="false">D6*D7/100</f>
        <v>19679.815512</v>
      </c>
      <c r="E8" s="0" t="n">
        <f aca="false">E6*E7/100</f>
        <v>19001.201184</v>
      </c>
      <c r="F8" s="0" t="n">
        <f aca="false">F6*F7/100</f>
        <v>19191.21319584</v>
      </c>
      <c r="G8" s="0" t="n">
        <f aca="false">G6*G7/100</f>
        <v>19479.0813937776</v>
      </c>
      <c r="H8" s="0" t="n">
        <f aca="false">H6*H7/100</f>
        <v>20578.2581295693</v>
      </c>
      <c r="I8" s="0" t="n">
        <f aca="false">I6*I7/100</f>
        <v>21713.6103022352</v>
      </c>
      <c r="J8" s="0" t="n">
        <f aca="false">J6*J7/100</f>
        <v>22147.8825082799</v>
      </c>
      <c r="K8" s="0" t="n">
        <f aca="false">K6*K7/100</f>
        <v>22590.8401584455</v>
      </c>
      <c r="L8" s="0" t="n">
        <f aca="false">L6*L7/100</f>
        <v>23042.6569616144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1.9</v>
      </c>
      <c r="D9" s="4" t="n">
        <f aca="false">Assumptions!D15</f>
        <v>1.85</v>
      </c>
      <c r="E9" s="4" t="n">
        <f aca="false">Assumptions!E15</f>
        <v>1.8</v>
      </c>
      <c r="F9" s="4" t="n">
        <f aca="false">Assumptions!F15</f>
        <v>1.75</v>
      </c>
      <c r="G9" s="4" t="n">
        <f aca="false">Assumptions!G15</f>
        <v>1.7</v>
      </c>
      <c r="H9" s="4" t="n">
        <f aca="false">Assumptions!H15</f>
        <v>1.65</v>
      </c>
      <c r="I9" s="4" t="n">
        <f aca="false">Assumptions!I15</f>
        <v>1.6</v>
      </c>
      <c r="J9" s="4" t="n">
        <f aca="false">Assumptions!J15</f>
        <v>1.55</v>
      </c>
      <c r="K9" s="4" t="n">
        <f aca="false">Assumptions!K15</f>
        <v>1.5</v>
      </c>
      <c r="L9" s="4" t="n">
        <f aca="false">Assumptions!L15</f>
        <v>1.5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-2631.36168</v>
      </c>
      <c r="D10" s="0" t="n">
        <f aca="false">-D6*D9/100</f>
        <v>-2510.8730136</v>
      </c>
      <c r="E10" s="0" t="n">
        <f aca="false">-E6*E9/100</f>
        <v>-2443.0115808</v>
      </c>
      <c r="F10" s="0" t="n">
        <f aca="false">-F6*F9/100</f>
        <v>-2398.90164948</v>
      </c>
      <c r="G10" s="0" t="n">
        <f aca="false">-G6*G9/100</f>
        <v>-2365.31702638728</v>
      </c>
      <c r="H10" s="0" t="n">
        <f aca="false">-H6*H9/100</f>
        <v>-2341.66385612341</v>
      </c>
      <c r="I10" s="0" t="n">
        <f aca="false">-I6*I9/100</f>
        <v>-2316.11843223842</v>
      </c>
      <c r="J10" s="0" t="n">
        <f aca="false">-J6*J9/100</f>
        <v>-2288.61452585559</v>
      </c>
      <c r="K10" s="0" t="n">
        <f aca="false">-K6*K9/100</f>
        <v>-2259.08401584455</v>
      </c>
      <c r="L10" s="0" t="n">
        <f aca="false">-L6*L9/100</f>
        <v>-2304.26569616144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14818.72104</v>
      </c>
      <c r="D11" s="0" t="n">
        <f aca="false">D8+D10+D24</f>
        <v>13232.979396</v>
      </c>
      <c r="E11" s="0" t="n">
        <f aca="false">E8+E10+E24</f>
        <v>12622.2265008</v>
      </c>
      <c r="F11" s="0" t="n">
        <f aca="false">F8+F10+F24</f>
        <v>12816.988812936</v>
      </c>
      <c r="G11" s="0" t="n">
        <f aca="false">G8+G10+G24</f>
        <v>13078.811792965</v>
      </c>
      <c r="H11" s="0" t="n">
        <f aca="false">H8+H10+H24</f>
        <v>14120.9426475321</v>
      </c>
      <c r="I11" s="0" t="n">
        <f aca="false">I8+I10+I24</f>
        <v>15199.5272115647</v>
      </c>
      <c r="J11" s="0" t="n">
        <f aca="false">J8+J10+J24</f>
        <v>15577.3440308236</v>
      </c>
      <c r="K11" s="0" t="n">
        <f aca="false">K8+K10+K24</f>
        <v>15964.1937119682</v>
      </c>
      <c r="L11" s="0" t="n">
        <f aca="false">L8+L10+L24</f>
        <v>16283.4775862075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-6232.1724</v>
      </c>
      <c r="D12" s="4" t="n">
        <f aca="false">-D6*Assumptions!D17/100</f>
        <v>-8143.371936</v>
      </c>
      <c r="E12" s="4" t="n">
        <f aca="false">-E6*Assumptions!E17/100</f>
        <v>-9500.600592</v>
      </c>
      <c r="F12" s="4" t="n">
        <f aca="false">-F6*Assumptions!F17/100</f>
        <v>-10281.0070692</v>
      </c>
      <c r="G12" s="4" t="n">
        <f aca="false">-G6*Assumptions!G17/100</f>
        <v>-10435.222175238</v>
      </c>
      <c r="H12" s="4" t="n">
        <f aca="false">-H6*Assumptions!H17/100</f>
        <v>-10643.9266187428</v>
      </c>
      <c r="I12" s="4" t="n">
        <f aca="false">-I6*Assumptions!I17/100</f>
        <v>-10856.8051511176</v>
      </c>
      <c r="J12" s="4" t="n">
        <f aca="false">-J6*Assumptions!J17/100</f>
        <v>-11073.94125414</v>
      </c>
      <c r="K12" s="4" t="n">
        <f aca="false">-K6*Assumptions!K17/100</f>
        <v>-11295.4200792228</v>
      </c>
      <c r="L12" s="4" t="n">
        <f aca="false">-L6*Assumptions!L17/100</f>
        <v>-11521.3284808072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8586.54864000001</v>
      </c>
      <c r="D13" s="0" t="n">
        <f aca="false">D11+D12</f>
        <v>5089.60746</v>
      </c>
      <c r="E13" s="0" t="n">
        <f aca="false">E11+E12</f>
        <v>3121.6259088</v>
      </c>
      <c r="F13" s="0" t="n">
        <f aca="false">F11+F12</f>
        <v>2535.981743736</v>
      </c>
      <c r="G13" s="0" t="n">
        <f aca="false">G11+G12</f>
        <v>2643.58961772696</v>
      </c>
      <c r="H13" s="0" t="n">
        <f aca="false">H11+H12</f>
        <v>3477.0160287893</v>
      </c>
      <c r="I13" s="0" t="n">
        <f aca="false">I11+I12</f>
        <v>4342.72206044705</v>
      </c>
      <c r="J13" s="0" t="n">
        <f aca="false">J11+J12</f>
        <v>4503.40277668359</v>
      </c>
      <c r="K13" s="0" t="n">
        <f aca="false">K11+K12</f>
        <v>4668.77363274541</v>
      </c>
      <c r="L13" s="0" t="n">
        <f aca="false">L11+L12</f>
        <v>4762.14910540032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10</v>
      </c>
      <c r="D14" s="4" t="n">
        <f aca="false">Assumptions!D19</f>
        <v>12</v>
      </c>
      <c r="E14" s="4" t="n">
        <f aca="false">Assumptions!E19</f>
        <v>14</v>
      </c>
      <c r="F14" s="4" t="n">
        <f aca="false">Assumptions!F19</f>
        <v>15</v>
      </c>
      <c r="G14" s="4" t="n">
        <f aca="false">Assumptions!G19</f>
        <v>16</v>
      </c>
      <c r="H14" s="4" t="n">
        <f aca="false">Assumptions!H19</f>
        <v>17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7727.893776</v>
      </c>
      <c r="D15" s="0" t="n">
        <f aca="false">D13-MAX(0,D13)*D14/100</f>
        <v>4478.8545648</v>
      </c>
      <c r="E15" s="0" t="n">
        <f aca="false">E13-MAX(0,E13)*E14/100</f>
        <v>2684.598281568</v>
      </c>
      <c r="F15" s="0" t="n">
        <f aca="false">F13-MAX(0,F13)*F14/100</f>
        <v>2155.5844821756</v>
      </c>
      <c r="G15" s="0" t="n">
        <f aca="false">G13-MAX(0,G13)*G14/100</f>
        <v>2220.61527889064</v>
      </c>
      <c r="H15" s="0" t="n">
        <f aca="false">H13-MAX(0,H13)*H14/100</f>
        <v>2885.92330389512</v>
      </c>
      <c r="I15" s="0" t="n">
        <f aca="false">I13-MAX(0,I13)*I14/100</f>
        <v>3561.03208956658</v>
      </c>
      <c r="J15" s="0" t="n">
        <f aca="false">J13-MAX(0,J13)*J14/100</f>
        <v>3692.79027688054</v>
      </c>
      <c r="K15" s="0" t="n">
        <f aca="false">K13-MAX(0,K13)*K14/100</f>
        <v>3828.39437885124</v>
      </c>
      <c r="L15" s="0" t="n">
        <f aca="false">L13-MAX(0,L13)*L14/100</f>
        <v>3904.96226642826</v>
      </c>
    </row>
    <row r="16" customFormat="false" ht="15" hidden="false" customHeight="false" outlineLevel="0" collapsed="false">
      <c r="A16" s="0" t="s">
        <v>120</v>
      </c>
      <c r="C16" s="0" t="n">
        <f aca="false">-C12</f>
        <v>6232.1724</v>
      </c>
      <c r="D16" s="0" t="n">
        <f aca="false">-D12</f>
        <v>8143.371936</v>
      </c>
      <c r="E16" s="0" t="n">
        <f aca="false">-E12</f>
        <v>9500.600592</v>
      </c>
      <c r="F16" s="0" t="n">
        <f aca="false">-F12</f>
        <v>10281.0070692</v>
      </c>
      <c r="G16" s="0" t="n">
        <f aca="false">-G12</f>
        <v>10435.222175238</v>
      </c>
      <c r="H16" s="0" t="n">
        <f aca="false">-H12</f>
        <v>10643.9266187428</v>
      </c>
      <c r="I16" s="0" t="n">
        <f aca="false">-I12</f>
        <v>10856.8051511176</v>
      </c>
      <c r="J16" s="0" t="n">
        <f aca="false">-J12</f>
        <v>11073.94125414</v>
      </c>
      <c r="K16" s="0" t="n">
        <f aca="false">-K12</f>
        <v>11295.4200792228</v>
      </c>
      <c r="L16" s="0" t="n">
        <f aca="false">-L12</f>
        <v>11521.3284808072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-27698.544</v>
      </c>
      <c r="D17" s="4" t="n">
        <f aca="false">-D6*Assumptions!D18/100</f>
        <v>-21715.658496</v>
      </c>
      <c r="E17" s="4" t="n">
        <f aca="false">-E6*Assumptions!E18/100</f>
        <v>-17643.972528</v>
      </c>
      <c r="F17" s="4" t="n">
        <f aca="false">-F6*Assumptions!F18/100</f>
        <v>-15078.81036816</v>
      </c>
      <c r="G17" s="4" t="n">
        <f aca="false">-G6*Assumptions!G18/100</f>
        <v>-13217.9480886348</v>
      </c>
      <c r="H17" s="4" t="n">
        <f aca="false">-H6*Assumptions!H18/100</f>
        <v>-12063.1168345751</v>
      </c>
      <c r="I17" s="4" t="n">
        <f aca="false">-I6*Assumptions!I18/100</f>
        <v>-11580.5921611921</v>
      </c>
      <c r="J17" s="4" t="n">
        <f aca="false">-J6*Assumptions!J18/100</f>
        <v>-11812.204004416</v>
      </c>
      <c r="K17" s="4" t="n">
        <f aca="false">-K6*Assumptions!K18/100</f>
        <v>-12048.4480845043</v>
      </c>
      <c r="L17" s="4" t="n">
        <f aca="false">-L6*Assumptions!L18/100</f>
        <v>-12289.4170461944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-342.6624</v>
      </c>
      <c r="D18" s="4" t="n">
        <f aca="false">(D6-C6)*Assumptions!$B$23/100</f>
        <v>-221.588352000001</v>
      </c>
      <c r="E18" s="4" t="n">
        <f aca="false">(E6-D6)*Assumptions!$B$23/100</f>
        <v>0</v>
      </c>
      <c r="F18" s="4" t="n">
        <f aca="false">(F6-E6)*Assumptions!$B$23/100</f>
        <v>108.578292479999</v>
      </c>
      <c r="G18" s="4" t="n">
        <f aca="false">(G6-F6)*Assumptions!$B$23/100</f>
        <v>164.4961131072</v>
      </c>
      <c r="H18" s="4" t="n">
        <f aca="false">(H6-G6)*Assumptions!$B$23/100</f>
        <v>222.618073071744</v>
      </c>
      <c r="I18" s="4" t="n">
        <f aca="false">(I6-H6)*Assumptions!$B$23/100</f>
        <v>227.070434533178</v>
      </c>
      <c r="J18" s="4" t="n">
        <f aca="false">(J6-I6)*Assumptions!$B$23/100</f>
        <v>231.611843223842</v>
      </c>
      <c r="K18" s="4" t="n">
        <f aca="false">(K6-J6)*Assumptions!$B$23/100</f>
        <v>236.24408008832</v>
      </c>
      <c r="L18" s="4" t="n">
        <f aca="false">(L6-K6)*Assumptions!$B$23/100</f>
        <v>240.968961690087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-14081.140224</v>
      </c>
      <c r="D19" s="0" t="n">
        <f aca="false">D15+D16+D17+D18</f>
        <v>-9315.02034720001</v>
      </c>
      <c r="E19" s="0" t="n">
        <f aca="false">E15+E16+E17+E18</f>
        <v>-5458.773654432</v>
      </c>
      <c r="F19" s="0" t="n">
        <f aca="false">F15+F16+F17+F18</f>
        <v>-2533.6405243044</v>
      </c>
      <c r="G19" s="0" t="n">
        <f aca="false">G15+G16+G17+G18</f>
        <v>-397.614521398956</v>
      </c>
      <c r="H19" s="0" t="n">
        <f aca="false">H15+H16+H17+H18</f>
        <v>1689.3511611345</v>
      </c>
      <c r="I19" s="0" t="n">
        <f aca="false">I15+I16+I17+I18</f>
        <v>3064.31551402525</v>
      </c>
      <c r="J19" s="0" t="n">
        <f aca="false">J15+J16+J17+J18</f>
        <v>3186.13936982839</v>
      </c>
      <c r="K19" s="0" t="n">
        <f aca="false">K15+K16+K17+K18</f>
        <v>3311.61045365804</v>
      </c>
      <c r="L19" s="0" t="n">
        <f aca="false">L15+L16+L17+L18</f>
        <v>3377.8426627312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-12801.0365672727</v>
      </c>
      <c r="D21" s="0" t="n">
        <f aca="false">D19*D20</f>
        <v>-7698.36392330579</v>
      </c>
      <c r="E21" s="0" t="n">
        <f aca="false">E19*E20</f>
        <v>-4101.25744134635</v>
      </c>
      <c r="F21" s="0" t="n">
        <f aca="false">F19*F20</f>
        <v>-1730.51056915812</v>
      </c>
      <c r="G21" s="0" t="n">
        <f aca="false">G19*G20</f>
        <v>-246.887334694573</v>
      </c>
      <c r="H21" s="0" t="n">
        <f aca="false">H19*H20</f>
        <v>953.594689166502</v>
      </c>
      <c r="I21" s="0" t="n">
        <f aca="false">I19*I20</f>
        <v>1572.47838284236</v>
      </c>
      <c r="J21" s="0" t="n">
        <f aca="false">J19*J20</f>
        <v>1486.35753040173</v>
      </c>
      <c r="K21" s="0" t="n">
        <f aca="false">K19*K20</f>
        <v>1404.4461063738</v>
      </c>
      <c r="L21" s="0" t="n">
        <f aca="false">L19*L20</f>
        <v>1302.30457136479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2.9</v>
      </c>
      <c r="D23" s="4" t="n">
        <f aca="false">Assumptions!D16</f>
        <v>2.9</v>
      </c>
      <c r="E23" s="4" t="n">
        <f aca="false">Assumptions!E16</f>
        <v>2.9</v>
      </c>
      <c r="F23" s="4" t="n">
        <f aca="false">Assumptions!F16</f>
        <v>2.9</v>
      </c>
      <c r="G23" s="4" t="n">
        <f aca="false">Assumptions!G16</f>
        <v>2.9</v>
      </c>
      <c r="H23" s="4" t="n">
        <f aca="false">Assumptions!H16</f>
        <v>2.9</v>
      </c>
      <c r="I23" s="4" t="n">
        <f aca="false">Assumptions!I16</f>
        <v>2.9</v>
      </c>
      <c r="J23" s="4" t="n">
        <f aca="false">Assumptions!J16</f>
        <v>2.9</v>
      </c>
      <c r="K23" s="4" t="n">
        <f aca="false">Assumptions!K16</f>
        <v>2.9</v>
      </c>
      <c r="L23" s="4" t="n">
        <f aca="false">Assumptions!L16</f>
        <v>2.9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-4016.28888</v>
      </c>
      <c r="D24" s="0" t="n">
        <f aca="false">-D6*D23/100</f>
        <v>-3935.9631024</v>
      </c>
      <c r="E24" s="0" t="n">
        <f aca="false">-E6*E23/100</f>
        <v>-3935.9631024</v>
      </c>
      <c r="F24" s="0" t="n">
        <f aca="false">-F6*F23/100</f>
        <v>-3975.322733424</v>
      </c>
      <c r="G24" s="0" t="n">
        <f aca="false">-G6*G23/100</f>
        <v>-4034.95257442536</v>
      </c>
      <c r="H24" s="0" t="n">
        <f aca="false">-H6*H23/100</f>
        <v>-4115.65162591387</v>
      </c>
      <c r="I24" s="0" t="n">
        <f aca="false">-I6*I23/100</f>
        <v>-4197.96465843214</v>
      </c>
      <c r="J24" s="0" t="n">
        <f aca="false">-J6*J23/100</f>
        <v>-4281.92395160079</v>
      </c>
      <c r="K24" s="0" t="n">
        <f aca="false">-K6*K23/100</f>
        <v>-4367.5624306328</v>
      </c>
      <c r="L24" s="0" t="n">
        <f aca="false">-L6*L23/100</f>
        <v>-4454.91367924546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-19858.8745556284</v>
      </c>
    </row>
    <row r="31" customFormat="false" ht="15" hidden="false" customHeight="false" outlineLevel="0" collapsed="false">
      <c r="A31" s="0" t="s">
        <v>129</v>
      </c>
      <c r="B31" s="0" t="n">
        <f aca="false">L19</f>
        <v>3377.8426627312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43067.4939498228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60801.1679291616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43067.4939498228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16604.3832849011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-3254.49127072726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87894.5087292727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23.5300089800084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-0.218272126910021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14834.3423573758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11327.0257467758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30.5336003911175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26503.0731998909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20.8482135651734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2.5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142776</v>
      </c>
      <c r="C6" s="0" t="n">
        <f aca="false">B6*(1+C5/100)</f>
        <v>146345.4</v>
      </c>
      <c r="D6" s="0" t="n">
        <f aca="false">C6*(1+D5/100)</f>
        <v>152199.216</v>
      </c>
      <c r="E6" s="0" t="n">
        <f aca="false">D6*(1+E5/100)</f>
        <v>159809.1768</v>
      </c>
      <c r="F6" s="0" t="n">
        <f aca="false">E6*(1+F5/100)</f>
        <v>167799.63564</v>
      </c>
      <c r="G6" s="0" t="n">
        <f aca="false">F6*(1+G5/100)</f>
        <v>175350.6192438</v>
      </c>
      <c r="H6" s="0" t="n">
        <f aca="false">G6*(1+H5/100)</f>
        <v>182364.644013552</v>
      </c>
      <c r="I6" s="0" t="n">
        <f aca="false">H6*(1+I5/100)</f>
        <v>188747.406554026</v>
      </c>
      <c r="J6" s="0" t="n">
        <f aca="false">I6*(1+J5/100)</f>
        <v>194409.828750647</v>
      </c>
      <c r="K6" s="0" t="n">
        <f aca="false">J6*(1+K5/100)</f>
        <v>200242.123613166</v>
      </c>
      <c r="L6" s="0" t="n">
        <f aca="false">K6*(1+L5/100)</f>
        <v>206249.387321562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16.5</v>
      </c>
      <c r="D7" s="4" t="n">
        <f aca="false">Assumptions!D28</f>
        <v>17</v>
      </c>
      <c r="E7" s="4" t="n">
        <f aca="false">Assumptions!E28</f>
        <v>17.5</v>
      </c>
      <c r="F7" s="4" t="n">
        <f aca="false">Assumptions!F28</f>
        <v>18</v>
      </c>
      <c r="G7" s="4" t="n">
        <f aca="false">Assumptions!G28</f>
        <v>18.5</v>
      </c>
      <c r="H7" s="4" t="n">
        <f aca="false">Assumptions!H28</f>
        <v>19</v>
      </c>
      <c r="I7" s="4" t="n">
        <f aca="false">Assumptions!I28</f>
        <v>19.5</v>
      </c>
      <c r="J7" s="4" t="n">
        <f aca="false">Assumptions!J28</f>
        <v>19.5</v>
      </c>
      <c r="K7" s="4" t="n">
        <f aca="false">Assumptions!K28</f>
        <v>19.5</v>
      </c>
      <c r="L7" s="4" t="n">
        <f aca="false">Assumptions!L28</f>
        <v>19.5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24146.991</v>
      </c>
      <c r="D8" s="0" t="n">
        <f aca="false">D6*D7/100</f>
        <v>25873.86672</v>
      </c>
      <c r="E8" s="0" t="n">
        <f aca="false">E6*E7/100</f>
        <v>27966.60594</v>
      </c>
      <c r="F8" s="0" t="n">
        <f aca="false">F6*F7/100</f>
        <v>30203.9344152</v>
      </c>
      <c r="G8" s="0" t="n">
        <f aca="false">G6*G7/100</f>
        <v>32439.864560103</v>
      </c>
      <c r="H8" s="0" t="n">
        <f aca="false">H6*H7/100</f>
        <v>34649.2823625749</v>
      </c>
      <c r="I8" s="0" t="n">
        <f aca="false">I6*I7/100</f>
        <v>36805.7442780351</v>
      </c>
      <c r="J8" s="0" t="n">
        <f aca="false">J6*J7/100</f>
        <v>37909.9166063762</v>
      </c>
      <c r="K8" s="0" t="n">
        <f aca="false">K6*K7/100</f>
        <v>39047.2141045675</v>
      </c>
      <c r="L8" s="0" t="n">
        <f aca="false">L6*L7/100</f>
        <v>40218.6305277045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1.9</v>
      </c>
      <c r="D9" s="4" t="n">
        <f aca="false">Assumptions!D29</f>
        <v>1.85</v>
      </c>
      <c r="E9" s="4" t="n">
        <f aca="false">Assumptions!E29</f>
        <v>1.8</v>
      </c>
      <c r="F9" s="4" t="n">
        <f aca="false">Assumptions!F29</f>
        <v>1.75</v>
      </c>
      <c r="G9" s="4" t="n">
        <f aca="false">Assumptions!G29</f>
        <v>1.7</v>
      </c>
      <c r="H9" s="4" t="n">
        <f aca="false">Assumptions!H29</f>
        <v>1.65</v>
      </c>
      <c r="I9" s="4" t="n">
        <f aca="false">Assumptions!I29</f>
        <v>1.6</v>
      </c>
      <c r="J9" s="4" t="n">
        <f aca="false">Assumptions!J29</f>
        <v>1.55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-2780.5626</v>
      </c>
      <c r="D10" s="0" t="n">
        <f aca="false">-D6*D9/100</f>
        <v>-2815.685496</v>
      </c>
      <c r="E10" s="0" t="n">
        <f aca="false">-E6*E9/100</f>
        <v>-2876.5651824</v>
      </c>
      <c r="F10" s="0" t="n">
        <f aca="false">-F6*F9/100</f>
        <v>-2936.4936237</v>
      </c>
      <c r="G10" s="0" t="n">
        <f aca="false">-G6*G9/100</f>
        <v>-2980.9605271446</v>
      </c>
      <c r="H10" s="0" t="n">
        <f aca="false">-H6*H9/100</f>
        <v>-3009.01662622361</v>
      </c>
      <c r="I10" s="0" t="n">
        <f aca="false">-I6*I9/100</f>
        <v>-3019.95850486442</v>
      </c>
      <c r="J10" s="0" t="n">
        <f aca="false">-J6*J9/100</f>
        <v>-3013.35234563503</v>
      </c>
      <c r="K10" s="0" t="n">
        <f aca="false">-K6*K9/100</f>
        <v>-3003.6318541975</v>
      </c>
      <c r="L10" s="0" t="n">
        <f aca="false">-L6*L9/100</f>
        <v>-3093.74080982342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17122.4118</v>
      </c>
      <c r="D11" s="0" t="n">
        <f aca="false">D8+D10+D24</f>
        <v>18644.40396</v>
      </c>
      <c r="E11" s="0" t="n">
        <f aca="false">E8+E10+E24</f>
        <v>20455.5746304</v>
      </c>
      <c r="F11" s="0" t="n">
        <f aca="false">F8+F10+F24</f>
        <v>22401.25135794</v>
      </c>
      <c r="G11" s="0" t="n">
        <f aca="false">G8+G10+G24</f>
        <v>24373.7360748882</v>
      </c>
      <c r="H11" s="0" t="n">
        <f aca="false">H8+H10+H24</f>
        <v>26351.6910599583</v>
      </c>
      <c r="I11" s="0" t="n">
        <f aca="false">I8+I10+I24</f>
        <v>28312.1109831039</v>
      </c>
      <c r="J11" s="0" t="n">
        <f aca="false">J8+J10+J24</f>
        <v>29258.6792269724</v>
      </c>
      <c r="K11" s="0" t="n">
        <f aca="false">K8+K10+K24</f>
        <v>30236.5606655881</v>
      </c>
      <c r="L11" s="0" t="n">
        <f aca="false">L8+L10+L24</f>
        <v>31143.6574855558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-6585.543</v>
      </c>
      <c r="D12" s="4" t="n">
        <f aca="false">-D6*Assumptions!D31/100</f>
        <v>-8370.95688</v>
      </c>
      <c r="E12" s="4" t="n">
        <f aca="false">-E6*Assumptions!E31/100</f>
        <v>-10387.596492</v>
      </c>
      <c r="F12" s="4" t="n">
        <f aca="false">-F6*Assumptions!F31/100</f>
        <v>-11745.9744948</v>
      </c>
      <c r="G12" s="4" t="n">
        <f aca="false">-G6*Assumptions!G31/100</f>
        <v>-12274.543347066</v>
      </c>
      <c r="H12" s="4" t="n">
        <f aca="false">-H6*Assumptions!H31/100</f>
        <v>-12765.5250809486</v>
      </c>
      <c r="I12" s="4" t="n">
        <f aca="false">-I6*Assumptions!I31/100</f>
        <v>-13212.3184587818</v>
      </c>
      <c r="J12" s="4" t="n">
        <f aca="false">-J6*Assumptions!J31/100</f>
        <v>-13608.6880125453</v>
      </c>
      <c r="K12" s="4" t="n">
        <f aca="false">-K6*Assumptions!K31/100</f>
        <v>-14016.9486529217</v>
      </c>
      <c r="L12" s="4" t="n">
        <f aca="false">-L6*Assumptions!L31/100</f>
        <v>-14437.4571125093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10536.8688</v>
      </c>
      <c r="D13" s="0" t="n">
        <f aca="false">D11+D12</f>
        <v>10273.44708</v>
      </c>
      <c r="E13" s="0" t="n">
        <f aca="false">E11+E12</f>
        <v>10067.9781384</v>
      </c>
      <c r="F13" s="0" t="n">
        <f aca="false">F11+F12</f>
        <v>10655.27686314</v>
      </c>
      <c r="G13" s="0" t="n">
        <f aca="false">G11+G12</f>
        <v>12099.1927278222</v>
      </c>
      <c r="H13" s="0" t="n">
        <f aca="false">H11+H12</f>
        <v>13586.1659790096</v>
      </c>
      <c r="I13" s="0" t="n">
        <f aca="false">I11+I12</f>
        <v>15099.7925243221</v>
      </c>
      <c r="J13" s="0" t="n">
        <f aca="false">J11+J12</f>
        <v>15649.9912144271</v>
      </c>
      <c r="K13" s="0" t="n">
        <f aca="false">K11+K12</f>
        <v>16219.6120126665</v>
      </c>
      <c r="L13" s="0" t="n">
        <f aca="false">L11+L12</f>
        <v>16706.2003730465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10</v>
      </c>
      <c r="D14" s="4" t="n">
        <f aca="false">Assumptions!D33</f>
        <v>12</v>
      </c>
      <c r="E14" s="4" t="n">
        <f aca="false">Assumptions!E33</f>
        <v>14</v>
      </c>
      <c r="F14" s="4" t="n">
        <f aca="false">Assumptions!F33</f>
        <v>15</v>
      </c>
      <c r="G14" s="4" t="n">
        <f aca="false">Assumptions!G33</f>
        <v>16</v>
      </c>
      <c r="H14" s="4" t="n">
        <f aca="false">Assumptions!H33</f>
        <v>17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9483.18192000001</v>
      </c>
      <c r="D15" s="0" t="n">
        <f aca="false">D13-MAX(0,D13)*D14/100</f>
        <v>9040.6334304</v>
      </c>
      <c r="E15" s="0" t="n">
        <f aca="false">E13-MAX(0,E13)*E14/100</f>
        <v>8658.46119902399</v>
      </c>
      <c r="F15" s="0" t="n">
        <f aca="false">F13-MAX(0,F13)*F14/100</f>
        <v>9056.985333669</v>
      </c>
      <c r="G15" s="0" t="n">
        <f aca="false">G13-MAX(0,G13)*G14/100</f>
        <v>10163.3218913706</v>
      </c>
      <c r="H15" s="0" t="n">
        <f aca="false">H13-MAX(0,H13)*H14/100</f>
        <v>11276.517762578</v>
      </c>
      <c r="I15" s="0" t="n">
        <f aca="false">I13-MAX(0,I13)*I14/100</f>
        <v>12381.8298699441</v>
      </c>
      <c r="J15" s="0" t="n">
        <f aca="false">J13-MAX(0,J13)*J14/100</f>
        <v>12832.9927958302</v>
      </c>
      <c r="K15" s="0" t="n">
        <f aca="false">K13-MAX(0,K13)*K14/100</f>
        <v>13300.0818503865</v>
      </c>
      <c r="L15" s="0" t="n">
        <f aca="false">L13-MAX(0,L13)*L14/100</f>
        <v>13699.0843058981</v>
      </c>
    </row>
    <row r="16" customFormat="false" ht="15" hidden="false" customHeight="false" outlineLevel="0" collapsed="false">
      <c r="A16" s="0" t="s">
        <v>120</v>
      </c>
      <c r="C16" s="0" t="n">
        <f aca="false">-C12</f>
        <v>6585.543</v>
      </c>
      <c r="D16" s="0" t="n">
        <f aca="false">-D12</f>
        <v>8370.95688</v>
      </c>
      <c r="E16" s="0" t="n">
        <f aca="false">-E12</f>
        <v>10387.596492</v>
      </c>
      <c r="F16" s="0" t="n">
        <f aca="false">-F12</f>
        <v>11745.9744948</v>
      </c>
      <c r="G16" s="0" t="n">
        <f aca="false">-G12</f>
        <v>12274.543347066</v>
      </c>
      <c r="H16" s="0" t="n">
        <f aca="false">-H12</f>
        <v>12765.5250809486</v>
      </c>
      <c r="I16" s="0" t="n">
        <f aca="false">-I12</f>
        <v>13212.3184587818</v>
      </c>
      <c r="J16" s="0" t="n">
        <f aca="false">-J12</f>
        <v>13608.6880125453</v>
      </c>
      <c r="K16" s="0" t="n">
        <f aca="false">-K12</f>
        <v>14016.9486529217</v>
      </c>
      <c r="L16" s="0" t="n">
        <f aca="false">-L12</f>
        <v>14437.4571125093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-29269.08</v>
      </c>
      <c r="D17" s="4" t="n">
        <f aca="false">-D6*Assumptions!D32/100</f>
        <v>-22829.8824</v>
      </c>
      <c r="E17" s="4" t="n">
        <f aca="false">-E6*Assumptions!E32/100</f>
        <v>-19177.101216</v>
      </c>
      <c r="F17" s="4" t="n">
        <f aca="false">-F6*Assumptions!F32/100</f>
        <v>-16779.963564</v>
      </c>
      <c r="G17" s="4" t="n">
        <f aca="false">-G6*Assumptions!G32/100</f>
        <v>-15781.555731942</v>
      </c>
      <c r="H17" s="4" t="n">
        <f aca="false">-H6*Assumptions!H32/100</f>
        <v>-15500.9947411519</v>
      </c>
      <c r="I17" s="4" t="n">
        <f aca="false">-I6*Assumptions!I32/100</f>
        <v>-15099.7925243221</v>
      </c>
      <c r="J17" s="4" t="n">
        <f aca="false">-J6*Assumptions!J32/100</f>
        <v>-15552.7863000518</v>
      </c>
      <c r="K17" s="4" t="n">
        <f aca="false">-K6*Assumptions!K32/100</f>
        <v>-16019.3698890533</v>
      </c>
      <c r="L17" s="4" t="n">
        <f aca="false">-L6*Assumptions!L32/100</f>
        <v>-16499.9509857249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285.552</v>
      </c>
      <c r="D18" s="4" t="n">
        <f aca="false">(D6-C6)*Assumptions!$B$37/100</f>
        <v>468.305279999999</v>
      </c>
      <c r="E18" s="4" t="n">
        <f aca="false">(E6-D6)*Assumptions!$B$37/100</f>
        <v>608.796864</v>
      </c>
      <c r="F18" s="4" t="n">
        <f aca="false">(F6-E6)*Assumptions!$B$37/100</f>
        <v>639.236707200001</v>
      </c>
      <c r="G18" s="4" t="n">
        <f aca="false">(G6-F6)*Assumptions!$B$37/100</f>
        <v>604.078688303998</v>
      </c>
      <c r="H18" s="4" t="n">
        <f aca="false">(H6-G6)*Assumptions!$B$37/100</f>
        <v>561.12198158016</v>
      </c>
      <c r="I18" s="4" t="n">
        <f aca="false">(I6-H6)*Assumptions!$B$37/100</f>
        <v>510.621003237944</v>
      </c>
      <c r="J18" s="4" t="n">
        <f aca="false">(J6-I6)*Assumptions!$B$37/100</f>
        <v>452.993775729663</v>
      </c>
      <c r="K18" s="4" t="n">
        <f aca="false">(K6-J6)*Assumptions!$B$37/100</f>
        <v>466.583589001554</v>
      </c>
      <c r="L18" s="4" t="n">
        <f aca="false">(L6-K6)*Assumptions!$B$37/100</f>
        <v>480.581096671601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-12914.80308</v>
      </c>
      <c r="D19" s="0" t="n">
        <f aca="false">D15+D16+D17+D18</f>
        <v>-4949.9868096</v>
      </c>
      <c r="E19" s="0" t="n">
        <f aca="false">E15+E16+E17+E18</f>
        <v>477.753339023995</v>
      </c>
      <c r="F19" s="0" t="n">
        <f aca="false">F15+F16+F17+F18</f>
        <v>4662.232971669</v>
      </c>
      <c r="G19" s="0" t="n">
        <f aca="false">G15+G16+G17+G18</f>
        <v>7260.38819479865</v>
      </c>
      <c r="H19" s="0" t="n">
        <f aca="false">H15+H16+H17+H18</f>
        <v>9102.17008395487</v>
      </c>
      <c r="I19" s="0" t="n">
        <f aca="false">I15+I16+I17+I18</f>
        <v>11004.9768076418</v>
      </c>
      <c r="J19" s="0" t="n">
        <f aca="false">J15+J16+J17+J18</f>
        <v>11341.8882840534</v>
      </c>
      <c r="K19" s="0" t="n">
        <f aca="false">K15+K16+K17+K18</f>
        <v>11764.2442032564</v>
      </c>
      <c r="L19" s="0" t="n">
        <f aca="false">L15+L16+L17+L18</f>
        <v>12117.1715293541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-11740.7300727273</v>
      </c>
      <c r="D21" s="0" t="n">
        <f aca="false">D19*D20</f>
        <v>-4090.89818975207</v>
      </c>
      <c r="E21" s="0" t="n">
        <f aca="false">E19*E20</f>
        <v>358.943154788877</v>
      </c>
      <c r="F21" s="0" t="n">
        <f aca="false">F19*F20</f>
        <v>3184.3678516966</v>
      </c>
      <c r="G21" s="0" t="n">
        <f aca="false">G19*G20</f>
        <v>4508.12984383744</v>
      </c>
      <c r="H21" s="0" t="n">
        <f aca="false">H19*H20</f>
        <v>5137.93771930792</v>
      </c>
      <c r="I21" s="0" t="n">
        <f aca="false">I19*I20</f>
        <v>5647.29318978203</v>
      </c>
      <c r="J21" s="0" t="n">
        <f aca="false">J19*J20</f>
        <v>5291.07459002522</v>
      </c>
      <c r="K21" s="0" t="n">
        <f aca="false">K19*K20</f>
        <v>4989.18794855335</v>
      </c>
      <c r="L21" s="0" t="n">
        <f aca="false">L19*L20</f>
        <v>4671.69417000905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2.9</v>
      </c>
      <c r="D23" s="4" t="n">
        <f aca="false">Assumptions!D30</f>
        <v>2.9</v>
      </c>
      <c r="E23" s="4" t="n">
        <f aca="false">Assumptions!E30</f>
        <v>2.9</v>
      </c>
      <c r="F23" s="4" t="n">
        <f aca="false">Assumptions!F30</f>
        <v>2.9</v>
      </c>
      <c r="G23" s="4" t="n">
        <f aca="false">Assumptions!G30</f>
        <v>2.9</v>
      </c>
      <c r="H23" s="4" t="n">
        <f aca="false">Assumptions!H30</f>
        <v>2.9</v>
      </c>
      <c r="I23" s="4" t="n">
        <f aca="false">Assumptions!I30</f>
        <v>2.9</v>
      </c>
      <c r="J23" s="4" t="n">
        <f aca="false">Assumptions!J30</f>
        <v>2.9</v>
      </c>
      <c r="K23" s="4" t="n">
        <f aca="false">Assumptions!K30</f>
        <v>2.9</v>
      </c>
      <c r="L23" s="4" t="n">
        <f aca="false">Assumptions!L30</f>
        <v>2.9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-4244.0166</v>
      </c>
      <c r="D24" s="0" t="n">
        <f aca="false">-D6*D23/100</f>
        <v>-4413.777264</v>
      </c>
      <c r="E24" s="0" t="n">
        <f aca="false">-E6*E23/100</f>
        <v>-4634.4661272</v>
      </c>
      <c r="F24" s="0" t="n">
        <f aca="false">-F6*F23/100</f>
        <v>-4866.18943356</v>
      </c>
      <c r="G24" s="0" t="n">
        <f aca="false">-G6*G23/100</f>
        <v>-5085.1679580702</v>
      </c>
      <c r="H24" s="0" t="n">
        <f aca="false">-H6*H23/100</f>
        <v>-5288.57467639301</v>
      </c>
      <c r="I24" s="0" t="n">
        <f aca="false">-I6*I23/100</f>
        <v>-5473.67479006676</v>
      </c>
      <c r="J24" s="0" t="n">
        <f aca="false">-J6*J23/100</f>
        <v>-5637.88503376876</v>
      </c>
      <c r="K24" s="0" t="n">
        <f aca="false">-K6*K23/100</f>
        <v>-5807.02158478183</v>
      </c>
      <c r="L24" s="0" t="n">
        <f aca="false">-L6*L23/100</f>
        <v>-5981.23223232528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17957.0002055212</v>
      </c>
    </row>
    <row r="31" customFormat="false" ht="15" hidden="false" customHeight="false" outlineLevel="0" collapsed="false">
      <c r="A31" s="0" t="s">
        <v>129</v>
      </c>
      <c r="B31" s="0" t="n">
        <f aca="false">L19</f>
        <v>12117.1715293541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165601.344234506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218109.087528374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165601.344234506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63846.4869901236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81803.4871956448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172952.487195645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46.30065786434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0.538227836024585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17993.1924936059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16301.20378231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55.4815209694718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99360.8065407036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33.5825724546233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5</v>
      </c>
      <c r="D5" s="4" t="n">
        <f aca="false">Assumptions!D41</f>
        <v>8</v>
      </c>
      <c r="E5" s="4" t="n">
        <f aca="false">Assumptions!E41</f>
        <v>9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142776</v>
      </c>
      <c r="C6" s="0" t="n">
        <f aca="false">B6*(1+C5/100)</f>
        <v>149914.8</v>
      </c>
      <c r="D6" s="0" t="n">
        <f aca="false">C6*(1+D5/100)</f>
        <v>161907.984</v>
      </c>
      <c r="E6" s="0" t="n">
        <f aca="false">D6*(1+E5/100)</f>
        <v>176479.70256</v>
      </c>
      <c r="F6" s="0" t="n">
        <f aca="false">E6*(1+F5/100)</f>
        <v>192362.8757904</v>
      </c>
      <c r="G6" s="0" t="n">
        <f aca="false">F6*(1+G5/100)</f>
        <v>207751.905853632</v>
      </c>
      <c r="H6" s="0" t="n">
        <f aca="false">G6*(1+H5/100)</f>
        <v>222294.539263386</v>
      </c>
      <c r="I6" s="0" t="n">
        <f aca="false">H6*(1+I5/100)</f>
        <v>235632.21161919</v>
      </c>
      <c r="J6" s="0" t="n">
        <f aca="false">I6*(1+J5/100)</f>
        <v>247413.822200149</v>
      </c>
      <c r="K6" s="0" t="n">
        <f aca="false">J6*(1+K5/100)</f>
        <v>257310.375088155</v>
      </c>
      <c r="L6" s="0" t="n">
        <f aca="false">K6*(1+L5/100)</f>
        <v>266316.23821624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17</v>
      </c>
      <c r="D7" s="4" t="n">
        <f aca="false">Assumptions!D42</f>
        <v>18.5</v>
      </c>
      <c r="E7" s="4" t="n">
        <f aca="false">Assumptions!E42</f>
        <v>20</v>
      </c>
      <c r="F7" s="4" t="n">
        <f aca="false">Assumptions!F42</f>
        <v>21</v>
      </c>
      <c r="G7" s="4" t="n">
        <f aca="false">Assumptions!G42</f>
        <v>22</v>
      </c>
      <c r="H7" s="4" t="n">
        <f aca="false">Assumptions!H42</f>
        <v>23</v>
      </c>
      <c r="I7" s="4" t="n">
        <f aca="false">Assumptions!I42</f>
        <v>23.5</v>
      </c>
      <c r="J7" s="4" t="n">
        <f aca="false">Assumptions!J42</f>
        <v>24</v>
      </c>
      <c r="K7" s="4" t="n">
        <f aca="false">Assumptions!K42</f>
        <v>24</v>
      </c>
      <c r="L7" s="4" t="n">
        <f aca="false">Assumptions!L42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25485.516</v>
      </c>
      <c r="D8" s="0" t="n">
        <f aca="false">D6*D7/100</f>
        <v>29952.97704</v>
      </c>
      <c r="E8" s="0" t="n">
        <f aca="false">E6*E7/100</f>
        <v>35295.940512</v>
      </c>
      <c r="F8" s="0" t="n">
        <f aca="false">F6*F7/100</f>
        <v>40396.203915984</v>
      </c>
      <c r="G8" s="0" t="n">
        <f aca="false">G6*G7/100</f>
        <v>45705.4192877991</v>
      </c>
      <c r="H8" s="0" t="n">
        <f aca="false">H6*H7/100</f>
        <v>51127.7440305789</v>
      </c>
      <c r="I8" s="0" t="n">
        <f aca="false">I6*I7/100</f>
        <v>55373.5697305095</v>
      </c>
      <c r="J8" s="0" t="n">
        <f aca="false">J6*J7/100</f>
        <v>59379.3173280358</v>
      </c>
      <c r="K8" s="0" t="n">
        <f aca="false">K6*K7/100</f>
        <v>61754.4900211572</v>
      </c>
      <c r="L8" s="0" t="n">
        <f aca="false">L6*L7/100</f>
        <v>63915.8971718977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1.9</v>
      </c>
      <c r="D9" s="4" t="n">
        <f aca="false">Assumptions!D43</f>
        <v>1.85</v>
      </c>
      <c r="E9" s="4" t="n">
        <f aca="false">Assumptions!E43</f>
        <v>1.8</v>
      </c>
      <c r="F9" s="4" t="n">
        <f aca="false">Assumptions!F43</f>
        <v>1.75</v>
      </c>
      <c r="G9" s="4" t="n">
        <f aca="false">Assumptions!G43</f>
        <v>1.7</v>
      </c>
      <c r="H9" s="4" t="n">
        <f aca="false">Assumptions!H43</f>
        <v>1.65</v>
      </c>
      <c r="I9" s="4" t="n">
        <f aca="false">Assumptions!I43</f>
        <v>1.6</v>
      </c>
      <c r="J9" s="4" t="n">
        <f aca="false">Assumptions!J43</f>
        <v>1.55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-2848.3812</v>
      </c>
      <c r="D10" s="0" t="n">
        <f aca="false">-D6*D9/100</f>
        <v>-2995.297704</v>
      </c>
      <c r="E10" s="0" t="n">
        <f aca="false">-E6*E9/100</f>
        <v>-3176.63464608</v>
      </c>
      <c r="F10" s="0" t="n">
        <f aca="false">-F6*F9/100</f>
        <v>-3366.350326332</v>
      </c>
      <c r="G10" s="0" t="n">
        <f aca="false">-G6*G9/100</f>
        <v>-3531.78239951175</v>
      </c>
      <c r="H10" s="0" t="n">
        <f aca="false">-H6*H9/100</f>
        <v>-3667.85989784587</v>
      </c>
      <c r="I10" s="0" t="n">
        <f aca="false">-I6*I9/100</f>
        <v>-3770.11538590703</v>
      </c>
      <c r="J10" s="0" t="n">
        <f aca="false">-J6*J9/100</f>
        <v>-3834.91424410231</v>
      </c>
      <c r="K10" s="0" t="n">
        <f aca="false">-K6*K9/100</f>
        <v>-3859.65562632232</v>
      </c>
      <c r="L10" s="0" t="n">
        <f aca="false">-L6*L9/100</f>
        <v>-3994.74357324361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18289.6056</v>
      </c>
      <c r="D11" s="0" t="n">
        <f aca="false">D8+D10+D24</f>
        <v>22262.3478</v>
      </c>
      <c r="E11" s="0" t="n">
        <f aca="false">E8+E10+E24</f>
        <v>27001.39449168</v>
      </c>
      <c r="F11" s="0" t="n">
        <f aca="false">F8+F10+F24</f>
        <v>31451.3301917304</v>
      </c>
      <c r="G11" s="0" t="n">
        <f aca="false">G8+G10+G24</f>
        <v>36148.831618532</v>
      </c>
      <c r="H11" s="0" t="n">
        <f aca="false">H8+H10+H24</f>
        <v>41013.3424940948</v>
      </c>
      <c r="I11" s="0" t="n">
        <f aca="false">I8+I10+I24</f>
        <v>44770.120207646</v>
      </c>
      <c r="J11" s="0" t="n">
        <f aca="false">J8+J10+J24</f>
        <v>48369.4022401291</v>
      </c>
      <c r="K11" s="0" t="n">
        <f aca="false">K8+K10+K24</f>
        <v>50432.8335172784</v>
      </c>
      <c r="L11" s="0" t="n">
        <f aca="false">L8+L10+L24</f>
        <v>52197.9826903831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-6746.166</v>
      </c>
      <c r="D12" s="4" t="n">
        <f aca="false">-D6*Assumptions!D45/100</f>
        <v>-8904.93912</v>
      </c>
      <c r="E12" s="4" t="n">
        <f aca="false">-E6*Assumptions!E45/100</f>
        <v>-10588.7821536</v>
      </c>
      <c r="F12" s="4" t="n">
        <f aca="false">-F6*Assumptions!F45/100</f>
        <v>-12503.586926376</v>
      </c>
      <c r="G12" s="4" t="n">
        <f aca="false">-G6*Assumptions!G45/100</f>
        <v>-13503.8738804861</v>
      </c>
      <c r="H12" s="4" t="n">
        <f aca="false">-H6*Assumptions!H45/100</f>
        <v>-14449.1450521201</v>
      </c>
      <c r="I12" s="4" t="n">
        <f aca="false">-I6*Assumptions!I45/100</f>
        <v>-15316.0937552473</v>
      </c>
      <c r="J12" s="4" t="n">
        <f aca="false">-J6*Assumptions!J45/100</f>
        <v>-16081.8984430097</v>
      </c>
      <c r="K12" s="4" t="n">
        <f aca="false">-K6*Assumptions!K45/100</f>
        <v>-16725.1743807301</v>
      </c>
      <c r="L12" s="4" t="n">
        <f aca="false">-L6*Assumptions!L45/100</f>
        <v>-17310.5554840556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11543.4396</v>
      </c>
      <c r="D13" s="0" t="n">
        <f aca="false">D11+D12</f>
        <v>13357.40868</v>
      </c>
      <c r="E13" s="0" t="n">
        <f aca="false">E11+E12</f>
        <v>16412.61233808</v>
      </c>
      <c r="F13" s="0" t="n">
        <f aca="false">F11+F12</f>
        <v>18947.7432653544</v>
      </c>
      <c r="G13" s="0" t="n">
        <f aca="false">G11+G12</f>
        <v>22644.9577380459</v>
      </c>
      <c r="H13" s="0" t="n">
        <f aca="false">H11+H12</f>
        <v>26564.1974419747</v>
      </c>
      <c r="I13" s="0" t="n">
        <f aca="false">I11+I12</f>
        <v>29454.0264523987</v>
      </c>
      <c r="J13" s="0" t="n">
        <f aca="false">J11+J12</f>
        <v>32287.5037971194</v>
      </c>
      <c r="K13" s="0" t="n">
        <f aca="false">K11+K12</f>
        <v>33707.6591365483</v>
      </c>
      <c r="L13" s="0" t="n">
        <f aca="false">L11+L12</f>
        <v>34887.4272063275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10</v>
      </c>
      <c r="D14" s="4" t="n">
        <f aca="false">Assumptions!D47</f>
        <v>12</v>
      </c>
      <c r="E14" s="4" t="n">
        <f aca="false">Assumptions!E47</f>
        <v>14</v>
      </c>
      <c r="F14" s="4" t="n">
        <f aca="false">Assumptions!F47</f>
        <v>15</v>
      </c>
      <c r="G14" s="4" t="n">
        <f aca="false">Assumptions!G47</f>
        <v>16</v>
      </c>
      <c r="H14" s="4" t="n">
        <f aca="false">Assumptions!H47</f>
        <v>17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10389.09564</v>
      </c>
      <c r="D15" s="0" t="n">
        <f aca="false">D13-MAX(0,D13)*D14/100</f>
        <v>11754.5196384</v>
      </c>
      <c r="E15" s="0" t="n">
        <f aca="false">E13-MAX(0,E13)*E14/100</f>
        <v>14114.8466107488</v>
      </c>
      <c r="F15" s="0" t="n">
        <f aca="false">F13-MAX(0,F13)*F14/100</f>
        <v>16105.5817755512</v>
      </c>
      <c r="G15" s="0" t="n">
        <f aca="false">G13-MAX(0,G13)*G14/100</f>
        <v>19021.7644999586</v>
      </c>
      <c r="H15" s="0" t="n">
        <f aca="false">H13-MAX(0,H13)*H14/100</f>
        <v>22048.283876839</v>
      </c>
      <c r="I15" s="0" t="n">
        <f aca="false">I13-MAX(0,I13)*I14/100</f>
        <v>24152.3016909669</v>
      </c>
      <c r="J15" s="0" t="n">
        <f aca="false">J13-MAX(0,J13)*J14/100</f>
        <v>26475.7531136379</v>
      </c>
      <c r="K15" s="0" t="n">
        <f aca="false">K13-MAX(0,K13)*K14/100</f>
        <v>27640.2804919696</v>
      </c>
      <c r="L15" s="0" t="n">
        <f aca="false">L13-MAX(0,L13)*L14/100</f>
        <v>28607.6903091885</v>
      </c>
    </row>
    <row r="16" customFormat="false" ht="15" hidden="false" customHeight="false" outlineLevel="0" collapsed="false">
      <c r="A16" s="0" t="s">
        <v>120</v>
      </c>
      <c r="C16" s="0" t="n">
        <f aca="false">-C12</f>
        <v>6746.166</v>
      </c>
      <c r="D16" s="0" t="n">
        <f aca="false">-D12</f>
        <v>8904.93912</v>
      </c>
      <c r="E16" s="0" t="n">
        <f aca="false">-E12</f>
        <v>10588.7821536</v>
      </c>
      <c r="F16" s="0" t="n">
        <f aca="false">-F12</f>
        <v>12503.586926376</v>
      </c>
      <c r="G16" s="0" t="n">
        <f aca="false">-G12</f>
        <v>13503.8738804861</v>
      </c>
      <c r="H16" s="0" t="n">
        <f aca="false">-H12</f>
        <v>14449.1450521201</v>
      </c>
      <c r="I16" s="0" t="n">
        <f aca="false">-I12</f>
        <v>15316.0937552473</v>
      </c>
      <c r="J16" s="0" t="n">
        <f aca="false">-J12</f>
        <v>16081.8984430097</v>
      </c>
      <c r="K16" s="0" t="n">
        <f aca="false">-K12</f>
        <v>16725.1743807301</v>
      </c>
      <c r="L16" s="0" t="n">
        <f aca="false">-L12</f>
        <v>17310.5554840556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-29982.96</v>
      </c>
      <c r="D17" s="4" t="n">
        <f aca="false">-D6*Assumptions!D46/100</f>
        <v>-22667.11776</v>
      </c>
      <c r="E17" s="4" t="n">
        <f aca="false">-E6*Assumptions!E46/100</f>
        <v>-19412.7672816</v>
      </c>
      <c r="F17" s="4" t="n">
        <f aca="false">-F6*Assumptions!F46/100</f>
        <v>-17312.658821136</v>
      </c>
      <c r="G17" s="4" t="n">
        <f aca="false">-G6*Assumptions!G46/100</f>
        <v>-16620.1524682906</v>
      </c>
      <c r="H17" s="4" t="n">
        <f aca="false">-H6*Assumptions!H46/100</f>
        <v>-16672.090444754</v>
      </c>
      <c r="I17" s="4" t="n">
        <f aca="false">-I6*Assumptions!I46/100</f>
        <v>-16494.2548133433</v>
      </c>
      <c r="J17" s="4" t="n">
        <f aca="false">-J6*Assumptions!J46/100</f>
        <v>-17318.9675540104</v>
      </c>
      <c r="K17" s="4" t="n">
        <f aca="false">-K6*Assumptions!K46/100</f>
        <v>-18011.7262561709</v>
      </c>
      <c r="L17" s="4" t="n">
        <f aca="false">-L6*Assumptions!L46/100</f>
        <v>-18642.1366751368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571.104000000001</v>
      </c>
      <c r="D18" s="4" t="n">
        <f aca="false">(D6-C6)*Assumptions!$B$51/100</f>
        <v>959.454720000001</v>
      </c>
      <c r="E18" s="4" t="n">
        <f aca="false">(E6-D6)*Assumptions!$B$51/100</f>
        <v>1165.7374848</v>
      </c>
      <c r="F18" s="4" t="n">
        <f aca="false">(F6-E6)*Assumptions!$B$51/100</f>
        <v>1270.653858432</v>
      </c>
      <c r="G18" s="4" t="n">
        <f aca="false">(G6-F6)*Assumptions!$B$51/100</f>
        <v>1231.12240505856</v>
      </c>
      <c r="H18" s="4" t="n">
        <f aca="false">(H6-G6)*Assumptions!$B$51/100</f>
        <v>1163.41067278034</v>
      </c>
      <c r="I18" s="4" t="n">
        <f aca="false">(I6-H6)*Assumptions!$B$51/100</f>
        <v>1067.01378846426</v>
      </c>
      <c r="J18" s="4" t="n">
        <f aca="false">(J6-I6)*Assumptions!$B$51/100</f>
        <v>942.528846476758</v>
      </c>
      <c r="K18" s="4" t="n">
        <f aca="false">(K6-J6)*Assumptions!$B$51/100</f>
        <v>791.724231040478</v>
      </c>
      <c r="L18" s="4" t="n">
        <f aca="false">(L6-K6)*Assumptions!$B$51/100</f>
        <v>720.469050246831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-12276.59436</v>
      </c>
      <c r="D19" s="0" t="n">
        <f aca="false">D15+D16+D17+D18</f>
        <v>-1048.2042816</v>
      </c>
      <c r="E19" s="0" t="n">
        <f aca="false">E15+E16+E17+E18</f>
        <v>6456.59896754881</v>
      </c>
      <c r="F19" s="0" t="n">
        <f aca="false">F15+F16+F17+F18</f>
        <v>12567.1637392232</v>
      </c>
      <c r="G19" s="0" t="n">
        <f aca="false">G15+G16+G17+G18</f>
        <v>17136.6083172126</v>
      </c>
      <c r="H19" s="0" t="n">
        <f aca="false">H15+H16+H17+H18</f>
        <v>20988.7491569854</v>
      </c>
      <c r="I19" s="0" t="n">
        <f aca="false">I15+I16+I17+I18</f>
        <v>24041.1544213352</v>
      </c>
      <c r="J19" s="0" t="n">
        <f aca="false">J15+J16+J17+J18</f>
        <v>26181.212849114</v>
      </c>
      <c r="K19" s="0" t="n">
        <f aca="false">K15+K16+K17+K18</f>
        <v>27145.4528475693</v>
      </c>
      <c r="L19" s="0" t="n">
        <f aca="false">L15+L16+L17+L18</f>
        <v>27996.5781683542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-11160.5403272727</v>
      </c>
      <c r="D21" s="0" t="n">
        <f aca="false">D19*D20</f>
        <v>-866.284530247934</v>
      </c>
      <c r="E21" s="0" t="n">
        <f aca="false">E19*E20</f>
        <v>4850.93836780526</v>
      </c>
      <c r="F21" s="0" t="n">
        <f aca="false">F19*F20</f>
        <v>8583.54192966549</v>
      </c>
      <c r="G21" s="0" t="n">
        <f aca="false">G19*G20</f>
        <v>10640.4855090702</v>
      </c>
      <c r="H21" s="0" t="n">
        <f aca="false">H19*H20</f>
        <v>11847.6017235565</v>
      </c>
      <c r="I21" s="0" t="n">
        <f aca="false">I19*I20</f>
        <v>12336.9135629462</v>
      </c>
      <c r="J21" s="0" t="n">
        <f aca="false">J19*J20</f>
        <v>12213.7290169536</v>
      </c>
      <c r="K21" s="0" t="n">
        <f aca="false">K19*K20</f>
        <v>11512.3219022967</v>
      </c>
      <c r="L21" s="0" t="n">
        <f aca="false">L19*L20</f>
        <v>10793.8928397983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2.9</v>
      </c>
      <c r="D23" s="4" t="n">
        <f aca="false">Assumptions!D44</f>
        <v>2.9</v>
      </c>
      <c r="E23" s="4" t="n">
        <f aca="false">Assumptions!E44</f>
        <v>2.9</v>
      </c>
      <c r="F23" s="4" t="n">
        <f aca="false">Assumptions!F44</f>
        <v>2.9</v>
      </c>
      <c r="G23" s="4" t="n">
        <f aca="false">Assumptions!G44</f>
        <v>2.9</v>
      </c>
      <c r="H23" s="4" t="n">
        <f aca="false">Assumptions!H44</f>
        <v>2.9</v>
      </c>
      <c r="I23" s="4" t="n">
        <f aca="false">Assumptions!I44</f>
        <v>2.9</v>
      </c>
      <c r="J23" s="4" t="n">
        <f aca="false">Assumptions!J44</f>
        <v>2.9</v>
      </c>
      <c r="K23" s="4" t="n">
        <f aca="false">Assumptions!K44</f>
        <v>2.9</v>
      </c>
      <c r="L23" s="4" t="n">
        <f aca="false">Assumptions!L44</f>
        <v>2.9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-4347.5292</v>
      </c>
      <c r="D24" s="0" t="n">
        <f aca="false">-D6*D23/100</f>
        <v>-4695.331536</v>
      </c>
      <c r="E24" s="0" t="n">
        <f aca="false">-E6*E23/100</f>
        <v>-5117.91137424</v>
      </c>
      <c r="F24" s="0" t="n">
        <f aca="false">-F6*F23/100</f>
        <v>-5578.5233979216</v>
      </c>
      <c r="G24" s="0" t="n">
        <f aca="false">-G6*G23/100</f>
        <v>-6024.80526975533</v>
      </c>
      <c r="H24" s="0" t="n">
        <f aca="false">-H6*H23/100</f>
        <v>-6446.5416386382</v>
      </c>
      <c r="I24" s="0" t="n">
        <f aca="false">-I6*I23/100</f>
        <v>-6833.3341369565</v>
      </c>
      <c r="J24" s="0" t="n">
        <f aca="false">-J6*J23/100</f>
        <v>-7175.00084380432</v>
      </c>
      <c r="K24" s="0" t="n">
        <f aca="false">-K6*K23/100</f>
        <v>-7462.0008775565</v>
      </c>
      <c r="L24" s="0" t="n">
        <f aca="false">-L6*L23/100</f>
        <v>-7723.17090827097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70752.5999945715</v>
      </c>
    </row>
    <row r="31" customFormat="false" ht="15" hidden="false" customHeight="false" outlineLevel="0" collapsed="false">
      <c r="A31" s="0" t="s">
        <v>129</v>
      </c>
      <c r="B31" s="0" t="n">
        <f aca="false">L19</f>
        <v>27996.5781683542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411949.650191497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503938.407030375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411949.650191497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158824.423214175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229577.023208746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320726.023208746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85.8607245814298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1.85251576682491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20914.8740399858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22662.1567855071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97.5266174963584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240303.962611707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53.63210877646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23.5300089800084</v>
      </c>
      <c r="C4" s="0" t="n">
        <f aca="false">B4/Assumptions!$B$2-1</f>
        <v>-0.218272126910021</v>
      </c>
      <c r="D4" s="4" t="n">
        <f aca="false">Assumptions!$B$24</f>
        <v>0.25</v>
      </c>
      <c r="E4" s="4" t="n">
        <f aca="false">DCF_Bear!$B$43</f>
        <v>30.5336003911175</v>
      </c>
      <c r="F4" s="4" t="n">
        <f aca="false">DCF_Bear!$B$47</f>
        <v>20.8482135651734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46.30065786434</v>
      </c>
      <c r="C5" s="0" t="n">
        <f aca="false">B5/Assumptions!$B$2-1</f>
        <v>0.538227836024585</v>
      </c>
      <c r="D5" s="4" t="n">
        <f aca="false">Assumptions!$B$38</f>
        <v>0.5</v>
      </c>
      <c r="E5" s="4" t="n">
        <f aca="false">DCF_Base!$B$43</f>
        <v>55.4815209694718</v>
      </c>
      <c r="F5" s="4" t="n">
        <f aca="false">DCF_Base!$B$47</f>
        <v>33.5825724546233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85.8607245814298</v>
      </c>
      <c r="C6" s="0" t="n">
        <f aca="false">B6/Assumptions!$B$2-1</f>
        <v>1.85251576682491</v>
      </c>
      <c r="D6" s="4" t="n">
        <f aca="false">Assumptions!$B$52</f>
        <v>0.25</v>
      </c>
      <c r="E6" s="4" t="n">
        <f aca="false">DCF_Bull!$B$43</f>
        <v>97.5266174963584</v>
      </c>
      <c r="F6" s="4" t="n">
        <f aca="false">DCF_Bull!$B$47</f>
        <v>53.63210877646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50.4980123225296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59.7558149566049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0.403936935027224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-220.333194914421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35.41136681272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51.3765060659466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46.30065786434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42.4694934151798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39.4875628650672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33.5825724546233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53.8412611684511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55.9216916274597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57.4242247367438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57.4242247367438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57.4242247367438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48.3127900697387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49.7352296394066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51.3765060659466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53.2913285635765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54.4331951906035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44.1426786855956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45.1542314256321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46.30065786434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47.6108595085777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49.1226306365442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40.8990862593817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41.6406674162864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42.4694934151798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43.401922663935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44.4586758125241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38.3148640205924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38.871895971718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39.4875628650672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40.1716371910109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40.9361908494185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2026-10-11T13:38:05Z</dcterms:created>
  <dc:creator>openpyxl</dc:creator>
  <dc:description/>
  <dc:language>en-NZ</dc:language>
  <cp:lastModifiedBy/>
  <dcterms:modified xsi:type="dcterms:W3CDTF">2026-10-11T13:38:05Z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