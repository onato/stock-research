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<sst xmlns="http://schemas.openxmlformats.org/spreadsheetml/2006/main" count="359" uniqueCount="164">
  <si>
    <t xml:space="preserve">Ticker</t>
  </si>
  <si>
    <t xml:space="preserve">ORI.AX</t>
  </si>
  <si>
    <t xml:space="preserve">Company</t>
  </si>
  <si>
    <t xml:space="preserve">Orica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</si>
  <si>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</si>
  <si>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</si>
  <si>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</si>
  <si>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</si>
  <si>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2026-09-24T06:11:49Z (16:11 AEST, ASX regular close)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</si>
  <si>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</si>
  <si>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</si>
  <si>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</si>
  <si>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</si>
  <si>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</si>
  <si>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</si>
  <si>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</si>
  <si>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</si>
  <si>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</si>
  <si>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</si>
  <si>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</si>
  <si>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</si>
  <si>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2026-09-24T09:22:05Z</t>
  </si>
  <si>
    <t xml:space="preserve">Drivers file</t>
  </si>
  <si>
    <t xml:space="preserve">ORI.AX_Drivers.json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</si>
  <si>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</si>
  <si>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</si>
  <si>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</si>
  <si>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underlying (pre-significant-items) earnings, with SBC expensed and the share count held flat, leases charged as an operating cost with lease liabilities excluded from net debt, NCI folded into a 31% leakage rate calibrated to attributable underlying NPAT, and the unpaid A$247.3m CF Industries settlement deducted as debt. The margin path deliberately does not capitalise the FY26 peak: it lets the announced cost-out land and then fades toward a through-cycle level. Terminal value is capped at 15x owner FCF because the business is a moderate cyclical. Risk is charged once, in the scenario flows and the 25/50/25 weights, against a single 9.0% AUD WACC.
key_risks_to_valuation: Mid-cycle margin judgment: each 1pp of through-cycle EBITDA margin is worth roughly A$1.5-2/share; the market at ~8x EV/EBITDA is pricing FY26 margins as durable.; Ammonium nitrate supply: the CF Industries force majeure (no restart before Q4 2026) leaves US costs on the spot market until new supply contracts land.; Commodity exposure: ~26% gold, ~22% copper, ~23% coal of blasting revenue; a gold correction would hit both Blasting and the cyanide business at once.; Significant items have recurred every year (LatAm impairment, Minova, litigation); the model assumes they stop after the FY26 CF settlement and the A$50-60m of guided litigation cost.; Leverage: A$2.2bn net debt ex-lease (1.39x EBITDA) plus A$313m of leases; every A$100m of unexpected cash outflow is ~A$0.21/share.; Half-year timing: the 31 Mar 2026 balance sheet sits midway through the FY26 flow that is discounted as year 1; treated as a wash against the H1 dividend and buy-back.</t>
  </si>
  <si>
    <t xml:space="preserve">Data sources</t>
  </si>
  <si>
    <t xml:space="preserve">price: Yahoo Finance chart API at inputs.price_as_of; 52-week range 18.58-26.47.
financials: ORI.AX_Metrics.csv / core_metrics (FY2016-FY2025, H1 FY2016-H1 FY2026); FY2025 Annual Report (underlying EBIT 992.2, D&amp;A 498.9, lease principal 88.1 and interest 21.7, SBC 21.4, interest received 14.9, capex 414.5, OCF 949.2, buy-back 378.6, NCI 27.1, ETR 28.3%); H1 FY2026 Half-Year Report (net debt ex-lease 2,159.0 at 31 Mar 2026, cash 768.7, borrowings 2,927.7, lease liabilities 313.1, shares on issue 463.36m + 5.20m rights, underlying EBIT 512.0, CF Industries settlement payable 247.3, Nelson Brothers subsequent event).
qualitative: ORI.AX_Analysis.json (2026-09-24): guidance, cost-out program, CF Industries force majeure, Dyno Nobel patent litigation, segment mix and commodity exposure.</t>
  </si>
  <si>
    <t xml:space="preserve">Scenario narrative: bear</t>
  </si>
  <si>
    <t xml:space="preserve">The cycle turns: the CF Industries Yazoo City outage keeps US ammonium nitrate costs high through FY27, a gold/copper correction in FY27-28 shrinks volumes and premium mix, and margins revert to the FY24 level (EBIT ~10%) before only partially recovering. Recurring litigation and restructuring charges (A$274.6m in H1 FY26 alone) keep statutory cash conversion below underlying, and the A$2.2bn net-debt stack plus the A$247m CF settlement leave the equity to absorb the earnings fall. Value roughly halves against the base.</t>
  </si>
  <si>
    <t xml:space="preserve">Scenario narrative: base</t>
  </si>
  <si>
    <t xml:space="preserve">Orica is the global #1 in commercial explosives with a hazmat-regulated manufacturing and logistics moat, at a 13-year high in RONA. The base case takes FY26 guidance at face value (EBIT growth in every segment on flat revenue), lets the A$100m cost-out program add ~1pp of margin by FY28, then fades EBITDA margin from 19.9% to a 19.0% through-cycle level because gold at record prices and the cyanide/Digital growth engines are partly cyclical. Revenue compounds at 3-4% (market growth of ~2.4% plus price/mix and Digital/Chemicals share) fading to 2.5%. Capex and D&amp;A converge at 5.3% of revenue; growth consumes trade working capital at 13% of incremental revenue. Terminal value is capped at 15x owner FCF (about 6.5x EBITDA).</t>
  </si>
  <si>
    <t xml:space="preserve">Scenario narrative: bull</t>
  </si>
  <si>
    <t xml:space="preserve">Structural re-rating: Specialty Mining Chemicals (world's largest mining-dedicated cyanide producer) and Digital Solutions keep growing EBIT at 15-30%, gold and copper production growth sustains blasting volumes, WebGen wireless initiation takes share with pricing power reinforced by the Federal Court patent win over Dyno Nobel, and the cost-out program is fully retained. EBITDA (pre-SBC) reaches and holds 21% -- an EBIT margin near the FY2011-12 peak -- on 5-6% growth through FY29.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</si>
  <si>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</si>
  <si>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</si>
  <si>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</si>
  <si>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</si>
  <si>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</si>
  <si>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</si>
  <si>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</si>
  <si>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</si>
  <si>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</si>
  <si>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</si>
  <si>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</si>
  <si>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</si>
  <si>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</si>
  <si>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</si>
  <si>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</si>
  <si>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</si>
  <si>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</si>
  <si>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</si>
  <si>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</si>
  <si>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</si>
  <si>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</si>
  <si>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</si>
  <si>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</si>
  <si>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</si>
  <si>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</si>
  <si>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</si>
  <si>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</si>
  <si>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</si>
  <si>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</si>
  <si>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</si>
  <si>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</si>
  <si>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</si>
  <si>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</si>
  <si>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</si>
  <si>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</si>
  <si>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</si>
  <si>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</si>
  <si>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</si>
  <si>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</si>
  <si>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</si>
  <si>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</si>
  <si>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</si>
  <si>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</si>
  <si>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</si>
  <si>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</si>
  <si>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</si>
  <si>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</si>
  <si>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</si>
  <si>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</si>
  <si>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</si>
  <si>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</si>
  <si>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</si>
  <si>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</si>
  <si>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</si>
  <si>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</si>
  <si>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</si>
  <si>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</si>
  <si>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</si>
  <si>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</si>
  <si>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</si>
  <si>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</si>
  <si>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</si>
  <si>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</si>
  <si>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</si>
  <si>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</si>
  <si>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</si>
  <si>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</si>
  <si>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</si>
  <si>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</si>
  <si>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</si>
  <si>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</si>
  <si>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</si>
  <si>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</si>
  <si>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</si>
  <si>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ORI.AX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</si>
  <si>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</si>
  <si>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</si>
  <si>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</si>
  <si>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</si>
  <si>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</si>
  <si>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</si>
  <si>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</si>
  <si>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</si>
  <si>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</si>
  <si>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</si>
  <si>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</si>
  <si>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</si>
  <si>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</si>
  <si>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</si>
  <si>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</si>
  <si>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</si>
  <si>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</si>
  <si>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</si>
  <si>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</si>
  <si>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</si>
  <si>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</si>
  <si>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</si>
  <si>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</si>
  <si>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</si>
  <si>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</si>
  <si>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</si>
  <si>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</si>
  <si>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</si>
  <si>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</si>
  <si>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</si>
  <si>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ORI.AX owner-FCF component DCF: base case (millions, AUD)</t>
  </si>
  <si>
    <t xml:space="preserve">ORI.AX owner-FCF component DCF: bull case (millions, AUD)</t>
  </si>
  <si>
    <t xml:space="preserve">ORI.AX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</si>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</sst>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5091.9</v>
      </c>
      <c r="F2" s="0" t="n">
        <v>637.6</v>
      </c>
      <c r="G2" s="0" t="n">
        <v>12.5</v>
      </c>
      <c r="H2" s="0" t="n">
        <v>903.5</v>
      </c>
      <c r="I2" s="0" t="n">
        <v>342.8</v>
      </c>
      <c r="J2" s="0" t="n">
        <v>6.7</v>
      </c>
      <c r="K2" s="0" t="n">
        <v>0.92</v>
      </c>
      <c r="L2" s="0" t="n">
        <v>777.9</v>
      </c>
      <c r="M2" s="0" t="n">
        <v>262.9</v>
      </c>
      <c r="N2" s="0" t="n">
        <v>515</v>
      </c>
      <c r="O2" s="0" t="n">
        <v>2783.2</v>
      </c>
      <c r="P2" s="0" t="n">
        <v>6595.8</v>
      </c>
      <c r="Q2" s="0" t="n">
        <v>3812.6</v>
      </c>
      <c r="R2" s="0" t="n">
        <v>1877.4</v>
      </c>
      <c r="S2" s="0" t="n">
        <v>328</v>
      </c>
      <c r="T2" s="0" t="n">
        <v>372.8</v>
      </c>
      <c r="U2" s="0" t="n">
        <v>-4.3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5039.2</v>
      </c>
      <c r="F3" s="0" t="n">
        <v>635.1</v>
      </c>
      <c r="G3" s="0" t="n">
        <v>12.6</v>
      </c>
      <c r="H3" s="0" t="n">
        <v>896.3</v>
      </c>
      <c r="I3" s="0" t="n">
        <v>386.2</v>
      </c>
      <c r="J3" s="0" t="n">
        <v>7.7</v>
      </c>
      <c r="K3" s="0" t="n">
        <v>1.02</v>
      </c>
      <c r="L3" s="0" t="n">
        <v>466.4</v>
      </c>
      <c r="M3" s="0" t="n">
        <v>305.9</v>
      </c>
      <c r="N3" s="0" t="n">
        <v>160.5</v>
      </c>
      <c r="O3" s="0" t="n">
        <v>2963.5</v>
      </c>
      <c r="P3" s="0" t="n">
        <v>6785.2</v>
      </c>
      <c r="Q3" s="0" t="n">
        <v>3821.7</v>
      </c>
      <c r="R3" s="0" t="n">
        <v>1957.8</v>
      </c>
      <c r="S3" s="0" t="n">
        <v>516.9</v>
      </c>
      <c r="T3" s="0" t="n">
        <v>378.7</v>
      </c>
      <c r="U3" s="0" t="n">
        <v>11.6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5373.8</v>
      </c>
      <c r="F4" s="0" t="n">
        <v>242.8</v>
      </c>
      <c r="G4" s="0" t="n">
        <v>4.5</v>
      </c>
      <c r="H4" s="0" t="n">
        <v>509.7</v>
      </c>
      <c r="I4" s="0" t="n">
        <v>-48.1</v>
      </c>
      <c r="J4" s="0" t="n">
        <v>-0.9</v>
      </c>
      <c r="K4" s="0" t="n">
        <v>-0.127</v>
      </c>
      <c r="L4" s="0" t="n">
        <v>614.7</v>
      </c>
      <c r="M4" s="0" t="n">
        <v>322.1</v>
      </c>
      <c r="N4" s="0" t="n">
        <v>292.6</v>
      </c>
      <c r="O4" s="0" t="n">
        <v>2968</v>
      </c>
      <c r="P4" s="0" t="n">
        <v>7164.4</v>
      </c>
      <c r="Q4" s="0" t="n">
        <v>4196.4</v>
      </c>
      <c r="R4" s="0" t="n">
        <v>2162.9</v>
      </c>
      <c r="S4" s="0" t="n">
        <v>514.6</v>
      </c>
      <c r="T4" s="0" t="n">
        <v>380.9</v>
      </c>
      <c r="U4" s="0" t="n">
        <v>14.8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5878</v>
      </c>
      <c r="F5" s="0" t="n">
        <v>468.8</v>
      </c>
      <c r="G5" s="0" t="n">
        <v>8</v>
      </c>
      <c r="H5" s="0" t="n">
        <v>745.2</v>
      </c>
      <c r="I5" s="0" t="n">
        <v>245.1</v>
      </c>
      <c r="J5" s="0" t="n">
        <v>4.2</v>
      </c>
      <c r="K5" s="0" t="n">
        <v>0.642</v>
      </c>
      <c r="L5" s="0" t="n">
        <v>746.4</v>
      </c>
      <c r="M5" s="0" t="n">
        <v>424</v>
      </c>
      <c r="N5" s="0" t="n">
        <v>322.4</v>
      </c>
      <c r="O5" s="0" t="n">
        <v>3025.4</v>
      </c>
      <c r="P5" s="0" t="n">
        <v>7294</v>
      </c>
      <c r="Q5" s="0" t="n">
        <v>4268.6</v>
      </c>
      <c r="R5" s="0" t="n">
        <v>2033.2</v>
      </c>
      <c r="S5" s="0" t="n">
        <v>412.6</v>
      </c>
      <c r="T5" s="0" t="n">
        <v>381.6</v>
      </c>
      <c r="U5" s="0" t="n">
        <v>12.4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5611.3</v>
      </c>
      <c r="F6" s="0" t="n">
        <v>434.1</v>
      </c>
      <c r="G6" s="0" t="n">
        <v>7.7</v>
      </c>
      <c r="H6" s="0" t="n">
        <v>785.4</v>
      </c>
      <c r="I6" s="0" t="n">
        <v>168.3</v>
      </c>
      <c r="J6" s="0" t="n">
        <v>3</v>
      </c>
      <c r="K6" s="0" t="n">
        <v>0.424</v>
      </c>
      <c r="L6" s="0" t="n">
        <v>277.4</v>
      </c>
      <c r="M6" s="0" t="n">
        <v>524.1</v>
      </c>
      <c r="N6" s="0" t="n">
        <v>-246.7</v>
      </c>
      <c r="O6" s="0" t="n">
        <v>3186</v>
      </c>
      <c r="P6" s="0" t="n">
        <v>8456.3</v>
      </c>
      <c r="Q6" s="0" t="n">
        <v>5270.3</v>
      </c>
      <c r="R6" s="0" t="n">
        <v>3039.7</v>
      </c>
      <c r="S6" s="0" t="n">
        <v>920.5</v>
      </c>
      <c r="T6" s="0" t="n">
        <v>397.1</v>
      </c>
      <c r="U6" s="0" t="n">
        <v>5.3</v>
      </c>
      <c r="X6" s="0" t="n">
        <v>5143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5207.9</v>
      </c>
      <c r="F7" s="0" t="n">
        <v>-47.9</v>
      </c>
      <c r="G7" s="0" t="n">
        <v>-0.9</v>
      </c>
      <c r="H7" s="0" t="n">
        <v>310.2</v>
      </c>
      <c r="I7" s="0" t="n">
        <v>-173.8</v>
      </c>
      <c r="J7" s="0" t="n">
        <v>-3.3</v>
      </c>
      <c r="K7" s="0" t="n">
        <v>-0.427</v>
      </c>
      <c r="L7" s="0" t="n">
        <v>618.9</v>
      </c>
      <c r="M7" s="0" t="n">
        <v>323.2</v>
      </c>
      <c r="N7" s="0" t="n">
        <v>295.7</v>
      </c>
      <c r="O7" s="0" t="n">
        <v>2792.4</v>
      </c>
      <c r="P7" s="0" t="n">
        <v>7365.7</v>
      </c>
      <c r="Q7" s="0" t="n">
        <v>4573.3</v>
      </c>
      <c r="R7" s="0" t="n">
        <v>2323.2</v>
      </c>
      <c r="S7" s="0" t="n">
        <v>551</v>
      </c>
      <c r="T7" s="0" t="n">
        <v>406.8</v>
      </c>
      <c r="U7" s="0" t="n">
        <v>9.9</v>
      </c>
      <c r="X7" s="0" t="n">
        <v>5207.9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7096.4</v>
      </c>
      <c r="F8" s="0" t="n">
        <v>374.8</v>
      </c>
      <c r="G8" s="0" t="n">
        <v>5.3</v>
      </c>
      <c r="H8" s="0" t="n">
        <v>760.6</v>
      </c>
      <c r="I8" s="0" t="n">
        <v>60.1</v>
      </c>
      <c r="J8" s="0" t="n">
        <v>0.8</v>
      </c>
      <c r="K8" s="0" t="n">
        <v>0.144</v>
      </c>
      <c r="L8" s="0" t="n">
        <v>362.3</v>
      </c>
      <c r="M8" s="0" t="n">
        <v>349.3</v>
      </c>
      <c r="N8" s="0" t="n">
        <v>13</v>
      </c>
      <c r="O8" s="0" t="n">
        <v>3729.2</v>
      </c>
      <c r="P8" s="0" t="n">
        <v>8367.8</v>
      </c>
      <c r="Q8" s="0" t="n">
        <v>4638.6</v>
      </c>
      <c r="R8" s="0" t="n">
        <v>2407</v>
      </c>
      <c r="S8" s="0" t="n">
        <v>1255.3</v>
      </c>
      <c r="T8" s="0" t="n">
        <v>417.4</v>
      </c>
      <c r="U8" s="0" t="n">
        <v>8</v>
      </c>
      <c r="X8" s="0" t="n">
        <v>7096.4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7945.3</v>
      </c>
      <c r="F9" s="0" t="n">
        <v>526.9</v>
      </c>
      <c r="G9" s="0" t="n">
        <v>6.6</v>
      </c>
      <c r="H9" s="0" t="n">
        <v>919.4</v>
      </c>
      <c r="I9" s="0" t="n">
        <v>295.7</v>
      </c>
      <c r="J9" s="0" t="n">
        <v>3.7</v>
      </c>
      <c r="K9" s="0" t="n">
        <v>0.645</v>
      </c>
      <c r="L9" s="0" t="n">
        <v>898.7</v>
      </c>
      <c r="M9" s="0" t="n">
        <v>439.1</v>
      </c>
      <c r="N9" s="0" t="n">
        <v>459.6</v>
      </c>
      <c r="O9" s="0" t="n">
        <v>4051.8</v>
      </c>
      <c r="P9" s="0" t="n">
        <v>8767.2</v>
      </c>
      <c r="Q9" s="0" t="n">
        <v>4715.4</v>
      </c>
      <c r="R9" s="0" t="n">
        <v>2372.2</v>
      </c>
      <c r="S9" s="0" t="n">
        <v>1152.1</v>
      </c>
      <c r="T9" s="0" t="n">
        <v>458.1</v>
      </c>
      <c r="U9" s="0" t="n">
        <v>13.7</v>
      </c>
      <c r="X9" s="0" t="n">
        <v>7945.3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7662.8</v>
      </c>
      <c r="F10" s="0" t="n">
        <v>924.9</v>
      </c>
      <c r="G10" s="0" t="n">
        <v>12.1</v>
      </c>
      <c r="H10" s="0" t="n">
        <v>1356.8</v>
      </c>
      <c r="I10" s="0" t="n">
        <v>524.6</v>
      </c>
      <c r="J10" s="0" t="n">
        <v>6.8</v>
      </c>
      <c r="K10" s="0" t="n">
        <v>1.094</v>
      </c>
      <c r="L10" s="0" t="n">
        <v>807.5</v>
      </c>
      <c r="M10" s="0" t="n">
        <v>456.4</v>
      </c>
      <c r="N10" s="0" t="n">
        <v>351.1</v>
      </c>
      <c r="O10" s="0" t="n">
        <v>4547.6</v>
      </c>
      <c r="P10" s="0" t="n">
        <v>9598.3</v>
      </c>
      <c r="Q10" s="0" t="n">
        <v>5050.7</v>
      </c>
      <c r="R10" s="0" t="n">
        <v>2521</v>
      </c>
      <c r="S10" s="0" t="n">
        <v>580.7</v>
      </c>
      <c r="T10" s="0" t="n">
        <v>479.4</v>
      </c>
      <c r="U10" s="0" t="n">
        <v>19.6</v>
      </c>
      <c r="X10" s="0" t="n">
        <v>7662.8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8144.5</v>
      </c>
      <c r="F11" s="0" t="n">
        <v>627</v>
      </c>
      <c r="G11" s="0" t="n">
        <v>7.7</v>
      </c>
      <c r="H11" s="0" t="n">
        <v>1125.9</v>
      </c>
      <c r="I11" s="0" t="n">
        <v>162.3</v>
      </c>
      <c r="J11" s="0" t="n">
        <v>2</v>
      </c>
      <c r="K11" s="0" t="n">
        <v>0.332</v>
      </c>
      <c r="L11" s="0" t="n">
        <v>949.2</v>
      </c>
      <c r="M11" s="0" t="n">
        <v>414.5</v>
      </c>
      <c r="N11" s="0" t="n">
        <v>534.7</v>
      </c>
      <c r="O11" s="0" t="n">
        <v>4255.7</v>
      </c>
      <c r="P11" s="0" t="n">
        <v>9949</v>
      </c>
      <c r="Q11" s="0" t="n">
        <v>5693.3</v>
      </c>
      <c r="R11" s="0" t="n">
        <v>3004.8</v>
      </c>
      <c r="S11" s="0" t="n">
        <v>746.7</v>
      </c>
      <c r="T11" s="0" t="n">
        <v>489.2</v>
      </c>
      <c r="U11" s="0" t="n">
        <v>21.4</v>
      </c>
      <c r="X11" s="0" t="n">
        <v>8144.5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23.18</v>
      </c>
    </row>
    <row r="3" customFormat="false" ht="15" hidden="false" customHeight="false" outlineLevel="0" collapsed="false">
      <c r="A3" s="0" t="s">
        <v>76</v>
      </c>
      <c r="B3" s="3" t="n">
        <v>468.6</v>
      </c>
    </row>
    <row r="4" customFormat="false" ht="15" hidden="false" customHeight="false" outlineLevel="0" collapsed="false">
      <c r="A4" s="0" t="s">
        <v>77</v>
      </c>
      <c r="B4" s="3" t="n">
        <v>2159</v>
      </c>
    </row>
    <row r="5" customFormat="false" ht="15" hidden="false" customHeight="false" outlineLevel="0" collapsed="false">
      <c r="A5" s="0" t="s">
        <v>78</v>
      </c>
      <c r="B5" s="3" t="n">
        <v>-247.3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8144.5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</v>
      </c>
      <c r="D13" s="3" t="n">
        <v>-2</v>
      </c>
      <c r="E13" s="3" t="n">
        <v>-4</v>
      </c>
      <c r="F13" s="3" t="n">
        <v>1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19</v>
      </c>
      <c r="D14" s="3" t="n">
        <v>18</v>
      </c>
      <c r="E14" s="3" t="n">
        <v>16.8</v>
      </c>
      <c r="F14" s="3" t="n">
        <v>16.5</v>
      </c>
      <c r="G14" s="3" t="n">
        <v>17</v>
      </c>
      <c r="H14" s="3" t="n">
        <v>17.5</v>
      </c>
      <c r="I14" s="3" t="n">
        <v>17.8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98</v>
      </c>
      <c r="C15" s="3" t="n">
        <v>0.26</v>
      </c>
      <c r="D15" s="3" t="n">
        <v>0.26</v>
      </c>
      <c r="E15" s="3" t="n">
        <v>0.26</v>
      </c>
      <c r="F15" s="3" t="n">
        <v>0.26</v>
      </c>
      <c r="G15" s="3" t="n">
        <v>0.26</v>
      </c>
      <c r="H15" s="3" t="n">
        <v>0.26</v>
      </c>
      <c r="I15" s="3" t="n">
        <v>0.26</v>
      </c>
      <c r="J15" s="3" t="n">
        <v>0.26</v>
      </c>
      <c r="K15" s="3" t="n">
        <v>0.26</v>
      </c>
      <c r="L15" s="3" t="n">
        <v>0.26</v>
      </c>
    </row>
    <row r="16" customFormat="false" ht="15" hidden="false" customHeight="false" outlineLevel="0" collapsed="false">
      <c r="A16" s="0" t="s">
        <v>99</v>
      </c>
      <c r="C16" s="3" t="n">
        <v>1.35</v>
      </c>
      <c r="D16" s="3" t="n">
        <v>1.35</v>
      </c>
      <c r="E16" s="3" t="n">
        <v>1.35</v>
      </c>
      <c r="F16" s="3" t="n">
        <v>1.35</v>
      </c>
      <c r="G16" s="3" t="n">
        <v>1.35</v>
      </c>
      <c r="H16" s="3" t="n">
        <v>1.35</v>
      </c>
      <c r="I16" s="3" t="n">
        <v>1.35</v>
      </c>
      <c r="J16" s="3" t="n">
        <v>1.35</v>
      </c>
      <c r="K16" s="3" t="n">
        <v>1.35</v>
      </c>
      <c r="L16" s="3" t="n">
        <v>1.35</v>
      </c>
    </row>
    <row r="17" customFormat="false" ht="15" hidden="false" customHeight="false" outlineLevel="0" collapsed="false">
      <c r="A17" s="0" t="s">
        <v>100</v>
      </c>
      <c r="C17" s="3" t="n">
        <v>5.35</v>
      </c>
      <c r="D17" s="3" t="n">
        <v>5.3</v>
      </c>
      <c r="E17" s="3" t="n">
        <v>5.3</v>
      </c>
      <c r="F17" s="3" t="n">
        <v>5.3</v>
      </c>
      <c r="G17" s="3" t="n">
        <v>5.3</v>
      </c>
      <c r="H17" s="3" t="n">
        <v>5.3</v>
      </c>
      <c r="I17" s="3" t="n">
        <v>5.3</v>
      </c>
      <c r="J17" s="3" t="n">
        <v>5.3</v>
      </c>
      <c r="K17" s="3" t="n">
        <v>5.3</v>
      </c>
      <c r="L17" s="3" t="n">
        <v>5.3</v>
      </c>
    </row>
    <row r="18" customFormat="false" ht="15" hidden="false" customHeight="false" outlineLevel="0" collapsed="false">
      <c r="A18" s="0" t="s">
        <v>101</v>
      </c>
      <c r="C18" s="3" t="n">
        <v>5</v>
      </c>
      <c r="D18" s="3" t="n">
        <v>4.8</v>
      </c>
      <c r="E18" s="3" t="n">
        <v>4.5</v>
      </c>
      <c r="F18" s="3" t="n">
        <v>4.5</v>
      </c>
      <c r="G18" s="3" t="n">
        <v>4.8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102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-13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</v>
      </c>
      <c r="D27" s="3" t="n">
        <v>3.5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19.6</v>
      </c>
      <c r="D28" s="3" t="n">
        <v>19.8</v>
      </c>
      <c r="E28" s="3" t="n">
        <v>19.9</v>
      </c>
      <c r="F28" s="3" t="n">
        <v>19.7</v>
      </c>
      <c r="G28" s="3" t="n">
        <v>19.4</v>
      </c>
      <c r="H28" s="3" t="n">
        <v>19.2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98</v>
      </c>
      <c r="C29" s="3" t="n">
        <v>0.26</v>
      </c>
      <c r="D29" s="3" t="n">
        <v>0.26</v>
      </c>
      <c r="E29" s="3" t="n">
        <v>0.26</v>
      </c>
      <c r="F29" s="3" t="n">
        <v>0.26</v>
      </c>
      <c r="G29" s="3" t="n">
        <v>0.26</v>
      </c>
      <c r="H29" s="3" t="n">
        <v>0.26</v>
      </c>
      <c r="I29" s="3" t="n">
        <v>0.26</v>
      </c>
      <c r="J29" s="3" t="n">
        <v>0.26</v>
      </c>
      <c r="K29" s="3" t="n">
        <v>0.26</v>
      </c>
      <c r="L29" s="3" t="n">
        <v>0.26</v>
      </c>
    </row>
    <row r="30" customFormat="false" ht="15" hidden="false" customHeight="false" outlineLevel="0" collapsed="false">
      <c r="A30" s="0" t="s">
        <v>99</v>
      </c>
      <c r="C30" s="3" t="n">
        <v>1.35</v>
      </c>
      <c r="D30" s="3" t="n">
        <v>1.35</v>
      </c>
      <c r="E30" s="3" t="n">
        <v>1.35</v>
      </c>
      <c r="F30" s="3" t="n">
        <v>1.35</v>
      </c>
      <c r="G30" s="3" t="n">
        <v>1.35</v>
      </c>
      <c r="H30" s="3" t="n">
        <v>1.35</v>
      </c>
      <c r="I30" s="3" t="n">
        <v>1.35</v>
      </c>
      <c r="J30" s="3" t="n">
        <v>1.35</v>
      </c>
      <c r="K30" s="3" t="n">
        <v>1.35</v>
      </c>
      <c r="L30" s="3" t="n">
        <v>1.35</v>
      </c>
    </row>
    <row r="31" customFormat="false" ht="15" hidden="false" customHeight="false" outlineLevel="0" collapsed="false">
      <c r="A31" s="0" t="s">
        <v>100</v>
      </c>
      <c r="C31" s="3" t="n">
        <v>5.35</v>
      </c>
      <c r="D31" s="3" t="n">
        <v>5.3</v>
      </c>
      <c r="E31" s="3" t="n">
        <v>5.3</v>
      </c>
      <c r="F31" s="3" t="n">
        <v>5.3</v>
      </c>
      <c r="G31" s="3" t="n">
        <v>5.3</v>
      </c>
      <c r="H31" s="3" t="n">
        <v>5.3</v>
      </c>
      <c r="I31" s="3" t="n">
        <v>5.3</v>
      </c>
      <c r="J31" s="3" t="n">
        <v>5.3</v>
      </c>
      <c r="K31" s="3" t="n">
        <v>5.3</v>
      </c>
      <c r="L31" s="3" t="n">
        <v>5.3</v>
      </c>
    </row>
    <row r="32" customFormat="false" ht="15" hidden="false" customHeight="false" outlineLevel="0" collapsed="false">
      <c r="A32" s="0" t="s">
        <v>101</v>
      </c>
      <c r="C32" s="3" t="n">
        <v>5</v>
      </c>
      <c r="D32" s="3" t="n">
        <v>5.3</v>
      </c>
      <c r="E32" s="3" t="n">
        <v>5.3</v>
      </c>
      <c r="F32" s="3" t="n">
        <v>5.3</v>
      </c>
      <c r="G32" s="3" t="n">
        <v>5.3</v>
      </c>
      <c r="H32" s="3" t="n">
        <v>5.3</v>
      </c>
      <c r="I32" s="3" t="n">
        <v>5.3</v>
      </c>
      <c r="J32" s="3" t="n">
        <v>5.3</v>
      </c>
      <c r="K32" s="3" t="n">
        <v>5.3</v>
      </c>
      <c r="L32" s="3" t="n">
        <v>5.3</v>
      </c>
    </row>
    <row r="33" customFormat="false" ht="15" hidden="false" customHeight="false" outlineLevel="0" collapsed="false">
      <c r="A33" s="0" t="s">
        <v>102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-13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2</v>
      </c>
      <c r="D41" s="3" t="n">
        <v>5.5</v>
      </c>
      <c r="E41" s="3" t="n">
        <v>6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19.8</v>
      </c>
      <c r="D42" s="3" t="n">
        <v>20.4</v>
      </c>
      <c r="E42" s="3" t="n">
        <v>20.8</v>
      </c>
      <c r="F42" s="3" t="n">
        <v>21</v>
      </c>
      <c r="G42" s="3" t="n">
        <v>21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98</v>
      </c>
      <c r="C43" s="3" t="n">
        <v>0.26</v>
      </c>
      <c r="D43" s="3" t="n">
        <v>0.26</v>
      </c>
      <c r="E43" s="3" t="n">
        <v>0.26</v>
      </c>
      <c r="F43" s="3" t="n">
        <v>0.26</v>
      </c>
      <c r="G43" s="3" t="n">
        <v>0.26</v>
      </c>
      <c r="H43" s="3" t="n">
        <v>0.26</v>
      </c>
      <c r="I43" s="3" t="n">
        <v>0.26</v>
      </c>
      <c r="J43" s="3" t="n">
        <v>0.26</v>
      </c>
      <c r="K43" s="3" t="n">
        <v>0.26</v>
      </c>
      <c r="L43" s="3" t="n">
        <v>0.26</v>
      </c>
    </row>
    <row r="44" customFormat="false" ht="15" hidden="false" customHeight="false" outlineLevel="0" collapsed="false">
      <c r="A44" s="0" t="s">
        <v>99</v>
      </c>
      <c r="C44" s="3" t="n">
        <v>1.35</v>
      </c>
      <c r="D44" s="3" t="n">
        <v>1.35</v>
      </c>
      <c r="E44" s="3" t="n">
        <v>1.35</v>
      </c>
      <c r="F44" s="3" t="n">
        <v>1.35</v>
      </c>
      <c r="G44" s="3" t="n">
        <v>1.35</v>
      </c>
      <c r="H44" s="3" t="n">
        <v>1.35</v>
      </c>
      <c r="I44" s="3" t="n">
        <v>1.35</v>
      </c>
      <c r="J44" s="3" t="n">
        <v>1.35</v>
      </c>
      <c r="K44" s="3" t="n">
        <v>1.35</v>
      </c>
      <c r="L44" s="3" t="n">
        <v>1.35</v>
      </c>
    </row>
    <row r="45" customFormat="false" ht="15" hidden="false" customHeight="false" outlineLevel="0" collapsed="false">
      <c r="A45" s="0" t="s">
        <v>100</v>
      </c>
      <c r="C45" s="3" t="n">
        <v>5.35</v>
      </c>
      <c r="D45" s="3" t="n">
        <v>5.3</v>
      </c>
      <c r="E45" s="3" t="n">
        <v>5.3</v>
      </c>
      <c r="F45" s="3" t="n">
        <v>5.3</v>
      </c>
      <c r="G45" s="3" t="n">
        <v>5.3</v>
      </c>
      <c r="H45" s="3" t="n">
        <v>5.3</v>
      </c>
      <c r="I45" s="3" t="n">
        <v>5.3</v>
      </c>
      <c r="J45" s="3" t="n">
        <v>5.3</v>
      </c>
      <c r="K45" s="3" t="n">
        <v>5.3</v>
      </c>
      <c r="L45" s="3" t="n">
        <v>5.3</v>
      </c>
    </row>
    <row r="46" customFormat="false" ht="15" hidden="false" customHeight="false" outlineLevel="0" collapsed="false">
      <c r="A46" s="0" t="s">
        <v>101</v>
      </c>
      <c r="C46" s="3" t="n">
        <v>5</v>
      </c>
      <c r="D46" s="3" t="n">
        <v>5.5</v>
      </c>
      <c r="E46" s="3" t="n">
        <v>5.5</v>
      </c>
      <c r="F46" s="3" t="n">
        <v>5.5</v>
      </c>
      <c r="G46" s="3" t="n">
        <v>5.5</v>
      </c>
      <c r="H46" s="3" t="n">
        <v>5.3</v>
      </c>
      <c r="I46" s="3" t="n">
        <v>5.3</v>
      </c>
      <c r="J46" s="3" t="n">
        <v>5.3</v>
      </c>
      <c r="K46" s="3" t="n">
        <v>5.3</v>
      </c>
      <c r="L46" s="3" t="n">
        <v>5.3</v>
      </c>
    </row>
    <row r="47" customFormat="false" ht="15" hidden="false" customHeight="false" outlineLevel="0" collapsed="false">
      <c r="A47" s="0" t="s">
        <v>102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-13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</v>
      </c>
      <c r="D5" s="4" t="n">
        <f aca="false">Assumptions!D13</f>
        <v>-2</v>
      </c>
      <c r="E5" s="4" t="n">
        <f aca="false">Assumptions!E13</f>
        <v>-4</v>
      </c>
      <c r="F5" s="4" t="n">
        <f aca="false">Assumptions!F13</f>
        <v>1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8144.5</v>
      </c>
      <c r="C6" s="0" t="n">
        <f aca="false">B6*(1+C5/100)</f>
        <v>8063.055</v>
      </c>
      <c r="D6" s="0" t="n">
        <f aca="false">C6*(1+D5/100)</f>
        <v>7901.7939</v>
      </c>
      <c r="E6" s="0" t="n">
        <f aca="false">D6*(1+E5/100)</f>
        <v>7585.722144</v>
      </c>
      <c r="F6" s="0" t="n">
        <f aca="false">E6*(1+F5/100)</f>
        <v>7661.57936544</v>
      </c>
      <c r="G6" s="0" t="n">
        <f aca="false">F6*(1+G5/100)</f>
        <v>7853.118849576</v>
      </c>
      <c r="H6" s="0" t="n">
        <f aca="false">G6*(1+H5/100)</f>
        <v>8049.4468208154</v>
      </c>
      <c r="I6" s="0" t="n">
        <f aca="false">H6*(1+I5/100)</f>
        <v>8210.43575723171</v>
      </c>
      <c r="J6" s="0" t="n">
        <f aca="false">I6*(1+J5/100)</f>
        <v>8374.64447237634</v>
      </c>
      <c r="K6" s="0" t="n">
        <f aca="false">J6*(1+K5/100)</f>
        <v>8542.13736182387</v>
      </c>
      <c r="L6" s="0" t="n">
        <f aca="false">K6*(1+L5/100)</f>
        <v>8712.98010906035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19</v>
      </c>
      <c r="D7" s="4" t="n">
        <f aca="false">Assumptions!D14</f>
        <v>18</v>
      </c>
      <c r="E7" s="4" t="n">
        <f aca="false">Assumptions!E14</f>
        <v>16.8</v>
      </c>
      <c r="F7" s="4" t="n">
        <f aca="false">Assumptions!F14</f>
        <v>16.5</v>
      </c>
      <c r="G7" s="4" t="n">
        <f aca="false">Assumptions!G14</f>
        <v>17</v>
      </c>
      <c r="H7" s="4" t="n">
        <f aca="false">Assumptions!H14</f>
        <v>17.5</v>
      </c>
      <c r="I7" s="4" t="n">
        <f aca="false">Assumptions!I14</f>
        <v>17.8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1531.98045</v>
      </c>
      <c r="D8" s="0" t="n">
        <f aca="false">D6*D7/100</f>
        <v>1422.322902</v>
      </c>
      <c r="E8" s="0" t="n">
        <f aca="false">E6*E7/100</f>
        <v>1274.401320192</v>
      </c>
      <c r="F8" s="0" t="n">
        <f aca="false">F6*F7/100</f>
        <v>1264.1605952976</v>
      </c>
      <c r="G8" s="0" t="n">
        <f aca="false">G6*G7/100</f>
        <v>1335.03020442792</v>
      </c>
      <c r="H8" s="0" t="n">
        <f aca="false">H6*H7/100</f>
        <v>1408.6531936427</v>
      </c>
      <c r="I8" s="0" t="n">
        <f aca="false">I6*I7/100</f>
        <v>1461.45756478724</v>
      </c>
      <c r="J8" s="0" t="n">
        <f aca="false">J6*J7/100</f>
        <v>1507.43600502774</v>
      </c>
      <c r="K8" s="0" t="n">
        <f aca="false">K6*K7/100</f>
        <v>1537.5847251283</v>
      </c>
      <c r="L8" s="0" t="n">
        <f aca="false">L6*L7/100</f>
        <v>1568.33641963086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0.26</v>
      </c>
      <c r="D9" s="4" t="n">
        <f aca="false">Assumptions!D15</f>
        <v>0.26</v>
      </c>
      <c r="E9" s="4" t="n">
        <f aca="false">Assumptions!E15</f>
        <v>0.26</v>
      </c>
      <c r="F9" s="4" t="n">
        <f aca="false">Assumptions!F15</f>
        <v>0.26</v>
      </c>
      <c r="G9" s="4" t="n">
        <f aca="false">Assumptions!G15</f>
        <v>0.26</v>
      </c>
      <c r="H9" s="4" t="n">
        <f aca="false">Assumptions!H15</f>
        <v>0.26</v>
      </c>
      <c r="I9" s="4" t="n">
        <f aca="false">Assumptions!I15</f>
        <v>0.26</v>
      </c>
      <c r="J9" s="4" t="n">
        <f aca="false">Assumptions!J15</f>
        <v>0.26</v>
      </c>
      <c r="K9" s="4" t="n">
        <f aca="false">Assumptions!K15</f>
        <v>0.26</v>
      </c>
      <c r="L9" s="4" t="n">
        <f aca="false">Assumptions!L15</f>
        <v>0.26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-20.963943</v>
      </c>
      <c r="D10" s="0" t="n">
        <f aca="false">-D6*D9/100</f>
        <v>-20.54466414</v>
      </c>
      <c r="E10" s="0" t="n">
        <f aca="false">-E6*E9/100</f>
        <v>-19.7228775744</v>
      </c>
      <c r="F10" s="0" t="n">
        <f aca="false">-F6*F9/100</f>
        <v>-19.920106350144</v>
      </c>
      <c r="G10" s="0" t="n">
        <f aca="false">-G6*G9/100</f>
        <v>-20.4181090088976</v>
      </c>
      <c r="H10" s="0" t="n">
        <f aca="false">-H6*H9/100</f>
        <v>-20.92856173412</v>
      </c>
      <c r="I10" s="0" t="n">
        <f aca="false">-I6*I9/100</f>
        <v>-21.3471329688024</v>
      </c>
      <c r="J10" s="0" t="n">
        <f aca="false">-J6*J9/100</f>
        <v>-21.7740756281785</v>
      </c>
      <c r="K10" s="0" t="n">
        <f aca="false">-K6*K9/100</f>
        <v>-22.2095571407421</v>
      </c>
      <c r="L10" s="0" t="n">
        <f aca="false">-L6*L9/100</f>
        <v>-22.6537482835569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1402.1652645</v>
      </c>
      <c r="D11" s="0" t="n">
        <f aca="false">D8+D10+D24</f>
        <v>1295.10402021</v>
      </c>
      <c r="E11" s="0" t="n">
        <f aca="false">E8+E10+E24</f>
        <v>1152.2711936736</v>
      </c>
      <c r="F11" s="0" t="n">
        <f aca="false">F8+F10+F24</f>
        <v>1140.80916751402</v>
      </c>
      <c r="G11" s="0" t="n">
        <f aca="false">G8+G10+G24</f>
        <v>1208.59499094975</v>
      </c>
      <c r="H11" s="0" t="n">
        <f aca="false">H8+H10+H24</f>
        <v>1279.05709982757</v>
      </c>
      <c r="I11" s="0" t="n">
        <f aca="false">I8+I10+I24</f>
        <v>1329.26954909581</v>
      </c>
      <c r="J11" s="0" t="n">
        <f aca="false">J8+J10+J24</f>
        <v>1372.60422902248</v>
      </c>
      <c r="K11" s="0" t="n">
        <f aca="false">K8+K10+K24</f>
        <v>1400.05631360293</v>
      </c>
      <c r="L11" s="0" t="n">
        <f aca="false">L8+L10+L24</f>
        <v>1428.05743987499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-431.3734425</v>
      </c>
      <c r="D12" s="4" t="n">
        <f aca="false">-D6*Assumptions!D17/100</f>
        <v>-418.7950767</v>
      </c>
      <c r="E12" s="4" t="n">
        <f aca="false">-E6*Assumptions!E17/100</f>
        <v>-402.043273632</v>
      </c>
      <c r="F12" s="4" t="n">
        <f aca="false">-F6*Assumptions!F17/100</f>
        <v>-406.06370636832</v>
      </c>
      <c r="G12" s="4" t="n">
        <f aca="false">-G6*Assumptions!G17/100</f>
        <v>-416.215299027528</v>
      </c>
      <c r="H12" s="4" t="n">
        <f aca="false">-H6*Assumptions!H17/100</f>
        <v>-426.620681503216</v>
      </c>
      <c r="I12" s="4" t="n">
        <f aca="false">-I6*Assumptions!I17/100</f>
        <v>-435.153095133281</v>
      </c>
      <c r="J12" s="4" t="n">
        <f aca="false">-J6*Assumptions!J17/100</f>
        <v>-443.856157035946</v>
      </c>
      <c r="K12" s="4" t="n">
        <f aca="false">-K6*Assumptions!K17/100</f>
        <v>-452.733280176665</v>
      </c>
      <c r="L12" s="4" t="n">
        <f aca="false">-L6*Assumptions!L17/100</f>
        <v>-461.787945780198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970.791822</v>
      </c>
      <c r="D13" s="0" t="n">
        <f aca="false">D11+D12</f>
        <v>876.30894351</v>
      </c>
      <c r="E13" s="0" t="n">
        <f aca="false">E11+E12</f>
        <v>750.2279200416</v>
      </c>
      <c r="F13" s="0" t="n">
        <f aca="false">F11+F12</f>
        <v>734.745461145696</v>
      </c>
      <c r="G13" s="0" t="n">
        <f aca="false">G11+G12</f>
        <v>792.379691922218</v>
      </c>
      <c r="H13" s="0" t="n">
        <f aca="false">H11+H12</f>
        <v>852.436418324351</v>
      </c>
      <c r="I13" s="0" t="n">
        <f aca="false">I11+I12</f>
        <v>894.116453962533</v>
      </c>
      <c r="J13" s="0" t="n">
        <f aca="false">J11+J12</f>
        <v>928.748071986536</v>
      </c>
      <c r="K13" s="0" t="n">
        <f aca="false">K11+K12</f>
        <v>947.323033426267</v>
      </c>
      <c r="L13" s="0" t="n">
        <f aca="false">L11+L12</f>
        <v>966.269494094792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669.84635718</v>
      </c>
      <c r="D15" s="0" t="n">
        <f aca="false">D13-MAX(0,D13)*D14/100</f>
        <v>604.6531710219</v>
      </c>
      <c r="E15" s="0" t="n">
        <f aca="false">E13-MAX(0,E13)*E14/100</f>
        <v>517.657264828704</v>
      </c>
      <c r="F15" s="0" t="n">
        <f aca="false">F13-MAX(0,F13)*F14/100</f>
        <v>506.97436819053</v>
      </c>
      <c r="G15" s="0" t="n">
        <f aca="false">G13-MAX(0,G13)*G14/100</f>
        <v>546.741987426331</v>
      </c>
      <c r="H15" s="0" t="n">
        <f aca="false">H13-MAX(0,H13)*H14/100</f>
        <v>588.181128643802</v>
      </c>
      <c r="I15" s="0" t="n">
        <f aca="false">I13-MAX(0,I13)*I14/100</f>
        <v>616.940353234148</v>
      </c>
      <c r="J15" s="0" t="n">
        <f aca="false">J13-MAX(0,J13)*J14/100</f>
        <v>640.83616967071</v>
      </c>
      <c r="K15" s="0" t="n">
        <f aca="false">K13-MAX(0,K13)*K14/100</f>
        <v>653.652893064124</v>
      </c>
      <c r="L15" s="0" t="n">
        <f aca="false">L13-MAX(0,L13)*L14/100</f>
        <v>666.725950925407</v>
      </c>
    </row>
    <row r="16" customFormat="false" ht="15" hidden="false" customHeight="false" outlineLevel="0" collapsed="false">
      <c r="A16" s="0" t="s">
        <v>118</v>
      </c>
      <c r="C16" s="0" t="n">
        <f aca="false">-C12</f>
        <v>431.3734425</v>
      </c>
      <c r="D16" s="0" t="n">
        <f aca="false">-D12</f>
        <v>418.7950767</v>
      </c>
      <c r="E16" s="0" t="n">
        <f aca="false">-E12</f>
        <v>402.043273632</v>
      </c>
      <c r="F16" s="0" t="n">
        <f aca="false">-F12</f>
        <v>406.06370636832</v>
      </c>
      <c r="G16" s="0" t="n">
        <f aca="false">-G12</f>
        <v>416.215299027528</v>
      </c>
      <c r="H16" s="0" t="n">
        <f aca="false">-H12</f>
        <v>426.620681503216</v>
      </c>
      <c r="I16" s="0" t="n">
        <f aca="false">-I12</f>
        <v>435.153095133281</v>
      </c>
      <c r="J16" s="0" t="n">
        <f aca="false">-J12</f>
        <v>443.856157035946</v>
      </c>
      <c r="K16" s="0" t="n">
        <f aca="false">-K12</f>
        <v>452.733280176665</v>
      </c>
      <c r="L16" s="0" t="n">
        <f aca="false">-L12</f>
        <v>461.787945780198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-403.15275</v>
      </c>
      <c r="D17" s="4" t="n">
        <f aca="false">-D6*Assumptions!D18/100</f>
        <v>-379.2861072</v>
      </c>
      <c r="E17" s="4" t="n">
        <f aca="false">-E6*Assumptions!E18/100</f>
        <v>-341.35749648</v>
      </c>
      <c r="F17" s="4" t="n">
        <f aca="false">-F6*Assumptions!F18/100</f>
        <v>-344.7710714448</v>
      </c>
      <c r="G17" s="4" t="n">
        <f aca="false">-G6*Assumptions!G18/100</f>
        <v>-376.949704779648</v>
      </c>
      <c r="H17" s="4" t="n">
        <f aca="false">-H6*Assumptions!H18/100</f>
        <v>-402.47234104077</v>
      </c>
      <c r="I17" s="4" t="n">
        <f aca="false">-I6*Assumptions!I18/100</f>
        <v>-410.521787861585</v>
      </c>
      <c r="J17" s="4" t="n">
        <f aca="false">-J6*Assumptions!J18/100</f>
        <v>-418.732223618817</v>
      </c>
      <c r="K17" s="4" t="n">
        <f aca="false">-K6*Assumptions!K18/100</f>
        <v>-427.106868091193</v>
      </c>
      <c r="L17" s="4" t="n">
        <f aca="false">-L6*Assumptions!L18/100</f>
        <v>-435.649005453017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10.58785</v>
      </c>
      <c r="D18" s="4" t="n">
        <f aca="false">(D6-C6)*Assumptions!$B$23/100</f>
        <v>20.963943</v>
      </c>
      <c r="E18" s="4" t="n">
        <f aca="false">(E6-D6)*Assumptions!$B$23/100</f>
        <v>41.08932828</v>
      </c>
      <c r="F18" s="4" t="n">
        <f aca="false">(F6-E6)*Assumptions!$B$23/100</f>
        <v>-9.86143878720001</v>
      </c>
      <c r="G18" s="4" t="n">
        <f aca="false">(G6-F6)*Assumptions!$B$23/100</f>
        <v>-24.9001329376799</v>
      </c>
      <c r="H18" s="4" t="n">
        <f aca="false">(H6-G6)*Assumptions!$B$23/100</f>
        <v>-25.522636261122</v>
      </c>
      <c r="I18" s="4" t="n">
        <f aca="false">(I6-H6)*Assumptions!$B$23/100</f>
        <v>-20.9285617341201</v>
      </c>
      <c r="J18" s="4" t="n">
        <f aca="false">(J6-I6)*Assumptions!$B$23/100</f>
        <v>-21.3471329688024</v>
      </c>
      <c r="K18" s="4" t="n">
        <f aca="false">(K6-J6)*Assumptions!$B$23/100</f>
        <v>-21.7740756281785</v>
      </c>
      <c r="L18" s="4" t="n">
        <f aca="false">(L6-K6)*Assumptions!$B$23/100</f>
        <v>-22.2095571407422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708.65489968</v>
      </c>
      <c r="D19" s="0" t="n">
        <f aca="false">D15+D16+D17+D18</f>
        <v>665.1260835219</v>
      </c>
      <c r="E19" s="0" t="n">
        <f aca="false">E15+E16+E17+E18</f>
        <v>619.432370260704</v>
      </c>
      <c r="F19" s="0" t="n">
        <f aca="false">F15+F16+F17+F18</f>
        <v>558.40556432685</v>
      </c>
      <c r="G19" s="0" t="n">
        <f aca="false">G15+G16+G17+G18</f>
        <v>561.107448736531</v>
      </c>
      <c r="H19" s="0" t="n">
        <f aca="false">H15+H16+H17+H18</f>
        <v>586.806832845127</v>
      </c>
      <c r="I19" s="0" t="n">
        <f aca="false">I15+I16+I17+I18</f>
        <v>620.643098771723</v>
      </c>
      <c r="J19" s="0" t="n">
        <f aca="false">J15+J16+J17+J18</f>
        <v>644.612970119037</v>
      </c>
      <c r="K19" s="0" t="n">
        <f aca="false">K15+K16+K17+K18</f>
        <v>657.505229521417</v>
      </c>
      <c r="L19" s="0" t="n">
        <f aca="false">L15+L16+L17+L18</f>
        <v>670.655334111846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650.142109798165</v>
      </c>
      <c r="D21" s="0" t="n">
        <f aca="false">D19*D20</f>
        <v>559.823317500126</v>
      </c>
      <c r="E21" s="0" t="n">
        <f aca="false">E19*E20</f>
        <v>478.315443330384</v>
      </c>
      <c r="F21" s="0" t="n">
        <f aca="false">F19*F20</f>
        <v>395.588579768229</v>
      </c>
      <c r="G21" s="0" t="n">
        <f aca="false">G19*G20</f>
        <v>364.681342019661</v>
      </c>
      <c r="H21" s="0" t="n">
        <f aca="false">H19*H20</f>
        <v>349.893741615022</v>
      </c>
      <c r="I21" s="0" t="n">
        <f aca="false">I19*I20</f>
        <v>339.513028853806</v>
      </c>
      <c r="J21" s="0" t="n">
        <f aca="false">J19*J20</f>
        <v>323.509513142454</v>
      </c>
      <c r="K21" s="0" t="n">
        <f aca="false">K19*K20</f>
        <v>302.733672848902</v>
      </c>
      <c r="L21" s="0" t="n">
        <f aca="false">L19*L20</f>
        <v>283.292060831083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1.35</v>
      </c>
      <c r="D23" s="4" t="n">
        <f aca="false">Assumptions!D16</f>
        <v>1.35</v>
      </c>
      <c r="E23" s="4" t="n">
        <f aca="false">Assumptions!E16</f>
        <v>1.35</v>
      </c>
      <c r="F23" s="4" t="n">
        <f aca="false">Assumptions!F16</f>
        <v>1.35</v>
      </c>
      <c r="G23" s="4" t="n">
        <f aca="false">Assumptions!G16</f>
        <v>1.35</v>
      </c>
      <c r="H23" s="4" t="n">
        <f aca="false">Assumptions!H16</f>
        <v>1.35</v>
      </c>
      <c r="I23" s="4" t="n">
        <f aca="false">Assumptions!I16</f>
        <v>1.35</v>
      </c>
      <c r="J23" s="4" t="n">
        <f aca="false">Assumptions!J16</f>
        <v>1.35</v>
      </c>
      <c r="K23" s="4" t="n">
        <f aca="false">Assumptions!K16</f>
        <v>1.35</v>
      </c>
      <c r="L23" s="4" t="n">
        <f aca="false">Assumptions!L16</f>
        <v>1.35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-108.8512425</v>
      </c>
      <c r="D24" s="0" t="n">
        <f aca="false">-D6*D23/100</f>
        <v>-106.67421765</v>
      </c>
      <c r="E24" s="0" t="n">
        <f aca="false">-E6*E23/100</f>
        <v>-102.407248944</v>
      </c>
      <c r="F24" s="0" t="n">
        <f aca="false">-F6*F23/100</f>
        <v>-103.43132143344</v>
      </c>
      <c r="G24" s="0" t="n">
        <f aca="false">-G6*G23/100</f>
        <v>-106.017104469276</v>
      </c>
      <c r="H24" s="0" t="n">
        <f aca="false">-H6*H23/100</f>
        <v>-108.667532081008</v>
      </c>
      <c r="I24" s="0" t="n">
        <f aca="false">-I6*I23/100</f>
        <v>-110.840882722628</v>
      </c>
      <c r="J24" s="0" t="n">
        <f aca="false">-J6*J23/100</f>
        <v>-113.057700377081</v>
      </c>
      <c r="K24" s="0" t="n">
        <f aca="false">-K6*K23/100</f>
        <v>-115.318854384622</v>
      </c>
      <c r="L24" s="0" t="n">
        <f aca="false">-L6*L23/100</f>
        <v>-117.625231472315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4047.49280970783</v>
      </c>
    </row>
    <row r="31" customFormat="false" ht="15" hidden="false" customHeight="false" outlineLevel="0" collapsed="false">
      <c r="A31" s="0" t="s">
        <v>127</v>
      </c>
      <c r="B31" s="0" t="n">
        <f aca="false">L19</f>
        <v>670.655334111846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10575.7187302253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10059.8300116777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10059.8300116777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4249.38091246624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8296.87372217407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5890.57372217407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12.5705798595264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-0.457697158777981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134.016353508519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150.898735291705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13.1785932799281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5499.37373971713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4.54152926900642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8144.5</v>
      </c>
      <c r="C6" s="0" t="n">
        <f aca="false">B6*(1+C5/100)</f>
        <v>8225.945</v>
      </c>
      <c r="D6" s="0" t="n">
        <f aca="false">C6*(1+D5/100)</f>
        <v>8513.853075</v>
      </c>
      <c r="E6" s="0" t="n">
        <f aca="false">D6*(1+E5/100)</f>
        <v>8854.407198</v>
      </c>
      <c r="F6" s="0" t="n">
        <f aca="false">E6*(1+F5/100)</f>
        <v>9208.58348592</v>
      </c>
      <c r="G6" s="0" t="n">
        <f aca="false">F6*(1+G5/100)</f>
        <v>9530.8839079272</v>
      </c>
      <c r="H6" s="0" t="n">
        <f aca="false">G6*(1+H5/100)</f>
        <v>9816.81042516502</v>
      </c>
      <c r="I6" s="0" t="n">
        <f aca="false">H6*(1+I5/100)</f>
        <v>10111.31473792</v>
      </c>
      <c r="J6" s="0" t="n">
        <f aca="false">I6*(1+J5/100)</f>
        <v>10364.097606368</v>
      </c>
      <c r="K6" s="0" t="n">
        <f aca="false">J6*(1+K5/100)</f>
        <v>10623.2000465272</v>
      </c>
      <c r="L6" s="0" t="n">
        <f aca="false">K6*(1+L5/100)</f>
        <v>10888.7800476903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19.6</v>
      </c>
      <c r="D7" s="4" t="n">
        <f aca="false">Assumptions!D28</f>
        <v>19.8</v>
      </c>
      <c r="E7" s="4" t="n">
        <f aca="false">Assumptions!E28</f>
        <v>19.9</v>
      </c>
      <c r="F7" s="4" t="n">
        <f aca="false">Assumptions!F28</f>
        <v>19.7</v>
      </c>
      <c r="G7" s="4" t="n">
        <f aca="false">Assumptions!G28</f>
        <v>19.4</v>
      </c>
      <c r="H7" s="4" t="n">
        <f aca="false">Assumptions!H28</f>
        <v>19.2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1612.28522</v>
      </c>
      <c r="D8" s="0" t="n">
        <f aca="false">D6*D7/100</f>
        <v>1685.74290885</v>
      </c>
      <c r="E8" s="0" t="n">
        <f aca="false">E6*E7/100</f>
        <v>1762.027032402</v>
      </c>
      <c r="F8" s="0" t="n">
        <f aca="false">F6*F7/100</f>
        <v>1814.09094672624</v>
      </c>
      <c r="G8" s="0" t="n">
        <f aca="false">G6*G7/100</f>
        <v>1848.99147813788</v>
      </c>
      <c r="H8" s="0" t="n">
        <f aca="false">H6*H7/100</f>
        <v>1884.82760163168</v>
      </c>
      <c r="I8" s="0" t="n">
        <f aca="false">I6*I7/100</f>
        <v>1921.14980020479</v>
      </c>
      <c r="J8" s="0" t="n">
        <f aca="false">J6*J7/100</f>
        <v>1969.17854520991</v>
      </c>
      <c r="K8" s="0" t="n">
        <f aca="false">K6*K7/100</f>
        <v>2018.40800884016</v>
      </c>
      <c r="L8" s="0" t="n">
        <f aca="false">L6*L7/100</f>
        <v>2068.86820906116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0.26</v>
      </c>
      <c r="D9" s="4" t="n">
        <f aca="false">Assumptions!D29</f>
        <v>0.26</v>
      </c>
      <c r="E9" s="4" t="n">
        <f aca="false">Assumptions!E29</f>
        <v>0.26</v>
      </c>
      <c r="F9" s="4" t="n">
        <f aca="false">Assumptions!F29</f>
        <v>0.26</v>
      </c>
      <c r="G9" s="4" t="n">
        <f aca="false">Assumptions!G29</f>
        <v>0.26</v>
      </c>
      <c r="H9" s="4" t="n">
        <f aca="false">Assumptions!H29</f>
        <v>0.26</v>
      </c>
      <c r="I9" s="4" t="n">
        <f aca="false">Assumptions!I29</f>
        <v>0.26</v>
      </c>
      <c r="J9" s="4" t="n">
        <f aca="false">Assumptions!J29</f>
        <v>0.26</v>
      </c>
      <c r="K9" s="4" t="n">
        <f aca="false">Assumptions!K29</f>
        <v>0.26</v>
      </c>
      <c r="L9" s="4" t="n">
        <f aca="false">Assumptions!L29</f>
        <v>0.26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-21.387457</v>
      </c>
      <c r="D10" s="0" t="n">
        <f aca="false">-D6*D9/100</f>
        <v>-22.136017995</v>
      </c>
      <c r="E10" s="0" t="n">
        <f aca="false">-E6*E9/100</f>
        <v>-23.0214587148</v>
      </c>
      <c r="F10" s="0" t="n">
        <f aca="false">-F6*F9/100</f>
        <v>-23.942317063392</v>
      </c>
      <c r="G10" s="0" t="n">
        <f aca="false">-G6*G9/100</f>
        <v>-24.7802981606107</v>
      </c>
      <c r="H10" s="0" t="n">
        <f aca="false">-H6*H9/100</f>
        <v>-25.523707105429</v>
      </c>
      <c r="I10" s="0" t="n">
        <f aca="false">-I6*I9/100</f>
        <v>-26.2894183185919</v>
      </c>
      <c r="J10" s="0" t="n">
        <f aca="false">-J6*J9/100</f>
        <v>-26.9466537765567</v>
      </c>
      <c r="K10" s="0" t="n">
        <f aca="false">-K6*K9/100</f>
        <v>-27.6203201209706</v>
      </c>
      <c r="L10" s="0" t="n">
        <f aca="false">-L6*L9/100</f>
        <v>-28.3108281239949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1479.8475055</v>
      </c>
      <c r="D11" s="0" t="n">
        <f aca="false">D8+D10+D24</f>
        <v>1548.6698743425</v>
      </c>
      <c r="E11" s="0" t="n">
        <f aca="false">E8+E10+E24</f>
        <v>1619.4710765142</v>
      </c>
      <c r="F11" s="0" t="n">
        <f aca="false">F8+F10+F24</f>
        <v>1665.83275260293</v>
      </c>
      <c r="G11" s="0" t="n">
        <f aca="false">G8+G10+G24</f>
        <v>1695.54424722025</v>
      </c>
      <c r="H11" s="0" t="n">
        <f aca="false">H8+H10+H24</f>
        <v>1726.77695378653</v>
      </c>
      <c r="I11" s="0" t="n">
        <f aca="false">I8+I10+I24</f>
        <v>1758.35763292428</v>
      </c>
      <c r="J11" s="0" t="n">
        <f aca="false">J8+J10+J24</f>
        <v>1802.31657374739</v>
      </c>
      <c r="K11" s="0" t="n">
        <f aca="false">K8+K10+K24</f>
        <v>1847.37448809107</v>
      </c>
      <c r="L11" s="0" t="n">
        <f aca="false">L8+L10+L24</f>
        <v>1893.55885029335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-440.0880575</v>
      </c>
      <c r="D12" s="4" t="n">
        <f aca="false">-D6*Assumptions!D31/100</f>
        <v>-451.234212975</v>
      </c>
      <c r="E12" s="4" t="n">
        <f aca="false">-E6*Assumptions!E31/100</f>
        <v>-469.283581494</v>
      </c>
      <c r="F12" s="4" t="n">
        <f aca="false">-F6*Assumptions!F31/100</f>
        <v>-488.05492475376</v>
      </c>
      <c r="G12" s="4" t="n">
        <f aca="false">-G6*Assumptions!G31/100</f>
        <v>-505.136847120141</v>
      </c>
      <c r="H12" s="4" t="n">
        <f aca="false">-H6*Assumptions!H31/100</f>
        <v>-520.290952533746</v>
      </c>
      <c r="I12" s="4" t="n">
        <f aca="false">-I6*Assumptions!I31/100</f>
        <v>-535.899681109758</v>
      </c>
      <c r="J12" s="4" t="n">
        <f aca="false">-J6*Assumptions!J31/100</f>
        <v>-549.297173137502</v>
      </c>
      <c r="K12" s="4" t="n">
        <f aca="false">-K6*Assumptions!K31/100</f>
        <v>-563.02960246594</v>
      </c>
      <c r="L12" s="4" t="n">
        <f aca="false">-L6*Assumptions!L31/100</f>
        <v>-577.105342527588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1039.759448</v>
      </c>
      <c r="D13" s="0" t="n">
        <f aca="false">D11+D12</f>
        <v>1097.4356613675</v>
      </c>
      <c r="E13" s="0" t="n">
        <f aca="false">E11+E12</f>
        <v>1150.1874950202</v>
      </c>
      <c r="F13" s="0" t="n">
        <f aca="false">F11+F12</f>
        <v>1177.77782784917</v>
      </c>
      <c r="G13" s="0" t="n">
        <f aca="false">G11+G12</f>
        <v>1190.40740010011</v>
      </c>
      <c r="H13" s="0" t="n">
        <f aca="false">H11+H12</f>
        <v>1206.48600125278</v>
      </c>
      <c r="I13" s="0" t="n">
        <f aca="false">I11+I12</f>
        <v>1222.45795181452</v>
      </c>
      <c r="J13" s="0" t="n">
        <f aca="false">J11+J12</f>
        <v>1253.01940060989</v>
      </c>
      <c r="K13" s="0" t="n">
        <f aca="false">K11+K12</f>
        <v>1284.34488562513</v>
      </c>
      <c r="L13" s="0" t="n">
        <f aca="false">L11+L12</f>
        <v>1316.45350776576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717.43401912</v>
      </c>
      <c r="D15" s="0" t="n">
        <f aca="false">D13-MAX(0,D13)*D14/100</f>
        <v>757.230606343575</v>
      </c>
      <c r="E15" s="0" t="n">
        <f aca="false">E13-MAX(0,E13)*E14/100</f>
        <v>793.629371563938</v>
      </c>
      <c r="F15" s="0" t="n">
        <f aca="false">F13-MAX(0,F13)*F14/100</f>
        <v>812.666701215926</v>
      </c>
      <c r="G15" s="0" t="n">
        <f aca="false">G13-MAX(0,G13)*G14/100</f>
        <v>821.381106069074</v>
      </c>
      <c r="H15" s="0" t="n">
        <f aca="false">H13-MAX(0,H13)*H14/100</f>
        <v>832.475340864418</v>
      </c>
      <c r="I15" s="0" t="n">
        <f aca="false">I13-MAX(0,I13)*I14/100</f>
        <v>843.495986752022</v>
      </c>
      <c r="J15" s="0" t="n">
        <f aca="false">J13-MAX(0,J13)*J14/100</f>
        <v>864.583386420822</v>
      </c>
      <c r="K15" s="0" t="n">
        <f aca="false">K13-MAX(0,K13)*K14/100</f>
        <v>886.197971081342</v>
      </c>
      <c r="L15" s="0" t="n">
        <f aca="false">L13-MAX(0,L13)*L14/100</f>
        <v>908.352920358376</v>
      </c>
    </row>
    <row r="16" customFormat="false" ht="15" hidden="false" customHeight="false" outlineLevel="0" collapsed="false">
      <c r="A16" s="0" t="s">
        <v>118</v>
      </c>
      <c r="C16" s="0" t="n">
        <f aca="false">-C12</f>
        <v>440.0880575</v>
      </c>
      <c r="D16" s="0" t="n">
        <f aca="false">-D12</f>
        <v>451.234212975</v>
      </c>
      <c r="E16" s="0" t="n">
        <f aca="false">-E12</f>
        <v>469.283581494</v>
      </c>
      <c r="F16" s="0" t="n">
        <f aca="false">-F12</f>
        <v>488.05492475376</v>
      </c>
      <c r="G16" s="0" t="n">
        <f aca="false">-G12</f>
        <v>505.136847120141</v>
      </c>
      <c r="H16" s="0" t="n">
        <f aca="false">-H12</f>
        <v>520.290952533746</v>
      </c>
      <c r="I16" s="0" t="n">
        <f aca="false">-I12</f>
        <v>535.899681109758</v>
      </c>
      <c r="J16" s="0" t="n">
        <f aca="false">-J12</f>
        <v>549.297173137502</v>
      </c>
      <c r="K16" s="0" t="n">
        <f aca="false">-K12</f>
        <v>563.02960246594</v>
      </c>
      <c r="L16" s="0" t="n">
        <f aca="false">-L12</f>
        <v>577.105342527588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-411.29725</v>
      </c>
      <c r="D17" s="4" t="n">
        <f aca="false">-D6*Assumptions!D32/100</f>
        <v>-451.234212975</v>
      </c>
      <c r="E17" s="4" t="n">
        <f aca="false">-E6*Assumptions!E32/100</f>
        <v>-469.283581494</v>
      </c>
      <c r="F17" s="4" t="n">
        <f aca="false">-F6*Assumptions!F32/100</f>
        <v>-488.05492475376</v>
      </c>
      <c r="G17" s="4" t="n">
        <f aca="false">-G6*Assumptions!G32/100</f>
        <v>-505.136847120141</v>
      </c>
      <c r="H17" s="4" t="n">
        <f aca="false">-H6*Assumptions!H32/100</f>
        <v>-520.290952533746</v>
      </c>
      <c r="I17" s="4" t="n">
        <f aca="false">-I6*Assumptions!I32/100</f>
        <v>-535.899681109758</v>
      </c>
      <c r="J17" s="4" t="n">
        <f aca="false">-J6*Assumptions!J32/100</f>
        <v>-549.297173137502</v>
      </c>
      <c r="K17" s="4" t="n">
        <f aca="false">-K6*Assumptions!K32/100</f>
        <v>-563.02960246594</v>
      </c>
      <c r="L17" s="4" t="n">
        <f aca="false">-L6*Assumptions!L32/100</f>
        <v>-577.105342527588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-10.58785</v>
      </c>
      <c r="D18" s="4" t="n">
        <f aca="false">(D6-C6)*Assumptions!$B$37/100</f>
        <v>-37.4280497499999</v>
      </c>
      <c r="E18" s="4" t="n">
        <f aca="false">(E6-D6)*Assumptions!$B$37/100</f>
        <v>-44.27203599</v>
      </c>
      <c r="F18" s="4" t="n">
        <f aca="false">(F6-E6)*Assumptions!$B$37/100</f>
        <v>-46.0429174295999</v>
      </c>
      <c r="G18" s="4" t="n">
        <f aca="false">(G6-F6)*Assumptions!$B$37/100</f>
        <v>-41.899054860936</v>
      </c>
      <c r="H18" s="4" t="n">
        <f aca="false">(H6-G6)*Assumptions!$B$37/100</f>
        <v>-37.1704472409161</v>
      </c>
      <c r="I18" s="4" t="n">
        <f aca="false">(I6-H6)*Assumptions!$B$37/100</f>
        <v>-38.2855606581436</v>
      </c>
      <c r="J18" s="4" t="n">
        <f aca="false">(J6-I6)*Assumptions!$B$37/100</f>
        <v>-32.8617728982399</v>
      </c>
      <c r="K18" s="4" t="n">
        <f aca="false">(K6-J6)*Assumptions!$B$37/100</f>
        <v>-33.6833172206958</v>
      </c>
      <c r="L18" s="4" t="n">
        <f aca="false">(L6-K6)*Assumptions!$B$37/100</f>
        <v>-34.5254001512132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735.63697662</v>
      </c>
      <c r="D19" s="0" t="n">
        <f aca="false">D15+D16+D17+D18</f>
        <v>719.802556593575</v>
      </c>
      <c r="E19" s="0" t="n">
        <f aca="false">E15+E16+E17+E18</f>
        <v>749.357335573938</v>
      </c>
      <c r="F19" s="0" t="n">
        <f aca="false">F15+F16+F17+F18</f>
        <v>766.623783786326</v>
      </c>
      <c r="G19" s="0" t="n">
        <f aca="false">G15+G16+G17+G18</f>
        <v>779.482051208138</v>
      </c>
      <c r="H19" s="0" t="n">
        <f aca="false">H15+H16+H17+H18</f>
        <v>795.304893623502</v>
      </c>
      <c r="I19" s="0" t="n">
        <f aca="false">I15+I16+I17+I18</f>
        <v>805.210426093878</v>
      </c>
      <c r="J19" s="0" t="n">
        <f aca="false">J15+J16+J17+J18</f>
        <v>831.721613522582</v>
      </c>
      <c r="K19" s="0" t="n">
        <f aca="false">K15+K16+K17+K18</f>
        <v>852.514653860647</v>
      </c>
      <c r="L19" s="0" t="n">
        <f aca="false">L15+L16+L17+L18</f>
        <v>873.827520207163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674.896308825688</v>
      </c>
      <c r="D21" s="0" t="n">
        <f aca="false">D19*D20</f>
        <v>605.843410986933</v>
      </c>
      <c r="E21" s="0" t="n">
        <f aca="false">E19*E20</f>
        <v>578.64135519277</v>
      </c>
      <c r="F21" s="0" t="n">
        <f aca="false">F19*F20</f>
        <v>543.095615836427</v>
      </c>
      <c r="G21" s="0" t="n">
        <f aca="false">G19*G20</f>
        <v>506.609850136383</v>
      </c>
      <c r="H21" s="0" t="n">
        <f aca="false">H19*H20</f>
        <v>474.214322974845</v>
      </c>
      <c r="I21" s="0" t="n">
        <f aca="false">I19*I20</f>
        <v>440.47767737823</v>
      </c>
      <c r="J21" s="0" t="n">
        <f aca="false">J19*J20</f>
        <v>417.41303190201</v>
      </c>
      <c r="K21" s="0" t="n">
        <f aca="false">K19*K20</f>
        <v>392.521429082165</v>
      </c>
      <c r="L21" s="0" t="n">
        <f aca="false">L19*L20</f>
        <v>369.114187898366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1.35</v>
      </c>
      <c r="D23" s="4" t="n">
        <f aca="false">Assumptions!D30</f>
        <v>1.35</v>
      </c>
      <c r="E23" s="4" t="n">
        <f aca="false">Assumptions!E30</f>
        <v>1.35</v>
      </c>
      <c r="F23" s="4" t="n">
        <f aca="false">Assumptions!F30</f>
        <v>1.35</v>
      </c>
      <c r="G23" s="4" t="n">
        <f aca="false">Assumptions!G30</f>
        <v>1.35</v>
      </c>
      <c r="H23" s="4" t="n">
        <f aca="false">Assumptions!H30</f>
        <v>1.35</v>
      </c>
      <c r="I23" s="4" t="n">
        <f aca="false">Assumptions!I30</f>
        <v>1.35</v>
      </c>
      <c r="J23" s="4" t="n">
        <f aca="false">Assumptions!J30</f>
        <v>1.35</v>
      </c>
      <c r="K23" s="4" t="n">
        <f aca="false">Assumptions!K30</f>
        <v>1.35</v>
      </c>
      <c r="L23" s="4" t="n">
        <f aca="false">Assumptions!L30</f>
        <v>1.35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-111.0502575</v>
      </c>
      <c r="D24" s="0" t="n">
        <f aca="false">-D6*D23/100</f>
        <v>-114.9370165125</v>
      </c>
      <c r="E24" s="0" t="n">
        <f aca="false">-E6*E23/100</f>
        <v>-119.534497173</v>
      </c>
      <c r="F24" s="0" t="n">
        <f aca="false">-F6*F23/100</f>
        <v>-124.31587705992</v>
      </c>
      <c r="G24" s="0" t="n">
        <f aca="false">-G6*G23/100</f>
        <v>-128.666932757017</v>
      </c>
      <c r="H24" s="0" t="n">
        <f aca="false">-H6*H23/100</f>
        <v>-132.526940739728</v>
      </c>
      <c r="I24" s="0" t="n">
        <f aca="false">-I6*I23/100</f>
        <v>-136.50274896192</v>
      </c>
      <c r="J24" s="0" t="n">
        <f aca="false">-J6*J23/100</f>
        <v>-139.915317685968</v>
      </c>
      <c r="K24" s="0" t="n">
        <f aca="false">-K6*K23/100</f>
        <v>-143.413200628117</v>
      </c>
      <c r="L24" s="0" t="n">
        <f aca="false">-L6*L23/100</f>
        <v>-146.99853064382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5002.82719021382</v>
      </c>
    </row>
    <row r="31" customFormat="false" ht="15" hidden="false" customHeight="false" outlineLevel="0" collapsed="false">
      <c r="A31" s="0" t="s">
        <v>127</v>
      </c>
      <c r="B31" s="0" t="n">
        <f aca="false">L19</f>
        <v>873.827520207163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13779.5878186514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13107.4128031074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13107.4128031074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5536.7128184755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10539.5400086893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8133.24000868931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17.3564660876853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-0.251230971195631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156.896332322502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188.581073008237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18.0937204737944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7165.38566569873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6.92311871654179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2</v>
      </c>
      <c r="D5" s="4" t="n">
        <f aca="false">Assumptions!D41</f>
        <v>5.5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8144.5</v>
      </c>
      <c r="C6" s="0" t="n">
        <f aca="false">B6*(1+C5/100)</f>
        <v>8307.39</v>
      </c>
      <c r="D6" s="0" t="n">
        <f aca="false">C6*(1+D5/100)</f>
        <v>8764.29645</v>
      </c>
      <c r="E6" s="0" t="n">
        <f aca="false">D6*(1+E5/100)</f>
        <v>9290.154237</v>
      </c>
      <c r="F6" s="0" t="n">
        <f aca="false">E6*(1+F5/100)</f>
        <v>9847.56349122</v>
      </c>
      <c r="G6" s="0" t="n">
        <f aca="false">F6*(1+G5/100)</f>
        <v>10339.941665781</v>
      </c>
      <c r="H6" s="0" t="n">
        <f aca="false">G6*(1+H5/100)</f>
        <v>10805.2390407411</v>
      </c>
      <c r="I6" s="0" t="n">
        <f aca="false">H6*(1+I5/100)</f>
        <v>11237.4486023708</v>
      </c>
      <c r="J6" s="0" t="n">
        <f aca="false">I6*(1+J5/100)</f>
        <v>11630.7593034538</v>
      </c>
      <c r="K6" s="0" t="n">
        <f aca="false">J6*(1+K5/100)</f>
        <v>11979.6820825574</v>
      </c>
      <c r="L6" s="0" t="n">
        <f aca="false">K6*(1+L5/100)</f>
        <v>12339.0725450341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19.8</v>
      </c>
      <c r="D7" s="4" t="n">
        <f aca="false">Assumptions!D42</f>
        <v>20.4</v>
      </c>
      <c r="E7" s="4" t="n">
        <f aca="false">Assumptions!E42</f>
        <v>20.8</v>
      </c>
      <c r="F7" s="4" t="n">
        <f aca="false">Assumptions!F42</f>
        <v>21</v>
      </c>
      <c r="G7" s="4" t="n">
        <f aca="false">Assumptions!G42</f>
        <v>21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1644.86322</v>
      </c>
      <c r="D8" s="0" t="n">
        <f aca="false">D6*D7/100</f>
        <v>1787.9164758</v>
      </c>
      <c r="E8" s="0" t="n">
        <f aca="false">E6*E7/100</f>
        <v>1932.352081296</v>
      </c>
      <c r="F8" s="0" t="n">
        <f aca="false">F6*F7/100</f>
        <v>2067.9883331562</v>
      </c>
      <c r="G8" s="0" t="n">
        <f aca="false">G6*G7/100</f>
        <v>2171.38774981401</v>
      </c>
      <c r="H8" s="0" t="n">
        <f aca="false">H6*H7/100</f>
        <v>2269.10019855564</v>
      </c>
      <c r="I8" s="0" t="n">
        <f aca="false">I6*I7/100</f>
        <v>2359.86420649787</v>
      </c>
      <c r="J8" s="0" t="n">
        <f aca="false">J6*J7/100</f>
        <v>2442.45945372529</v>
      </c>
      <c r="K8" s="0" t="n">
        <f aca="false">K6*K7/100</f>
        <v>2515.73323733705</v>
      </c>
      <c r="L8" s="0" t="n">
        <f aca="false">L6*L7/100</f>
        <v>2591.20523445716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0.26</v>
      </c>
      <c r="D9" s="4" t="n">
        <f aca="false">Assumptions!D43</f>
        <v>0.26</v>
      </c>
      <c r="E9" s="4" t="n">
        <f aca="false">Assumptions!E43</f>
        <v>0.26</v>
      </c>
      <c r="F9" s="4" t="n">
        <f aca="false">Assumptions!F43</f>
        <v>0.26</v>
      </c>
      <c r="G9" s="4" t="n">
        <f aca="false">Assumptions!G43</f>
        <v>0.26</v>
      </c>
      <c r="H9" s="4" t="n">
        <f aca="false">Assumptions!H43</f>
        <v>0.26</v>
      </c>
      <c r="I9" s="4" t="n">
        <f aca="false">Assumptions!I43</f>
        <v>0.26</v>
      </c>
      <c r="J9" s="4" t="n">
        <f aca="false">Assumptions!J43</f>
        <v>0.26</v>
      </c>
      <c r="K9" s="4" t="n">
        <f aca="false">Assumptions!K43</f>
        <v>0.26</v>
      </c>
      <c r="L9" s="4" t="n">
        <f aca="false">Assumptions!L43</f>
        <v>0.26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-21.599214</v>
      </c>
      <c r="D10" s="0" t="n">
        <f aca="false">-D6*D9/100</f>
        <v>-22.78717077</v>
      </c>
      <c r="E10" s="0" t="n">
        <f aca="false">-E6*E9/100</f>
        <v>-24.1544010162</v>
      </c>
      <c r="F10" s="0" t="n">
        <f aca="false">-F6*F9/100</f>
        <v>-25.603665077172</v>
      </c>
      <c r="G10" s="0" t="n">
        <f aca="false">-G6*G9/100</f>
        <v>-26.8838483310306</v>
      </c>
      <c r="H10" s="0" t="n">
        <f aca="false">-H6*H9/100</f>
        <v>-28.093621505927</v>
      </c>
      <c r="I10" s="0" t="n">
        <f aca="false">-I6*I9/100</f>
        <v>-29.2173663661641</v>
      </c>
      <c r="J10" s="0" t="n">
        <f aca="false">-J6*J9/100</f>
        <v>-30.2399741889798</v>
      </c>
      <c r="K10" s="0" t="n">
        <f aca="false">-K6*K9/100</f>
        <v>-31.1471734146492</v>
      </c>
      <c r="L10" s="0" t="n">
        <f aca="false">-L6*L9/100</f>
        <v>-32.0815886170887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1511.114241</v>
      </c>
      <c r="D11" s="0" t="n">
        <f aca="false">D8+D10+D24</f>
        <v>1646.811302955</v>
      </c>
      <c r="E11" s="0" t="n">
        <f aca="false">E8+E10+E24</f>
        <v>1782.7805980803</v>
      </c>
      <c r="F11" s="0" t="n">
        <f aca="false">F8+F10+F24</f>
        <v>1909.44256094756</v>
      </c>
      <c r="G11" s="0" t="n">
        <f aca="false">G8+G10+G24</f>
        <v>2004.91468899494</v>
      </c>
      <c r="H11" s="0" t="n">
        <f aca="false">H8+H10+H24</f>
        <v>2095.13584999971</v>
      </c>
      <c r="I11" s="0" t="n">
        <f aca="false">I8+I10+I24</f>
        <v>2178.9412839997</v>
      </c>
      <c r="J11" s="0" t="n">
        <f aca="false">J8+J10+J24</f>
        <v>2255.20422893969</v>
      </c>
      <c r="K11" s="0" t="n">
        <f aca="false">K8+K10+K24</f>
        <v>2322.86035580788</v>
      </c>
      <c r="L11" s="0" t="n">
        <f aca="false">L8+L10+L24</f>
        <v>2392.54616648211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-444.445365</v>
      </c>
      <c r="D12" s="4" t="n">
        <f aca="false">-D6*Assumptions!D45/100</f>
        <v>-464.50771185</v>
      </c>
      <c r="E12" s="4" t="n">
        <f aca="false">-E6*Assumptions!E45/100</f>
        <v>-492.378174561</v>
      </c>
      <c r="F12" s="4" t="n">
        <f aca="false">-F6*Assumptions!F45/100</f>
        <v>-521.92086503466</v>
      </c>
      <c r="G12" s="4" t="n">
        <f aca="false">-G6*Assumptions!G45/100</f>
        <v>-548.016908286393</v>
      </c>
      <c r="H12" s="4" t="n">
        <f aca="false">-H6*Assumptions!H45/100</f>
        <v>-572.677669159281</v>
      </c>
      <c r="I12" s="4" t="n">
        <f aca="false">-I6*Assumptions!I45/100</f>
        <v>-595.584775925652</v>
      </c>
      <c r="J12" s="4" t="n">
        <f aca="false">-J6*Assumptions!J45/100</f>
        <v>-616.43024308305</v>
      </c>
      <c r="K12" s="4" t="n">
        <f aca="false">-K6*Assumptions!K45/100</f>
        <v>-634.923150375541</v>
      </c>
      <c r="L12" s="4" t="n">
        <f aca="false">-L6*Assumptions!L45/100</f>
        <v>-653.970844886807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1066.668876</v>
      </c>
      <c r="D13" s="0" t="n">
        <f aca="false">D11+D12</f>
        <v>1182.303591105</v>
      </c>
      <c r="E13" s="0" t="n">
        <f aca="false">E11+E12</f>
        <v>1290.4024235193</v>
      </c>
      <c r="F13" s="0" t="n">
        <f aca="false">F11+F12</f>
        <v>1387.5216959129</v>
      </c>
      <c r="G13" s="0" t="n">
        <f aca="false">G11+G12</f>
        <v>1456.89778070854</v>
      </c>
      <c r="H13" s="0" t="n">
        <f aca="false">H11+H12</f>
        <v>1522.45818084043</v>
      </c>
      <c r="I13" s="0" t="n">
        <f aca="false">I11+I12</f>
        <v>1583.35650807404</v>
      </c>
      <c r="J13" s="0" t="n">
        <f aca="false">J11+J12</f>
        <v>1638.77398585664</v>
      </c>
      <c r="K13" s="0" t="n">
        <f aca="false">K11+K12</f>
        <v>1687.93720543233</v>
      </c>
      <c r="L13" s="0" t="n">
        <f aca="false">L11+L12</f>
        <v>1738.57532159531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736.00152444</v>
      </c>
      <c r="D15" s="0" t="n">
        <f aca="false">D13-MAX(0,D13)*D14/100</f>
        <v>815.78947786245</v>
      </c>
      <c r="E15" s="0" t="n">
        <f aca="false">E13-MAX(0,E13)*E14/100</f>
        <v>890.377672228317</v>
      </c>
      <c r="F15" s="0" t="n">
        <f aca="false">F13-MAX(0,F13)*F14/100</f>
        <v>957.389970179899</v>
      </c>
      <c r="G15" s="0" t="n">
        <f aca="false">G13-MAX(0,G13)*G14/100</f>
        <v>1005.25946868889</v>
      </c>
      <c r="H15" s="0" t="n">
        <f aca="false">H13-MAX(0,H13)*H14/100</f>
        <v>1050.49614477989</v>
      </c>
      <c r="I15" s="0" t="n">
        <f aca="false">I13-MAX(0,I13)*I14/100</f>
        <v>1092.51599057109</v>
      </c>
      <c r="J15" s="0" t="n">
        <f aca="false">J13-MAX(0,J13)*J14/100</f>
        <v>1130.75405024108</v>
      </c>
      <c r="K15" s="0" t="n">
        <f aca="false">K13-MAX(0,K13)*K14/100</f>
        <v>1164.67667174831</v>
      </c>
      <c r="L15" s="0" t="n">
        <f aca="false">L13-MAX(0,L13)*L14/100</f>
        <v>1199.61697190076</v>
      </c>
    </row>
    <row r="16" customFormat="false" ht="15" hidden="false" customHeight="false" outlineLevel="0" collapsed="false">
      <c r="A16" s="0" t="s">
        <v>118</v>
      </c>
      <c r="C16" s="0" t="n">
        <f aca="false">-C12</f>
        <v>444.445365</v>
      </c>
      <c r="D16" s="0" t="n">
        <f aca="false">-D12</f>
        <v>464.50771185</v>
      </c>
      <c r="E16" s="0" t="n">
        <f aca="false">-E12</f>
        <v>492.378174561</v>
      </c>
      <c r="F16" s="0" t="n">
        <f aca="false">-F12</f>
        <v>521.92086503466</v>
      </c>
      <c r="G16" s="0" t="n">
        <f aca="false">-G12</f>
        <v>548.016908286393</v>
      </c>
      <c r="H16" s="0" t="n">
        <f aca="false">-H12</f>
        <v>572.677669159281</v>
      </c>
      <c r="I16" s="0" t="n">
        <f aca="false">-I12</f>
        <v>595.584775925652</v>
      </c>
      <c r="J16" s="0" t="n">
        <f aca="false">-J12</f>
        <v>616.43024308305</v>
      </c>
      <c r="K16" s="0" t="n">
        <f aca="false">-K12</f>
        <v>634.923150375541</v>
      </c>
      <c r="L16" s="0" t="n">
        <f aca="false">-L12</f>
        <v>653.970844886807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-415.3695</v>
      </c>
      <c r="D17" s="4" t="n">
        <f aca="false">-D6*Assumptions!D46/100</f>
        <v>-482.03630475</v>
      </c>
      <c r="E17" s="4" t="n">
        <f aca="false">-E6*Assumptions!E46/100</f>
        <v>-510.958483035</v>
      </c>
      <c r="F17" s="4" t="n">
        <f aca="false">-F6*Assumptions!F46/100</f>
        <v>-541.6159920171</v>
      </c>
      <c r="G17" s="4" t="n">
        <f aca="false">-G6*Assumptions!G46/100</f>
        <v>-568.696791617955</v>
      </c>
      <c r="H17" s="4" t="n">
        <f aca="false">-H6*Assumptions!H46/100</f>
        <v>-572.677669159281</v>
      </c>
      <c r="I17" s="4" t="n">
        <f aca="false">-I6*Assumptions!I46/100</f>
        <v>-595.584775925652</v>
      </c>
      <c r="J17" s="4" t="n">
        <f aca="false">-J6*Assumptions!J46/100</f>
        <v>-616.43024308305</v>
      </c>
      <c r="K17" s="4" t="n">
        <f aca="false">-K6*Assumptions!K46/100</f>
        <v>-634.923150375541</v>
      </c>
      <c r="L17" s="4" t="n">
        <f aca="false">-L6*Assumptions!L46/100</f>
        <v>-653.970844886807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-21.1756999999999</v>
      </c>
      <c r="D18" s="4" t="n">
        <f aca="false">(D6-C6)*Assumptions!$B$51/100</f>
        <v>-59.3978384999998</v>
      </c>
      <c r="E18" s="4" t="n">
        <f aca="false">(E6-D6)*Assumptions!$B$51/100</f>
        <v>-68.3615123100001</v>
      </c>
      <c r="F18" s="4" t="n">
        <f aca="false">(F6-E6)*Assumptions!$B$51/100</f>
        <v>-72.4632030486</v>
      </c>
      <c r="G18" s="4" t="n">
        <f aca="false">(G6-F6)*Assumptions!$B$51/100</f>
        <v>-64.0091626929299</v>
      </c>
      <c r="H18" s="4" t="n">
        <f aca="false">(H6-G6)*Assumptions!$B$51/100</f>
        <v>-60.4886587448188</v>
      </c>
      <c r="I18" s="4" t="n">
        <f aca="false">(I6-H6)*Assumptions!$B$51/100</f>
        <v>-56.187243011854</v>
      </c>
      <c r="J18" s="4" t="n">
        <f aca="false">(J6-I6)*Assumptions!$B$51/100</f>
        <v>-51.130391140787</v>
      </c>
      <c r="K18" s="4" t="n">
        <f aca="false">(K6-J6)*Assumptions!$B$51/100</f>
        <v>-45.3599612834698</v>
      </c>
      <c r="L18" s="4" t="n">
        <f aca="false">(L6-K6)*Assumptions!$B$51/100</f>
        <v>-46.7207601219739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743.90168944</v>
      </c>
      <c r="D19" s="0" t="n">
        <f aca="false">D15+D16+D17+D18</f>
        <v>738.86304646245</v>
      </c>
      <c r="E19" s="0" t="n">
        <f aca="false">E15+E16+E17+E18</f>
        <v>803.435851444317</v>
      </c>
      <c r="F19" s="0" t="n">
        <f aca="false">F15+F16+F17+F18</f>
        <v>865.231640148859</v>
      </c>
      <c r="G19" s="0" t="n">
        <f aca="false">G15+G16+G17+G18</f>
        <v>920.570422664403</v>
      </c>
      <c r="H19" s="0" t="n">
        <f aca="false">H15+H16+H17+H18</f>
        <v>990.007486035076</v>
      </c>
      <c r="I19" s="0" t="n">
        <f aca="false">I15+I16+I17+I18</f>
        <v>1036.32874755924</v>
      </c>
      <c r="J19" s="0" t="n">
        <f aca="false">J15+J16+J17+J18</f>
        <v>1079.62365910029</v>
      </c>
      <c r="K19" s="0" t="n">
        <f aca="false">K15+K16+K17+K18</f>
        <v>1119.31671046484</v>
      </c>
      <c r="L19" s="0" t="n">
        <f aca="false">L15+L16+L17+L18</f>
        <v>1152.89621177879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682.478614165137</v>
      </c>
      <c r="D21" s="0" t="n">
        <f aca="false">D19*D20</f>
        <v>621.886243971425</v>
      </c>
      <c r="E21" s="0" t="n">
        <f aca="false">E19*E20</f>
        <v>620.399891774097</v>
      </c>
      <c r="F21" s="0" t="n">
        <f aca="false">F19*F20</f>
        <v>612.951907292742</v>
      </c>
      <c r="G21" s="0" t="n">
        <f aca="false">G19*G20</f>
        <v>598.307610987529</v>
      </c>
      <c r="H21" s="0" t="n">
        <f aca="false">H19*H20</f>
        <v>590.309117288548</v>
      </c>
      <c r="I21" s="0" t="n">
        <f aca="false">I19*I20</f>
        <v>566.907313830488</v>
      </c>
      <c r="J21" s="0" t="n">
        <f aca="false">J19*J20</f>
        <v>541.826709239364</v>
      </c>
      <c r="K21" s="0" t="n">
        <f aca="false">K19*K20</f>
        <v>515.364507574817</v>
      </c>
      <c r="L21" s="0" t="n">
        <f aca="false">L19*L20</f>
        <v>486.99581908446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1.35</v>
      </c>
      <c r="D23" s="4" t="n">
        <f aca="false">Assumptions!D44</f>
        <v>1.35</v>
      </c>
      <c r="E23" s="4" t="n">
        <f aca="false">Assumptions!E44</f>
        <v>1.35</v>
      </c>
      <c r="F23" s="4" t="n">
        <f aca="false">Assumptions!F44</f>
        <v>1.35</v>
      </c>
      <c r="G23" s="4" t="n">
        <f aca="false">Assumptions!G44</f>
        <v>1.35</v>
      </c>
      <c r="H23" s="4" t="n">
        <f aca="false">Assumptions!H44</f>
        <v>1.35</v>
      </c>
      <c r="I23" s="4" t="n">
        <f aca="false">Assumptions!I44</f>
        <v>1.35</v>
      </c>
      <c r="J23" s="4" t="n">
        <f aca="false">Assumptions!J44</f>
        <v>1.35</v>
      </c>
      <c r="K23" s="4" t="n">
        <f aca="false">Assumptions!K44</f>
        <v>1.35</v>
      </c>
      <c r="L23" s="4" t="n">
        <f aca="false">Assumptions!L44</f>
        <v>1.35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-112.149765</v>
      </c>
      <c r="D24" s="0" t="n">
        <f aca="false">-D6*D23/100</f>
        <v>-118.318002075</v>
      </c>
      <c r="E24" s="0" t="n">
        <f aca="false">-E6*E23/100</f>
        <v>-125.4170821995</v>
      </c>
      <c r="F24" s="0" t="n">
        <f aca="false">-F6*F23/100</f>
        <v>-132.94210713147</v>
      </c>
      <c r="G24" s="0" t="n">
        <f aca="false">-G6*G23/100</f>
        <v>-139.589212488043</v>
      </c>
      <c r="H24" s="0" t="n">
        <f aca="false">-H6*H23/100</f>
        <v>-145.870727050005</v>
      </c>
      <c r="I24" s="0" t="n">
        <f aca="false">-I6*I23/100</f>
        <v>-151.705556132006</v>
      </c>
      <c r="J24" s="0" t="n">
        <f aca="false">-J6*J23/100</f>
        <v>-157.015250596626</v>
      </c>
      <c r="K24" s="0" t="n">
        <f aca="false">-K6*K23/100</f>
        <v>-161.725708114525</v>
      </c>
      <c r="L24" s="0" t="n">
        <f aca="false">-L6*L23/100</f>
        <v>-166.57747935796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5837.42773520861</v>
      </c>
    </row>
    <row r="31" customFormat="false" ht="15" hidden="false" customHeight="false" outlineLevel="0" collapsed="false">
      <c r="A31" s="0" t="s">
        <v>127</v>
      </c>
      <c r="B31" s="0" t="n">
        <f aca="false">L19</f>
        <v>1152.89621177879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18180.2864165116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17293.4431766818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17293.4431766818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7304.9372862669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13142.3650214755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10736.0650214755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22.910936878949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-0.0116075548339508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169.061132002948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213.698461193784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23.7277520586262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9453.74893658605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9.36924433839413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12.5705798595264</v>
      </c>
      <c r="C4" s="0" t="n">
        <f aca="false">B4/Assumptions!$B$2-1</f>
        <v>-0.457697158777981</v>
      </c>
      <c r="D4" s="4" t="n">
        <f aca="false">Assumptions!$B$24</f>
        <v>0.25</v>
      </c>
      <c r="E4" s="4" t="n">
        <f aca="false">DCF_Bear!$B$43</f>
        <v>13.1785932799281</v>
      </c>
      <c r="F4" s="4" t="n">
        <f aca="false">DCF_Bear!$B$47</f>
        <v>4.54152926900642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17.3564660876853</v>
      </c>
      <c r="C5" s="0" t="n">
        <f aca="false">B5/Assumptions!$B$2-1</f>
        <v>-0.251230971195631</v>
      </c>
      <c r="D5" s="4" t="n">
        <f aca="false">Assumptions!$B$38</f>
        <v>0.5</v>
      </c>
      <c r="E5" s="4" t="n">
        <f aca="false">DCF_Base!$B$43</f>
        <v>18.0937204737944</v>
      </c>
      <c r="F5" s="4" t="n">
        <f aca="false">DCF_Base!$B$47</f>
        <v>6.92311871654179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22.910936878949</v>
      </c>
      <c r="C6" s="0" t="n">
        <f aca="false">B6/Assumptions!$B$2-1</f>
        <v>-0.0116075548339508</v>
      </c>
      <c r="D6" s="4" t="n">
        <f aca="false">Assumptions!$B$52</f>
        <v>0.25</v>
      </c>
      <c r="E6" s="4" t="n">
        <f aca="false">DCF_Bull!$B$43</f>
        <v>23.7277520586262</v>
      </c>
      <c r="F6" s="4" t="n">
        <f aca="false">DCF_Bull!$B$47</f>
        <v>9.36924433839413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17.5486122284615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18.2734465715358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-0.320902171534975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776.920661299489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6.93925276012103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17.3564660876853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14.8971663059847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12.5527064478762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10.7014186157103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6.92311871654179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20.8039936925798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20.8039936925798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20.8039936925798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20.8039936925798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20.8039936925798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19.0005755105348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19.0005755105348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19.0005755105348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19.0005755105348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19.0005755105348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16.2011791146074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17.0188822319158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17.3564660876853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17.3564660876853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17.3564660876853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13.6566311442993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14.2381320013393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14.8971663059847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15.6503483684366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15.8557616581962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11.6499427353628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12.0762478218275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12.5527064478762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13.0887224021811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13.6962071503933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2026-09-24T09:22:05Z</dcterms:created>
  <dc:creator>openpyxl</dc:creator>
  <dc:description/>
  <dc:language>en-NZ</dc:language>
  <cp:lastModifiedBy/>
  <dcterms:modified xsi:type="dcterms:W3CDTF">2026-09-24T09:22:05Z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