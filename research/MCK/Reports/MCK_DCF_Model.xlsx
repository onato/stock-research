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<sst xmlns="http://schemas.openxmlformats.org/spreadsheetml/2006/main" count="390" uniqueCount="175">
  <si>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</si>
  <si>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MCK</t>
  </si>
  <si>
    <t xml:space="preserve">Company</t>
  </si>
  <si>
    <t xml:space="preserve">McKesson Corporation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</si>
  <si>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</si>
  <si>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</si>
  <si>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</si>
  <si>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</si>
  <si>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</si>
  <si>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</si>
  <si>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</si>
  <si>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</si>
  <si>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</si>
  <si>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</si>
  <si>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</si>
  <si>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</si>
  <si>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</si>
  <si>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</si>
  <si>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</si>
  <si>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</si>
  <si>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</si>
  <si>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2026-10-02T00:50:05Z</t>
  </si>
  <si>
    <t xml:space="preserve">Drivers file</t>
  </si>
  <si>
    <t xml:space="preserve">MCK_Drivers.json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</si>
  <si>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</si>
  <si>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</si>
  <si>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</si>
  <si>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McKesson as the cash-generating distributor it is, not as the EPS-compounder its buyback algorithm presents. The component build strips the three things that flatter reported numbers: SBC is expensed and the count held flat (buybacks are then value-neutral), interest income is excluded from the unlevered flows, and the two large non-shareholder claims on consolidated cash flow - the $5.66B opioid schedule and ~$6.3B of minority interests including Apollo's 13% of Wellverse - are deducted in the bridge rather than ignored. Margins are built per year from EBITDA, D&amp;A, capex, tax and the payables-float working-capital release, with the mix-driven expansion capped at 1.92% in base. The terminal value is capped at 18x year-10 owner FCF because a 1.9%-margin distributor's perpetuity should not be worth more than the market pays today (~20x EV/FCF).
key_risks_to_valuation: Opioid: private-plaintiff claims beyond the national settlement could add to the $5.66B accrual; each additional $1B is ~$7/share after discounting; Drug-pricing reform / PBM and distributor fee transparency rules compressing the spread on branded and specialty drugs - a 10bp EBITDA-margin shock is ~6% of EBITDA; GLP-1 dependence: a large share of recent revenue growth is pass-through GLP-1 volume at distribution margins; price cuts or a Medicare negotiation outcome shrink dollar revenue and the working-capital release with it; Customer concentration with national pharmacy chains (CVS, Walmart) and the loss or repricing of any one contract; NCI valuation: the oncology-JV minority claim is capitalised at 11x FY26 earnings; at 7x-18x the deduction ranges $2.4-6.1B ($20-52/share); Wellverse separation execution: stranded costs, IPO window risk, and the remaining 87% being valued below the Apollo mark; Negative equity and rising gross debt leave no cushion if a margin or litigation shock coincides with a credit-market closure</t>
  </si>
  <si>
    <t xml:space="preserve">Data sources</t>
  </si>
  <si>
    <t xml:space="preserve">price: Yahoo Finance chart API regularMarketPrice at inputs.price_as_of (regular close); 52-week range 723.68-999.00
financials: MCK_Metrics.csv (SEC XBRL, FY2007-FY2026 + Q1 FY2027 labelled 'Q2 2026' in the CSV) cross-checked against the SEC companyfacts API (CIK 927653) for diluted shares, LongTermDebt, capitalised software, LitigationReserveNoncurrent, RedeemableNoncontrollingInterest, MinorityInterest, lease cost, interest income and taxes paid; FY2026 10-K filed 2026-05-08, Q1 FY2027 10-Q filed 2026-08-05
qualitative: MCK_Analysis.json (2026-10-02): segment mix, FY2027 guidance (adj. EPS $44.20-45.00 raised Aug-2026), long-term targets, Wellverse/Apollo transaction, opioid status, bull/bear axes</t>
  </si>
  <si>
    <t xml:space="preserve">Scenario narrative: bear</t>
  </si>
  <si>
    <t xml:space="preserve">Drug-pricing reform and PBM/distributor fee scrutiny compress the distributor spread while GLP-1 price deflation and Medicare negotiation shrink dollar revenue: growth drops to 5% then 2%, EBITDA margin compresses to 1.50% (back to the FY22-FY25 1.4-1.5% band), and a large pharmacy-chain customer is lost or repriced. Private opioid plaintiffs win settlements beyond the $5.66B accrued, the Wellverse separation incurs stranded costs and management distraction, and the market stops paying a 23x P/E for a 1.5%-margin business: terminal cap 14x, g 2.0%. Working-capital capture halves as growth slows.</t>
  </si>
  <si>
    <t xml:space="preserve">Scenario narrative: base</t>
  </si>
  <si>
    <t xml:space="preserve">The oligopoly holds and the mix shift does the work. Revenue grows 8% in FY27 (Q1 actual +8%) and decelerates to ~3% as GLP-1 volume growth normalises and Medical-Surgical separates; EBITDA margin drifts from 1.72% to 1.92% over ten years as Oncology &amp; Multispecialty (segment profit +53% in FY26), RxTS (11-12% long-term profit growth target) and biopharma services outgrow core distribution, consistent with management's 12-14% adjusted-EPS algorithm once ~3-4pp of buyback accretion is removed. Opioid payments run to schedule with no material private-claim additions. Terminal value binds at the 18x cap, not Gordon.</t>
  </si>
  <si>
    <t xml:space="preserve">Scenario narrative: bull</t>
  </si>
  <si>
    <t xml:space="preserve">GLP-1 remains a multi-year volume tailwind (quarterly GLP-1 distribution revenue ~$15B, +24% YoY), US Oncology Network keeps adding practices, and the biopharma-services platform (CMS GLP-1 Bridge, access/affordability programs) scales as a genuinely higher-margin business: revenue grows 10% in FY27 fading to 3.5%, EBITDA margin reaches 2.12%. The Wellverse IPO in H2 CY2027 prices the remaining 87% at or above the Apollo mark and the market re-rates the core as a specialty/oncology platform rather than a wholesaler; terminal cap 20x, g 3.0%. This case needs several things to go right at once, which is why its weight is below the house default.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</si>
  <si>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</si>
  <si>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</si>
  <si>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</si>
  <si>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</si>
  <si>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</si>
  <si>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</si>
  <si>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</si>
  <si>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</si>
  <si>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</si>
  <si>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</si>
  <si>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</si>
  <si>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</si>
  <si>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</si>
  <si>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</si>
  <si>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</si>
  <si>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</si>
  <si>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</si>
  <si>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</si>
  <si>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</si>
  <si>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</si>
  <si>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</si>
  <si>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</si>
  <si>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</si>
  <si>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</si>
  <si>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</si>
  <si>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</si>
  <si>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</si>
  <si>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</si>
  <si>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</si>
  <si>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</si>
  <si>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</si>
  <si>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</si>
  <si>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</si>
  <si>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</si>
  <si>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</si>
  <si>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</si>
  <si>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</si>
  <si>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</si>
  <si>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</si>
  <si>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</si>
  <si>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</si>
  <si>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</si>
  <si>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</si>
  <si>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</si>
  <si>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</si>
  <si>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</si>
  <si>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</si>
  <si>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</si>
  <si>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</si>
  <si>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</si>
  <si>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</si>
  <si>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</si>
  <si>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</si>
  <si>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</si>
  <si>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</si>
  <si>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</si>
  <si>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</si>
  <si>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</si>
  <si>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</si>
  <si>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</si>
  <si>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</si>
  <si>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</si>
  <si>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</si>
  <si>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</si>
  <si>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</si>
  <si>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</si>
  <si>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</si>
  <si>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</si>
  <si>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</si>
  <si>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</si>
  <si>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</si>
  <si>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</si>
  <si>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</si>
  <si>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</si>
  <si>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</si>
  <si>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</si>
  <si>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</si>
  <si>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</si>
  <si>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</si>
  <si>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</si>
  <si>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</si>
  <si>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</si>
  <si>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</si>
  <si>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</si>
  <si>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MCK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</si>
  <si>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</si>
  <si>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</si>
  <si>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</si>
  <si>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</si>
  <si>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</si>
  <si>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</si>
  <si>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</si>
  <si>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</si>
  <si>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</si>
  <si>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</si>
  <si>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</si>
  <si>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</si>
  <si>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</si>
  <si>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</si>
  <si>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</si>
  <si>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</si>
  <si>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</si>
  <si>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</si>
  <si>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</si>
  <si>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</si>
  <si>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</si>
  <si>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</si>
  <si>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</si>
  <si>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</si>
  <si>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</si>
  <si>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</si>
  <si>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</si>
  <si>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</si>
  <si>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</si>
  <si>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</si>
  <si>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MCK owner-FCF component DCF: base case (millions, USD)</t>
  </si>
  <si>
    <t xml:space="preserve">MCK owner-FCF component DCF: bull case (millions, USD)</t>
  </si>
  <si>
    <t xml:space="preserve">MCK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</si>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</sst>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898.82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6273</v>
      </c>
      <c r="S2" s="0" t="n">
        <v>1954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101703</v>
      </c>
      <c r="C3" s="0" t="n">
        <v>96694</v>
      </c>
      <c r="D3" s="0" t="n">
        <v>5009</v>
      </c>
      <c r="E3" s="0" t="n">
        <v>4.92512511921969</v>
      </c>
      <c r="F3" s="0" t="n">
        <v>1478</v>
      </c>
      <c r="G3" s="0" t="n">
        <v>1.45325113320158</v>
      </c>
      <c r="K3" s="0" t="n">
        <v>3.4</v>
      </c>
      <c r="L3" s="0" t="n">
        <v>869</v>
      </c>
      <c r="M3" s="0" t="n">
        <v>195</v>
      </c>
      <c r="N3" s="0" t="n">
        <v>674</v>
      </c>
      <c r="O3" s="0" t="n">
        <v>6121</v>
      </c>
      <c r="S3" s="0" t="n">
        <v>1362</v>
      </c>
      <c r="T3" s="0" t="n">
        <v>298</v>
      </c>
      <c r="U3" s="0" t="n">
        <v>91</v>
      </c>
      <c r="V3" s="0" t="n">
        <v>0.24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106632</v>
      </c>
      <c r="C4" s="0" t="n">
        <v>101254</v>
      </c>
      <c r="D4" s="0" t="n">
        <v>5378</v>
      </c>
      <c r="E4" s="0" t="n">
        <v>5.04351414209618</v>
      </c>
      <c r="F4" s="0" t="n">
        <v>1196</v>
      </c>
      <c r="G4" s="0" t="n">
        <v>1.12161452472053</v>
      </c>
      <c r="H4" s="0" t="n">
        <v>1509</v>
      </c>
      <c r="I4" s="0" t="n">
        <v>823</v>
      </c>
      <c r="J4" s="0" t="n">
        <v>0.771813339335284</v>
      </c>
      <c r="K4" s="0" t="n">
        <v>2.99</v>
      </c>
      <c r="L4" s="0" t="n">
        <v>1351</v>
      </c>
      <c r="M4" s="0" t="n">
        <v>195</v>
      </c>
      <c r="N4" s="0" t="n">
        <v>1156</v>
      </c>
      <c r="O4" s="0" t="n">
        <v>6193</v>
      </c>
      <c r="P4" s="0" t="n">
        <v>25267</v>
      </c>
      <c r="R4" s="0" t="n">
        <v>2509</v>
      </c>
      <c r="S4" s="0" t="n">
        <v>2109</v>
      </c>
      <c r="T4" s="0" t="n">
        <v>279</v>
      </c>
      <c r="U4" s="0" t="n">
        <v>99</v>
      </c>
      <c r="V4" s="0" t="n">
        <v>0.48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108702</v>
      </c>
      <c r="C5" s="0" t="n">
        <v>103026</v>
      </c>
      <c r="D5" s="0" t="n">
        <v>5676</v>
      </c>
      <c r="E5" s="0" t="n">
        <v>5.22161505768063</v>
      </c>
      <c r="F5" s="0" t="n">
        <v>2008</v>
      </c>
      <c r="G5" s="0" t="n">
        <v>1.84725212047616</v>
      </c>
      <c r="H5" s="0" t="n">
        <v>2485</v>
      </c>
      <c r="I5" s="0" t="n">
        <v>1263</v>
      </c>
      <c r="J5" s="0" t="n">
        <v>1.1618921454987</v>
      </c>
      <c r="K5" s="0" t="n">
        <v>4.7</v>
      </c>
      <c r="L5" s="0" t="n">
        <v>2316</v>
      </c>
      <c r="M5" s="0" t="n">
        <v>199</v>
      </c>
      <c r="N5" s="0" t="n">
        <v>2117</v>
      </c>
      <c r="O5" s="0" t="n">
        <v>7532</v>
      </c>
      <c r="P5" s="0" t="n">
        <v>28189</v>
      </c>
      <c r="R5" s="0" t="n">
        <v>2299</v>
      </c>
      <c r="S5" s="0" t="n">
        <v>3731</v>
      </c>
      <c r="T5" s="0" t="n">
        <v>273</v>
      </c>
      <c r="U5" s="0" t="n">
        <v>114</v>
      </c>
      <c r="V5" s="0" t="n">
        <v>0.48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112084</v>
      </c>
      <c r="C6" s="0" t="n">
        <v>106114</v>
      </c>
      <c r="D6" s="0" t="n">
        <v>5970</v>
      </c>
      <c r="E6" s="0" t="n">
        <v>5.32636237107883</v>
      </c>
      <c r="F6" s="0" t="n">
        <v>1821</v>
      </c>
      <c r="G6" s="0" t="n">
        <v>1.62467435137932</v>
      </c>
      <c r="H6" s="0" t="n">
        <v>2317</v>
      </c>
      <c r="I6" s="0" t="n">
        <v>1202</v>
      </c>
      <c r="J6" s="0" t="n">
        <v>1.07240997823061</v>
      </c>
      <c r="K6" s="0" t="n">
        <v>4.65</v>
      </c>
      <c r="L6" s="0" t="n">
        <v>2338</v>
      </c>
      <c r="M6" s="0" t="n">
        <v>233</v>
      </c>
      <c r="N6" s="0" t="n">
        <v>2105</v>
      </c>
      <c r="O6" s="0" t="n">
        <v>7220</v>
      </c>
      <c r="P6" s="0" t="n">
        <v>30886</v>
      </c>
      <c r="R6" s="0" t="n">
        <v>4421</v>
      </c>
      <c r="S6" s="0" t="n">
        <v>3612</v>
      </c>
      <c r="T6" s="0" t="n">
        <v>263</v>
      </c>
      <c r="U6" s="0" t="n">
        <v>137</v>
      </c>
      <c r="V6" s="0" t="n">
        <v>0.72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122321</v>
      </c>
      <c r="C7" s="0" t="n">
        <v>115919</v>
      </c>
      <c r="D7" s="0" t="n">
        <v>6402</v>
      </c>
      <c r="E7" s="0" t="n">
        <v>5.23377016211444</v>
      </c>
      <c r="F7" s="0" t="n">
        <v>2124</v>
      </c>
      <c r="G7" s="0" t="n">
        <v>1.73641484291332</v>
      </c>
      <c r="H7" s="0" t="n">
        <v>2617</v>
      </c>
      <c r="I7" s="0" t="n">
        <v>1403</v>
      </c>
      <c r="J7" s="0" t="n">
        <v>1.14698212081327</v>
      </c>
      <c r="K7" s="0" t="n">
        <v>5.7</v>
      </c>
      <c r="L7" s="0" t="n">
        <v>2950</v>
      </c>
      <c r="M7" s="0" t="n">
        <v>221</v>
      </c>
      <c r="N7" s="0" t="n">
        <v>2729</v>
      </c>
      <c r="O7" s="0" t="n">
        <v>6831</v>
      </c>
      <c r="P7" s="0" t="n">
        <v>33093</v>
      </c>
      <c r="R7" s="0" t="n">
        <v>4088</v>
      </c>
      <c r="S7" s="0" t="n">
        <v>3149</v>
      </c>
      <c r="T7" s="0" t="n">
        <v>251</v>
      </c>
      <c r="U7" s="0" t="n">
        <v>154</v>
      </c>
      <c r="V7" s="0" t="n">
        <v>0.8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122196</v>
      </c>
      <c r="C8" s="0" t="n">
        <v>115315</v>
      </c>
      <c r="D8" s="0" t="n">
        <v>6881</v>
      </c>
      <c r="E8" s="0" t="n">
        <v>5.63111722151298</v>
      </c>
      <c r="F8" s="0" t="n">
        <v>2347</v>
      </c>
      <c r="G8" s="0" t="n">
        <v>1.9206848014665</v>
      </c>
      <c r="H8" s="0" t="n">
        <v>2928</v>
      </c>
      <c r="I8" s="0" t="n">
        <v>1338</v>
      </c>
      <c r="J8" s="0" t="n">
        <v>1.09496219188844</v>
      </c>
      <c r="K8" s="0" t="n">
        <v>5.71</v>
      </c>
      <c r="L8" s="0" t="n">
        <v>2483</v>
      </c>
      <c r="M8" s="0" t="n">
        <v>241</v>
      </c>
      <c r="N8" s="0" t="n">
        <v>2242</v>
      </c>
      <c r="O8" s="0" t="n">
        <v>7070</v>
      </c>
      <c r="P8" s="0" t="n">
        <v>34786</v>
      </c>
      <c r="R8" s="0" t="n">
        <v>5225</v>
      </c>
      <c r="S8" s="0" t="n">
        <v>2456</v>
      </c>
      <c r="T8" s="0" t="n">
        <v>239</v>
      </c>
      <c r="U8" s="0" t="n">
        <v>167</v>
      </c>
      <c r="V8" s="0" t="n">
        <v>0.8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137392</v>
      </c>
      <c r="C9" s="0" t="n">
        <v>129040</v>
      </c>
      <c r="D9" s="0" t="n">
        <v>8352</v>
      </c>
      <c r="E9" s="0" t="n">
        <v>6.07895656224526</v>
      </c>
      <c r="F9" s="0" t="n">
        <v>2439</v>
      </c>
      <c r="G9" s="0" t="n">
        <v>1.77521253056947</v>
      </c>
      <c r="H9" s="0" t="n">
        <v>3174</v>
      </c>
      <c r="I9" s="0" t="n">
        <v>1263</v>
      </c>
      <c r="J9" s="0" t="n">
        <v>0.91926749737976</v>
      </c>
      <c r="K9" s="0" t="n">
        <v>5.51</v>
      </c>
      <c r="L9" s="0" t="n">
        <v>3136</v>
      </c>
      <c r="M9" s="0" t="n">
        <v>278</v>
      </c>
      <c r="N9" s="0" t="n">
        <v>2858</v>
      </c>
      <c r="O9" s="0" t="n">
        <v>10318</v>
      </c>
      <c r="P9" s="0" t="n">
        <v>51759</v>
      </c>
      <c r="R9" s="0" t="n">
        <v>11763</v>
      </c>
      <c r="S9" s="0" t="n">
        <v>4193</v>
      </c>
      <c r="T9" s="0" t="n">
        <v>233</v>
      </c>
      <c r="U9" s="0" t="n">
        <v>160</v>
      </c>
      <c r="V9" s="0" t="n">
        <v>0.92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179045</v>
      </c>
      <c r="C10" s="0" t="n">
        <v>167634</v>
      </c>
      <c r="D10" s="0" t="n">
        <v>11411</v>
      </c>
      <c r="E10" s="0" t="n">
        <v>6.37325811946717</v>
      </c>
      <c r="F10" s="0" t="n">
        <v>2968</v>
      </c>
      <c r="G10" s="0" t="n">
        <v>1.65768382250272</v>
      </c>
      <c r="H10" s="0" t="n">
        <v>3985</v>
      </c>
      <c r="I10" s="0" t="n">
        <v>1543</v>
      </c>
      <c r="J10" s="0" t="n">
        <v>0.861794520930493</v>
      </c>
      <c r="K10" s="0" t="n">
        <v>6.37</v>
      </c>
      <c r="L10" s="0" t="n">
        <v>3112</v>
      </c>
      <c r="M10" s="0" t="n">
        <v>376</v>
      </c>
      <c r="N10" s="0" t="n">
        <v>2736</v>
      </c>
      <c r="O10" s="0" t="n">
        <v>8085</v>
      </c>
      <c r="P10" s="0" t="n">
        <v>53870</v>
      </c>
      <c r="R10" s="0" t="n">
        <v>11238</v>
      </c>
      <c r="S10" s="0" t="n">
        <v>5341</v>
      </c>
      <c r="T10" s="0" t="n">
        <v>235</v>
      </c>
      <c r="U10" s="0" t="n">
        <v>174</v>
      </c>
      <c r="V10" s="0" t="n">
        <v>0.96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190884</v>
      </c>
      <c r="C11" s="0" t="n">
        <v>179468</v>
      </c>
      <c r="D11" s="0" t="n">
        <v>11416</v>
      </c>
      <c r="E11" s="0" t="n">
        <v>5.98059554493829</v>
      </c>
      <c r="F11" s="0" t="n">
        <v>3545</v>
      </c>
      <c r="G11" s="0" t="n">
        <v>1.8571488443243</v>
      </c>
      <c r="H11" s="0" t="n">
        <v>4430</v>
      </c>
      <c r="I11" s="0" t="n">
        <v>2310</v>
      </c>
      <c r="J11" s="0" t="n">
        <v>1.21015904947507</v>
      </c>
      <c r="K11" s="0" t="n">
        <v>9.82</v>
      </c>
      <c r="L11" s="0" t="n">
        <v>3672</v>
      </c>
      <c r="M11" s="0" t="n">
        <v>488</v>
      </c>
      <c r="N11" s="0" t="n">
        <v>3184</v>
      </c>
      <c r="O11" s="0" t="n">
        <v>9008</v>
      </c>
      <c r="P11" s="0" t="n">
        <v>56523</v>
      </c>
      <c r="R11" s="0" t="n">
        <v>9717</v>
      </c>
      <c r="S11" s="0" t="n">
        <v>4048</v>
      </c>
      <c r="T11" s="0" t="n">
        <v>233</v>
      </c>
      <c r="U11" s="0" t="n">
        <v>123</v>
      </c>
      <c r="V11" s="0" t="n">
        <v>1.08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198533</v>
      </c>
      <c r="C12" s="0" t="n">
        <v>187262</v>
      </c>
      <c r="D12" s="0" t="n">
        <v>11271</v>
      </c>
      <c r="E12" s="0" t="n">
        <v>5.67714183536238</v>
      </c>
      <c r="F12" s="0" t="n">
        <v>7122</v>
      </c>
      <c r="G12" s="0" t="n">
        <v>3.58731294041797</v>
      </c>
      <c r="H12" s="0" t="n">
        <v>8032</v>
      </c>
      <c r="I12" s="0" t="n">
        <v>5153</v>
      </c>
      <c r="J12" s="0" t="n">
        <v>2.59553827323417</v>
      </c>
      <c r="K12" s="0" t="n">
        <v>22.95</v>
      </c>
      <c r="L12" s="0" t="n">
        <v>4744</v>
      </c>
      <c r="M12" s="0" t="n">
        <v>404</v>
      </c>
      <c r="N12" s="0" t="n">
        <v>4340</v>
      </c>
      <c r="O12" s="0" t="n">
        <v>11273</v>
      </c>
      <c r="P12" s="0" t="n">
        <v>60969</v>
      </c>
      <c r="R12" s="0" t="n">
        <v>9419</v>
      </c>
      <c r="S12" s="0" t="n">
        <v>2783</v>
      </c>
      <c r="T12" s="0" t="n">
        <v>223</v>
      </c>
      <c r="U12" s="0" t="n">
        <v>115</v>
      </c>
      <c r="V12" s="0" t="n">
        <v>1.12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208357</v>
      </c>
      <c r="C13" s="0" t="n">
        <v>197173</v>
      </c>
      <c r="D13" s="0" t="n">
        <v>11184</v>
      </c>
      <c r="E13" s="0" t="n">
        <v>5.36771022811809</v>
      </c>
      <c r="F13" s="0" t="n">
        <v>762</v>
      </c>
      <c r="G13" s="0" t="n">
        <v>0.365718454383582</v>
      </c>
      <c r="H13" s="0" t="n">
        <v>1713</v>
      </c>
      <c r="I13" s="0" t="n">
        <v>297</v>
      </c>
      <c r="J13" s="0" t="n">
        <v>0.142543807023522</v>
      </c>
      <c r="K13" s="0" t="n">
        <v>0.32</v>
      </c>
      <c r="L13" s="0" t="n">
        <v>4345</v>
      </c>
      <c r="M13" s="0" t="n">
        <v>405</v>
      </c>
      <c r="N13" s="0" t="n">
        <v>3940</v>
      </c>
      <c r="O13" s="0" t="n">
        <v>10057</v>
      </c>
      <c r="P13" s="0" t="n">
        <v>60381</v>
      </c>
      <c r="R13" s="0" t="n">
        <v>9009</v>
      </c>
      <c r="S13" s="0" t="n">
        <v>2672</v>
      </c>
      <c r="T13" s="0" t="n">
        <v>209</v>
      </c>
      <c r="U13" s="0" t="n">
        <v>69</v>
      </c>
      <c r="V13" s="0" t="n">
        <v>1.3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214319</v>
      </c>
      <c r="C14" s="0" t="n">
        <v>202565</v>
      </c>
      <c r="D14" s="0" t="n">
        <v>11754</v>
      </c>
      <c r="E14" s="0" t="n">
        <v>5.48434809792879</v>
      </c>
      <c r="F14" s="0" t="n">
        <v>886</v>
      </c>
      <c r="G14" s="0" t="n">
        <v>0.413402451485869</v>
      </c>
      <c r="H14" s="0" t="n">
        <v>1835</v>
      </c>
      <c r="I14" s="0" t="n">
        <v>255</v>
      </c>
      <c r="J14" s="0" t="n">
        <v>0.118981518204172</v>
      </c>
      <c r="K14" s="0" t="n">
        <v>0.17</v>
      </c>
      <c r="L14" s="0" t="n">
        <v>4036</v>
      </c>
      <c r="M14" s="0" t="n">
        <v>557</v>
      </c>
      <c r="N14" s="0" t="n">
        <v>3479</v>
      </c>
      <c r="O14" s="0" t="n">
        <v>8287</v>
      </c>
      <c r="P14" s="0" t="n">
        <v>59672</v>
      </c>
      <c r="R14" s="0" t="n">
        <v>7925</v>
      </c>
      <c r="S14" s="0" t="n">
        <v>2981</v>
      </c>
      <c r="T14" s="0" t="n">
        <v>197.3</v>
      </c>
      <c r="U14" s="0" t="n">
        <v>95</v>
      </c>
      <c r="V14" s="0" t="n">
        <v>1.51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231051</v>
      </c>
      <c r="C15" s="0" t="n">
        <v>219028</v>
      </c>
      <c r="D15" s="0" t="n">
        <v>12023</v>
      </c>
      <c r="E15" s="0" t="n">
        <v>5.20361305512636</v>
      </c>
      <c r="F15" s="0" t="n">
        <v>2489</v>
      </c>
      <c r="G15" s="0" t="n">
        <v>1.07725134277714</v>
      </c>
      <c r="H15" s="0" t="n">
        <v>3411</v>
      </c>
      <c r="I15" s="0" t="n">
        <v>1120</v>
      </c>
      <c r="J15" s="0" t="n">
        <v>0.484741464005782</v>
      </c>
      <c r="K15" s="0" t="n">
        <v>4.98</v>
      </c>
      <c r="L15" s="0" t="n">
        <v>4374</v>
      </c>
      <c r="M15" s="0" t="n">
        <v>506</v>
      </c>
      <c r="N15" s="0" t="n">
        <v>3868</v>
      </c>
      <c r="O15" s="0" t="n">
        <v>5309</v>
      </c>
      <c r="P15" s="0" t="n">
        <v>61247</v>
      </c>
      <c r="R15" s="0" t="n">
        <v>8439</v>
      </c>
      <c r="S15" s="0" t="n">
        <v>4015</v>
      </c>
      <c r="T15" s="0" t="n">
        <v>181.6</v>
      </c>
      <c r="U15" s="0" t="n">
        <v>119</v>
      </c>
      <c r="V15" s="0" t="n">
        <v>1.62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238228</v>
      </c>
      <c r="C16" s="0" t="n">
        <v>226080</v>
      </c>
      <c r="D16" s="0" t="n">
        <v>12148</v>
      </c>
      <c r="E16" s="0" t="n">
        <v>5.0993166210521</v>
      </c>
      <c r="F16" s="0" t="n">
        <v>-5040</v>
      </c>
      <c r="G16" s="0" t="n">
        <v>-2.11562033010393</v>
      </c>
      <c r="H16" s="0" t="n">
        <v>-4153</v>
      </c>
      <c r="I16" s="0" t="n">
        <v>-4539</v>
      </c>
      <c r="J16" s="0" t="n">
        <v>-1.90531759490908</v>
      </c>
      <c r="K16" s="0" t="n">
        <v>-28.26</v>
      </c>
      <c r="L16" s="0" t="n">
        <v>4542</v>
      </c>
      <c r="M16" s="0" t="n">
        <v>641</v>
      </c>
      <c r="N16" s="0" t="n">
        <v>3901</v>
      </c>
      <c r="O16" s="0" t="n">
        <v>175</v>
      </c>
      <c r="P16" s="0" t="n">
        <v>65015</v>
      </c>
      <c r="R16" s="0" t="n">
        <v>7890</v>
      </c>
      <c r="S16" s="0" t="n">
        <v>6278</v>
      </c>
      <c r="T16" s="0" t="n">
        <v>160.6</v>
      </c>
      <c r="U16" s="0" t="n">
        <v>151</v>
      </c>
      <c r="V16" s="0" t="n">
        <v>1.67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263966</v>
      </c>
      <c r="C17" s="0" t="n">
        <v>250836</v>
      </c>
      <c r="D17" s="0" t="n">
        <v>13130</v>
      </c>
      <c r="E17" s="0" t="n">
        <v>4.97412545555109</v>
      </c>
      <c r="F17" s="0" t="n">
        <v>2038</v>
      </c>
      <c r="G17" s="0" t="n">
        <v>0.772069130115242</v>
      </c>
      <c r="H17" s="0" t="n">
        <v>2798</v>
      </c>
      <c r="I17" s="0" t="n">
        <v>1287</v>
      </c>
      <c r="J17" s="0" t="n">
        <v>0.487562792177781</v>
      </c>
      <c r="K17" s="0" t="n">
        <v>7.32</v>
      </c>
      <c r="L17" s="0" t="n">
        <v>4434</v>
      </c>
      <c r="M17" s="0" t="n">
        <v>535</v>
      </c>
      <c r="N17" s="0" t="n">
        <v>3899</v>
      </c>
      <c r="O17" s="0" t="n">
        <v>-1792</v>
      </c>
      <c r="P17" s="0" t="n">
        <v>63298</v>
      </c>
      <c r="R17" s="0" t="n">
        <v>6678</v>
      </c>
      <c r="S17" s="0" t="n">
        <v>3532</v>
      </c>
      <c r="T17" s="0" t="n">
        <v>154.1</v>
      </c>
      <c r="U17" s="0" t="n">
        <v>161</v>
      </c>
      <c r="V17" s="0" t="n">
        <v>1.83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276711</v>
      </c>
      <c r="C18" s="0" t="n">
        <v>264353</v>
      </c>
      <c r="D18" s="0" t="n">
        <v>12358</v>
      </c>
      <c r="E18" s="0" t="n">
        <v>4.46603134678419</v>
      </c>
      <c r="F18" s="0" t="n">
        <v>4381</v>
      </c>
      <c r="G18" s="0" t="n">
        <v>1.58324027595578</v>
      </c>
      <c r="H18" s="0" t="n">
        <v>4989</v>
      </c>
      <c r="I18" s="0" t="n">
        <v>3722</v>
      </c>
      <c r="J18" s="0" t="n">
        <v>1.34508566699553</v>
      </c>
      <c r="K18" s="0" t="n">
        <v>25.23</v>
      </c>
      <c r="L18" s="0" t="n">
        <v>5159</v>
      </c>
      <c r="M18" s="0" t="n">
        <v>558</v>
      </c>
      <c r="N18" s="0" t="n">
        <v>4601</v>
      </c>
      <c r="O18" s="0" t="n">
        <v>-1490</v>
      </c>
      <c r="P18" s="0" t="n">
        <v>62320</v>
      </c>
      <c r="R18" s="0" t="n">
        <v>6562</v>
      </c>
      <c r="S18" s="0" t="n">
        <v>4678</v>
      </c>
      <c r="T18" s="0" t="n">
        <v>142.2</v>
      </c>
      <c r="U18" s="0" t="n">
        <v>162</v>
      </c>
      <c r="V18" s="0" t="n">
        <v>2.09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308951</v>
      </c>
      <c r="C19" s="0" t="n">
        <v>296123</v>
      </c>
      <c r="D19" s="0" t="n">
        <v>12828</v>
      </c>
      <c r="E19" s="0" t="n">
        <v>4.15211473664109</v>
      </c>
      <c r="F19" s="0" t="n">
        <v>3909</v>
      </c>
      <c r="G19" s="0" t="n">
        <v>1.26524918190911</v>
      </c>
      <c r="H19" s="0" t="n">
        <v>4544</v>
      </c>
      <c r="I19" s="0" t="n">
        <v>3160</v>
      </c>
      <c r="J19" s="0" t="n">
        <v>1.02281591579247</v>
      </c>
      <c r="K19" s="0" t="n">
        <v>22.54</v>
      </c>
      <c r="L19" s="0" t="n">
        <v>4314</v>
      </c>
      <c r="M19" s="0" t="n">
        <v>687</v>
      </c>
      <c r="N19" s="0" t="n">
        <v>3627</v>
      </c>
      <c r="O19" s="0" t="n">
        <v>-1599</v>
      </c>
      <c r="P19" s="0" t="n">
        <v>67443</v>
      </c>
      <c r="R19" s="0" t="n">
        <v>5679</v>
      </c>
      <c r="S19" s="0" t="n">
        <v>4583</v>
      </c>
      <c r="T19" s="0" t="n">
        <v>134.1</v>
      </c>
      <c r="U19" s="0" t="n">
        <v>182</v>
      </c>
      <c r="V19" s="0" t="n">
        <v>2.4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359051</v>
      </c>
      <c r="C20" s="0" t="n">
        <v>345728</v>
      </c>
      <c r="D20" s="0" t="n">
        <v>13323</v>
      </c>
      <c r="E20" s="0" t="n">
        <v>3.71061492657032</v>
      </c>
      <c r="F20" s="0" t="n">
        <v>4422</v>
      </c>
      <c r="G20" s="0" t="n">
        <v>1.23157991483104</v>
      </c>
      <c r="H20" s="0" t="n">
        <v>5058</v>
      </c>
      <c r="I20" s="0" t="n">
        <v>3481</v>
      </c>
      <c r="J20" s="0" t="n">
        <v>0.969500154574141</v>
      </c>
      <c r="K20" s="0" t="n">
        <v>25.86</v>
      </c>
      <c r="L20" s="0" t="n">
        <v>6085</v>
      </c>
      <c r="M20" s="0" t="n">
        <v>859</v>
      </c>
      <c r="N20" s="0" t="n">
        <v>5226</v>
      </c>
      <c r="O20" s="0" t="n">
        <v>-2074</v>
      </c>
      <c r="P20" s="0" t="n">
        <v>75140</v>
      </c>
      <c r="R20" s="0" t="n">
        <v>6845</v>
      </c>
      <c r="S20" s="0" t="n">
        <v>5691</v>
      </c>
      <c r="T20" s="0" t="n">
        <v>128.1</v>
      </c>
      <c r="U20" s="0" t="n">
        <v>226</v>
      </c>
      <c r="V20" s="0" t="n">
        <v>2.75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403430</v>
      </c>
      <c r="C21" s="0" t="n">
        <v>388880</v>
      </c>
      <c r="D21" s="0" t="n">
        <v>14550</v>
      </c>
      <c r="E21" s="0" t="n">
        <v>3.6065736311132</v>
      </c>
      <c r="F21" s="0" t="n">
        <v>6212</v>
      </c>
      <c r="G21" s="0" t="n">
        <v>1.53979624718043</v>
      </c>
      <c r="H21" s="0" t="n">
        <v>6941</v>
      </c>
      <c r="I21" s="0" t="n">
        <v>5099</v>
      </c>
      <c r="J21" s="0" t="n">
        <v>1.263911954986</v>
      </c>
      <c r="K21" s="0" t="n">
        <v>38.55</v>
      </c>
      <c r="L21" s="0" t="n">
        <v>6155</v>
      </c>
      <c r="M21" s="0" t="n">
        <v>436</v>
      </c>
      <c r="N21" s="0" t="n">
        <v>5719</v>
      </c>
      <c r="O21" s="0" t="n">
        <v>-2172</v>
      </c>
      <c r="P21" s="0" t="n">
        <v>82323</v>
      </c>
      <c r="R21" s="0" t="n">
        <v>7793</v>
      </c>
      <c r="S21" s="0" t="n">
        <v>3975</v>
      </c>
      <c r="T21" s="0" t="n">
        <v>124.1</v>
      </c>
      <c r="U21" s="0" t="n">
        <v>247</v>
      </c>
      <c r="V21" s="0" t="n">
        <v>3.17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898.82</v>
      </c>
    </row>
    <row r="3" customFormat="false" ht="15" hidden="false" customHeight="false" outlineLevel="0" collapsed="false">
      <c r="A3" s="0" t="s">
        <v>86</v>
      </c>
      <c r="B3" s="3" t="n">
        <v>117.1</v>
      </c>
    </row>
    <row r="4" customFormat="false" ht="15" hidden="false" customHeight="false" outlineLevel="0" collapsed="false">
      <c r="A4" s="0" t="s">
        <v>87</v>
      </c>
      <c r="B4" s="3" t="n">
        <v>4565</v>
      </c>
    </row>
    <row r="5" customFormat="false" ht="15" hidden="false" customHeight="false" outlineLevel="0" collapsed="false">
      <c r="A5" s="0" t="s">
        <v>88</v>
      </c>
      <c r="B5" s="3" t="n">
        <v>-10463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403430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5</v>
      </c>
      <c r="D13" s="3" t="n">
        <v>3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1.65</v>
      </c>
      <c r="D14" s="3" t="n">
        <v>1.58</v>
      </c>
      <c r="E14" s="3" t="n">
        <v>1.52</v>
      </c>
      <c r="F14" s="3" t="n">
        <v>1.5</v>
      </c>
      <c r="G14" s="3" t="n">
        <v>1.5</v>
      </c>
      <c r="H14" s="3" t="n">
        <v>1.5</v>
      </c>
      <c r="I14" s="3" t="n">
        <v>1.5</v>
      </c>
      <c r="J14" s="3" t="n">
        <v>1.5</v>
      </c>
      <c r="K14" s="3" t="n">
        <v>1.5</v>
      </c>
      <c r="L14" s="3" t="n">
        <v>1.5</v>
      </c>
    </row>
    <row r="15" customFormat="false" ht="15" hidden="false" customHeight="false" outlineLevel="0" collapsed="false">
      <c r="A15" s="0" t="s">
        <v>108</v>
      </c>
      <c r="C15" s="3" t="n">
        <v>0.06</v>
      </c>
      <c r="D15" s="3" t="n">
        <v>0.06</v>
      </c>
      <c r="E15" s="3" t="n">
        <v>0.06</v>
      </c>
      <c r="F15" s="3" t="n">
        <v>0.06</v>
      </c>
      <c r="G15" s="3" t="n">
        <v>0.06</v>
      </c>
      <c r="H15" s="3" t="n">
        <v>0.06</v>
      </c>
      <c r="I15" s="3" t="n">
        <v>0.06</v>
      </c>
      <c r="J15" s="3" t="n">
        <v>0.06</v>
      </c>
      <c r="K15" s="3" t="n">
        <v>0.06</v>
      </c>
      <c r="L15" s="3" t="n">
        <v>0.06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0.18</v>
      </c>
      <c r="D17" s="3" t="n">
        <v>0.18</v>
      </c>
      <c r="E17" s="3" t="n">
        <v>0.18</v>
      </c>
      <c r="F17" s="3" t="n">
        <v>0.18</v>
      </c>
      <c r="G17" s="3" t="n">
        <v>0.18</v>
      </c>
      <c r="H17" s="3" t="n">
        <v>0.18</v>
      </c>
      <c r="I17" s="3" t="n">
        <v>0.18</v>
      </c>
      <c r="J17" s="3" t="n">
        <v>0.18</v>
      </c>
      <c r="K17" s="3" t="n">
        <v>0.18</v>
      </c>
      <c r="L17" s="3" t="n">
        <v>0.18</v>
      </c>
    </row>
    <row r="18" customFormat="false" ht="15" hidden="false" customHeight="false" outlineLevel="0" collapsed="false">
      <c r="A18" s="0" t="s">
        <v>111</v>
      </c>
      <c r="C18" s="3" t="n">
        <v>0.19</v>
      </c>
      <c r="D18" s="3" t="n">
        <v>0.19</v>
      </c>
      <c r="E18" s="3" t="n">
        <v>0.19</v>
      </c>
      <c r="F18" s="3" t="n">
        <v>0.19</v>
      </c>
      <c r="G18" s="3" t="n">
        <v>0.19</v>
      </c>
      <c r="H18" s="3" t="n">
        <v>0.19</v>
      </c>
      <c r="I18" s="3" t="n">
        <v>0.19</v>
      </c>
      <c r="J18" s="3" t="n">
        <v>0.19</v>
      </c>
      <c r="K18" s="3" t="n">
        <v>0.19</v>
      </c>
      <c r="L18" s="3" t="n">
        <v>0.19</v>
      </c>
    </row>
    <row r="19" customFormat="false" ht="15" hidden="false" customHeight="false" outlineLevel="0" collapsed="false">
      <c r="A19" s="0" t="s">
        <v>112</v>
      </c>
      <c r="C19" s="3" t="n">
        <v>23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113</v>
      </c>
      <c r="B20" s="3" t="n">
        <v>7.5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14</v>
      </c>
    </row>
    <row r="23" customFormat="false" ht="15" hidden="false" customHeight="false" outlineLevel="0" collapsed="false">
      <c r="A23" s="0" t="s">
        <v>116</v>
      </c>
      <c r="B23" s="3" t="n">
        <v>1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8</v>
      </c>
      <c r="D27" s="3" t="n">
        <v>7</v>
      </c>
      <c r="E27" s="3" t="n">
        <v>6</v>
      </c>
      <c r="F27" s="3" t="n">
        <v>5.5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1.75</v>
      </c>
      <c r="D28" s="3" t="n">
        <v>1.78</v>
      </c>
      <c r="E28" s="3" t="n">
        <v>1.81</v>
      </c>
      <c r="F28" s="3" t="n">
        <v>1.84</v>
      </c>
      <c r="G28" s="3" t="n">
        <v>1.86</v>
      </c>
      <c r="H28" s="3" t="n">
        <v>1.88</v>
      </c>
      <c r="I28" s="3" t="n">
        <v>1.9</v>
      </c>
      <c r="J28" s="3" t="n">
        <v>1.91</v>
      </c>
      <c r="K28" s="3" t="n">
        <v>1.92</v>
      </c>
      <c r="L28" s="3" t="n">
        <v>1.92</v>
      </c>
    </row>
    <row r="29" customFormat="false" ht="15" hidden="false" customHeight="false" outlineLevel="0" collapsed="false">
      <c r="A29" s="0" t="s">
        <v>108</v>
      </c>
      <c r="C29" s="3" t="n">
        <v>0.06</v>
      </c>
      <c r="D29" s="3" t="n">
        <v>0.06</v>
      </c>
      <c r="E29" s="3" t="n">
        <v>0.06</v>
      </c>
      <c r="F29" s="3" t="n">
        <v>0.06</v>
      </c>
      <c r="G29" s="3" t="n">
        <v>0.06</v>
      </c>
      <c r="H29" s="3" t="n">
        <v>0.06</v>
      </c>
      <c r="I29" s="3" t="n">
        <v>0.06</v>
      </c>
      <c r="J29" s="3" t="n">
        <v>0.06</v>
      </c>
      <c r="K29" s="3" t="n">
        <v>0.06</v>
      </c>
      <c r="L29" s="3" t="n">
        <v>0.06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0.18</v>
      </c>
      <c r="D31" s="3" t="n">
        <v>0.18</v>
      </c>
      <c r="E31" s="3" t="n">
        <v>0.18</v>
      </c>
      <c r="F31" s="3" t="n">
        <v>0.18</v>
      </c>
      <c r="G31" s="3" t="n">
        <v>0.18</v>
      </c>
      <c r="H31" s="3" t="n">
        <v>0.18</v>
      </c>
      <c r="I31" s="3" t="n">
        <v>0.18</v>
      </c>
      <c r="J31" s="3" t="n">
        <v>0.18</v>
      </c>
      <c r="K31" s="3" t="n">
        <v>0.18</v>
      </c>
      <c r="L31" s="3" t="n">
        <v>0.18</v>
      </c>
    </row>
    <row r="32" customFormat="false" ht="15" hidden="false" customHeight="false" outlineLevel="0" collapsed="false">
      <c r="A32" s="0" t="s">
        <v>111</v>
      </c>
      <c r="C32" s="3" t="n">
        <v>0.19</v>
      </c>
      <c r="D32" s="3" t="n">
        <v>0.19</v>
      </c>
      <c r="E32" s="3" t="n">
        <v>0.19</v>
      </c>
      <c r="F32" s="3" t="n">
        <v>0.19</v>
      </c>
      <c r="G32" s="3" t="n">
        <v>0.19</v>
      </c>
      <c r="H32" s="3" t="n">
        <v>0.19</v>
      </c>
      <c r="I32" s="3" t="n">
        <v>0.19</v>
      </c>
      <c r="J32" s="3" t="n">
        <v>0.19</v>
      </c>
      <c r="K32" s="3" t="n">
        <v>0.19</v>
      </c>
      <c r="L32" s="3" t="n">
        <v>0.19</v>
      </c>
    </row>
    <row r="33" customFormat="false" ht="15" hidden="false" customHeight="false" outlineLevel="0" collapsed="false">
      <c r="A33" s="0" t="s">
        <v>112</v>
      </c>
      <c r="C33" s="3" t="n">
        <v>22</v>
      </c>
      <c r="D33" s="3" t="n">
        <v>22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113</v>
      </c>
      <c r="B34" s="3" t="n">
        <v>7.5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18</v>
      </c>
    </row>
    <row r="37" customFormat="false" ht="15" hidden="false" customHeight="false" outlineLevel="0" collapsed="false">
      <c r="A37" s="0" t="s">
        <v>116</v>
      </c>
      <c r="B37" s="3" t="n">
        <v>2</v>
      </c>
    </row>
    <row r="38" customFormat="false" ht="15" hidden="false" customHeight="false" outlineLevel="0" collapsed="false">
      <c r="A38" s="0" t="s">
        <v>117</v>
      </c>
      <c r="B38" s="3" t="n">
        <v>0.55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10</v>
      </c>
      <c r="D41" s="3" t="n">
        <v>9</v>
      </c>
      <c r="E41" s="3" t="n">
        <v>8</v>
      </c>
      <c r="F41" s="3" t="n">
        <v>7</v>
      </c>
      <c r="G41" s="3" t="n">
        <v>6</v>
      </c>
      <c r="H41" s="3" t="n">
        <v>5.5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107</v>
      </c>
      <c r="C42" s="3" t="n">
        <v>1.78</v>
      </c>
      <c r="D42" s="3" t="n">
        <v>1.84</v>
      </c>
      <c r="E42" s="3" t="n">
        <v>1.9</v>
      </c>
      <c r="F42" s="3" t="n">
        <v>1.96</v>
      </c>
      <c r="G42" s="3" t="n">
        <v>2.01</v>
      </c>
      <c r="H42" s="3" t="n">
        <v>2.05</v>
      </c>
      <c r="I42" s="3" t="n">
        <v>2.08</v>
      </c>
      <c r="J42" s="3" t="n">
        <v>2.1</v>
      </c>
      <c r="K42" s="3" t="n">
        <v>2.12</v>
      </c>
      <c r="L42" s="3" t="n">
        <v>2.12</v>
      </c>
    </row>
    <row r="43" customFormat="false" ht="15" hidden="false" customHeight="false" outlineLevel="0" collapsed="false">
      <c r="A43" s="0" t="s">
        <v>108</v>
      </c>
      <c r="C43" s="3" t="n">
        <v>0.06</v>
      </c>
      <c r="D43" s="3" t="n">
        <v>0.06</v>
      </c>
      <c r="E43" s="3" t="n">
        <v>0.06</v>
      </c>
      <c r="F43" s="3" t="n">
        <v>0.06</v>
      </c>
      <c r="G43" s="3" t="n">
        <v>0.06</v>
      </c>
      <c r="H43" s="3" t="n">
        <v>0.06</v>
      </c>
      <c r="I43" s="3" t="n">
        <v>0.06</v>
      </c>
      <c r="J43" s="3" t="n">
        <v>0.06</v>
      </c>
      <c r="K43" s="3" t="n">
        <v>0.06</v>
      </c>
      <c r="L43" s="3" t="n">
        <v>0.06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0.18</v>
      </c>
      <c r="D45" s="3" t="n">
        <v>0.18</v>
      </c>
      <c r="E45" s="3" t="n">
        <v>0.18</v>
      </c>
      <c r="F45" s="3" t="n">
        <v>0.18</v>
      </c>
      <c r="G45" s="3" t="n">
        <v>0.18</v>
      </c>
      <c r="H45" s="3" t="n">
        <v>0.18</v>
      </c>
      <c r="I45" s="3" t="n">
        <v>0.18</v>
      </c>
      <c r="J45" s="3" t="n">
        <v>0.18</v>
      </c>
      <c r="K45" s="3" t="n">
        <v>0.18</v>
      </c>
      <c r="L45" s="3" t="n">
        <v>0.18</v>
      </c>
    </row>
    <row r="46" customFormat="false" ht="15" hidden="false" customHeight="false" outlineLevel="0" collapsed="false">
      <c r="A46" s="0" t="s">
        <v>111</v>
      </c>
      <c r="C46" s="3" t="n">
        <v>0.19</v>
      </c>
      <c r="D46" s="3" t="n">
        <v>0.19</v>
      </c>
      <c r="E46" s="3" t="n">
        <v>0.19</v>
      </c>
      <c r="F46" s="3" t="n">
        <v>0.19</v>
      </c>
      <c r="G46" s="3" t="n">
        <v>0.19</v>
      </c>
      <c r="H46" s="3" t="n">
        <v>0.19</v>
      </c>
      <c r="I46" s="3" t="n">
        <v>0.19</v>
      </c>
      <c r="J46" s="3" t="n">
        <v>0.19</v>
      </c>
      <c r="K46" s="3" t="n">
        <v>0.19</v>
      </c>
      <c r="L46" s="3" t="n">
        <v>0.19</v>
      </c>
    </row>
    <row r="47" customFormat="false" ht="15" hidden="false" customHeight="false" outlineLevel="0" collapsed="false">
      <c r="A47" s="0" t="s">
        <v>112</v>
      </c>
      <c r="C47" s="3" t="n">
        <v>21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113</v>
      </c>
      <c r="B48" s="3" t="n">
        <v>7.5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2.5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5</v>
      </c>
      <c r="D5" s="4" t="n">
        <f aca="false">Assumptions!D13</f>
        <v>3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403430</v>
      </c>
      <c r="C6" s="0" t="n">
        <f aca="false">B6*(1+C5/100)</f>
        <v>423601.5</v>
      </c>
      <c r="D6" s="0" t="n">
        <f aca="false">C6*(1+D5/100)</f>
        <v>436309.545</v>
      </c>
      <c r="E6" s="0" t="n">
        <f aca="false">D6*(1+E5/100)</f>
        <v>445035.7359</v>
      </c>
      <c r="F6" s="0" t="n">
        <f aca="false">E6*(1+F5/100)</f>
        <v>453936.450618</v>
      </c>
      <c r="G6" s="0" t="n">
        <f aca="false">F6*(1+G5/100)</f>
        <v>463015.17963036</v>
      </c>
      <c r="H6" s="0" t="n">
        <f aca="false">G6*(1+H5/100)</f>
        <v>472275.483222967</v>
      </c>
      <c r="I6" s="0" t="n">
        <f aca="false">H6*(1+I5/100)</f>
        <v>481720.992887427</v>
      </c>
      <c r="J6" s="0" t="n">
        <f aca="false">I6*(1+J5/100)</f>
        <v>491355.412745175</v>
      </c>
      <c r="K6" s="0" t="n">
        <f aca="false">J6*(1+K5/100)</f>
        <v>501182.521000079</v>
      </c>
      <c r="L6" s="0" t="n">
        <f aca="false">K6*(1+L5/100)</f>
        <v>511206.17142008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1.65</v>
      </c>
      <c r="D7" s="4" t="n">
        <f aca="false">Assumptions!D14</f>
        <v>1.58</v>
      </c>
      <c r="E7" s="4" t="n">
        <f aca="false">Assumptions!E14</f>
        <v>1.52</v>
      </c>
      <c r="F7" s="4" t="n">
        <f aca="false">Assumptions!F14</f>
        <v>1.5</v>
      </c>
      <c r="G7" s="4" t="n">
        <f aca="false">Assumptions!G14</f>
        <v>1.5</v>
      </c>
      <c r="H7" s="4" t="n">
        <f aca="false">Assumptions!H14</f>
        <v>1.5</v>
      </c>
      <c r="I7" s="4" t="n">
        <f aca="false">Assumptions!I14</f>
        <v>1.5</v>
      </c>
      <c r="J7" s="4" t="n">
        <f aca="false">Assumptions!J14</f>
        <v>1.5</v>
      </c>
      <c r="K7" s="4" t="n">
        <f aca="false">Assumptions!K14</f>
        <v>1.5</v>
      </c>
      <c r="L7" s="4" t="n">
        <f aca="false">Assumptions!L14</f>
        <v>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6989.42475</v>
      </c>
      <c r="D8" s="0" t="n">
        <f aca="false">D6*D7/100</f>
        <v>6893.690811</v>
      </c>
      <c r="E8" s="0" t="n">
        <f aca="false">E6*E7/100</f>
        <v>6764.54318568</v>
      </c>
      <c r="F8" s="0" t="n">
        <f aca="false">F6*F7/100</f>
        <v>6809.04675927</v>
      </c>
      <c r="G8" s="0" t="n">
        <f aca="false">G6*G7/100</f>
        <v>6945.2276944554</v>
      </c>
      <c r="H8" s="0" t="n">
        <f aca="false">H6*H7/100</f>
        <v>7084.13224834451</v>
      </c>
      <c r="I8" s="0" t="n">
        <f aca="false">I6*I7/100</f>
        <v>7225.8148933114</v>
      </c>
      <c r="J8" s="0" t="n">
        <f aca="false">J6*J7/100</f>
        <v>7370.33119117763</v>
      </c>
      <c r="K8" s="0" t="n">
        <f aca="false">K6*K7/100</f>
        <v>7517.73781500118</v>
      </c>
      <c r="L8" s="0" t="n">
        <f aca="false">L6*L7/100</f>
        <v>7668.0925713012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0.06</v>
      </c>
      <c r="D9" s="4" t="n">
        <f aca="false">Assumptions!D15</f>
        <v>0.06</v>
      </c>
      <c r="E9" s="4" t="n">
        <f aca="false">Assumptions!E15</f>
        <v>0.06</v>
      </c>
      <c r="F9" s="4" t="n">
        <f aca="false">Assumptions!F15</f>
        <v>0.06</v>
      </c>
      <c r="G9" s="4" t="n">
        <f aca="false">Assumptions!G15</f>
        <v>0.06</v>
      </c>
      <c r="H9" s="4" t="n">
        <f aca="false">Assumptions!H15</f>
        <v>0.06</v>
      </c>
      <c r="I9" s="4" t="n">
        <f aca="false">Assumptions!I15</f>
        <v>0.06</v>
      </c>
      <c r="J9" s="4" t="n">
        <f aca="false">Assumptions!J15</f>
        <v>0.06</v>
      </c>
      <c r="K9" s="4" t="n">
        <f aca="false">Assumptions!K15</f>
        <v>0.06</v>
      </c>
      <c r="L9" s="4" t="n">
        <f aca="false">Assumptions!L15</f>
        <v>0.06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-254.1609</v>
      </c>
      <c r="D10" s="0" t="n">
        <f aca="false">-D6*D9/100</f>
        <v>-261.785727</v>
      </c>
      <c r="E10" s="0" t="n">
        <f aca="false">-E6*E9/100</f>
        <v>-267.02144154</v>
      </c>
      <c r="F10" s="0" t="n">
        <f aca="false">-F6*F9/100</f>
        <v>-272.3618703708</v>
      </c>
      <c r="G10" s="0" t="n">
        <f aca="false">-G6*G9/100</f>
        <v>-277.809107778216</v>
      </c>
      <c r="H10" s="0" t="n">
        <f aca="false">-H6*H9/100</f>
        <v>-283.36528993378</v>
      </c>
      <c r="I10" s="0" t="n">
        <f aca="false">-I6*I9/100</f>
        <v>-289.032595732456</v>
      </c>
      <c r="J10" s="0" t="n">
        <f aca="false">-J6*J9/100</f>
        <v>-294.813247647105</v>
      </c>
      <c r="K10" s="0" t="n">
        <f aca="false">-K6*K9/100</f>
        <v>-300.709512600047</v>
      </c>
      <c r="L10" s="0" t="n">
        <f aca="false">-L6*L9/100</f>
        <v>-306.723702852048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6735.26385</v>
      </c>
      <c r="D11" s="0" t="n">
        <f aca="false">D8+D10+D24</f>
        <v>6631.905084</v>
      </c>
      <c r="E11" s="0" t="n">
        <f aca="false">E8+E10+E24</f>
        <v>6497.52174414</v>
      </c>
      <c r="F11" s="0" t="n">
        <f aca="false">F8+F10+F24</f>
        <v>6536.6848888992</v>
      </c>
      <c r="G11" s="0" t="n">
        <f aca="false">G8+G10+G24</f>
        <v>6667.41858667718</v>
      </c>
      <c r="H11" s="0" t="n">
        <f aca="false">H8+H10+H24</f>
        <v>6800.76695841073</v>
      </c>
      <c r="I11" s="0" t="n">
        <f aca="false">I8+I10+I24</f>
        <v>6936.78229757894</v>
      </c>
      <c r="J11" s="0" t="n">
        <f aca="false">J8+J10+J24</f>
        <v>7075.51794353052</v>
      </c>
      <c r="K11" s="0" t="n">
        <f aca="false">K8+K10+K24</f>
        <v>7217.02830240113</v>
      </c>
      <c r="L11" s="0" t="n">
        <f aca="false">L8+L10+L24</f>
        <v>7361.36886844916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-762.4827</v>
      </c>
      <c r="D12" s="4" t="n">
        <f aca="false">-D6*Assumptions!D17/100</f>
        <v>-785.357181</v>
      </c>
      <c r="E12" s="4" t="n">
        <f aca="false">-E6*Assumptions!E17/100</f>
        <v>-801.06432462</v>
      </c>
      <c r="F12" s="4" t="n">
        <f aca="false">-F6*Assumptions!F17/100</f>
        <v>-817.0856111124</v>
      </c>
      <c r="G12" s="4" t="n">
        <f aca="false">-G6*Assumptions!G17/100</f>
        <v>-833.427323334648</v>
      </c>
      <c r="H12" s="4" t="n">
        <f aca="false">-H6*Assumptions!H17/100</f>
        <v>-850.095869801341</v>
      </c>
      <c r="I12" s="4" t="n">
        <f aca="false">-I6*Assumptions!I17/100</f>
        <v>-867.097787197368</v>
      </c>
      <c r="J12" s="4" t="n">
        <f aca="false">-J6*Assumptions!J17/100</f>
        <v>-884.439742941315</v>
      </c>
      <c r="K12" s="4" t="n">
        <f aca="false">-K6*Assumptions!K17/100</f>
        <v>-902.128537800142</v>
      </c>
      <c r="L12" s="4" t="n">
        <f aca="false">-L6*Assumptions!L17/100</f>
        <v>-920.171108556144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5972.78115</v>
      </c>
      <c r="D13" s="0" t="n">
        <f aca="false">D11+D12</f>
        <v>5846.547903</v>
      </c>
      <c r="E13" s="0" t="n">
        <f aca="false">E11+E12</f>
        <v>5696.45741952</v>
      </c>
      <c r="F13" s="0" t="n">
        <f aca="false">F11+F12</f>
        <v>5719.5992777868</v>
      </c>
      <c r="G13" s="0" t="n">
        <f aca="false">G11+G12</f>
        <v>5833.99126334254</v>
      </c>
      <c r="H13" s="0" t="n">
        <f aca="false">H11+H12</f>
        <v>5950.67108860939</v>
      </c>
      <c r="I13" s="0" t="n">
        <f aca="false">I11+I12</f>
        <v>6069.68451038157</v>
      </c>
      <c r="J13" s="0" t="n">
        <f aca="false">J11+J12</f>
        <v>6191.07820058921</v>
      </c>
      <c r="K13" s="0" t="n">
        <f aca="false">K11+K12</f>
        <v>6314.89976460099</v>
      </c>
      <c r="L13" s="0" t="n">
        <f aca="false">L11+L12</f>
        <v>6441.19775989301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4599.0414855</v>
      </c>
      <c r="D15" s="0" t="n">
        <f aca="false">D13-MAX(0,D13)*D14/100</f>
        <v>4501.84188531</v>
      </c>
      <c r="E15" s="0" t="n">
        <f aca="false">E13-MAX(0,E13)*E14/100</f>
        <v>4386.2722130304</v>
      </c>
      <c r="F15" s="0" t="n">
        <f aca="false">F13-MAX(0,F13)*F14/100</f>
        <v>4404.09144389584</v>
      </c>
      <c r="G15" s="0" t="n">
        <f aca="false">G13-MAX(0,G13)*G14/100</f>
        <v>4492.17327277375</v>
      </c>
      <c r="H15" s="0" t="n">
        <f aca="false">H13-MAX(0,H13)*H14/100</f>
        <v>4582.01673822923</v>
      </c>
      <c r="I15" s="0" t="n">
        <f aca="false">I13-MAX(0,I13)*I14/100</f>
        <v>4673.65707299381</v>
      </c>
      <c r="J15" s="0" t="n">
        <f aca="false">J13-MAX(0,J13)*J14/100</f>
        <v>4767.13021445369</v>
      </c>
      <c r="K15" s="0" t="n">
        <f aca="false">K13-MAX(0,K13)*K14/100</f>
        <v>4862.47281874276</v>
      </c>
      <c r="L15" s="0" t="n">
        <f aca="false">L13-MAX(0,L13)*L14/100</f>
        <v>4959.72227511762</v>
      </c>
    </row>
    <row r="16" customFormat="false" ht="15" hidden="false" customHeight="false" outlineLevel="0" collapsed="false">
      <c r="A16" s="0" t="s">
        <v>128</v>
      </c>
      <c r="C16" s="0" t="n">
        <f aca="false">-C12</f>
        <v>762.4827</v>
      </c>
      <c r="D16" s="0" t="n">
        <f aca="false">-D12</f>
        <v>785.357181</v>
      </c>
      <c r="E16" s="0" t="n">
        <f aca="false">-E12</f>
        <v>801.06432462</v>
      </c>
      <c r="F16" s="0" t="n">
        <f aca="false">-F12</f>
        <v>817.0856111124</v>
      </c>
      <c r="G16" s="0" t="n">
        <f aca="false">-G12</f>
        <v>833.427323334648</v>
      </c>
      <c r="H16" s="0" t="n">
        <f aca="false">-H12</f>
        <v>850.095869801341</v>
      </c>
      <c r="I16" s="0" t="n">
        <f aca="false">-I12</f>
        <v>867.097787197368</v>
      </c>
      <c r="J16" s="0" t="n">
        <f aca="false">-J12</f>
        <v>884.439742941315</v>
      </c>
      <c r="K16" s="0" t="n">
        <f aca="false">-K12</f>
        <v>902.128537800142</v>
      </c>
      <c r="L16" s="0" t="n">
        <f aca="false">-L12</f>
        <v>920.171108556144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-804.84285</v>
      </c>
      <c r="D17" s="4" t="n">
        <f aca="false">-D6*Assumptions!D18/100</f>
        <v>-828.9881355</v>
      </c>
      <c r="E17" s="4" t="n">
        <f aca="false">-E6*Assumptions!E18/100</f>
        <v>-845.56789821</v>
      </c>
      <c r="F17" s="4" t="n">
        <f aca="false">-F6*Assumptions!F18/100</f>
        <v>-862.4792561742</v>
      </c>
      <c r="G17" s="4" t="n">
        <f aca="false">-G6*Assumptions!G18/100</f>
        <v>-879.728841297684</v>
      </c>
      <c r="H17" s="4" t="n">
        <f aca="false">-H6*Assumptions!H18/100</f>
        <v>-897.323418123638</v>
      </c>
      <c r="I17" s="4" t="n">
        <f aca="false">-I6*Assumptions!I18/100</f>
        <v>-915.26988648611</v>
      </c>
      <c r="J17" s="4" t="n">
        <f aca="false">-J6*Assumptions!J18/100</f>
        <v>-933.575284215833</v>
      </c>
      <c r="K17" s="4" t="n">
        <f aca="false">-K6*Assumptions!K18/100</f>
        <v>-952.246789900149</v>
      </c>
      <c r="L17" s="4" t="n">
        <f aca="false">-L6*Assumptions!L18/100</f>
        <v>-971.291725698152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201.715</v>
      </c>
      <c r="D18" s="4" t="n">
        <f aca="false">(D6-C6)*Assumptions!$B$23/100</f>
        <v>127.08045</v>
      </c>
      <c r="E18" s="4" t="n">
        <f aca="false">(E6-D6)*Assumptions!$B$23/100</f>
        <v>87.2619089999999</v>
      </c>
      <c r="F18" s="4" t="n">
        <f aca="false">(F6-E6)*Assumptions!$B$23/100</f>
        <v>89.0071471800003</v>
      </c>
      <c r="G18" s="4" t="n">
        <f aca="false">(G6-F6)*Assumptions!$B$23/100</f>
        <v>90.7872901235998</v>
      </c>
      <c r="H18" s="4" t="n">
        <f aca="false">(H6-G6)*Assumptions!$B$23/100</f>
        <v>92.603035926072</v>
      </c>
      <c r="I18" s="4" t="n">
        <f aca="false">(I6-H6)*Assumptions!$B$23/100</f>
        <v>94.4550966445933</v>
      </c>
      <c r="J18" s="4" t="n">
        <f aca="false">(J6-I6)*Assumptions!$B$23/100</f>
        <v>96.3441985774855</v>
      </c>
      <c r="K18" s="4" t="n">
        <f aca="false">(K6-J6)*Assumptions!$B$23/100</f>
        <v>98.2710825490352</v>
      </c>
      <c r="L18" s="4" t="n">
        <f aca="false">(L6-K6)*Assumptions!$B$23/100</f>
        <v>100.236504200016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4758.3963355</v>
      </c>
      <c r="D19" s="0" t="n">
        <f aca="false">D15+D16+D17+D18</f>
        <v>4585.29138081</v>
      </c>
      <c r="E19" s="0" t="n">
        <f aca="false">E15+E16+E17+E18</f>
        <v>4429.0305484404</v>
      </c>
      <c r="F19" s="0" t="n">
        <f aca="false">F15+F16+F17+F18</f>
        <v>4447.70494601404</v>
      </c>
      <c r="G19" s="0" t="n">
        <f aca="false">G15+G16+G17+G18</f>
        <v>4536.65904493432</v>
      </c>
      <c r="H19" s="0" t="n">
        <f aca="false">H15+H16+H17+H18</f>
        <v>4627.392225833</v>
      </c>
      <c r="I19" s="0" t="n">
        <f aca="false">I15+I16+I17+I18</f>
        <v>4719.94007034966</v>
      </c>
      <c r="J19" s="0" t="n">
        <f aca="false">J15+J16+J17+J18</f>
        <v>4814.33887175666</v>
      </c>
      <c r="K19" s="0" t="n">
        <f aca="false">K15+K16+K17+K18</f>
        <v>4910.62564919179</v>
      </c>
      <c r="L19" s="0" t="n">
        <f aca="false">L15+L16+L17+L18</f>
        <v>5008.83816217563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4426.41519581395</v>
      </c>
      <c r="D21" s="0" t="n">
        <f aca="false">D19*D20</f>
        <v>3967.80216835911</v>
      </c>
      <c r="E21" s="0" t="n">
        <f aca="false">E19*E20</f>
        <v>3565.19495264801</v>
      </c>
      <c r="F21" s="0" t="n">
        <f aca="false">F19*F20</f>
        <v>3330.44381986431</v>
      </c>
      <c r="G21" s="0" t="n">
        <f aca="false">G19*G20</f>
        <v>3160.04901977823</v>
      </c>
      <c r="H21" s="0" t="n">
        <f aca="false">H19*H20</f>
        <v>2998.37209318493</v>
      </c>
      <c r="I21" s="0" t="n">
        <f aca="false">I19*I20</f>
        <v>2844.96700934756</v>
      </c>
      <c r="J21" s="0" t="n">
        <f aca="false">J19*J20</f>
        <v>2699.41055770652</v>
      </c>
      <c r="K21" s="0" t="n">
        <f aca="false">K19*K20</f>
        <v>2561.30118033549</v>
      </c>
      <c r="L21" s="0" t="n">
        <f aca="false">L19*L20</f>
        <v>2430.25786413228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31984.2138611704</v>
      </c>
    </row>
    <row r="31" customFormat="false" ht="15" hidden="false" customHeight="false" outlineLevel="0" collapsed="false">
      <c r="A31" s="0" t="s">
        <v>137</v>
      </c>
      <c r="B31" s="0" t="n">
        <f aca="false">L19</f>
        <v>5008.83816217563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92891.1804621662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70123.7342704588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70123.7342704588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34023.6100978519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66007.8239590223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50979.8239590223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435.352894611634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-0.515639511123881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1904.15090156555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2759.94341555919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475.182905859497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39300.1148109165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153.584226457403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8</v>
      </c>
      <c r="D5" s="4" t="n">
        <f aca="false">Assumptions!D27</f>
        <v>7</v>
      </c>
      <c r="E5" s="4" t="n">
        <f aca="false">Assumptions!E27</f>
        <v>6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403430</v>
      </c>
      <c r="C6" s="0" t="n">
        <f aca="false">B6*(1+C5/100)</f>
        <v>435704.4</v>
      </c>
      <c r="D6" s="0" t="n">
        <f aca="false">C6*(1+D5/100)</f>
        <v>466203.708</v>
      </c>
      <c r="E6" s="0" t="n">
        <f aca="false">D6*(1+E5/100)</f>
        <v>494175.93048</v>
      </c>
      <c r="F6" s="0" t="n">
        <f aca="false">E6*(1+F5/100)</f>
        <v>521355.6066564</v>
      </c>
      <c r="G6" s="0" t="n">
        <f aca="false">F6*(1+G5/100)</f>
        <v>547423.38698922</v>
      </c>
      <c r="H6" s="0" t="n">
        <f aca="false">G6*(1+H5/100)</f>
        <v>572057.439403735</v>
      </c>
      <c r="I6" s="0" t="n">
        <f aca="false">H6*(1+I5/100)</f>
        <v>594939.736979884</v>
      </c>
      <c r="J6" s="0" t="n">
        <f aca="false">I6*(1+J5/100)</f>
        <v>615762.62777418</v>
      </c>
      <c r="K6" s="0" t="n">
        <f aca="false">J6*(1+K5/100)</f>
        <v>634235.506607406</v>
      </c>
      <c r="L6" s="0" t="n">
        <f aca="false">K6*(1+L5/100)</f>
        <v>653262.571805628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1.75</v>
      </c>
      <c r="D7" s="4" t="n">
        <f aca="false">Assumptions!D28</f>
        <v>1.78</v>
      </c>
      <c r="E7" s="4" t="n">
        <f aca="false">Assumptions!E28</f>
        <v>1.81</v>
      </c>
      <c r="F7" s="4" t="n">
        <f aca="false">Assumptions!F28</f>
        <v>1.84</v>
      </c>
      <c r="G7" s="4" t="n">
        <f aca="false">Assumptions!G28</f>
        <v>1.86</v>
      </c>
      <c r="H7" s="4" t="n">
        <f aca="false">Assumptions!H28</f>
        <v>1.88</v>
      </c>
      <c r="I7" s="4" t="n">
        <f aca="false">Assumptions!I28</f>
        <v>1.9</v>
      </c>
      <c r="J7" s="4" t="n">
        <f aca="false">Assumptions!J28</f>
        <v>1.91</v>
      </c>
      <c r="K7" s="4" t="n">
        <f aca="false">Assumptions!K28</f>
        <v>1.92</v>
      </c>
      <c r="L7" s="4" t="n">
        <f aca="false">Assumptions!L28</f>
        <v>1.92</v>
      </c>
    </row>
    <row r="8" customFormat="false" ht="15" hidden="false" customHeight="false" outlineLevel="0" collapsed="false">
      <c r="A8" s="0" t="s">
        <v>43</v>
      </c>
      <c r="C8" s="0" t="n">
        <f aca="false">C6*C7/100</f>
        <v>7624.827</v>
      </c>
      <c r="D8" s="0" t="n">
        <f aca="false">D6*D7/100</f>
        <v>8298.4260024</v>
      </c>
      <c r="E8" s="0" t="n">
        <f aca="false">E6*E7/100</f>
        <v>8944.584341688</v>
      </c>
      <c r="F8" s="0" t="n">
        <f aca="false">F6*F7/100</f>
        <v>9592.94316247776</v>
      </c>
      <c r="G8" s="0" t="n">
        <f aca="false">G6*G7/100</f>
        <v>10182.0749979995</v>
      </c>
      <c r="H8" s="0" t="n">
        <f aca="false">H6*H7/100</f>
        <v>10754.6798607902</v>
      </c>
      <c r="I8" s="0" t="n">
        <f aca="false">I6*I7/100</f>
        <v>11303.8550026178</v>
      </c>
      <c r="J8" s="0" t="n">
        <f aca="false">J6*J7/100</f>
        <v>11761.0661904868</v>
      </c>
      <c r="K8" s="0" t="n">
        <f aca="false">K6*K7/100</f>
        <v>12177.3217268622</v>
      </c>
      <c r="L8" s="0" t="n">
        <f aca="false">L6*L7/100</f>
        <v>12542.6413786681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0.06</v>
      </c>
      <c r="D9" s="4" t="n">
        <f aca="false">Assumptions!D29</f>
        <v>0.06</v>
      </c>
      <c r="E9" s="4" t="n">
        <f aca="false">Assumptions!E29</f>
        <v>0.06</v>
      </c>
      <c r="F9" s="4" t="n">
        <f aca="false">Assumptions!F29</f>
        <v>0.06</v>
      </c>
      <c r="G9" s="4" t="n">
        <f aca="false">Assumptions!G29</f>
        <v>0.06</v>
      </c>
      <c r="H9" s="4" t="n">
        <f aca="false">Assumptions!H29</f>
        <v>0.06</v>
      </c>
      <c r="I9" s="4" t="n">
        <f aca="false">Assumptions!I29</f>
        <v>0.06</v>
      </c>
      <c r="J9" s="4" t="n">
        <f aca="false">Assumptions!J29</f>
        <v>0.06</v>
      </c>
      <c r="K9" s="4" t="n">
        <f aca="false">Assumptions!K29</f>
        <v>0.06</v>
      </c>
      <c r="L9" s="4" t="n">
        <f aca="false">Assumptions!L29</f>
        <v>0.06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-261.42264</v>
      </c>
      <c r="D10" s="0" t="n">
        <f aca="false">-D6*D9/100</f>
        <v>-279.7222248</v>
      </c>
      <c r="E10" s="0" t="n">
        <f aca="false">-E6*E9/100</f>
        <v>-296.505558288</v>
      </c>
      <c r="F10" s="0" t="n">
        <f aca="false">-F6*F9/100</f>
        <v>-312.81336399384</v>
      </c>
      <c r="G10" s="0" t="n">
        <f aca="false">-G6*G9/100</f>
        <v>-328.454032193532</v>
      </c>
      <c r="H10" s="0" t="n">
        <f aca="false">-H6*H9/100</f>
        <v>-343.234463642241</v>
      </c>
      <c r="I10" s="0" t="n">
        <f aca="false">-I6*I9/100</f>
        <v>-356.963842187931</v>
      </c>
      <c r="J10" s="0" t="n">
        <f aca="false">-J6*J9/100</f>
        <v>-369.457576664508</v>
      </c>
      <c r="K10" s="0" t="n">
        <f aca="false">-K6*K9/100</f>
        <v>-380.541303964444</v>
      </c>
      <c r="L10" s="0" t="n">
        <f aca="false">-L6*L9/100</f>
        <v>-391.957543083377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7363.40436</v>
      </c>
      <c r="D11" s="0" t="n">
        <f aca="false">D8+D10+D24</f>
        <v>8018.7037776</v>
      </c>
      <c r="E11" s="0" t="n">
        <f aca="false">E8+E10+E24</f>
        <v>8648.0787834</v>
      </c>
      <c r="F11" s="0" t="n">
        <f aca="false">F8+F10+F24</f>
        <v>9280.12979848392</v>
      </c>
      <c r="G11" s="0" t="n">
        <f aca="false">G8+G10+G24</f>
        <v>9853.62096580596</v>
      </c>
      <c r="H11" s="0" t="n">
        <f aca="false">H8+H10+H24</f>
        <v>10411.445397148</v>
      </c>
      <c r="I11" s="0" t="n">
        <f aca="false">I8+I10+I24</f>
        <v>10946.8911604299</v>
      </c>
      <c r="J11" s="0" t="n">
        <f aca="false">J8+J10+J24</f>
        <v>11391.6086138223</v>
      </c>
      <c r="K11" s="0" t="n">
        <f aca="false">K8+K10+K24</f>
        <v>11796.7804228978</v>
      </c>
      <c r="L11" s="0" t="n">
        <f aca="false">L8+L10+L24</f>
        <v>12150.6838355847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-784.26792</v>
      </c>
      <c r="D12" s="4" t="n">
        <f aca="false">-D6*Assumptions!D31/100</f>
        <v>-839.1666744</v>
      </c>
      <c r="E12" s="4" t="n">
        <f aca="false">-E6*Assumptions!E31/100</f>
        <v>-889.516674864</v>
      </c>
      <c r="F12" s="4" t="n">
        <f aca="false">-F6*Assumptions!F31/100</f>
        <v>-938.44009198152</v>
      </c>
      <c r="G12" s="4" t="n">
        <f aca="false">-G6*Assumptions!G31/100</f>
        <v>-985.362096580596</v>
      </c>
      <c r="H12" s="4" t="n">
        <f aca="false">-H6*Assumptions!H31/100</f>
        <v>-1029.70339092672</v>
      </c>
      <c r="I12" s="4" t="n">
        <f aca="false">-I6*Assumptions!I31/100</f>
        <v>-1070.89152656379</v>
      </c>
      <c r="J12" s="4" t="n">
        <f aca="false">-J6*Assumptions!J31/100</f>
        <v>-1108.37272999352</v>
      </c>
      <c r="K12" s="4" t="n">
        <f aca="false">-K6*Assumptions!K31/100</f>
        <v>-1141.62391189333</v>
      </c>
      <c r="L12" s="4" t="n">
        <f aca="false">-L6*Assumptions!L31/100</f>
        <v>-1175.87262925013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6579.13644</v>
      </c>
      <c r="D13" s="0" t="n">
        <f aca="false">D11+D12</f>
        <v>7179.5371032</v>
      </c>
      <c r="E13" s="0" t="n">
        <f aca="false">E11+E12</f>
        <v>7758.562108536</v>
      </c>
      <c r="F13" s="0" t="n">
        <f aca="false">F11+F12</f>
        <v>8341.6897065024</v>
      </c>
      <c r="G13" s="0" t="n">
        <f aca="false">G11+G12</f>
        <v>8868.25886922537</v>
      </c>
      <c r="H13" s="0" t="n">
        <f aca="false">H11+H12</f>
        <v>9381.74200622126</v>
      </c>
      <c r="I13" s="0" t="n">
        <f aca="false">I11+I12</f>
        <v>9875.99963386608</v>
      </c>
      <c r="J13" s="0" t="n">
        <f aca="false">J11+J12</f>
        <v>10283.2358838288</v>
      </c>
      <c r="K13" s="0" t="n">
        <f aca="false">K11+K12</f>
        <v>10655.1565110044</v>
      </c>
      <c r="L13" s="0" t="n">
        <f aca="false">L11+L12</f>
        <v>10974.8112063345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5131.7264232</v>
      </c>
      <c r="D15" s="0" t="n">
        <f aca="false">D13-MAX(0,D13)*D14/100</f>
        <v>5600.038940496</v>
      </c>
      <c r="E15" s="0" t="n">
        <f aca="false">E13-MAX(0,E13)*E14/100</f>
        <v>6051.67844465808</v>
      </c>
      <c r="F15" s="0" t="n">
        <f aca="false">F13-MAX(0,F13)*F14/100</f>
        <v>6506.51797107187</v>
      </c>
      <c r="G15" s="0" t="n">
        <f aca="false">G13-MAX(0,G13)*G14/100</f>
        <v>6917.24191799579</v>
      </c>
      <c r="H15" s="0" t="n">
        <f aca="false">H13-MAX(0,H13)*H14/100</f>
        <v>7317.75876485258</v>
      </c>
      <c r="I15" s="0" t="n">
        <f aca="false">I13-MAX(0,I13)*I14/100</f>
        <v>7703.27971441555</v>
      </c>
      <c r="J15" s="0" t="n">
        <f aca="false">J13-MAX(0,J13)*J14/100</f>
        <v>8020.92398938647</v>
      </c>
      <c r="K15" s="0" t="n">
        <f aca="false">K13-MAX(0,K13)*K14/100</f>
        <v>8311.02207858345</v>
      </c>
      <c r="L15" s="0" t="n">
        <f aca="false">L13-MAX(0,L13)*L14/100</f>
        <v>8560.35274094095</v>
      </c>
    </row>
    <row r="16" customFormat="false" ht="15" hidden="false" customHeight="false" outlineLevel="0" collapsed="false">
      <c r="A16" s="0" t="s">
        <v>128</v>
      </c>
      <c r="C16" s="0" t="n">
        <f aca="false">-C12</f>
        <v>784.26792</v>
      </c>
      <c r="D16" s="0" t="n">
        <f aca="false">-D12</f>
        <v>839.1666744</v>
      </c>
      <c r="E16" s="0" t="n">
        <f aca="false">-E12</f>
        <v>889.516674864</v>
      </c>
      <c r="F16" s="0" t="n">
        <f aca="false">-F12</f>
        <v>938.44009198152</v>
      </c>
      <c r="G16" s="0" t="n">
        <f aca="false">-G12</f>
        <v>985.362096580596</v>
      </c>
      <c r="H16" s="0" t="n">
        <f aca="false">-H12</f>
        <v>1029.70339092672</v>
      </c>
      <c r="I16" s="0" t="n">
        <f aca="false">-I12</f>
        <v>1070.89152656379</v>
      </c>
      <c r="J16" s="0" t="n">
        <f aca="false">-J12</f>
        <v>1108.37272999352</v>
      </c>
      <c r="K16" s="0" t="n">
        <f aca="false">-K12</f>
        <v>1141.62391189333</v>
      </c>
      <c r="L16" s="0" t="n">
        <f aca="false">-L12</f>
        <v>1175.87262925013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-827.83836</v>
      </c>
      <c r="D17" s="4" t="n">
        <f aca="false">-D6*Assumptions!D32/100</f>
        <v>-885.7870452</v>
      </c>
      <c r="E17" s="4" t="n">
        <f aca="false">-E6*Assumptions!E32/100</f>
        <v>-938.934267912</v>
      </c>
      <c r="F17" s="4" t="n">
        <f aca="false">-F6*Assumptions!F32/100</f>
        <v>-990.57565264716</v>
      </c>
      <c r="G17" s="4" t="n">
        <f aca="false">-G6*Assumptions!G32/100</f>
        <v>-1040.10443527952</v>
      </c>
      <c r="H17" s="4" t="n">
        <f aca="false">-H6*Assumptions!H32/100</f>
        <v>-1086.9091348671</v>
      </c>
      <c r="I17" s="4" t="n">
        <f aca="false">-I6*Assumptions!I32/100</f>
        <v>-1130.38550026178</v>
      </c>
      <c r="J17" s="4" t="n">
        <f aca="false">-J6*Assumptions!J32/100</f>
        <v>-1169.94899277094</v>
      </c>
      <c r="K17" s="4" t="n">
        <f aca="false">-K6*Assumptions!K32/100</f>
        <v>-1205.04746255407</v>
      </c>
      <c r="L17" s="4" t="n">
        <f aca="false">-L6*Assumptions!L32/100</f>
        <v>-1241.19888643069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645.488000000001</v>
      </c>
      <c r="D18" s="4" t="n">
        <f aca="false">(D6-C6)*Assumptions!$B$37/100</f>
        <v>609.98616</v>
      </c>
      <c r="E18" s="4" t="n">
        <f aca="false">(E6-D6)*Assumptions!$B$37/100</f>
        <v>559.444449600001</v>
      </c>
      <c r="F18" s="4" t="n">
        <f aca="false">(F6-E6)*Assumptions!$B$37/100</f>
        <v>543.593523528</v>
      </c>
      <c r="G18" s="4" t="n">
        <f aca="false">(G6-F6)*Assumptions!$B$37/100</f>
        <v>521.355606656402</v>
      </c>
      <c r="H18" s="4" t="n">
        <f aca="false">(H6-G6)*Assumptions!$B$37/100</f>
        <v>492.681048290297</v>
      </c>
      <c r="I18" s="4" t="n">
        <f aca="false">(I6-H6)*Assumptions!$B$37/100</f>
        <v>457.645951522989</v>
      </c>
      <c r="J18" s="4" t="n">
        <f aca="false">(J6-I6)*Assumptions!$B$37/100</f>
        <v>416.457815885919</v>
      </c>
      <c r="K18" s="4" t="n">
        <f aca="false">(K6-J6)*Assumptions!$B$37/100</f>
        <v>369.457576664509</v>
      </c>
      <c r="L18" s="4" t="n">
        <f aca="false">(L6-K6)*Assumptions!$B$37/100</f>
        <v>380.541303964444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5733.6439832</v>
      </c>
      <c r="D19" s="0" t="n">
        <f aca="false">D15+D16+D17+D18</f>
        <v>6163.404729696</v>
      </c>
      <c r="E19" s="0" t="n">
        <f aca="false">E15+E16+E17+E18</f>
        <v>6561.70530121008</v>
      </c>
      <c r="F19" s="0" t="n">
        <f aca="false">F15+F16+F17+F18</f>
        <v>6997.97593393423</v>
      </c>
      <c r="G19" s="0" t="n">
        <f aca="false">G15+G16+G17+G18</f>
        <v>7383.85518595327</v>
      </c>
      <c r="H19" s="0" t="n">
        <f aca="false">H15+H16+H17+H18</f>
        <v>7753.2340692025</v>
      </c>
      <c r="I19" s="0" t="n">
        <f aca="false">I15+I16+I17+I18</f>
        <v>8101.43169224055</v>
      </c>
      <c r="J19" s="0" t="n">
        <f aca="false">J15+J16+J17+J18</f>
        <v>8375.80554249497</v>
      </c>
      <c r="K19" s="0" t="n">
        <f aca="false">K15+K16+K17+K18</f>
        <v>8617.05610458722</v>
      </c>
      <c r="L19" s="0" t="n">
        <f aca="false">L15+L16+L17+L18</f>
        <v>8875.56778772483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5333.62230995349</v>
      </c>
      <c r="D21" s="0" t="n">
        <f aca="false">D19*D20</f>
        <v>5333.39511493435</v>
      </c>
      <c r="E21" s="0" t="n">
        <f aca="false">E19*E20</f>
        <v>5281.91403621625</v>
      </c>
      <c r="F21" s="0" t="n">
        <f aca="false">F19*F20</f>
        <v>5240.08808669227</v>
      </c>
      <c r="G21" s="0" t="n">
        <f aca="false">G19*G20</f>
        <v>5143.28806979892</v>
      </c>
      <c r="H21" s="0" t="n">
        <f aca="false">H19*H20</f>
        <v>5023.79732049676</v>
      </c>
      <c r="I21" s="0" t="n">
        <f aca="false">I19*I20</f>
        <v>4883.17765678742</v>
      </c>
      <c r="J21" s="0" t="n">
        <f aca="false">J19*J20</f>
        <v>4696.33287414558</v>
      </c>
      <c r="K21" s="0" t="n">
        <f aca="false">K19*K20</f>
        <v>4494.51404941219</v>
      </c>
      <c r="L21" s="0" t="n">
        <f aca="false">L19*L20</f>
        <v>4306.37160083215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49736.5011192694</v>
      </c>
    </row>
    <row r="31" customFormat="false" ht="15" hidden="false" customHeight="false" outlineLevel="0" collapsed="false">
      <c r="A31" s="0" t="s">
        <v>137</v>
      </c>
      <c r="B31" s="0" t="n">
        <f aca="false">L19</f>
        <v>8875.56778772483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181949.139648359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159760.220179047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159760.220179047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77514.6888149786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127251.189934248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112223.189934248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958.353458020905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0.0662351283025582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2220.31379476443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3898.59611114829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1010.60717199113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72779.6558593436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327.701790316145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10</v>
      </c>
      <c r="D5" s="4" t="n">
        <f aca="false">Assumptions!D41</f>
        <v>9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5.5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403430</v>
      </c>
      <c r="C6" s="0" t="n">
        <f aca="false">B6*(1+C5/100)</f>
        <v>443773</v>
      </c>
      <c r="D6" s="0" t="n">
        <f aca="false">C6*(1+D5/100)</f>
        <v>483712.57</v>
      </c>
      <c r="E6" s="0" t="n">
        <f aca="false">D6*(1+E5/100)</f>
        <v>522409.5756</v>
      </c>
      <c r="F6" s="0" t="n">
        <f aca="false">E6*(1+F5/100)</f>
        <v>558978.245892</v>
      </c>
      <c r="G6" s="0" t="n">
        <f aca="false">F6*(1+G5/100)</f>
        <v>592516.94064552</v>
      </c>
      <c r="H6" s="0" t="n">
        <f aca="false">G6*(1+H5/100)</f>
        <v>625105.372381024</v>
      </c>
      <c r="I6" s="0" t="n">
        <f aca="false">H6*(1+I5/100)</f>
        <v>656360.641000075</v>
      </c>
      <c r="J6" s="0" t="n">
        <f aca="false">I6*(1+J5/100)</f>
        <v>685896.869845078</v>
      </c>
      <c r="K6" s="0" t="n">
        <f aca="false">J6*(1+K5/100)</f>
        <v>713332.744638882</v>
      </c>
      <c r="L6" s="0" t="n">
        <f aca="false">K6*(1+L5/100)</f>
        <v>738299.390701242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1.78</v>
      </c>
      <c r="D7" s="4" t="n">
        <f aca="false">Assumptions!D42</f>
        <v>1.84</v>
      </c>
      <c r="E7" s="4" t="n">
        <f aca="false">Assumptions!E42</f>
        <v>1.9</v>
      </c>
      <c r="F7" s="4" t="n">
        <f aca="false">Assumptions!F42</f>
        <v>1.96</v>
      </c>
      <c r="G7" s="4" t="n">
        <f aca="false">Assumptions!G42</f>
        <v>2.01</v>
      </c>
      <c r="H7" s="4" t="n">
        <f aca="false">Assumptions!H42</f>
        <v>2.05</v>
      </c>
      <c r="I7" s="4" t="n">
        <f aca="false">Assumptions!I42</f>
        <v>2.08</v>
      </c>
      <c r="J7" s="4" t="n">
        <f aca="false">Assumptions!J42</f>
        <v>2.1</v>
      </c>
      <c r="K7" s="4" t="n">
        <f aca="false">Assumptions!K42</f>
        <v>2.12</v>
      </c>
      <c r="L7" s="4" t="n">
        <f aca="false">Assumptions!L42</f>
        <v>2.12</v>
      </c>
    </row>
    <row r="8" customFormat="false" ht="15" hidden="false" customHeight="false" outlineLevel="0" collapsed="false">
      <c r="A8" s="0" t="s">
        <v>43</v>
      </c>
      <c r="C8" s="0" t="n">
        <f aca="false">C6*C7/100</f>
        <v>7899.1594</v>
      </c>
      <c r="D8" s="0" t="n">
        <f aca="false">D6*D7/100</f>
        <v>8900.311288</v>
      </c>
      <c r="E8" s="0" t="n">
        <f aca="false">E6*E7/100</f>
        <v>9925.7819364</v>
      </c>
      <c r="F8" s="0" t="n">
        <f aca="false">F6*F7/100</f>
        <v>10955.9736194832</v>
      </c>
      <c r="G8" s="0" t="n">
        <f aca="false">G6*G7/100</f>
        <v>11909.590506975</v>
      </c>
      <c r="H8" s="0" t="n">
        <f aca="false">H6*H7/100</f>
        <v>12814.660133811</v>
      </c>
      <c r="I8" s="0" t="n">
        <f aca="false">I6*I7/100</f>
        <v>13652.3013328016</v>
      </c>
      <c r="J8" s="0" t="n">
        <f aca="false">J6*J7/100</f>
        <v>14403.8342667466</v>
      </c>
      <c r="K8" s="0" t="n">
        <f aca="false">K6*K7/100</f>
        <v>15122.6541863443</v>
      </c>
      <c r="L8" s="0" t="n">
        <f aca="false">L6*L7/100</f>
        <v>15651.9470828663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0.06</v>
      </c>
      <c r="D9" s="4" t="n">
        <f aca="false">Assumptions!D43</f>
        <v>0.06</v>
      </c>
      <c r="E9" s="4" t="n">
        <f aca="false">Assumptions!E43</f>
        <v>0.06</v>
      </c>
      <c r="F9" s="4" t="n">
        <f aca="false">Assumptions!F43</f>
        <v>0.06</v>
      </c>
      <c r="G9" s="4" t="n">
        <f aca="false">Assumptions!G43</f>
        <v>0.06</v>
      </c>
      <c r="H9" s="4" t="n">
        <f aca="false">Assumptions!H43</f>
        <v>0.06</v>
      </c>
      <c r="I9" s="4" t="n">
        <f aca="false">Assumptions!I43</f>
        <v>0.06</v>
      </c>
      <c r="J9" s="4" t="n">
        <f aca="false">Assumptions!J43</f>
        <v>0.06</v>
      </c>
      <c r="K9" s="4" t="n">
        <f aca="false">Assumptions!K43</f>
        <v>0.06</v>
      </c>
      <c r="L9" s="4" t="n">
        <f aca="false">Assumptions!L43</f>
        <v>0.06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-266.2638</v>
      </c>
      <c r="D10" s="0" t="n">
        <f aca="false">-D6*D9/100</f>
        <v>-290.227542</v>
      </c>
      <c r="E10" s="0" t="n">
        <f aca="false">-E6*E9/100</f>
        <v>-313.44574536</v>
      </c>
      <c r="F10" s="0" t="n">
        <f aca="false">-F6*F9/100</f>
        <v>-335.3869475352</v>
      </c>
      <c r="G10" s="0" t="n">
        <f aca="false">-G6*G9/100</f>
        <v>-355.510164387312</v>
      </c>
      <c r="H10" s="0" t="n">
        <f aca="false">-H6*H9/100</f>
        <v>-375.063223428614</v>
      </c>
      <c r="I10" s="0" t="n">
        <f aca="false">-I6*I9/100</f>
        <v>-393.816384600045</v>
      </c>
      <c r="J10" s="0" t="n">
        <f aca="false">-J6*J9/100</f>
        <v>-411.538121907047</v>
      </c>
      <c r="K10" s="0" t="n">
        <f aca="false">-K6*K9/100</f>
        <v>-427.999646783329</v>
      </c>
      <c r="L10" s="0" t="n">
        <f aca="false">-L6*L9/100</f>
        <v>-442.979634420745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7632.8956</v>
      </c>
      <c r="D11" s="0" t="n">
        <f aca="false">D8+D10+D24</f>
        <v>8610.083746</v>
      </c>
      <c r="E11" s="0" t="n">
        <f aca="false">E8+E10+E24</f>
        <v>9612.33619104</v>
      </c>
      <c r="F11" s="0" t="n">
        <f aca="false">F8+F10+F24</f>
        <v>10620.586671948</v>
      </c>
      <c r="G11" s="0" t="n">
        <f aca="false">G8+G10+G24</f>
        <v>11554.0803425876</v>
      </c>
      <c r="H11" s="0" t="n">
        <f aca="false">H8+H10+H24</f>
        <v>12439.5969103824</v>
      </c>
      <c r="I11" s="0" t="n">
        <f aca="false">I8+I10+I24</f>
        <v>13258.4849482015</v>
      </c>
      <c r="J11" s="0" t="n">
        <f aca="false">J8+J10+J24</f>
        <v>13992.2961448396</v>
      </c>
      <c r="K11" s="0" t="n">
        <f aca="false">K8+K10+K24</f>
        <v>14694.654539561</v>
      </c>
      <c r="L11" s="0" t="n">
        <f aca="false">L8+L10+L24</f>
        <v>15208.9674484456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-798.7914</v>
      </c>
      <c r="D12" s="4" t="n">
        <f aca="false">-D6*Assumptions!D45/100</f>
        <v>-870.682626</v>
      </c>
      <c r="E12" s="4" t="n">
        <f aca="false">-E6*Assumptions!E45/100</f>
        <v>-940.33723608</v>
      </c>
      <c r="F12" s="4" t="n">
        <f aca="false">-F6*Assumptions!F45/100</f>
        <v>-1006.1608426056</v>
      </c>
      <c r="G12" s="4" t="n">
        <f aca="false">-G6*Assumptions!G45/100</f>
        <v>-1066.53049316194</v>
      </c>
      <c r="H12" s="4" t="n">
        <f aca="false">-H6*Assumptions!H45/100</f>
        <v>-1125.18967028584</v>
      </c>
      <c r="I12" s="4" t="n">
        <f aca="false">-I6*Assumptions!I45/100</f>
        <v>-1181.44915380014</v>
      </c>
      <c r="J12" s="4" t="n">
        <f aca="false">-J6*Assumptions!J45/100</f>
        <v>-1234.61436572114</v>
      </c>
      <c r="K12" s="4" t="n">
        <f aca="false">-K6*Assumptions!K45/100</f>
        <v>-1283.99894034999</v>
      </c>
      <c r="L12" s="4" t="n">
        <f aca="false">-L6*Assumptions!L45/100</f>
        <v>-1328.93890326224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6834.1042</v>
      </c>
      <c r="D13" s="0" t="n">
        <f aca="false">D11+D12</f>
        <v>7739.40112</v>
      </c>
      <c r="E13" s="0" t="n">
        <f aca="false">E11+E12</f>
        <v>8671.99895496</v>
      </c>
      <c r="F13" s="0" t="n">
        <f aca="false">F11+F12</f>
        <v>9614.4258293424</v>
      </c>
      <c r="G13" s="0" t="n">
        <f aca="false">G11+G12</f>
        <v>10487.5498494257</v>
      </c>
      <c r="H13" s="0" t="n">
        <f aca="false">H11+H12</f>
        <v>11314.4072400965</v>
      </c>
      <c r="I13" s="0" t="n">
        <f aca="false">I11+I12</f>
        <v>12077.0357944014</v>
      </c>
      <c r="J13" s="0" t="n">
        <f aca="false">J11+J12</f>
        <v>12757.6817791185</v>
      </c>
      <c r="K13" s="0" t="n">
        <f aca="false">K11+K12</f>
        <v>13410.655599211</v>
      </c>
      <c r="L13" s="0" t="n">
        <f aca="false">L11+L12</f>
        <v>13880.0285451834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5398.942318</v>
      </c>
      <c r="D15" s="0" t="n">
        <f aca="false">D13-MAX(0,D13)*D14/100</f>
        <v>6114.1268848</v>
      </c>
      <c r="E15" s="0" t="n">
        <f aca="false">E13-MAX(0,E13)*E14/100</f>
        <v>6850.8791744184</v>
      </c>
      <c r="F15" s="0" t="n">
        <f aca="false">F13-MAX(0,F13)*F14/100</f>
        <v>7595.3964051805</v>
      </c>
      <c r="G15" s="0" t="n">
        <f aca="false">G13-MAX(0,G13)*G14/100</f>
        <v>8285.16438104631</v>
      </c>
      <c r="H15" s="0" t="n">
        <f aca="false">H13-MAX(0,H13)*H14/100</f>
        <v>8938.38171967626</v>
      </c>
      <c r="I15" s="0" t="n">
        <f aca="false">I13-MAX(0,I13)*I14/100</f>
        <v>9540.85827757709</v>
      </c>
      <c r="J15" s="0" t="n">
        <f aca="false">J13-MAX(0,J13)*J14/100</f>
        <v>10078.5686055036</v>
      </c>
      <c r="K15" s="0" t="n">
        <f aca="false">K13-MAX(0,K13)*K14/100</f>
        <v>10594.4179233767</v>
      </c>
      <c r="L15" s="0" t="n">
        <f aca="false">L13-MAX(0,L13)*L14/100</f>
        <v>10965.2225506949</v>
      </c>
    </row>
    <row r="16" customFormat="false" ht="15" hidden="false" customHeight="false" outlineLevel="0" collapsed="false">
      <c r="A16" s="0" t="s">
        <v>128</v>
      </c>
      <c r="C16" s="0" t="n">
        <f aca="false">-C12</f>
        <v>798.7914</v>
      </c>
      <c r="D16" s="0" t="n">
        <f aca="false">-D12</f>
        <v>870.682626</v>
      </c>
      <c r="E16" s="0" t="n">
        <f aca="false">-E12</f>
        <v>940.33723608</v>
      </c>
      <c r="F16" s="0" t="n">
        <f aca="false">-F12</f>
        <v>1006.1608426056</v>
      </c>
      <c r="G16" s="0" t="n">
        <f aca="false">-G12</f>
        <v>1066.53049316194</v>
      </c>
      <c r="H16" s="0" t="n">
        <f aca="false">-H12</f>
        <v>1125.18967028584</v>
      </c>
      <c r="I16" s="0" t="n">
        <f aca="false">-I12</f>
        <v>1181.44915380014</v>
      </c>
      <c r="J16" s="0" t="n">
        <f aca="false">-J12</f>
        <v>1234.61436572114</v>
      </c>
      <c r="K16" s="0" t="n">
        <f aca="false">-K12</f>
        <v>1283.99894034999</v>
      </c>
      <c r="L16" s="0" t="n">
        <f aca="false">-L12</f>
        <v>1328.93890326224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-843.1687</v>
      </c>
      <c r="D17" s="4" t="n">
        <f aca="false">-D6*Assumptions!D46/100</f>
        <v>-919.053883</v>
      </c>
      <c r="E17" s="4" t="n">
        <f aca="false">-E6*Assumptions!E46/100</f>
        <v>-992.57819364</v>
      </c>
      <c r="F17" s="4" t="n">
        <f aca="false">-F6*Assumptions!F46/100</f>
        <v>-1062.0586671948</v>
      </c>
      <c r="G17" s="4" t="n">
        <f aca="false">-G6*Assumptions!G46/100</f>
        <v>-1125.78218722649</v>
      </c>
      <c r="H17" s="4" t="n">
        <f aca="false">-H6*Assumptions!H46/100</f>
        <v>-1187.70020752395</v>
      </c>
      <c r="I17" s="4" t="n">
        <f aca="false">-I6*Assumptions!I46/100</f>
        <v>-1247.08521790014</v>
      </c>
      <c r="J17" s="4" t="n">
        <f aca="false">-J6*Assumptions!J46/100</f>
        <v>-1303.20405270565</v>
      </c>
      <c r="K17" s="4" t="n">
        <f aca="false">-K6*Assumptions!K46/100</f>
        <v>-1355.33221481388</v>
      </c>
      <c r="L17" s="4" t="n">
        <f aca="false">-L6*Assumptions!L46/100</f>
        <v>-1402.76884233236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1008.575</v>
      </c>
      <c r="D18" s="4" t="n">
        <f aca="false">(D6-C6)*Assumptions!$B$51/100</f>
        <v>998.489250000002</v>
      </c>
      <c r="E18" s="4" t="n">
        <f aca="false">(E6-D6)*Assumptions!$B$51/100</f>
        <v>967.425140000001</v>
      </c>
      <c r="F18" s="4" t="n">
        <f aca="false">(F6-E6)*Assumptions!$B$51/100</f>
        <v>914.2167573</v>
      </c>
      <c r="G18" s="4" t="n">
        <f aca="false">(G6-F6)*Assumptions!$B$51/100</f>
        <v>838.467368838002</v>
      </c>
      <c r="H18" s="4" t="n">
        <f aca="false">(H6-G6)*Assumptions!$B$51/100</f>
        <v>814.71079338759</v>
      </c>
      <c r="I18" s="4" t="n">
        <f aca="false">(I6-H6)*Assumptions!$B$51/100</f>
        <v>781.38171547628</v>
      </c>
      <c r="J18" s="4" t="n">
        <f aca="false">(J6-I6)*Assumptions!$B$51/100</f>
        <v>738.405721125082</v>
      </c>
      <c r="K18" s="4" t="n">
        <f aca="false">(K6-J6)*Assumptions!$B$51/100</f>
        <v>685.89686984508</v>
      </c>
      <c r="L18" s="4" t="n">
        <f aca="false">(L6-K6)*Assumptions!$B$51/100</f>
        <v>624.166151559021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6363.140018</v>
      </c>
      <c r="D19" s="0" t="n">
        <f aca="false">D15+D16+D17+D18</f>
        <v>7064.2448778</v>
      </c>
      <c r="E19" s="0" t="n">
        <f aca="false">E15+E16+E17+E18</f>
        <v>7766.0633568584</v>
      </c>
      <c r="F19" s="0" t="n">
        <f aca="false">F15+F16+F17+F18</f>
        <v>8453.7153378913</v>
      </c>
      <c r="G19" s="0" t="n">
        <f aca="false">G15+G16+G17+G18</f>
        <v>9064.38005581976</v>
      </c>
      <c r="H19" s="0" t="n">
        <f aca="false">H15+H16+H17+H18</f>
        <v>9690.58197582575</v>
      </c>
      <c r="I19" s="0" t="n">
        <f aca="false">I15+I16+I17+I18</f>
        <v>10256.6039289534</v>
      </c>
      <c r="J19" s="0" t="n">
        <f aca="false">J15+J16+J17+J18</f>
        <v>10748.3846396442</v>
      </c>
      <c r="K19" s="0" t="n">
        <f aca="false">K15+K16+K17+K18</f>
        <v>11208.9815187579</v>
      </c>
      <c r="L19" s="0" t="n">
        <f aca="false">L15+L16+L17+L18</f>
        <v>11515.5587631838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5919.20001674419</v>
      </c>
      <c r="D21" s="0" t="n">
        <f aca="false">D19*D20</f>
        <v>6112.92147348837</v>
      </c>
      <c r="E21" s="0" t="n">
        <f aca="false">E19*E20</f>
        <v>6251.3747825844</v>
      </c>
      <c r="F21" s="0" t="n">
        <f aca="false">F19*F20</f>
        <v>6330.14652359167</v>
      </c>
      <c r="G21" s="0" t="n">
        <f aca="false">G19*G20</f>
        <v>6313.87217478348</v>
      </c>
      <c r="H21" s="0" t="n">
        <f aca="false">H19*H20</f>
        <v>6279.12421186779</v>
      </c>
      <c r="I21" s="0" t="n">
        <f aca="false">I19*I20</f>
        <v>6182.21828474512</v>
      </c>
      <c r="J21" s="0" t="n">
        <f aca="false">J19*J20</f>
        <v>6026.64327281958</v>
      </c>
      <c r="K21" s="0" t="n">
        <f aca="false">K19*K20</f>
        <v>5846.41950849549</v>
      </c>
      <c r="L21" s="0" t="n">
        <f aca="false">L19*L20</f>
        <v>5587.27919289548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60849.1994420156</v>
      </c>
    </row>
    <row r="31" customFormat="false" ht="15" hidden="false" customHeight="false" outlineLevel="0" collapsed="false">
      <c r="A31" s="0" t="s">
        <v>137</v>
      </c>
      <c r="B31" s="0" t="n">
        <f aca="false">L19</f>
        <v>11515.5587631838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263578.345023984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230311.175263675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230311.175263675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111745.58385791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172594.783299925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157566.783299925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1345.57457984565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0.497045659693426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2399.2338833401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4919.53244114695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1408.07471925203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98841.8793839939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446.772608198675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435.352894611634</v>
      </c>
      <c r="C4" s="0" t="n">
        <f aca="false">B4/Assumptions!$B$2-1</f>
        <v>-0.515639511123881</v>
      </c>
      <c r="D4" s="4" t="n">
        <f aca="false">Assumptions!$B$24</f>
        <v>0.2</v>
      </c>
      <c r="E4" s="4" t="n">
        <f aca="false">DCF_Bear!$B$43</f>
        <v>475.182905859497</v>
      </c>
      <c r="F4" s="4" t="n">
        <f aca="false">DCF_Bear!$B$47</f>
        <v>153.584226457403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958.353458020905</v>
      </c>
      <c r="C5" s="0" t="n">
        <f aca="false">B5/Assumptions!$B$2-1</f>
        <v>0.0662351283025582</v>
      </c>
      <c r="D5" s="4" t="n">
        <f aca="false">Assumptions!$B$38</f>
        <v>0.55</v>
      </c>
      <c r="E5" s="4" t="n">
        <f aca="false">DCF_Base!$B$43</f>
        <v>1010.60717199113</v>
      </c>
      <c r="F5" s="4" t="n">
        <f aca="false">DCF_Base!$B$47</f>
        <v>327.701790316145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1345.57457984565</v>
      </c>
      <c r="C6" s="0" t="n">
        <f aca="false">B6/Assumptions!$B$2-1</f>
        <v>0.497045659693426</v>
      </c>
      <c r="D6" s="4" t="n">
        <f aca="false">Assumptions!$B$52</f>
        <v>0.25</v>
      </c>
      <c r="E6" s="4" t="n">
        <f aca="false">DCF_Bull!$B$43</f>
        <v>1408.07471925203</v>
      </c>
      <c r="F6" s="4" t="n">
        <f aca="false">DCF_Bull!$B$47</f>
        <v>446.772608198675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950.558625795236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1002.88920558002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0.0544297052188145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-98.8688182091872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322.645982015029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958.353458020905</v>
      </c>
      <c r="C15" s="3" t="n">
        <v>7.5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771.47028374629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647.790736103061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553.369654842222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478.958643860114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327.701790316145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1140.28525657682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1140.28525657682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1140.28525657682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1140.28525657682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1140.28525657682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1044.95508538801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1044.95508538801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1044.95508538801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1044.95508538801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1044.95508538801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918.513697979048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958.353458020905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958.353458020905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958.353458020905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958.353458020905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762.257446544187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802.227084481237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848.858328741128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879.587674036817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879.587674036817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645.3855389091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673.293681393426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705.188701375512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741.99064750869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784.92625133073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2026-10-02T00:50:05Z</dcterms:created>
  <dc:creator>openpyxl</dc:creator>
  <dc:description/>
  <dc:language>en-NZ</dc:language>
  <cp:lastModifiedBy/>
  <dcterms:modified xsi:type="dcterms:W3CDTF">2026-10-02T00:50:05Z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