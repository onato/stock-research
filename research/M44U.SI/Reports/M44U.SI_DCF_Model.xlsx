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<sst xmlns="http://schemas.openxmlformats.org/spreadsheetml/2006/main" count="374" uniqueCount="175">
  <si>
    <t xml:space="preserve">Ticker</t>
  </si>
  <si>
    <t xml:space="preserve">M44U.SI</t>
  </si>
  <si>
    <t xml:space="preserve">Company</t>
  </si>
  <si>
    <t xml:space="preserve">Mapletree Logistics Trust</t>
  </si>
  <si>
    <t xml:space="preserve">Valuation date</t>
  </si>
  <si>
    <t xml:space="preserve">2026-10-24</t>
  </si>
  <si>
    <t xml:space="preserve">Current price</t>
  </si>
  <si>
    <t xml:space="preserve">Price as of</t>
  </si>
  <si>
    <t xml:space="preserve">2026-10-23T09:04:18Z (SGX regular session close)</t>
  </si>
  <si>
    <t xml:space="preserve">Balance sheet date</t>
  </si>
  <si>
    <t xml:space="preserve">2026-03-31</t>
  </si>
  <si>
    <t xml:space="preserve">Model</t>
  </si>
  <si>
    <t xml:space="preserve">REIT AFFO capitalisation at cost of equity (engine route)</t>
  </si>
  <si>
    <t xml:space="preserve">Currency (model)</t>
  </si>
  <si>
    <t xml:space="preserve">SGD</t>
  </si>
  <si>
    <t xml:space="preserve">Currency (quote)</t>
  </si>
  <si>
    <t xml:space="preserve">Units</t>
  </si>
  <si>
    <t xml:space="preserve">millions</t>
  </si>
  <si>
    <t xml:space="preserve">Engine</t>
  </si>
  <si>
    <t xml:space="preserve">dcf_engine v1</t>
  </si>
  <si>
    <t xml:space="preserve">Built at</t>
  </si>
  <si>
    <t xml:space="preserve">2026-10-24T04:15:46Z</t>
  </si>
  <si>
    <t xml:space="preserve">Drivers file</t>
  </si>
  <si>
    <t xml:space="preserve">M44U.SI_Drivers.json</t>
  </si>
  <si>
    <t xml:space="preserve">Convention</t>
  </si>
  <si>
    <t xml:space="preserve">Percents stored as percents; formulas divide by 100. Blue = input, green = link, black = formula.</t>
  </si>
  <si>
    <t xml:space="preserve">Methodology</t>
  </si>
  <si>
    <t xml:space="preserve">summary: Value what unitholders actually receive per unit, not what the trust reports. Distributable income is the right starting flow for an S-REIT, but it adds back the manager's fees paid in new units -- a real cost to existing holders -- and it does not fund sustaining capex. The house basis deducts both and capitalises the remainder at an SGD cost of equity with net debt at zero (the flow is already after interest and perpetual coupons). The street basis treats unit-settled fees as non-cash, as most broker DDMs do. NAV (S$1.26/unit, Mar 2026) is a cross-check, not the valuation: it carries the valuers' cap rates and FX marks.
key_risks_to_valuation: Cost of equity: each 50bp moves base value by roughly 8-9% (capitalised flow with low growth); Refinancing: 2.6% average cost of debt is below current regional rates; hedge roll-off feeds straight into the margin path; China/HK: 40.6% of AUM; continued negative reversions or dilutive divestments; FX: ~70% non-SGD income, 75% hedged 12 months forward; S$325m translation loss on valuations in FY26; Sustaining-capex assumption (4% of revenue) is a judgment; no maintenance split is disclosed; Sponsor conflicts: ROFR acquisition pricing and fee structure (base and performance fees partly in units)</t>
  </si>
  <si>
    <t xml:space="preserve">Data sources</t>
  </si>
  <si>
    <t xml:space="preserve">price: Yahoo Finance chart API at inputs.price_as_of; 52-week range 1.06-1.37 SGD
financials: FY25/26 Annual Report (Distribution Statements p.122, Note A; Consolidated Statement of Cash Flows p.123-124; Financial Review p.37); M44U.SI_Metrics.csv (core_metrics) and kpis table for DPU, NAV, gearing, ICR, WALE, occupancy history
qualitative: M44U.SI_Analysis.json (2026-10-24): FY25/26 results commentary, guidance, broker targets</t>
  </si>
  <si>
    <t xml:space="preserve">Scenario narrative: bear</t>
  </si>
  <si>
    <t xml:space="preserve">China/HK weakness and SGD strength persist, refinancing costs rise, gearing creeps up; margin compresses ~2.7pt and per-unit growth is ~1%, valued at an 8.25% cost of equity.</t>
  </si>
  <si>
    <t xml:space="preserve">Scenario narrative: base</t>
  </si>
  <si>
    <t xml:space="preserve">Operational DPU has been steady for four quarters at ~1.81-1.82c; FY27 drifts lower on divestments and FX, then low-single-digit rent escalation resumes. House AFFO deducts the ~S$55m of manager's fees paid in units and ~S$28m of sustaining capex, so the house yield on price is materially below the headline 6.7% DPU yield.</t>
  </si>
  <si>
    <t xml:space="preserve">Scenario narrative: bull</t>
  </si>
  <si>
    <t xml:space="preserve">Portfolio rejuvenation works: China trough passes, capital recycled into sponsor pipeline in India/Vietnam/Australia, refinancing neutral, SGD stable; per-unit growth ~3% and cost of equity 7.0%.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</si>
  <si>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</si>
  <si>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</si>
  <si>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</si>
  <si>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</si>
  <si>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</si>
  <si>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</si>
  <si>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</si>
  <si>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</si>
  <si>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</si>
  <si>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</si>
  <si>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</si>
  <si>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</si>
  <si>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</si>
  <si>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</si>
  <si>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</si>
  <si>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</si>
  <si>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</si>
  <si>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</si>
  <si>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</si>
  <si>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</si>
  <si>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</si>
  <si>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</si>
  <si>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</si>
  <si>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</si>
  <si>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</si>
  <si>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</si>
  <si>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</si>
  <si>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AUM</t>
  </si>
  <si>
    <t xml:space="preserve">Gearing</t>
  </si>
  <si>
    <t xml:space="preserve">ManagementFeesPaidInUnits</t>
  </si>
  <si>
    <t xml:space="preserve">NAVPerShare</t>
  </si>
  <si>
    <t xml:space="preserve">NPIMargin</t>
  </si>
  <si>
    <t xml:space="preserve">NetPropertyIncome</t>
  </si>
  <si>
    <t xml:space="preserve">Occupancy</t>
  </si>
  <si>
    <t xml:space="preserve">WALE</t>
  </si>
  <si>
    <t xml:space="preserve">FY2014</t>
  </si>
  <si>
    <t xml:space="preserve">FY2015</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</si>
  <si>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</si>
  <si>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</si>
  <si>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</si>
  <si>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</si>
  <si>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</si>
  <si>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</si>
  <si>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</si>
  <si>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</si>
  <si>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</si>
  <si>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</si>
  <si>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</si>
  <si>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</si>
  <si>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</si>
  <si>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</si>
  <si>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</si>
  <si>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</si>
  <si>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</si>
  <si>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</si>
  <si>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</si>
  <si>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</si>
  <si>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SGD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</si>
  <si>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</si>
  <si>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</si>
  <si>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</si>
  <si>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</si>
  <si>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</si>
  <si>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</si>
  <si>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</si>
  <si>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</si>
  <si>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</si>
  <si>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</si>
  <si>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</si>
  <si>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</si>
  <si>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</si>
  <si>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</si>
  <si>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</si>
  <si>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</si>
  <si>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</si>
  <si>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</si>
  <si>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</si>
  <si>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</si>
  <si>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</si>
  <si>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</si>
  <si>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</si>
  <si>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</si>
  <si>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</si>
  <si>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</si>
  <si>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M44U.SI owner-FCF component DCF: bear case (millions, SGD)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</si>
  <si>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</si>
  <si>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</si>
  <si>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</si>
  <si>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</si>
  <si>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</si>
  <si>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</si>
  <si>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</si>
  <si>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</si>
  <si>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</si>
  <si>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</si>
  <si>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</si>
  <si>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</si>
  <si>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</si>
  <si>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</si>
  <si>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</si>
  <si>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</si>
  <si>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</si>
  <si>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</si>
  <si>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</si>
  <si>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</si>
  <si>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</si>
  <si>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</si>
  <si>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</si>
  <si>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</si>
  <si>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</si>
  <si>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</si>
  <si>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</si>
  <si>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</si>
  <si>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</si>
  <si>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</si>
  <si>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M44U.SI owner-FCF component DCF: base case (millions, SGD)</t>
  </si>
  <si>
    <t xml:space="preserve">M44U.SI owner-FCF component DCF: bull case (millions, SGD)</t>
  </si>
  <si>
    <t xml:space="preserve">M44U.SI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</si>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</sst>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310.709</v>
      </c>
      <c r="L2" s="0" t="n">
        <v>210.155</v>
      </c>
      <c r="M2" s="0" t="n">
        <v>116.49</v>
      </c>
      <c r="N2" s="0" t="n">
        <v>93.665</v>
      </c>
      <c r="O2" s="0" t="n">
        <v>2381.864</v>
      </c>
      <c r="P2" s="0" t="n">
        <v>4396.985</v>
      </c>
      <c r="Q2" s="0" t="n">
        <v>1664.802</v>
      </c>
      <c r="R2" s="0" t="n">
        <v>1455.377</v>
      </c>
      <c r="S2" s="0" t="n">
        <v>114.278</v>
      </c>
      <c r="V2" s="0" t="n">
        <v>0.0735</v>
      </c>
      <c r="AA2" s="0" t="s">
        <v>17</v>
      </c>
      <c r="AB2" s="0" t="s">
        <v>14</v>
      </c>
      <c r="AF2" s="0" t="n">
        <v>0.97</v>
      </c>
      <c r="AG2" s="0" t="n">
        <v>86.1</v>
      </c>
      <c r="AH2" s="0" t="n">
        <v>267.635</v>
      </c>
    </row>
    <row r="3" customFormat="false" ht="15" hidden="false" customHeight="false" outlineLevel="0" collapsed="false">
      <c r="A3" s="0" t="s">
        <v>72</v>
      </c>
      <c r="B3" s="0" t="n">
        <v>330.114</v>
      </c>
      <c r="L3" s="0" t="n">
        <v>236.211</v>
      </c>
      <c r="M3" s="0" t="n">
        <v>180.709</v>
      </c>
      <c r="N3" s="0" t="n">
        <v>55.502</v>
      </c>
      <c r="O3" s="0" t="n">
        <v>2538.273</v>
      </c>
      <c r="P3" s="0" t="n">
        <v>4787.701</v>
      </c>
      <c r="Q3" s="0" t="n">
        <v>1899.376</v>
      </c>
      <c r="R3" s="0" t="n">
        <v>1631.878</v>
      </c>
      <c r="S3" s="0" t="n">
        <v>106.86</v>
      </c>
      <c r="V3" s="0" t="n">
        <v>0.075</v>
      </c>
      <c r="AA3" s="0" t="s">
        <v>17</v>
      </c>
      <c r="AB3" s="0" t="s">
        <v>14</v>
      </c>
      <c r="AF3" s="0" t="n">
        <v>1.03</v>
      </c>
      <c r="AG3" s="0" t="n">
        <v>84</v>
      </c>
      <c r="AH3" s="0" t="n">
        <v>277.445</v>
      </c>
    </row>
    <row r="4" customFormat="false" ht="15" hidden="false" customHeight="false" outlineLevel="0" collapsed="false">
      <c r="A4" s="0" t="s">
        <v>73</v>
      </c>
      <c r="B4" s="0" t="n">
        <v>373.138</v>
      </c>
      <c r="I4" s="0" t="n">
        <v>184.27</v>
      </c>
      <c r="J4" s="0" t="n">
        <v>49.4</v>
      </c>
      <c r="K4" s="0" t="n">
        <v>0.07341</v>
      </c>
      <c r="L4" s="0" t="n">
        <v>266.896</v>
      </c>
      <c r="O4" s="0" t="n">
        <v>2588.107</v>
      </c>
      <c r="P4" s="0" t="n">
        <v>5686.705</v>
      </c>
      <c r="Q4" s="0" t="n">
        <v>2497.028</v>
      </c>
      <c r="R4" s="0" t="n">
        <v>2184.101</v>
      </c>
      <c r="S4" s="0" t="n">
        <v>92.558</v>
      </c>
      <c r="T4" s="0" t="n">
        <v>2500.477</v>
      </c>
      <c r="V4" s="0" t="n">
        <v>0.0744</v>
      </c>
      <c r="AA4" s="0" t="s">
        <v>17</v>
      </c>
      <c r="AB4" s="0" t="s">
        <v>14</v>
      </c>
      <c r="AF4" s="0" t="n">
        <v>1.04</v>
      </c>
      <c r="AG4" s="0" t="n">
        <v>83.7</v>
      </c>
      <c r="AH4" s="0" t="n">
        <v>312.165</v>
      </c>
      <c r="AI4" s="0" t="n">
        <v>96.3</v>
      </c>
      <c r="AJ4" s="0" t="n">
        <v>4</v>
      </c>
    </row>
    <row r="5" customFormat="false" ht="15" hidden="false" customHeight="false" outlineLevel="0" collapsed="false">
      <c r="A5" s="0" t="s">
        <v>74</v>
      </c>
      <c r="B5" s="0" t="n">
        <v>395.178</v>
      </c>
      <c r="I5" s="0" t="n">
        <v>449.152</v>
      </c>
      <c r="J5" s="0" t="n">
        <v>113.7</v>
      </c>
      <c r="K5" s="0" t="n">
        <v>0.1614</v>
      </c>
      <c r="L5" s="0" t="n">
        <v>266.5</v>
      </c>
      <c r="M5" s="0" t="n">
        <v>198.41</v>
      </c>
      <c r="N5" s="0" t="n">
        <v>68.09</v>
      </c>
      <c r="O5" s="0" t="n">
        <v>3376.147</v>
      </c>
      <c r="P5" s="0" t="n">
        <v>6678.327</v>
      </c>
      <c r="Q5" s="0" t="n">
        <v>2866.546</v>
      </c>
      <c r="R5" s="0" t="n">
        <v>2511.808</v>
      </c>
      <c r="S5" s="0" t="n">
        <v>101.217</v>
      </c>
      <c r="T5" s="0" t="n">
        <v>3058.168</v>
      </c>
      <c r="U5" s="0" t="n">
        <v>7.9</v>
      </c>
      <c r="V5" s="0" t="n">
        <v>0.07618</v>
      </c>
      <c r="AA5" s="0" t="s">
        <v>17</v>
      </c>
      <c r="AB5" s="0" t="s">
        <v>14</v>
      </c>
      <c r="AC5" s="0" t="n">
        <v>6515</v>
      </c>
      <c r="AD5" s="0" t="n">
        <v>38.5</v>
      </c>
      <c r="AE5" s="0" t="n">
        <v>7.9</v>
      </c>
      <c r="AF5" s="0" t="n">
        <v>1.1</v>
      </c>
      <c r="AG5" s="0" t="n">
        <v>84.5</v>
      </c>
      <c r="AH5" s="0" t="n">
        <v>333.836</v>
      </c>
      <c r="AI5" s="0" t="n">
        <v>96.6</v>
      </c>
      <c r="AJ5" s="0" t="n">
        <v>3.5</v>
      </c>
    </row>
    <row r="6" customFormat="false" ht="15" hidden="false" customHeight="false" outlineLevel="0" collapsed="false">
      <c r="A6" s="0" t="s">
        <v>75</v>
      </c>
      <c r="B6" s="0" t="n">
        <v>454.263</v>
      </c>
      <c r="I6" s="0" t="n">
        <v>438.987</v>
      </c>
      <c r="J6" s="0" t="n">
        <v>96.6</v>
      </c>
      <c r="K6" s="0" t="n">
        <v>0.1297</v>
      </c>
      <c r="L6" s="0" t="n">
        <v>354.102</v>
      </c>
      <c r="M6" s="0" t="n">
        <v>938.857</v>
      </c>
      <c r="N6" s="0" t="n">
        <v>-584.755</v>
      </c>
      <c r="O6" s="0" t="n">
        <v>4231.731</v>
      </c>
      <c r="P6" s="0" t="n">
        <v>8078.336</v>
      </c>
      <c r="Q6" s="0" t="n">
        <v>3411.148</v>
      </c>
      <c r="R6" s="0" t="n">
        <v>2993.672</v>
      </c>
      <c r="S6" s="0" t="n">
        <v>104.299</v>
      </c>
      <c r="T6" s="0" t="n">
        <v>3622.335</v>
      </c>
      <c r="U6" s="0" t="n">
        <v>13.16</v>
      </c>
      <c r="V6" s="0" t="n">
        <v>0.07941</v>
      </c>
      <c r="AA6" s="0" t="s">
        <v>17</v>
      </c>
      <c r="AB6" s="0" t="s">
        <v>14</v>
      </c>
      <c r="AC6" s="0" t="n">
        <v>7987</v>
      </c>
      <c r="AD6" s="0" t="n">
        <v>37.7</v>
      </c>
      <c r="AE6" s="0" t="n">
        <v>13.16</v>
      </c>
      <c r="AF6" s="0" t="n">
        <v>1.17</v>
      </c>
      <c r="AG6" s="0" t="n">
        <v>85.7</v>
      </c>
      <c r="AH6" s="0" t="n">
        <v>389.466</v>
      </c>
      <c r="AI6" s="0" t="n">
        <v>98</v>
      </c>
      <c r="AJ6" s="0" t="n">
        <v>3.8</v>
      </c>
    </row>
    <row r="7" customFormat="false" ht="15" hidden="false" customHeight="false" outlineLevel="0" collapsed="false">
      <c r="A7" s="0" t="s">
        <v>76</v>
      </c>
      <c r="B7" s="0" t="n">
        <v>490.777</v>
      </c>
      <c r="I7" s="0" t="n">
        <v>377.169</v>
      </c>
      <c r="J7" s="0" t="n">
        <v>76.9</v>
      </c>
      <c r="K7" s="0" t="n">
        <v>0.1019</v>
      </c>
      <c r="L7" s="0" t="n">
        <v>369.265</v>
      </c>
      <c r="M7" s="0" t="n">
        <v>659.915</v>
      </c>
      <c r="N7" s="0" t="n">
        <v>-290.65</v>
      </c>
      <c r="O7" s="0" t="n">
        <v>4580.231</v>
      </c>
      <c r="P7" s="0" t="n">
        <v>9051.373</v>
      </c>
      <c r="Q7" s="0" t="n">
        <v>4033.882</v>
      </c>
      <c r="R7" s="0" t="n">
        <v>3425.955</v>
      </c>
      <c r="S7" s="0" t="n">
        <v>151.21</v>
      </c>
      <c r="T7" s="0" t="n">
        <v>3800.274</v>
      </c>
      <c r="U7" s="0" t="n">
        <v>21.283</v>
      </c>
      <c r="V7" s="0" t="n">
        <v>0.08142</v>
      </c>
      <c r="AA7" s="0" t="s">
        <v>17</v>
      </c>
      <c r="AB7" s="0" t="s">
        <v>14</v>
      </c>
      <c r="AC7" s="0" t="n">
        <v>8946</v>
      </c>
      <c r="AD7" s="0" t="n">
        <v>39.3</v>
      </c>
      <c r="AE7" s="0" t="n">
        <v>21.283</v>
      </c>
      <c r="AF7" s="0" t="n">
        <v>1.21</v>
      </c>
      <c r="AG7" s="0" t="n">
        <v>89.4</v>
      </c>
      <c r="AH7" s="0" t="n">
        <v>438.544</v>
      </c>
      <c r="AI7" s="0" t="n">
        <v>98</v>
      </c>
      <c r="AJ7" s="0" t="n">
        <v>4.3</v>
      </c>
    </row>
    <row r="8" customFormat="false" ht="15" hidden="false" customHeight="false" outlineLevel="0" collapsed="false">
      <c r="A8" s="0" t="s">
        <v>77</v>
      </c>
      <c r="B8" s="0" t="n">
        <v>561.14</v>
      </c>
      <c r="I8" s="0" t="n">
        <v>445.712</v>
      </c>
      <c r="J8" s="0" t="n">
        <v>79.4</v>
      </c>
      <c r="K8" s="0" t="n">
        <v>0.1118</v>
      </c>
      <c r="L8" s="0" t="n">
        <v>446.64</v>
      </c>
      <c r="M8" s="0" t="n">
        <v>497.407</v>
      </c>
      <c r="N8" s="0" t="n">
        <v>-50.767</v>
      </c>
      <c r="O8" s="0" t="n">
        <v>5681.267</v>
      </c>
      <c r="P8" s="0" t="n">
        <v>11204.673</v>
      </c>
      <c r="Q8" s="0" t="n">
        <v>5085.487</v>
      </c>
      <c r="R8" s="0" t="n">
        <v>4226.1</v>
      </c>
      <c r="S8" s="0" t="n">
        <v>280.765</v>
      </c>
      <c r="T8" s="0" t="n">
        <v>4283.206</v>
      </c>
      <c r="U8" s="0" t="n">
        <v>27.288</v>
      </c>
      <c r="V8" s="0" t="n">
        <v>0.08326</v>
      </c>
      <c r="AA8" s="0" t="s">
        <v>17</v>
      </c>
      <c r="AB8" s="0" t="s">
        <v>14</v>
      </c>
      <c r="AC8" s="0" t="n">
        <v>10800</v>
      </c>
      <c r="AD8" s="0" t="n">
        <v>38.4</v>
      </c>
      <c r="AE8" s="0" t="n">
        <v>27.288</v>
      </c>
      <c r="AF8" s="0" t="n">
        <v>1.33</v>
      </c>
      <c r="AG8" s="0" t="n">
        <v>88.9</v>
      </c>
      <c r="AH8" s="0" t="n">
        <v>499.112</v>
      </c>
      <c r="AI8" s="0" t="n">
        <v>97.5</v>
      </c>
      <c r="AJ8" s="0" t="n">
        <v>3.6</v>
      </c>
    </row>
    <row r="9" customFormat="false" ht="15" hidden="false" customHeight="false" outlineLevel="0" collapsed="false">
      <c r="A9" s="0" t="s">
        <v>78</v>
      </c>
      <c r="B9" s="0" t="n">
        <v>678.55</v>
      </c>
      <c r="I9" s="0" t="n">
        <v>762.936</v>
      </c>
      <c r="J9" s="0" t="n">
        <v>112.4</v>
      </c>
      <c r="K9" s="0" t="n">
        <v>0.1723</v>
      </c>
      <c r="L9" s="0" t="n">
        <v>493.928</v>
      </c>
      <c r="M9" s="0" t="n">
        <v>871.387</v>
      </c>
      <c r="N9" s="0" t="n">
        <v>-377.459</v>
      </c>
      <c r="O9" s="0" t="n">
        <v>7069.369</v>
      </c>
      <c r="P9" s="0" t="n">
        <v>13689.84</v>
      </c>
      <c r="Q9" s="0" t="n">
        <v>6020.063</v>
      </c>
      <c r="R9" s="0" t="n">
        <v>4958.231</v>
      </c>
      <c r="S9" s="0" t="n">
        <v>338.622</v>
      </c>
      <c r="T9" s="0" t="n">
        <v>4782.707</v>
      </c>
      <c r="U9" s="0" t="n">
        <v>41.527</v>
      </c>
      <c r="V9" s="0" t="n">
        <v>0.08787</v>
      </c>
      <c r="AA9" s="0" t="s">
        <v>17</v>
      </c>
      <c r="AB9" s="0" t="s">
        <v>14</v>
      </c>
      <c r="AC9" s="0" t="n">
        <v>13100</v>
      </c>
      <c r="AD9" s="0" t="n">
        <v>36.8</v>
      </c>
      <c r="AE9" s="0" t="n">
        <v>41.527</v>
      </c>
      <c r="AF9" s="0" t="n">
        <v>1.48</v>
      </c>
      <c r="AG9" s="0" t="n">
        <v>87.3</v>
      </c>
      <c r="AH9" s="0" t="n">
        <v>592.138</v>
      </c>
      <c r="AI9" s="0" t="n">
        <v>96.7</v>
      </c>
      <c r="AJ9" s="0" t="n">
        <v>3.5</v>
      </c>
    </row>
    <row r="10" customFormat="false" ht="15" hidden="false" customHeight="false" outlineLevel="0" collapsed="false">
      <c r="A10" s="0" t="s">
        <v>79</v>
      </c>
      <c r="B10" s="0" t="n">
        <v>730.646</v>
      </c>
      <c r="I10" s="0" t="n">
        <v>545.076</v>
      </c>
      <c r="J10" s="0" t="n">
        <v>74.6</v>
      </c>
      <c r="K10" s="0" t="n">
        <v>0.1136</v>
      </c>
      <c r="L10" s="0" t="n">
        <v>609.742</v>
      </c>
      <c r="M10" s="0" t="n">
        <v>177.706</v>
      </c>
      <c r="N10" s="0" t="n">
        <v>432.036</v>
      </c>
      <c r="O10" s="0" t="n">
        <v>6926.92</v>
      </c>
      <c r="P10" s="0" t="n">
        <v>13423.195</v>
      </c>
      <c r="Q10" s="0" t="n">
        <v>5900.771</v>
      </c>
      <c r="R10" s="0" t="n">
        <v>4877.393</v>
      </c>
      <c r="S10" s="0" t="n">
        <v>302.504</v>
      </c>
      <c r="T10" s="0" t="n">
        <v>4816.004</v>
      </c>
      <c r="U10" s="0" t="n">
        <v>57.216</v>
      </c>
      <c r="V10" s="0" t="n">
        <v>0.09011</v>
      </c>
      <c r="AA10" s="0" t="s">
        <v>17</v>
      </c>
      <c r="AB10" s="0" t="s">
        <v>14</v>
      </c>
      <c r="AC10" s="0" t="n">
        <v>12800</v>
      </c>
      <c r="AD10" s="0" t="n">
        <v>36.8</v>
      </c>
      <c r="AE10" s="0" t="n">
        <v>57.216</v>
      </c>
      <c r="AF10" s="0" t="n">
        <v>1.44</v>
      </c>
      <c r="AG10" s="0" t="n">
        <v>86.9</v>
      </c>
      <c r="AH10" s="0" t="n">
        <v>634.783</v>
      </c>
      <c r="AI10" s="0" t="n">
        <v>97</v>
      </c>
      <c r="AJ10" s="0" t="n">
        <v>3.1</v>
      </c>
    </row>
    <row r="11" customFormat="false" ht="15" hidden="false" customHeight="false" outlineLevel="0" collapsed="false">
      <c r="A11" s="0" t="s">
        <v>80</v>
      </c>
      <c r="B11" s="0" t="n">
        <v>733.889</v>
      </c>
      <c r="I11" s="0" t="n">
        <v>303.135</v>
      </c>
      <c r="J11" s="0" t="n">
        <v>41.3</v>
      </c>
      <c r="K11" s="0" t="n">
        <v>0.0611</v>
      </c>
      <c r="L11" s="0" t="n">
        <v>573.488</v>
      </c>
      <c r="M11" s="0" t="n">
        <v>1027.594</v>
      </c>
      <c r="N11" s="0" t="n">
        <v>-454.106</v>
      </c>
      <c r="O11" s="0" t="n">
        <v>6884.841</v>
      </c>
      <c r="P11" s="0" t="n">
        <v>13812.335</v>
      </c>
      <c r="Q11" s="0" t="n">
        <v>6327.903</v>
      </c>
      <c r="R11" s="0" t="n">
        <v>5309.639</v>
      </c>
      <c r="S11" s="0" t="n">
        <v>304.816</v>
      </c>
      <c r="T11" s="0" t="n">
        <v>4993.959</v>
      </c>
      <c r="U11" s="0" t="n">
        <v>54.432</v>
      </c>
      <c r="V11" s="0" t="n">
        <v>0.09003</v>
      </c>
      <c r="AA11" s="0" t="s">
        <v>17</v>
      </c>
      <c r="AB11" s="0" t="s">
        <v>14</v>
      </c>
      <c r="AC11" s="0" t="n">
        <v>13200</v>
      </c>
      <c r="AD11" s="0" t="n">
        <v>38.9</v>
      </c>
      <c r="AE11" s="0" t="n">
        <v>54.432</v>
      </c>
      <c r="AF11" s="0" t="n">
        <v>1.38</v>
      </c>
      <c r="AG11" s="0" t="n">
        <v>86.5</v>
      </c>
      <c r="AH11" s="0" t="n">
        <v>634.944</v>
      </c>
      <c r="AJ11" s="0" t="n">
        <v>3</v>
      </c>
    </row>
    <row r="12" customFormat="false" ht="15" hidden="false" customHeight="false" outlineLevel="0" collapsed="false">
      <c r="A12" s="0" t="s">
        <v>81</v>
      </c>
      <c r="B12" s="0" t="n">
        <v>727.026</v>
      </c>
      <c r="I12" s="0" t="n">
        <v>183.54</v>
      </c>
      <c r="J12" s="0" t="n">
        <v>25.2</v>
      </c>
      <c r="K12" s="0" t="n">
        <v>0.0361</v>
      </c>
      <c r="L12" s="0" t="n">
        <v>536.029</v>
      </c>
      <c r="M12" s="0" t="n">
        <v>344.949</v>
      </c>
      <c r="N12" s="0" t="n">
        <v>191.08</v>
      </c>
      <c r="O12" s="0" t="n">
        <v>6638.824</v>
      </c>
      <c r="P12" s="0" t="n">
        <v>13892.867</v>
      </c>
      <c r="Q12" s="0" t="n">
        <v>6646.293</v>
      </c>
      <c r="R12" s="0" t="n">
        <v>5581.855</v>
      </c>
      <c r="S12" s="0" t="n">
        <v>299.011</v>
      </c>
      <c r="T12" s="0" t="n">
        <v>5066.733</v>
      </c>
      <c r="U12" s="0" t="n">
        <v>56.335</v>
      </c>
      <c r="V12" s="0" t="n">
        <v>0.08053</v>
      </c>
      <c r="AA12" s="0" t="s">
        <v>17</v>
      </c>
      <c r="AB12" s="0" t="s">
        <v>14</v>
      </c>
      <c r="AC12" s="0" t="n">
        <v>13300</v>
      </c>
      <c r="AD12" s="0" t="n">
        <v>40.7</v>
      </c>
      <c r="AE12" s="0" t="n">
        <v>56.335</v>
      </c>
      <c r="AF12" s="0" t="n">
        <v>1.31</v>
      </c>
      <c r="AG12" s="0" t="n">
        <v>86</v>
      </c>
      <c r="AH12" s="0" t="n">
        <v>625.293</v>
      </c>
      <c r="AI12" s="0" t="n">
        <v>96.2</v>
      </c>
      <c r="AJ12" s="0" t="n">
        <v>2.8</v>
      </c>
    </row>
    <row r="13" customFormat="false" ht="15" hidden="false" customHeight="false" outlineLevel="0" collapsed="false">
      <c r="A13" s="0" t="s">
        <v>82</v>
      </c>
      <c r="B13" s="0" t="n">
        <v>708.274</v>
      </c>
      <c r="I13" s="0" t="n">
        <v>254.468</v>
      </c>
      <c r="J13" s="0" t="n">
        <v>35.9</v>
      </c>
      <c r="K13" s="0" t="n">
        <v>0.0496</v>
      </c>
      <c r="L13" s="0" t="n">
        <v>542.145</v>
      </c>
      <c r="M13" s="0" t="n">
        <v>120.556</v>
      </c>
      <c r="N13" s="0" t="n">
        <v>421.589</v>
      </c>
      <c r="O13" s="0" t="n">
        <v>6471.641</v>
      </c>
      <c r="P13" s="0" t="n">
        <v>13694.597</v>
      </c>
      <c r="Q13" s="0" t="n">
        <v>6617.677</v>
      </c>
      <c r="R13" s="0" t="n">
        <v>5489.28</v>
      </c>
      <c r="S13" s="0" t="n">
        <v>302.27</v>
      </c>
      <c r="T13" s="0" t="n">
        <v>5110.907</v>
      </c>
      <c r="U13" s="0" t="n">
        <v>55.731</v>
      </c>
      <c r="V13" s="0" t="n">
        <v>0.07262</v>
      </c>
      <c r="AA13" s="0" t="s">
        <v>17</v>
      </c>
      <c r="AB13" s="0" t="s">
        <v>14</v>
      </c>
      <c r="AC13" s="0" t="n">
        <v>13100</v>
      </c>
      <c r="AD13" s="0" t="n">
        <v>40.6</v>
      </c>
      <c r="AE13" s="0" t="n">
        <v>55.731</v>
      </c>
      <c r="AF13" s="0" t="n">
        <v>1.26</v>
      </c>
      <c r="AG13" s="0" t="n">
        <v>86.1</v>
      </c>
      <c r="AH13" s="0" t="n">
        <v>610.156</v>
      </c>
      <c r="AI13" s="0" t="n">
        <v>96.9</v>
      </c>
      <c r="AJ13" s="0" t="n">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1.09</v>
      </c>
    </row>
    <row r="3" customFormat="false" ht="15" hidden="false" customHeight="false" outlineLevel="0" collapsed="false">
      <c r="A3" s="0" t="s">
        <v>86</v>
      </c>
      <c r="B3" s="3" t="n">
        <v>5110.907</v>
      </c>
    </row>
    <row r="4" customFormat="false" ht="15" hidden="false" customHeight="false" outlineLevel="0" collapsed="false">
      <c r="A4" s="0" t="s">
        <v>87</v>
      </c>
      <c r="B4" s="3" t="n">
        <v>0</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708.274</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-3</v>
      </c>
      <c r="D13" s="3" t="n">
        <v>-1.5</v>
      </c>
      <c r="E13" s="3" t="n">
        <v>0</v>
      </c>
      <c r="F13" s="3" t="n">
        <v>1</v>
      </c>
      <c r="G13" s="3" t="n">
        <v>1</v>
      </c>
      <c r="H13" s="3" t="n">
        <v>1</v>
      </c>
      <c r="I13" s="3" t="n">
        <v>1</v>
      </c>
      <c r="J13" s="3" t="n">
        <v>1</v>
      </c>
      <c r="K13" s="3" t="n">
        <v>1</v>
      </c>
      <c r="L13" s="3" t="n">
        <v>1</v>
      </c>
    </row>
    <row r="14" customFormat="false" ht="15" hidden="false" customHeight="false" outlineLevel="0" collapsed="false">
      <c r="A14" s="0" t="s">
        <v>107</v>
      </c>
      <c r="C14" s="3" t="n">
        <v>50.8</v>
      </c>
      <c r="D14" s="3" t="n">
        <v>50</v>
      </c>
      <c r="E14" s="3" t="n">
        <v>49.5</v>
      </c>
      <c r="F14" s="3" t="n">
        <v>49.5</v>
      </c>
      <c r="G14" s="3" t="n">
        <v>49.5</v>
      </c>
      <c r="H14" s="3" t="n">
        <v>49.5</v>
      </c>
      <c r="I14" s="3" t="n">
        <v>49.5</v>
      </c>
      <c r="J14" s="3" t="n">
        <v>49.5</v>
      </c>
      <c r="K14" s="3" t="n">
        <v>49.5</v>
      </c>
      <c r="L14" s="3" t="n">
        <v>49.5</v>
      </c>
    </row>
    <row r="15" customFormat="false" ht="15" hidden="false" customHeight="false" outlineLevel="0" collapsed="false">
      <c r="A15" s="0" t="s">
        <v>108</v>
      </c>
      <c r="C15" s="3" t="n">
        <v>7.9</v>
      </c>
      <c r="D15" s="3" t="n">
        <v>7.9</v>
      </c>
      <c r="E15" s="3" t="n">
        <v>7.9</v>
      </c>
      <c r="F15" s="3" t="n">
        <v>7.9</v>
      </c>
      <c r="G15" s="3" t="n">
        <v>7.9</v>
      </c>
      <c r="H15" s="3" t="n">
        <v>7.9</v>
      </c>
      <c r="I15" s="3" t="n">
        <v>7.9</v>
      </c>
      <c r="J15" s="3" t="n">
        <v>7.9</v>
      </c>
      <c r="K15" s="3" t="n">
        <v>7.9</v>
      </c>
      <c r="L15" s="3" t="n">
        <v>7.9</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4.5</v>
      </c>
      <c r="D18" s="3" t="n">
        <v>4.5</v>
      </c>
      <c r="E18" s="3" t="n">
        <v>4.5</v>
      </c>
      <c r="F18" s="3" t="n">
        <v>4.5</v>
      </c>
      <c r="G18" s="3" t="n">
        <v>4.5</v>
      </c>
      <c r="H18" s="3" t="n">
        <v>4.5</v>
      </c>
      <c r="I18" s="3" t="n">
        <v>4.5</v>
      </c>
      <c r="J18" s="3" t="n">
        <v>4.5</v>
      </c>
      <c r="K18" s="3" t="n">
        <v>4.5</v>
      </c>
      <c r="L18" s="3" t="n">
        <v>4.5</v>
      </c>
    </row>
    <row r="19" customFormat="false" ht="15" hidden="false" customHeight="false" outlineLevel="0" collapsed="false">
      <c r="A19" s="0" t="s">
        <v>112</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113</v>
      </c>
      <c r="B20" s="3" t="n">
        <v>8.25</v>
      </c>
    </row>
    <row r="21" customFormat="false" ht="15" hidden="false" customHeight="false" outlineLevel="0" collapsed="false">
      <c r="A21" s="0" t="s">
        <v>114</v>
      </c>
      <c r="B21" s="3" t="n">
        <v>1</v>
      </c>
    </row>
    <row r="22" customFormat="false" ht="15" hidden="false" customHeight="false" outlineLevel="0" collapsed="false">
      <c r="A22" s="0" t="s">
        <v>115</v>
      </c>
      <c r="B22" s="3" t="n">
        <v>15</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-1.5</v>
      </c>
      <c r="D27" s="3" t="n">
        <v>0.5</v>
      </c>
      <c r="E27" s="3" t="n">
        <v>1.5</v>
      </c>
      <c r="F27" s="3" t="n">
        <v>2</v>
      </c>
      <c r="G27" s="3" t="n">
        <v>2</v>
      </c>
      <c r="H27" s="3" t="n">
        <v>2</v>
      </c>
      <c r="I27" s="3" t="n">
        <v>2</v>
      </c>
      <c r="J27" s="3" t="n">
        <v>1.8</v>
      </c>
      <c r="K27" s="3" t="n">
        <v>1.6</v>
      </c>
      <c r="L27" s="3" t="n">
        <v>1.5</v>
      </c>
    </row>
    <row r="28" customFormat="false" ht="15" hidden="false" customHeight="false" outlineLevel="0" collapsed="false">
      <c r="A28" s="0" t="s">
        <v>107</v>
      </c>
      <c r="C28" s="3" t="n">
        <v>51.6</v>
      </c>
      <c r="D28" s="3" t="n">
        <v>51.4</v>
      </c>
      <c r="E28" s="3" t="n">
        <v>51.5</v>
      </c>
      <c r="F28" s="3" t="n">
        <v>51.7</v>
      </c>
      <c r="G28" s="3" t="n">
        <v>51.8</v>
      </c>
      <c r="H28" s="3" t="n">
        <v>51.9</v>
      </c>
      <c r="I28" s="3" t="n">
        <v>52</v>
      </c>
      <c r="J28" s="3" t="n">
        <v>52</v>
      </c>
      <c r="K28" s="3" t="n">
        <v>52</v>
      </c>
      <c r="L28" s="3" t="n">
        <v>52</v>
      </c>
    </row>
    <row r="29" customFormat="false" ht="15" hidden="false" customHeight="false" outlineLevel="0" collapsed="false">
      <c r="A29" s="0" t="s">
        <v>108</v>
      </c>
      <c r="C29" s="3" t="n">
        <v>7.8</v>
      </c>
      <c r="D29" s="3" t="n">
        <v>7.8</v>
      </c>
      <c r="E29" s="3" t="n">
        <v>7.8</v>
      </c>
      <c r="F29" s="3" t="n">
        <v>7.8</v>
      </c>
      <c r="G29" s="3" t="n">
        <v>7.8</v>
      </c>
      <c r="H29" s="3" t="n">
        <v>7.8</v>
      </c>
      <c r="I29" s="3" t="n">
        <v>7.8</v>
      </c>
      <c r="J29" s="3" t="n">
        <v>7.8</v>
      </c>
      <c r="K29" s="3" t="n">
        <v>7.8</v>
      </c>
      <c r="L29" s="3" t="n">
        <v>7.8</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4</v>
      </c>
      <c r="D32" s="3" t="n">
        <v>4</v>
      </c>
      <c r="E32" s="3" t="n">
        <v>4</v>
      </c>
      <c r="F32" s="3" t="n">
        <v>4</v>
      </c>
      <c r="G32" s="3" t="n">
        <v>4</v>
      </c>
      <c r="H32" s="3" t="n">
        <v>4</v>
      </c>
      <c r="I32" s="3" t="n">
        <v>4</v>
      </c>
      <c r="J32" s="3" t="n">
        <v>4</v>
      </c>
      <c r="K32" s="3" t="n">
        <v>4</v>
      </c>
      <c r="L32" s="3" t="n">
        <v>4</v>
      </c>
    </row>
    <row r="33" customFormat="false" ht="15" hidden="false" customHeight="false" outlineLevel="0" collapsed="false">
      <c r="A33" s="0" t="s">
        <v>112</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113</v>
      </c>
      <c r="B34" s="3" t="n">
        <v>7.5</v>
      </c>
    </row>
    <row r="35" customFormat="false" ht="15" hidden="false" customHeight="false" outlineLevel="0" collapsed="false">
      <c r="A35" s="0" t="s">
        <v>114</v>
      </c>
      <c r="B35" s="3" t="n">
        <v>1.5</v>
      </c>
    </row>
    <row r="36" customFormat="false" ht="15" hidden="false" customHeight="false" outlineLevel="0" collapsed="false">
      <c r="A36" s="0" t="s">
        <v>115</v>
      </c>
      <c r="B36" s="3" t="n">
        <v>18</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0</v>
      </c>
      <c r="D41" s="3" t="n">
        <v>2.5</v>
      </c>
      <c r="E41" s="3" t="n">
        <v>3</v>
      </c>
      <c r="F41" s="3" t="n">
        <v>3</v>
      </c>
      <c r="G41" s="3" t="n">
        <v>3</v>
      </c>
      <c r="H41" s="3" t="n">
        <v>3</v>
      </c>
      <c r="I41" s="3" t="n">
        <v>2.5</v>
      </c>
      <c r="J41" s="3" t="n">
        <v>2.5</v>
      </c>
      <c r="K41" s="3" t="n">
        <v>2.5</v>
      </c>
      <c r="L41" s="3" t="n">
        <v>2.5</v>
      </c>
    </row>
    <row r="42" customFormat="false" ht="15" hidden="false" customHeight="false" outlineLevel="0" collapsed="false">
      <c r="A42" s="0" t="s">
        <v>107</v>
      </c>
      <c r="C42" s="3" t="n">
        <v>52.3</v>
      </c>
      <c r="D42" s="3" t="n">
        <v>52.6</v>
      </c>
      <c r="E42" s="3" t="n">
        <v>53</v>
      </c>
      <c r="F42" s="3" t="n">
        <v>53.3</v>
      </c>
      <c r="G42" s="3" t="n">
        <v>53.5</v>
      </c>
      <c r="H42" s="3" t="n">
        <v>53.5</v>
      </c>
      <c r="I42" s="3" t="n">
        <v>53.5</v>
      </c>
      <c r="J42" s="3" t="n">
        <v>53.5</v>
      </c>
      <c r="K42" s="3" t="n">
        <v>53.5</v>
      </c>
      <c r="L42" s="3" t="n">
        <v>53.5</v>
      </c>
    </row>
    <row r="43" customFormat="false" ht="15" hidden="false" customHeight="false" outlineLevel="0" collapsed="false">
      <c r="A43" s="0" t="s">
        <v>108</v>
      </c>
      <c r="C43" s="3" t="n">
        <v>7.6</v>
      </c>
      <c r="D43" s="3" t="n">
        <v>7.6</v>
      </c>
      <c r="E43" s="3" t="n">
        <v>7.6</v>
      </c>
      <c r="F43" s="3" t="n">
        <v>7.6</v>
      </c>
      <c r="G43" s="3" t="n">
        <v>7.6</v>
      </c>
      <c r="H43" s="3" t="n">
        <v>7.6</v>
      </c>
      <c r="I43" s="3" t="n">
        <v>7.6</v>
      </c>
      <c r="J43" s="3" t="n">
        <v>7.6</v>
      </c>
      <c r="K43" s="3" t="n">
        <v>7.6</v>
      </c>
      <c r="L43" s="3" t="n">
        <v>7.6</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3.5</v>
      </c>
      <c r="D46" s="3" t="n">
        <v>3.5</v>
      </c>
      <c r="E46" s="3" t="n">
        <v>3.5</v>
      </c>
      <c r="F46" s="3" t="n">
        <v>3.5</v>
      </c>
      <c r="G46" s="3" t="n">
        <v>3.5</v>
      </c>
      <c r="H46" s="3" t="n">
        <v>3.5</v>
      </c>
      <c r="I46" s="3" t="n">
        <v>3.5</v>
      </c>
      <c r="J46" s="3" t="n">
        <v>3.5</v>
      </c>
      <c r="K46" s="3" t="n">
        <v>3.5</v>
      </c>
      <c r="L46" s="3" t="n">
        <v>3.5</v>
      </c>
    </row>
    <row r="47" customFormat="false" ht="15" hidden="false" customHeight="false" outlineLevel="0" collapsed="false">
      <c r="A47" s="0" t="s">
        <v>112</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113</v>
      </c>
      <c r="B48" s="3" t="n">
        <v>7</v>
      </c>
    </row>
    <row r="49" customFormat="false" ht="15" hidden="false" customHeight="false" outlineLevel="0" collapsed="false">
      <c r="A49" s="0" t="s">
        <v>114</v>
      </c>
      <c r="B49" s="3" t="n">
        <v>2</v>
      </c>
    </row>
    <row r="50" customFormat="false" ht="15" hidden="false" customHeight="false" outlineLevel="0" collapsed="false">
      <c r="A50" s="0" t="s">
        <v>115</v>
      </c>
      <c r="B50" s="3" t="n">
        <v>22</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-3</v>
      </c>
      <c r="D5" s="4" t="n">
        <f aca="false">Assumptions!D13</f>
        <v>-1.5</v>
      </c>
      <c r="E5" s="4" t="n">
        <f aca="false">Assumptions!E13</f>
        <v>0</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708.274</v>
      </c>
      <c r="C6" s="0" t="n">
        <f aca="false">B6*(1+C5/100)</f>
        <v>687.02578</v>
      </c>
      <c r="D6" s="0" t="n">
        <f aca="false">C6*(1+D5/100)</f>
        <v>676.7203933</v>
      </c>
      <c r="E6" s="0" t="n">
        <f aca="false">D6*(1+E5/100)</f>
        <v>676.7203933</v>
      </c>
      <c r="F6" s="0" t="n">
        <f aca="false">E6*(1+F5/100)</f>
        <v>683.487597233</v>
      </c>
      <c r="G6" s="0" t="n">
        <f aca="false">F6*(1+G5/100)</f>
        <v>690.32247320533</v>
      </c>
      <c r="H6" s="0" t="n">
        <f aca="false">G6*(1+H5/100)</f>
        <v>697.225697937383</v>
      </c>
      <c r="I6" s="0" t="n">
        <f aca="false">H6*(1+I5/100)</f>
        <v>704.197954916757</v>
      </c>
      <c r="J6" s="0" t="n">
        <f aca="false">I6*(1+J5/100)</f>
        <v>711.239934465925</v>
      </c>
      <c r="K6" s="0" t="n">
        <f aca="false">J6*(1+K5/100)</f>
        <v>718.352333810584</v>
      </c>
      <c r="L6" s="0" t="n">
        <f aca="false">K6*(1+L5/100)</f>
        <v>725.53585714869</v>
      </c>
    </row>
    <row r="7" customFormat="false" ht="15" hidden="false" customHeight="false" outlineLevel="0" collapsed="false">
      <c r="A7" s="0" t="s">
        <v>107</v>
      </c>
      <c r="C7" s="4" t="n">
        <f aca="false">Assumptions!C14</f>
        <v>50.8</v>
      </c>
      <c r="D7" s="4" t="n">
        <f aca="false">Assumptions!D14</f>
        <v>50</v>
      </c>
      <c r="E7" s="4" t="n">
        <f aca="false">Assumptions!E14</f>
        <v>49.5</v>
      </c>
      <c r="F7" s="4" t="n">
        <f aca="false">Assumptions!F14</f>
        <v>49.5</v>
      </c>
      <c r="G7" s="4" t="n">
        <f aca="false">Assumptions!G14</f>
        <v>49.5</v>
      </c>
      <c r="H7" s="4" t="n">
        <f aca="false">Assumptions!H14</f>
        <v>49.5</v>
      </c>
      <c r="I7" s="4" t="n">
        <f aca="false">Assumptions!I14</f>
        <v>49.5</v>
      </c>
      <c r="J7" s="4" t="n">
        <f aca="false">Assumptions!J14</f>
        <v>49.5</v>
      </c>
      <c r="K7" s="4" t="n">
        <f aca="false">Assumptions!K14</f>
        <v>49.5</v>
      </c>
      <c r="L7" s="4" t="n">
        <f aca="false">Assumptions!L14</f>
        <v>49.5</v>
      </c>
    </row>
    <row r="8" customFormat="false" ht="15" hidden="false" customHeight="false" outlineLevel="0" collapsed="false">
      <c r="A8" s="0" t="s">
        <v>43</v>
      </c>
      <c r="C8" s="0" t="n">
        <f aca="false">C6*C7/100</f>
        <v>349.00909624</v>
      </c>
      <c r="D8" s="0" t="n">
        <f aca="false">D6*D7/100</f>
        <v>338.36019665</v>
      </c>
      <c r="E8" s="0" t="n">
        <f aca="false">E6*E7/100</f>
        <v>334.9765946835</v>
      </c>
      <c r="F8" s="0" t="n">
        <f aca="false">F6*F7/100</f>
        <v>338.326360630335</v>
      </c>
      <c r="G8" s="0" t="n">
        <f aca="false">G6*G7/100</f>
        <v>341.709624236638</v>
      </c>
      <c r="H8" s="0" t="n">
        <f aca="false">H6*H7/100</f>
        <v>345.126720479005</v>
      </c>
      <c r="I8" s="0" t="n">
        <f aca="false">I6*I7/100</f>
        <v>348.577987683795</v>
      </c>
      <c r="J8" s="0" t="n">
        <f aca="false">J6*J7/100</f>
        <v>352.063767560633</v>
      </c>
      <c r="K8" s="0" t="n">
        <f aca="false">K6*K7/100</f>
        <v>355.584405236239</v>
      </c>
      <c r="L8" s="0" t="n">
        <f aca="false">L6*L7/100</f>
        <v>359.140249288601</v>
      </c>
    </row>
    <row r="9" customFormat="false" ht="15" hidden="false" customHeight="false" outlineLevel="0" collapsed="false">
      <c r="A9" s="0" t="s">
        <v>108</v>
      </c>
      <c r="C9" s="4" t="n">
        <f aca="false">Assumptions!C15</f>
        <v>7.9</v>
      </c>
      <c r="D9" s="4" t="n">
        <f aca="false">Assumptions!D15</f>
        <v>7.9</v>
      </c>
      <c r="E9" s="4" t="n">
        <f aca="false">Assumptions!E15</f>
        <v>7.9</v>
      </c>
      <c r="F9" s="4" t="n">
        <f aca="false">Assumptions!F15</f>
        <v>7.9</v>
      </c>
      <c r="G9" s="4" t="n">
        <f aca="false">Assumptions!G15</f>
        <v>7.9</v>
      </c>
      <c r="H9" s="4" t="n">
        <f aca="false">Assumptions!H15</f>
        <v>7.9</v>
      </c>
      <c r="I9" s="4" t="n">
        <f aca="false">Assumptions!I15</f>
        <v>7.9</v>
      </c>
      <c r="J9" s="4" t="n">
        <f aca="false">Assumptions!J15</f>
        <v>7.9</v>
      </c>
      <c r="K9" s="4" t="n">
        <f aca="false">Assumptions!K15</f>
        <v>7.9</v>
      </c>
      <c r="L9" s="4" t="n">
        <f aca="false">Assumptions!L15</f>
        <v>7.9</v>
      </c>
    </row>
    <row r="10" customFormat="false" ht="15" hidden="false" customHeight="false" outlineLevel="0" collapsed="false">
      <c r="A10" s="0" t="s">
        <v>123</v>
      </c>
      <c r="C10" s="0" t="n">
        <f aca="false">-C6*C9/100</f>
        <v>-54.27503662</v>
      </c>
      <c r="D10" s="0" t="n">
        <f aca="false">-D6*D9/100</f>
        <v>-53.4609110707</v>
      </c>
      <c r="E10" s="0" t="n">
        <f aca="false">-E6*E9/100</f>
        <v>-53.4609110707</v>
      </c>
      <c r="F10" s="0" t="n">
        <f aca="false">-F6*F9/100</f>
        <v>-53.995520181407</v>
      </c>
      <c r="G10" s="0" t="n">
        <f aca="false">-G6*G9/100</f>
        <v>-54.5354753832211</v>
      </c>
      <c r="H10" s="0" t="n">
        <f aca="false">-H6*H9/100</f>
        <v>-55.0808301370533</v>
      </c>
      <c r="I10" s="0" t="n">
        <f aca="false">-I6*I9/100</f>
        <v>-55.6316384384238</v>
      </c>
      <c r="J10" s="0" t="n">
        <f aca="false">-J6*J9/100</f>
        <v>-56.1879548228081</v>
      </c>
      <c r="K10" s="0" t="n">
        <f aca="false">-K6*K9/100</f>
        <v>-56.7498343710361</v>
      </c>
      <c r="L10" s="0" t="n">
        <f aca="false">-L6*L9/100</f>
        <v>-57.3173327147465</v>
      </c>
    </row>
    <row r="11" customFormat="false" ht="15" hidden="false" customHeight="false" outlineLevel="0" collapsed="false">
      <c r="A11" s="0" t="s">
        <v>124</v>
      </c>
      <c r="C11" s="0" t="n">
        <f aca="false">C8+C10+C24</f>
        <v>294.73405962</v>
      </c>
      <c r="D11" s="0" t="n">
        <f aca="false">D8+D10+D24</f>
        <v>284.8992855793</v>
      </c>
      <c r="E11" s="0" t="n">
        <f aca="false">E8+E10+E24</f>
        <v>281.5156836128</v>
      </c>
      <c r="F11" s="0" t="n">
        <f aca="false">F8+F10+F24</f>
        <v>284.330840448928</v>
      </c>
      <c r="G11" s="0" t="n">
        <f aca="false">G8+G10+G24</f>
        <v>287.174148853417</v>
      </c>
      <c r="H11" s="0" t="n">
        <f aca="false">H8+H10+H24</f>
        <v>290.045890341951</v>
      </c>
      <c r="I11" s="0" t="n">
        <f aca="false">I8+I10+I24</f>
        <v>292.946349245371</v>
      </c>
      <c r="J11" s="0" t="n">
        <f aca="false">J8+J10+J24</f>
        <v>295.875812737825</v>
      </c>
      <c r="K11" s="0" t="n">
        <f aca="false">K8+K10+K24</f>
        <v>298.834570865203</v>
      </c>
      <c r="L11" s="0" t="n">
        <f aca="false">L8+L10+L24</f>
        <v>301.822916573855</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294.73405962</v>
      </c>
      <c r="D13" s="0" t="n">
        <f aca="false">D11+D12</f>
        <v>284.8992855793</v>
      </c>
      <c r="E13" s="0" t="n">
        <f aca="false">E11+E12</f>
        <v>281.5156836128</v>
      </c>
      <c r="F13" s="0" t="n">
        <f aca="false">F11+F12</f>
        <v>284.330840448928</v>
      </c>
      <c r="G13" s="0" t="n">
        <f aca="false">G11+G12</f>
        <v>287.174148853417</v>
      </c>
      <c r="H13" s="0" t="n">
        <f aca="false">H11+H12</f>
        <v>290.045890341951</v>
      </c>
      <c r="I13" s="0" t="n">
        <f aca="false">I11+I12</f>
        <v>292.946349245371</v>
      </c>
      <c r="J13" s="0" t="n">
        <f aca="false">J11+J12</f>
        <v>295.875812737825</v>
      </c>
      <c r="K13" s="0" t="n">
        <f aca="false">K11+K12</f>
        <v>298.834570865203</v>
      </c>
      <c r="L13" s="0" t="n">
        <f aca="false">L11+L12</f>
        <v>301.822916573855</v>
      </c>
    </row>
    <row r="14" customFormat="false" ht="15" hidden="false" customHeight="false" outlineLevel="0" collapsed="false">
      <c r="A14" s="0" t="s">
        <v>112</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127</v>
      </c>
      <c r="C15" s="0" t="n">
        <f aca="false">C13-MAX(0,C13)*C14/100</f>
        <v>294.73405962</v>
      </c>
      <c r="D15" s="0" t="n">
        <f aca="false">D13-MAX(0,D13)*D14/100</f>
        <v>284.8992855793</v>
      </c>
      <c r="E15" s="0" t="n">
        <f aca="false">E13-MAX(0,E13)*E14/100</f>
        <v>281.5156836128</v>
      </c>
      <c r="F15" s="0" t="n">
        <f aca="false">F13-MAX(0,F13)*F14/100</f>
        <v>284.330840448928</v>
      </c>
      <c r="G15" s="0" t="n">
        <f aca="false">G13-MAX(0,G13)*G14/100</f>
        <v>287.174148853417</v>
      </c>
      <c r="H15" s="0" t="n">
        <f aca="false">H13-MAX(0,H13)*H14/100</f>
        <v>290.045890341951</v>
      </c>
      <c r="I15" s="0" t="n">
        <f aca="false">I13-MAX(0,I13)*I14/100</f>
        <v>292.946349245371</v>
      </c>
      <c r="J15" s="0" t="n">
        <f aca="false">J13-MAX(0,J13)*J14/100</f>
        <v>295.875812737825</v>
      </c>
      <c r="K15" s="0" t="n">
        <f aca="false">K13-MAX(0,K13)*K14/100</f>
        <v>298.834570865203</v>
      </c>
      <c r="L15" s="0" t="n">
        <f aca="false">L13-MAX(0,L13)*L14/100</f>
        <v>301.822916573855</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-30.9161601</v>
      </c>
      <c r="D17" s="4" t="n">
        <f aca="false">-D6*Assumptions!D18/100</f>
        <v>-30.4524176985</v>
      </c>
      <c r="E17" s="4" t="n">
        <f aca="false">-E6*Assumptions!E18/100</f>
        <v>-30.4524176985</v>
      </c>
      <c r="F17" s="4" t="n">
        <f aca="false">-F6*Assumptions!F18/100</f>
        <v>-30.756941875485</v>
      </c>
      <c r="G17" s="4" t="n">
        <f aca="false">-G6*Assumptions!G18/100</f>
        <v>-31.0645112942398</v>
      </c>
      <c r="H17" s="4" t="n">
        <f aca="false">-H6*Assumptions!H18/100</f>
        <v>-31.3751564071823</v>
      </c>
      <c r="I17" s="4" t="n">
        <f aca="false">-I6*Assumptions!I18/100</f>
        <v>-31.6889079712541</v>
      </c>
      <c r="J17" s="4" t="n">
        <f aca="false">-J6*Assumptions!J18/100</f>
        <v>-32.0057970509666</v>
      </c>
      <c r="K17" s="4" t="n">
        <f aca="false">-K6*Assumptions!K18/100</f>
        <v>-32.3258550214763</v>
      </c>
      <c r="L17" s="4" t="n">
        <f aca="false">-L6*Assumptions!L18/100</f>
        <v>-32.649113571691</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263.81789952</v>
      </c>
      <c r="D19" s="0" t="n">
        <f aca="false">D15+D16+D17+D18</f>
        <v>254.4468678808</v>
      </c>
      <c r="E19" s="0" t="n">
        <f aca="false">E15+E16+E17+E18</f>
        <v>251.0632659143</v>
      </c>
      <c r="F19" s="0" t="n">
        <f aca="false">F15+F16+F17+F18</f>
        <v>253.573898573443</v>
      </c>
      <c r="G19" s="0" t="n">
        <f aca="false">G15+G16+G17+G18</f>
        <v>256.109637559177</v>
      </c>
      <c r="H19" s="0" t="n">
        <f aca="false">H15+H16+H17+H18</f>
        <v>258.670733934769</v>
      </c>
      <c r="I19" s="0" t="n">
        <f aca="false">I15+I16+I17+I18</f>
        <v>261.257441274117</v>
      </c>
      <c r="J19" s="0" t="n">
        <f aca="false">J15+J16+J17+J18</f>
        <v>263.870015686858</v>
      </c>
      <c r="K19" s="0" t="n">
        <f aca="false">K15+K16+K17+K18</f>
        <v>266.508715843727</v>
      </c>
      <c r="L19" s="0" t="n">
        <f aca="false">L15+L16+L17+L18</f>
        <v>269.173803002164</v>
      </c>
    </row>
    <row r="20" customFormat="false" ht="15" hidden="false" customHeight="false" outlineLevel="0" collapsed="false">
      <c r="A20" s="0" t="s">
        <v>132</v>
      </c>
      <c r="C20" s="0" t="n">
        <f aca="false">1/(1+$B$27/100)^C4</f>
        <v>0.92378752886836</v>
      </c>
      <c r="D20" s="0" t="n">
        <f aca="false">1/(1+$B$27/100)^D4</f>
        <v>0.853383398492712</v>
      </c>
      <c r="E20" s="0" t="n">
        <f aca="false">1/(1+$B$27/100)^E4</f>
        <v>0.788344940870865</v>
      </c>
      <c r="F20" s="0" t="n">
        <f aca="false">1/(1+$B$27/100)^F4</f>
        <v>0.72826322482297</v>
      </c>
      <c r="G20" s="0" t="n">
        <f aca="false">1/(1+$B$27/100)^G4</f>
        <v>0.672760484824915</v>
      </c>
      <c r="H20" s="0" t="n">
        <f aca="false">1/(1+$B$27/100)^H4</f>
        <v>0.621487745796688</v>
      </c>
      <c r="I20" s="0" t="n">
        <f aca="false">1/(1+$B$27/100)^I4</f>
        <v>0.57412262891149</v>
      </c>
      <c r="J20" s="0" t="n">
        <f aca="false">1/(1+$B$27/100)^J4</f>
        <v>0.530367324629552</v>
      </c>
      <c r="K20" s="0" t="n">
        <f aca="false">1/(1+$B$27/100)^K4</f>
        <v>0.489946720212057</v>
      </c>
      <c r="L20" s="0" t="n">
        <f aca="false">1/(1+$B$27/100)^L4</f>
        <v>0.452606669941854</v>
      </c>
    </row>
    <row r="21" customFormat="false" ht="15" hidden="false" customHeight="false" outlineLevel="0" collapsed="false">
      <c r="A21" s="0" t="s">
        <v>133</v>
      </c>
      <c r="C21" s="0" t="n">
        <f aca="false">C19*C20</f>
        <v>243.711685468822</v>
      </c>
      <c r="D21" s="0" t="n">
        <f aca="false">D19*D20</f>
        <v>217.140732847943</v>
      </c>
      <c r="E21" s="0" t="n">
        <f aca="false">E19*E20</f>
        <v>197.924455522055</v>
      </c>
      <c r="F21" s="0" t="n">
        <f aca="false">F19*F20</f>
        <v>184.668545106028</v>
      </c>
      <c r="G21" s="0" t="n">
        <f aca="false">G19*G20</f>
        <v>172.300443932645</v>
      </c>
      <c r="H21" s="0" t="n">
        <f aca="false">H19*H20</f>
        <v>160.760691336695</v>
      </c>
      <c r="I21" s="0" t="n">
        <f aca="false">I19*I20</f>
        <v>149.993809006985</v>
      </c>
      <c r="J21" s="0" t="n">
        <f aca="false">J19*J20</f>
        <v>139.948034269797</v>
      </c>
      <c r="K21" s="0" t="n">
        <f aca="false">K19*K20</f>
        <v>130.575071235561</v>
      </c>
      <c r="L21" s="0" t="n">
        <f aca="false">L19*L20</f>
        <v>121.829858612394</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8.25</v>
      </c>
    </row>
    <row r="28" customFormat="false" ht="15" hidden="false" customHeight="false" outlineLevel="0" collapsed="false">
      <c r="A28" s="0" t="s">
        <v>114</v>
      </c>
      <c r="B28" s="4" t="n">
        <f aca="false">Assumptions!$B$21</f>
        <v>1</v>
      </c>
    </row>
    <row r="29" customFormat="false" ht="15" hidden="false" customHeight="false" outlineLevel="0" collapsed="false">
      <c r="A29" s="0" t="s">
        <v>115</v>
      </c>
      <c r="B29" s="4" t="n">
        <f aca="false">Assumptions!$B$22</f>
        <v>15</v>
      </c>
    </row>
    <row r="30" customFormat="false" ht="15" hidden="false" customHeight="false" outlineLevel="0" collapsed="false">
      <c r="A30" s="0" t="s">
        <v>136</v>
      </c>
      <c r="B30" s="0" t="n">
        <f aca="false">SUM(C21:L21)</f>
        <v>1718.85332733893</v>
      </c>
    </row>
    <row r="31" customFormat="false" ht="15" hidden="false" customHeight="false" outlineLevel="0" collapsed="false">
      <c r="A31" s="0" t="s">
        <v>137</v>
      </c>
      <c r="B31" s="0" t="n">
        <f aca="false">L19</f>
        <v>269.173803002164</v>
      </c>
    </row>
    <row r="32" customFormat="false" ht="15" hidden="false" customHeight="false" outlineLevel="0" collapsed="false">
      <c r="A32" s="0" t="s">
        <v>138</v>
      </c>
      <c r="B32" s="0" t="n">
        <f aca="false">IF(B27&gt;B28,B31*(1+B28/100)/((B27-B28)/100),B31*B29)</f>
        <v>3749.86953147842</v>
      </c>
    </row>
    <row r="33" customFormat="false" ht="15" hidden="false" customHeight="false" outlineLevel="0" collapsed="false">
      <c r="A33" s="0" t="s">
        <v>139</v>
      </c>
      <c r="B33" s="0" t="n">
        <f aca="false">B31*B29</f>
        <v>4037.60704503246</v>
      </c>
    </row>
    <row r="34" customFormat="false" ht="15" hidden="false" customHeight="false" outlineLevel="0" collapsed="false">
      <c r="A34" s="0" t="s">
        <v>140</v>
      </c>
      <c r="B34" s="0" t="n">
        <f aca="false">MAX(0,MIN(B32,B33))</f>
        <v>3749.86953147842</v>
      </c>
    </row>
    <row r="35" customFormat="false" ht="15" hidden="false" customHeight="false" outlineLevel="0" collapsed="false">
      <c r="A35" s="0" t="s">
        <v>141</v>
      </c>
      <c r="B35" s="0" t="n">
        <f aca="false">B34/(1+B27/100)^L4</f>
        <v>1697.21596135887</v>
      </c>
    </row>
    <row r="36" customFormat="false" ht="15" hidden="false" customHeight="false" outlineLevel="0" collapsed="false">
      <c r="A36" s="0" t="s">
        <v>142</v>
      </c>
      <c r="B36" s="0" t="n">
        <f aca="false">B30+B35</f>
        <v>3416.0692886978</v>
      </c>
    </row>
    <row r="37" customFormat="false" ht="15" hidden="false" customHeight="false" outlineLevel="0" collapsed="false">
      <c r="A37" s="0" t="s">
        <v>143</v>
      </c>
      <c r="B37" s="0" t="n">
        <f aca="false">B36+Assumptions!$B$5-Assumptions!$B$4</f>
        <v>3416.0692886978</v>
      </c>
    </row>
    <row r="38" customFormat="false" ht="15" hidden="false" customHeight="false" outlineLevel="0" collapsed="false">
      <c r="A38" s="0" t="s">
        <v>144</v>
      </c>
      <c r="B38" s="0" t="n">
        <f aca="false">B37/Assumptions!$B$3*Assumptions!$B$10</f>
        <v>0.668388074503761</v>
      </c>
    </row>
    <row r="39" customFormat="false" ht="15" hidden="false" customHeight="false" outlineLevel="0" collapsed="false">
      <c r="A39" s="0" t="s">
        <v>145</v>
      </c>
      <c r="B39" s="4" t="n">
        <f aca="false">B38/Assumptions!$B$2-1</f>
        <v>-0.386799931647926</v>
      </c>
    </row>
    <row r="41" customFormat="false" ht="15" hidden="false" customHeight="false" outlineLevel="0" collapsed="false">
      <c r="A41" s="0" t="s">
        <v>146</v>
      </c>
      <c r="B41" s="0" t="n">
        <f aca="false">SUMPRODUCT(-C10:L10/(1+$B$27/100)^C4:L4)</f>
        <v>363.637460281497</v>
      </c>
    </row>
    <row r="42" customFormat="false" ht="15" hidden="false" customHeight="false" outlineLevel="0" collapsed="false">
      <c r="A42" s="0" t="s">
        <v>147</v>
      </c>
      <c r="B42" s="0" t="n">
        <f aca="false">IF(B27&gt;B28,-L10*(1+B28/100)/((B27-B28)/100),-L10*20)/(1+B27/100)^L4</f>
        <v>361.401781529247</v>
      </c>
    </row>
    <row r="43" customFormat="false" ht="15" hidden="false" customHeight="false" outlineLevel="0" collapsed="false">
      <c r="A43" s="0" t="s">
        <v>148</v>
      </c>
      <c r="B43" s="0" t="n">
        <f aca="false">(B37+B41+B42)/Assumptions!$B$3*Assumptions!$B$10</f>
        <v>0.810249243531244</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1941.89672165847</v>
      </c>
    </row>
    <row r="47" customFormat="false" ht="15" hidden="false" customHeight="false" outlineLevel="0" collapsed="false">
      <c r="A47" s="0" t="s">
        <v>150</v>
      </c>
      <c r="B47" s="0" t="n">
        <f aca="false">(SUMPRODUCT(C19:L19/(1+B45/100)^C4:L4)+B46/(1+B45/100)^L4+Assumptions!$B$5-Assumptions!$B$4)/Assumptions!$B$3*Assumptions!$B$10</f>
        <v>0.347845212749717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-1.5</v>
      </c>
      <c r="D5" s="4" t="n">
        <f aca="false">Assumptions!D27</f>
        <v>0.5</v>
      </c>
      <c r="E5" s="4" t="n">
        <f aca="false">Assumptions!E27</f>
        <v>1.5</v>
      </c>
      <c r="F5" s="4" t="n">
        <f aca="false">Assumptions!F27</f>
        <v>2</v>
      </c>
      <c r="G5" s="4" t="n">
        <f aca="false">Assumptions!G27</f>
        <v>2</v>
      </c>
      <c r="H5" s="4" t="n">
        <f aca="false">Assumptions!H27</f>
        <v>2</v>
      </c>
      <c r="I5" s="4" t="n">
        <f aca="false">Assumptions!I27</f>
        <v>2</v>
      </c>
      <c r="J5" s="4" t="n">
        <f aca="false">Assumptions!J27</f>
        <v>1.8</v>
      </c>
      <c r="K5" s="4" t="n">
        <f aca="false">Assumptions!K27</f>
        <v>1.6</v>
      </c>
      <c r="L5" s="4" t="n">
        <f aca="false">Assumptions!L27</f>
        <v>1.5</v>
      </c>
    </row>
    <row r="6" customFormat="false" ht="15" hidden="false" customHeight="false" outlineLevel="0" collapsed="false">
      <c r="A6" s="0" t="s">
        <v>37</v>
      </c>
      <c r="B6" s="3" t="n">
        <v>708.274</v>
      </c>
      <c r="C6" s="0" t="n">
        <f aca="false">B6*(1+C5/100)</f>
        <v>697.64989</v>
      </c>
      <c r="D6" s="0" t="n">
        <f aca="false">C6*(1+D5/100)</f>
        <v>701.13813945</v>
      </c>
      <c r="E6" s="0" t="n">
        <f aca="false">D6*(1+E5/100)</f>
        <v>711.65521154175</v>
      </c>
      <c r="F6" s="0" t="n">
        <f aca="false">E6*(1+F5/100)</f>
        <v>725.888315772585</v>
      </c>
      <c r="G6" s="0" t="n">
        <f aca="false">F6*(1+G5/100)</f>
        <v>740.406082088037</v>
      </c>
      <c r="H6" s="0" t="n">
        <f aca="false">G6*(1+H5/100)</f>
        <v>755.214203729797</v>
      </c>
      <c r="I6" s="0" t="n">
        <f aca="false">H6*(1+I5/100)</f>
        <v>770.318487804393</v>
      </c>
      <c r="J6" s="0" t="n">
        <f aca="false">I6*(1+J5/100)</f>
        <v>784.184220584872</v>
      </c>
      <c r="K6" s="0" t="n">
        <f aca="false">J6*(1+K5/100)</f>
        <v>796.73116811423</v>
      </c>
      <c r="L6" s="0" t="n">
        <f aca="false">K6*(1+L5/100)</f>
        <v>808.682135635944</v>
      </c>
    </row>
    <row r="7" customFormat="false" ht="15" hidden="false" customHeight="false" outlineLevel="0" collapsed="false">
      <c r="A7" s="0" t="s">
        <v>107</v>
      </c>
      <c r="C7" s="4" t="n">
        <f aca="false">Assumptions!C28</f>
        <v>51.6</v>
      </c>
      <c r="D7" s="4" t="n">
        <f aca="false">Assumptions!D28</f>
        <v>51.4</v>
      </c>
      <c r="E7" s="4" t="n">
        <f aca="false">Assumptions!E28</f>
        <v>51.5</v>
      </c>
      <c r="F7" s="4" t="n">
        <f aca="false">Assumptions!F28</f>
        <v>51.7</v>
      </c>
      <c r="G7" s="4" t="n">
        <f aca="false">Assumptions!G28</f>
        <v>51.8</v>
      </c>
      <c r="H7" s="4" t="n">
        <f aca="false">Assumptions!H28</f>
        <v>51.9</v>
      </c>
      <c r="I7" s="4" t="n">
        <f aca="false">Assumptions!I28</f>
        <v>52</v>
      </c>
      <c r="J7" s="4" t="n">
        <f aca="false">Assumptions!J28</f>
        <v>52</v>
      </c>
      <c r="K7" s="4" t="n">
        <f aca="false">Assumptions!K28</f>
        <v>52</v>
      </c>
      <c r="L7" s="4" t="n">
        <f aca="false">Assumptions!L28</f>
        <v>52</v>
      </c>
    </row>
    <row r="8" customFormat="false" ht="15" hidden="false" customHeight="false" outlineLevel="0" collapsed="false">
      <c r="A8" s="0" t="s">
        <v>43</v>
      </c>
      <c r="C8" s="0" t="n">
        <f aca="false">C6*C7/100</f>
        <v>359.98734324</v>
      </c>
      <c r="D8" s="0" t="n">
        <f aca="false">D6*D7/100</f>
        <v>360.3850036773</v>
      </c>
      <c r="E8" s="0" t="n">
        <f aca="false">E6*E7/100</f>
        <v>366.502433944001</v>
      </c>
      <c r="F8" s="0" t="n">
        <f aca="false">F6*F7/100</f>
        <v>375.284259254426</v>
      </c>
      <c r="G8" s="0" t="n">
        <f aca="false">G6*G7/100</f>
        <v>383.530350521603</v>
      </c>
      <c r="H8" s="0" t="n">
        <f aca="false">H6*H7/100</f>
        <v>391.956171735765</v>
      </c>
      <c r="I8" s="0" t="n">
        <f aca="false">I6*I7/100</f>
        <v>400.565613658285</v>
      </c>
      <c r="J8" s="0" t="n">
        <f aca="false">J6*J7/100</f>
        <v>407.775794704134</v>
      </c>
      <c r="K8" s="0" t="n">
        <f aca="false">K6*K7/100</f>
        <v>414.3002074194</v>
      </c>
      <c r="L8" s="0" t="n">
        <f aca="false">L6*L7/100</f>
        <v>420.514710530691</v>
      </c>
    </row>
    <row r="9" customFormat="false" ht="15" hidden="false" customHeight="false" outlineLevel="0" collapsed="false">
      <c r="A9" s="0" t="s">
        <v>108</v>
      </c>
      <c r="C9" s="4" t="n">
        <f aca="false">Assumptions!C29</f>
        <v>7.8</v>
      </c>
      <c r="D9" s="4" t="n">
        <f aca="false">Assumptions!D29</f>
        <v>7.8</v>
      </c>
      <c r="E9" s="4" t="n">
        <f aca="false">Assumptions!E29</f>
        <v>7.8</v>
      </c>
      <c r="F9" s="4" t="n">
        <f aca="false">Assumptions!F29</f>
        <v>7.8</v>
      </c>
      <c r="G9" s="4" t="n">
        <f aca="false">Assumptions!G29</f>
        <v>7.8</v>
      </c>
      <c r="H9" s="4" t="n">
        <f aca="false">Assumptions!H29</f>
        <v>7.8</v>
      </c>
      <c r="I9" s="4" t="n">
        <f aca="false">Assumptions!I29</f>
        <v>7.8</v>
      </c>
      <c r="J9" s="4" t="n">
        <f aca="false">Assumptions!J29</f>
        <v>7.8</v>
      </c>
      <c r="K9" s="4" t="n">
        <f aca="false">Assumptions!K29</f>
        <v>7.8</v>
      </c>
      <c r="L9" s="4" t="n">
        <f aca="false">Assumptions!L29</f>
        <v>7.8</v>
      </c>
    </row>
    <row r="10" customFormat="false" ht="15" hidden="false" customHeight="false" outlineLevel="0" collapsed="false">
      <c r="A10" s="0" t="s">
        <v>123</v>
      </c>
      <c r="C10" s="0" t="n">
        <f aca="false">-C6*C9/100</f>
        <v>-54.41669142</v>
      </c>
      <c r="D10" s="0" t="n">
        <f aca="false">-D6*D9/100</f>
        <v>-54.6887748771</v>
      </c>
      <c r="E10" s="0" t="n">
        <f aca="false">-E6*E9/100</f>
        <v>-55.5091065002565</v>
      </c>
      <c r="F10" s="0" t="n">
        <f aca="false">-F6*F9/100</f>
        <v>-56.6192886302616</v>
      </c>
      <c r="G10" s="0" t="n">
        <f aca="false">-G6*G9/100</f>
        <v>-57.7516744028669</v>
      </c>
      <c r="H10" s="0" t="n">
        <f aca="false">-H6*H9/100</f>
        <v>-58.9067078909242</v>
      </c>
      <c r="I10" s="0" t="n">
        <f aca="false">-I6*I9/100</f>
        <v>-60.0848420487427</v>
      </c>
      <c r="J10" s="0" t="n">
        <f aca="false">-J6*J9/100</f>
        <v>-61.16636920562</v>
      </c>
      <c r="K10" s="0" t="n">
        <f aca="false">-K6*K9/100</f>
        <v>-62.14503111291</v>
      </c>
      <c r="L10" s="0" t="n">
        <f aca="false">-L6*L9/100</f>
        <v>-63.0772065796036</v>
      </c>
    </row>
    <row r="11" customFormat="false" ht="15" hidden="false" customHeight="false" outlineLevel="0" collapsed="false">
      <c r="A11" s="0" t="s">
        <v>124</v>
      </c>
      <c r="C11" s="0" t="n">
        <f aca="false">C8+C10+C24</f>
        <v>305.57065182</v>
      </c>
      <c r="D11" s="0" t="n">
        <f aca="false">D8+D10+D24</f>
        <v>305.6962288002</v>
      </c>
      <c r="E11" s="0" t="n">
        <f aca="false">E8+E10+E24</f>
        <v>310.993327443745</v>
      </c>
      <c r="F11" s="0" t="n">
        <f aca="false">F8+F10+F24</f>
        <v>318.664970624165</v>
      </c>
      <c r="G11" s="0" t="n">
        <f aca="false">G8+G10+G24</f>
        <v>325.778676118736</v>
      </c>
      <c r="H11" s="0" t="n">
        <f aca="false">H8+H10+H24</f>
        <v>333.049463844841</v>
      </c>
      <c r="I11" s="0" t="n">
        <f aca="false">I8+I10+I24</f>
        <v>340.480771609542</v>
      </c>
      <c r="J11" s="0" t="n">
        <f aca="false">J8+J10+J24</f>
        <v>346.609425498514</v>
      </c>
      <c r="K11" s="0" t="n">
        <f aca="false">K8+K10+K24</f>
        <v>352.15517630649</v>
      </c>
      <c r="L11" s="0" t="n">
        <f aca="false">L8+L10+L24</f>
        <v>357.437503951087</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305.57065182</v>
      </c>
      <c r="D13" s="0" t="n">
        <f aca="false">D11+D12</f>
        <v>305.6962288002</v>
      </c>
      <c r="E13" s="0" t="n">
        <f aca="false">E11+E12</f>
        <v>310.993327443745</v>
      </c>
      <c r="F13" s="0" t="n">
        <f aca="false">F11+F12</f>
        <v>318.664970624165</v>
      </c>
      <c r="G13" s="0" t="n">
        <f aca="false">G11+G12</f>
        <v>325.778676118736</v>
      </c>
      <c r="H13" s="0" t="n">
        <f aca="false">H11+H12</f>
        <v>333.049463844841</v>
      </c>
      <c r="I13" s="0" t="n">
        <f aca="false">I11+I12</f>
        <v>340.480771609542</v>
      </c>
      <c r="J13" s="0" t="n">
        <f aca="false">J11+J12</f>
        <v>346.609425498514</v>
      </c>
      <c r="K13" s="0" t="n">
        <f aca="false">K11+K12</f>
        <v>352.15517630649</v>
      </c>
      <c r="L13" s="0" t="n">
        <f aca="false">L11+L12</f>
        <v>357.437503951087</v>
      </c>
    </row>
    <row r="14" customFormat="false" ht="15" hidden="false" customHeight="false" outlineLevel="0" collapsed="false">
      <c r="A14" s="0" t="s">
        <v>112</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127</v>
      </c>
      <c r="C15" s="0" t="n">
        <f aca="false">C13-MAX(0,C13)*C14/100</f>
        <v>305.57065182</v>
      </c>
      <c r="D15" s="0" t="n">
        <f aca="false">D13-MAX(0,D13)*D14/100</f>
        <v>305.6962288002</v>
      </c>
      <c r="E15" s="0" t="n">
        <f aca="false">E13-MAX(0,E13)*E14/100</f>
        <v>310.993327443745</v>
      </c>
      <c r="F15" s="0" t="n">
        <f aca="false">F13-MAX(0,F13)*F14/100</f>
        <v>318.664970624165</v>
      </c>
      <c r="G15" s="0" t="n">
        <f aca="false">G13-MAX(0,G13)*G14/100</f>
        <v>325.778676118736</v>
      </c>
      <c r="H15" s="0" t="n">
        <f aca="false">H13-MAX(0,H13)*H14/100</f>
        <v>333.049463844841</v>
      </c>
      <c r="I15" s="0" t="n">
        <f aca="false">I13-MAX(0,I13)*I14/100</f>
        <v>340.480771609542</v>
      </c>
      <c r="J15" s="0" t="n">
        <f aca="false">J13-MAX(0,J13)*J14/100</f>
        <v>346.609425498514</v>
      </c>
      <c r="K15" s="0" t="n">
        <f aca="false">K13-MAX(0,K13)*K14/100</f>
        <v>352.15517630649</v>
      </c>
      <c r="L15" s="0" t="n">
        <f aca="false">L13-MAX(0,L13)*L14/100</f>
        <v>357.437503951087</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-27.9059956</v>
      </c>
      <c r="D17" s="4" t="n">
        <f aca="false">-D6*Assumptions!D32/100</f>
        <v>-28.045525578</v>
      </c>
      <c r="E17" s="4" t="n">
        <f aca="false">-E6*Assumptions!E32/100</f>
        <v>-28.46620846167</v>
      </c>
      <c r="F17" s="4" t="n">
        <f aca="false">-F6*Assumptions!F32/100</f>
        <v>-29.0355326309034</v>
      </c>
      <c r="G17" s="4" t="n">
        <f aca="false">-G6*Assumptions!G32/100</f>
        <v>-29.6162432835215</v>
      </c>
      <c r="H17" s="4" t="n">
        <f aca="false">-H6*Assumptions!H32/100</f>
        <v>-30.2085681491919</v>
      </c>
      <c r="I17" s="4" t="n">
        <f aca="false">-I6*Assumptions!I32/100</f>
        <v>-30.8127395121757</v>
      </c>
      <c r="J17" s="4" t="n">
        <f aca="false">-J6*Assumptions!J32/100</f>
        <v>-31.3673688233949</v>
      </c>
      <c r="K17" s="4" t="n">
        <f aca="false">-K6*Assumptions!K32/100</f>
        <v>-31.8692467245692</v>
      </c>
      <c r="L17" s="4" t="n">
        <f aca="false">-L6*Assumptions!L32/100</f>
        <v>-32.3472854254378</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277.66465622</v>
      </c>
      <c r="D19" s="0" t="n">
        <f aca="false">D15+D16+D17+D18</f>
        <v>277.6507032222</v>
      </c>
      <c r="E19" s="0" t="n">
        <f aca="false">E15+E16+E17+E18</f>
        <v>282.527118982075</v>
      </c>
      <c r="F19" s="0" t="n">
        <f aca="false">F15+F16+F17+F18</f>
        <v>289.629437993261</v>
      </c>
      <c r="G19" s="0" t="n">
        <f aca="false">G15+G16+G17+G18</f>
        <v>296.162432835215</v>
      </c>
      <c r="H19" s="0" t="n">
        <f aca="false">H15+H16+H17+H18</f>
        <v>302.840895695649</v>
      </c>
      <c r="I19" s="0" t="n">
        <f aca="false">I15+I16+I17+I18</f>
        <v>309.668032097366</v>
      </c>
      <c r="J19" s="0" t="n">
        <f aca="false">J15+J16+J17+J18</f>
        <v>315.242056675119</v>
      </c>
      <c r="K19" s="0" t="n">
        <f aca="false">K15+K16+K17+K18</f>
        <v>320.285929581921</v>
      </c>
      <c r="L19" s="0" t="n">
        <f aca="false">L15+L16+L17+L18</f>
        <v>325.090218525649</v>
      </c>
    </row>
    <row r="20" customFormat="false" ht="15" hidden="false" customHeight="false" outlineLevel="0" collapsed="false">
      <c r="A20" s="0" t="s">
        <v>132</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133</v>
      </c>
      <c r="C21" s="0" t="n">
        <f aca="false">C19*C20</f>
        <v>258.292703460465</v>
      </c>
      <c r="D21" s="0" t="n">
        <f aca="false">D19*D20</f>
        <v>240.26020830477</v>
      </c>
      <c r="E21" s="0" t="n">
        <f aca="false">E19*E20</f>
        <v>227.423190597718</v>
      </c>
      <c r="F21" s="0" t="n">
        <f aca="false">F19*F20</f>
        <v>216.874676608188</v>
      </c>
      <c r="G21" s="0" t="n">
        <f aca="false">G19*G20</f>
        <v>206.29449916918</v>
      </c>
      <c r="H21" s="0" t="n">
        <f aca="false">H19*H20</f>
        <v>196.229246628321</v>
      </c>
      <c r="I21" s="0" t="n">
        <f aca="false">I19*I20</f>
        <v>186.65392399809</v>
      </c>
      <c r="J21" s="0" t="n">
        <f aca="false">J19*J20</f>
        <v>176.756925237261</v>
      </c>
      <c r="K21" s="0" t="n">
        <f aca="false">K19*K20</f>
        <v>167.055847480054</v>
      </c>
      <c r="L21" s="0" t="n">
        <f aca="false">L19*L20</f>
        <v>157.731800178841</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7.5</v>
      </c>
    </row>
    <row r="28" customFormat="false" ht="15" hidden="false" customHeight="false" outlineLevel="0" collapsed="false">
      <c r="A28" s="0" t="s">
        <v>114</v>
      </c>
      <c r="B28" s="4" t="n">
        <f aca="false">Assumptions!$B$35</f>
        <v>1.5</v>
      </c>
    </row>
    <row r="29" customFormat="false" ht="15" hidden="false" customHeight="false" outlineLevel="0" collapsed="false">
      <c r="A29" s="0" t="s">
        <v>115</v>
      </c>
      <c r="B29" s="4" t="n">
        <f aca="false">Assumptions!$B$36</f>
        <v>18</v>
      </c>
    </row>
    <row r="30" customFormat="false" ht="15" hidden="false" customHeight="false" outlineLevel="0" collapsed="false">
      <c r="A30" s="0" t="s">
        <v>136</v>
      </c>
      <c r="B30" s="0" t="n">
        <f aca="false">SUM(C21:L21)</f>
        <v>2033.57302166289</v>
      </c>
    </row>
    <row r="31" customFormat="false" ht="15" hidden="false" customHeight="false" outlineLevel="0" collapsed="false">
      <c r="A31" s="0" t="s">
        <v>137</v>
      </c>
      <c r="B31" s="0" t="n">
        <f aca="false">L19</f>
        <v>325.090218525649</v>
      </c>
    </row>
    <row r="32" customFormat="false" ht="15" hidden="false" customHeight="false" outlineLevel="0" collapsed="false">
      <c r="A32" s="0" t="s">
        <v>138</v>
      </c>
      <c r="B32" s="0" t="n">
        <f aca="false">IF(B27&gt;B28,B31*(1+B28/100)/((B27-B28)/100),B31*B29)</f>
        <v>5499.44286339223</v>
      </c>
    </row>
    <row r="33" customFormat="false" ht="15" hidden="false" customHeight="false" outlineLevel="0" collapsed="false">
      <c r="A33" s="0" t="s">
        <v>139</v>
      </c>
      <c r="B33" s="0" t="n">
        <f aca="false">B31*B29</f>
        <v>5851.62393346169</v>
      </c>
    </row>
    <row r="34" customFormat="false" ht="15" hidden="false" customHeight="false" outlineLevel="0" collapsed="false">
      <c r="A34" s="0" t="s">
        <v>140</v>
      </c>
      <c r="B34" s="0" t="n">
        <f aca="false">MAX(0,MIN(B32,B33))</f>
        <v>5499.44286339223</v>
      </c>
    </row>
    <row r="35" customFormat="false" ht="15" hidden="false" customHeight="false" outlineLevel="0" collapsed="false">
      <c r="A35" s="0" t="s">
        <v>141</v>
      </c>
      <c r="B35" s="0" t="n">
        <f aca="false">B34/(1+B27/100)^L4</f>
        <v>2668.29628635873</v>
      </c>
    </row>
    <row r="36" customFormat="false" ht="15" hidden="false" customHeight="false" outlineLevel="0" collapsed="false">
      <c r="A36" s="0" t="s">
        <v>142</v>
      </c>
      <c r="B36" s="0" t="n">
        <f aca="false">B30+B35</f>
        <v>4701.86930802162</v>
      </c>
    </row>
    <row r="37" customFormat="false" ht="15" hidden="false" customHeight="false" outlineLevel="0" collapsed="false">
      <c r="A37" s="0" t="s">
        <v>143</v>
      </c>
      <c r="B37" s="0" t="n">
        <f aca="false">B36+Assumptions!$B$5-Assumptions!$B$4</f>
        <v>4701.86930802162</v>
      </c>
    </row>
    <row r="38" customFormat="false" ht="15" hidden="false" customHeight="false" outlineLevel="0" collapsed="false">
      <c r="A38" s="0" t="s">
        <v>144</v>
      </c>
      <c r="B38" s="0" t="n">
        <f aca="false">B37/Assumptions!$B$3*Assumptions!$B$10</f>
        <v>0.919967690279166</v>
      </c>
    </row>
    <row r="39" customFormat="false" ht="15" hidden="false" customHeight="false" outlineLevel="0" collapsed="false">
      <c r="A39" s="0" t="s">
        <v>145</v>
      </c>
      <c r="B39" s="4" t="n">
        <f aca="false">B38/Assumptions!$B$2-1</f>
        <v>-0.155992944698013</v>
      </c>
    </row>
    <row r="41" customFormat="false" ht="15" hidden="false" customHeight="false" outlineLevel="0" collapsed="false">
      <c r="A41" s="0" t="s">
        <v>146</v>
      </c>
      <c r="B41" s="0" t="n">
        <f aca="false">SUMPRODUCT(-C10:L10/(1+$B$27/100)^C4:L4)</f>
        <v>396.951112659078</v>
      </c>
    </row>
    <row r="42" customFormat="false" ht="15" hidden="false" customHeight="false" outlineLevel="0" collapsed="false">
      <c r="A42" s="0" t="s">
        <v>147</v>
      </c>
      <c r="B42" s="0" t="n">
        <f aca="false">IF(B27&gt;B28,-L10*(1+B28/100)/((B27-B28)/100),-L10*20)/(1+B27/100)^L4</f>
        <v>517.729130189008</v>
      </c>
    </row>
    <row r="43" customFormat="false" ht="15" hidden="false" customHeight="false" outlineLevel="0" collapsed="false">
      <c r="A43" s="0" t="s">
        <v>148</v>
      </c>
      <c r="B43" s="0" t="n">
        <f aca="false">(B37+B41+B42)/Assumptions!$B$3*Assumptions!$B$10</f>
        <v>1.09893401520898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2444.19682817433</v>
      </c>
    </row>
    <row r="47" customFormat="false" ht="15" hidden="false" customHeight="false" outlineLevel="0" collapsed="false">
      <c r="A47" s="0" t="s">
        <v>150</v>
      </c>
      <c r="B47" s="0" t="n">
        <f aca="false">(SUMPRODUCT(C19:L19/(1+B45/100)^C4:L4)+B46/(1+B45/100)^L4+Assumptions!$B$5-Assumptions!$B$4)/Assumptions!$B$3*Assumptions!$B$10</f>
        <v>0.406183317470676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0</v>
      </c>
      <c r="D5" s="4" t="n">
        <f aca="false">Assumptions!D41</f>
        <v>2.5</v>
      </c>
      <c r="E5" s="4" t="n">
        <f aca="false">Assumptions!E41</f>
        <v>3</v>
      </c>
      <c r="F5" s="4" t="n">
        <f aca="false">Assumptions!F41</f>
        <v>3</v>
      </c>
      <c r="G5" s="4" t="n">
        <f aca="false">Assumptions!G41</f>
        <v>3</v>
      </c>
      <c r="H5" s="4" t="n">
        <f aca="false">Assumptions!H41</f>
        <v>3</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37</v>
      </c>
      <c r="B6" s="3" t="n">
        <v>708.274</v>
      </c>
      <c r="C6" s="0" t="n">
        <f aca="false">B6*(1+C5/100)</f>
        <v>708.274</v>
      </c>
      <c r="D6" s="0" t="n">
        <f aca="false">C6*(1+D5/100)</f>
        <v>725.98085</v>
      </c>
      <c r="E6" s="0" t="n">
        <f aca="false">D6*(1+E5/100)</f>
        <v>747.7602755</v>
      </c>
      <c r="F6" s="0" t="n">
        <f aca="false">E6*(1+F5/100)</f>
        <v>770.193083765</v>
      </c>
      <c r="G6" s="0" t="n">
        <f aca="false">F6*(1+G5/100)</f>
        <v>793.29887627795</v>
      </c>
      <c r="H6" s="0" t="n">
        <f aca="false">G6*(1+H5/100)</f>
        <v>817.097842566289</v>
      </c>
      <c r="I6" s="0" t="n">
        <f aca="false">H6*(1+I5/100)</f>
        <v>837.525288630446</v>
      </c>
      <c r="J6" s="0" t="n">
        <f aca="false">I6*(1+J5/100)</f>
        <v>858.463420846207</v>
      </c>
      <c r="K6" s="0" t="n">
        <f aca="false">J6*(1+K5/100)</f>
        <v>879.925006367362</v>
      </c>
      <c r="L6" s="0" t="n">
        <f aca="false">K6*(1+L5/100)</f>
        <v>901.923131526546</v>
      </c>
    </row>
    <row r="7" customFormat="false" ht="15" hidden="false" customHeight="false" outlineLevel="0" collapsed="false">
      <c r="A7" s="0" t="s">
        <v>107</v>
      </c>
      <c r="C7" s="4" t="n">
        <f aca="false">Assumptions!C42</f>
        <v>52.3</v>
      </c>
      <c r="D7" s="4" t="n">
        <f aca="false">Assumptions!D42</f>
        <v>52.6</v>
      </c>
      <c r="E7" s="4" t="n">
        <f aca="false">Assumptions!E42</f>
        <v>53</v>
      </c>
      <c r="F7" s="4" t="n">
        <f aca="false">Assumptions!F42</f>
        <v>53.3</v>
      </c>
      <c r="G7" s="4" t="n">
        <f aca="false">Assumptions!G42</f>
        <v>53.5</v>
      </c>
      <c r="H7" s="4" t="n">
        <f aca="false">Assumptions!H42</f>
        <v>53.5</v>
      </c>
      <c r="I7" s="4" t="n">
        <f aca="false">Assumptions!I42</f>
        <v>53.5</v>
      </c>
      <c r="J7" s="4" t="n">
        <f aca="false">Assumptions!J42</f>
        <v>53.5</v>
      </c>
      <c r="K7" s="4" t="n">
        <f aca="false">Assumptions!K42</f>
        <v>53.5</v>
      </c>
      <c r="L7" s="4" t="n">
        <f aca="false">Assumptions!L42</f>
        <v>53.5</v>
      </c>
    </row>
    <row r="8" customFormat="false" ht="15" hidden="false" customHeight="false" outlineLevel="0" collapsed="false">
      <c r="A8" s="0" t="s">
        <v>43</v>
      </c>
      <c r="C8" s="0" t="n">
        <f aca="false">C6*C7/100</f>
        <v>370.427302</v>
      </c>
      <c r="D8" s="0" t="n">
        <f aca="false">D6*D7/100</f>
        <v>381.8659271</v>
      </c>
      <c r="E8" s="0" t="n">
        <f aca="false">E6*E7/100</f>
        <v>396.312946015</v>
      </c>
      <c r="F8" s="0" t="n">
        <f aca="false">F6*F7/100</f>
        <v>410.512913646745</v>
      </c>
      <c r="G8" s="0" t="n">
        <f aca="false">G6*G7/100</f>
        <v>424.414898808703</v>
      </c>
      <c r="H8" s="0" t="n">
        <f aca="false">H6*H7/100</f>
        <v>437.147345772964</v>
      </c>
      <c r="I8" s="0" t="n">
        <f aca="false">I6*I7/100</f>
        <v>448.076029417288</v>
      </c>
      <c r="J8" s="0" t="n">
        <f aca="false">J6*J7/100</f>
        <v>459.277930152721</v>
      </c>
      <c r="K8" s="0" t="n">
        <f aca="false">K6*K7/100</f>
        <v>470.759878406539</v>
      </c>
      <c r="L8" s="0" t="n">
        <f aca="false">L6*L7/100</f>
        <v>482.528875366702</v>
      </c>
    </row>
    <row r="9" customFormat="false" ht="15" hidden="false" customHeight="false" outlineLevel="0" collapsed="false">
      <c r="A9" s="0" t="s">
        <v>108</v>
      </c>
      <c r="C9" s="4" t="n">
        <f aca="false">Assumptions!C43</f>
        <v>7.6</v>
      </c>
      <c r="D9" s="4" t="n">
        <f aca="false">Assumptions!D43</f>
        <v>7.6</v>
      </c>
      <c r="E9" s="4" t="n">
        <f aca="false">Assumptions!E43</f>
        <v>7.6</v>
      </c>
      <c r="F9" s="4" t="n">
        <f aca="false">Assumptions!F43</f>
        <v>7.6</v>
      </c>
      <c r="G9" s="4" t="n">
        <f aca="false">Assumptions!G43</f>
        <v>7.6</v>
      </c>
      <c r="H9" s="4" t="n">
        <f aca="false">Assumptions!H43</f>
        <v>7.6</v>
      </c>
      <c r="I9" s="4" t="n">
        <f aca="false">Assumptions!I43</f>
        <v>7.6</v>
      </c>
      <c r="J9" s="4" t="n">
        <f aca="false">Assumptions!J43</f>
        <v>7.6</v>
      </c>
      <c r="K9" s="4" t="n">
        <f aca="false">Assumptions!K43</f>
        <v>7.6</v>
      </c>
      <c r="L9" s="4" t="n">
        <f aca="false">Assumptions!L43</f>
        <v>7.6</v>
      </c>
    </row>
    <row r="10" customFormat="false" ht="15" hidden="false" customHeight="false" outlineLevel="0" collapsed="false">
      <c r="A10" s="0" t="s">
        <v>123</v>
      </c>
      <c r="C10" s="0" t="n">
        <f aca="false">-C6*C9/100</f>
        <v>-53.828824</v>
      </c>
      <c r="D10" s="0" t="n">
        <f aca="false">-D6*D9/100</f>
        <v>-55.1745446</v>
      </c>
      <c r="E10" s="0" t="n">
        <f aca="false">-E6*E9/100</f>
        <v>-56.829780938</v>
      </c>
      <c r="F10" s="0" t="n">
        <f aca="false">-F6*F9/100</f>
        <v>-58.53467436614</v>
      </c>
      <c r="G10" s="0" t="n">
        <f aca="false">-G6*G9/100</f>
        <v>-60.2907145971242</v>
      </c>
      <c r="H10" s="0" t="n">
        <f aca="false">-H6*H9/100</f>
        <v>-62.0994360350379</v>
      </c>
      <c r="I10" s="0" t="n">
        <f aca="false">-I6*I9/100</f>
        <v>-63.6519219359139</v>
      </c>
      <c r="J10" s="0" t="n">
        <f aca="false">-J6*J9/100</f>
        <v>-65.2432199843117</v>
      </c>
      <c r="K10" s="0" t="n">
        <f aca="false">-K6*K9/100</f>
        <v>-66.8743004839195</v>
      </c>
      <c r="L10" s="0" t="n">
        <f aca="false">-L6*L9/100</f>
        <v>-68.5461579960175</v>
      </c>
    </row>
    <row r="11" customFormat="false" ht="15" hidden="false" customHeight="false" outlineLevel="0" collapsed="false">
      <c r="A11" s="0" t="s">
        <v>124</v>
      </c>
      <c r="C11" s="0" t="n">
        <f aca="false">C8+C10+C24</f>
        <v>316.598478</v>
      </c>
      <c r="D11" s="0" t="n">
        <f aca="false">D8+D10+D24</f>
        <v>326.6913825</v>
      </c>
      <c r="E11" s="0" t="n">
        <f aca="false">E8+E10+E24</f>
        <v>339.483165077</v>
      </c>
      <c r="F11" s="0" t="n">
        <f aca="false">F8+F10+F24</f>
        <v>351.978239280605</v>
      </c>
      <c r="G11" s="0" t="n">
        <f aca="false">G8+G10+G24</f>
        <v>364.124184211579</v>
      </c>
      <c r="H11" s="0" t="n">
        <f aca="false">H8+H10+H24</f>
        <v>375.047909737927</v>
      </c>
      <c r="I11" s="0" t="n">
        <f aca="false">I8+I10+I24</f>
        <v>384.424107481375</v>
      </c>
      <c r="J11" s="0" t="n">
        <f aca="false">J8+J10+J24</f>
        <v>394.034710168409</v>
      </c>
      <c r="K11" s="0" t="n">
        <f aca="false">K8+K10+K24</f>
        <v>403.885577922619</v>
      </c>
      <c r="L11" s="0" t="n">
        <f aca="false">L8+L10+L24</f>
        <v>413.982717370685</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316.598478</v>
      </c>
      <c r="D13" s="0" t="n">
        <f aca="false">D11+D12</f>
        <v>326.6913825</v>
      </c>
      <c r="E13" s="0" t="n">
        <f aca="false">E11+E12</f>
        <v>339.483165077</v>
      </c>
      <c r="F13" s="0" t="n">
        <f aca="false">F11+F12</f>
        <v>351.978239280605</v>
      </c>
      <c r="G13" s="0" t="n">
        <f aca="false">G11+G12</f>
        <v>364.124184211579</v>
      </c>
      <c r="H13" s="0" t="n">
        <f aca="false">H11+H12</f>
        <v>375.047909737927</v>
      </c>
      <c r="I13" s="0" t="n">
        <f aca="false">I11+I12</f>
        <v>384.424107481375</v>
      </c>
      <c r="J13" s="0" t="n">
        <f aca="false">J11+J12</f>
        <v>394.034710168409</v>
      </c>
      <c r="K13" s="0" t="n">
        <f aca="false">K11+K12</f>
        <v>403.885577922619</v>
      </c>
      <c r="L13" s="0" t="n">
        <f aca="false">L11+L12</f>
        <v>413.982717370685</v>
      </c>
    </row>
    <row r="14" customFormat="false" ht="15" hidden="false" customHeight="false" outlineLevel="0" collapsed="false">
      <c r="A14" s="0" t="s">
        <v>112</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127</v>
      </c>
      <c r="C15" s="0" t="n">
        <f aca="false">C13-MAX(0,C13)*C14/100</f>
        <v>316.598478</v>
      </c>
      <c r="D15" s="0" t="n">
        <f aca="false">D13-MAX(0,D13)*D14/100</f>
        <v>326.6913825</v>
      </c>
      <c r="E15" s="0" t="n">
        <f aca="false">E13-MAX(0,E13)*E14/100</f>
        <v>339.483165077</v>
      </c>
      <c r="F15" s="0" t="n">
        <f aca="false">F13-MAX(0,F13)*F14/100</f>
        <v>351.978239280605</v>
      </c>
      <c r="G15" s="0" t="n">
        <f aca="false">G13-MAX(0,G13)*G14/100</f>
        <v>364.124184211579</v>
      </c>
      <c r="H15" s="0" t="n">
        <f aca="false">H13-MAX(0,H13)*H14/100</f>
        <v>375.047909737927</v>
      </c>
      <c r="I15" s="0" t="n">
        <f aca="false">I13-MAX(0,I13)*I14/100</f>
        <v>384.424107481375</v>
      </c>
      <c r="J15" s="0" t="n">
        <f aca="false">J13-MAX(0,J13)*J14/100</f>
        <v>394.034710168409</v>
      </c>
      <c r="K15" s="0" t="n">
        <f aca="false">K13-MAX(0,K13)*K14/100</f>
        <v>403.885577922619</v>
      </c>
      <c r="L15" s="0" t="n">
        <f aca="false">L13-MAX(0,L13)*L14/100</f>
        <v>413.982717370685</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-24.78959</v>
      </c>
      <c r="D17" s="4" t="n">
        <f aca="false">-D6*Assumptions!D46/100</f>
        <v>-25.40932975</v>
      </c>
      <c r="E17" s="4" t="n">
        <f aca="false">-E6*Assumptions!E46/100</f>
        <v>-26.1716096425</v>
      </c>
      <c r="F17" s="4" t="n">
        <f aca="false">-F6*Assumptions!F46/100</f>
        <v>-26.956757931775</v>
      </c>
      <c r="G17" s="4" t="n">
        <f aca="false">-G6*Assumptions!G46/100</f>
        <v>-27.7654606697283</v>
      </c>
      <c r="H17" s="4" t="n">
        <f aca="false">-H6*Assumptions!H46/100</f>
        <v>-28.5984244898201</v>
      </c>
      <c r="I17" s="4" t="n">
        <f aca="false">-I6*Assumptions!I46/100</f>
        <v>-29.3133851020656</v>
      </c>
      <c r="J17" s="4" t="n">
        <f aca="false">-J6*Assumptions!J46/100</f>
        <v>-30.0462197296172</v>
      </c>
      <c r="K17" s="4" t="n">
        <f aca="false">-K6*Assumptions!K46/100</f>
        <v>-30.7973752228577</v>
      </c>
      <c r="L17" s="4" t="n">
        <f aca="false">-L6*Assumptions!L46/100</f>
        <v>-31.5673096034291</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291.808888</v>
      </c>
      <c r="D19" s="0" t="n">
        <f aca="false">D15+D16+D17+D18</f>
        <v>301.28205275</v>
      </c>
      <c r="E19" s="0" t="n">
        <f aca="false">E15+E16+E17+E18</f>
        <v>313.3115554345</v>
      </c>
      <c r="F19" s="0" t="n">
        <f aca="false">F15+F16+F17+F18</f>
        <v>325.02148134883</v>
      </c>
      <c r="G19" s="0" t="n">
        <f aca="false">G15+G16+G17+G18</f>
        <v>336.358723541851</v>
      </c>
      <c r="H19" s="0" t="n">
        <f aca="false">H15+H16+H17+H18</f>
        <v>346.449485248106</v>
      </c>
      <c r="I19" s="0" t="n">
        <f aca="false">I15+I16+I17+I18</f>
        <v>355.110722379309</v>
      </c>
      <c r="J19" s="0" t="n">
        <f aca="false">J15+J16+J17+J18</f>
        <v>363.988490438792</v>
      </c>
      <c r="K19" s="0" t="n">
        <f aca="false">K15+K16+K17+K18</f>
        <v>373.088202699761</v>
      </c>
      <c r="L19" s="0" t="n">
        <f aca="false">L15+L16+L17+L18</f>
        <v>382.415407767255</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272.718586915888</v>
      </c>
      <c r="D21" s="0" t="n">
        <f aca="false">D19*D20</f>
        <v>263.151413005503</v>
      </c>
      <c r="E21" s="0" t="n">
        <f aca="false">E19*E20</f>
        <v>255.755557506553</v>
      </c>
      <c r="F21" s="0" t="n">
        <f aca="false">F19*F20</f>
        <v>247.957331933616</v>
      </c>
      <c r="G21" s="0" t="n">
        <f aca="false">G19*G20</f>
        <v>239.819121234108</v>
      </c>
      <c r="H21" s="0" t="n">
        <f aca="false">H19*H20</f>
        <v>230.853920440309</v>
      </c>
      <c r="I21" s="0" t="n">
        <f aca="false">I19*I20</f>
        <v>221.145110702165</v>
      </c>
      <c r="J21" s="0" t="n">
        <f aca="false">J19*J20</f>
        <v>211.844615392261</v>
      </c>
      <c r="K21" s="0" t="n">
        <f aca="false">K19*K20</f>
        <v>202.935262408474</v>
      </c>
      <c r="L21" s="0" t="n">
        <f aca="false">L19*L20</f>
        <v>194.400601839894</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7</v>
      </c>
    </row>
    <row r="28" customFormat="false" ht="15" hidden="false" customHeight="false" outlineLevel="0" collapsed="false">
      <c r="A28" s="0" t="s">
        <v>114</v>
      </c>
      <c r="B28" s="4" t="n">
        <f aca="false">Assumptions!$B$49</f>
        <v>2</v>
      </c>
    </row>
    <row r="29" customFormat="false" ht="15" hidden="false" customHeight="false" outlineLevel="0" collapsed="false">
      <c r="A29" s="0" t="s">
        <v>115</v>
      </c>
      <c r="B29" s="4" t="n">
        <f aca="false">Assumptions!$B$50</f>
        <v>22</v>
      </c>
    </row>
    <row r="30" customFormat="false" ht="15" hidden="false" customHeight="false" outlineLevel="0" collapsed="false">
      <c r="A30" s="0" t="s">
        <v>136</v>
      </c>
      <c r="B30" s="0" t="n">
        <f aca="false">SUM(C21:L21)</f>
        <v>2340.58152137877</v>
      </c>
    </row>
    <row r="31" customFormat="false" ht="15" hidden="false" customHeight="false" outlineLevel="0" collapsed="false">
      <c r="A31" s="0" t="s">
        <v>137</v>
      </c>
      <c r="B31" s="0" t="n">
        <f aca="false">L19</f>
        <v>382.415407767255</v>
      </c>
    </row>
    <row r="32" customFormat="false" ht="15" hidden="false" customHeight="false" outlineLevel="0" collapsed="false">
      <c r="A32" s="0" t="s">
        <v>138</v>
      </c>
      <c r="B32" s="0" t="n">
        <f aca="false">IF(B27&gt;B28,B31*(1+B28/100)/((B27-B28)/100),B31*B29)</f>
        <v>7801.27431845201</v>
      </c>
    </row>
    <row r="33" customFormat="false" ht="15" hidden="false" customHeight="false" outlineLevel="0" collapsed="false">
      <c r="A33" s="0" t="s">
        <v>139</v>
      </c>
      <c r="B33" s="0" t="n">
        <f aca="false">B31*B29</f>
        <v>8413.13897087962</v>
      </c>
    </row>
    <row r="34" customFormat="false" ht="15" hidden="false" customHeight="false" outlineLevel="0" collapsed="false">
      <c r="A34" s="0" t="s">
        <v>140</v>
      </c>
      <c r="B34" s="0" t="n">
        <f aca="false">MAX(0,MIN(B32,B33))</f>
        <v>7801.27431845201</v>
      </c>
    </row>
    <row r="35" customFormat="false" ht="15" hidden="false" customHeight="false" outlineLevel="0" collapsed="false">
      <c r="A35" s="0" t="s">
        <v>141</v>
      </c>
      <c r="B35" s="0" t="n">
        <f aca="false">B34/(1+B27/100)^L4</f>
        <v>3965.77227753383</v>
      </c>
    </row>
    <row r="36" customFormat="false" ht="15" hidden="false" customHeight="false" outlineLevel="0" collapsed="false">
      <c r="A36" s="0" t="s">
        <v>142</v>
      </c>
      <c r="B36" s="0" t="n">
        <f aca="false">B30+B35</f>
        <v>6306.3537989126</v>
      </c>
    </row>
    <row r="37" customFormat="false" ht="15" hidden="false" customHeight="false" outlineLevel="0" collapsed="false">
      <c r="A37" s="0" t="s">
        <v>143</v>
      </c>
      <c r="B37" s="0" t="n">
        <f aca="false">B36+Assumptions!$B$5-Assumptions!$B$4</f>
        <v>6306.3537989126</v>
      </c>
    </row>
    <row r="38" customFormat="false" ht="15" hidden="false" customHeight="false" outlineLevel="0" collapsed="false">
      <c r="A38" s="0" t="s">
        <v>144</v>
      </c>
      <c r="B38" s="0" t="n">
        <f aca="false">B37/Assumptions!$B$3*Assumptions!$B$10</f>
        <v>1.23390110579445</v>
      </c>
    </row>
    <row r="39" customFormat="false" ht="15" hidden="false" customHeight="false" outlineLevel="0" collapsed="false">
      <c r="A39" s="0" t="s">
        <v>145</v>
      </c>
      <c r="B39" s="4" t="n">
        <f aca="false">B38/Assumptions!$B$2-1</f>
        <v>0.132019363114176</v>
      </c>
    </row>
    <row r="41" customFormat="false" ht="15" hidden="false" customHeight="false" outlineLevel="0" collapsed="false">
      <c r="A41" s="0" t="s">
        <v>146</v>
      </c>
      <c r="B41" s="0" t="n">
        <f aca="false">SUMPRODUCT(-C10:L10/(1+$B$27/100)^C4:L4)</f>
        <v>422.742616557646</v>
      </c>
    </row>
    <row r="42" customFormat="false" ht="15" hidden="false" customHeight="false" outlineLevel="0" collapsed="false">
      <c r="A42" s="0" t="s">
        <v>147</v>
      </c>
      <c r="B42" s="0" t="n">
        <f aca="false">IF(B27&gt;B28,-L10*(1+B28/100)/((B27-B28)/100),-L10*20)/(1+B27/100)^L4</f>
        <v>710.845974274932</v>
      </c>
    </row>
    <row r="43" customFormat="false" ht="15" hidden="false" customHeight="false" outlineLevel="0" collapsed="false">
      <c r="A43" s="0" t="s">
        <v>148</v>
      </c>
      <c r="B43" s="0" t="n">
        <f aca="false">(B37+B41+B42)/Assumptions!$B$3*Assumptions!$B$10</f>
        <v>1.45569903536597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3000.49012248154</v>
      </c>
    </row>
    <row r="47" customFormat="false" ht="15" hidden="false" customHeight="false" outlineLevel="0" collapsed="false">
      <c r="A47" s="0" t="s">
        <v>150</v>
      </c>
      <c r="B47" s="0" t="n">
        <f aca="false">(SUMPRODUCT(C19:L19/(1+B45/100)^C4:L4)+B46/(1+B45/100)^L4+Assumptions!$B$5-Assumptions!$B$4)/Assumptions!$B$3*Assumptions!$B$10</f>
        <v>0.466679107954932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0.668388074503761</v>
      </c>
      <c r="C4" s="0" t="n">
        <f aca="false">B4/Assumptions!$B$2-1</f>
        <v>-0.386799931647926</v>
      </c>
      <c r="D4" s="4" t="n">
        <f aca="false">Assumptions!$B$24</f>
        <v>0.25</v>
      </c>
      <c r="E4" s="4" t="n">
        <f aca="false">DCF_Bear!$B$43</f>
        <v>0.810249243531244</v>
      </c>
      <c r="F4" s="4" t="n">
        <f aca="false">DCF_Bear!$B$47</f>
        <v>0.347845212749717</v>
      </c>
    </row>
    <row r="5" customFormat="false" ht="15" hidden="false" customHeight="false" outlineLevel="0" collapsed="false">
      <c r="A5" s="0" t="s">
        <v>159</v>
      </c>
      <c r="B5" s="4" t="n">
        <f aca="false">DCF_Base!$B$38</f>
        <v>0.919967690279166</v>
      </c>
      <c r="C5" s="0" t="n">
        <f aca="false">B5/Assumptions!$B$2-1</f>
        <v>-0.155992944698013</v>
      </c>
      <c r="D5" s="4" t="n">
        <f aca="false">Assumptions!$B$38</f>
        <v>0.5</v>
      </c>
      <c r="E5" s="4" t="n">
        <f aca="false">DCF_Base!$B$43</f>
        <v>1.09893401520898</v>
      </c>
      <c r="F5" s="4" t="n">
        <f aca="false">DCF_Base!$B$47</f>
        <v>0.406183317470676</v>
      </c>
    </row>
    <row r="6" customFormat="false" ht="15" hidden="false" customHeight="false" outlineLevel="0" collapsed="false">
      <c r="A6" s="0" t="s">
        <v>160</v>
      </c>
      <c r="B6" s="4" t="n">
        <f aca="false">DCF_Bull!$B$38</f>
        <v>1.23390110579445</v>
      </c>
      <c r="C6" s="0" t="n">
        <f aca="false">B6/Assumptions!$B$2-1</f>
        <v>0.132019363114176</v>
      </c>
      <c r="D6" s="4" t="n">
        <f aca="false">Assumptions!$B$52</f>
        <v>0.25</v>
      </c>
      <c r="E6" s="4" t="n">
        <f aca="false">DCF_Bull!$B$43</f>
        <v>1.45569903536597</v>
      </c>
      <c r="F6" s="4" t="n">
        <f aca="false">DCF_Bull!$B$47</f>
        <v>0.466679107954932</v>
      </c>
    </row>
    <row r="8" customFormat="false" ht="15" hidden="false" customHeight="false" outlineLevel="0" collapsed="false">
      <c r="A8" s="0" t="s">
        <v>161</v>
      </c>
      <c r="B8" s="0" t="n">
        <f aca="false">SUMPRODUCT(B4:B6,D4:D6)</f>
        <v>0.935556140214136</v>
      </c>
    </row>
    <row r="9" customFormat="false" ht="15" hidden="false" customHeight="false" outlineLevel="0" collapsed="false">
      <c r="A9" s="0" t="s">
        <v>162</v>
      </c>
      <c r="B9" s="0" t="n">
        <f aca="false">SUMPRODUCT(E4:E6,D4:D6)</f>
        <v>1.1159540773288</v>
      </c>
    </row>
    <row r="10" customFormat="false" ht="15" hidden="false" customHeight="false" outlineLevel="0" collapsed="false">
      <c r="A10" s="0" t="s">
        <v>163</v>
      </c>
      <c r="B10" s="0" t="n">
        <f aca="false">1-Assumptions!$B$2/B8</f>
        <v>-0.165082407294675</v>
      </c>
    </row>
    <row r="11" customFormat="false" ht="15" hidden="false" customHeight="false" outlineLevel="0" collapsed="false">
      <c r="A11" s="0" t="s">
        <v>164</v>
      </c>
      <c r="B11" s="0" t="n">
        <f aca="false">IF(ABS(B9-B8)&gt;0.01*ABS(B8),(Assumptions!$B$2-B8)/(B9-B8)*100,"n/a")</f>
        <v>85.6128746570426</v>
      </c>
    </row>
    <row r="12" customFormat="false" ht="15" hidden="false" customHeight="false" outlineLevel="0" collapsed="false">
      <c r="A12" s="0" t="s">
        <v>165</v>
      </c>
      <c r="B12" s="0" t="n">
        <f aca="false">SUMPRODUCT(F4:F6,D4:D6)</f>
        <v>0.4067227389115</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0.919967690279166</v>
      </c>
      <c r="C15" s="3" t="n">
        <v>7.5</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0.734830830494839</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0.647755190638398</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0.579042725205981</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0.523444965648912</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0.406183317470676</v>
      </c>
      <c r="C20" s="3" t="n">
        <v>15</v>
      </c>
    </row>
    <row r="22" customFormat="false" ht="15" hidden="false" customHeight="false" outlineLevel="0" collapsed="false">
      <c r="A22" s="2" t="s">
        <v>174</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1.10849696689415</v>
      </c>
      <c r="C24" s="0" t="n">
        <f aca="false">(SUMPRODUCT(DCF_Base!$C$19:$L$19/(1+$A$24/100)^DCF_Base!$C$4:$L$4)+MAX(0,MIN(IF($A$24&gt;$C$23,DCF_Base!$L$19*(1+$C$23/100)/(($A$24-$C$23)/100),DCF_Base!$L$19*DCF_Base!$B$29),DCF_Base!$L$19*DCF_Base!$B$29))/(1+$A$24/100)^DCF_Base!$L$4+Assumptions!$B$5-Assumptions!$B$4)/Assumptions!$B$3*Assumptions!$B$10</f>
        <v>1.10849696689415</v>
      </c>
      <c r="D24" s="0" t="n">
        <f aca="false">(SUMPRODUCT(DCF_Base!$C$19:$L$19/(1+$A$24/100)^DCF_Base!$C$4:$L$4)+MAX(0,MIN(IF($A$24&gt;$D$23,DCF_Base!$L$19*(1+$D$23/100)/(($A$24-$D$23)/100),DCF_Base!$L$19*DCF_Base!$B$29),DCF_Base!$L$19*DCF_Base!$B$29))/(1+$A$24/100)^DCF_Base!$L$4+Assumptions!$B$5-Assumptions!$B$4)/Assumptions!$B$3*Assumptions!$B$10</f>
        <v>1.10849696689415</v>
      </c>
      <c r="E24" s="0" t="n">
        <f aca="false">(SUMPRODUCT(DCF_Base!$C$19:$L$19/(1+$A$24/100)^DCF_Base!$C$4:$L$4)+MAX(0,MIN(IF($A$24&gt;$E$23,DCF_Base!$L$19*(1+$E$23/100)/(($A$24-$E$23)/100),DCF_Base!$L$19*DCF_Base!$B$29),DCF_Base!$L$19*DCF_Base!$B$29))/(1+$A$24/100)^DCF_Base!$L$4+Assumptions!$B$5-Assumptions!$B$4)/Assumptions!$B$3*Assumptions!$B$10</f>
        <v>1.10849696689415</v>
      </c>
      <c r="F24" s="0" t="n">
        <f aca="false">(SUMPRODUCT(DCF_Base!$C$19:$L$19/(1+$A$24/100)^DCF_Base!$C$4:$L$4)+MAX(0,MIN(IF($A$24&gt;$F$23,DCF_Base!$L$19*(1+$F$23/100)/(($A$24-$F$23)/100),DCF_Base!$L$19*DCF_Base!$B$29),DCF_Base!$L$19*DCF_Base!$B$29))/(1+$A$24/100)^DCF_Base!$L$4+Assumptions!$B$5-Assumptions!$B$4)/Assumptions!$B$3*Assumptions!$B$10</f>
        <v>1.10849696689415</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0.98489980612449</v>
      </c>
      <c r="C25" s="0" t="n">
        <f aca="false">(SUMPRODUCT(DCF_Base!$C$19:$L$19/(1+$A$25/100)^DCF_Base!$C$4:$L$4)+MAX(0,MIN(IF($A$25&gt;$C$23,DCF_Base!$L$19*(1+$C$23/100)/(($A$25-$C$23)/100),DCF_Base!$L$19*DCF_Base!$B$29),DCF_Base!$L$19*DCF_Base!$B$29))/(1+$A$25/100)^DCF_Base!$L$4+Assumptions!$B$5-Assumptions!$B$4)/Assumptions!$B$3*Assumptions!$B$10</f>
        <v>1.02725628592878</v>
      </c>
      <c r="D25" s="0" t="n">
        <f aca="false">(SUMPRODUCT(DCF_Base!$C$19:$L$19/(1+$A$25/100)^DCF_Base!$C$4:$L$4)+MAX(0,MIN(IF($A$25&gt;$D$23,DCF_Base!$L$19*(1+$D$23/100)/(($A$25-$D$23)/100),DCF_Base!$L$19*DCF_Base!$B$29),DCF_Base!$L$19*DCF_Base!$B$29))/(1+$A$25/100)^DCF_Base!$L$4+Assumptions!$B$5-Assumptions!$B$4)/Assumptions!$B$3*Assumptions!$B$10</f>
        <v>1.02725628592878</v>
      </c>
      <c r="E25" s="0" t="n">
        <f aca="false">(SUMPRODUCT(DCF_Base!$C$19:$L$19/(1+$A$25/100)^DCF_Base!$C$4:$L$4)+MAX(0,MIN(IF($A$25&gt;$E$23,DCF_Base!$L$19*(1+$E$23/100)/(($A$25-$E$23)/100),DCF_Base!$L$19*DCF_Base!$B$29),DCF_Base!$L$19*DCF_Base!$B$29))/(1+$A$25/100)^DCF_Base!$L$4+Assumptions!$B$5-Assumptions!$B$4)/Assumptions!$B$3*Assumptions!$B$10</f>
        <v>1.02725628592878</v>
      </c>
      <c r="F25" s="0" t="n">
        <f aca="false">(SUMPRODUCT(DCF_Base!$C$19:$L$19/(1+$A$25/100)^DCF_Base!$C$4:$L$4)+MAX(0,MIN(IF($A$25&gt;$F$23,DCF_Base!$L$19*(1+$F$23/100)/(($A$25-$F$23)/100),DCF_Base!$L$19*DCF_Base!$B$29),DCF_Base!$L$19*DCF_Base!$B$29))/(1+$A$25/100)^DCF_Base!$L$4+Assumptions!$B$5-Assumptions!$B$4)/Assumptions!$B$3*Assumptions!$B$10</f>
        <v>1.02725628592878</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0.8409761731029</v>
      </c>
      <c r="C26" s="0" t="n">
        <f aca="false">(SUMPRODUCT(DCF_Base!$C$19:$L$19/(1+$A$26/100)^DCF_Base!$C$4:$L$4)+MAX(0,MIN(IF($A$26&gt;$C$23,DCF_Base!$L$19*(1+$C$23/100)/(($A$26-$C$23)/100),DCF_Base!$L$19*DCF_Base!$B$29),DCF_Base!$L$19*DCF_Base!$B$29))/(1+$A$26/100)^DCF_Base!$L$4+Assumptions!$B$5-Assumptions!$B$4)/Assumptions!$B$3*Assumptions!$B$10</f>
        <v>0.877433796415023</v>
      </c>
      <c r="D26" s="0" t="n">
        <f aca="false">(SUMPRODUCT(DCF_Base!$C$19:$L$19/(1+$A$26/100)^DCF_Base!$C$4:$L$4)+MAX(0,MIN(IF($A$26&gt;$D$23,DCF_Base!$L$19*(1+$D$23/100)/(($A$26-$D$23)/100),DCF_Base!$L$19*DCF_Base!$B$29),DCF_Base!$L$19*DCF_Base!$B$29))/(1+$A$26/100)^DCF_Base!$L$4+Assumptions!$B$5-Assumptions!$B$4)/Assumptions!$B$3*Assumptions!$B$10</f>
        <v>0.919967690279166</v>
      </c>
      <c r="E26" s="0" t="n">
        <f aca="false">(SUMPRODUCT(DCF_Base!$C$19:$L$19/(1+$A$26/100)^DCF_Base!$C$4:$L$4)+MAX(0,MIN(IF($A$26&gt;$E$23,DCF_Base!$L$19*(1+$E$23/100)/(($A$26-$E$23)/100),DCF_Base!$L$19*DCF_Base!$B$29),DCF_Base!$L$19*DCF_Base!$B$29))/(1+$A$26/100)^DCF_Base!$L$4+Assumptions!$B$5-Assumptions!$B$4)/Assumptions!$B$3*Assumptions!$B$10</f>
        <v>0.953401309177027</v>
      </c>
      <c r="F26" s="0" t="n">
        <f aca="false">(SUMPRODUCT(DCF_Base!$C$19:$L$19/(1+$A$26/100)^DCF_Base!$C$4:$L$4)+MAX(0,MIN(IF($A$26&gt;$F$23,DCF_Base!$L$19*(1+$F$23/100)/(($A$26-$F$23)/100),DCF_Base!$L$19*DCF_Base!$B$29),DCF_Base!$L$19*DCF_Base!$B$29))/(1+$A$26/100)^DCF_Base!$L$4+Assumptions!$B$5-Assumptions!$B$4)/Assumptions!$B$3*Assumptions!$B$10</f>
        <v>0.953401309177027</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0.733208375955529</v>
      </c>
      <c r="C27" s="0" t="n">
        <f aca="false">(SUMPRODUCT(DCF_Base!$C$19:$L$19/(1+$A$27/100)^DCF_Base!$C$4:$L$4)+MAX(0,MIN(IF($A$27&gt;$C$23,DCF_Base!$L$19*(1+$C$23/100)/(($A$27-$C$23)/100),DCF_Base!$L$19*DCF_Base!$B$29),DCF_Base!$L$19*DCF_Base!$B$29))/(1+$A$27/100)^DCF_Base!$L$4+Assumptions!$B$5-Assumptions!$B$4)/Assumptions!$B$3*Assumptions!$B$10</f>
        <v>0.758644857274497</v>
      </c>
      <c r="D27" s="0" t="n">
        <f aca="false">(SUMPRODUCT(DCF_Base!$C$19:$L$19/(1+$A$27/100)^DCF_Base!$C$4:$L$4)+MAX(0,MIN(IF($A$27&gt;$D$23,DCF_Base!$L$19*(1+$D$23/100)/(($A$27-$D$23)/100),DCF_Base!$L$19*DCF_Base!$B$29),DCF_Base!$L$19*DCF_Base!$B$29))/(1+$A$27/100)^DCF_Base!$L$4+Assumptions!$B$5-Assumptions!$B$4)/Assumptions!$B$3*Assumptions!$B$10</f>
        <v>0.787715121639032</v>
      </c>
      <c r="E27" s="0" t="n">
        <f aca="false">(SUMPRODUCT(DCF_Base!$C$19:$L$19/(1+$A$27/100)^DCF_Base!$C$4:$L$4)+MAX(0,MIN(IF($A$27&gt;$E$23,DCF_Base!$L$19*(1+$E$23/100)/(($A$27-$E$23)/100),DCF_Base!$L$19*DCF_Base!$B$29),DCF_Base!$L$19*DCF_Base!$B$29))/(1+$A$27/100)^DCF_Base!$L$4+Assumptions!$B$5-Assumptions!$B$4)/Assumptions!$B$3*Assumptions!$B$10</f>
        <v>0.821257734367342</v>
      </c>
      <c r="F27" s="0" t="n">
        <f aca="false">(SUMPRODUCT(DCF_Base!$C$19:$L$19/(1+$A$27/100)^DCF_Base!$C$4:$L$4)+MAX(0,MIN(IF($A$27&gt;$F$23,DCF_Base!$L$19*(1+$F$23/100)/(($A$27-$F$23)/100),DCF_Base!$L$19*DCF_Base!$B$29),DCF_Base!$L$19*DCF_Base!$B$29))/(1+$A$27/100)^DCF_Base!$L$4+Assumptions!$B$5-Assumptions!$B$4)/Assumptions!$B$3*Assumptions!$B$10</f>
        <v>0.86039078255037</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0.649532771469713</v>
      </c>
      <c r="C28" s="0" t="n">
        <f aca="false">(SUMPRODUCT(DCF_Base!$C$19:$L$19/(1+$A$28/100)^DCF_Base!$C$4:$L$4)+MAX(0,MIN(IF($A$28&gt;$C$23,DCF_Base!$L$19*(1+$C$23/100)/(($A$28-$C$23)/100),DCF_Base!$L$19*DCF_Base!$B$29),DCF_Base!$L$19*DCF_Base!$B$29))/(1+$A$28/100)^DCF_Base!$L$4+Assumptions!$B$5-Assumptions!$B$4)/Assumptions!$B$3*Assumptions!$B$10</f>
        <v>0.667901852104537</v>
      </c>
      <c r="D28" s="0" t="n">
        <f aca="false">(SUMPRODUCT(DCF_Base!$C$19:$L$19/(1+$A$28/100)^DCF_Base!$C$4:$L$4)+MAX(0,MIN(IF($A$28&gt;$D$23,DCF_Base!$L$19*(1+$D$23/100)/(($A$28-$D$23)/100),DCF_Base!$L$19*DCF_Base!$B$29),DCF_Base!$L$19*DCF_Base!$B$29))/(1+$A$28/100)^DCF_Base!$L$4+Assumptions!$B$5-Assumptions!$B$4)/Assumptions!$B$3*Assumptions!$B$10</f>
        <v>0.688567067818713</v>
      </c>
      <c r="E28" s="0" t="n">
        <f aca="false">(SUMPRODUCT(DCF_Base!$C$19:$L$19/(1+$A$28/100)^DCF_Base!$C$4:$L$4)+MAX(0,MIN(IF($A$28&gt;$E$23,DCF_Base!$L$19*(1+$E$23/100)/(($A$28-$E$23)/100),DCF_Base!$L$19*DCF_Base!$B$29),DCF_Base!$L$19*DCF_Base!$B$29))/(1+$A$28/100)^DCF_Base!$L$4+Assumptions!$B$5-Assumptions!$B$4)/Assumptions!$B$3*Assumptions!$B$10</f>
        <v>0.711987645628114</v>
      </c>
      <c r="F28" s="0" t="n">
        <f aca="false">(SUMPRODUCT(DCF_Base!$C$19:$L$19/(1+$A$28/100)^DCF_Base!$C$4:$L$4)+MAX(0,MIN(IF($A$28&gt;$F$23,DCF_Base!$L$19*(1+$F$23/100)/(($A$28-$F$23)/100),DCF_Base!$L$19*DCF_Base!$B$29),DCF_Base!$L$19*DCF_Base!$B$29))/(1+$A$28/100)^DCF_Base!$L$4+Assumptions!$B$5-Assumptions!$B$4)/Assumptions!$B$3*Assumptions!$B$10</f>
        <v>0.738754020267429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2026-10-24T04:15:46Z</dcterms:created>
  <dc:creator>openpyxl</dc:creator>
  <dc:description/>
  <dc:language>en-NZ</dc:language>
  <cp:lastModifiedBy/>
  <dcterms:modified xsi:type="dcterms:W3CDTF">2026-10-24T04:15:46Z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