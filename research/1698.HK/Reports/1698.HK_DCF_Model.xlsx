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<sst xmlns="http://schemas.openxmlformats.org/spreadsheetml/2006/main" count="357" uniqueCount="171">
  <si>
    <t xml:space="preserve">Ticker</t>
  </si>
  <si>
    <t xml:space="preserve">1698.HK</t>
  </si>
  <si>
    <t xml:space="preserve">Company</t>
  </si>
  <si>
    <t xml:space="preserve">Tencent Music Entertainment Group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</si>
  <si>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</si>
  <si>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</si>
  <si>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</si>
  <si>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</si>
  <si>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HKT, 2026-10-16); 52-week range HK$30.36-91.55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</si>
  <si>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</si>
  <si>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</si>
  <si>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</si>
  <si>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</si>
  <si>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</si>
  <si>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</si>
  <si>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</si>
  <si>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</si>
  <si>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</si>
  <si>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</si>
  <si>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</si>
  <si>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</si>
  <si>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</si>
  <si>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2026-10-16T15:38:17Z</t>
  </si>
  <si>
    <t xml:space="preserve">Drivers file</t>
  </si>
  <si>
    <t xml:space="preserve">1698.HK_Drivers.json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</si>
  <si>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</si>
  <si>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</si>
  <si>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</si>
  <si>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operating platform on fully-normalised owner FCF -- SBC expensed, interest and investment income stripped, FY2025's RMB2.4bn deemed-disposal gain removed, leases charged once, NCI charged once -- at an RMB-built 10.5% discount rate, then add the balance-sheet assets whose income was stripped: RMB34.5bn of net cash and term deposits (less a 5% repatriation friction and the RMB9bn Ximalaya cash paid after year-end) and the RMB27.9bn investment portfolio at a 25% haircut. The 10-year horizon lets the Ximalaya margin dilution wash through before capitalising. The 15% hurdle entry prices and the required-return table show what the HK$34 price implies; at this price most of the market capitalisation is covered by cash, deposits and investments, so the finding is about whether the music-subscription franchise is in structural decline (bear) or merely slowing (base).
key_risks_to_valuation: Online music ARPPU/paying-ratio growth stalls under SAMR fee-cap conditions while MAUs keep declining to ByteDance's Soda Music -- the bear growth path; Label royalty escalation or non-renewal (minimum guarantees) compressing gross margin; MCSC agreements only partly cover composition rights; Ximalaya integration: goodwill (~RMB9.2bn) impairment, margin dilution persisting beyond FY2027, no-exclusivity and free-content remedies limiting synergy; Further live-streaming/virtual-gifting regulation accelerating the social entertainment decline; China discount rate and VIE/WVR governance: a 1pp move in WACC is worth more per share than any single operating driver (see sensitivity grid); Tencent's 93.6% voting control; Investment portfolio (FVOCI RMB26.2bn, listed stakes marked to market) and trapped-cash/withholding-tax friction on the RMB38bn gross cash -- the bridge is ~45% of the house equity value; RMB/HKD translation: all per-share values are converted at a dated rate; refresh_price.py does not move fx_rate; Share count: the reported Q2-2026 US$400m ADS buyback is not taken (count deliberately high); the Ximalaya founder tranche is included before issuance</t>
  </si>
  <si>
    <t xml:space="preserve">Data sources</t>
  </si>
  <si>
    <t xml:space="preserve">price: Yahoo Finance chart API for 1698.HK at inputs.price_as_of (HKEX regular close); 52-week range 30.36-91.55; ADS parity via TME and USDHKD=X at the same timestamp; CNYHKD=X for fx_rate
financials: research/1698.HK/Reports/1698.HK_Metrics.csv and 1698.HK.duckdb kpis (core_metrics FY2020-FY2025, CNY millions); FY2025 20-F (1698.HK_Annual_FY2025.txt): income statement l.10916-10943, balance sheet l.10985-11040, cash-flow statement l.11184-11238, note 29(a) l.13902-13927, EPS note 11 l.12954-12975, cover note l.28-29, Ximalaya terms l.4545-4558
qualitative: research/1698.HK/Reports/1698.HK_Analysis.json (2026-10-17)</t>
  </si>
  <si>
    <t xml:space="preserve">Scenario narrative: bear</t>
  </si>
  <si>
    <t xml:space="preserve">The path the current price implies after the 63% drawdown from the 52-week high: ByteDance's Soda Music and Douyin keep taking music discovery and listening time, so MAU decline spreads into paying-user decline from FY2028 and ARPPU growth stalls under the SAMR fee-cap conditions; social entertainment is regulated down further; Ximalaya is integrated at a loss with goodwill impairment, and content royalty escalation on label renewals compresses the blended EBITDA margin to 25%. Revenue grows only on the Ximalaya consolidation then declines 2-3% a year before flattening; terminal growth 1.0% with a 12x cap. The cash pile, term deposits and the FVOCI portfolio remain the floor under the equity.</t>
  </si>
  <si>
    <t xml:space="preserve">Scenario narrative: base</t>
  </si>
  <si>
    <t xml:space="preserve">Online music keeps compounding on monetisation rather than users: the paying ratio (22.9% in FY2025, from 17.1% in FY2023) and ARPPU (RMB11.8) keep rising at a slowing pace while MAUs drift lower, so music revenue grows ~11% in FY2026 fading to mid-single digits; social entertainment keeps shrinking 5-8% a year under live-streaming compliance limits until it is a rump. Ximalaya consolidates ~RMB7bn of revenue at a mid-teens margin, diluting the blended EBITDA margin to 33.5% in FY2027 before the music mix shift and content-cost leverage take it to 36%. The reported US$1bn buyback and the ~33% dividend increase continue; the share count is held flat and SBC (2% of revenue) is expensed. Terminal growth 2.5% nominal RMB, Gordon at 10.5%, capped at 18x.</t>
  </si>
  <si>
    <t xml:space="preserve">Scenario narrative: bull</t>
  </si>
  <si>
    <t xml:space="preserve">SVIP/membership tiers, ad-supported tiers, offline shows and artist merchandise push music ARPPU and paying ratio further than the Street expects; Ximalaya cross-sell adds a long-form audio subscription layer to 127m music payers and its margin converges toward the group's; AI product features arrest the MAU decline. Revenue grows 19%/15% in FY2026-27 (organic ~8%) and holds high single digits through year 5; blended EBITDA margin reaches 40% by year 8 as content costs scale and social entertainment stabilises as a small, compliant business. Terminal growth 3.0%.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</si>
  <si>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</si>
  <si>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</si>
  <si>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</si>
  <si>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</si>
  <si>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</si>
  <si>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</si>
  <si>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</si>
  <si>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</si>
  <si>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</si>
  <si>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</si>
  <si>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</si>
  <si>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</si>
  <si>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</si>
  <si>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</si>
  <si>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</si>
  <si>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</si>
  <si>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</si>
  <si>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</si>
  <si>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</si>
  <si>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</si>
  <si>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</si>
  <si>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</si>
  <si>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</si>
  <si>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</si>
  <si>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</si>
  <si>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</si>
  <si>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</si>
  <si>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DividendsPaidToNCI</t>
  </si>
  <si>
    <t xml:space="preserve">EPSBasic</t>
  </si>
  <si>
    <t xml:space="preserve">EffectiveCashTaxRate</t>
  </si>
  <si>
    <t xml:space="preserve">InterestPaid</t>
  </si>
  <si>
    <t xml:space="preserve">OtherGainsNet</t>
  </si>
  <si>
    <t xml:space="preserve">ProfitAfterTaxTotal</t>
  </si>
  <si>
    <t xml:space="preserve">PurchaseOfIntangibles</t>
  </si>
  <si>
    <t xml:space="preserve">TermDeposits</t>
  </si>
  <si>
    <t xml:space="preserve">TotalEquityInclNCI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</si>
  <si>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</si>
  <si>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</si>
  <si>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</si>
  <si>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</si>
  <si>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</si>
  <si>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</si>
  <si>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</si>
  <si>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</si>
  <si>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</si>
  <si>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</si>
  <si>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</si>
  <si>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</si>
  <si>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</si>
  <si>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</si>
  <si>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</si>
  <si>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</si>
  <si>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</si>
  <si>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</si>
  <si>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</si>
  <si>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</si>
  <si>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</si>
  <si>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</si>
  <si>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</si>
  <si>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</si>
  <si>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</si>
  <si>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</si>
  <si>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</si>
  <si>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</si>
  <si>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</si>
  <si>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</si>
  <si>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</si>
  <si>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</si>
  <si>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</si>
  <si>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</si>
  <si>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</si>
  <si>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</si>
  <si>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</si>
  <si>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</si>
  <si>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</si>
  <si>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</si>
  <si>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</si>
  <si>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</si>
  <si>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</si>
  <si>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1698.HK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</si>
  <si>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</si>
  <si>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</si>
  <si>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</si>
  <si>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</si>
  <si>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</si>
  <si>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</si>
  <si>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</si>
  <si>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</si>
  <si>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</si>
  <si>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</si>
  <si>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</si>
  <si>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</si>
  <si>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</si>
  <si>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</si>
  <si>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</si>
  <si>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</si>
  <si>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</si>
  <si>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</si>
  <si>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</si>
  <si>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</si>
  <si>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</si>
  <si>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</si>
  <si>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</si>
  <si>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</si>
  <si>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</si>
  <si>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</si>
  <si>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</si>
  <si>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</si>
  <si>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</si>
  <si>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</si>
  <si>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1698.HK owner-FCF component DCF: base case (millions, CNY)</t>
  </si>
  <si>
    <t xml:space="preserve">1698.HK owner-FCF component DCF: bull case (millions, CNY)</t>
  </si>
  <si>
    <t xml:space="preserve">1698.HK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</si>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</sst>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34.04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</row>
    <row r="2" customFormat="false" ht="15" hidden="false" customHeight="false" outlineLevel="0" collapsed="false">
      <c r="A2" s="0" t="s">
        <v>73</v>
      </c>
      <c r="B2" s="0" t="n">
        <v>29153</v>
      </c>
      <c r="C2" s="0" t="n">
        <v>19851</v>
      </c>
      <c r="D2" s="0" t="n">
        <v>9302</v>
      </c>
      <c r="E2" s="0" t="n">
        <v>31.9</v>
      </c>
      <c r="F2" s="0" t="n">
        <v>4710</v>
      </c>
      <c r="G2" s="0" t="n">
        <v>16.2</v>
      </c>
      <c r="I2" s="0" t="n">
        <v>4155</v>
      </c>
      <c r="J2" s="0" t="n">
        <v>14.3</v>
      </c>
      <c r="K2" s="0" t="n">
        <v>1.24</v>
      </c>
      <c r="L2" s="0" t="n">
        <v>4885</v>
      </c>
      <c r="M2" s="0" t="n">
        <v>501</v>
      </c>
      <c r="N2" s="0" t="n">
        <v>4384</v>
      </c>
      <c r="S2" s="0" t="n">
        <v>11128</v>
      </c>
      <c r="T2" s="0" t="n">
        <v>3360.461</v>
      </c>
      <c r="U2" s="0" t="n">
        <v>569</v>
      </c>
      <c r="AA2" s="0" t="s">
        <v>18</v>
      </c>
      <c r="AB2" s="0" t="s">
        <v>14</v>
      </c>
      <c r="AC2" s="0" t="n">
        <v>0</v>
      </c>
      <c r="AD2" s="0" t="n">
        <v>1.25</v>
      </c>
      <c r="AE2" s="0" t="n">
        <v>13.8</v>
      </c>
      <c r="AF2" s="0" t="n">
        <v>15</v>
      </c>
      <c r="AG2" s="0" t="n">
        <v>362</v>
      </c>
      <c r="AH2" s="0" t="n">
        <v>4176</v>
      </c>
      <c r="AI2" s="0" t="n">
        <v>393</v>
      </c>
    </row>
    <row r="3" customFormat="false" ht="15" hidden="false" customHeight="false" outlineLevel="0" collapsed="false">
      <c r="A3" s="0" t="s">
        <v>74</v>
      </c>
      <c r="B3" s="0" t="n">
        <v>31244</v>
      </c>
      <c r="C3" s="0" t="n">
        <v>21840</v>
      </c>
      <c r="D3" s="0" t="n">
        <v>9404</v>
      </c>
      <c r="E3" s="0" t="n">
        <v>30.1</v>
      </c>
      <c r="F3" s="0" t="n">
        <v>3800</v>
      </c>
      <c r="G3" s="0" t="n">
        <v>12.2</v>
      </c>
      <c r="I3" s="0" t="n">
        <v>3029</v>
      </c>
      <c r="J3" s="0" t="n">
        <v>9.7</v>
      </c>
      <c r="K3" s="0" t="n">
        <v>0.9</v>
      </c>
      <c r="L3" s="0" t="n">
        <v>5239</v>
      </c>
      <c r="M3" s="0" t="n">
        <v>1254</v>
      </c>
      <c r="N3" s="0" t="n">
        <v>3985</v>
      </c>
      <c r="O3" s="0" t="n">
        <v>50317</v>
      </c>
      <c r="P3" s="0" t="n">
        <v>67254</v>
      </c>
      <c r="Q3" s="0" t="n">
        <v>16199</v>
      </c>
      <c r="R3" s="0" t="n">
        <v>5062</v>
      </c>
      <c r="S3" s="0" t="n">
        <v>6591</v>
      </c>
      <c r="T3" s="0" t="n">
        <v>3363.046</v>
      </c>
      <c r="U3" s="0" t="n">
        <v>647</v>
      </c>
      <c r="AA3" s="0" t="s">
        <v>18</v>
      </c>
      <c r="AB3" s="0" t="s">
        <v>14</v>
      </c>
      <c r="AC3" s="0" t="n">
        <v>3</v>
      </c>
      <c r="AD3" s="0" t="n">
        <v>0.91</v>
      </c>
      <c r="AE3" s="0" t="n">
        <v>16.2</v>
      </c>
      <c r="AF3" s="0" t="n">
        <v>105</v>
      </c>
      <c r="AG3" s="0" t="n">
        <v>553</v>
      </c>
      <c r="AH3" s="0" t="n">
        <v>3215</v>
      </c>
      <c r="AI3" s="0" t="n">
        <v>1095</v>
      </c>
      <c r="AK3" s="0" t="n">
        <v>51055</v>
      </c>
    </row>
    <row r="4" customFormat="false" ht="15" hidden="false" customHeight="false" outlineLevel="0" collapsed="false">
      <c r="A4" s="0" t="s">
        <v>75</v>
      </c>
      <c r="B4" s="0" t="n">
        <v>28339</v>
      </c>
      <c r="C4" s="0" t="n">
        <v>19566</v>
      </c>
      <c r="D4" s="0" t="n">
        <v>8773</v>
      </c>
      <c r="E4" s="0" t="n">
        <v>31</v>
      </c>
      <c r="F4" s="0" t="n">
        <v>4443</v>
      </c>
      <c r="G4" s="0" t="n">
        <v>15.7</v>
      </c>
      <c r="I4" s="0" t="n">
        <v>3677</v>
      </c>
      <c r="J4" s="0" t="n">
        <v>13</v>
      </c>
      <c r="K4" s="0" t="n">
        <v>1.14</v>
      </c>
      <c r="L4" s="0" t="n">
        <v>7481</v>
      </c>
      <c r="M4" s="0" t="n">
        <v>527</v>
      </c>
      <c r="N4" s="0" t="n">
        <v>6954</v>
      </c>
      <c r="O4" s="0" t="n">
        <v>48099</v>
      </c>
      <c r="P4" s="0" t="n">
        <v>67009</v>
      </c>
      <c r="Q4" s="0" t="n">
        <v>17882</v>
      </c>
      <c r="R4" s="0" t="n">
        <v>5536</v>
      </c>
      <c r="S4" s="0" t="n">
        <v>9555</v>
      </c>
      <c r="T4" s="0" t="n">
        <v>3234.507</v>
      </c>
      <c r="U4" s="0" t="n">
        <v>665</v>
      </c>
      <c r="AA4" s="0" t="s">
        <v>18</v>
      </c>
      <c r="AB4" s="0" t="s">
        <v>14</v>
      </c>
      <c r="AC4" s="0" t="n">
        <v>70</v>
      </c>
      <c r="AD4" s="0" t="n">
        <v>1.15</v>
      </c>
      <c r="AE4" s="0" t="n">
        <v>16.8</v>
      </c>
      <c r="AF4" s="0" t="n">
        <v>115</v>
      </c>
      <c r="AG4" s="0" t="n">
        <v>516</v>
      </c>
      <c r="AH4" s="0" t="n">
        <v>3839</v>
      </c>
      <c r="AI4" s="0" t="n">
        <v>442</v>
      </c>
      <c r="AK4" s="0" t="n">
        <v>49127</v>
      </c>
    </row>
    <row r="5" customFormat="false" ht="15" hidden="false" customHeight="false" outlineLevel="0" collapsed="false">
      <c r="A5" s="0" t="s">
        <v>76</v>
      </c>
      <c r="B5" s="0" t="n">
        <v>27752</v>
      </c>
      <c r="C5" s="0" t="n">
        <v>17957</v>
      </c>
      <c r="D5" s="0" t="n">
        <v>9795</v>
      </c>
      <c r="E5" s="0" t="n">
        <v>35.3</v>
      </c>
      <c r="F5" s="0" t="n">
        <v>6059</v>
      </c>
      <c r="G5" s="0" t="n">
        <v>21.8</v>
      </c>
      <c r="I5" s="0" t="n">
        <v>4920</v>
      </c>
      <c r="J5" s="0" t="n">
        <v>17.7</v>
      </c>
      <c r="K5" s="0" t="n">
        <v>1.55</v>
      </c>
      <c r="L5" s="0" t="n">
        <v>7337</v>
      </c>
      <c r="M5" s="0" t="n">
        <v>621</v>
      </c>
      <c r="N5" s="0" t="n">
        <v>6716</v>
      </c>
      <c r="O5" s="0" t="n">
        <v>55907</v>
      </c>
      <c r="P5" s="0" t="n">
        <v>75536</v>
      </c>
      <c r="Q5" s="0" t="n">
        <v>18334</v>
      </c>
      <c r="R5" s="0" t="n">
        <v>5636</v>
      </c>
      <c r="S5" s="0" t="n">
        <v>13567</v>
      </c>
      <c r="T5" s="0" t="n">
        <v>3168.386</v>
      </c>
      <c r="U5" s="0" t="n">
        <v>649</v>
      </c>
      <c r="AA5" s="0" t="s">
        <v>18</v>
      </c>
      <c r="AB5" s="0" t="s">
        <v>14</v>
      </c>
      <c r="AC5" s="0" t="n">
        <v>42</v>
      </c>
      <c r="AD5" s="0" t="n">
        <v>1.58</v>
      </c>
      <c r="AE5" s="0" t="n">
        <v>13.6</v>
      </c>
      <c r="AF5" s="0" t="n">
        <v>117</v>
      </c>
      <c r="AG5" s="0" t="n">
        <v>230</v>
      </c>
      <c r="AH5" s="0" t="n">
        <v>5220</v>
      </c>
      <c r="AI5" s="0" t="n">
        <v>456</v>
      </c>
      <c r="AK5" s="0" t="n">
        <v>57202</v>
      </c>
    </row>
    <row r="6" customFormat="false" ht="15" hidden="false" customHeight="false" outlineLevel="0" collapsed="false">
      <c r="A6" s="0" t="s">
        <v>77</v>
      </c>
      <c r="B6" s="0" t="n">
        <v>28401</v>
      </c>
      <c r="C6" s="0" t="n">
        <v>16376</v>
      </c>
      <c r="D6" s="0" t="n">
        <v>12025</v>
      </c>
      <c r="E6" s="0" t="n">
        <v>42.3</v>
      </c>
      <c r="F6" s="0" t="n">
        <v>8710</v>
      </c>
      <c r="G6" s="0" t="n">
        <v>30.7</v>
      </c>
      <c r="I6" s="0" t="n">
        <v>6644</v>
      </c>
      <c r="J6" s="0" t="n">
        <v>23.4</v>
      </c>
      <c r="K6" s="0" t="n">
        <v>2.12</v>
      </c>
      <c r="L6" s="0" t="n">
        <v>10275</v>
      </c>
      <c r="M6" s="0" t="n">
        <v>1032</v>
      </c>
      <c r="N6" s="0" t="n">
        <v>9243</v>
      </c>
      <c r="O6" s="0" t="n">
        <v>67863</v>
      </c>
      <c r="P6" s="0" t="n">
        <v>90444</v>
      </c>
      <c r="Q6" s="0" t="n">
        <v>20718</v>
      </c>
      <c r="R6" s="0" t="n">
        <v>5726</v>
      </c>
      <c r="S6" s="0" t="n">
        <v>13164</v>
      </c>
      <c r="T6" s="0" t="n">
        <v>3130.862</v>
      </c>
      <c r="U6" s="0" t="n">
        <v>596</v>
      </c>
      <c r="AA6" s="0" t="s">
        <v>18</v>
      </c>
      <c r="AB6" s="0" t="s">
        <v>14</v>
      </c>
      <c r="AC6" s="0" t="n">
        <v>68</v>
      </c>
      <c r="AD6" s="0" t="n">
        <v>2.15</v>
      </c>
      <c r="AE6" s="0" t="n">
        <v>15.6</v>
      </c>
      <c r="AF6" s="0" t="n">
        <v>119</v>
      </c>
      <c r="AG6" s="0" t="n">
        <v>165</v>
      </c>
      <c r="AH6" s="0" t="n">
        <v>7109</v>
      </c>
      <c r="AI6" s="0" t="n">
        <v>713</v>
      </c>
      <c r="AJ6" s="0" t="n">
        <v>24418</v>
      </c>
      <c r="AK6" s="0" t="n">
        <v>69726</v>
      </c>
    </row>
    <row r="7" customFormat="false" ht="15" hidden="false" customHeight="false" outlineLevel="0" collapsed="false">
      <c r="A7" s="0" t="s">
        <v>78</v>
      </c>
      <c r="B7" s="0" t="n">
        <v>32902</v>
      </c>
      <c r="C7" s="0" t="n">
        <v>18367</v>
      </c>
      <c r="D7" s="0" t="n">
        <v>14535</v>
      </c>
      <c r="E7" s="0" t="n">
        <v>44.2</v>
      </c>
      <c r="F7" s="0" t="n">
        <v>13364</v>
      </c>
      <c r="G7" s="0" t="n">
        <v>40.6</v>
      </c>
      <c r="I7" s="0" t="n">
        <v>11056</v>
      </c>
      <c r="J7" s="0" t="n">
        <v>33.6</v>
      </c>
      <c r="K7" s="0" t="n">
        <v>3.56</v>
      </c>
      <c r="L7" s="0" t="n">
        <v>10231</v>
      </c>
      <c r="M7" s="0" t="n">
        <v>1188</v>
      </c>
      <c r="N7" s="0" t="n">
        <v>9043</v>
      </c>
      <c r="O7" s="0" t="n">
        <v>80287</v>
      </c>
      <c r="P7" s="0" t="n">
        <v>102522</v>
      </c>
      <c r="Q7" s="0" t="n">
        <v>19472</v>
      </c>
      <c r="R7" s="0" t="n">
        <v>3497</v>
      </c>
      <c r="S7" s="0" t="n">
        <v>8470</v>
      </c>
      <c r="T7" s="0" t="n">
        <v>3108.804</v>
      </c>
      <c r="U7" s="0" t="n">
        <v>669</v>
      </c>
      <c r="AA7" s="0" t="s">
        <v>18</v>
      </c>
      <c r="AB7" s="0" t="s">
        <v>14</v>
      </c>
      <c r="AC7" s="0" t="n">
        <v>54</v>
      </c>
      <c r="AD7" s="0" t="n">
        <v>3.6</v>
      </c>
      <c r="AE7" s="0" t="n">
        <v>13.7</v>
      </c>
      <c r="AF7" s="0" t="n">
        <v>119</v>
      </c>
      <c r="AG7" s="0" t="n">
        <v>2632</v>
      </c>
      <c r="AH7" s="0" t="n">
        <v>11353</v>
      </c>
      <c r="AI7" s="0" t="n">
        <v>883</v>
      </c>
      <c r="AJ7" s="0" t="n">
        <v>29573</v>
      </c>
      <c r="AK7" s="0" t="n">
        <v>83050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34.04</v>
      </c>
    </row>
    <row r="3" customFormat="false" ht="15" hidden="false" customHeight="false" outlineLevel="0" collapsed="false">
      <c r="A3" s="0" t="s">
        <v>82</v>
      </c>
      <c r="B3" s="3" t="n">
        <v>3354.8</v>
      </c>
    </row>
    <row r="4" customFormat="false" ht="15" hidden="false" customHeight="false" outlineLevel="0" collapsed="false">
      <c r="A4" s="0" t="s">
        <v>83</v>
      </c>
      <c r="B4" s="3" t="n">
        <v>-34546</v>
      </c>
    </row>
    <row r="5" customFormat="false" ht="15" hidden="false" customHeight="false" outlineLevel="0" collapsed="false">
      <c r="A5" s="0" t="s">
        <v>84</v>
      </c>
      <c r="B5" s="3" t="n">
        <v>7243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32902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1.1727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10</v>
      </c>
      <c r="D13" s="3" t="n">
        <v>3</v>
      </c>
      <c r="E13" s="3" t="n">
        <v>-2</v>
      </c>
      <c r="F13" s="3" t="n">
        <v>-3</v>
      </c>
      <c r="G13" s="3" t="n">
        <v>-2</v>
      </c>
      <c r="H13" s="3" t="n">
        <v>-1</v>
      </c>
      <c r="I13" s="3" t="n">
        <v>0</v>
      </c>
      <c r="J13" s="3" t="n">
        <v>0</v>
      </c>
      <c r="K13" s="3" t="n">
        <v>0.5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32</v>
      </c>
      <c r="D14" s="3" t="n">
        <v>29</v>
      </c>
      <c r="E14" s="3" t="n">
        <v>27</v>
      </c>
      <c r="F14" s="3" t="n">
        <v>26</v>
      </c>
      <c r="G14" s="3" t="n">
        <v>25</v>
      </c>
      <c r="H14" s="3" t="n">
        <v>25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104</v>
      </c>
      <c r="C15" s="3" t="n">
        <v>2.1</v>
      </c>
      <c r="D15" s="3" t="n">
        <v>2.1</v>
      </c>
      <c r="E15" s="3" t="n">
        <v>2.1</v>
      </c>
      <c r="F15" s="3" t="n">
        <v>2.1</v>
      </c>
      <c r="G15" s="3" t="n">
        <v>2.1</v>
      </c>
      <c r="H15" s="3" t="n">
        <v>2.1</v>
      </c>
      <c r="I15" s="3" t="n">
        <v>2.1</v>
      </c>
      <c r="J15" s="3" t="n">
        <v>2.1</v>
      </c>
      <c r="K15" s="3" t="n">
        <v>2.1</v>
      </c>
      <c r="L15" s="3" t="n">
        <v>2.1</v>
      </c>
    </row>
    <row r="16" customFormat="false" ht="15" hidden="false" customHeight="false" outlineLevel="0" collapsed="false">
      <c r="A16" s="0" t="s">
        <v>105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106</v>
      </c>
      <c r="C17" s="3" t="n">
        <v>3.8</v>
      </c>
      <c r="D17" s="3" t="n">
        <v>3.8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107</v>
      </c>
      <c r="C18" s="3" t="n">
        <v>3.6</v>
      </c>
      <c r="D18" s="3" t="n">
        <v>3.6</v>
      </c>
      <c r="E18" s="3" t="n">
        <v>3.6</v>
      </c>
      <c r="F18" s="3" t="n">
        <v>3.6</v>
      </c>
      <c r="G18" s="3" t="n">
        <v>3.6</v>
      </c>
      <c r="H18" s="3" t="n">
        <v>3.6</v>
      </c>
      <c r="I18" s="3" t="n">
        <v>3.6</v>
      </c>
      <c r="J18" s="3" t="n">
        <v>3.6</v>
      </c>
      <c r="K18" s="3" t="n">
        <v>3.6</v>
      </c>
      <c r="L18" s="3" t="n">
        <v>3.6</v>
      </c>
    </row>
    <row r="19" customFormat="false" ht="15" hidden="false" customHeight="false" outlineLevel="0" collapsed="false">
      <c r="A19" s="0" t="s">
        <v>108</v>
      </c>
      <c r="C19" s="3" t="n">
        <v>19</v>
      </c>
      <c r="D19" s="3" t="n">
        <v>19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109</v>
      </c>
      <c r="B20" s="3" t="n">
        <v>10.5</v>
      </c>
    </row>
    <row r="21" customFormat="false" ht="15" hidden="false" customHeight="false" outlineLevel="0" collapsed="false">
      <c r="A21" s="0" t="s">
        <v>110</v>
      </c>
      <c r="B21" s="3" t="n">
        <v>1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5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16</v>
      </c>
      <c r="D27" s="3" t="n">
        <v>12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103</v>
      </c>
      <c r="C28" s="3" t="n">
        <v>34</v>
      </c>
      <c r="D28" s="3" t="n">
        <v>33.5</v>
      </c>
      <c r="E28" s="3" t="n">
        <v>34</v>
      </c>
      <c r="F28" s="3" t="n">
        <v>34.5</v>
      </c>
      <c r="G28" s="3" t="n">
        <v>35</v>
      </c>
      <c r="H28" s="3" t="n">
        <v>35.5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104</v>
      </c>
      <c r="C29" s="3" t="n">
        <v>2</v>
      </c>
      <c r="D29" s="3" t="n">
        <v>2</v>
      </c>
      <c r="E29" s="3" t="n">
        <v>1.9</v>
      </c>
      <c r="F29" s="3" t="n">
        <v>1.9</v>
      </c>
      <c r="G29" s="3" t="n">
        <v>1.8</v>
      </c>
      <c r="H29" s="3" t="n">
        <v>1.8</v>
      </c>
      <c r="I29" s="3" t="n">
        <v>1.7</v>
      </c>
      <c r="J29" s="3" t="n">
        <v>1.7</v>
      </c>
      <c r="K29" s="3" t="n">
        <v>1.6</v>
      </c>
      <c r="L29" s="3" t="n">
        <v>1.6</v>
      </c>
    </row>
    <row r="30" customFormat="false" ht="15" hidden="false" customHeight="false" outlineLevel="0" collapsed="false">
      <c r="A30" s="0" t="s">
        <v>105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106</v>
      </c>
      <c r="C31" s="3" t="n">
        <v>3.8</v>
      </c>
      <c r="D31" s="3" t="n">
        <v>3.8</v>
      </c>
      <c r="E31" s="3" t="n">
        <v>3.8</v>
      </c>
      <c r="F31" s="3" t="n">
        <v>3.8</v>
      </c>
      <c r="G31" s="3" t="n">
        <v>3.8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107</v>
      </c>
      <c r="C32" s="3" t="n">
        <v>3.6</v>
      </c>
      <c r="D32" s="3" t="n">
        <v>3.6</v>
      </c>
      <c r="E32" s="3" t="n">
        <v>3.5</v>
      </c>
      <c r="F32" s="3" t="n">
        <v>3.5</v>
      </c>
      <c r="G32" s="3" t="n">
        <v>3.4</v>
      </c>
      <c r="H32" s="3" t="n">
        <v>3.4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108</v>
      </c>
      <c r="C33" s="3" t="n">
        <v>19</v>
      </c>
      <c r="D33" s="3" t="n">
        <v>19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109</v>
      </c>
      <c r="B34" s="3" t="n">
        <v>10.5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18</v>
      </c>
    </row>
    <row r="37" customFormat="false" ht="15" hidden="false" customHeight="false" outlineLevel="0" collapsed="false">
      <c r="A37" s="0" t="s">
        <v>112</v>
      </c>
      <c r="B37" s="3" t="n">
        <v>10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19</v>
      </c>
      <c r="D41" s="3" t="n">
        <v>15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103</v>
      </c>
      <c r="C42" s="3" t="n">
        <v>35</v>
      </c>
      <c r="D42" s="3" t="n">
        <v>35.5</v>
      </c>
      <c r="E42" s="3" t="n">
        <v>36.5</v>
      </c>
      <c r="F42" s="3" t="n">
        <v>37.5</v>
      </c>
      <c r="G42" s="3" t="n">
        <v>38.5</v>
      </c>
      <c r="H42" s="3" t="n">
        <v>39</v>
      </c>
      <c r="I42" s="3" t="n">
        <v>39.5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104</v>
      </c>
      <c r="C43" s="3" t="n">
        <v>2</v>
      </c>
      <c r="D43" s="3" t="n">
        <v>2</v>
      </c>
      <c r="E43" s="3" t="n">
        <v>1.9</v>
      </c>
      <c r="F43" s="3" t="n">
        <v>1.9</v>
      </c>
      <c r="G43" s="3" t="n">
        <v>1.8</v>
      </c>
      <c r="H43" s="3" t="n">
        <v>1.8</v>
      </c>
      <c r="I43" s="3" t="n">
        <v>1.7</v>
      </c>
      <c r="J43" s="3" t="n">
        <v>1.7</v>
      </c>
      <c r="K43" s="3" t="n">
        <v>1.6</v>
      </c>
      <c r="L43" s="3" t="n">
        <v>1.6</v>
      </c>
    </row>
    <row r="44" customFormat="false" ht="15" hidden="false" customHeight="false" outlineLevel="0" collapsed="false">
      <c r="A44" s="0" t="s">
        <v>105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106</v>
      </c>
      <c r="C45" s="3" t="n">
        <v>3.8</v>
      </c>
      <c r="D45" s="3" t="n">
        <v>3.8</v>
      </c>
      <c r="E45" s="3" t="n">
        <v>3.8</v>
      </c>
      <c r="F45" s="3" t="n">
        <v>3.8</v>
      </c>
      <c r="G45" s="3" t="n">
        <v>3.8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107</v>
      </c>
      <c r="C46" s="3" t="n">
        <v>3.6</v>
      </c>
      <c r="D46" s="3" t="n">
        <v>3.6</v>
      </c>
      <c r="E46" s="3" t="n">
        <v>3.5</v>
      </c>
      <c r="F46" s="3" t="n">
        <v>3.5</v>
      </c>
      <c r="G46" s="3" t="n">
        <v>3.4</v>
      </c>
      <c r="H46" s="3" t="n">
        <v>3.4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108</v>
      </c>
      <c r="C47" s="3" t="n">
        <v>19</v>
      </c>
      <c r="D47" s="3" t="n">
        <v>19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109</v>
      </c>
      <c r="B48" s="3" t="n">
        <v>10.5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18</v>
      </c>
    </row>
    <row r="51" customFormat="false" ht="15" hidden="false" customHeight="false" outlineLevel="0" collapsed="false">
      <c r="A51" s="0" t="s">
        <v>112</v>
      </c>
      <c r="B51" s="3" t="n">
        <v>12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10</v>
      </c>
      <c r="D5" s="4" t="n">
        <f aca="false">Assumptions!D13</f>
        <v>3</v>
      </c>
      <c r="E5" s="4" t="n">
        <f aca="false">Assumptions!E13</f>
        <v>-2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0.5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32902</v>
      </c>
      <c r="C6" s="0" t="n">
        <f aca="false">B6*(1+C5/100)</f>
        <v>36192.2</v>
      </c>
      <c r="D6" s="0" t="n">
        <f aca="false">C6*(1+D5/100)</f>
        <v>37277.966</v>
      </c>
      <c r="E6" s="0" t="n">
        <f aca="false">D6*(1+E5/100)</f>
        <v>36532.40668</v>
      </c>
      <c r="F6" s="0" t="n">
        <f aca="false">E6*(1+F5/100)</f>
        <v>35436.4344796</v>
      </c>
      <c r="G6" s="0" t="n">
        <f aca="false">F6*(1+G5/100)</f>
        <v>34727.705790008</v>
      </c>
      <c r="H6" s="0" t="n">
        <f aca="false">G6*(1+H5/100)</f>
        <v>34380.4287321079</v>
      </c>
      <c r="I6" s="0" t="n">
        <f aca="false">H6*(1+I5/100)</f>
        <v>34380.4287321079</v>
      </c>
      <c r="J6" s="0" t="n">
        <f aca="false">I6*(1+J5/100)</f>
        <v>34380.4287321079</v>
      </c>
      <c r="K6" s="0" t="n">
        <f aca="false">J6*(1+K5/100)</f>
        <v>34552.3308757685</v>
      </c>
      <c r="L6" s="0" t="n">
        <f aca="false">K6*(1+L5/100)</f>
        <v>34897.8541845261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32</v>
      </c>
      <c r="D7" s="4" t="n">
        <f aca="false">Assumptions!D14</f>
        <v>29</v>
      </c>
      <c r="E7" s="4" t="n">
        <f aca="false">Assumptions!E14</f>
        <v>27</v>
      </c>
      <c r="F7" s="4" t="n">
        <f aca="false">Assumptions!F14</f>
        <v>26</v>
      </c>
      <c r="G7" s="4" t="n">
        <f aca="false">Assumptions!G14</f>
        <v>25</v>
      </c>
      <c r="H7" s="4" t="n">
        <f aca="false">Assumptions!H14</f>
        <v>25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11581.504</v>
      </c>
      <c r="D8" s="0" t="n">
        <f aca="false">D6*D7/100</f>
        <v>10810.61014</v>
      </c>
      <c r="E8" s="0" t="n">
        <f aca="false">E6*E7/100</f>
        <v>9863.7498036</v>
      </c>
      <c r="F8" s="0" t="n">
        <f aca="false">F6*F7/100</f>
        <v>9213.472964696</v>
      </c>
      <c r="G8" s="0" t="n">
        <f aca="false">G6*G7/100</f>
        <v>8681.926447502</v>
      </c>
      <c r="H8" s="0" t="n">
        <f aca="false">H6*H7/100</f>
        <v>8595.10718302698</v>
      </c>
      <c r="I8" s="0" t="n">
        <f aca="false">I6*I7/100</f>
        <v>8595.10718302698</v>
      </c>
      <c r="J8" s="0" t="n">
        <f aca="false">J6*J7/100</f>
        <v>8595.10718302698</v>
      </c>
      <c r="K8" s="0" t="n">
        <f aca="false">K6*K7/100</f>
        <v>8638.08271894211</v>
      </c>
      <c r="L8" s="0" t="n">
        <f aca="false">L6*L7/100</f>
        <v>8724.46354613154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2.1</v>
      </c>
      <c r="D9" s="4" t="n">
        <f aca="false">Assumptions!D15</f>
        <v>2.1</v>
      </c>
      <c r="E9" s="4" t="n">
        <f aca="false">Assumptions!E15</f>
        <v>2.1</v>
      </c>
      <c r="F9" s="4" t="n">
        <f aca="false">Assumptions!F15</f>
        <v>2.1</v>
      </c>
      <c r="G9" s="4" t="n">
        <f aca="false">Assumptions!G15</f>
        <v>2.1</v>
      </c>
      <c r="H9" s="4" t="n">
        <f aca="false">Assumptions!H15</f>
        <v>2.1</v>
      </c>
      <c r="I9" s="4" t="n">
        <f aca="false">Assumptions!I15</f>
        <v>2.1</v>
      </c>
      <c r="J9" s="4" t="n">
        <f aca="false">Assumptions!J15</f>
        <v>2.1</v>
      </c>
      <c r="K9" s="4" t="n">
        <f aca="false">Assumptions!K15</f>
        <v>2.1</v>
      </c>
      <c r="L9" s="4" t="n">
        <f aca="false">Assumptions!L15</f>
        <v>2.1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-760.0362</v>
      </c>
      <c r="D10" s="0" t="n">
        <f aca="false">-D6*D9/100</f>
        <v>-782.837286</v>
      </c>
      <c r="E10" s="0" t="n">
        <f aca="false">-E6*E9/100</f>
        <v>-767.18054028</v>
      </c>
      <c r="F10" s="0" t="n">
        <f aca="false">-F6*F9/100</f>
        <v>-744.1651240716</v>
      </c>
      <c r="G10" s="0" t="n">
        <f aca="false">-G6*G9/100</f>
        <v>-729.281821590168</v>
      </c>
      <c r="H10" s="0" t="n">
        <f aca="false">-H6*H9/100</f>
        <v>-721.989003374266</v>
      </c>
      <c r="I10" s="0" t="n">
        <f aca="false">-I6*I9/100</f>
        <v>-721.989003374266</v>
      </c>
      <c r="J10" s="0" t="n">
        <f aca="false">-J6*J9/100</f>
        <v>-721.989003374266</v>
      </c>
      <c r="K10" s="0" t="n">
        <f aca="false">-K6*K9/100</f>
        <v>-725.598948391138</v>
      </c>
      <c r="L10" s="0" t="n">
        <f aca="false">-L6*L9/100</f>
        <v>-732.854937875049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10676.699</v>
      </c>
      <c r="D11" s="0" t="n">
        <f aca="false">D8+D10+D24</f>
        <v>9878.66099</v>
      </c>
      <c r="E11" s="0" t="n">
        <f aca="false">E8+E10+E24</f>
        <v>8950.4396366</v>
      </c>
      <c r="F11" s="0" t="n">
        <f aca="false">F8+F10+F24</f>
        <v>8327.562102706</v>
      </c>
      <c r="G11" s="0" t="n">
        <f aca="false">G8+G10+G24</f>
        <v>7813.7338027518</v>
      </c>
      <c r="H11" s="0" t="n">
        <f aca="false">H8+H10+H24</f>
        <v>7735.59646472428</v>
      </c>
      <c r="I11" s="0" t="n">
        <f aca="false">I8+I10+I24</f>
        <v>7735.59646472428</v>
      </c>
      <c r="J11" s="0" t="n">
        <f aca="false">J8+J10+J24</f>
        <v>7735.59646472428</v>
      </c>
      <c r="K11" s="0" t="n">
        <f aca="false">K8+K10+K24</f>
        <v>7774.2744470479</v>
      </c>
      <c r="L11" s="0" t="n">
        <f aca="false">L8+L10+L24</f>
        <v>7852.01719151838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-1375.3036</v>
      </c>
      <c r="D12" s="4" t="n">
        <f aca="false">-D6*Assumptions!D17/100</f>
        <v>-1416.562708</v>
      </c>
      <c r="E12" s="4" t="n">
        <f aca="false">-E6*Assumptions!E17/100</f>
        <v>-1388.23145384</v>
      </c>
      <c r="F12" s="4" t="n">
        <f aca="false">-F6*Assumptions!F17/100</f>
        <v>-1346.5845102248</v>
      </c>
      <c r="G12" s="4" t="n">
        <f aca="false">-G6*Assumptions!G17/100</f>
        <v>-1319.6528200203</v>
      </c>
      <c r="H12" s="4" t="n">
        <f aca="false">-H6*Assumptions!H17/100</f>
        <v>-1306.4562918201</v>
      </c>
      <c r="I12" s="4" t="n">
        <f aca="false">-I6*Assumptions!I17/100</f>
        <v>-1306.4562918201</v>
      </c>
      <c r="J12" s="4" t="n">
        <f aca="false">-J6*Assumptions!J17/100</f>
        <v>-1306.4562918201</v>
      </c>
      <c r="K12" s="4" t="n">
        <f aca="false">-K6*Assumptions!K17/100</f>
        <v>-1312.9885732792</v>
      </c>
      <c r="L12" s="4" t="n">
        <f aca="false">-L6*Assumptions!L17/100</f>
        <v>-1326.11845901199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9301.3954</v>
      </c>
      <c r="D13" s="0" t="n">
        <f aca="false">D11+D12</f>
        <v>8462.098282</v>
      </c>
      <c r="E13" s="0" t="n">
        <f aca="false">E11+E12</f>
        <v>7562.20818276</v>
      </c>
      <c r="F13" s="0" t="n">
        <f aca="false">F11+F12</f>
        <v>6980.9775924812</v>
      </c>
      <c r="G13" s="0" t="n">
        <f aca="false">G11+G12</f>
        <v>6494.0809827315</v>
      </c>
      <c r="H13" s="0" t="n">
        <f aca="false">H11+H12</f>
        <v>6429.14017290418</v>
      </c>
      <c r="I13" s="0" t="n">
        <f aca="false">I11+I12</f>
        <v>6429.14017290418</v>
      </c>
      <c r="J13" s="0" t="n">
        <f aca="false">J11+J12</f>
        <v>6429.14017290418</v>
      </c>
      <c r="K13" s="0" t="n">
        <f aca="false">K11+K12</f>
        <v>6461.2858737687</v>
      </c>
      <c r="L13" s="0" t="n">
        <f aca="false">L11+L12</f>
        <v>6525.89873250639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7534.130274</v>
      </c>
      <c r="D15" s="0" t="n">
        <f aca="false">D13-MAX(0,D13)*D14/100</f>
        <v>6854.29960842</v>
      </c>
      <c r="E15" s="0" t="n">
        <f aca="false">E13-MAX(0,E13)*E14/100</f>
        <v>6049.766546208</v>
      </c>
      <c r="F15" s="0" t="n">
        <f aca="false">F13-MAX(0,F13)*F14/100</f>
        <v>5584.78207398496</v>
      </c>
      <c r="G15" s="0" t="n">
        <f aca="false">G13-MAX(0,G13)*G14/100</f>
        <v>5195.2647861852</v>
      </c>
      <c r="H15" s="0" t="n">
        <f aca="false">H13-MAX(0,H13)*H14/100</f>
        <v>5143.31213832335</v>
      </c>
      <c r="I15" s="0" t="n">
        <f aca="false">I13-MAX(0,I13)*I14/100</f>
        <v>5143.31213832335</v>
      </c>
      <c r="J15" s="0" t="n">
        <f aca="false">J13-MAX(0,J13)*J14/100</f>
        <v>5143.31213832335</v>
      </c>
      <c r="K15" s="0" t="n">
        <f aca="false">K13-MAX(0,K13)*K14/100</f>
        <v>5169.02869901496</v>
      </c>
      <c r="L15" s="0" t="n">
        <f aca="false">L13-MAX(0,L13)*L14/100</f>
        <v>5220.71898600511</v>
      </c>
    </row>
    <row r="16" customFormat="false" ht="15" hidden="false" customHeight="false" outlineLevel="0" collapsed="false">
      <c r="A16" s="0" t="s">
        <v>124</v>
      </c>
      <c r="C16" s="0" t="n">
        <f aca="false">-C12</f>
        <v>1375.3036</v>
      </c>
      <c r="D16" s="0" t="n">
        <f aca="false">-D12</f>
        <v>1416.562708</v>
      </c>
      <c r="E16" s="0" t="n">
        <f aca="false">-E12</f>
        <v>1388.23145384</v>
      </c>
      <c r="F16" s="0" t="n">
        <f aca="false">-F12</f>
        <v>1346.5845102248</v>
      </c>
      <c r="G16" s="0" t="n">
        <f aca="false">-G12</f>
        <v>1319.6528200203</v>
      </c>
      <c r="H16" s="0" t="n">
        <f aca="false">-H12</f>
        <v>1306.4562918201</v>
      </c>
      <c r="I16" s="0" t="n">
        <f aca="false">-I12</f>
        <v>1306.4562918201</v>
      </c>
      <c r="J16" s="0" t="n">
        <f aca="false">-J12</f>
        <v>1306.4562918201</v>
      </c>
      <c r="K16" s="0" t="n">
        <f aca="false">-K12</f>
        <v>1312.9885732792</v>
      </c>
      <c r="L16" s="0" t="n">
        <f aca="false">-L12</f>
        <v>1326.11845901199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-1302.9192</v>
      </c>
      <c r="D17" s="4" t="n">
        <f aca="false">-D6*Assumptions!D18/100</f>
        <v>-1342.006776</v>
      </c>
      <c r="E17" s="4" t="n">
        <f aca="false">-E6*Assumptions!E18/100</f>
        <v>-1315.16664048</v>
      </c>
      <c r="F17" s="4" t="n">
        <f aca="false">-F6*Assumptions!F18/100</f>
        <v>-1275.7116412656</v>
      </c>
      <c r="G17" s="4" t="n">
        <f aca="false">-G6*Assumptions!G18/100</f>
        <v>-1250.19740844029</v>
      </c>
      <c r="H17" s="4" t="n">
        <f aca="false">-H6*Assumptions!H18/100</f>
        <v>-1237.69543435589</v>
      </c>
      <c r="I17" s="4" t="n">
        <f aca="false">-I6*Assumptions!I18/100</f>
        <v>-1237.69543435589</v>
      </c>
      <c r="J17" s="4" t="n">
        <f aca="false">-J6*Assumptions!J18/100</f>
        <v>-1237.69543435589</v>
      </c>
      <c r="K17" s="4" t="n">
        <f aca="false">-K6*Assumptions!K18/100</f>
        <v>-1243.88391152766</v>
      </c>
      <c r="L17" s="4" t="n">
        <f aca="false">-L6*Assumptions!L18/100</f>
        <v>-1256.32275064294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164.51</v>
      </c>
      <c r="D18" s="4" t="n">
        <f aca="false">(D6-C6)*Assumptions!$B$23/100</f>
        <v>54.2883000000002</v>
      </c>
      <c r="E18" s="4" t="n">
        <f aca="false">(E6-D6)*Assumptions!$B$23/100</f>
        <v>-37.277966</v>
      </c>
      <c r="F18" s="4" t="n">
        <f aca="false">(F6-E6)*Assumptions!$B$23/100</f>
        <v>-54.79861002</v>
      </c>
      <c r="G18" s="4" t="n">
        <f aca="false">(G6-F6)*Assumptions!$B$23/100</f>
        <v>-35.4364344796002</v>
      </c>
      <c r="H18" s="4" t="n">
        <f aca="false">(H6-G6)*Assumptions!$B$23/100</f>
        <v>-17.3638528950039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8.59510718302663</v>
      </c>
      <c r="L18" s="4" t="n">
        <f aca="false">(L6-K6)*Assumptions!$B$23/100</f>
        <v>17.2761654378843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7771.024674</v>
      </c>
      <c r="D19" s="0" t="n">
        <f aca="false">D15+D16+D17+D18</f>
        <v>6983.14384042</v>
      </c>
      <c r="E19" s="0" t="n">
        <f aca="false">E15+E16+E17+E18</f>
        <v>6085.553393568</v>
      </c>
      <c r="F19" s="0" t="n">
        <f aca="false">F15+F16+F17+F18</f>
        <v>5600.85633292416</v>
      </c>
      <c r="G19" s="0" t="n">
        <f aca="false">G15+G16+G17+G18</f>
        <v>5229.28376328561</v>
      </c>
      <c r="H19" s="0" t="n">
        <f aca="false">H15+H16+H17+H18</f>
        <v>5194.70914289256</v>
      </c>
      <c r="I19" s="0" t="n">
        <f aca="false">I15+I16+I17+I18</f>
        <v>5212.07299578756</v>
      </c>
      <c r="J19" s="0" t="n">
        <f aca="false">J15+J16+J17+J18</f>
        <v>5212.07299578756</v>
      </c>
      <c r="K19" s="0" t="n">
        <f aca="false">K15+K16+K17+K18</f>
        <v>5246.72846794953</v>
      </c>
      <c r="L19" s="0" t="n">
        <f aca="false">L15+L16+L17+L18</f>
        <v>5307.79085981205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7032.60151493213</v>
      </c>
      <c r="D21" s="0" t="n">
        <f aca="false">D19*D20</f>
        <v>5719.08342615426</v>
      </c>
      <c r="E21" s="0" t="n">
        <f aca="false">E19*E20</f>
        <v>4510.38114614817</v>
      </c>
      <c r="F21" s="0" t="n">
        <f aca="false">F19*F20</f>
        <v>3756.68967024107</v>
      </c>
      <c r="G21" s="0" t="n">
        <f aca="false">G19*G20</f>
        <v>3174.17465097873</v>
      </c>
      <c r="H21" s="0" t="n">
        <f aca="false">H19*H20</f>
        <v>2853.56367450056</v>
      </c>
      <c r="I21" s="0" t="n">
        <f aca="false">I19*I20</f>
        <v>2591.04253971885</v>
      </c>
      <c r="J21" s="0" t="n">
        <f aca="false">J19*J20</f>
        <v>2344.83487757362</v>
      </c>
      <c r="K21" s="0" t="n">
        <f aca="false">K19*K20</f>
        <v>2136.1320037056</v>
      </c>
      <c r="L21" s="0" t="n">
        <f aca="false">L19*L20</f>
        <v>1955.6495033835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-144.7688</v>
      </c>
      <c r="D24" s="0" t="n">
        <f aca="false">-D6*D23/100</f>
        <v>-149.111864</v>
      </c>
      <c r="E24" s="0" t="n">
        <f aca="false">-E6*E23/100</f>
        <v>-146.12962672</v>
      </c>
      <c r="F24" s="0" t="n">
        <f aca="false">-F6*F23/100</f>
        <v>-141.7457379184</v>
      </c>
      <c r="G24" s="0" t="n">
        <f aca="false">-G6*G23/100</f>
        <v>-138.910823160032</v>
      </c>
      <c r="H24" s="0" t="n">
        <f aca="false">-H6*H23/100</f>
        <v>-137.521714928432</v>
      </c>
      <c r="I24" s="0" t="n">
        <f aca="false">-I6*I23/100</f>
        <v>-137.521714928432</v>
      </c>
      <c r="J24" s="0" t="n">
        <f aca="false">-J6*J23/100</f>
        <v>-137.521714928432</v>
      </c>
      <c r="K24" s="0" t="n">
        <f aca="false">-K6*K23/100</f>
        <v>-138.209323503074</v>
      </c>
      <c r="L24" s="0" t="n">
        <f aca="false">-L6*L23/100</f>
        <v>-139.591416738105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36074.1530073365</v>
      </c>
    </row>
    <row r="31" customFormat="false" ht="15" hidden="false" customHeight="false" outlineLevel="0" collapsed="false">
      <c r="A31" s="0" t="s">
        <v>133</v>
      </c>
      <c r="B31" s="0" t="n">
        <f aca="false">L19</f>
        <v>5307.79085981205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56430.1975622123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63693.4903177446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56430.1975622123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20791.6420886036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56865.79509594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98654.79509594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34.4856558390989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0.013092122182693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4485.13397013604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2870.73435514062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37.0569646458987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38291.9197743583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28.5966752643129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16</v>
      </c>
      <c r="D5" s="4" t="n">
        <f aca="false">Assumptions!D27</f>
        <v>12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32902</v>
      </c>
      <c r="C6" s="0" t="n">
        <f aca="false">B6*(1+C5/100)</f>
        <v>38166.32</v>
      </c>
      <c r="D6" s="0" t="n">
        <f aca="false">C6*(1+D5/100)</f>
        <v>42746.2784</v>
      </c>
      <c r="E6" s="0" t="n">
        <f aca="false">D6*(1+E5/100)</f>
        <v>45738.517888</v>
      </c>
      <c r="F6" s="0" t="n">
        <f aca="false">E6*(1+F5/100)</f>
        <v>48482.82896128</v>
      </c>
      <c r="G6" s="0" t="n">
        <f aca="false">F6*(1+G5/100)</f>
        <v>50906.970409344</v>
      </c>
      <c r="H6" s="0" t="n">
        <f aca="false">G6*(1+H5/100)</f>
        <v>53197.7840777645</v>
      </c>
      <c r="I6" s="0" t="n">
        <f aca="false">H6*(1+I5/100)</f>
        <v>55325.6954408751</v>
      </c>
      <c r="J6" s="0" t="n">
        <f aca="false">I6*(1+J5/100)</f>
        <v>57262.0947813057</v>
      </c>
      <c r="K6" s="0" t="n">
        <f aca="false">J6*(1+K5/100)</f>
        <v>58979.9576247449</v>
      </c>
      <c r="L6" s="0" t="n">
        <f aca="false">K6*(1+L5/100)</f>
        <v>60749.3563534872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34</v>
      </c>
      <c r="D7" s="4" t="n">
        <f aca="false">Assumptions!D28</f>
        <v>33.5</v>
      </c>
      <c r="E7" s="4" t="n">
        <f aca="false">Assumptions!E28</f>
        <v>34</v>
      </c>
      <c r="F7" s="4" t="n">
        <f aca="false">Assumptions!F28</f>
        <v>34.5</v>
      </c>
      <c r="G7" s="4" t="n">
        <f aca="false">Assumptions!G28</f>
        <v>35</v>
      </c>
      <c r="H7" s="4" t="n">
        <f aca="false">Assumptions!H28</f>
        <v>35.5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12976.5488</v>
      </c>
      <c r="D8" s="0" t="n">
        <f aca="false">D6*D7/100</f>
        <v>14320.003264</v>
      </c>
      <c r="E8" s="0" t="n">
        <f aca="false">E6*E7/100</f>
        <v>15551.09608192</v>
      </c>
      <c r="F8" s="0" t="n">
        <f aca="false">F6*F7/100</f>
        <v>16726.5759916416</v>
      </c>
      <c r="G8" s="0" t="n">
        <f aca="false">G6*G7/100</f>
        <v>17817.4396432704</v>
      </c>
      <c r="H8" s="0" t="n">
        <f aca="false">H6*H7/100</f>
        <v>18885.2133476064</v>
      </c>
      <c r="I8" s="0" t="n">
        <f aca="false">I6*I7/100</f>
        <v>19917.250358715</v>
      </c>
      <c r="J8" s="0" t="n">
        <f aca="false">J6*J7/100</f>
        <v>20614.3541212701</v>
      </c>
      <c r="K8" s="0" t="n">
        <f aca="false">K6*K7/100</f>
        <v>21232.7847449082</v>
      </c>
      <c r="L8" s="0" t="n">
        <f aca="false">L6*L7/100</f>
        <v>21869.7682872554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1.9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1.7</v>
      </c>
      <c r="J9" s="4" t="n">
        <f aca="false">Assumptions!J29</f>
        <v>1.7</v>
      </c>
      <c r="K9" s="4" t="n">
        <f aca="false">Assumptions!K29</f>
        <v>1.6</v>
      </c>
      <c r="L9" s="4" t="n">
        <f aca="false">Assumptions!L29</f>
        <v>1.6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-763.3264</v>
      </c>
      <c r="D10" s="0" t="n">
        <f aca="false">-D6*D9/100</f>
        <v>-854.925568</v>
      </c>
      <c r="E10" s="0" t="n">
        <f aca="false">-E6*E9/100</f>
        <v>-869.031839872</v>
      </c>
      <c r="F10" s="0" t="n">
        <f aca="false">-F6*F9/100</f>
        <v>-921.17375026432</v>
      </c>
      <c r="G10" s="0" t="n">
        <f aca="false">-G6*G9/100</f>
        <v>-916.325467368192</v>
      </c>
      <c r="H10" s="0" t="n">
        <f aca="false">-H6*H9/100</f>
        <v>-957.560113399761</v>
      </c>
      <c r="I10" s="0" t="n">
        <f aca="false">-I6*I9/100</f>
        <v>-940.536822494876</v>
      </c>
      <c r="J10" s="0" t="n">
        <f aca="false">-J6*J9/100</f>
        <v>-973.455611282197</v>
      </c>
      <c r="K10" s="0" t="n">
        <f aca="false">-K6*K9/100</f>
        <v>-943.679321995918</v>
      </c>
      <c r="L10" s="0" t="n">
        <f aca="false">-L6*L9/100</f>
        <v>-971.989701655795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12060.55712</v>
      </c>
      <c r="D11" s="0" t="n">
        <f aca="false">D8+D10+D24</f>
        <v>13294.0925824</v>
      </c>
      <c r="E11" s="0" t="n">
        <f aca="false">E8+E10+E24</f>
        <v>14499.110170496</v>
      </c>
      <c r="F11" s="0" t="n">
        <f aca="false">F8+F10+F24</f>
        <v>15611.4709255322</v>
      </c>
      <c r="G11" s="0" t="n">
        <f aca="false">G8+G10+G24</f>
        <v>16697.4862942648</v>
      </c>
      <c r="H11" s="0" t="n">
        <f aca="false">H8+H10+H24</f>
        <v>17714.8620978956</v>
      </c>
      <c r="I11" s="0" t="n">
        <f aca="false">I8+I10+I24</f>
        <v>18755.4107544566</v>
      </c>
      <c r="J11" s="0" t="n">
        <f aca="false">J8+J10+J24</f>
        <v>19411.8501308626</v>
      </c>
      <c r="K11" s="0" t="n">
        <f aca="false">K8+K10+K24</f>
        <v>20053.1855924133</v>
      </c>
      <c r="L11" s="0" t="n">
        <f aca="false">L8+L10+L24</f>
        <v>20654.7811601857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-1450.32016</v>
      </c>
      <c r="D12" s="4" t="n">
        <f aca="false">-D6*Assumptions!D31/100</f>
        <v>-1624.3585792</v>
      </c>
      <c r="E12" s="4" t="n">
        <f aca="false">-E6*Assumptions!E31/100</f>
        <v>-1738.063679744</v>
      </c>
      <c r="F12" s="4" t="n">
        <f aca="false">-F6*Assumptions!F31/100</f>
        <v>-1842.34750052864</v>
      </c>
      <c r="G12" s="4" t="n">
        <f aca="false">-G6*Assumptions!G31/100</f>
        <v>-1934.46487555507</v>
      </c>
      <c r="H12" s="4" t="n">
        <f aca="false">-H6*Assumptions!H31/100</f>
        <v>-2021.51579495505</v>
      </c>
      <c r="I12" s="4" t="n">
        <f aca="false">-I6*Assumptions!I31/100</f>
        <v>-2102.37642675325</v>
      </c>
      <c r="J12" s="4" t="n">
        <f aca="false">-J6*Assumptions!J31/100</f>
        <v>-2175.95960168962</v>
      </c>
      <c r="K12" s="4" t="n">
        <f aca="false">-K6*Assumptions!K31/100</f>
        <v>-2241.2383897403</v>
      </c>
      <c r="L12" s="4" t="n">
        <f aca="false">-L6*Assumptions!L31/100</f>
        <v>-2308.47554143251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10610.23696</v>
      </c>
      <c r="D13" s="0" t="n">
        <f aca="false">D11+D12</f>
        <v>11669.7340032</v>
      </c>
      <c r="E13" s="0" t="n">
        <f aca="false">E11+E12</f>
        <v>12761.046490752</v>
      </c>
      <c r="F13" s="0" t="n">
        <f aca="false">F11+F12</f>
        <v>13769.1234250035</v>
      </c>
      <c r="G13" s="0" t="n">
        <f aca="false">G11+G12</f>
        <v>14763.0214187098</v>
      </c>
      <c r="H13" s="0" t="n">
        <f aca="false">H11+H12</f>
        <v>15693.3463029405</v>
      </c>
      <c r="I13" s="0" t="n">
        <f aca="false">I11+I12</f>
        <v>16653.0343277034</v>
      </c>
      <c r="J13" s="0" t="n">
        <f aca="false">J11+J12</f>
        <v>17235.890529173</v>
      </c>
      <c r="K13" s="0" t="n">
        <f aca="false">K11+K12</f>
        <v>17811.947202673</v>
      </c>
      <c r="L13" s="0" t="n">
        <f aca="false">L11+L12</f>
        <v>18346.3056187531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19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8594.2919376</v>
      </c>
      <c r="D15" s="0" t="n">
        <f aca="false">D13-MAX(0,D13)*D14/100</f>
        <v>9452.484542592</v>
      </c>
      <c r="E15" s="0" t="n">
        <f aca="false">E13-MAX(0,E13)*E14/100</f>
        <v>10208.8371926016</v>
      </c>
      <c r="F15" s="0" t="n">
        <f aca="false">F13-MAX(0,F13)*F14/100</f>
        <v>11015.2987400028</v>
      </c>
      <c r="G15" s="0" t="n">
        <f aca="false">G13-MAX(0,G13)*G14/100</f>
        <v>11810.4171349678</v>
      </c>
      <c r="H15" s="0" t="n">
        <f aca="false">H13-MAX(0,H13)*H14/100</f>
        <v>12554.6770423524</v>
      </c>
      <c r="I15" s="0" t="n">
        <f aca="false">I13-MAX(0,I13)*I14/100</f>
        <v>13322.4274621627</v>
      </c>
      <c r="J15" s="0" t="n">
        <f aca="false">J13-MAX(0,J13)*J14/100</f>
        <v>13788.7124233384</v>
      </c>
      <c r="K15" s="0" t="n">
        <f aca="false">K13-MAX(0,K13)*K14/100</f>
        <v>14249.5577621384</v>
      </c>
      <c r="L15" s="0" t="n">
        <f aca="false">L13-MAX(0,L13)*L14/100</f>
        <v>14677.0444950025</v>
      </c>
    </row>
    <row r="16" customFormat="false" ht="15" hidden="false" customHeight="false" outlineLevel="0" collapsed="false">
      <c r="A16" s="0" t="s">
        <v>124</v>
      </c>
      <c r="C16" s="0" t="n">
        <f aca="false">-C12</f>
        <v>1450.32016</v>
      </c>
      <c r="D16" s="0" t="n">
        <f aca="false">-D12</f>
        <v>1624.3585792</v>
      </c>
      <c r="E16" s="0" t="n">
        <f aca="false">-E12</f>
        <v>1738.063679744</v>
      </c>
      <c r="F16" s="0" t="n">
        <f aca="false">-F12</f>
        <v>1842.34750052864</v>
      </c>
      <c r="G16" s="0" t="n">
        <f aca="false">-G12</f>
        <v>1934.46487555507</v>
      </c>
      <c r="H16" s="0" t="n">
        <f aca="false">-H12</f>
        <v>2021.51579495505</v>
      </c>
      <c r="I16" s="0" t="n">
        <f aca="false">-I12</f>
        <v>2102.37642675325</v>
      </c>
      <c r="J16" s="0" t="n">
        <f aca="false">-J12</f>
        <v>2175.95960168962</v>
      </c>
      <c r="K16" s="0" t="n">
        <f aca="false">-K12</f>
        <v>2241.2383897403</v>
      </c>
      <c r="L16" s="0" t="n">
        <f aca="false">-L12</f>
        <v>2308.47554143251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-1373.98752</v>
      </c>
      <c r="D17" s="4" t="n">
        <f aca="false">-D6*Assumptions!D32/100</f>
        <v>-1538.8660224</v>
      </c>
      <c r="E17" s="4" t="n">
        <f aca="false">-E6*Assumptions!E32/100</f>
        <v>-1600.84812608</v>
      </c>
      <c r="F17" s="4" t="n">
        <f aca="false">-F6*Assumptions!F32/100</f>
        <v>-1696.8990136448</v>
      </c>
      <c r="G17" s="4" t="n">
        <f aca="false">-G6*Assumptions!G32/100</f>
        <v>-1730.8369939177</v>
      </c>
      <c r="H17" s="4" t="n">
        <f aca="false">-H6*Assumptions!H32/100</f>
        <v>-1808.72465864399</v>
      </c>
      <c r="I17" s="4" t="n">
        <f aca="false">-I6*Assumptions!I32/100</f>
        <v>-1825.74794954888</v>
      </c>
      <c r="J17" s="4" t="n">
        <f aca="false">-J6*Assumptions!J32/100</f>
        <v>-1889.64912778309</v>
      </c>
      <c r="K17" s="4" t="n">
        <f aca="false">-K6*Assumptions!K32/100</f>
        <v>-1946.33860161658</v>
      </c>
      <c r="L17" s="4" t="n">
        <f aca="false">-L6*Assumptions!L32/100</f>
        <v>-2004.72875966508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526.432</v>
      </c>
      <c r="D18" s="4" t="n">
        <f aca="false">(D6-C6)*Assumptions!$B$37/100</f>
        <v>457.99584</v>
      </c>
      <c r="E18" s="4" t="n">
        <f aca="false">(E6-D6)*Assumptions!$B$37/100</f>
        <v>299.2239488</v>
      </c>
      <c r="F18" s="4" t="n">
        <f aca="false">(F6-E6)*Assumptions!$B$37/100</f>
        <v>274.431107328001</v>
      </c>
      <c r="G18" s="4" t="n">
        <f aca="false">(G6-F6)*Assumptions!$B$37/100</f>
        <v>242.4141448064</v>
      </c>
      <c r="H18" s="4" t="n">
        <f aca="false">(H6-G6)*Assumptions!$B$37/100</f>
        <v>229.081366842048</v>
      </c>
      <c r="I18" s="4" t="n">
        <f aca="false">(I6-H6)*Assumptions!$B$37/100</f>
        <v>212.791136311058</v>
      </c>
      <c r="J18" s="4" t="n">
        <f aca="false">(J6-I6)*Assumptions!$B$37/100</f>
        <v>193.639934043062</v>
      </c>
      <c r="K18" s="4" t="n">
        <f aca="false">(K6-J6)*Assumptions!$B$37/100</f>
        <v>171.786284343917</v>
      </c>
      <c r="L18" s="4" t="n">
        <f aca="false">(L6-K6)*Assumptions!$B$37/100</f>
        <v>176.939872874234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9197.0565776</v>
      </c>
      <c r="D19" s="0" t="n">
        <f aca="false">D15+D16+D17+D18</f>
        <v>9995.972939392</v>
      </c>
      <c r="E19" s="0" t="n">
        <f aca="false">E15+E16+E17+E18</f>
        <v>10645.2766950656</v>
      </c>
      <c r="F19" s="0" t="n">
        <f aca="false">F15+F16+F17+F18</f>
        <v>11435.1783342147</v>
      </c>
      <c r="G19" s="0" t="n">
        <f aca="false">G15+G16+G17+G18</f>
        <v>12256.4591614116</v>
      </c>
      <c r="H19" s="0" t="n">
        <f aca="false">H15+H16+H17+H18</f>
        <v>12996.5495455055</v>
      </c>
      <c r="I19" s="0" t="n">
        <f aca="false">I15+I16+I17+I18</f>
        <v>13811.8470756782</v>
      </c>
      <c r="J19" s="0" t="n">
        <f aca="false">J15+J16+J17+J18</f>
        <v>14268.662831288</v>
      </c>
      <c r="K19" s="0" t="n">
        <f aca="false">K15+K16+K17+K18</f>
        <v>14716.243834606</v>
      </c>
      <c r="L19" s="0" t="n">
        <f aca="false">L15+L16+L17+L18</f>
        <v>15157.7311496442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8323.12812452489</v>
      </c>
      <c r="D21" s="0" t="n">
        <f aca="false">D19*D20</f>
        <v>8186.54240444872</v>
      </c>
      <c r="E21" s="0" t="n">
        <f aca="false">E19*E20</f>
        <v>7889.87495396919</v>
      </c>
      <c r="F21" s="0" t="n">
        <f aca="false">F19*F20</f>
        <v>7669.97290628242</v>
      </c>
      <c r="G21" s="0" t="n">
        <f aca="false">G19*G20</f>
        <v>7439.66932030951</v>
      </c>
      <c r="H21" s="0" t="n">
        <f aca="false">H19*H20</f>
        <v>7139.279728037</v>
      </c>
      <c r="I21" s="0" t="n">
        <f aca="false">I19*I20</f>
        <v>6866.1899697293</v>
      </c>
      <c r="J21" s="0" t="n">
        <f aca="false">J19*J20</f>
        <v>6419.26125942274</v>
      </c>
      <c r="K21" s="0" t="n">
        <f aca="false">K19*K20</f>
        <v>5991.51254376284</v>
      </c>
      <c r="L21" s="0" t="n">
        <f aca="false">L19*L20</f>
        <v>5584.84879644862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-152.66528</v>
      </c>
      <c r="D24" s="0" t="n">
        <f aca="false">-D6*D23/100</f>
        <v>-170.9851136</v>
      </c>
      <c r="E24" s="0" t="n">
        <f aca="false">-E6*E23/100</f>
        <v>-182.954071552</v>
      </c>
      <c r="F24" s="0" t="n">
        <f aca="false">-F6*F23/100</f>
        <v>-193.93131584512</v>
      </c>
      <c r="G24" s="0" t="n">
        <f aca="false">-G6*G23/100</f>
        <v>-203.627881637376</v>
      </c>
      <c r="H24" s="0" t="n">
        <f aca="false">-H6*H23/100</f>
        <v>-212.791136311058</v>
      </c>
      <c r="I24" s="0" t="n">
        <f aca="false">-I6*I23/100</f>
        <v>-221.3027817635</v>
      </c>
      <c r="J24" s="0" t="n">
        <f aca="false">-J6*J23/100</f>
        <v>-229.048379125223</v>
      </c>
      <c r="K24" s="0" t="n">
        <f aca="false">-K6*K23/100</f>
        <v>-235.919830498979</v>
      </c>
      <c r="L24" s="0" t="n">
        <f aca="false">-L6*L23/100</f>
        <v>-242.997425413949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71510.2800069352</v>
      </c>
    </row>
    <row r="31" customFormat="false" ht="15" hidden="false" customHeight="false" outlineLevel="0" collapsed="false">
      <c r="A31" s="0" t="s">
        <v>133</v>
      </c>
      <c r="B31" s="0" t="n">
        <f aca="false">L19</f>
        <v>15157.7311496442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194208.430354816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272839.160693595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194208.430354816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71555.8752044979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143066.155211433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184855.155211433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64.6177538203313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0.898288890138994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5382.97814453276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4588.52140238494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68.1033796456176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124293.395427082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45.8289345330786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19</v>
      </c>
      <c r="D5" s="4" t="n">
        <f aca="false">Assumptions!D41</f>
        <v>15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32902</v>
      </c>
      <c r="C6" s="0" t="n">
        <f aca="false">B6*(1+C5/100)</f>
        <v>39153.38</v>
      </c>
      <c r="D6" s="0" t="n">
        <f aca="false">C6*(1+D5/100)</f>
        <v>45026.387</v>
      </c>
      <c r="E6" s="0" t="n">
        <f aca="false">D6*(1+E5/100)</f>
        <v>49529.0257</v>
      </c>
      <c r="F6" s="0" t="n">
        <f aca="false">E6*(1+F5/100)</f>
        <v>53986.638013</v>
      </c>
      <c r="G6" s="0" t="n">
        <f aca="false">F6*(1+G5/100)</f>
        <v>58305.56905404</v>
      </c>
      <c r="H6" s="0" t="n">
        <f aca="false">G6*(1+H5/100)</f>
        <v>62386.9588878228</v>
      </c>
      <c r="I6" s="0" t="n">
        <f aca="false">H6*(1+I5/100)</f>
        <v>66130.1764210922</v>
      </c>
      <c r="J6" s="0" t="n">
        <f aca="false">I6*(1+J5/100)</f>
        <v>69436.6852421468</v>
      </c>
      <c r="K6" s="0" t="n">
        <f aca="false">J6*(1+K5/100)</f>
        <v>72214.1526518327</v>
      </c>
      <c r="L6" s="0" t="n">
        <f aca="false">K6*(1+L5/100)</f>
        <v>74741.6479946468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35</v>
      </c>
      <c r="D7" s="4" t="n">
        <f aca="false">Assumptions!D42</f>
        <v>35.5</v>
      </c>
      <c r="E7" s="4" t="n">
        <f aca="false">Assumptions!E42</f>
        <v>36.5</v>
      </c>
      <c r="F7" s="4" t="n">
        <f aca="false">Assumptions!F42</f>
        <v>37.5</v>
      </c>
      <c r="G7" s="4" t="n">
        <f aca="false">Assumptions!G42</f>
        <v>38.5</v>
      </c>
      <c r="H7" s="4" t="n">
        <f aca="false">Assumptions!H42</f>
        <v>39</v>
      </c>
      <c r="I7" s="4" t="n">
        <f aca="false">Assumptions!I42</f>
        <v>39.5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13703.683</v>
      </c>
      <c r="D8" s="0" t="n">
        <f aca="false">D6*D7/100</f>
        <v>15984.367385</v>
      </c>
      <c r="E8" s="0" t="n">
        <f aca="false">E6*E7/100</f>
        <v>18078.0943805</v>
      </c>
      <c r="F8" s="0" t="n">
        <f aca="false">F6*F7/100</f>
        <v>20244.989254875</v>
      </c>
      <c r="G8" s="0" t="n">
        <f aca="false">G6*G7/100</f>
        <v>22447.6440858054</v>
      </c>
      <c r="H8" s="0" t="n">
        <f aca="false">H6*H7/100</f>
        <v>24330.9139662509</v>
      </c>
      <c r="I8" s="0" t="n">
        <f aca="false">I6*I7/100</f>
        <v>26121.4196863314</v>
      </c>
      <c r="J8" s="0" t="n">
        <f aca="false">J6*J7/100</f>
        <v>27774.6740968587</v>
      </c>
      <c r="K8" s="0" t="n">
        <f aca="false">K6*K7/100</f>
        <v>28885.6610607331</v>
      </c>
      <c r="L8" s="0" t="n">
        <f aca="false">L6*L7/100</f>
        <v>29896.6591978587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1.6</v>
      </c>
      <c r="L9" s="4" t="n">
        <f aca="false">Assumptions!L43</f>
        <v>1.6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-783.0676</v>
      </c>
      <c r="D10" s="0" t="n">
        <f aca="false">-D6*D9/100</f>
        <v>-900.52774</v>
      </c>
      <c r="E10" s="0" t="n">
        <f aca="false">-E6*E9/100</f>
        <v>-941.0514883</v>
      </c>
      <c r="F10" s="0" t="n">
        <f aca="false">-F6*F9/100</f>
        <v>-1025.746122247</v>
      </c>
      <c r="G10" s="0" t="n">
        <f aca="false">-G6*G9/100</f>
        <v>-1049.50024297272</v>
      </c>
      <c r="H10" s="0" t="n">
        <f aca="false">-H6*H9/100</f>
        <v>-1122.96525998081</v>
      </c>
      <c r="I10" s="0" t="n">
        <f aca="false">-I6*I9/100</f>
        <v>-1124.21299915857</v>
      </c>
      <c r="J10" s="0" t="n">
        <f aca="false">-J6*J9/100</f>
        <v>-1180.4236491165</v>
      </c>
      <c r="K10" s="0" t="n">
        <f aca="false">-K6*K9/100</f>
        <v>-1155.42644242932</v>
      </c>
      <c r="L10" s="0" t="n">
        <f aca="false">-L6*L9/100</f>
        <v>-1195.86636791435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12764.00188</v>
      </c>
      <c r="D11" s="0" t="n">
        <f aca="false">D8+D10+D24</f>
        <v>14903.734097</v>
      </c>
      <c r="E11" s="0" t="n">
        <f aca="false">E8+E10+E24</f>
        <v>16938.9267894</v>
      </c>
      <c r="F11" s="0" t="n">
        <f aca="false">F8+F10+F24</f>
        <v>19003.296580576</v>
      </c>
      <c r="G11" s="0" t="n">
        <f aca="false">G8+G10+G24</f>
        <v>21164.9215666165</v>
      </c>
      <c r="H11" s="0" t="n">
        <f aca="false">H8+H10+H24</f>
        <v>22958.4008707188</v>
      </c>
      <c r="I11" s="0" t="n">
        <f aca="false">I8+I10+I24</f>
        <v>24732.6859814885</v>
      </c>
      <c r="J11" s="0" t="n">
        <f aca="false">J8+J10+J24</f>
        <v>26316.5037067736</v>
      </c>
      <c r="K11" s="0" t="n">
        <f aca="false">K8+K10+K24</f>
        <v>27441.3780076964</v>
      </c>
      <c r="L11" s="0" t="n">
        <f aca="false">L8+L10+L24</f>
        <v>28401.8262379658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-1487.82844</v>
      </c>
      <c r="D12" s="4" t="n">
        <f aca="false">-D6*Assumptions!D45/100</f>
        <v>-1711.002706</v>
      </c>
      <c r="E12" s="4" t="n">
        <f aca="false">-E6*Assumptions!E45/100</f>
        <v>-1882.1029766</v>
      </c>
      <c r="F12" s="4" t="n">
        <f aca="false">-F6*Assumptions!F45/100</f>
        <v>-2051.492244494</v>
      </c>
      <c r="G12" s="4" t="n">
        <f aca="false">-G6*Assumptions!G45/100</f>
        <v>-2215.61162405352</v>
      </c>
      <c r="H12" s="4" t="n">
        <f aca="false">-H6*Assumptions!H45/100</f>
        <v>-2370.70443773727</v>
      </c>
      <c r="I12" s="4" t="n">
        <f aca="false">-I6*Assumptions!I45/100</f>
        <v>-2512.9467040015</v>
      </c>
      <c r="J12" s="4" t="n">
        <f aca="false">-J6*Assumptions!J45/100</f>
        <v>-2638.59403920158</v>
      </c>
      <c r="K12" s="4" t="n">
        <f aca="false">-K6*Assumptions!K45/100</f>
        <v>-2744.13780076964</v>
      </c>
      <c r="L12" s="4" t="n">
        <f aca="false">-L6*Assumptions!L45/100</f>
        <v>-2840.18262379658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11276.17344</v>
      </c>
      <c r="D13" s="0" t="n">
        <f aca="false">D11+D12</f>
        <v>13192.731391</v>
      </c>
      <c r="E13" s="0" t="n">
        <f aca="false">E11+E12</f>
        <v>15056.8238128</v>
      </c>
      <c r="F13" s="0" t="n">
        <f aca="false">F11+F12</f>
        <v>16951.804336082</v>
      </c>
      <c r="G13" s="0" t="n">
        <f aca="false">G11+G12</f>
        <v>18949.309942563</v>
      </c>
      <c r="H13" s="0" t="n">
        <f aca="false">H11+H12</f>
        <v>20587.6964329815</v>
      </c>
      <c r="I13" s="0" t="n">
        <f aca="false">I11+I12</f>
        <v>22219.739277487</v>
      </c>
      <c r="J13" s="0" t="n">
        <f aca="false">J11+J12</f>
        <v>23677.9096675721</v>
      </c>
      <c r="K13" s="0" t="n">
        <f aca="false">K11+K12</f>
        <v>24697.2402069268</v>
      </c>
      <c r="L13" s="0" t="n">
        <f aca="false">L11+L12</f>
        <v>25561.6436141692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9133.7004864</v>
      </c>
      <c r="D15" s="0" t="n">
        <f aca="false">D13-MAX(0,D13)*D14/100</f>
        <v>10686.11242671</v>
      </c>
      <c r="E15" s="0" t="n">
        <f aca="false">E13-MAX(0,E13)*E14/100</f>
        <v>12045.45905024</v>
      </c>
      <c r="F15" s="0" t="n">
        <f aca="false">F13-MAX(0,F13)*F14/100</f>
        <v>13561.4434688656</v>
      </c>
      <c r="G15" s="0" t="n">
        <f aca="false">G13-MAX(0,G13)*G14/100</f>
        <v>15159.4479540504</v>
      </c>
      <c r="H15" s="0" t="n">
        <f aca="false">H13-MAX(0,H13)*H14/100</f>
        <v>16470.1571463852</v>
      </c>
      <c r="I15" s="0" t="n">
        <f aca="false">I13-MAX(0,I13)*I14/100</f>
        <v>17775.7914219896</v>
      </c>
      <c r="J15" s="0" t="n">
        <f aca="false">J13-MAX(0,J13)*J14/100</f>
        <v>18942.3277340576</v>
      </c>
      <c r="K15" s="0" t="n">
        <f aca="false">K13-MAX(0,K13)*K14/100</f>
        <v>19757.7921655414</v>
      </c>
      <c r="L15" s="0" t="n">
        <f aca="false">L13-MAX(0,L13)*L14/100</f>
        <v>20449.3148913354</v>
      </c>
    </row>
    <row r="16" customFormat="false" ht="15" hidden="false" customHeight="false" outlineLevel="0" collapsed="false">
      <c r="A16" s="0" t="s">
        <v>124</v>
      </c>
      <c r="C16" s="0" t="n">
        <f aca="false">-C12</f>
        <v>1487.82844</v>
      </c>
      <c r="D16" s="0" t="n">
        <f aca="false">-D12</f>
        <v>1711.002706</v>
      </c>
      <c r="E16" s="0" t="n">
        <f aca="false">-E12</f>
        <v>1882.1029766</v>
      </c>
      <c r="F16" s="0" t="n">
        <f aca="false">-F12</f>
        <v>2051.492244494</v>
      </c>
      <c r="G16" s="0" t="n">
        <f aca="false">-G12</f>
        <v>2215.61162405352</v>
      </c>
      <c r="H16" s="0" t="n">
        <f aca="false">-H12</f>
        <v>2370.70443773727</v>
      </c>
      <c r="I16" s="0" t="n">
        <f aca="false">-I12</f>
        <v>2512.9467040015</v>
      </c>
      <c r="J16" s="0" t="n">
        <f aca="false">-J12</f>
        <v>2638.59403920158</v>
      </c>
      <c r="K16" s="0" t="n">
        <f aca="false">-K12</f>
        <v>2744.13780076964</v>
      </c>
      <c r="L16" s="0" t="n">
        <f aca="false">-L12</f>
        <v>2840.18262379658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-1409.52168</v>
      </c>
      <c r="D17" s="4" t="n">
        <f aca="false">-D6*Assumptions!D46/100</f>
        <v>-1620.949932</v>
      </c>
      <c r="E17" s="4" t="n">
        <f aca="false">-E6*Assumptions!E46/100</f>
        <v>-1733.5158995</v>
      </c>
      <c r="F17" s="4" t="n">
        <f aca="false">-F6*Assumptions!F46/100</f>
        <v>-1889.532330455</v>
      </c>
      <c r="G17" s="4" t="n">
        <f aca="false">-G6*Assumptions!G46/100</f>
        <v>-1982.38934783736</v>
      </c>
      <c r="H17" s="4" t="n">
        <f aca="false">-H6*Assumptions!H46/100</f>
        <v>-2121.15660218598</v>
      </c>
      <c r="I17" s="4" t="n">
        <f aca="false">-I6*Assumptions!I46/100</f>
        <v>-2182.29582189604</v>
      </c>
      <c r="J17" s="4" t="n">
        <f aca="false">-J6*Assumptions!J46/100</f>
        <v>-2291.41061299084</v>
      </c>
      <c r="K17" s="4" t="n">
        <f aca="false">-K6*Assumptions!K46/100</f>
        <v>-2383.06703751048</v>
      </c>
      <c r="L17" s="4" t="n">
        <f aca="false">-L6*Assumptions!L46/100</f>
        <v>-2466.47438382334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750.1656</v>
      </c>
      <c r="D18" s="4" t="n">
        <f aca="false">(D6-C6)*Assumptions!$B$51/100</f>
        <v>704.76084</v>
      </c>
      <c r="E18" s="4" t="n">
        <f aca="false">(E6-D6)*Assumptions!$B$51/100</f>
        <v>540.316644</v>
      </c>
      <c r="F18" s="4" t="n">
        <f aca="false">(F6-E6)*Assumptions!$B$51/100</f>
        <v>534.913477560001</v>
      </c>
      <c r="G18" s="4" t="n">
        <f aca="false">(G6-F6)*Assumptions!$B$51/100</f>
        <v>518.271724924801</v>
      </c>
      <c r="H18" s="4" t="n">
        <f aca="false">(H6-G6)*Assumptions!$B$51/100</f>
        <v>489.766780053937</v>
      </c>
      <c r="I18" s="4" t="n">
        <f aca="false">(I6-H6)*Assumptions!$B$51/100</f>
        <v>449.186103992324</v>
      </c>
      <c r="J18" s="4" t="n">
        <f aca="false">(J6-I6)*Assumptions!$B$51/100</f>
        <v>396.781058526553</v>
      </c>
      <c r="K18" s="4" t="n">
        <f aca="false">(K6-J6)*Assumptions!$B$51/100</f>
        <v>333.296089162306</v>
      </c>
      <c r="L18" s="4" t="n">
        <f aca="false">(L6-K6)*Assumptions!$B$51/100</f>
        <v>303.299441137696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9962.1728464</v>
      </c>
      <c r="D19" s="0" t="n">
        <f aca="false">D15+D16+D17+D18</f>
        <v>11480.92604071</v>
      </c>
      <c r="E19" s="0" t="n">
        <f aca="false">E15+E16+E17+E18</f>
        <v>12734.36277134</v>
      </c>
      <c r="F19" s="0" t="n">
        <f aca="false">F15+F16+F17+F18</f>
        <v>14258.3168604646</v>
      </c>
      <c r="G19" s="0" t="n">
        <f aca="false">G15+G16+G17+G18</f>
        <v>15910.9419551914</v>
      </c>
      <c r="H19" s="0" t="n">
        <f aca="false">H15+H16+H17+H18</f>
        <v>17209.4717619905</v>
      </c>
      <c r="I19" s="0" t="n">
        <f aca="false">I15+I16+I17+I18</f>
        <v>18555.6284080874</v>
      </c>
      <c r="J19" s="0" t="n">
        <f aca="false">J15+J16+J17+J18</f>
        <v>19686.2922187949</v>
      </c>
      <c r="K19" s="0" t="n">
        <f aca="false">K15+K16+K17+K18</f>
        <v>20452.1590179629</v>
      </c>
      <c r="L19" s="0" t="n">
        <f aca="false">L15+L16+L17+L18</f>
        <v>21126.3225724463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9015.54103746606</v>
      </c>
      <c r="D21" s="0" t="n">
        <f aca="false">D19*D20</f>
        <v>9402.69530985033</v>
      </c>
      <c r="E21" s="0" t="n">
        <f aca="false">E19*E20</f>
        <v>9438.22624459589</v>
      </c>
      <c r="F21" s="0" t="n">
        <f aca="false">F19*F20</f>
        <v>9563.5503717279</v>
      </c>
      <c r="G21" s="0" t="n">
        <f aca="false">G19*G20</f>
        <v>9657.93996148146</v>
      </c>
      <c r="H21" s="0" t="n">
        <f aca="false">H19*H20</f>
        <v>9453.52706504261</v>
      </c>
      <c r="I21" s="0" t="n">
        <f aca="false">I19*I20</f>
        <v>9224.4338472288</v>
      </c>
      <c r="J21" s="0" t="n">
        <f aca="false">J19*J20</f>
        <v>8856.57293020346</v>
      </c>
      <c r="K21" s="0" t="n">
        <f aca="false">K19*K20</f>
        <v>8326.81006650619</v>
      </c>
      <c r="L21" s="0" t="n">
        <f aca="false">L19*L20</f>
        <v>7783.96951544306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-156.61352</v>
      </c>
      <c r="D24" s="0" t="n">
        <f aca="false">-D6*D23/100</f>
        <v>-180.105548</v>
      </c>
      <c r="E24" s="0" t="n">
        <f aca="false">-E6*E23/100</f>
        <v>-198.1161028</v>
      </c>
      <c r="F24" s="0" t="n">
        <f aca="false">-F6*F23/100</f>
        <v>-215.946552052</v>
      </c>
      <c r="G24" s="0" t="n">
        <f aca="false">-G6*G23/100</f>
        <v>-233.22227621616</v>
      </c>
      <c r="H24" s="0" t="n">
        <f aca="false">-H6*H23/100</f>
        <v>-249.547835551291</v>
      </c>
      <c r="I24" s="0" t="n">
        <f aca="false">-I6*I23/100</f>
        <v>-264.520705684369</v>
      </c>
      <c r="J24" s="0" t="n">
        <f aca="false">-J6*J23/100</f>
        <v>-277.746740968587</v>
      </c>
      <c r="K24" s="0" t="n">
        <f aca="false">-K6*K23/100</f>
        <v>-288.856610607331</v>
      </c>
      <c r="L24" s="0" t="n">
        <f aca="false">-L6*L23/100</f>
        <v>-298.966591978587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90723.2663495457</v>
      </c>
    </row>
    <row r="31" customFormat="false" ht="15" hidden="false" customHeight="false" outlineLevel="0" collapsed="false">
      <c r="A31" s="0" t="s">
        <v>133</v>
      </c>
      <c r="B31" s="0" t="n">
        <f aca="false">L19</f>
        <v>21126.3225724463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290134.829994929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380273.806304033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290134.829994929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106899.848012085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197623.11436163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239412.11436163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83.6886212328258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1.45853763903719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6086.52566538929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6051.12094328894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87.9314429145943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181334.268746831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56.0269873161358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34.4856558390989</v>
      </c>
      <c r="C4" s="0" t="n">
        <f aca="false">B4/Assumptions!$B$2-1</f>
        <v>0.013092122182693</v>
      </c>
      <c r="D4" s="4" t="n">
        <f aca="false">Assumptions!$B$24</f>
        <v>0.25</v>
      </c>
      <c r="E4" s="4" t="n">
        <f aca="false">DCF_Bear!$B$43</f>
        <v>37.0569646458987</v>
      </c>
      <c r="F4" s="4" t="n">
        <f aca="false">DCF_Bear!$B$47</f>
        <v>28.5966752643129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64.6177538203313</v>
      </c>
      <c r="C5" s="0" t="n">
        <f aca="false">B5/Assumptions!$B$2-1</f>
        <v>0.898288890138994</v>
      </c>
      <c r="D5" s="4" t="n">
        <f aca="false">Assumptions!$B$38</f>
        <v>0.5</v>
      </c>
      <c r="E5" s="4" t="n">
        <f aca="false">DCF_Base!$B$43</f>
        <v>68.1033796456176</v>
      </c>
      <c r="F5" s="4" t="n">
        <f aca="false">DCF_Base!$B$47</f>
        <v>45.8289345330786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83.6886212328258</v>
      </c>
      <c r="C6" s="0" t="n">
        <f aca="false">B6/Assumptions!$B$2-1</f>
        <v>1.45853763903719</v>
      </c>
      <c r="D6" s="4" t="n">
        <f aca="false">Assumptions!$B$52</f>
        <v>0.25</v>
      </c>
      <c r="E6" s="4" t="n">
        <f aca="false">DCF_Bull!$B$43</f>
        <v>87.9314429145943</v>
      </c>
      <c r="F6" s="4" t="n">
        <f aca="false">DCF_Bull!$B$47</f>
        <v>56.0269873161358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61.8524461781468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65.298791712932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0.44965798277471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-807.012700770302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44.0703829116515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76.7416456926421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68.1159438198895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64.6177538203313</v>
      </c>
      <c r="C17" s="3" t="n">
        <v>10.5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61.5347187889699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56.3514997431044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45.8289345330786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76.0871416522984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78.8812642298955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82.1410739037586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84.2892434123413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84.2892434123413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67.9377894981132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69.8887396452489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72.1183969562612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74.6910784689677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77.6925402337919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61.6216180336009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63.0315642861799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64.6177538203313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66.4154352923696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68.4699284032705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56.5873031954663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57.6342559483409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58.7975367848682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60.0976741903988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61.5603287716207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52.484103195936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53.2787420728649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54.1528448374867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55.118958419437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56.1924179549375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2026-10-16T15:38:17Z</dcterms:created>
  <dc:creator>openpyxl</dc:creator>
  <dc:description/>
  <dc:language>en-NZ</dc:language>
  <cp:lastModifiedBy/>
  <dcterms:modified xsi:type="dcterms:W3CDTF">2026-10-16T15:38:17Z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