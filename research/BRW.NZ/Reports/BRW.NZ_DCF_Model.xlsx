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<sst xmlns="http://schemas.openxmlformats.org/spreadsheetml/2006/main" count="771" uniqueCount="515">
  <si>
    <t xml:space="preserve">Ticker</t>
  </si>
  <si>
    <t xml:space="preserve">BRW.NZ</t>
  </si>
  <si>
    <t xml:space="preserve">Company</t>
  </si>
  <si>
    <t xml:space="preserve">Bremworth Limited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</si>
  <si>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</si>
  <si>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</si>
  <si>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</si>
  <si>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</si>
  <si>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2026-09-25T02:51:38Z (Yahoo regularMarketTime 1790304698, NZX regular close)</t>
  </si>
  <si>
    <t xml:space="preserve">Balance sheet date</t>
  </si>
  <si>
    <t xml:space="preserve">2026-06-30 (FY2026 unaudited preliminary results, released 2026-08-31)</t>
  </si>
  <si>
    <t xml:space="preserve">Model</t>
  </si>
  <si>
    <t xml:space="preserve">Deal-weighted scenario DCF (owner-FCF component mechanics per scenario via scripts/dcf_engine.py's project()/terminal_value(); scenarios framed as deal-completes/deal-breaks per dcf-methods SKILL.md routing for a live takeover situation, not growth-rate variants) -- hand-authored JSON built with the engine's own functions for exact fidelity, not the Drivers/build-dcf CLI path, because the takeover overlay needs scenario-specific narrative framing that the generic component engine's single global equity_bridge cannot express</t>
  </si>
  <si>
    <t xml:space="preserve">Currency (model)</t>
  </si>
  <si>
    <t xml:space="preserve">NZD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</si>
  <si>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</si>
  <si>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</si>
  <si>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</si>
  <si>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</si>
  <si>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v?</t>
  </si>
  <si>
    <t xml:space="preserve">Built at</t>
  </si>
  <si>
    <t xml:space="preserve">Drivers file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</si>
  <si>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</si>
  <si>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</si>
  <si>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</si>
  <si>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situation_type: live_takeover_cyclical_turnaround
summary: Bremworth is a loss-making NZ premium carpet manufacturer (plus the fast-growing but low-margin Elco Direct wool-trading channel) mid-way through a multi-year operational turnaround, currently the subject of a live, board-recommended partial takeover offer. This is NOT a standard positive-FCF owner-FCF DCF: normalised EBIT has been negative every year since FY2025 restated (-$15.9m FY25, -$9.4m FY26), FY2025's headline GAAP profit was entirely a $42.2m Cyclone Gabrielle insurance receipt (underlying normalised EBITDA FY2025 was -$13.2m), and H1 FY26 showed the turnaround has not yet delivered -- gross margin fell to 14.9% from 21% pcp. Per dcf-methods SKILL.md's routing table, a live takeover/scheme situation is valued via deal-completes-vs-deal-breaks scenario weighting, not growth-rate variants of a single business-as-usual case.
methodology: Each of the three scenarios is an internally-consistent, independently-verifiable standalone owner-FCF-style component DCF (10-year explicit horizon -- needed because margins are still normalising well past year 5 -- discounted at a scenario-specific NZD WACC, Gordon-growth terminal value capped by an EV/EBITDA multiple, built with scripts/dcf_engine.py's own project()/terminal_value() functions). BEAR represents the turnaround stalling and/or the current takeover process lapsing without a further control transaction (as the earlier Floorscape/Mohawk scheme did in July 2026): flat-to-slow revenue, EBIT margin improving only slowly from -8% toward breakeven over 10 years, 17% WACC. BASE represents the turnaround delivering broadly per FY27 guidance (Napier plant fully online, cost-out programme flowing through, SDN synthetic range contributing): EBIT margin reaching a sustainable ~4% by year 5-6, 14.5% WACC. BULL represents the turnaround beating guidance and/or a renewed full-company strategic bid: EBIT margin reaching ~6% (still modest vs. pre-cyclone historic peaks), 12.5% WACC. Net debt is negative $22.0m (nil bank borrowings, $22.0m available cash net of $4.9m restricted cash held as bank-guarantee security) -- BRW.NZ's clean balance sheet is the key source of downside protection and turnaround runway.
deal_cross_check: The live Mangawhai Collective partial offer (90c/share for 44% of shares not already held, board-recommended, within independent adviser Clarien Partners' 87c-$1.07 valuation range) and the prior, now-lapsed Floorscape/Mohawk whole-company approach (revised to 95c after NZCC clearance, indicative range previously guided to $0.95-1.05 total consideration before lapsing on shareholder opposition in July 2026 -- NOT on valuation grounds, a ~38% bloc simply preferred to retain control) together establish a market-tested value corridor of roughly 87c-$1.07 for full or majority control. This DCF's standalone BASE intrinsic value ($0.38) and even BULL ($0.85) sit BELOW this corridor, and the probability-weighted IV ($0.40) sits well below both the corridor and the current price ($0.70). This gap is expected and informative, not an error: (1) the IAR range and the Floorscape/MCL offer prices are CONTROL-PREMIUM, deal-informed valuations (an acquirer capturing 100% control and optionality this minority-shareholder DCF cannot capture) rather than standalone going-concern values at an arm's-length discount rate; (2) FY26 tangible book value (~$0.85/share estimated at 30 June 2026, extrapolating H1 FY26 equity of $65.4m less the implied H2 net loss) sits inside the IAR floor, consistent with the IAR anchoring substantially to book/asset value plus modest going-concern upside rather than to a high-growth DCF; (3) the standalone DCF is deliberately built at a demanding hurdle-adjacent discount rate on a business with a real, documented history of guidance misses -- it is not intended to match a board-recommended takeover price, and should not be read as calling the 90c offer 'too cheap' or 'too rich'. A shareholder's decision to accept the 90c offer is better informed by the IAR and the offer's own conditions than by this standalone DCF, which exists to answer a different question: what is this business worth as a continuing, independent going concern to a patient minority holder who does NOT tender.
key_risks_to_valuation: Execution risk: Bremworth has repeatedly missed its own turnaround targets, most recently walking back a promised H2 FY26 return to profitability/positive operating cash flow at the February 2026 half-year result -- the base case assumes FY27 guidance is met this time; Demand cycle: NZ/Australia residential construction and renovation activity has been weak for years with no confirmed recovery catalyst or timeline; every scenario is sensitive to when (or whether) this turns; Competitive scale: Godfrey Hirst (Mohawk-owned) makes roughly double Bremworth's wool carpet volumes with a well-capitalised parent -- structurally limits Bremworth's pricing power and margin ceiling in the core carpet category; Elco Direct concentration: FY26 revenue growth was overwhelmingly Elco Direct wool-trading volume/price driven (a 'seismic shift' in export demand) -- this is a lower-margin, potentially less durable growth driver than a genuine carpet-demand recovery, and the base/bull cases assume it does not reverse; Takeover process risk: the Mangawhai Collective offer is not yet formal (as of the 31-Aug release) and is a PARTIAL offer for only 44% of shares -- accepting shareholders may be scaled back and minority holders who do not tender remain exposed to a controlling-shareholder structure without full exit liquidity; the more lucrative Floorscape whole-company route has already failed once; Balance sheet runway: FY26 operating cash outflow (ex-insurance items) was still $(9.3)m despite a $14.5m YoY improvement -- against $22.0m available cash this gives roughly 2+ years of runway at the current burn rate before a raise would be needed if the turnaround stalls, which is the central bear-case risk</t>
  </si>
  <si>
    <t xml:space="preserve">Data sources</t>
  </si>
  <si>
    <t xml:space="preserve">price: Yahoo Finance chart API at inputs.price_as_of; 52-week range 0.555-0.925
financials: BRW.NZ_Metrics.csv (core_metrics via adjudicated worksheet); FY2026 figures from unaudited preliminary results release 31-Aug-2026 (BRW.NZ_Annual_FY2026.txt) -- no audited FY2026 annual report extracted yet
qualitative: BRW.NZ_Analysis.json (qualitative-analyst, 2026-09-25) -- Mangawhai Collective offer terms, Clarien Partners IAR range, Floorscape/Mohawk scheme history and NZCC process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</si>
  <si>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</si>
  <si>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</si>
  <si>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</si>
  <si>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</si>
  <si>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</si>
  <si>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</si>
  <si>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</si>
  <si>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</si>
  <si>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</si>
  <si>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</si>
  <si>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</si>
  <si>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</si>
  <si>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</si>
  <si>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</si>
  <si>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</si>
  <si>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</si>
  <si>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</si>
  <si>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</si>
  <si>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</si>
  <si>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</si>
  <si>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</si>
  <si>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</si>
  <si>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</si>
  <si>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</si>
  <si>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</si>
  <si>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</si>
  <si>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</si>
  <si>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RestrictedCash</t>
  </si>
  <si>
    <t xml:space="preserve">H1 FY2017</t>
  </si>
  <si>
    <t xml:space="preserve">84.278</t>
  </si>
  <si>
    <t xml:space="preserve">67.951</t>
  </si>
  <si>
    <t xml:space="preserve">16.327</t>
  </si>
  <si>
    <t xml:space="preserve">19.4</t>
  </si>
  <si>
    <t xml:space="preserve">-3.729</t>
  </si>
  <si>
    <t xml:space="preserve">-4.4</t>
  </si>
  <si>
    <t xml:space="preserve">-2.049</t>
  </si>
  <si>
    <t xml:space="preserve">0.031</t>
  </si>
  <si>
    <t xml:space="preserve">0.0</t>
  </si>
  <si>
    <t xml:space="preserve">-4.789</t>
  </si>
  <si>
    <t xml:space="preserve">1.176</t>
  </si>
  <si>
    <t xml:space="preserve">-5.965</t>
  </si>
  <si>
    <t xml:space="preserve">0.689</t>
  </si>
  <si>
    <t xml:space="preserve">68.679</t>
  </si>
  <si>
    <t xml:space="preserve">0.497</t>
  </si>
  <si>
    <t xml:space="preserve">FY2017</t>
  </si>
  <si>
    <t xml:space="preserve">156.12</t>
  </si>
  <si>
    <t xml:space="preserve">126.243</t>
  </si>
  <si>
    <t xml:space="preserve">29.877</t>
  </si>
  <si>
    <t xml:space="preserve">19.1</t>
  </si>
  <si>
    <t xml:space="preserve">-5.483</t>
  </si>
  <si>
    <t xml:space="preserve">-3.5</t>
  </si>
  <si>
    <t xml:space="preserve">-2.232</t>
  </si>
  <si>
    <t xml:space="preserve">-2.124</t>
  </si>
  <si>
    <t xml:space="preserve">-1.4</t>
  </si>
  <si>
    <t xml:space="preserve">-0.031</t>
  </si>
  <si>
    <t xml:space="preserve">-5.373</t>
  </si>
  <si>
    <t xml:space="preserve">2.123</t>
  </si>
  <si>
    <t xml:space="preserve">-7.496</t>
  </si>
  <si>
    <t xml:space="preserve">67.89</t>
  </si>
  <si>
    <t xml:space="preserve">138.857</t>
  </si>
  <si>
    <t xml:space="preserve">70.967</t>
  </si>
  <si>
    <t xml:space="preserve">41.5</t>
  </si>
  <si>
    <t xml:space="preserve">1.255</t>
  </si>
  <si>
    <t xml:space="preserve">2.572</t>
  </si>
  <si>
    <t xml:space="preserve">H1 FY2018</t>
  </si>
  <si>
    <t xml:space="preserve">75.316</t>
  </si>
  <si>
    <t xml:space="preserve">57.914</t>
  </si>
  <si>
    <t xml:space="preserve">17.402</t>
  </si>
  <si>
    <t xml:space="preserve">23.1</t>
  </si>
  <si>
    <t xml:space="preserve">2.612</t>
  </si>
  <si>
    <t xml:space="preserve">3.5</t>
  </si>
  <si>
    <t xml:space="preserve">4.418</t>
  </si>
  <si>
    <t xml:space="preserve">1.008</t>
  </si>
  <si>
    <t xml:space="preserve">1.3</t>
  </si>
  <si>
    <t xml:space="preserve">0.015</t>
  </si>
  <si>
    <t xml:space="preserve">7.542</t>
  </si>
  <si>
    <t xml:space="preserve">0.721</t>
  </si>
  <si>
    <t xml:space="preserve">6.821</t>
  </si>
  <si>
    <t xml:space="preserve">69.069</t>
  </si>
  <si>
    <t xml:space="preserve">129.954</t>
  </si>
  <si>
    <t xml:space="preserve">60.885</t>
  </si>
  <si>
    <t xml:space="preserve">34.1</t>
  </si>
  <si>
    <t xml:space="preserve">0.843</t>
  </si>
  <si>
    <t xml:space="preserve">FY2018</t>
  </si>
  <si>
    <t xml:space="preserve">148.12</t>
  </si>
  <si>
    <t xml:space="preserve">111.917</t>
  </si>
  <si>
    <t xml:space="preserve">36.203</t>
  </si>
  <si>
    <t xml:space="preserve">24.4</t>
  </si>
  <si>
    <t xml:space="preserve">6.763</t>
  </si>
  <si>
    <t xml:space="preserve">4.6</t>
  </si>
  <si>
    <t xml:space="preserve">10.324</t>
  </si>
  <si>
    <t xml:space="preserve">4.081</t>
  </si>
  <si>
    <t xml:space="preserve">2.8</t>
  </si>
  <si>
    <t xml:space="preserve">0.059</t>
  </si>
  <si>
    <t xml:space="preserve">12.143</t>
  </si>
  <si>
    <t xml:space="preserve">1.622</t>
  </si>
  <si>
    <t xml:space="preserve">10.521</t>
  </si>
  <si>
    <t xml:space="preserve">72.222</t>
  </si>
  <si>
    <t xml:space="preserve">133.004</t>
  </si>
  <si>
    <t xml:space="preserve">60.782</t>
  </si>
  <si>
    <t xml:space="preserve">31.5</t>
  </si>
  <si>
    <t xml:space="preserve">2.111</t>
  </si>
  <si>
    <t xml:space="preserve">9.998</t>
  </si>
  <si>
    <t xml:space="preserve">H1 FY2019</t>
  </si>
  <si>
    <t xml:space="preserve">69.996</t>
  </si>
  <si>
    <t xml:space="preserve">51.741</t>
  </si>
  <si>
    <t xml:space="preserve">18.255</t>
  </si>
  <si>
    <t xml:space="preserve">26.1</t>
  </si>
  <si>
    <t xml:space="preserve">2.869</t>
  </si>
  <si>
    <t xml:space="preserve">4.1</t>
  </si>
  <si>
    <t xml:space="preserve">4.624</t>
  </si>
  <si>
    <t xml:space="preserve">-10.033</t>
  </si>
  <si>
    <t xml:space="preserve">-14.3</t>
  </si>
  <si>
    <t xml:space="preserve">-0.146</t>
  </si>
  <si>
    <t xml:space="preserve">2.405</t>
  </si>
  <si>
    <t xml:space="preserve">2.184</t>
  </si>
  <si>
    <t xml:space="preserve">0.221</t>
  </si>
  <si>
    <t xml:space="preserve">0.599</t>
  </si>
  <si>
    <t xml:space="preserve">FY2019</t>
  </si>
  <si>
    <t xml:space="preserve">135.234</t>
  </si>
  <si>
    <t xml:space="preserve">102.378</t>
  </si>
  <si>
    <t xml:space="preserve">32.856</t>
  </si>
  <si>
    <t xml:space="preserve">24.3</t>
  </si>
  <si>
    <t xml:space="preserve">-4.894</t>
  </si>
  <si>
    <t xml:space="preserve">-3.6</t>
  </si>
  <si>
    <t xml:space="preserve">-1.415</t>
  </si>
  <si>
    <t xml:space="preserve">-16.78</t>
  </si>
  <si>
    <t xml:space="preserve">-12.4</t>
  </si>
  <si>
    <t xml:space="preserve">-0.244</t>
  </si>
  <si>
    <t xml:space="preserve">2.906</t>
  </si>
  <si>
    <t xml:space="preserve">4.705</t>
  </si>
  <si>
    <t xml:space="preserve">-1.799</t>
  </si>
  <si>
    <t xml:space="preserve">54.989</t>
  </si>
  <si>
    <t xml:space="preserve">99.334</t>
  </si>
  <si>
    <t xml:space="preserve">44.345</t>
  </si>
  <si>
    <t xml:space="preserve">20.5</t>
  </si>
  <si>
    <t xml:space="preserve">2.724</t>
  </si>
  <si>
    <t xml:space="preserve">7.076</t>
  </si>
  <si>
    <t xml:space="preserve">H1 FY2020</t>
  </si>
  <si>
    <t xml:space="preserve">64.384</t>
  </si>
  <si>
    <t xml:space="preserve">49.15</t>
  </si>
  <si>
    <t xml:space="preserve">15.234</t>
  </si>
  <si>
    <t xml:space="preserve">23.7</t>
  </si>
  <si>
    <t xml:space="preserve">-0.51</t>
  </si>
  <si>
    <t xml:space="preserve">-0.8</t>
  </si>
  <si>
    <t xml:space="preserve">2.135</t>
  </si>
  <si>
    <t xml:space="preserve">-1.154</t>
  </si>
  <si>
    <t xml:space="preserve">-1.8</t>
  </si>
  <si>
    <t xml:space="preserve">-0.017</t>
  </si>
  <si>
    <t xml:space="preserve">1.999</t>
  </si>
  <si>
    <t xml:space="preserve">1.306</t>
  </si>
  <si>
    <t xml:space="preserve">0.693</t>
  </si>
  <si>
    <t xml:space="preserve">53.863</t>
  </si>
  <si>
    <t xml:space="preserve">101.175</t>
  </si>
  <si>
    <t xml:space="preserve">47.312</t>
  </si>
  <si>
    <t xml:space="preserve">18.05</t>
  </si>
  <si>
    <t xml:space="preserve">0.304</t>
  </si>
  <si>
    <t xml:space="preserve">2.951</t>
  </si>
  <si>
    <t xml:space="preserve">FY2020</t>
  </si>
  <si>
    <t xml:space="preserve">117.981</t>
  </si>
  <si>
    <t xml:space="preserve">94.443</t>
  </si>
  <si>
    <t xml:space="preserve">23.538</t>
  </si>
  <si>
    <t xml:space="preserve">20.0</t>
  </si>
  <si>
    <t xml:space="preserve">-13.334</t>
  </si>
  <si>
    <t xml:space="preserve">-11.3</t>
  </si>
  <si>
    <t xml:space="preserve">-8.872</t>
  </si>
  <si>
    <t xml:space="preserve">-21.451</t>
  </si>
  <si>
    <t xml:space="preserve">-18.2</t>
  </si>
  <si>
    <t xml:space="preserve">-0.312</t>
  </si>
  <si>
    <t xml:space="preserve">6.773</t>
  </si>
  <si>
    <t xml:space="preserve">2.119</t>
  </si>
  <si>
    <t xml:space="preserve">4.654</t>
  </si>
  <si>
    <t xml:space="preserve">33.637</t>
  </si>
  <si>
    <t xml:space="preserve">69.981</t>
  </si>
  <si>
    <t xml:space="preserve">36.344</t>
  </si>
  <si>
    <t xml:space="preserve">15.8</t>
  </si>
  <si>
    <t xml:space="preserve">1.276</t>
  </si>
  <si>
    <t xml:space="preserve">2.3</t>
  </si>
  <si>
    <t xml:space="preserve">H1 FY2021</t>
  </si>
  <si>
    <t xml:space="preserve">60.3</t>
  </si>
  <si>
    <t xml:space="preserve">42.3</t>
  </si>
  <si>
    <t xml:space="preserve">18.0</t>
  </si>
  <si>
    <t xml:space="preserve">29.9</t>
  </si>
  <si>
    <t xml:space="preserve">5.7</t>
  </si>
  <si>
    <t xml:space="preserve">3.8</t>
  </si>
  <si>
    <t xml:space="preserve">6.3</t>
  </si>
  <si>
    <t xml:space="preserve">26.3</t>
  </si>
  <si>
    <t xml:space="preserve">4.3</t>
  </si>
  <si>
    <t xml:space="preserve">FY2021</t>
  </si>
  <si>
    <t xml:space="preserve">111.577</t>
  </si>
  <si>
    <t xml:space="preserve">80.145</t>
  </si>
  <si>
    <t xml:space="preserve">31.432</t>
  </si>
  <si>
    <t xml:space="preserve">28.2</t>
  </si>
  <si>
    <t xml:space="preserve">3.061</t>
  </si>
  <si>
    <t xml:space="preserve">2.7</t>
  </si>
  <si>
    <t xml:space="preserve">3.974</t>
  </si>
  <si>
    <t xml:space="preserve">1.729</t>
  </si>
  <si>
    <t xml:space="preserve">1.5</t>
  </si>
  <si>
    <t xml:space="preserve">0.025</t>
  </si>
  <si>
    <t xml:space="preserve">16.216</t>
  </si>
  <si>
    <t xml:space="preserve">2.481</t>
  </si>
  <si>
    <t xml:space="preserve">13.735</t>
  </si>
  <si>
    <t xml:space="preserve">35.592</t>
  </si>
  <si>
    <t xml:space="preserve">78.023</t>
  </si>
  <si>
    <t xml:space="preserve">42.431</t>
  </si>
  <si>
    <t xml:space="preserve">22.508</t>
  </si>
  <si>
    <t xml:space="preserve">0.051</t>
  </si>
  <si>
    <t xml:space="preserve">3.385</t>
  </si>
  <si>
    <t xml:space="preserve">H1 FY2022</t>
  </si>
  <si>
    <t xml:space="preserve">48.72</t>
  </si>
  <si>
    <t xml:space="preserve">33.537</t>
  </si>
  <si>
    <t xml:space="preserve">15.183</t>
  </si>
  <si>
    <t xml:space="preserve">31.2</t>
  </si>
  <si>
    <t xml:space="preserve">1.737</t>
  </si>
  <si>
    <t xml:space="preserve">3.6</t>
  </si>
  <si>
    <t xml:space="preserve">2.533</t>
  </si>
  <si>
    <t xml:space="preserve">1.001</t>
  </si>
  <si>
    <t xml:space="preserve">2.1</t>
  </si>
  <si>
    <t xml:space="preserve">0.0142</t>
  </si>
  <si>
    <t xml:space="preserve">-1.38</t>
  </si>
  <si>
    <t xml:space="preserve">1.586</t>
  </si>
  <si>
    <t xml:space="preserve">-2.966</t>
  </si>
  <si>
    <t xml:space="preserve">18.513</t>
  </si>
  <si>
    <t xml:space="preserve">68.986</t>
  </si>
  <si>
    <t xml:space="preserve">0.254</t>
  </si>
  <si>
    <t xml:space="preserve">2.468</t>
  </si>
  <si>
    <t xml:space="preserve">FY2022</t>
  </si>
  <si>
    <t xml:space="preserve">95.485</t>
  </si>
  <si>
    <t xml:space="preserve">65.785</t>
  </si>
  <si>
    <t xml:space="preserve">29.7</t>
  </si>
  <si>
    <t xml:space="preserve">31.1</t>
  </si>
  <si>
    <t xml:space="preserve">3.475</t>
  </si>
  <si>
    <t xml:space="preserve">5.112</t>
  </si>
  <si>
    <t xml:space="preserve">2.24</t>
  </si>
  <si>
    <t xml:space="preserve">0.0317</t>
  </si>
  <si>
    <t xml:space="preserve">-2.917</t>
  </si>
  <si>
    <t xml:space="preserve">2.898</t>
  </si>
  <si>
    <t xml:space="preserve">-5.815</t>
  </si>
  <si>
    <t xml:space="preserve">37.771</t>
  </si>
  <si>
    <t xml:space="preserve">78.902</t>
  </si>
  <si>
    <t xml:space="preserve">41.131</t>
  </si>
  <si>
    <t xml:space="preserve">14.874</t>
  </si>
  <si>
    <t xml:space="preserve">69.082</t>
  </si>
  <si>
    <t xml:space="preserve">0.362</t>
  </si>
  <si>
    <t xml:space="preserve">4.918</t>
  </si>
  <si>
    <t xml:space="preserve">H1 FY2023</t>
  </si>
  <si>
    <t xml:space="preserve">47.183</t>
  </si>
  <si>
    <t xml:space="preserve">32.478</t>
  </si>
  <si>
    <t xml:space="preserve">14.705</t>
  </si>
  <si>
    <t xml:space="preserve">-0.3</t>
  </si>
  <si>
    <t xml:space="preserve">0.653</t>
  </si>
  <si>
    <t xml:space="preserve">-0.778</t>
  </si>
  <si>
    <t xml:space="preserve">-1.6</t>
  </si>
  <si>
    <t xml:space="preserve">-0.0109</t>
  </si>
  <si>
    <t xml:space="preserve">-1.839</t>
  </si>
  <si>
    <t xml:space="preserve">1.696</t>
  </si>
  <si>
    <t xml:space="preserve">-3.535</t>
  </si>
  <si>
    <t xml:space="preserve">39.256</t>
  </si>
  <si>
    <t xml:space="preserve">77.265</t>
  </si>
  <si>
    <t xml:space="preserve">38.009</t>
  </si>
  <si>
    <t xml:space="preserve">10.369</t>
  </si>
  <si>
    <t xml:space="preserve">69.479</t>
  </si>
  <si>
    <t xml:space="preserve">0.104</t>
  </si>
  <si>
    <t xml:space="preserve">0.692</t>
  </si>
  <si>
    <t xml:space="preserve">FY2023</t>
  </si>
  <si>
    <t xml:space="preserve">89.689</t>
  </si>
  <si>
    <t xml:space="preserve">64.967</t>
  </si>
  <si>
    <t xml:space="preserve">24.722</t>
  </si>
  <si>
    <t xml:space="preserve">27.6</t>
  </si>
  <si>
    <t xml:space="preserve">11.542</t>
  </si>
  <si>
    <t xml:space="preserve">12.9</t>
  </si>
  <si>
    <t xml:space="preserve">13.381</t>
  </si>
  <si>
    <t xml:space="preserve">10.736</t>
  </si>
  <si>
    <t xml:space="preserve">12.0</t>
  </si>
  <si>
    <t xml:space="preserve">0.1504</t>
  </si>
  <si>
    <t xml:space="preserve">-7.069</t>
  </si>
  <si>
    <t xml:space="preserve">1.956</t>
  </si>
  <si>
    <t xml:space="preserve">-9.025</t>
  </si>
  <si>
    <t xml:space="preserve">50.223</t>
  </si>
  <si>
    <t xml:space="preserve">91.136</t>
  </si>
  <si>
    <t xml:space="preserve">40.913</t>
  </si>
  <si>
    <t xml:space="preserve">39.319</t>
  </si>
  <si>
    <t xml:space="preserve">69.772</t>
  </si>
  <si>
    <t xml:space="preserve">0.202</t>
  </si>
  <si>
    <t xml:space="preserve">-0.2</t>
  </si>
  <si>
    <t xml:space="preserve">H1 FY2024</t>
  </si>
  <si>
    <t xml:space="preserve">38.994</t>
  </si>
  <si>
    <t xml:space="preserve">28.365</t>
  </si>
  <si>
    <t xml:space="preserve">10.629</t>
  </si>
  <si>
    <t xml:space="preserve">27.3</t>
  </si>
  <si>
    <t xml:space="preserve">-1.964</t>
  </si>
  <si>
    <t xml:space="preserve">-5.0</t>
  </si>
  <si>
    <t xml:space="preserve">-1.067</t>
  </si>
  <si>
    <t xml:space="preserve">-1.677</t>
  </si>
  <si>
    <t xml:space="preserve">-4.3</t>
  </si>
  <si>
    <t xml:space="preserve">-0.0236</t>
  </si>
  <si>
    <t xml:space="preserve">-15.841</t>
  </si>
  <si>
    <t xml:space="preserve">1.992</t>
  </si>
  <si>
    <t xml:space="preserve">-17.833</t>
  </si>
  <si>
    <t xml:space="preserve">48.711</t>
  </si>
  <si>
    <t xml:space="preserve">85.012</t>
  </si>
  <si>
    <t xml:space="preserve">36.301</t>
  </si>
  <si>
    <t xml:space="preserve">30.839</t>
  </si>
  <si>
    <t xml:space="preserve">71.069</t>
  </si>
  <si>
    <t xml:space="preserve">0.064</t>
  </si>
  <si>
    <t xml:space="preserve">-1.68</t>
  </si>
  <si>
    <t xml:space="preserve">FY2024</t>
  </si>
  <si>
    <t xml:space="preserve">80.294</t>
  </si>
  <si>
    <t xml:space="preserve">60.812</t>
  </si>
  <si>
    <t xml:space="preserve">19.482</t>
  </si>
  <si>
    <t xml:space="preserve">4.425</t>
  </si>
  <si>
    <t xml:space="preserve">5.5</t>
  </si>
  <si>
    <t xml:space="preserve">6.365</t>
  </si>
  <si>
    <t xml:space="preserve">4.643</t>
  </si>
  <si>
    <t xml:space="preserve">5.8</t>
  </si>
  <si>
    <t xml:space="preserve">0.0653</t>
  </si>
  <si>
    <t xml:space="preserve">-27.285</t>
  </si>
  <si>
    <t xml:space="preserve">4.04</t>
  </si>
  <si>
    <t xml:space="preserve">-31.325</t>
  </si>
  <si>
    <t xml:space="preserve">54.423</t>
  </si>
  <si>
    <t xml:space="preserve">94.918</t>
  </si>
  <si>
    <t xml:space="preserve">40.495</t>
  </si>
  <si>
    <t xml:space="preserve">31.645</t>
  </si>
  <si>
    <t xml:space="preserve">0.117</t>
  </si>
  <si>
    <t xml:space="preserve">-4.686</t>
  </si>
  <si>
    <t xml:space="preserve">H1 FY2025</t>
  </si>
  <si>
    <t xml:space="preserve">42.129</t>
  </si>
  <si>
    <t xml:space="preserve">33.161</t>
  </si>
  <si>
    <t xml:space="preserve">8.968</t>
  </si>
  <si>
    <t xml:space="preserve">21.3</t>
  </si>
  <si>
    <t xml:space="preserve">-8.078</t>
  </si>
  <si>
    <t xml:space="preserve">-19.2</t>
  </si>
  <si>
    <t xml:space="preserve">-6.923</t>
  </si>
  <si>
    <t xml:space="preserve">-8.147</t>
  </si>
  <si>
    <t xml:space="preserve">-19.3</t>
  </si>
  <si>
    <t xml:space="preserve">-0.1142</t>
  </si>
  <si>
    <t xml:space="preserve">-21.76</t>
  </si>
  <si>
    <t xml:space="preserve">3.242</t>
  </si>
  <si>
    <t xml:space="preserve">-25.002</t>
  </si>
  <si>
    <t xml:space="preserve">46.257</t>
  </si>
  <si>
    <t xml:space="preserve">80.048</t>
  </si>
  <si>
    <t xml:space="preserve">33.791</t>
  </si>
  <si>
    <t xml:space="preserve">7.476</t>
  </si>
  <si>
    <t xml:space="preserve">71.366</t>
  </si>
  <si>
    <t xml:space="preserve">0.062</t>
  </si>
  <si>
    <t xml:space="preserve">-4.355</t>
  </si>
  <si>
    <t xml:space="preserve">FY2025</t>
  </si>
  <si>
    <t xml:space="preserve">88.891</t>
  </si>
  <si>
    <t xml:space="preserve">77.009</t>
  </si>
  <si>
    <t xml:space="preserve">11.882</t>
  </si>
  <si>
    <t xml:space="preserve">13.4</t>
  </si>
  <si>
    <t xml:space="preserve">18.408</t>
  </si>
  <si>
    <t xml:space="preserve">20.7</t>
  </si>
  <si>
    <t xml:space="preserve">20.728</t>
  </si>
  <si>
    <t xml:space="preserve">18.247</t>
  </si>
  <si>
    <t xml:space="preserve">0.2546</t>
  </si>
  <si>
    <t xml:space="preserve">15.736</t>
  </si>
  <si>
    <t xml:space="preserve">5.541</t>
  </si>
  <si>
    <t xml:space="preserve">10.195</t>
  </si>
  <si>
    <t xml:space="preserve">72.438</t>
  </si>
  <si>
    <t xml:space="preserve">107.582</t>
  </si>
  <si>
    <t xml:space="preserve">35.144</t>
  </si>
  <si>
    <t xml:space="preserve">42.245</t>
  </si>
  <si>
    <t xml:space="preserve">71.657</t>
  </si>
  <si>
    <t xml:space="preserve">0.122</t>
  </si>
  <si>
    <t xml:space="preserve">-13.184</t>
  </si>
  <si>
    <t xml:space="preserve">H1 FY2026</t>
  </si>
  <si>
    <t xml:space="preserve">44.709</t>
  </si>
  <si>
    <t xml:space="preserve">38.026</t>
  </si>
  <si>
    <t xml:space="preserve">6.683</t>
  </si>
  <si>
    <t xml:space="preserve">14.9</t>
  </si>
  <si>
    <t xml:space="preserve">-6.501</t>
  </si>
  <si>
    <t xml:space="preserve">-14.5</t>
  </si>
  <si>
    <t xml:space="preserve">-5.19</t>
  </si>
  <si>
    <t xml:space="preserve">-6.403</t>
  </si>
  <si>
    <t xml:space="preserve">-0.0899</t>
  </si>
  <si>
    <t xml:space="preserve">-1.898</t>
  </si>
  <si>
    <t xml:space="preserve">5.374</t>
  </si>
  <si>
    <t xml:space="preserve">-7.272</t>
  </si>
  <si>
    <t xml:space="preserve">65.383</t>
  </si>
  <si>
    <t xml:space="preserve">101.071</t>
  </si>
  <si>
    <t xml:space="preserve">35.688</t>
  </si>
  <si>
    <t xml:space="preserve">34.339</t>
  </si>
  <si>
    <t xml:space="preserve">71.241</t>
  </si>
  <si>
    <t xml:space="preserve">-3.251</t>
  </si>
  <si>
    <t xml:space="preserve">-4.562</t>
  </si>
  <si>
    <t xml:space="preserve">FY2026</t>
  </si>
  <si>
    <t xml:space="preserve">106.6</t>
  </si>
  <si>
    <t xml:space="preserve">14.6</t>
  </si>
  <si>
    <t xml:space="preserve">13.7</t>
  </si>
  <si>
    <t xml:space="preserve">-10.6</t>
  </si>
  <si>
    <t xml:space="preserve">-11.4</t>
  </si>
  <si>
    <t xml:space="preserve">-10.7</t>
  </si>
  <si>
    <t xml:space="preserve">22.0</t>
  </si>
  <si>
    <t xml:space="preserve">-9.4</t>
  </si>
  <si>
    <t xml:space="preserve">4.9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</si>
  <si>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</si>
  <si>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</si>
  <si>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</si>
  <si>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</si>
  <si>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</si>
  <si>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</si>
  <si>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</si>
  <si>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</si>
  <si>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</si>
  <si>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</si>
  <si>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NZD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</si>
  <si>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</si>
  <si>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</si>
  <si>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</si>
  <si>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</si>
  <si>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</si>
  <si>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</si>
  <si>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</si>
  <si>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</si>
  <si>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</si>
  <si>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</si>
  <si>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</si>
  <si>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</si>
  <si>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</si>
  <si>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</si>
  <si>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</si>
  <si>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</si>
  <si>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</si>
  <si>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</si>
  <si>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</si>
  <si>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</si>
  <si>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</si>
  <si>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</si>
  <si>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</si>
  <si>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</si>
  <si>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</si>
  <si>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</si>
  <si>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BRW.NZ owner-FCF component DCF: bear case (millions, NZD)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</si>
  <si>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</si>
  <si>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</si>
  <si>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</si>
  <si>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</si>
  <si>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</si>
  <si>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</si>
  <si>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</si>
  <si>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</si>
  <si>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</si>
  <si>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</si>
  <si>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</si>
  <si>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</si>
  <si>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</si>
  <si>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</si>
  <si>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</si>
  <si>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</si>
  <si>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</si>
  <si>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</si>
  <si>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</si>
  <si>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</si>
  <si>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</si>
  <si>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</si>
  <si>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</si>
  <si>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</si>
  <si>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</si>
  <si>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</si>
  <si>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</si>
  <si>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</si>
  <si>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</si>
  <si>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</si>
  <si>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BRW.NZ owner-FCF component DCF: base case (millions, NZD)</t>
  </si>
  <si>
    <t xml:space="preserve">BRW.NZ owner-FCF component DCF: bull case (millions, NZD)</t>
  </si>
  <si>
    <t xml:space="preserve">BRW.NZ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</si>
  <si>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</si>
  <si>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</si>
  <si>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</si>
  <si>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</si>
  <si>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</si>
  <si>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</si>
  <si>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</si>
  <si>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</si>
  <si>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</si>
  <si>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</si>
  <si>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</si>
  <si>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</si>
  <si>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</si>
  <si>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</si>
  <si>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10%</t>
  </si>
  <si>
    <t xml:space="preserve">Value per share at 12.5%</t>
  </si>
  <si>
    <t xml:space="preserve">Value per share at 14.5% (WACC)</t>
  </si>
  <si>
    <t xml:space="preserve">Value per share at 16.5%</t>
  </si>
  <si>
    <t xml:space="preserve">Value per share at 20%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</si>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</sst>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</row>
    <row r="13" customFormat="false" ht="15" hidden="false" customHeight="false" outlineLevel="0" collapsed="false">
      <c r="A13" s="0" t="s">
        <v>21</v>
      </c>
    </row>
    <row r="14" customFormat="false" ht="15" hidden="false" customHeight="false" outlineLevel="0" collapsed="false">
      <c r="A14" s="0" t="s">
        <v>22</v>
      </c>
      <c r="B14" s="0" t="s">
        <v>23</v>
      </c>
    </row>
    <row r="15" customFormat="false" ht="57.45" hidden="false" customHeight="false" outlineLevel="0" collapsed="false">
      <c r="A15" s="0" t="s">
        <v>24</v>
      </c>
      <c r="B15" s="1" t="s">
        <v>25</v>
      </c>
    </row>
    <row r="16" customFormat="false" ht="35.05" hidden="false" customHeight="false" outlineLevel="0" collapsed="false">
      <c r="A16" s="0" t="s">
        <v>26</v>
      </c>
      <c r="B16" s="1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2" t="s">
        <v>16</v>
      </c>
      <c r="AB1" s="2" t="s">
        <v>54</v>
      </c>
      <c r="AC1" s="2" t="s">
        <v>55</v>
      </c>
    </row>
    <row r="2" customFormat="false" ht="15" hidden="false" customHeight="false" outlineLevel="0" collapsed="false">
      <c r="A2" s="0" t="s">
        <v>56</v>
      </c>
      <c r="B2" s="0" t="s">
        <v>57</v>
      </c>
      <c r="C2" s="0" t="s">
        <v>58</v>
      </c>
      <c r="D2" s="0" t="s">
        <v>59</v>
      </c>
      <c r="E2" s="0" t="s">
        <v>60</v>
      </c>
      <c r="F2" s="0" t="s">
        <v>61</v>
      </c>
      <c r="G2" s="0" t="s">
        <v>62</v>
      </c>
      <c r="H2" s="0" t="s">
        <v>63</v>
      </c>
      <c r="I2" s="0" t="s">
        <v>64</v>
      </c>
      <c r="J2" s="0" t="s">
        <v>65</v>
      </c>
      <c r="K2" s="0" t="s">
        <v>65</v>
      </c>
      <c r="L2" s="0" t="s">
        <v>66</v>
      </c>
      <c r="M2" s="0" t="s">
        <v>67</v>
      </c>
      <c r="N2" s="0" t="s">
        <v>68</v>
      </c>
      <c r="S2" s="0" t="s">
        <v>69</v>
      </c>
      <c r="T2" s="0" t="s">
        <v>70</v>
      </c>
      <c r="U2" s="0" t="s">
        <v>65</v>
      </c>
      <c r="W2" s="0" t="s">
        <v>71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72</v>
      </c>
      <c r="B3" s="0" t="s">
        <v>73</v>
      </c>
      <c r="C3" s="0" t="s">
        <v>74</v>
      </c>
      <c r="D3" s="0" t="s">
        <v>75</v>
      </c>
      <c r="E3" s="0" t="s">
        <v>76</v>
      </c>
      <c r="F3" s="0" t="s">
        <v>77</v>
      </c>
      <c r="G3" s="0" t="s">
        <v>78</v>
      </c>
      <c r="H3" s="0" t="s">
        <v>79</v>
      </c>
      <c r="I3" s="0" t="s">
        <v>80</v>
      </c>
      <c r="J3" s="0" t="s">
        <v>81</v>
      </c>
      <c r="K3" s="0" t="s">
        <v>82</v>
      </c>
      <c r="L3" s="0" t="s">
        <v>83</v>
      </c>
      <c r="M3" s="0" t="s">
        <v>84</v>
      </c>
      <c r="N3" s="0" t="s">
        <v>85</v>
      </c>
      <c r="O3" s="0" t="s">
        <v>86</v>
      </c>
      <c r="P3" s="0" t="s">
        <v>87</v>
      </c>
      <c r="Q3" s="0" t="s">
        <v>88</v>
      </c>
      <c r="R3" s="0" t="s">
        <v>89</v>
      </c>
      <c r="S3" s="0" t="s">
        <v>90</v>
      </c>
      <c r="T3" s="0" t="s">
        <v>70</v>
      </c>
      <c r="U3" s="0" t="s">
        <v>65</v>
      </c>
      <c r="W3" s="0" t="s">
        <v>91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92</v>
      </c>
      <c r="B4" s="0" t="s">
        <v>93</v>
      </c>
      <c r="C4" s="0" t="s">
        <v>94</v>
      </c>
      <c r="D4" s="0" t="s">
        <v>95</v>
      </c>
      <c r="E4" s="0" t="s">
        <v>96</v>
      </c>
      <c r="F4" s="0" t="s">
        <v>97</v>
      </c>
      <c r="G4" s="0" t="s">
        <v>98</v>
      </c>
      <c r="H4" s="0" t="s">
        <v>99</v>
      </c>
      <c r="I4" s="0" t="s">
        <v>100</v>
      </c>
      <c r="J4" s="0" t="s">
        <v>101</v>
      </c>
      <c r="K4" s="0" t="s">
        <v>102</v>
      </c>
      <c r="L4" s="0" t="s">
        <v>103</v>
      </c>
      <c r="M4" s="0" t="s">
        <v>104</v>
      </c>
      <c r="N4" s="0" t="s">
        <v>105</v>
      </c>
      <c r="O4" s="0" t="s">
        <v>106</v>
      </c>
      <c r="P4" s="0" t="s">
        <v>107</v>
      </c>
      <c r="Q4" s="0" t="s">
        <v>108</v>
      </c>
      <c r="R4" s="0" t="s">
        <v>109</v>
      </c>
      <c r="S4" s="0" t="s">
        <v>110</v>
      </c>
      <c r="T4" s="0" t="s">
        <v>70</v>
      </c>
      <c r="U4" s="0" t="s">
        <v>65</v>
      </c>
      <c r="W4" s="0" t="s">
        <v>99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111</v>
      </c>
      <c r="B5" s="0" t="s">
        <v>112</v>
      </c>
      <c r="C5" s="0" t="s">
        <v>113</v>
      </c>
      <c r="D5" s="0" t="s">
        <v>114</v>
      </c>
      <c r="E5" s="0" t="s">
        <v>115</v>
      </c>
      <c r="F5" s="0" t="s">
        <v>116</v>
      </c>
      <c r="G5" s="0" t="s">
        <v>117</v>
      </c>
      <c r="H5" s="0" t="s">
        <v>118</v>
      </c>
      <c r="I5" s="0" t="s">
        <v>119</v>
      </c>
      <c r="J5" s="0" t="s">
        <v>120</v>
      </c>
      <c r="K5" s="0" t="s">
        <v>121</v>
      </c>
      <c r="L5" s="0" t="s">
        <v>122</v>
      </c>
      <c r="M5" s="0" t="s">
        <v>123</v>
      </c>
      <c r="N5" s="0" t="s">
        <v>124</v>
      </c>
      <c r="O5" s="0" t="s">
        <v>125</v>
      </c>
      <c r="P5" s="0" t="s">
        <v>126</v>
      </c>
      <c r="Q5" s="0" t="s">
        <v>127</v>
      </c>
      <c r="R5" s="0" t="s">
        <v>128</v>
      </c>
      <c r="S5" s="0" t="s">
        <v>129</v>
      </c>
      <c r="T5" s="0" t="s">
        <v>70</v>
      </c>
      <c r="U5" s="0" t="s">
        <v>65</v>
      </c>
      <c r="W5" s="0" t="s">
        <v>130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131</v>
      </c>
      <c r="B6" s="0" t="s">
        <v>132</v>
      </c>
      <c r="C6" s="0" t="s">
        <v>133</v>
      </c>
      <c r="D6" s="0" t="s">
        <v>134</v>
      </c>
      <c r="E6" s="0" t="s">
        <v>135</v>
      </c>
      <c r="F6" s="0" t="s">
        <v>136</v>
      </c>
      <c r="G6" s="0" t="s">
        <v>137</v>
      </c>
      <c r="H6" s="0" t="s">
        <v>138</v>
      </c>
      <c r="I6" s="0" t="s">
        <v>139</v>
      </c>
      <c r="J6" s="0" t="s">
        <v>140</v>
      </c>
      <c r="K6" s="0" t="s">
        <v>141</v>
      </c>
      <c r="L6" s="0" t="s">
        <v>142</v>
      </c>
      <c r="M6" s="0" t="s">
        <v>143</v>
      </c>
      <c r="N6" s="0" t="s">
        <v>144</v>
      </c>
      <c r="S6" s="0" t="s">
        <v>145</v>
      </c>
      <c r="T6" s="0" t="s">
        <v>70</v>
      </c>
      <c r="U6" s="0" t="s">
        <v>65</v>
      </c>
      <c r="W6" s="0" t="s">
        <v>138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146</v>
      </c>
      <c r="B7" s="0" t="s">
        <v>147</v>
      </c>
      <c r="C7" s="0" t="s">
        <v>148</v>
      </c>
      <c r="D7" s="0" t="s">
        <v>149</v>
      </c>
      <c r="E7" s="0" t="s">
        <v>150</v>
      </c>
      <c r="F7" s="0" t="s">
        <v>151</v>
      </c>
      <c r="G7" s="0" t="s">
        <v>152</v>
      </c>
      <c r="H7" s="0" t="s">
        <v>153</v>
      </c>
      <c r="I7" s="0" t="s">
        <v>154</v>
      </c>
      <c r="J7" s="0" t="s">
        <v>155</v>
      </c>
      <c r="K7" s="0" t="s">
        <v>156</v>
      </c>
      <c r="L7" s="0" t="s">
        <v>157</v>
      </c>
      <c r="M7" s="0" t="s">
        <v>158</v>
      </c>
      <c r="N7" s="0" t="s">
        <v>159</v>
      </c>
      <c r="O7" s="0" t="s">
        <v>160</v>
      </c>
      <c r="P7" s="0" t="s">
        <v>161</v>
      </c>
      <c r="Q7" s="0" t="s">
        <v>162</v>
      </c>
      <c r="R7" s="0" t="s">
        <v>163</v>
      </c>
      <c r="S7" s="0" t="s">
        <v>164</v>
      </c>
      <c r="T7" s="0" t="s">
        <v>70</v>
      </c>
      <c r="U7" s="0" t="s">
        <v>65</v>
      </c>
      <c r="W7" s="0" t="s">
        <v>165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166</v>
      </c>
      <c r="B8" s="0" t="s">
        <v>167</v>
      </c>
      <c r="C8" s="0" t="s">
        <v>168</v>
      </c>
      <c r="D8" s="0" t="s">
        <v>169</v>
      </c>
      <c r="E8" s="0" t="s">
        <v>170</v>
      </c>
      <c r="F8" s="0" t="s">
        <v>171</v>
      </c>
      <c r="G8" s="0" t="s">
        <v>172</v>
      </c>
      <c r="H8" s="0" t="s">
        <v>173</v>
      </c>
      <c r="I8" s="0" t="s">
        <v>174</v>
      </c>
      <c r="J8" s="0" t="s">
        <v>175</v>
      </c>
      <c r="K8" s="0" t="s">
        <v>176</v>
      </c>
      <c r="L8" s="0" t="s">
        <v>177</v>
      </c>
      <c r="M8" s="0" t="s">
        <v>178</v>
      </c>
      <c r="N8" s="0" t="s">
        <v>179</v>
      </c>
      <c r="O8" s="0" t="s">
        <v>180</v>
      </c>
      <c r="P8" s="0" t="s">
        <v>181</v>
      </c>
      <c r="Q8" s="0" t="s">
        <v>182</v>
      </c>
      <c r="R8" s="0" t="s">
        <v>183</v>
      </c>
      <c r="S8" s="0" t="s">
        <v>184</v>
      </c>
      <c r="T8" s="0" t="s">
        <v>70</v>
      </c>
      <c r="U8" s="0" t="s">
        <v>65</v>
      </c>
      <c r="W8" s="0" t="s">
        <v>185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186</v>
      </c>
      <c r="B9" s="0" t="s">
        <v>187</v>
      </c>
      <c r="C9" s="0" t="s">
        <v>188</v>
      </c>
      <c r="D9" s="0" t="s">
        <v>189</v>
      </c>
      <c r="E9" s="0" t="s">
        <v>190</v>
      </c>
      <c r="F9" s="0" t="s">
        <v>191</v>
      </c>
      <c r="G9" s="0" t="s">
        <v>192</v>
      </c>
      <c r="H9" s="0" t="s">
        <v>193</v>
      </c>
      <c r="I9" s="0" t="s">
        <v>194</v>
      </c>
      <c r="J9" s="0" t="s">
        <v>195</v>
      </c>
      <c r="K9" s="0" t="s">
        <v>196</v>
      </c>
      <c r="L9" s="0" t="s">
        <v>197</v>
      </c>
      <c r="M9" s="0" t="s">
        <v>198</v>
      </c>
      <c r="N9" s="0" t="s">
        <v>199</v>
      </c>
      <c r="O9" s="0" t="s">
        <v>200</v>
      </c>
      <c r="P9" s="0" t="s">
        <v>201</v>
      </c>
      <c r="Q9" s="0" t="s">
        <v>202</v>
      </c>
      <c r="R9" s="0" t="s">
        <v>203</v>
      </c>
      <c r="S9" s="0" t="s">
        <v>204</v>
      </c>
      <c r="T9" s="0" t="s">
        <v>70</v>
      </c>
      <c r="U9" s="0" t="s">
        <v>65</v>
      </c>
      <c r="W9" s="0" t="s">
        <v>205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206</v>
      </c>
      <c r="B10" s="0" t="s">
        <v>207</v>
      </c>
      <c r="C10" s="0" t="s">
        <v>208</v>
      </c>
      <c r="D10" s="0" t="s">
        <v>209</v>
      </c>
      <c r="E10" s="0" t="s">
        <v>210</v>
      </c>
      <c r="H10" s="0" t="s">
        <v>211</v>
      </c>
      <c r="I10" s="0" t="s">
        <v>212</v>
      </c>
      <c r="J10" s="0" t="s">
        <v>213</v>
      </c>
      <c r="R10" s="0" t="s">
        <v>65</v>
      </c>
      <c r="S10" s="0" t="s">
        <v>214</v>
      </c>
      <c r="W10" s="0" t="s">
        <v>215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216</v>
      </c>
      <c r="B11" s="0" t="s">
        <v>217</v>
      </c>
      <c r="C11" s="0" t="s">
        <v>218</v>
      </c>
      <c r="D11" s="0" t="s">
        <v>219</v>
      </c>
      <c r="E11" s="0" t="s">
        <v>220</v>
      </c>
      <c r="F11" s="0" t="s">
        <v>221</v>
      </c>
      <c r="G11" s="0" t="s">
        <v>222</v>
      </c>
      <c r="H11" s="0" t="s">
        <v>223</v>
      </c>
      <c r="I11" s="0" t="s">
        <v>224</v>
      </c>
      <c r="J11" s="0" t="s">
        <v>225</v>
      </c>
      <c r="K11" s="0" t="s">
        <v>226</v>
      </c>
      <c r="L11" s="0" t="s">
        <v>227</v>
      </c>
      <c r="M11" s="0" t="s">
        <v>228</v>
      </c>
      <c r="N11" s="0" t="s">
        <v>229</v>
      </c>
      <c r="O11" s="0" t="s">
        <v>230</v>
      </c>
      <c r="P11" s="0" t="s">
        <v>231</v>
      </c>
      <c r="Q11" s="0" t="s">
        <v>232</v>
      </c>
      <c r="R11" s="0" t="s">
        <v>65</v>
      </c>
      <c r="S11" s="0" t="s">
        <v>233</v>
      </c>
      <c r="T11" s="0" t="s">
        <v>70</v>
      </c>
      <c r="U11" s="0" t="s">
        <v>234</v>
      </c>
      <c r="W11" s="0" t="s">
        <v>235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236</v>
      </c>
      <c r="B12" s="0" t="s">
        <v>237</v>
      </c>
      <c r="C12" s="0" t="s">
        <v>238</v>
      </c>
      <c r="D12" s="0" t="s">
        <v>239</v>
      </c>
      <c r="E12" s="0" t="s">
        <v>240</v>
      </c>
      <c r="F12" s="0" t="s">
        <v>241</v>
      </c>
      <c r="G12" s="0" t="s">
        <v>242</v>
      </c>
      <c r="H12" s="0" t="s">
        <v>243</v>
      </c>
      <c r="I12" s="0" t="s">
        <v>244</v>
      </c>
      <c r="J12" s="0" t="s">
        <v>245</v>
      </c>
      <c r="K12" s="0" t="s">
        <v>246</v>
      </c>
      <c r="L12" s="0" t="s">
        <v>247</v>
      </c>
      <c r="M12" s="0" t="s">
        <v>248</v>
      </c>
      <c r="N12" s="0" t="s">
        <v>249</v>
      </c>
      <c r="R12" s="0" t="s">
        <v>65</v>
      </c>
      <c r="S12" s="0" t="s">
        <v>250</v>
      </c>
      <c r="T12" s="0" t="s">
        <v>251</v>
      </c>
      <c r="U12" s="0" t="s">
        <v>252</v>
      </c>
      <c r="W12" s="0" t="s">
        <v>253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254</v>
      </c>
      <c r="B13" s="0" t="s">
        <v>255</v>
      </c>
      <c r="C13" s="0" t="s">
        <v>256</v>
      </c>
      <c r="D13" s="0" t="s">
        <v>257</v>
      </c>
      <c r="E13" s="0" t="s">
        <v>258</v>
      </c>
      <c r="F13" s="0" t="s">
        <v>259</v>
      </c>
      <c r="G13" s="0" t="s">
        <v>242</v>
      </c>
      <c r="H13" s="0" t="s">
        <v>260</v>
      </c>
      <c r="I13" s="0" t="s">
        <v>261</v>
      </c>
      <c r="J13" s="0" t="s">
        <v>205</v>
      </c>
      <c r="K13" s="0" t="s">
        <v>262</v>
      </c>
      <c r="L13" s="0" t="s">
        <v>263</v>
      </c>
      <c r="M13" s="0" t="s">
        <v>264</v>
      </c>
      <c r="N13" s="0" t="s">
        <v>265</v>
      </c>
      <c r="O13" s="0" t="s">
        <v>266</v>
      </c>
      <c r="P13" s="0" t="s">
        <v>267</v>
      </c>
      <c r="Q13" s="0" t="s">
        <v>268</v>
      </c>
      <c r="R13" s="0" t="s">
        <v>65</v>
      </c>
      <c r="S13" s="0" t="s">
        <v>269</v>
      </c>
      <c r="T13" s="0" t="s">
        <v>270</v>
      </c>
      <c r="U13" s="0" t="s">
        <v>271</v>
      </c>
      <c r="W13" s="0" t="s">
        <v>272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273</v>
      </c>
      <c r="B14" s="0" t="s">
        <v>274</v>
      </c>
      <c r="C14" s="0" t="s">
        <v>275</v>
      </c>
      <c r="D14" s="0" t="s">
        <v>276</v>
      </c>
      <c r="E14" s="0" t="s">
        <v>240</v>
      </c>
      <c r="F14" s="0" t="s">
        <v>141</v>
      </c>
      <c r="G14" s="0" t="s">
        <v>277</v>
      </c>
      <c r="H14" s="0" t="s">
        <v>278</v>
      </c>
      <c r="I14" s="0" t="s">
        <v>279</v>
      </c>
      <c r="J14" s="0" t="s">
        <v>280</v>
      </c>
      <c r="K14" s="0" t="s">
        <v>281</v>
      </c>
      <c r="L14" s="0" t="s">
        <v>282</v>
      </c>
      <c r="M14" s="0" t="s">
        <v>283</v>
      </c>
      <c r="N14" s="0" t="s">
        <v>284</v>
      </c>
      <c r="O14" s="0" t="s">
        <v>285</v>
      </c>
      <c r="P14" s="0" t="s">
        <v>286</v>
      </c>
      <c r="Q14" s="0" t="s">
        <v>287</v>
      </c>
      <c r="R14" s="0" t="s">
        <v>65</v>
      </c>
      <c r="S14" s="0" t="s">
        <v>288</v>
      </c>
      <c r="T14" s="0" t="s">
        <v>289</v>
      </c>
      <c r="U14" s="0" t="s">
        <v>290</v>
      </c>
      <c r="W14" s="0" t="s">
        <v>291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292</v>
      </c>
      <c r="B15" s="0" t="s">
        <v>293</v>
      </c>
      <c r="C15" s="0" t="s">
        <v>294</v>
      </c>
      <c r="D15" s="0" t="s">
        <v>295</v>
      </c>
      <c r="E15" s="0" t="s">
        <v>296</v>
      </c>
      <c r="F15" s="0" t="s">
        <v>297</v>
      </c>
      <c r="G15" s="0" t="s">
        <v>298</v>
      </c>
      <c r="H15" s="0" t="s">
        <v>299</v>
      </c>
      <c r="I15" s="0" t="s">
        <v>300</v>
      </c>
      <c r="J15" s="0" t="s">
        <v>301</v>
      </c>
      <c r="K15" s="0" t="s">
        <v>302</v>
      </c>
      <c r="L15" s="0" t="s">
        <v>303</v>
      </c>
      <c r="M15" s="0" t="s">
        <v>304</v>
      </c>
      <c r="N15" s="0" t="s">
        <v>305</v>
      </c>
      <c r="O15" s="0" t="s">
        <v>306</v>
      </c>
      <c r="P15" s="0" t="s">
        <v>307</v>
      </c>
      <c r="Q15" s="0" t="s">
        <v>308</v>
      </c>
      <c r="R15" s="0" t="s">
        <v>65</v>
      </c>
      <c r="S15" s="0" t="s">
        <v>309</v>
      </c>
      <c r="T15" s="0" t="s">
        <v>310</v>
      </c>
      <c r="U15" s="0" t="s">
        <v>311</v>
      </c>
      <c r="W15" s="0" t="s">
        <v>312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313</v>
      </c>
      <c r="B16" s="0" t="s">
        <v>314</v>
      </c>
      <c r="C16" s="0" t="s">
        <v>315</v>
      </c>
      <c r="D16" s="0" t="s">
        <v>316</v>
      </c>
      <c r="E16" s="0" t="s">
        <v>317</v>
      </c>
      <c r="F16" s="0" t="s">
        <v>318</v>
      </c>
      <c r="G16" s="0" t="s">
        <v>319</v>
      </c>
      <c r="H16" s="0" t="s">
        <v>320</v>
      </c>
      <c r="I16" s="0" t="s">
        <v>321</v>
      </c>
      <c r="J16" s="0" t="s">
        <v>322</v>
      </c>
      <c r="K16" s="0" t="s">
        <v>323</v>
      </c>
      <c r="L16" s="0" t="s">
        <v>324</v>
      </c>
      <c r="M16" s="0" t="s">
        <v>325</v>
      </c>
      <c r="N16" s="0" t="s">
        <v>326</v>
      </c>
      <c r="O16" s="0" t="s">
        <v>327</v>
      </c>
      <c r="P16" s="0" t="s">
        <v>328</v>
      </c>
      <c r="Q16" s="0" t="s">
        <v>329</v>
      </c>
      <c r="R16" s="0" t="s">
        <v>65</v>
      </c>
      <c r="S16" s="0" t="s">
        <v>330</v>
      </c>
      <c r="T16" s="0" t="s">
        <v>331</v>
      </c>
      <c r="U16" s="0" t="s">
        <v>332</v>
      </c>
      <c r="W16" s="0" t="s">
        <v>333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334</v>
      </c>
      <c r="B17" s="0" t="s">
        <v>335</v>
      </c>
      <c r="C17" s="0" t="s">
        <v>336</v>
      </c>
      <c r="D17" s="0" t="s">
        <v>337</v>
      </c>
      <c r="E17" s="0" t="s">
        <v>150</v>
      </c>
      <c r="F17" s="0" t="s">
        <v>338</v>
      </c>
      <c r="G17" s="0" t="s">
        <v>339</v>
      </c>
      <c r="H17" s="0" t="s">
        <v>340</v>
      </c>
      <c r="I17" s="0" t="s">
        <v>341</v>
      </c>
      <c r="J17" s="0" t="s">
        <v>342</v>
      </c>
      <c r="K17" s="0" t="s">
        <v>343</v>
      </c>
      <c r="L17" s="0" t="s">
        <v>344</v>
      </c>
      <c r="M17" s="0" t="s">
        <v>345</v>
      </c>
      <c r="N17" s="0" t="s">
        <v>346</v>
      </c>
      <c r="O17" s="0" t="s">
        <v>347</v>
      </c>
      <c r="P17" s="0" t="s">
        <v>348</v>
      </c>
      <c r="Q17" s="0" t="s">
        <v>349</v>
      </c>
      <c r="R17" s="0" t="s">
        <v>65</v>
      </c>
      <c r="S17" s="0" t="s">
        <v>350</v>
      </c>
      <c r="T17" s="0" t="s">
        <v>331</v>
      </c>
      <c r="U17" s="0" t="s">
        <v>351</v>
      </c>
      <c r="W17" s="0" t="s">
        <v>352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353</v>
      </c>
      <c r="B18" s="0" t="s">
        <v>354</v>
      </c>
      <c r="C18" s="0" t="s">
        <v>355</v>
      </c>
      <c r="D18" s="0" t="s">
        <v>356</v>
      </c>
      <c r="E18" s="0" t="s">
        <v>357</v>
      </c>
      <c r="F18" s="0" t="s">
        <v>358</v>
      </c>
      <c r="G18" s="0" t="s">
        <v>359</v>
      </c>
      <c r="H18" s="0" t="s">
        <v>360</v>
      </c>
      <c r="I18" s="0" t="s">
        <v>361</v>
      </c>
      <c r="J18" s="0" t="s">
        <v>362</v>
      </c>
      <c r="K18" s="0" t="s">
        <v>363</v>
      </c>
      <c r="L18" s="0" t="s">
        <v>364</v>
      </c>
      <c r="M18" s="0" t="s">
        <v>365</v>
      </c>
      <c r="N18" s="0" t="s">
        <v>366</v>
      </c>
      <c r="O18" s="0" t="s">
        <v>367</v>
      </c>
      <c r="P18" s="0" t="s">
        <v>368</v>
      </c>
      <c r="Q18" s="0" t="s">
        <v>369</v>
      </c>
      <c r="R18" s="0" t="s">
        <v>65</v>
      </c>
      <c r="S18" s="0" t="s">
        <v>370</v>
      </c>
      <c r="T18" s="0" t="s">
        <v>371</v>
      </c>
      <c r="U18" s="0" t="s">
        <v>372</v>
      </c>
      <c r="W18" s="0" t="s">
        <v>373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374</v>
      </c>
      <c r="B19" s="0" t="s">
        <v>375</v>
      </c>
      <c r="C19" s="0" t="s">
        <v>376</v>
      </c>
      <c r="D19" s="0" t="s">
        <v>377</v>
      </c>
      <c r="E19" s="0" t="s">
        <v>378</v>
      </c>
      <c r="F19" s="0" t="s">
        <v>379</v>
      </c>
      <c r="G19" s="0" t="s">
        <v>380</v>
      </c>
      <c r="H19" s="0" t="s">
        <v>381</v>
      </c>
      <c r="I19" s="0" t="s">
        <v>382</v>
      </c>
      <c r="J19" s="0" t="s">
        <v>163</v>
      </c>
      <c r="K19" s="0" t="s">
        <v>383</v>
      </c>
      <c r="L19" s="0" t="s">
        <v>384</v>
      </c>
      <c r="M19" s="0" t="s">
        <v>385</v>
      </c>
      <c r="N19" s="0" t="s">
        <v>386</v>
      </c>
      <c r="O19" s="0" t="s">
        <v>387</v>
      </c>
      <c r="P19" s="0" t="s">
        <v>388</v>
      </c>
      <c r="Q19" s="0" t="s">
        <v>389</v>
      </c>
      <c r="R19" s="0" t="s">
        <v>65</v>
      </c>
      <c r="S19" s="0" t="s">
        <v>390</v>
      </c>
      <c r="T19" s="0" t="s">
        <v>391</v>
      </c>
      <c r="U19" s="0" t="s">
        <v>392</v>
      </c>
      <c r="W19" s="0" t="s">
        <v>393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394</v>
      </c>
      <c r="B20" s="0" t="s">
        <v>395</v>
      </c>
      <c r="C20" s="0" t="s">
        <v>396</v>
      </c>
      <c r="D20" s="0" t="s">
        <v>397</v>
      </c>
      <c r="E20" s="0" t="s">
        <v>398</v>
      </c>
      <c r="F20" s="0" t="s">
        <v>399</v>
      </c>
      <c r="G20" s="0" t="s">
        <v>400</v>
      </c>
      <c r="H20" s="0" t="s">
        <v>401</v>
      </c>
      <c r="I20" s="0" t="s">
        <v>402</v>
      </c>
      <c r="J20" s="0" t="s">
        <v>140</v>
      </c>
      <c r="K20" s="0" t="s">
        <v>403</v>
      </c>
      <c r="L20" s="0" t="s">
        <v>404</v>
      </c>
      <c r="M20" s="0" t="s">
        <v>405</v>
      </c>
      <c r="N20" s="0" t="s">
        <v>406</v>
      </c>
      <c r="O20" s="0" t="s">
        <v>407</v>
      </c>
      <c r="P20" s="0" t="s">
        <v>408</v>
      </c>
      <c r="Q20" s="0" t="s">
        <v>409</v>
      </c>
      <c r="R20" s="0" t="s">
        <v>65</v>
      </c>
      <c r="S20" s="0" t="s">
        <v>410</v>
      </c>
      <c r="T20" s="0" t="s">
        <v>411</v>
      </c>
      <c r="U20" s="0" t="s">
        <v>65</v>
      </c>
      <c r="W20" s="0" t="s">
        <v>412</v>
      </c>
      <c r="Z20" s="0" t="s">
        <v>413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414</v>
      </c>
      <c r="B21" s="0" t="s">
        <v>415</v>
      </c>
      <c r="D21" s="0" t="s">
        <v>416</v>
      </c>
      <c r="E21" s="0" t="s">
        <v>417</v>
      </c>
      <c r="F21" s="0" t="s">
        <v>192</v>
      </c>
      <c r="G21" s="0" t="s">
        <v>418</v>
      </c>
      <c r="I21" s="0" t="s">
        <v>419</v>
      </c>
      <c r="J21" s="0" t="s">
        <v>420</v>
      </c>
      <c r="R21" s="0" t="s">
        <v>65</v>
      </c>
      <c r="S21" s="0" t="s">
        <v>421</v>
      </c>
      <c r="Z21" s="0" t="s">
        <v>422</v>
      </c>
      <c r="AA21" s="0" t="s">
        <v>17</v>
      </c>
      <c r="AB21" s="0" t="s">
        <v>14</v>
      </c>
      <c r="AC21" s="0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424</v>
      </c>
      <c r="B1" s="2" t="s">
        <v>425</v>
      </c>
    </row>
    <row r="2" customFormat="false" ht="15" hidden="false" customHeight="false" outlineLevel="0" collapsed="false">
      <c r="A2" s="0" t="s">
        <v>426</v>
      </c>
      <c r="B2" s="3" t="n">
        <v>0.7</v>
      </c>
    </row>
    <row r="3" customFormat="false" ht="15" hidden="false" customHeight="false" outlineLevel="0" collapsed="false">
      <c r="A3" s="0" t="s">
        <v>427</v>
      </c>
      <c r="B3" s="3" t="n">
        <v>70.66</v>
      </c>
    </row>
    <row r="4" customFormat="false" ht="15" hidden="false" customHeight="false" outlineLevel="0" collapsed="false">
      <c r="A4" s="0" t="s">
        <v>428</v>
      </c>
      <c r="B4" s="3" t="n">
        <v>-22</v>
      </c>
    </row>
    <row r="5" customFormat="false" ht="15" hidden="false" customHeight="false" outlineLevel="0" collapsed="false">
      <c r="A5" s="0" t="s">
        <v>429</v>
      </c>
      <c r="B5" s="3" t="n">
        <v>0</v>
      </c>
    </row>
    <row r="6" customFormat="false" ht="15" hidden="false" customHeight="false" outlineLevel="0" collapsed="false">
      <c r="A6" s="0" t="s">
        <v>430</v>
      </c>
      <c r="B6" s="3" t="n">
        <v>15</v>
      </c>
    </row>
    <row r="7" customFormat="false" ht="15" hidden="false" customHeight="false" outlineLevel="0" collapsed="false">
      <c r="A7" s="0" t="s">
        <v>431</v>
      </c>
      <c r="B7" s="3" t="n">
        <v>106.6</v>
      </c>
    </row>
    <row r="8" customFormat="false" ht="15" hidden="false" customHeight="false" outlineLevel="0" collapsed="false">
      <c r="A8" s="0" t="s">
        <v>432</v>
      </c>
      <c r="B8" s="3" t="s">
        <v>414</v>
      </c>
    </row>
    <row r="9" customFormat="false" ht="15" hidden="false" customHeight="false" outlineLevel="0" collapsed="false">
      <c r="A9" s="0" t="s">
        <v>433</v>
      </c>
      <c r="B9" s="3" t="s">
        <v>434</v>
      </c>
    </row>
    <row r="10" customFormat="false" ht="15" hidden="false" customHeight="false" outlineLevel="0" collapsed="false">
      <c r="A10" s="0" t="s">
        <v>435</v>
      </c>
      <c r="B10" s="3" t="n">
        <v>1</v>
      </c>
    </row>
    <row r="12" customFormat="false" ht="15" hidden="false" customHeight="false" outlineLevel="0" collapsed="false">
      <c r="A12" s="2" t="s">
        <v>436</v>
      </c>
      <c r="C12" s="2" t="s">
        <v>437</v>
      </c>
      <c r="D12" s="2" t="s">
        <v>438</v>
      </c>
      <c r="E12" s="2" t="s">
        <v>439</v>
      </c>
      <c r="F12" s="2" t="s">
        <v>440</v>
      </c>
      <c r="G12" s="2" t="s">
        <v>441</v>
      </c>
      <c r="H12" s="2" t="s">
        <v>442</v>
      </c>
      <c r="I12" s="2" t="s">
        <v>443</v>
      </c>
      <c r="J12" s="2" t="s">
        <v>444</v>
      </c>
      <c r="K12" s="2" t="s">
        <v>445</v>
      </c>
      <c r="L12" s="2" t="s">
        <v>446</v>
      </c>
    </row>
    <row r="13" customFormat="false" ht="15" hidden="false" customHeight="false" outlineLevel="0" collapsed="false">
      <c r="A13" s="0" t="s">
        <v>447</v>
      </c>
      <c r="C13" s="3" t="n">
        <v>1</v>
      </c>
      <c r="D13" s="3" t="n">
        <v>1</v>
      </c>
      <c r="E13" s="3" t="n">
        <v>1.5</v>
      </c>
      <c r="F13" s="3" t="n">
        <v>1.5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448</v>
      </c>
      <c r="C14" s="3" t="n">
        <v>-5.8</v>
      </c>
      <c r="D14" s="3" t="n">
        <v>-3.8</v>
      </c>
      <c r="E14" s="3" t="n">
        <v>-1.8</v>
      </c>
      <c r="F14" s="3" t="n">
        <v>0.2</v>
      </c>
      <c r="G14" s="3" t="n">
        <v>1.2</v>
      </c>
      <c r="H14" s="3" t="n">
        <v>2.2</v>
      </c>
      <c r="I14" s="3" t="n">
        <v>2.7</v>
      </c>
      <c r="J14" s="3" t="n">
        <v>3.2</v>
      </c>
      <c r="K14" s="3" t="n">
        <v>3.2</v>
      </c>
      <c r="L14" s="3" t="n">
        <v>3.7</v>
      </c>
    </row>
    <row r="15" customFormat="false" ht="15" hidden="false" customHeight="false" outlineLevel="0" collapsed="false">
      <c r="A15" s="0" t="s">
        <v>449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450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451</v>
      </c>
      <c r="C17" s="3" t="n">
        <v>2.2</v>
      </c>
      <c r="D17" s="3" t="n">
        <v>2.2</v>
      </c>
      <c r="E17" s="3" t="n">
        <v>2.2</v>
      </c>
      <c r="F17" s="3" t="n">
        <v>2.2</v>
      </c>
      <c r="G17" s="3" t="n">
        <v>2.2</v>
      </c>
      <c r="H17" s="3" t="n">
        <v>2.2</v>
      </c>
      <c r="I17" s="3" t="n">
        <v>2.2</v>
      </c>
      <c r="J17" s="3" t="n">
        <v>2.2</v>
      </c>
      <c r="K17" s="3" t="n">
        <v>2.2</v>
      </c>
      <c r="L17" s="3" t="n">
        <v>2.2</v>
      </c>
    </row>
    <row r="18" customFormat="false" ht="15" hidden="false" customHeight="false" outlineLevel="0" collapsed="false">
      <c r="A18" s="0" t="s">
        <v>452</v>
      </c>
      <c r="C18" s="3" t="n">
        <v>2.8</v>
      </c>
      <c r="D18" s="3" t="n">
        <v>2.8</v>
      </c>
      <c r="E18" s="3" t="n">
        <v>2.8</v>
      </c>
      <c r="F18" s="3" t="n">
        <v>2.8</v>
      </c>
      <c r="G18" s="3" t="n">
        <v>2.8</v>
      </c>
      <c r="H18" s="3" t="n">
        <v>2.8</v>
      </c>
      <c r="I18" s="3" t="n">
        <v>2.8</v>
      </c>
      <c r="J18" s="3" t="n">
        <v>2.8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453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454</v>
      </c>
      <c r="B20" s="3" t="n">
        <v>17</v>
      </c>
    </row>
    <row r="21" customFormat="false" ht="15" hidden="false" customHeight="false" outlineLevel="0" collapsed="false">
      <c r="A21" s="0" t="s">
        <v>455</v>
      </c>
      <c r="B21" s="3" t="n">
        <v>2</v>
      </c>
    </row>
    <row r="22" customFormat="false" ht="15" hidden="false" customHeight="false" outlineLevel="0" collapsed="false">
      <c r="A22" s="0" t="s">
        <v>456</v>
      </c>
      <c r="B22" s="3" t="n">
        <v>9</v>
      </c>
    </row>
    <row r="23" customFormat="false" ht="15" hidden="false" customHeight="false" outlineLevel="0" collapsed="false">
      <c r="A23" s="0" t="s">
        <v>457</v>
      </c>
      <c r="B23" s="3" t="n">
        <v>0</v>
      </c>
    </row>
    <row r="24" customFormat="false" ht="15" hidden="false" customHeight="false" outlineLevel="0" collapsed="false">
      <c r="A24" s="0" t="s">
        <v>458</v>
      </c>
      <c r="B24" s="3" t="n">
        <v>0.3</v>
      </c>
    </row>
    <row r="26" customFormat="false" ht="15" hidden="false" customHeight="false" outlineLevel="0" collapsed="false">
      <c r="A26" s="2" t="s">
        <v>459</v>
      </c>
      <c r="C26" s="2" t="s">
        <v>437</v>
      </c>
      <c r="D26" s="2" t="s">
        <v>438</v>
      </c>
      <c r="E26" s="2" t="s">
        <v>439</v>
      </c>
      <c r="F26" s="2" t="s">
        <v>440</v>
      </c>
      <c r="G26" s="2" t="s">
        <v>441</v>
      </c>
      <c r="H26" s="2" t="s">
        <v>442</v>
      </c>
      <c r="I26" s="2" t="s">
        <v>443</v>
      </c>
      <c r="J26" s="2" t="s">
        <v>444</v>
      </c>
      <c r="K26" s="2" t="s">
        <v>445</v>
      </c>
      <c r="L26" s="2" t="s">
        <v>446</v>
      </c>
    </row>
    <row r="27" customFormat="false" ht="15" hidden="false" customHeight="false" outlineLevel="0" collapsed="false">
      <c r="A27" s="0" t="s">
        <v>447</v>
      </c>
      <c r="C27" s="3" t="n">
        <v>3</v>
      </c>
      <c r="D27" s="3" t="n">
        <v>3</v>
      </c>
      <c r="E27" s="3" t="n">
        <v>3.5</v>
      </c>
      <c r="F27" s="3" t="n">
        <v>3.5</v>
      </c>
      <c r="G27" s="3" t="n">
        <v>3</v>
      </c>
      <c r="H27" s="3" t="n">
        <v>2.5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448</v>
      </c>
      <c r="C28" s="3" t="n">
        <v>-4</v>
      </c>
      <c r="D28" s="3" t="n">
        <v>-1</v>
      </c>
      <c r="E28" s="3" t="n">
        <v>2</v>
      </c>
      <c r="F28" s="3" t="n">
        <v>4</v>
      </c>
      <c r="G28" s="3" t="n">
        <v>5</v>
      </c>
      <c r="H28" s="3" t="n">
        <v>5.5</v>
      </c>
      <c r="I28" s="3" t="n">
        <v>6</v>
      </c>
      <c r="J28" s="3" t="n">
        <v>6</v>
      </c>
      <c r="K28" s="3" t="n">
        <v>6</v>
      </c>
      <c r="L28" s="3" t="n">
        <v>6</v>
      </c>
    </row>
    <row r="29" customFormat="false" ht="15" hidden="false" customHeight="false" outlineLevel="0" collapsed="false">
      <c r="A29" s="0" t="s">
        <v>449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450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451</v>
      </c>
      <c r="C31" s="3" t="n">
        <v>2</v>
      </c>
      <c r="D31" s="3" t="n">
        <v>2</v>
      </c>
      <c r="E31" s="3" t="n">
        <v>2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452</v>
      </c>
      <c r="C32" s="3" t="n">
        <v>2.5</v>
      </c>
      <c r="D32" s="3" t="n">
        <v>2.5</v>
      </c>
      <c r="E32" s="3" t="n">
        <v>2.5</v>
      </c>
      <c r="F32" s="3" t="n">
        <v>2.5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453</v>
      </c>
      <c r="C33" s="3" t="n">
        <v>0</v>
      </c>
      <c r="D33" s="3" t="n">
        <v>0</v>
      </c>
      <c r="E33" s="3" t="n">
        <v>0</v>
      </c>
      <c r="F33" s="3" t="n">
        <v>15</v>
      </c>
      <c r="G33" s="3" t="n">
        <v>21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454</v>
      </c>
      <c r="B34" s="3" t="n">
        <v>14.5</v>
      </c>
    </row>
    <row r="35" customFormat="false" ht="15" hidden="false" customHeight="false" outlineLevel="0" collapsed="false">
      <c r="A35" s="0" t="s">
        <v>455</v>
      </c>
      <c r="B35" s="3" t="n">
        <v>2.5</v>
      </c>
    </row>
    <row r="36" customFormat="false" ht="15" hidden="false" customHeight="false" outlineLevel="0" collapsed="false">
      <c r="A36" s="0" t="s">
        <v>456</v>
      </c>
      <c r="B36" s="3" t="n">
        <v>10</v>
      </c>
    </row>
    <row r="37" customFormat="false" ht="15" hidden="false" customHeight="false" outlineLevel="0" collapsed="false">
      <c r="A37" s="0" t="s">
        <v>457</v>
      </c>
      <c r="B37" s="3" t="n">
        <v>0</v>
      </c>
    </row>
    <row r="38" customFormat="false" ht="15" hidden="false" customHeight="false" outlineLevel="0" collapsed="false">
      <c r="A38" s="0" t="s">
        <v>458</v>
      </c>
      <c r="B38" s="3" t="n">
        <v>0.45</v>
      </c>
    </row>
    <row r="40" customFormat="false" ht="15" hidden="false" customHeight="false" outlineLevel="0" collapsed="false">
      <c r="A40" s="2" t="s">
        <v>460</v>
      </c>
      <c r="C40" s="2" t="s">
        <v>437</v>
      </c>
      <c r="D40" s="2" t="s">
        <v>438</v>
      </c>
      <c r="E40" s="2" t="s">
        <v>439</v>
      </c>
      <c r="F40" s="2" t="s">
        <v>440</v>
      </c>
      <c r="G40" s="2" t="s">
        <v>441</v>
      </c>
      <c r="H40" s="2" t="s">
        <v>442</v>
      </c>
      <c r="I40" s="2" t="s">
        <v>443</v>
      </c>
      <c r="J40" s="2" t="s">
        <v>444</v>
      </c>
      <c r="K40" s="2" t="s">
        <v>445</v>
      </c>
      <c r="L40" s="2" t="s">
        <v>446</v>
      </c>
    </row>
    <row r="41" customFormat="false" ht="15" hidden="false" customHeight="false" outlineLevel="0" collapsed="false">
      <c r="A41" s="0" t="s">
        <v>447</v>
      </c>
      <c r="C41" s="3" t="n">
        <v>6</v>
      </c>
      <c r="D41" s="3" t="n">
        <v>6</v>
      </c>
      <c r="E41" s="3" t="n">
        <v>6</v>
      </c>
      <c r="F41" s="3" t="n">
        <v>5.5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448</v>
      </c>
      <c r="C42" s="3" t="n">
        <v>-1.2</v>
      </c>
      <c r="D42" s="3" t="n">
        <v>2.8</v>
      </c>
      <c r="E42" s="3" t="n">
        <v>5.3</v>
      </c>
      <c r="F42" s="3" t="n">
        <v>6.8</v>
      </c>
      <c r="G42" s="3" t="n">
        <v>7.3</v>
      </c>
      <c r="H42" s="3" t="n">
        <v>7.8</v>
      </c>
      <c r="I42" s="3" t="n">
        <v>7.8</v>
      </c>
      <c r="J42" s="3" t="n">
        <v>7.8</v>
      </c>
      <c r="K42" s="3" t="n">
        <v>7.8</v>
      </c>
      <c r="L42" s="3" t="n">
        <v>7.8</v>
      </c>
    </row>
    <row r="43" customFormat="false" ht="15" hidden="false" customHeight="false" outlineLevel="0" collapsed="false">
      <c r="A43" s="0" t="s">
        <v>449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450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451</v>
      </c>
      <c r="C45" s="3" t="n">
        <v>1.8</v>
      </c>
      <c r="D45" s="3" t="n">
        <v>1.8</v>
      </c>
      <c r="E45" s="3" t="n">
        <v>1.8</v>
      </c>
      <c r="F45" s="3" t="n">
        <v>1.8</v>
      </c>
      <c r="G45" s="3" t="n">
        <v>1.8</v>
      </c>
      <c r="H45" s="3" t="n">
        <v>1.8</v>
      </c>
      <c r="I45" s="3" t="n">
        <v>1.8</v>
      </c>
      <c r="J45" s="3" t="n">
        <v>1.8</v>
      </c>
      <c r="K45" s="3" t="n">
        <v>1.8</v>
      </c>
      <c r="L45" s="3" t="n">
        <v>1.8</v>
      </c>
    </row>
    <row r="46" customFormat="false" ht="15" hidden="false" customHeight="false" outlineLevel="0" collapsed="false">
      <c r="A46" s="0" t="s">
        <v>452</v>
      </c>
      <c r="C46" s="3" t="n">
        <v>2.3</v>
      </c>
      <c r="D46" s="3" t="n">
        <v>2.3</v>
      </c>
      <c r="E46" s="3" t="n">
        <v>2.3</v>
      </c>
      <c r="F46" s="3" t="n">
        <v>2.3</v>
      </c>
      <c r="G46" s="3" t="n">
        <v>2.3</v>
      </c>
      <c r="H46" s="3" t="n">
        <v>2.3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453</v>
      </c>
      <c r="C47" s="3" t="n">
        <v>0</v>
      </c>
      <c r="D47" s="3" t="n">
        <v>0</v>
      </c>
      <c r="E47" s="3" t="n">
        <v>10</v>
      </c>
      <c r="F47" s="3" t="n">
        <v>20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</v>
      </c>
    </row>
    <row r="48" customFormat="false" ht="15" hidden="false" customHeight="false" outlineLevel="0" collapsed="false">
      <c r="A48" s="0" t="s">
        <v>454</v>
      </c>
      <c r="B48" s="3" t="n">
        <v>12.5</v>
      </c>
    </row>
    <row r="49" customFormat="false" ht="15" hidden="false" customHeight="false" outlineLevel="0" collapsed="false">
      <c r="A49" s="0" t="s">
        <v>455</v>
      </c>
      <c r="B49" s="3" t="n">
        <v>3</v>
      </c>
    </row>
    <row r="50" customFormat="false" ht="15" hidden="false" customHeight="false" outlineLevel="0" collapsed="false">
      <c r="A50" s="0" t="s">
        <v>456</v>
      </c>
      <c r="B50" s="3" t="n">
        <v>12</v>
      </c>
    </row>
    <row r="51" customFormat="false" ht="15" hidden="false" customHeight="false" outlineLevel="0" collapsed="false">
      <c r="A51" s="0" t="s">
        <v>457</v>
      </c>
      <c r="B51" s="3" t="n">
        <v>0</v>
      </c>
    </row>
    <row r="52" customFormat="false" ht="15" hidden="false" customHeight="false" outlineLevel="0" collapsed="false">
      <c r="A52" s="0" t="s">
        <v>458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461</v>
      </c>
    </row>
    <row r="3" customFormat="false" ht="15" hidden="false" customHeight="false" outlineLevel="0" collapsed="false">
      <c r="A3" s="0" t="s">
        <v>462</v>
      </c>
      <c r="B3" s="0" t="s">
        <v>414</v>
      </c>
      <c r="C3" s="2" t="s">
        <v>437</v>
      </c>
      <c r="D3" s="2" t="s">
        <v>438</v>
      </c>
      <c r="E3" s="2" t="s">
        <v>439</v>
      </c>
      <c r="F3" s="2" t="s">
        <v>440</v>
      </c>
      <c r="G3" s="2" t="s">
        <v>441</v>
      </c>
      <c r="H3" s="2" t="s">
        <v>442</v>
      </c>
      <c r="I3" s="2" t="s">
        <v>443</v>
      </c>
      <c r="J3" s="2" t="s">
        <v>444</v>
      </c>
      <c r="K3" s="2" t="s">
        <v>445</v>
      </c>
      <c r="L3" s="2" t="s">
        <v>446</v>
      </c>
    </row>
    <row r="4" customFormat="false" ht="15" hidden="false" customHeight="false" outlineLevel="0" collapsed="false">
      <c r="A4" s="0" t="s">
        <v>463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447</v>
      </c>
      <c r="C5" s="4" t="n">
        <f aca="false">Assumptions!C13</f>
        <v>1</v>
      </c>
      <c r="D5" s="4" t="n">
        <f aca="false">Assumptions!D13</f>
        <v>1</v>
      </c>
      <c r="E5" s="4" t="n">
        <f aca="false">Assumptions!E13</f>
        <v>1.5</v>
      </c>
      <c r="F5" s="4" t="n">
        <f aca="false">Assumptions!F13</f>
        <v>1.5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29</v>
      </c>
      <c r="B6" s="3" t="n">
        <v>106.6</v>
      </c>
      <c r="C6" s="0" t="n">
        <f aca="false">B6*(1+C5/100)</f>
        <v>107.666</v>
      </c>
      <c r="D6" s="0" t="n">
        <f aca="false">C6*(1+D5/100)</f>
        <v>108.74266</v>
      </c>
      <c r="E6" s="0" t="n">
        <f aca="false">D6*(1+E5/100)</f>
        <v>110.3737999</v>
      </c>
      <c r="F6" s="0" t="n">
        <f aca="false">E6*(1+F5/100)</f>
        <v>112.0294068985</v>
      </c>
      <c r="G6" s="0" t="n">
        <f aca="false">F6*(1+G5/100)</f>
        <v>114.26999503647</v>
      </c>
      <c r="H6" s="0" t="n">
        <f aca="false">G6*(1+H5/100)</f>
        <v>116.555394937199</v>
      </c>
      <c r="I6" s="0" t="n">
        <f aca="false">H6*(1+I5/100)</f>
        <v>118.886502835943</v>
      </c>
      <c r="J6" s="0" t="n">
        <f aca="false">I6*(1+J5/100)</f>
        <v>121.264232892662</v>
      </c>
      <c r="K6" s="0" t="n">
        <f aca="false">J6*(1+K5/100)</f>
        <v>123.689517550516</v>
      </c>
      <c r="L6" s="0" t="n">
        <f aca="false">K6*(1+L5/100)</f>
        <v>126.163307901526</v>
      </c>
    </row>
    <row r="7" customFormat="false" ht="15" hidden="false" customHeight="false" outlineLevel="0" collapsed="false">
      <c r="A7" s="0" t="s">
        <v>448</v>
      </c>
      <c r="C7" s="4" t="n">
        <f aca="false">Assumptions!C14</f>
        <v>-5.8</v>
      </c>
      <c r="D7" s="4" t="n">
        <f aca="false">Assumptions!D14</f>
        <v>-3.8</v>
      </c>
      <c r="E7" s="4" t="n">
        <f aca="false">Assumptions!E14</f>
        <v>-1.8</v>
      </c>
      <c r="F7" s="4" t="n">
        <f aca="false">Assumptions!F14</f>
        <v>0.2</v>
      </c>
      <c r="G7" s="4" t="n">
        <f aca="false">Assumptions!G14</f>
        <v>1.2</v>
      </c>
      <c r="H7" s="4" t="n">
        <f aca="false">Assumptions!H14</f>
        <v>2.2</v>
      </c>
      <c r="I7" s="4" t="n">
        <f aca="false">Assumptions!I14</f>
        <v>2.7</v>
      </c>
      <c r="J7" s="4" t="n">
        <f aca="false">Assumptions!J14</f>
        <v>3.2</v>
      </c>
      <c r="K7" s="4" t="n">
        <f aca="false">Assumptions!K14</f>
        <v>3.2</v>
      </c>
      <c r="L7" s="4" t="n">
        <f aca="false">Assumptions!L14</f>
        <v>3.7</v>
      </c>
    </row>
    <row r="8" customFormat="false" ht="15" hidden="false" customHeight="false" outlineLevel="0" collapsed="false">
      <c r="A8" s="0" t="s">
        <v>35</v>
      </c>
      <c r="C8" s="0" t="n">
        <f aca="false">C6*C7/100</f>
        <v>-6.244628</v>
      </c>
      <c r="D8" s="0" t="n">
        <f aca="false">D6*D7/100</f>
        <v>-4.13222108</v>
      </c>
      <c r="E8" s="0" t="n">
        <f aca="false">E6*E7/100</f>
        <v>-1.9867283982</v>
      </c>
      <c r="F8" s="0" t="n">
        <f aca="false">F6*F7/100</f>
        <v>0.224058813797</v>
      </c>
      <c r="G8" s="0" t="n">
        <f aca="false">G6*G7/100</f>
        <v>1.37123994043764</v>
      </c>
      <c r="H8" s="0" t="n">
        <f aca="false">H6*H7/100</f>
        <v>2.56421868861839</v>
      </c>
      <c r="I8" s="0" t="n">
        <f aca="false">I6*I7/100</f>
        <v>3.20993557657047</v>
      </c>
      <c r="J8" s="0" t="n">
        <f aca="false">J6*J7/100</f>
        <v>3.88045545256519</v>
      </c>
      <c r="K8" s="0" t="n">
        <f aca="false">K6*K7/100</f>
        <v>3.9580645616165</v>
      </c>
      <c r="L8" s="0" t="n">
        <f aca="false">L6*L7/100</f>
        <v>4.66804239235646</v>
      </c>
    </row>
    <row r="9" customFormat="false" ht="15" hidden="false" customHeight="false" outlineLevel="0" collapsed="false">
      <c r="A9" s="0" t="s">
        <v>449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464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465</v>
      </c>
      <c r="C11" s="0" t="n">
        <f aca="false">C8+C10+C24</f>
        <v>-6.244628</v>
      </c>
      <c r="D11" s="0" t="n">
        <f aca="false">D8+D10+D24</f>
        <v>-4.13222108</v>
      </c>
      <c r="E11" s="0" t="n">
        <f aca="false">E8+E10+E24</f>
        <v>-1.9867283982</v>
      </c>
      <c r="F11" s="0" t="n">
        <f aca="false">F8+F10+F24</f>
        <v>0.224058813797</v>
      </c>
      <c r="G11" s="0" t="n">
        <f aca="false">G8+G10+G24</f>
        <v>1.37123994043764</v>
      </c>
      <c r="H11" s="0" t="n">
        <f aca="false">H8+H10+H24</f>
        <v>2.56421868861839</v>
      </c>
      <c r="I11" s="0" t="n">
        <f aca="false">I8+I10+I24</f>
        <v>3.20993557657047</v>
      </c>
      <c r="J11" s="0" t="n">
        <f aca="false">J8+J10+J24</f>
        <v>3.88045545256519</v>
      </c>
      <c r="K11" s="0" t="n">
        <f aca="false">K8+K10+K24</f>
        <v>3.9580645616165</v>
      </c>
      <c r="L11" s="0" t="n">
        <f aca="false">L8+L10+L24</f>
        <v>4.66804239235646</v>
      </c>
    </row>
    <row r="12" customFormat="false" ht="15" hidden="false" customHeight="false" outlineLevel="0" collapsed="false">
      <c r="A12" s="0" t="s">
        <v>466</v>
      </c>
      <c r="C12" s="4" t="n">
        <f aca="false">-C6*Assumptions!C17/100</f>
        <v>-2.368652</v>
      </c>
      <c r="D12" s="4" t="n">
        <f aca="false">-D6*Assumptions!D17/100</f>
        <v>-2.39233852</v>
      </c>
      <c r="E12" s="4" t="n">
        <f aca="false">-E6*Assumptions!E17/100</f>
        <v>-2.4282235978</v>
      </c>
      <c r="F12" s="4" t="n">
        <f aca="false">-F6*Assumptions!F17/100</f>
        <v>-2.464646951767</v>
      </c>
      <c r="G12" s="4" t="n">
        <f aca="false">-G6*Assumptions!G17/100</f>
        <v>-2.51393989080234</v>
      </c>
      <c r="H12" s="4" t="n">
        <f aca="false">-H6*Assumptions!H17/100</f>
        <v>-2.56421868861839</v>
      </c>
      <c r="I12" s="4" t="n">
        <f aca="false">-I6*Assumptions!I17/100</f>
        <v>-2.61550306239076</v>
      </c>
      <c r="J12" s="4" t="n">
        <f aca="false">-J6*Assumptions!J17/100</f>
        <v>-2.66781312363857</v>
      </c>
      <c r="K12" s="4" t="n">
        <f aca="false">-K6*Assumptions!K17/100</f>
        <v>-2.72116938611134</v>
      </c>
      <c r="L12" s="4" t="n">
        <f aca="false">-L6*Assumptions!L17/100</f>
        <v>-2.77559277383357</v>
      </c>
    </row>
    <row r="13" customFormat="false" ht="15" hidden="false" customHeight="false" outlineLevel="0" collapsed="false">
      <c r="A13" s="0" t="s">
        <v>467</v>
      </c>
      <c r="C13" s="0" t="n">
        <f aca="false">C11+C12</f>
        <v>-8.61328</v>
      </c>
      <c r="D13" s="0" t="n">
        <f aca="false">D11+D12</f>
        <v>-6.5245596</v>
      </c>
      <c r="E13" s="0" t="n">
        <f aca="false">E11+E12</f>
        <v>-4.414951996</v>
      </c>
      <c r="F13" s="0" t="n">
        <f aca="false">F11+F12</f>
        <v>-2.24058813797</v>
      </c>
      <c r="G13" s="0" t="n">
        <f aca="false">G11+G12</f>
        <v>-1.1426999503647</v>
      </c>
      <c r="H13" s="0" t="n">
        <f aca="false">H11+H12</f>
        <v>0</v>
      </c>
      <c r="I13" s="0" t="n">
        <f aca="false">I11+I12</f>
        <v>0.594432514179716</v>
      </c>
      <c r="J13" s="0" t="n">
        <f aca="false">J11+J12</f>
        <v>1.21264232892662</v>
      </c>
      <c r="K13" s="0" t="n">
        <f aca="false">K11+K12</f>
        <v>1.23689517550516</v>
      </c>
      <c r="L13" s="0" t="n">
        <f aca="false">L11+L12</f>
        <v>1.89244961852289</v>
      </c>
    </row>
    <row r="14" customFormat="false" ht="15" hidden="false" customHeight="false" outlineLevel="0" collapsed="false">
      <c r="A14" s="0" t="s">
        <v>453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468</v>
      </c>
      <c r="C15" s="0" t="n">
        <f aca="false">C13-MAX(0,C13)*C14/100</f>
        <v>-8.61328</v>
      </c>
      <c r="D15" s="0" t="n">
        <f aca="false">D13-MAX(0,D13)*D14/100</f>
        <v>-6.5245596</v>
      </c>
      <c r="E15" s="0" t="n">
        <f aca="false">E13-MAX(0,E13)*E14/100</f>
        <v>-4.414951996</v>
      </c>
      <c r="F15" s="0" t="n">
        <f aca="false">F13-MAX(0,F13)*F14/100</f>
        <v>-2.24058813797</v>
      </c>
      <c r="G15" s="0" t="n">
        <f aca="false">G13-MAX(0,G13)*G14/100</f>
        <v>-1.1426999503647</v>
      </c>
      <c r="H15" s="0" t="n">
        <f aca="false">H13-MAX(0,H13)*H14/100</f>
        <v>0</v>
      </c>
      <c r="I15" s="0" t="n">
        <f aca="false">I13-MAX(0,I13)*I14/100</f>
        <v>0.427991410209396</v>
      </c>
      <c r="J15" s="0" t="n">
        <f aca="false">J13-MAX(0,J13)*J14/100</f>
        <v>0.873102476827168</v>
      </c>
      <c r="K15" s="0" t="n">
        <f aca="false">K13-MAX(0,K13)*K14/100</f>
        <v>0.890564526363712</v>
      </c>
      <c r="L15" s="0" t="n">
        <f aca="false">L13-MAX(0,L13)*L14/100</f>
        <v>1.36256372533648</v>
      </c>
    </row>
    <row r="16" customFormat="false" ht="15" hidden="false" customHeight="false" outlineLevel="0" collapsed="false">
      <c r="A16" s="0" t="s">
        <v>469</v>
      </c>
      <c r="C16" s="0" t="n">
        <f aca="false">-C12</f>
        <v>2.368652</v>
      </c>
      <c r="D16" s="0" t="n">
        <f aca="false">-D12</f>
        <v>2.39233852</v>
      </c>
      <c r="E16" s="0" t="n">
        <f aca="false">-E12</f>
        <v>2.4282235978</v>
      </c>
      <c r="F16" s="0" t="n">
        <f aca="false">-F12</f>
        <v>2.464646951767</v>
      </c>
      <c r="G16" s="0" t="n">
        <f aca="false">-G12</f>
        <v>2.51393989080234</v>
      </c>
      <c r="H16" s="0" t="n">
        <f aca="false">-H12</f>
        <v>2.56421868861839</v>
      </c>
      <c r="I16" s="0" t="n">
        <f aca="false">-I12</f>
        <v>2.61550306239076</v>
      </c>
      <c r="J16" s="0" t="n">
        <f aca="false">-J12</f>
        <v>2.66781312363857</v>
      </c>
      <c r="K16" s="0" t="n">
        <f aca="false">-K12</f>
        <v>2.72116938611134</v>
      </c>
      <c r="L16" s="0" t="n">
        <f aca="false">-L12</f>
        <v>2.77559277383357</v>
      </c>
    </row>
    <row r="17" customFormat="false" ht="15" hidden="false" customHeight="false" outlineLevel="0" collapsed="false">
      <c r="A17" s="0" t="s">
        <v>470</v>
      </c>
      <c r="C17" s="4" t="n">
        <f aca="false">-C6*Assumptions!C18/100</f>
        <v>-3.014648</v>
      </c>
      <c r="D17" s="4" t="n">
        <f aca="false">-D6*Assumptions!D18/100</f>
        <v>-3.04479448</v>
      </c>
      <c r="E17" s="4" t="n">
        <f aca="false">-E6*Assumptions!E18/100</f>
        <v>-3.0904663972</v>
      </c>
      <c r="F17" s="4" t="n">
        <f aca="false">-F6*Assumptions!F18/100</f>
        <v>-3.136823393158</v>
      </c>
      <c r="G17" s="4" t="n">
        <f aca="false">-G6*Assumptions!G18/100</f>
        <v>-3.19955986102116</v>
      </c>
      <c r="H17" s="4" t="n">
        <f aca="false">-H6*Assumptions!H18/100</f>
        <v>-3.26355105824158</v>
      </c>
      <c r="I17" s="4" t="n">
        <f aca="false">-I6*Assumptions!I18/100</f>
        <v>-3.32882207940642</v>
      </c>
      <c r="J17" s="4" t="n">
        <f aca="false">-J6*Assumptions!J18/100</f>
        <v>-3.39539852099454</v>
      </c>
      <c r="K17" s="4" t="n">
        <f aca="false">-K6*Assumptions!K18/100</f>
        <v>-3.46330649141443</v>
      </c>
      <c r="L17" s="4" t="n">
        <f aca="false">-L6*Assumptions!L18/100</f>
        <v>-3.53257262124272</v>
      </c>
    </row>
    <row r="18" customFormat="false" ht="15" hidden="false" customHeight="false" outlineLevel="0" collapsed="false">
      <c r="A18" s="0" t="s">
        <v>471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472</v>
      </c>
      <c r="C19" s="0" t="n">
        <f aca="false">C15+C16+C17+C18</f>
        <v>-9.259276</v>
      </c>
      <c r="D19" s="0" t="n">
        <f aca="false">D15+D16+D17+D18</f>
        <v>-7.17701556</v>
      </c>
      <c r="E19" s="0" t="n">
        <f aca="false">E15+E16+E17+E18</f>
        <v>-5.0771947954</v>
      </c>
      <c r="F19" s="0" t="n">
        <f aca="false">F15+F16+F17+F18</f>
        <v>-2.912764579361</v>
      </c>
      <c r="G19" s="0" t="n">
        <f aca="false">G15+G16+G17+G18</f>
        <v>-1.82831992058352</v>
      </c>
      <c r="H19" s="0" t="n">
        <f aca="false">H15+H16+H17+H18</f>
        <v>-0.699332369623196</v>
      </c>
      <c r="I19" s="0" t="n">
        <f aca="false">I15+I16+I17+I18</f>
        <v>-0.285327606806264</v>
      </c>
      <c r="J19" s="0" t="n">
        <f aca="false">J15+J16+J17+J18</f>
        <v>0.145517079471195</v>
      </c>
      <c r="K19" s="0" t="n">
        <f aca="false">K15+K16+K17+K18</f>
        <v>0.14842742106062</v>
      </c>
      <c r="L19" s="0" t="n">
        <f aca="false">L15+L16+L17+L18</f>
        <v>0.605583877927324</v>
      </c>
    </row>
    <row r="20" customFormat="false" ht="15" hidden="false" customHeight="false" outlineLevel="0" collapsed="false">
      <c r="A20" s="0" t="s">
        <v>473</v>
      </c>
      <c r="C20" s="0" t="n">
        <f aca="false">1/(1+$B$27/100)^C4</f>
        <v>0.854700854700855</v>
      </c>
      <c r="D20" s="0" t="n">
        <f aca="false">1/(1+$B$27/100)^D4</f>
        <v>0.730513551026372</v>
      </c>
      <c r="E20" s="0" t="n">
        <f aca="false">1/(1+$B$27/100)^E4</f>
        <v>0.624370556432796</v>
      </c>
      <c r="F20" s="0" t="n">
        <f aca="false">1/(1+$B$27/100)^F4</f>
        <v>0.533650048233159</v>
      </c>
      <c r="G20" s="0" t="n">
        <f aca="false">1/(1+$B$27/100)^G4</f>
        <v>0.456111152336034</v>
      </c>
      <c r="H20" s="0" t="n">
        <f aca="false">1/(1+$B$27/100)^H4</f>
        <v>0.3898385917402</v>
      </c>
      <c r="I20" s="0" t="n">
        <f aca="false">1/(1+$B$27/100)^I4</f>
        <v>0.333195377555726</v>
      </c>
      <c r="J20" s="0" t="n">
        <f aca="false">1/(1+$B$27/100)^J4</f>
        <v>0.284782373979253</v>
      </c>
      <c r="K20" s="0" t="n">
        <f aca="false">1/(1+$B$27/100)^K4</f>
        <v>0.243403738443806</v>
      </c>
      <c r="L20" s="0" t="n">
        <f aca="false">1/(1+$B$27/100)^L4</f>
        <v>0.208037383285304</v>
      </c>
    </row>
    <row r="21" customFormat="false" ht="15" hidden="false" customHeight="false" outlineLevel="0" collapsed="false">
      <c r="A21" s="0" t="s">
        <v>474</v>
      </c>
      <c r="C21" s="0" t="n">
        <f aca="false">C19*C20</f>
        <v>-7.91391111111111</v>
      </c>
      <c r="D21" s="0" t="n">
        <f aca="false">D19*D20</f>
        <v>-5.24290712250712</v>
      </c>
      <c r="E21" s="0" t="n">
        <f aca="false">E19*E20</f>
        <v>-3.1700509395216</v>
      </c>
      <c r="F21" s="0" t="n">
        <f aca="false">F19*F20</f>
        <v>-1.55439695826784</v>
      </c>
      <c r="G21" s="0" t="n">
        <f aca="false">G19*G20</f>
        <v>-0.833917105816275</v>
      </c>
      <c r="H21" s="0" t="n">
        <f aca="false">H19*H20</f>
        <v>-0.272626746132244</v>
      </c>
      <c r="I21" s="0" t="n">
        <f aca="false">I19*I20</f>
        <v>-0.0950698396768849</v>
      </c>
      <c r="J21" s="0" t="n">
        <f aca="false">J19*J20</f>
        <v>0.0414406993463347</v>
      </c>
      <c r="K21" s="0" t="n">
        <f aca="false">K19*K20</f>
        <v>0.0361277891737277</v>
      </c>
      <c r="L21" s="0" t="n">
        <f aca="false">L19*L20</f>
        <v>0.125984085323768</v>
      </c>
    </row>
    <row r="23" customFormat="false" ht="15" hidden="false" customHeight="false" outlineLevel="0" collapsed="false">
      <c r="A23" s="0" t="s">
        <v>450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475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476</v>
      </c>
    </row>
    <row r="27" customFormat="false" ht="15" hidden="false" customHeight="false" outlineLevel="0" collapsed="false">
      <c r="A27" s="0" t="s">
        <v>454</v>
      </c>
      <c r="B27" s="4" t="n">
        <f aca="false">Assumptions!$B$20</f>
        <v>17</v>
      </c>
    </row>
    <row r="28" customFormat="false" ht="15" hidden="false" customHeight="false" outlineLevel="0" collapsed="false">
      <c r="A28" s="0" t="s">
        <v>455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456</v>
      </c>
      <c r="B29" s="4" t="n">
        <f aca="false">Assumptions!$B$22</f>
        <v>9</v>
      </c>
    </row>
    <row r="30" customFormat="false" ht="15" hidden="false" customHeight="false" outlineLevel="0" collapsed="false">
      <c r="A30" s="0" t="s">
        <v>477</v>
      </c>
      <c r="B30" s="0" t="n">
        <f aca="false">SUM(C21:L21)</f>
        <v>-18.8793272491892</v>
      </c>
    </row>
    <row r="31" customFormat="false" ht="15" hidden="false" customHeight="false" outlineLevel="0" collapsed="false">
      <c r="A31" s="0" t="s">
        <v>478</v>
      </c>
      <c r="B31" s="0" t="n">
        <f aca="false">L19</f>
        <v>0.605583877927324</v>
      </c>
    </row>
    <row r="32" customFormat="false" ht="15" hidden="false" customHeight="false" outlineLevel="0" collapsed="false">
      <c r="A32" s="0" t="s">
        <v>479</v>
      </c>
      <c r="B32" s="0" t="n">
        <f aca="false">IF(B27&gt;B28,B31*(1+B28/100)/((B27-B28)/100),B31*B29)</f>
        <v>4.1179703699058</v>
      </c>
    </row>
    <row r="33" customFormat="false" ht="15" hidden="false" customHeight="false" outlineLevel="0" collapsed="false">
      <c r="A33" s="0" t="s">
        <v>480</v>
      </c>
      <c r="B33" s="0" t="n">
        <f aca="false">B31*B29</f>
        <v>5.45025490134592</v>
      </c>
    </row>
    <row r="34" customFormat="false" ht="15" hidden="false" customHeight="false" outlineLevel="0" collapsed="false">
      <c r="A34" s="0" t="s">
        <v>481</v>
      </c>
      <c r="B34" s="0" t="n">
        <f aca="false">MAX(0,MIN(B32,B33))</f>
        <v>4.1179703699058</v>
      </c>
    </row>
    <row r="35" customFormat="false" ht="15" hidden="false" customHeight="false" outlineLevel="0" collapsed="false">
      <c r="A35" s="0" t="s">
        <v>482</v>
      </c>
      <c r="B35" s="0" t="n">
        <f aca="false">B34/(1+B27/100)^L4</f>
        <v>0.85669178020162</v>
      </c>
    </row>
    <row r="36" customFormat="false" ht="15" hidden="false" customHeight="false" outlineLevel="0" collapsed="false">
      <c r="A36" s="0" t="s">
        <v>483</v>
      </c>
      <c r="B36" s="0" t="n">
        <f aca="false">B30+B35</f>
        <v>-18.0226354689876</v>
      </c>
    </row>
    <row r="37" customFormat="false" ht="15" hidden="false" customHeight="false" outlineLevel="0" collapsed="false">
      <c r="A37" s="0" t="s">
        <v>484</v>
      </c>
      <c r="B37" s="0" t="n">
        <f aca="false">B36+Assumptions!$B$5-Assumptions!$B$4</f>
        <v>3.97736453101238</v>
      </c>
    </row>
    <row r="38" customFormat="false" ht="15" hidden="false" customHeight="false" outlineLevel="0" collapsed="false">
      <c r="A38" s="0" t="s">
        <v>485</v>
      </c>
      <c r="B38" s="0" t="n">
        <f aca="false">B37/Assumptions!$B$3*Assumptions!$B$10</f>
        <v>0.0562887706058928</v>
      </c>
    </row>
    <row r="39" customFormat="false" ht="15" hidden="false" customHeight="false" outlineLevel="0" collapsed="false">
      <c r="A39" s="0" t="s">
        <v>486</v>
      </c>
      <c r="B39" s="4" t="n">
        <f aca="false">B38/Assumptions!$B$2-1</f>
        <v>-0.91958747056301</v>
      </c>
    </row>
    <row r="41" customFormat="false" ht="15" hidden="false" customHeight="false" outlineLevel="0" collapsed="false">
      <c r="A41" s="0" t="s">
        <v>487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488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489</v>
      </c>
      <c r="B43" s="0" t="n">
        <f aca="false">(B37+B41+B42)/Assumptions!$B$3*Assumptions!$B$10</f>
        <v>0.0562887706058928</v>
      </c>
    </row>
    <row r="45" customFormat="false" ht="15" hidden="false" customHeight="false" outlineLevel="0" collapsed="false">
      <c r="A45" s="0" t="s">
        <v>430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490</v>
      </c>
      <c r="B46" s="0" t="n">
        <f aca="false">MAX(0,MIN(IF(B45&gt;B28,B31*(1+B28/100)/((B45-B28)/100),B31*B29),B31*B29))</f>
        <v>4.75150427296823</v>
      </c>
    </row>
    <row r="47" customFormat="false" ht="15" hidden="false" customHeight="false" outlineLevel="0" collapsed="false">
      <c r="A47" s="0" t="s">
        <v>491</v>
      </c>
      <c r="B47" s="0" t="n">
        <f aca="false">(SUMPRODUCT(C19:L19/(1+B45/100)^C4:L4)+B46/(1+B45/100)^L4+Assumptions!$B$5-Assumptions!$B$4)/Assumptions!$B$3*Assumptions!$B$10</f>
        <v>0.0511354168194502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492</v>
      </c>
    </row>
    <row r="3" customFormat="false" ht="15" hidden="false" customHeight="false" outlineLevel="0" collapsed="false">
      <c r="A3" s="0" t="s">
        <v>462</v>
      </c>
      <c r="B3" s="0" t="s">
        <v>414</v>
      </c>
      <c r="C3" s="2" t="s">
        <v>437</v>
      </c>
      <c r="D3" s="2" t="s">
        <v>438</v>
      </c>
      <c r="E3" s="2" t="s">
        <v>439</v>
      </c>
      <c r="F3" s="2" t="s">
        <v>440</v>
      </c>
      <c r="G3" s="2" t="s">
        <v>441</v>
      </c>
      <c r="H3" s="2" t="s">
        <v>442</v>
      </c>
      <c r="I3" s="2" t="s">
        <v>443</v>
      </c>
      <c r="J3" s="2" t="s">
        <v>444</v>
      </c>
      <c r="K3" s="2" t="s">
        <v>445</v>
      </c>
      <c r="L3" s="2" t="s">
        <v>446</v>
      </c>
    </row>
    <row r="4" customFormat="false" ht="15" hidden="false" customHeight="false" outlineLevel="0" collapsed="false">
      <c r="A4" s="0" t="s">
        <v>463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447</v>
      </c>
      <c r="C5" s="4" t="n">
        <f aca="false">Assumptions!C27</f>
        <v>3</v>
      </c>
      <c r="D5" s="4" t="n">
        <f aca="false">Assumptions!D27</f>
        <v>3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29</v>
      </c>
      <c r="B6" s="3" t="n">
        <v>106.6</v>
      </c>
      <c r="C6" s="0" t="n">
        <f aca="false">B6*(1+C5/100)</f>
        <v>109.798</v>
      </c>
      <c r="D6" s="0" t="n">
        <f aca="false">C6*(1+D5/100)</f>
        <v>113.09194</v>
      </c>
      <c r="E6" s="0" t="n">
        <f aca="false">D6*(1+E5/100)</f>
        <v>117.0501579</v>
      </c>
      <c r="F6" s="0" t="n">
        <f aca="false">E6*(1+F5/100)</f>
        <v>121.1469134265</v>
      </c>
      <c r="G6" s="0" t="n">
        <f aca="false">F6*(1+G5/100)</f>
        <v>124.781320829295</v>
      </c>
      <c r="H6" s="0" t="n">
        <f aca="false">G6*(1+H5/100)</f>
        <v>127.900853850027</v>
      </c>
      <c r="I6" s="0" t="n">
        <f aca="false">H6*(1+I5/100)</f>
        <v>131.098375196278</v>
      </c>
      <c r="J6" s="0" t="n">
        <f aca="false">I6*(1+J5/100)</f>
        <v>134.375834576185</v>
      </c>
      <c r="K6" s="0" t="n">
        <f aca="false">J6*(1+K5/100)</f>
        <v>137.73523044059</v>
      </c>
      <c r="L6" s="0" t="n">
        <f aca="false">K6*(1+L5/100)</f>
        <v>141.178611201604</v>
      </c>
    </row>
    <row r="7" customFormat="false" ht="15" hidden="false" customHeight="false" outlineLevel="0" collapsed="false">
      <c r="A7" s="0" t="s">
        <v>448</v>
      </c>
      <c r="C7" s="4" t="n">
        <f aca="false">Assumptions!C28</f>
        <v>-4</v>
      </c>
      <c r="D7" s="4" t="n">
        <f aca="false">Assumptions!D28</f>
        <v>-1</v>
      </c>
      <c r="E7" s="4" t="n">
        <f aca="false">Assumptions!E28</f>
        <v>2</v>
      </c>
      <c r="F7" s="4" t="n">
        <f aca="false">Assumptions!F28</f>
        <v>4</v>
      </c>
      <c r="G7" s="4" t="n">
        <f aca="false">Assumptions!G28</f>
        <v>5</v>
      </c>
      <c r="H7" s="4" t="n">
        <f aca="false">Assumptions!H28</f>
        <v>5.5</v>
      </c>
      <c r="I7" s="4" t="n">
        <f aca="false">Assumptions!I28</f>
        <v>6</v>
      </c>
      <c r="J7" s="4" t="n">
        <f aca="false">Assumptions!J28</f>
        <v>6</v>
      </c>
      <c r="K7" s="4" t="n">
        <f aca="false">Assumptions!K28</f>
        <v>6</v>
      </c>
      <c r="L7" s="4" t="n">
        <f aca="false">Assumptions!L28</f>
        <v>6</v>
      </c>
    </row>
    <row r="8" customFormat="false" ht="15" hidden="false" customHeight="false" outlineLevel="0" collapsed="false">
      <c r="A8" s="0" t="s">
        <v>35</v>
      </c>
      <c r="C8" s="0" t="n">
        <f aca="false">C6*C7/100</f>
        <v>-4.39192</v>
      </c>
      <c r="D8" s="0" t="n">
        <f aca="false">D6*D7/100</f>
        <v>-1.1309194</v>
      </c>
      <c r="E8" s="0" t="n">
        <f aca="false">E6*E7/100</f>
        <v>2.341003158</v>
      </c>
      <c r="F8" s="0" t="n">
        <f aca="false">F6*F7/100</f>
        <v>4.84587653706</v>
      </c>
      <c r="G8" s="0" t="n">
        <f aca="false">G6*G7/100</f>
        <v>6.23906604146475</v>
      </c>
      <c r="H8" s="0" t="n">
        <f aca="false">H6*H7/100</f>
        <v>7.03454696175151</v>
      </c>
      <c r="I8" s="0" t="n">
        <f aca="false">I6*I7/100</f>
        <v>7.86590251177668</v>
      </c>
      <c r="J8" s="0" t="n">
        <f aca="false">J6*J7/100</f>
        <v>8.0625500745711</v>
      </c>
      <c r="K8" s="0" t="n">
        <f aca="false">K6*K7/100</f>
        <v>8.26411382643537</v>
      </c>
      <c r="L8" s="0" t="n">
        <f aca="false">L6*L7/100</f>
        <v>8.47071667209626</v>
      </c>
    </row>
    <row r="9" customFormat="false" ht="15" hidden="false" customHeight="false" outlineLevel="0" collapsed="false">
      <c r="A9" s="0" t="s">
        <v>449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464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465</v>
      </c>
      <c r="C11" s="0" t="n">
        <f aca="false">C8+C10+C24</f>
        <v>-4.39192</v>
      </c>
      <c r="D11" s="0" t="n">
        <f aca="false">D8+D10+D24</f>
        <v>-1.1309194</v>
      </c>
      <c r="E11" s="0" t="n">
        <f aca="false">E8+E10+E24</f>
        <v>2.341003158</v>
      </c>
      <c r="F11" s="0" t="n">
        <f aca="false">F8+F10+F24</f>
        <v>4.84587653706</v>
      </c>
      <c r="G11" s="0" t="n">
        <f aca="false">G8+G10+G24</f>
        <v>6.23906604146475</v>
      </c>
      <c r="H11" s="0" t="n">
        <f aca="false">H8+H10+H24</f>
        <v>7.03454696175151</v>
      </c>
      <c r="I11" s="0" t="n">
        <f aca="false">I8+I10+I24</f>
        <v>7.86590251177668</v>
      </c>
      <c r="J11" s="0" t="n">
        <f aca="false">J8+J10+J24</f>
        <v>8.0625500745711</v>
      </c>
      <c r="K11" s="0" t="n">
        <f aca="false">K8+K10+K24</f>
        <v>8.26411382643537</v>
      </c>
      <c r="L11" s="0" t="n">
        <f aca="false">L8+L10+L24</f>
        <v>8.47071667209626</v>
      </c>
    </row>
    <row r="12" customFormat="false" ht="15" hidden="false" customHeight="false" outlineLevel="0" collapsed="false">
      <c r="A12" s="0" t="s">
        <v>466</v>
      </c>
      <c r="C12" s="4" t="n">
        <f aca="false">-C6*Assumptions!C31/100</f>
        <v>-2.19596</v>
      </c>
      <c r="D12" s="4" t="n">
        <f aca="false">-D6*Assumptions!D31/100</f>
        <v>-2.2618388</v>
      </c>
      <c r="E12" s="4" t="n">
        <f aca="false">-E6*Assumptions!E31/100</f>
        <v>-2.341003158</v>
      </c>
      <c r="F12" s="4" t="n">
        <f aca="false">-F6*Assumptions!F31/100</f>
        <v>-2.42293826853</v>
      </c>
      <c r="G12" s="4" t="n">
        <f aca="false">-G6*Assumptions!G31/100</f>
        <v>-2.4956264165859</v>
      </c>
      <c r="H12" s="4" t="n">
        <f aca="false">-H6*Assumptions!H31/100</f>
        <v>-2.55801707700055</v>
      </c>
      <c r="I12" s="4" t="n">
        <f aca="false">-I6*Assumptions!I31/100</f>
        <v>-2.62196750392556</v>
      </c>
      <c r="J12" s="4" t="n">
        <f aca="false">-J6*Assumptions!J31/100</f>
        <v>-2.6875166915237</v>
      </c>
      <c r="K12" s="4" t="n">
        <f aca="false">-K6*Assumptions!K31/100</f>
        <v>-2.75470460881179</v>
      </c>
      <c r="L12" s="4" t="n">
        <f aca="false">-L6*Assumptions!L31/100</f>
        <v>-2.82357222403209</v>
      </c>
    </row>
    <row r="13" customFormat="false" ht="15" hidden="false" customHeight="false" outlineLevel="0" collapsed="false">
      <c r="A13" s="0" t="s">
        <v>467</v>
      </c>
      <c r="C13" s="0" t="n">
        <f aca="false">C11+C12</f>
        <v>-6.58788</v>
      </c>
      <c r="D13" s="0" t="n">
        <f aca="false">D11+D12</f>
        <v>-3.3927582</v>
      </c>
      <c r="E13" s="0" t="n">
        <f aca="false">E11+E12</f>
        <v>0</v>
      </c>
      <c r="F13" s="0" t="n">
        <f aca="false">F11+F12</f>
        <v>2.42293826853</v>
      </c>
      <c r="G13" s="0" t="n">
        <f aca="false">G11+G12</f>
        <v>3.74343962487885</v>
      </c>
      <c r="H13" s="0" t="n">
        <f aca="false">H11+H12</f>
        <v>4.47652988475096</v>
      </c>
      <c r="I13" s="0" t="n">
        <f aca="false">I11+I12</f>
        <v>5.24393500785112</v>
      </c>
      <c r="J13" s="0" t="n">
        <f aca="false">J11+J12</f>
        <v>5.3750333830474</v>
      </c>
      <c r="K13" s="0" t="n">
        <f aca="false">K11+K12</f>
        <v>5.50940921762358</v>
      </c>
      <c r="L13" s="0" t="n">
        <f aca="false">L11+L12</f>
        <v>5.64714444806417</v>
      </c>
    </row>
    <row r="14" customFormat="false" ht="15" hidden="false" customHeight="false" outlineLevel="0" collapsed="false">
      <c r="A14" s="0" t="s">
        <v>453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15</v>
      </c>
      <c r="G14" s="4" t="n">
        <f aca="false">Assumptions!G33</f>
        <v>21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468</v>
      </c>
      <c r="C15" s="0" t="n">
        <f aca="false">C13-MAX(0,C13)*C14/100</f>
        <v>-6.58788</v>
      </c>
      <c r="D15" s="0" t="n">
        <f aca="false">D13-MAX(0,D13)*D14/100</f>
        <v>-3.3927582</v>
      </c>
      <c r="E15" s="0" t="n">
        <f aca="false">E13-MAX(0,E13)*E14/100</f>
        <v>0</v>
      </c>
      <c r="F15" s="0" t="n">
        <f aca="false">F13-MAX(0,F13)*F14/100</f>
        <v>2.0594975282505</v>
      </c>
      <c r="G15" s="0" t="n">
        <f aca="false">G13-MAX(0,G13)*G14/100</f>
        <v>2.95731730365429</v>
      </c>
      <c r="H15" s="0" t="n">
        <f aca="false">H13-MAX(0,H13)*H14/100</f>
        <v>3.22310151702069</v>
      </c>
      <c r="I15" s="0" t="n">
        <f aca="false">I13-MAX(0,I13)*I14/100</f>
        <v>3.77563320565281</v>
      </c>
      <c r="J15" s="0" t="n">
        <f aca="false">J13-MAX(0,J13)*J14/100</f>
        <v>3.87002403579413</v>
      </c>
      <c r="K15" s="0" t="n">
        <f aca="false">K13-MAX(0,K13)*K14/100</f>
        <v>3.96677463668898</v>
      </c>
      <c r="L15" s="0" t="n">
        <f aca="false">L13-MAX(0,L13)*L14/100</f>
        <v>4.0659440026062</v>
      </c>
    </row>
    <row r="16" customFormat="false" ht="15" hidden="false" customHeight="false" outlineLevel="0" collapsed="false">
      <c r="A16" s="0" t="s">
        <v>469</v>
      </c>
      <c r="C16" s="0" t="n">
        <f aca="false">-C12</f>
        <v>2.19596</v>
      </c>
      <c r="D16" s="0" t="n">
        <f aca="false">-D12</f>
        <v>2.2618388</v>
      </c>
      <c r="E16" s="0" t="n">
        <f aca="false">-E12</f>
        <v>2.341003158</v>
      </c>
      <c r="F16" s="0" t="n">
        <f aca="false">-F12</f>
        <v>2.42293826853</v>
      </c>
      <c r="G16" s="0" t="n">
        <f aca="false">-G12</f>
        <v>2.4956264165859</v>
      </c>
      <c r="H16" s="0" t="n">
        <f aca="false">-H12</f>
        <v>2.55801707700055</v>
      </c>
      <c r="I16" s="0" t="n">
        <f aca="false">-I12</f>
        <v>2.62196750392556</v>
      </c>
      <c r="J16" s="0" t="n">
        <f aca="false">-J12</f>
        <v>2.6875166915237</v>
      </c>
      <c r="K16" s="0" t="n">
        <f aca="false">-K12</f>
        <v>2.75470460881179</v>
      </c>
      <c r="L16" s="0" t="n">
        <f aca="false">-L12</f>
        <v>2.82357222403209</v>
      </c>
    </row>
    <row r="17" customFormat="false" ht="15" hidden="false" customHeight="false" outlineLevel="0" collapsed="false">
      <c r="A17" s="0" t="s">
        <v>470</v>
      </c>
      <c r="C17" s="4" t="n">
        <f aca="false">-C6*Assumptions!C32/100</f>
        <v>-2.74495</v>
      </c>
      <c r="D17" s="4" t="n">
        <f aca="false">-D6*Assumptions!D32/100</f>
        <v>-2.8272985</v>
      </c>
      <c r="E17" s="4" t="n">
        <f aca="false">-E6*Assumptions!E32/100</f>
        <v>-2.9262539475</v>
      </c>
      <c r="F17" s="4" t="n">
        <f aca="false">-F6*Assumptions!F32/100</f>
        <v>-3.0286728356625</v>
      </c>
      <c r="G17" s="4" t="n">
        <f aca="false">-G6*Assumptions!G32/100</f>
        <v>-3.11953302073238</v>
      </c>
      <c r="H17" s="4" t="n">
        <f aca="false">-H6*Assumptions!H32/100</f>
        <v>-3.19752134625068</v>
      </c>
      <c r="I17" s="4" t="n">
        <f aca="false">-I6*Assumptions!I32/100</f>
        <v>-3.27745937990695</v>
      </c>
      <c r="J17" s="4" t="n">
        <f aca="false">-J6*Assumptions!J32/100</f>
        <v>-3.35939586440462</v>
      </c>
      <c r="K17" s="4" t="n">
        <f aca="false">-K6*Assumptions!K32/100</f>
        <v>-3.44338076101474</v>
      </c>
      <c r="L17" s="4" t="n">
        <f aca="false">-L6*Assumptions!L32/100</f>
        <v>-3.52946528004011</v>
      </c>
    </row>
    <row r="18" customFormat="false" ht="15" hidden="false" customHeight="false" outlineLevel="0" collapsed="false">
      <c r="A18" s="0" t="s">
        <v>471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472</v>
      </c>
      <c r="C19" s="0" t="n">
        <f aca="false">C15+C16+C17+C18</f>
        <v>-7.13687</v>
      </c>
      <c r="D19" s="0" t="n">
        <f aca="false">D15+D16+D17+D18</f>
        <v>-3.9582179</v>
      </c>
      <c r="E19" s="0" t="n">
        <f aca="false">E15+E16+E17+E18</f>
        <v>-0.5852507895</v>
      </c>
      <c r="F19" s="0" t="n">
        <f aca="false">F15+F16+F17+F18</f>
        <v>1.453762961118</v>
      </c>
      <c r="G19" s="0" t="n">
        <f aca="false">G15+G16+G17+G18</f>
        <v>2.33341069950782</v>
      </c>
      <c r="H19" s="0" t="n">
        <f aca="false">H15+H16+H17+H18</f>
        <v>2.58359724777055</v>
      </c>
      <c r="I19" s="0" t="n">
        <f aca="false">I15+I16+I17+I18</f>
        <v>3.12014132967142</v>
      </c>
      <c r="J19" s="0" t="n">
        <f aca="false">J15+J16+J17+J18</f>
        <v>3.1981448629132</v>
      </c>
      <c r="K19" s="0" t="n">
        <f aca="false">K15+K16+K17+K18</f>
        <v>3.27809848448603</v>
      </c>
      <c r="L19" s="0" t="n">
        <f aca="false">L15+L16+L17+L18</f>
        <v>3.36005094659818</v>
      </c>
    </row>
    <row r="20" customFormat="false" ht="15" hidden="false" customHeight="false" outlineLevel="0" collapsed="false">
      <c r="A20" s="0" t="s">
        <v>473</v>
      </c>
      <c r="C20" s="0" t="n">
        <f aca="false">1/(1+$B$27/100)^C4</f>
        <v>0.873362445414847</v>
      </c>
      <c r="D20" s="0" t="n">
        <f aca="false">1/(1+$B$27/100)^D4</f>
        <v>0.762761961061002</v>
      </c>
      <c r="E20" s="0" t="n">
        <f aca="false">1/(1+$B$27/100)^E4</f>
        <v>0.666167651581661</v>
      </c>
      <c r="F20" s="0" t="n">
        <f aca="false">1/(1+$B$27/100)^F4</f>
        <v>0.581805809241625</v>
      </c>
      <c r="G20" s="0" t="n">
        <f aca="false">1/(1+$B$27/100)^G4</f>
        <v>0.50812734431583</v>
      </c>
      <c r="H20" s="0" t="n">
        <f aca="false">1/(1+$B$27/100)^H4</f>
        <v>0.443779340013825</v>
      </c>
      <c r="I20" s="0" t="n">
        <f aca="false">1/(1+$B$27/100)^I4</f>
        <v>0.387580209619061</v>
      </c>
      <c r="J20" s="0" t="n">
        <f aca="false">1/(1+$B$27/100)^J4</f>
        <v>0.338497999667303</v>
      </c>
      <c r="K20" s="0" t="n">
        <f aca="false">1/(1+$B$27/100)^K4</f>
        <v>0.295631440757469</v>
      </c>
      <c r="L20" s="0" t="n">
        <f aca="false">1/(1+$B$27/100)^L4</f>
        <v>0.258193398041458</v>
      </c>
    </row>
    <row r="21" customFormat="false" ht="15" hidden="false" customHeight="false" outlineLevel="0" collapsed="false">
      <c r="A21" s="0" t="s">
        <v>474</v>
      </c>
      <c r="C21" s="0" t="n">
        <f aca="false">C19*C20</f>
        <v>-6.23307423580786</v>
      </c>
      <c r="D21" s="0" t="n">
        <f aca="false">D19*D20</f>
        <v>-3.01917804771076</v>
      </c>
      <c r="E21" s="0" t="n">
        <f aca="false">E19*E20</f>
        <v>-0.389875144027528</v>
      </c>
      <c r="F21" s="0" t="n">
        <f aca="false">F19*F20</f>
        <v>0.84580773603876</v>
      </c>
      <c r="G21" s="0" t="n">
        <f aca="false">G19*G20</f>
        <v>1.18566978193905</v>
      </c>
      <c r="H21" s="0" t="n">
        <f aca="false">H19*H20</f>
        <v>1.14654708147715</v>
      </c>
      <c r="I21" s="0" t="n">
        <f aca="false">I19*I20</f>
        <v>1.20930503059514</v>
      </c>
      <c r="J21" s="0" t="n">
        <f aca="false">J19*J20</f>
        <v>1.08256563874238</v>
      </c>
      <c r="K21" s="0" t="n">
        <f aca="false">K19*K20</f>
        <v>0.969108977913483</v>
      </c>
      <c r="L21" s="0" t="n">
        <f aca="false">L19*L20</f>
        <v>0.867542971494602</v>
      </c>
    </row>
    <row r="23" customFormat="false" ht="15" hidden="false" customHeight="false" outlineLevel="0" collapsed="false">
      <c r="A23" s="0" t="s">
        <v>450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475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476</v>
      </c>
    </row>
    <row r="27" customFormat="false" ht="15" hidden="false" customHeight="false" outlineLevel="0" collapsed="false">
      <c r="A27" s="0" t="s">
        <v>454</v>
      </c>
      <c r="B27" s="4" t="n">
        <f aca="false">Assumptions!$B$34</f>
        <v>14.5</v>
      </c>
    </row>
    <row r="28" customFormat="false" ht="15" hidden="false" customHeight="false" outlineLevel="0" collapsed="false">
      <c r="A28" s="0" t="s">
        <v>455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456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477</v>
      </c>
      <c r="B30" s="0" t="n">
        <f aca="false">SUM(C21:L21)</f>
        <v>-2.33558020934558</v>
      </c>
    </row>
    <row r="31" customFormat="false" ht="15" hidden="false" customHeight="false" outlineLevel="0" collapsed="false">
      <c r="A31" s="0" t="s">
        <v>478</v>
      </c>
      <c r="B31" s="0" t="n">
        <f aca="false">L19</f>
        <v>3.36005094659818</v>
      </c>
    </row>
    <row r="32" customFormat="false" ht="15" hidden="false" customHeight="false" outlineLevel="0" collapsed="false">
      <c r="A32" s="0" t="s">
        <v>479</v>
      </c>
      <c r="B32" s="0" t="n">
        <f aca="false">IF(B27&gt;B28,B31*(1+B28/100)/((B27-B28)/100),B31*B29)</f>
        <v>28.7004351688595</v>
      </c>
    </row>
    <row r="33" customFormat="false" ht="15" hidden="false" customHeight="false" outlineLevel="0" collapsed="false">
      <c r="A33" s="0" t="s">
        <v>480</v>
      </c>
      <c r="B33" s="0" t="n">
        <f aca="false">B31*B29</f>
        <v>33.6005094659818</v>
      </c>
    </row>
    <row r="34" customFormat="false" ht="15" hidden="false" customHeight="false" outlineLevel="0" collapsed="false">
      <c r="A34" s="0" t="s">
        <v>481</v>
      </c>
      <c r="B34" s="0" t="n">
        <f aca="false">MAX(0,MIN(B32,B33))</f>
        <v>28.7004351688595</v>
      </c>
    </row>
    <row r="35" customFormat="false" ht="15" hidden="false" customHeight="false" outlineLevel="0" collapsed="false">
      <c r="A35" s="0" t="s">
        <v>482</v>
      </c>
      <c r="B35" s="0" t="n">
        <f aca="false">B34/(1+B27/100)^L4</f>
        <v>7.41026288151639</v>
      </c>
    </row>
    <row r="36" customFormat="false" ht="15" hidden="false" customHeight="false" outlineLevel="0" collapsed="false">
      <c r="A36" s="0" t="s">
        <v>483</v>
      </c>
      <c r="B36" s="0" t="n">
        <f aca="false">B30+B35</f>
        <v>5.07468267217081</v>
      </c>
    </row>
    <row r="37" customFormat="false" ht="15" hidden="false" customHeight="false" outlineLevel="0" collapsed="false">
      <c r="A37" s="0" t="s">
        <v>484</v>
      </c>
      <c r="B37" s="0" t="n">
        <f aca="false">B36+Assumptions!$B$5-Assumptions!$B$4</f>
        <v>27.0746826721708</v>
      </c>
    </row>
    <row r="38" customFormat="false" ht="15" hidden="false" customHeight="false" outlineLevel="0" collapsed="false">
      <c r="A38" s="0" t="s">
        <v>485</v>
      </c>
      <c r="B38" s="0" t="n">
        <f aca="false">B37/Assumptions!$B$3*Assumptions!$B$10</f>
        <v>0.383168449931656</v>
      </c>
    </row>
    <row r="39" customFormat="false" ht="15" hidden="false" customHeight="false" outlineLevel="0" collapsed="false">
      <c r="A39" s="0" t="s">
        <v>486</v>
      </c>
      <c r="B39" s="4" t="n">
        <f aca="false">B38/Assumptions!$B$2-1</f>
        <v>-0.452616500097634</v>
      </c>
    </row>
    <row r="41" customFormat="false" ht="15" hidden="false" customHeight="false" outlineLevel="0" collapsed="false">
      <c r="A41" s="0" t="s">
        <v>487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488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489</v>
      </c>
      <c r="B43" s="0" t="n">
        <f aca="false">(B37+B41+B42)/Assumptions!$B$3*Assumptions!$B$10</f>
        <v>0.383168449931656</v>
      </c>
    </row>
    <row r="45" customFormat="false" ht="15" hidden="false" customHeight="false" outlineLevel="0" collapsed="false">
      <c r="A45" s="0" t="s">
        <v>430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490</v>
      </c>
      <c r="B46" s="0" t="n">
        <f aca="false">MAX(0,MIN(IF(B45&gt;B28,B31*(1+B28/100)/((B45-B28)/100),B31*B29),B31*B29))</f>
        <v>27.5524177621051</v>
      </c>
    </row>
    <row r="47" customFormat="false" ht="15" hidden="false" customHeight="false" outlineLevel="0" collapsed="false">
      <c r="A47" s="0" t="s">
        <v>491</v>
      </c>
      <c r="B47" s="0" t="n">
        <f aca="false">(SUMPRODUCT(C19:L19/(1+B45/100)^C4:L4)+B46/(1+B45/100)^L4+Assumptions!$B$5-Assumptions!$B$4)/Assumptions!$B$3*Assumptions!$B$10</f>
        <v>0.372429804494846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493</v>
      </c>
    </row>
    <row r="3" customFormat="false" ht="15" hidden="false" customHeight="false" outlineLevel="0" collapsed="false">
      <c r="A3" s="0" t="s">
        <v>462</v>
      </c>
      <c r="B3" s="0" t="s">
        <v>414</v>
      </c>
      <c r="C3" s="2" t="s">
        <v>437</v>
      </c>
      <c r="D3" s="2" t="s">
        <v>438</v>
      </c>
      <c r="E3" s="2" t="s">
        <v>439</v>
      </c>
      <c r="F3" s="2" t="s">
        <v>440</v>
      </c>
      <c r="G3" s="2" t="s">
        <v>441</v>
      </c>
      <c r="H3" s="2" t="s">
        <v>442</v>
      </c>
      <c r="I3" s="2" t="s">
        <v>443</v>
      </c>
      <c r="J3" s="2" t="s">
        <v>444</v>
      </c>
      <c r="K3" s="2" t="s">
        <v>445</v>
      </c>
      <c r="L3" s="2" t="s">
        <v>446</v>
      </c>
    </row>
    <row r="4" customFormat="false" ht="15" hidden="false" customHeight="false" outlineLevel="0" collapsed="false">
      <c r="A4" s="0" t="s">
        <v>463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447</v>
      </c>
      <c r="C5" s="4" t="n">
        <f aca="false">Assumptions!C41</f>
        <v>6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29</v>
      </c>
      <c r="B6" s="3" t="n">
        <v>106.6</v>
      </c>
      <c r="C6" s="0" t="n">
        <f aca="false">B6*(1+C5/100)</f>
        <v>112.996</v>
      </c>
      <c r="D6" s="0" t="n">
        <f aca="false">C6*(1+D5/100)</f>
        <v>119.77576</v>
      </c>
      <c r="E6" s="0" t="n">
        <f aca="false">D6*(1+E5/100)</f>
        <v>126.9623056</v>
      </c>
      <c r="F6" s="0" t="n">
        <f aca="false">E6*(1+F5/100)</f>
        <v>133.945232408</v>
      </c>
      <c r="G6" s="0" t="n">
        <f aca="false">F6*(1+G5/100)</f>
        <v>140.6424940284</v>
      </c>
      <c r="H6" s="0" t="n">
        <f aca="false">G6*(1+H5/100)</f>
        <v>146.268193789536</v>
      </c>
      <c r="I6" s="0" t="n">
        <f aca="false">H6*(1+I5/100)</f>
        <v>151.38758057217</v>
      </c>
      <c r="J6" s="0" t="n">
        <f aca="false">I6*(1+J5/100)</f>
        <v>155.929207989335</v>
      </c>
      <c r="K6" s="0" t="n">
        <f aca="false">J6*(1+K5/100)</f>
        <v>160.607084229015</v>
      </c>
      <c r="L6" s="0" t="n">
        <f aca="false">K6*(1+L5/100)</f>
        <v>165.425296755885</v>
      </c>
    </row>
    <row r="7" customFormat="false" ht="15" hidden="false" customHeight="false" outlineLevel="0" collapsed="false">
      <c r="A7" s="0" t="s">
        <v>448</v>
      </c>
      <c r="C7" s="4" t="n">
        <f aca="false">Assumptions!C42</f>
        <v>-1.2</v>
      </c>
      <c r="D7" s="4" t="n">
        <f aca="false">Assumptions!D42</f>
        <v>2.8</v>
      </c>
      <c r="E7" s="4" t="n">
        <f aca="false">Assumptions!E42</f>
        <v>5.3</v>
      </c>
      <c r="F7" s="4" t="n">
        <f aca="false">Assumptions!F42</f>
        <v>6.8</v>
      </c>
      <c r="G7" s="4" t="n">
        <f aca="false">Assumptions!G42</f>
        <v>7.3</v>
      </c>
      <c r="H7" s="4" t="n">
        <f aca="false">Assumptions!H42</f>
        <v>7.8</v>
      </c>
      <c r="I7" s="4" t="n">
        <f aca="false">Assumptions!I42</f>
        <v>7.8</v>
      </c>
      <c r="J7" s="4" t="n">
        <f aca="false">Assumptions!J42</f>
        <v>7.8</v>
      </c>
      <c r="K7" s="4" t="n">
        <f aca="false">Assumptions!K42</f>
        <v>7.8</v>
      </c>
      <c r="L7" s="4" t="n">
        <f aca="false">Assumptions!L42</f>
        <v>7.8</v>
      </c>
    </row>
    <row r="8" customFormat="false" ht="15" hidden="false" customHeight="false" outlineLevel="0" collapsed="false">
      <c r="A8" s="0" t="s">
        <v>35</v>
      </c>
      <c r="C8" s="0" t="n">
        <f aca="false">C6*C7/100</f>
        <v>-1.355952</v>
      </c>
      <c r="D8" s="0" t="n">
        <f aca="false">D6*D7/100</f>
        <v>3.35372128</v>
      </c>
      <c r="E8" s="0" t="n">
        <f aca="false">E6*E7/100</f>
        <v>6.7290021968</v>
      </c>
      <c r="F8" s="0" t="n">
        <f aca="false">F6*F7/100</f>
        <v>9.108275803744</v>
      </c>
      <c r="G8" s="0" t="n">
        <f aca="false">G6*G7/100</f>
        <v>10.2669020640732</v>
      </c>
      <c r="H8" s="0" t="n">
        <f aca="false">H6*H7/100</f>
        <v>11.4089191155838</v>
      </c>
      <c r="I8" s="0" t="n">
        <f aca="false">I6*I7/100</f>
        <v>11.8082312846292</v>
      </c>
      <c r="J8" s="0" t="n">
        <f aca="false">J6*J7/100</f>
        <v>12.1624782231681</v>
      </c>
      <c r="K8" s="0" t="n">
        <f aca="false">K6*K7/100</f>
        <v>12.5273525698632</v>
      </c>
      <c r="L8" s="0" t="n">
        <f aca="false">L6*L7/100</f>
        <v>12.9031731469591</v>
      </c>
    </row>
    <row r="9" customFormat="false" ht="15" hidden="false" customHeight="false" outlineLevel="0" collapsed="false">
      <c r="A9" s="0" t="s">
        <v>449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464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465</v>
      </c>
      <c r="C11" s="0" t="n">
        <f aca="false">C8+C10+C24</f>
        <v>-1.355952</v>
      </c>
      <c r="D11" s="0" t="n">
        <f aca="false">D8+D10+D24</f>
        <v>3.35372128</v>
      </c>
      <c r="E11" s="0" t="n">
        <f aca="false">E8+E10+E24</f>
        <v>6.7290021968</v>
      </c>
      <c r="F11" s="0" t="n">
        <f aca="false">F8+F10+F24</f>
        <v>9.108275803744</v>
      </c>
      <c r="G11" s="0" t="n">
        <f aca="false">G8+G10+G24</f>
        <v>10.2669020640732</v>
      </c>
      <c r="H11" s="0" t="n">
        <f aca="false">H8+H10+H24</f>
        <v>11.4089191155838</v>
      </c>
      <c r="I11" s="0" t="n">
        <f aca="false">I8+I10+I24</f>
        <v>11.8082312846292</v>
      </c>
      <c r="J11" s="0" t="n">
        <f aca="false">J8+J10+J24</f>
        <v>12.1624782231681</v>
      </c>
      <c r="K11" s="0" t="n">
        <f aca="false">K8+K10+K24</f>
        <v>12.5273525698632</v>
      </c>
      <c r="L11" s="0" t="n">
        <f aca="false">L8+L10+L24</f>
        <v>12.9031731469591</v>
      </c>
    </row>
    <row r="12" customFormat="false" ht="15" hidden="false" customHeight="false" outlineLevel="0" collapsed="false">
      <c r="A12" s="0" t="s">
        <v>466</v>
      </c>
      <c r="C12" s="4" t="n">
        <f aca="false">-C6*Assumptions!C45/100</f>
        <v>-2.033928</v>
      </c>
      <c r="D12" s="4" t="n">
        <f aca="false">-D6*Assumptions!D45/100</f>
        <v>-2.15596368</v>
      </c>
      <c r="E12" s="4" t="n">
        <f aca="false">-E6*Assumptions!E45/100</f>
        <v>-2.2853215008</v>
      </c>
      <c r="F12" s="4" t="n">
        <f aca="false">-F6*Assumptions!F45/100</f>
        <v>-2.411014183344</v>
      </c>
      <c r="G12" s="4" t="n">
        <f aca="false">-G6*Assumptions!G45/100</f>
        <v>-2.5315648925112</v>
      </c>
      <c r="H12" s="4" t="n">
        <f aca="false">-H6*Assumptions!H45/100</f>
        <v>-2.63282748821165</v>
      </c>
      <c r="I12" s="4" t="n">
        <f aca="false">-I6*Assumptions!I45/100</f>
        <v>-2.72497645029906</v>
      </c>
      <c r="J12" s="4" t="n">
        <f aca="false">-J6*Assumptions!J45/100</f>
        <v>-2.80672574380803</v>
      </c>
      <c r="K12" s="4" t="n">
        <f aca="false">-K6*Assumptions!K45/100</f>
        <v>-2.89092751612227</v>
      </c>
      <c r="L12" s="4" t="n">
        <f aca="false">-L6*Assumptions!L45/100</f>
        <v>-2.97765534160594</v>
      </c>
    </row>
    <row r="13" customFormat="false" ht="15" hidden="false" customHeight="false" outlineLevel="0" collapsed="false">
      <c r="A13" s="0" t="s">
        <v>467</v>
      </c>
      <c r="C13" s="0" t="n">
        <f aca="false">C11+C12</f>
        <v>-3.38988</v>
      </c>
      <c r="D13" s="0" t="n">
        <f aca="false">D11+D12</f>
        <v>1.1977576</v>
      </c>
      <c r="E13" s="0" t="n">
        <f aca="false">E11+E12</f>
        <v>4.443680696</v>
      </c>
      <c r="F13" s="0" t="n">
        <f aca="false">F11+F12</f>
        <v>6.6972616204</v>
      </c>
      <c r="G13" s="0" t="n">
        <f aca="false">G11+G12</f>
        <v>7.735337171562</v>
      </c>
      <c r="H13" s="0" t="n">
        <f aca="false">H11+H12</f>
        <v>8.77609162737216</v>
      </c>
      <c r="I13" s="0" t="n">
        <f aca="false">I11+I12</f>
        <v>9.08325483433019</v>
      </c>
      <c r="J13" s="0" t="n">
        <f aca="false">J11+J12</f>
        <v>9.35575247936009</v>
      </c>
      <c r="K13" s="0" t="n">
        <f aca="false">K11+K12</f>
        <v>9.6364250537409</v>
      </c>
      <c r="L13" s="0" t="n">
        <f aca="false">L11+L12</f>
        <v>9.92551780535312</v>
      </c>
    </row>
    <row r="14" customFormat="false" ht="15" hidden="false" customHeight="false" outlineLevel="0" collapsed="false">
      <c r="A14" s="0" t="s">
        <v>453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10</v>
      </c>
      <c r="F14" s="4" t="n">
        <f aca="false">Assumptions!F47</f>
        <v>20</v>
      </c>
      <c r="G14" s="4" t="n">
        <f aca="false">Assumptions!G47</f>
        <v>28</v>
      </c>
      <c r="H14" s="4" t="n">
        <f aca="false">Assumptions!H47</f>
        <v>28</v>
      </c>
      <c r="I14" s="4" t="n">
        <f aca="false">Assumptions!I47</f>
        <v>28</v>
      </c>
      <c r="J14" s="4" t="n">
        <f aca="false">Assumptions!J47</f>
        <v>28</v>
      </c>
      <c r="K14" s="4" t="n">
        <f aca="false">Assumptions!K47</f>
        <v>28</v>
      </c>
      <c r="L14" s="4" t="n">
        <f aca="false">Assumptions!L47</f>
        <v>28</v>
      </c>
    </row>
    <row r="15" customFormat="false" ht="15" hidden="false" customHeight="false" outlineLevel="0" collapsed="false">
      <c r="A15" s="0" t="s">
        <v>468</v>
      </c>
      <c r="C15" s="0" t="n">
        <f aca="false">C13-MAX(0,C13)*C14/100</f>
        <v>-3.38988</v>
      </c>
      <c r="D15" s="0" t="n">
        <f aca="false">D13-MAX(0,D13)*D14/100</f>
        <v>1.1977576</v>
      </c>
      <c r="E15" s="0" t="n">
        <f aca="false">E13-MAX(0,E13)*E14/100</f>
        <v>3.9993126264</v>
      </c>
      <c r="F15" s="0" t="n">
        <f aca="false">F13-MAX(0,F13)*F14/100</f>
        <v>5.35780929632</v>
      </c>
      <c r="G15" s="0" t="n">
        <f aca="false">G13-MAX(0,G13)*G14/100</f>
        <v>5.56944276352464</v>
      </c>
      <c r="H15" s="0" t="n">
        <f aca="false">H13-MAX(0,H13)*H14/100</f>
        <v>6.31878597170796</v>
      </c>
      <c r="I15" s="0" t="n">
        <f aca="false">I13-MAX(0,I13)*I14/100</f>
        <v>6.53994348071773</v>
      </c>
      <c r="J15" s="0" t="n">
        <f aca="false">J13-MAX(0,J13)*J14/100</f>
        <v>6.73614178513927</v>
      </c>
      <c r="K15" s="0" t="n">
        <f aca="false">K13-MAX(0,K13)*K14/100</f>
        <v>6.93822603869345</v>
      </c>
      <c r="L15" s="0" t="n">
        <f aca="false">L13-MAX(0,L13)*L14/100</f>
        <v>7.14637281985425</v>
      </c>
    </row>
    <row r="16" customFormat="false" ht="15" hidden="false" customHeight="false" outlineLevel="0" collapsed="false">
      <c r="A16" s="0" t="s">
        <v>469</v>
      </c>
      <c r="C16" s="0" t="n">
        <f aca="false">-C12</f>
        <v>2.033928</v>
      </c>
      <c r="D16" s="0" t="n">
        <f aca="false">-D12</f>
        <v>2.15596368</v>
      </c>
      <c r="E16" s="0" t="n">
        <f aca="false">-E12</f>
        <v>2.2853215008</v>
      </c>
      <c r="F16" s="0" t="n">
        <f aca="false">-F12</f>
        <v>2.411014183344</v>
      </c>
      <c r="G16" s="0" t="n">
        <f aca="false">-G12</f>
        <v>2.5315648925112</v>
      </c>
      <c r="H16" s="0" t="n">
        <f aca="false">-H12</f>
        <v>2.63282748821165</v>
      </c>
      <c r="I16" s="0" t="n">
        <f aca="false">-I12</f>
        <v>2.72497645029906</v>
      </c>
      <c r="J16" s="0" t="n">
        <f aca="false">-J12</f>
        <v>2.80672574380803</v>
      </c>
      <c r="K16" s="0" t="n">
        <f aca="false">-K12</f>
        <v>2.89092751612227</v>
      </c>
      <c r="L16" s="0" t="n">
        <f aca="false">-L12</f>
        <v>2.97765534160594</v>
      </c>
    </row>
    <row r="17" customFormat="false" ht="15" hidden="false" customHeight="false" outlineLevel="0" collapsed="false">
      <c r="A17" s="0" t="s">
        <v>470</v>
      </c>
      <c r="C17" s="4" t="n">
        <f aca="false">-C6*Assumptions!C46/100</f>
        <v>-2.598908</v>
      </c>
      <c r="D17" s="4" t="n">
        <f aca="false">-D6*Assumptions!D46/100</f>
        <v>-2.75484248</v>
      </c>
      <c r="E17" s="4" t="n">
        <f aca="false">-E6*Assumptions!E46/100</f>
        <v>-2.9201330288</v>
      </c>
      <c r="F17" s="4" t="n">
        <f aca="false">-F6*Assumptions!F46/100</f>
        <v>-3.080740345384</v>
      </c>
      <c r="G17" s="4" t="n">
        <f aca="false">-G6*Assumptions!G46/100</f>
        <v>-3.2347773626532</v>
      </c>
      <c r="H17" s="4" t="n">
        <f aca="false">-H6*Assumptions!H46/100</f>
        <v>-3.36416845715933</v>
      </c>
      <c r="I17" s="4" t="n">
        <f aca="false">-I6*Assumptions!I46/100</f>
        <v>-3.4819143531599</v>
      </c>
      <c r="J17" s="4" t="n">
        <f aca="false">-J6*Assumptions!J46/100</f>
        <v>-3.5863717837547</v>
      </c>
      <c r="K17" s="4" t="n">
        <f aca="false">-K6*Assumptions!K46/100</f>
        <v>-3.69396293726734</v>
      </c>
      <c r="L17" s="4" t="n">
        <f aca="false">-L6*Assumptions!L46/100</f>
        <v>-3.80478182538536</v>
      </c>
    </row>
    <row r="18" customFormat="false" ht="15" hidden="false" customHeight="false" outlineLevel="0" collapsed="false">
      <c r="A18" s="0" t="s">
        <v>471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472</v>
      </c>
      <c r="C19" s="0" t="n">
        <f aca="false">C15+C16+C17+C18</f>
        <v>-3.95486</v>
      </c>
      <c r="D19" s="0" t="n">
        <f aca="false">D15+D16+D17+D18</f>
        <v>0.5988788</v>
      </c>
      <c r="E19" s="0" t="n">
        <f aca="false">E15+E16+E17+E18</f>
        <v>3.3645010984</v>
      </c>
      <c r="F19" s="0" t="n">
        <f aca="false">F15+F16+F17+F18</f>
        <v>4.68808313428</v>
      </c>
      <c r="G19" s="0" t="n">
        <f aca="false">G15+G16+G17+G18</f>
        <v>4.86623029338264</v>
      </c>
      <c r="H19" s="0" t="n">
        <f aca="false">H15+H16+H17+H18</f>
        <v>5.58744500276027</v>
      </c>
      <c r="I19" s="0" t="n">
        <f aca="false">I15+I16+I17+I18</f>
        <v>5.78300557785689</v>
      </c>
      <c r="J19" s="0" t="n">
        <f aca="false">J15+J16+J17+J18</f>
        <v>5.95649574519259</v>
      </c>
      <c r="K19" s="0" t="n">
        <f aca="false">K15+K16+K17+K18</f>
        <v>6.13519061754837</v>
      </c>
      <c r="L19" s="0" t="n">
        <f aca="false">L15+L16+L17+L18</f>
        <v>6.31924633607482</v>
      </c>
    </row>
    <row r="20" customFormat="false" ht="15" hidden="false" customHeight="false" outlineLevel="0" collapsed="false">
      <c r="A20" s="0" t="s">
        <v>473</v>
      </c>
      <c r="C20" s="0" t="n">
        <f aca="false">1/(1+$B$27/100)^C4</f>
        <v>0.888888888888889</v>
      </c>
      <c r="D20" s="0" t="n">
        <f aca="false">1/(1+$B$27/100)^D4</f>
        <v>0.790123456790123</v>
      </c>
      <c r="E20" s="0" t="n">
        <f aca="false">1/(1+$B$27/100)^E4</f>
        <v>0.702331961591221</v>
      </c>
      <c r="F20" s="0" t="n">
        <f aca="false">1/(1+$B$27/100)^F4</f>
        <v>0.624295076969974</v>
      </c>
      <c r="G20" s="0" t="n">
        <f aca="false">1/(1+$B$27/100)^G4</f>
        <v>0.554928957306644</v>
      </c>
      <c r="H20" s="0" t="n">
        <f aca="false">1/(1+$B$27/100)^H4</f>
        <v>0.493270184272572</v>
      </c>
      <c r="I20" s="0" t="n">
        <f aca="false">1/(1+$B$27/100)^I4</f>
        <v>0.438462386020064</v>
      </c>
      <c r="J20" s="0" t="n">
        <f aca="false">1/(1+$B$27/100)^J4</f>
        <v>0.389744343128946</v>
      </c>
      <c r="K20" s="0" t="n">
        <f aca="false">1/(1+$B$27/100)^K4</f>
        <v>0.346439416114619</v>
      </c>
      <c r="L20" s="0" t="n">
        <f aca="false">1/(1+$B$27/100)^L4</f>
        <v>0.307946147657439</v>
      </c>
    </row>
    <row r="21" customFormat="false" ht="15" hidden="false" customHeight="false" outlineLevel="0" collapsed="false">
      <c r="A21" s="0" t="s">
        <v>474</v>
      </c>
      <c r="C21" s="0" t="n">
        <f aca="false">C19*C20</f>
        <v>-3.51543111111111</v>
      </c>
      <c r="D21" s="0" t="n">
        <f aca="false">D19*D20</f>
        <v>0.473188187654321</v>
      </c>
      <c r="E21" s="0" t="n">
        <f aca="false">E19*E20</f>
        <v>2.36299665621509</v>
      </c>
      <c r="F21" s="0" t="n">
        <f aca="false">F19*F20</f>
        <v>2.92674722115697</v>
      </c>
      <c r="G21" s="0" t="n">
        <f aca="false">G19*G20</f>
        <v>2.70041210272083</v>
      </c>
      <c r="H21" s="0" t="n">
        <f aca="false">H19*H20</f>
        <v>2.75612002612442</v>
      </c>
      <c r="I21" s="0" t="n">
        <f aca="false">I19*I20</f>
        <v>2.53563042403447</v>
      </c>
      <c r="J21" s="0" t="n">
        <f aca="false">J19*J20</f>
        <v>2.32151052156045</v>
      </c>
      <c r="K21" s="0" t="n">
        <f aca="false">K19*K20</f>
        <v>2.12547185529534</v>
      </c>
      <c r="L21" s="0" t="n">
        <f aca="false">L19*L20</f>
        <v>1.94598756529263</v>
      </c>
    </row>
    <row r="23" customFormat="false" ht="15" hidden="false" customHeight="false" outlineLevel="0" collapsed="false">
      <c r="A23" s="0" t="s">
        <v>450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475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476</v>
      </c>
    </row>
    <row r="27" customFormat="false" ht="15" hidden="false" customHeight="false" outlineLevel="0" collapsed="false">
      <c r="A27" s="0" t="s">
        <v>454</v>
      </c>
      <c r="B27" s="4" t="n">
        <f aca="false">Assumptions!$B$48</f>
        <v>12.5</v>
      </c>
    </row>
    <row r="28" customFormat="false" ht="15" hidden="false" customHeight="false" outlineLevel="0" collapsed="false">
      <c r="A28" s="0" t="s">
        <v>455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456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477</v>
      </c>
      <c r="B30" s="0" t="n">
        <f aca="false">SUM(C21:L21)</f>
        <v>16.6326334489434</v>
      </c>
    </row>
    <row r="31" customFormat="false" ht="15" hidden="false" customHeight="false" outlineLevel="0" collapsed="false">
      <c r="A31" s="0" t="s">
        <v>478</v>
      </c>
      <c r="B31" s="0" t="n">
        <f aca="false">L19</f>
        <v>6.31924633607482</v>
      </c>
    </row>
    <row r="32" customFormat="false" ht="15" hidden="false" customHeight="false" outlineLevel="0" collapsed="false">
      <c r="A32" s="0" t="s">
        <v>479</v>
      </c>
      <c r="B32" s="0" t="n">
        <f aca="false">IF(B27&gt;B28,B31*(1+B28/100)/((B27-B28)/100),B31*B29)</f>
        <v>68.5139339595481</v>
      </c>
    </row>
    <row r="33" customFormat="false" ht="15" hidden="false" customHeight="false" outlineLevel="0" collapsed="false">
      <c r="A33" s="0" t="s">
        <v>480</v>
      </c>
      <c r="B33" s="0" t="n">
        <f aca="false">B31*B29</f>
        <v>75.8309560328979</v>
      </c>
    </row>
    <row r="34" customFormat="false" ht="15" hidden="false" customHeight="false" outlineLevel="0" collapsed="false">
      <c r="A34" s="0" t="s">
        <v>481</v>
      </c>
      <c r="B34" s="0" t="n">
        <f aca="false">MAX(0,MIN(B32,B33))</f>
        <v>68.5139339595481</v>
      </c>
    </row>
    <row r="35" customFormat="false" ht="15" hidden="false" customHeight="false" outlineLevel="0" collapsed="false">
      <c r="A35" s="0" t="s">
        <v>482</v>
      </c>
      <c r="B35" s="0" t="n">
        <f aca="false">B34/(1+B27/100)^L4</f>
        <v>21.098602023699</v>
      </c>
    </row>
    <row r="36" customFormat="false" ht="15" hidden="false" customHeight="false" outlineLevel="0" collapsed="false">
      <c r="A36" s="0" t="s">
        <v>483</v>
      </c>
      <c r="B36" s="0" t="n">
        <f aca="false">B30+B35</f>
        <v>37.7312354726424</v>
      </c>
    </row>
    <row r="37" customFormat="false" ht="15" hidden="false" customHeight="false" outlineLevel="0" collapsed="false">
      <c r="A37" s="0" t="s">
        <v>484</v>
      </c>
      <c r="B37" s="0" t="n">
        <f aca="false">B36+Assumptions!$B$5-Assumptions!$B$4</f>
        <v>59.7312354726424</v>
      </c>
    </row>
    <row r="38" customFormat="false" ht="15" hidden="false" customHeight="false" outlineLevel="0" collapsed="false">
      <c r="A38" s="0" t="s">
        <v>485</v>
      </c>
      <c r="B38" s="0" t="n">
        <f aca="false">B37/Assumptions!$B$3*Assumptions!$B$10</f>
        <v>0.845333080563861</v>
      </c>
    </row>
    <row r="39" customFormat="false" ht="15" hidden="false" customHeight="false" outlineLevel="0" collapsed="false">
      <c r="A39" s="0" t="s">
        <v>486</v>
      </c>
      <c r="B39" s="4" t="n">
        <f aca="false">B38/Assumptions!$B$2-1</f>
        <v>0.207618686519801</v>
      </c>
    </row>
    <row r="41" customFormat="false" ht="15" hidden="false" customHeight="false" outlineLevel="0" collapsed="false">
      <c r="A41" s="0" t="s">
        <v>487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488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489</v>
      </c>
      <c r="B43" s="0" t="n">
        <f aca="false">(B37+B41+B42)/Assumptions!$B$3*Assumptions!$B$10</f>
        <v>0.845333080563861</v>
      </c>
    </row>
    <row r="45" customFormat="false" ht="15" hidden="false" customHeight="false" outlineLevel="0" collapsed="false">
      <c r="A45" s="0" t="s">
        <v>430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490</v>
      </c>
      <c r="B46" s="0" t="n">
        <f aca="false">MAX(0,MIN(IF(B45&gt;B28,B31*(1+B28/100)/((B45-B28)/100),B31*B29),B31*B29))</f>
        <v>54.2401977179756</v>
      </c>
    </row>
    <row r="47" customFormat="false" ht="15" hidden="false" customHeight="false" outlineLevel="0" collapsed="false">
      <c r="A47" s="0" t="s">
        <v>491</v>
      </c>
      <c r="B47" s="0" t="n">
        <f aca="false">(SUMPRODUCT(C19:L19/(1+B45/100)^C4:L4)+B46/(1+B45/100)^L4+Assumptions!$B$5-Assumptions!$B$4)/Assumptions!$B$3*Assumptions!$B$10</f>
        <v>0.701614225793974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494</v>
      </c>
    </row>
    <row r="3" customFormat="false" ht="15" hidden="false" customHeight="false" outlineLevel="0" collapsed="false">
      <c r="A3" s="2" t="s">
        <v>495</v>
      </c>
      <c r="B3" s="2" t="s">
        <v>496</v>
      </c>
      <c r="C3" s="2" t="s">
        <v>486</v>
      </c>
      <c r="D3" s="2" t="s">
        <v>497</v>
      </c>
      <c r="E3" s="2" t="s">
        <v>489</v>
      </c>
      <c r="F3" s="2" t="s">
        <v>498</v>
      </c>
    </row>
    <row r="4" customFormat="false" ht="15" hidden="false" customHeight="false" outlineLevel="0" collapsed="false">
      <c r="A4" s="0" t="s">
        <v>499</v>
      </c>
      <c r="B4" s="4" t="n">
        <f aca="false">DCF_Bear!$B$38</f>
        <v>0.0562887706058928</v>
      </c>
      <c r="C4" s="0" t="n">
        <f aca="false">B4/Assumptions!$B$2-1</f>
        <v>-0.91958747056301</v>
      </c>
      <c r="D4" s="4" t="n">
        <f aca="false">Assumptions!$B$24</f>
        <v>0.3</v>
      </c>
      <c r="E4" s="4" t="n">
        <f aca="false">DCF_Bear!$B$43</f>
        <v>0.0562887706058928</v>
      </c>
      <c r="F4" s="4" t="n">
        <f aca="false">DCF_Bear!$B$47</f>
        <v>0.0511354168194502</v>
      </c>
    </row>
    <row r="5" customFormat="false" ht="15" hidden="false" customHeight="false" outlineLevel="0" collapsed="false">
      <c r="A5" s="0" t="s">
        <v>500</v>
      </c>
      <c r="B5" s="4" t="n">
        <f aca="false">DCF_Base!$B$38</f>
        <v>0.383168449931656</v>
      </c>
      <c r="C5" s="0" t="n">
        <f aca="false">B5/Assumptions!$B$2-1</f>
        <v>-0.452616500097634</v>
      </c>
      <c r="D5" s="4" t="n">
        <f aca="false">Assumptions!$B$38</f>
        <v>0.45</v>
      </c>
      <c r="E5" s="4" t="n">
        <f aca="false">DCF_Base!$B$43</f>
        <v>0.383168449931656</v>
      </c>
      <c r="F5" s="4" t="n">
        <f aca="false">DCF_Base!$B$47</f>
        <v>0.372429804494846</v>
      </c>
    </row>
    <row r="6" customFormat="false" ht="15" hidden="false" customHeight="false" outlineLevel="0" collapsed="false">
      <c r="A6" s="0" t="s">
        <v>501</v>
      </c>
      <c r="B6" s="4" t="n">
        <f aca="false">DCF_Bull!$B$38</f>
        <v>0.845333080563861</v>
      </c>
      <c r="C6" s="0" t="n">
        <f aca="false">B6/Assumptions!$B$2-1</f>
        <v>0.207618686519801</v>
      </c>
      <c r="D6" s="4" t="n">
        <f aca="false">Assumptions!$B$52</f>
        <v>0.25</v>
      </c>
      <c r="E6" s="4" t="n">
        <f aca="false">DCF_Bull!$B$43</f>
        <v>0.845333080563861</v>
      </c>
      <c r="F6" s="4" t="n">
        <f aca="false">DCF_Bull!$B$47</f>
        <v>0.701614225793974</v>
      </c>
    </row>
    <row r="8" customFormat="false" ht="15" hidden="false" customHeight="false" outlineLevel="0" collapsed="false">
      <c r="A8" s="0" t="s">
        <v>502</v>
      </c>
      <c r="B8" s="0" t="n">
        <f aca="false">SUMPRODUCT(B4:B6,D4:D6)</f>
        <v>0.400645703791978</v>
      </c>
    </row>
    <row r="9" customFormat="false" ht="15" hidden="false" customHeight="false" outlineLevel="0" collapsed="false">
      <c r="A9" s="0" t="s">
        <v>503</v>
      </c>
      <c r="B9" s="0" t="n">
        <f aca="false">SUMPRODUCT(E4:E6,D4:D6)</f>
        <v>0.400645703791978</v>
      </c>
    </row>
    <row r="10" customFormat="false" ht="15" hidden="false" customHeight="false" outlineLevel="0" collapsed="false">
      <c r="A10" s="0" t="s">
        <v>504</v>
      </c>
      <c r="B10" s="0" t="n">
        <f aca="false">1-Assumptions!$B$2/B8</f>
        <v>-0.747179598769519</v>
      </c>
    </row>
    <row r="11" customFormat="false" ht="15" hidden="false" customHeight="false" outlineLevel="0" collapsed="false">
      <c r="A11" s="0" t="s">
        <v>505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506</v>
      </c>
      <c r="B12" s="0" t="n">
        <f aca="false">SUMPRODUCT(F4:F6,D4:D6)</f>
        <v>0.358337593517009</v>
      </c>
    </row>
    <row r="14" customFormat="false" ht="15" hidden="false" customHeight="false" outlineLevel="0" collapsed="false">
      <c r="A14" s="2" t="s">
        <v>507</v>
      </c>
      <c r="C14" s="0" t="s">
        <v>508</v>
      </c>
    </row>
    <row r="15" customFormat="false" ht="15" hidden="false" customHeight="false" outlineLevel="0" collapsed="false">
      <c r="A15" s="0" t="s">
        <v>509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0.487324732101013</v>
      </c>
      <c r="C15" s="3" t="n">
        <v>10</v>
      </c>
    </row>
    <row r="16" customFormat="false" ht="15" hidden="false" customHeight="false" outlineLevel="0" collapsed="false">
      <c r="A16" s="0" t="s">
        <v>510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0.434850103701024</v>
      </c>
      <c r="C16" s="3" t="n">
        <v>12.5</v>
      </c>
    </row>
    <row r="17" customFormat="false" ht="15" hidden="false" customHeight="false" outlineLevel="0" collapsed="false">
      <c r="A17" s="0" t="s">
        <v>511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0.383168449931656</v>
      </c>
      <c r="C17" s="3" t="n">
        <v>14.5</v>
      </c>
    </row>
    <row r="18" customFormat="false" ht="15" hidden="false" customHeight="false" outlineLevel="0" collapsed="false">
      <c r="A18" s="0" t="s">
        <v>512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0.345481117089946</v>
      </c>
      <c r="C18" s="3" t="n">
        <v>16.5</v>
      </c>
    </row>
    <row r="19" customFormat="false" ht="15" hidden="false" customHeight="false" outlineLevel="0" collapsed="false">
      <c r="A19" s="0" t="s">
        <v>513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0.303428398768734</v>
      </c>
      <c r="C19" s="3" t="n">
        <v>20</v>
      </c>
    </row>
    <row r="21" customFormat="false" ht="15" hidden="false" customHeight="false" outlineLevel="0" collapsed="false">
      <c r="A21" s="2" t="s">
        <v>514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11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0.46479772556166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0.46479772556166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0.46479772556166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0.46479772556166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0.46479772556166</v>
      </c>
    </row>
    <row r="24" customFormat="false" ht="15" hidden="false" customHeight="false" outlineLevel="0" collapsed="false">
      <c r="A24" s="3" t="n">
        <v>12.5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0.423534616821511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0.430666226199355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0.434850103701024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0.434850103701024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0.434850103701024</v>
      </c>
    </row>
    <row r="25" customFormat="false" ht="15" hidden="false" customHeight="false" outlineLevel="0" collapsed="false">
      <c r="A25" s="3" t="n">
        <v>14.5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0.374156925782414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0.37848245737405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0.383168449931656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0.388261920102967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0.393818433017124</v>
      </c>
    </row>
    <row r="26" customFormat="false" ht="15" hidden="false" customHeight="false" outlineLevel="0" collapsed="false">
      <c r="A26" s="3" t="n">
        <v>16.5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0.339752898184271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0.342518245242183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0.345481117089946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0.348663460926432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0.352090600442648</v>
      </c>
    </row>
    <row r="27" customFormat="false" ht="15" hidden="false" customHeight="false" outlineLevel="0" collapsed="false">
      <c r="A27" s="3" t="n">
        <v>18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0.320411409995875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0.322441897125447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0.324603383424669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0.326908968810505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0.32937356008502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2026-09-25T11:05:03Z</dcterms:created>
  <dc:creator>openpyxl</dc:creator>
  <dc:description/>
  <dc:language>en-NZ</dc:language>
  <cp:lastModifiedBy/>
  <dcterms:modified xsi:type="dcterms:W3CDTF">2026-09-25T11:05:03Z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