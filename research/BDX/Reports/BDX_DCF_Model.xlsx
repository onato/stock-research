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<sst xmlns="http://schemas.openxmlformats.org/spreadsheetml/2006/main" count="390" uniqueCount="176">
  <si>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</si>
  <si>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BDX</t>
  </si>
  <si>
    <t xml:space="preserve">Company</t>
  </si>
  <si>
    <t xml:space="preserve">Becton, Dickinson and Company ("New BD")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</si>
  <si>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</si>
  <si>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</si>
  <si>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</si>
  <si>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</si>
  <si>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</si>
  <si>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</si>
  <si>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</si>
  <si>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</si>
  <si>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</si>
  <si>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</si>
  <si>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</si>
  <si>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</si>
  <si>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</si>
  <si>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</si>
  <si>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</si>
  <si>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</si>
  <si>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</si>
  <si>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2026-09-25T23:12:58Z</t>
  </si>
  <si>
    <t xml:space="preserve">Drivers file</t>
  </si>
  <si>
    <t xml:space="preserve">BDX_Drivers.json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</si>
  <si>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</si>
  <si>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</si>
  <si>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</si>
  <si>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New BD is valued as a standalone pure-play medtech company on an owner-FCF basis, using a FY2026 revenue base built from post-spin run-rate evidence (management's disclosed pro-forma FY2024 New BD revenue grown at guided/actual organic rates, cross-checked against the FY2026 quarterly cadence) rather than the pre-spin consolidated entity's historical trend, which would overstate both the size and the margin mix of the retained business. The valuation credits management's stated (and already partly executed) capital-allocation plan -- debt paydown toward a ~2.5x net-leverage target and buybacks funded by the $4B Waters transaction proceeds -- through the Q2 FY2026 balance sheet, and assumes further margin expansion from the BD Excellence productivity program and the removal of the lower-margin Biosciences &amp; Diagnostics mix, tempered by a live, well-documented regulatory/quality overhang (Alaris/CareFusion) that is charged into a higher-than-default bear-case weight rather than into the discount rate.
key_risks_to_valuation: Base-year revenue and margin are house estimates bridging two data sources (pro-forma FY2024 disclosure, actual FY2026 quarterly prints) because the DB/Metrics CSV has not yet been updated for a clean, fully-parsed 'New BD' standalone revenue and margin series -- a subsequent 10-K/10-Q parse with an explicit pro-forma comparative could move the base by a low-single-digit percentage.; Net debt and share count are anchored to the Q2 FY2026 (31-Mar-2026) balance sheet, not the more recent Q3 FY2026 (30-Jun-2026) figures referenced in the Analysis JSON's recent_developments (not yet in the parsed DB) -- further buyback/debt-paydown activity through Q3-Q4 FY2026 likely makes both net debt and share count somewhat lower than modeled here, making this valuation mildly conservative on that dimension.; Alaris/CareFusion FDA consent-decree remediation and broader quality-system warning letters (Dispensing, Specimen Management) are an open-ended cost and distraction risk; a further enforcement action or penalty is not modeled as its own scenario but sits inside the bear case's higher probability weight.; D&amp;A percentage is carried over from the pre-spin consolidated FY2025 ratio on the assumption that acquisition-intangible amortization sits mostly in the retained MedTech businesses; if a materially different share of Bard/CareFusion intangible amortization went with the divested Biosciences &amp; Diagnostics unit, the true New BD D&amp;A (and therefore near-term FCF) could differ from this estimate.; GLP-1/biologics drug-delivery demand is a structural growth driver in the base and bull cases but is competitive (other prefillable-syringe/glass suppliers are also expanding capacity) and its ~$1B-by-2030 contribution is a management target, not a guaranteed outcome.</t>
  </si>
  <si>
    <t xml:space="preserve">Data sources</t>
  </si>
  <si>
    <t xml:space="preserve">price: Yahoo Finance chart API at inputs.price_as_of; 52-week range 127.586-193.07
financials: research/BDX/Reports/BDX_Metrics.csv and BDX.duckdb (core_metrics, kpis) via `make dcf-context TICKER=BDX`
qualitative: research/BDX/Reports/BDX_Analysis.json (overview, recent_developments, guidance, growth_drivers, risks)</t>
  </si>
  <si>
    <t xml:space="preserve">Scenario narrative: bear</t>
  </si>
  <si>
    <t xml:space="preserve">Alaris/consent-decree remediation and post-spin separation dis-synergies persist longer than guided, hospital capex cyclicality pressures equipment sales, GLP-1 drug-delivery share gains undershoot the ~$1B-by-2030 target against competing capacity, and input-cost/tariff inflation outpaces BD Excellence productivity gains.</t>
  </si>
  <si>
    <t xml:space="preserve">Scenario narrative: base</t>
  </si>
  <si>
    <t xml:space="preserve">New BD executes its standalone MedTech strategy broadly as guided -- mid-single-digit organic growth led by BioPharma Systems' GLP-1 tailwind and Interventional, with the BD Excellence program and improved segment mix lifting adjusted EBITDA margin from the mid-20s toward the high-20s over the decade, while leverage glides toward the ~2.5x long-term target.</t>
  </si>
  <si>
    <t xml:space="preserve">Scenario narrative: bull</t>
  </si>
  <si>
    <t xml:space="preserve">GLP-1/biologics demand and Neopak capacity expansion outrun BD's own targets, Alaris/quality-remediation overhang resolves faster than expected, and tuck-in M&amp;A funded by the deleveraged post-spin balance sheet adds incremental growth without diluting margin -- New BD re-rates as a focused, faster-growing pure-play medtech.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</si>
  <si>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</si>
  <si>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</si>
  <si>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</si>
  <si>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</si>
  <si>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</si>
  <si>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</si>
  <si>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</si>
  <si>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</si>
  <si>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</si>
  <si>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</si>
  <si>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</si>
  <si>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</si>
  <si>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</si>
  <si>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</si>
  <si>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</si>
  <si>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</si>
  <si>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</si>
  <si>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</si>
  <si>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</si>
  <si>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</si>
  <si>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</si>
  <si>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</si>
  <si>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</si>
  <si>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</si>
  <si>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</si>
  <si>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</si>
  <si>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</si>
  <si>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</si>
  <si>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</si>
  <si>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</si>
  <si>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</si>
  <si>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</si>
  <si>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</si>
  <si>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</si>
  <si>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</si>
  <si>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</si>
  <si>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</si>
  <si>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</si>
  <si>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</si>
  <si>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</si>
  <si>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</si>
  <si>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</si>
  <si>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</si>
  <si>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</si>
  <si>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</si>
  <si>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</si>
  <si>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</si>
  <si>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</si>
  <si>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</si>
  <si>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</si>
  <si>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</si>
  <si>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</si>
  <si>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</si>
  <si>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</si>
  <si>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</si>
  <si>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</si>
  <si>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</si>
  <si>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</si>
  <si>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</si>
  <si>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</si>
  <si>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</si>
  <si>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</si>
  <si>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</si>
  <si>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</si>
  <si>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</si>
  <si>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</si>
  <si>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</si>
  <si>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</si>
  <si>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</si>
  <si>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</si>
  <si>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</si>
  <si>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</si>
  <si>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</si>
  <si>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</si>
  <si>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</si>
  <si>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</si>
  <si>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</si>
  <si>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</si>
  <si>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</si>
  <si>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</si>
  <si>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</si>
  <si>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</si>
  <si>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</si>
  <si>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</si>
  <si>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</si>
  <si>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BDX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</si>
  <si>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</si>
  <si>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</si>
  <si>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</si>
  <si>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</si>
  <si>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</si>
  <si>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</si>
  <si>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</si>
  <si>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</si>
  <si>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</si>
  <si>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</si>
  <si>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</si>
  <si>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</si>
  <si>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</si>
  <si>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</si>
  <si>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</si>
  <si>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</si>
  <si>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</si>
  <si>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</si>
  <si>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</si>
  <si>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</si>
  <si>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</si>
  <si>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</si>
  <si>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</si>
  <si>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</si>
  <si>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</si>
  <si>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</si>
  <si>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</si>
  <si>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</si>
  <si>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</si>
  <si>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</si>
  <si>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BDX owner-FCF component DCF: base case (millions, USD)</t>
  </si>
  <si>
    <t xml:space="preserve">BDX owner-FCF component DCF: bull case (millions, USD)</t>
  </si>
  <si>
    <t xml:space="preserve">BDX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</si>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</sst>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183.82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1000.289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6282.835</v>
      </c>
      <c r="C3" s="0" t="n">
        <v>3032.892</v>
      </c>
      <c r="F3" s="0" t="n">
        <v>1184.664</v>
      </c>
      <c r="G3" s="0" t="n">
        <v>18.8555644068323</v>
      </c>
      <c r="H3" s="0" t="n">
        <v>1625.768</v>
      </c>
      <c r="I3" s="0" t="n">
        <v>890.033</v>
      </c>
      <c r="J3" s="0" t="n">
        <v>14.1661049510293</v>
      </c>
      <c r="K3" s="0" t="n">
        <v>3.63</v>
      </c>
      <c r="M3" s="0" t="n">
        <v>556.287</v>
      </c>
      <c r="S3" s="0" t="n">
        <v>511.482</v>
      </c>
      <c r="U3" s="0" t="n">
        <v>107.706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6897.619</v>
      </c>
      <c r="C4" s="0" t="n">
        <v>3357.159</v>
      </c>
      <c r="F4" s="0" t="n">
        <v>1488.144</v>
      </c>
      <c r="G4" s="0" t="n">
        <v>21.5747491996876</v>
      </c>
      <c r="H4" s="0" t="n">
        <v>1960.107</v>
      </c>
      <c r="I4" s="0" t="n">
        <v>1126.996</v>
      </c>
      <c r="J4" s="0" t="n">
        <v>16.3389134714457</v>
      </c>
      <c r="K4" s="0" t="n">
        <v>4.61</v>
      </c>
      <c r="M4" s="0" t="n">
        <v>595.811</v>
      </c>
      <c r="O4" s="0" t="n">
        <v>4935.568</v>
      </c>
      <c r="P4" s="0" t="n">
        <v>7912.943</v>
      </c>
      <c r="R4" s="0" t="n">
        <v>201.312</v>
      </c>
      <c r="S4" s="0" t="n">
        <v>830.477</v>
      </c>
      <c r="T4" s="0" t="n">
        <v>252.681</v>
      </c>
      <c r="U4" s="0" t="n">
        <v>100.585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6986.722</v>
      </c>
      <c r="C5" s="0" t="n">
        <v>3311.676</v>
      </c>
      <c r="F5" s="0" t="n">
        <v>1589.682</v>
      </c>
      <c r="G5" s="0" t="n">
        <v>22.7529018615597</v>
      </c>
      <c r="H5" s="0" t="n">
        <v>2054.286</v>
      </c>
      <c r="I5" s="0" t="n">
        <v>1231.603</v>
      </c>
      <c r="J5" s="0" t="n">
        <v>17.6277659251363</v>
      </c>
      <c r="K5" s="0" t="n">
        <v>5.12</v>
      </c>
      <c r="M5" s="0" t="n">
        <v>585.196</v>
      </c>
      <c r="O5" s="0" t="n">
        <v>5142.712</v>
      </c>
      <c r="P5" s="0" t="n">
        <v>9304.624</v>
      </c>
      <c r="R5" s="0" t="n">
        <v>1891.425</v>
      </c>
      <c r="S5" s="0" t="n">
        <v>1394.244</v>
      </c>
      <c r="T5" s="0" t="n">
        <v>246.798</v>
      </c>
      <c r="U5" s="0" t="n">
        <v>86.574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7124.385</v>
      </c>
      <c r="C6" s="0" t="n">
        <v>3428.308</v>
      </c>
      <c r="F6" s="0" t="n">
        <v>1582.378</v>
      </c>
      <c r="G6" s="0" t="n">
        <v>22.2107311718836</v>
      </c>
      <c r="H6" s="0" t="n">
        <v>2073.794</v>
      </c>
      <c r="I6" s="0" t="n">
        <v>1317.61</v>
      </c>
      <c r="J6" s="0" t="n">
        <v>18.494368285824</v>
      </c>
      <c r="K6" s="0" t="n">
        <v>5.62</v>
      </c>
      <c r="M6" s="0" t="n">
        <v>530.969</v>
      </c>
      <c r="O6" s="0" t="n">
        <v>5434.58</v>
      </c>
      <c r="P6" s="0" t="n">
        <v>9650.694</v>
      </c>
      <c r="R6" s="0" t="n">
        <v>1698.115</v>
      </c>
      <c r="S6" s="0" t="n">
        <v>1216</v>
      </c>
      <c r="T6" s="0" t="n">
        <v>240.136</v>
      </c>
      <c r="U6" s="0" t="n">
        <v>79.374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7584</v>
      </c>
      <c r="C7" s="0" t="n">
        <v>3625</v>
      </c>
      <c r="F7" s="0" t="n">
        <v>1666</v>
      </c>
      <c r="G7" s="0" t="n">
        <v>21.9672995780591</v>
      </c>
      <c r="H7" s="0" t="n">
        <v>2160</v>
      </c>
      <c r="I7" s="0" t="n">
        <v>1271</v>
      </c>
      <c r="J7" s="0" t="n">
        <v>16.7589662447257</v>
      </c>
      <c r="K7" s="0" t="n">
        <v>5.75</v>
      </c>
      <c r="M7" s="0" t="n">
        <v>509</v>
      </c>
      <c r="O7" s="0" t="n">
        <v>4828.175</v>
      </c>
      <c r="P7" s="0" t="n">
        <v>10430</v>
      </c>
      <c r="R7" s="0" t="n">
        <v>2719.597</v>
      </c>
      <c r="S7" s="0" t="n">
        <v>1175</v>
      </c>
      <c r="T7" s="0" t="n">
        <v>226.28</v>
      </c>
      <c r="U7" s="0" t="n">
        <v>73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7708</v>
      </c>
      <c r="C8" s="0" t="n">
        <v>3755</v>
      </c>
      <c r="F8" s="0" t="n">
        <v>1558</v>
      </c>
      <c r="G8" s="0" t="n">
        <v>20.2127659574468</v>
      </c>
      <c r="H8" s="0" t="n">
        <v>2069</v>
      </c>
      <c r="I8" s="0" t="n">
        <v>1170</v>
      </c>
      <c r="J8" s="0" t="n">
        <v>15.1790347690711</v>
      </c>
      <c r="K8" s="0" t="n">
        <v>5.69</v>
      </c>
      <c r="M8" s="0" t="n">
        <v>487</v>
      </c>
      <c r="O8" s="0" t="n">
        <v>4136</v>
      </c>
      <c r="P8" s="0" t="n">
        <v>11361</v>
      </c>
      <c r="R8" s="0" t="n">
        <v>4166</v>
      </c>
      <c r="S8" s="0" t="n">
        <v>1671</v>
      </c>
      <c r="T8" s="0" t="n">
        <v>209.181</v>
      </c>
      <c r="U8" s="0" t="n">
        <v>89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8054</v>
      </c>
      <c r="C9" s="0" t="n">
        <v>3883</v>
      </c>
      <c r="F9" s="0" t="n">
        <v>1254</v>
      </c>
      <c r="G9" s="0" t="n">
        <v>15.5699031537124</v>
      </c>
      <c r="H9" s="0" t="n">
        <v>1800</v>
      </c>
      <c r="I9" s="0" t="n">
        <v>1293</v>
      </c>
      <c r="J9" s="0" t="n">
        <v>16.0541345915073</v>
      </c>
      <c r="K9" s="0" t="n">
        <v>6.63</v>
      </c>
      <c r="M9" s="0" t="n">
        <v>522</v>
      </c>
      <c r="O9" s="0" t="n">
        <v>5043</v>
      </c>
      <c r="P9" s="0" t="n">
        <v>12149</v>
      </c>
      <c r="R9" s="0" t="n">
        <v>3970</v>
      </c>
      <c r="S9" s="0" t="n">
        <v>1890</v>
      </c>
      <c r="T9" s="0" t="n">
        <v>199.193</v>
      </c>
      <c r="U9" s="0" t="n">
        <v>100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8446</v>
      </c>
      <c r="C10" s="0" t="n">
        <v>4145</v>
      </c>
      <c r="D10" s="0" t="n">
        <v>4301</v>
      </c>
      <c r="E10" s="0" t="n">
        <v>50.9235140895098</v>
      </c>
      <c r="F10" s="0" t="n">
        <v>1606</v>
      </c>
      <c r="G10" s="0" t="n">
        <v>19.0149183045229</v>
      </c>
      <c r="H10" s="0" t="n">
        <v>2168</v>
      </c>
      <c r="I10" s="0" t="n">
        <v>1185</v>
      </c>
      <c r="J10" s="0" t="n">
        <v>14.0303102060147</v>
      </c>
      <c r="K10" s="0" t="n">
        <v>6.13</v>
      </c>
      <c r="L10" s="0" t="n">
        <v>1746</v>
      </c>
      <c r="M10" s="0" t="n">
        <v>592</v>
      </c>
      <c r="N10" s="0" t="n">
        <v>1154</v>
      </c>
      <c r="O10" s="0" t="n">
        <v>5053</v>
      </c>
      <c r="P10" s="0" t="n">
        <v>12384</v>
      </c>
      <c r="R10" s="0" t="n">
        <v>3971</v>
      </c>
      <c r="S10" s="0" t="n">
        <v>1861</v>
      </c>
      <c r="T10" s="0" t="n">
        <v>197.709</v>
      </c>
      <c r="U10" s="0" t="n">
        <v>113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10282</v>
      </c>
      <c r="C11" s="0" t="n">
        <v>5587</v>
      </c>
      <c r="D11" s="0" t="n">
        <v>4695</v>
      </c>
      <c r="E11" s="0" t="n">
        <v>45.6623225053492</v>
      </c>
      <c r="F11" s="0" t="n">
        <v>1074</v>
      </c>
      <c r="G11" s="0" t="n">
        <v>10.4454386306166</v>
      </c>
      <c r="H11" s="0" t="n">
        <v>1965</v>
      </c>
      <c r="I11" s="0" t="n">
        <v>695</v>
      </c>
      <c r="J11" s="0" t="n">
        <v>6.75938533359269</v>
      </c>
      <c r="K11" s="0" t="n">
        <v>3.43</v>
      </c>
      <c r="L11" s="0" t="n">
        <v>1730</v>
      </c>
      <c r="M11" s="0" t="n">
        <v>596</v>
      </c>
      <c r="N11" s="0" t="n">
        <v>1134</v>
      </c>
      <c r="O11" s="0" t="n">
        <v>7164</v>
      </c>
      <c r="P11" s="0" t="n">
        <v>26478</v>
      </c>
      <c r="R11" s="0" t="n">
        <v>12822</v>
      </c>
      <c r="S11" s="0" t="n">
        <v>1424</v>
      </c>
      <c r="T11" s="0" t="n">
        <v>207.509</v>
      </c>
      <c r="U11" s="0" t="n">
        <v>166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12483</v>
      </c>
      <c r="C12" s="0" t="n">
        <v>6492</v>
      </c>
      <c r="D12" s="0" t="n">
        <v>5991</v>
      </c>
      <c r="E12" s="0" t="n">
        <v>47.9932708483538</v>
      </c>
      <c r="F12" s="0" t="n">
        <v>1430</v>
      </c>
      <c r="G12" s="0" t="n">
        <v>11.45557958824</v>
      </c>
      <c r="H12" s="0" t="n">
        <v>2544</v>
      </c>
      <c r="I12" s="0" t="n">
        <v>976</v>
      </c>
      <c r="J12" s="0" t="n">
        <v>7.81863334134423</v>
      </c>
      <c r="K12" s="0" t="n">
        <v>4.59</v>
      </c>
      <c r="L12" s="0" t="n">
        <v>2559</v>
      </c>
      <c r="M12" s="0" t="n">
        <v>693</v>
      </c>
      <c r="N12" s="0" t="n">
        <v>1866</v>
      </c>
      <c r="O12" s="0" t="n">
        <v>7633</v>
      </c>
      <c r="P12" s="0" t="n">
        <v>25586</v>
      </c>
      <c r="R12" s="0" t="n">
        <v>11551</v>
      </c>
      <c r="S12" s="0" t="n">
        <v>1541</v>
      </c>
      <c r="T12" s="0" t="n">
        <v>217.536</v>
      </c>
      <c r="U12" s="0" t="n">
        <v>196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12093</v>
      </c>
      <c r="C13" s="0" t="n">
        <v>6128</v>
      </c>
      <c r="D13" s="0" t="n">
        <v>5942</v>
      </c>
      <c r="E13" s="0" t="n">
        <v>49.1358637228149</v>
      </c>
      <c r="F13" s="0" t="n">
        <v>1522</v>
      </c>
      <c r="G13" s="0" t="n">
        <v>12.5857934342181</v>
      </c>
      <c r="H13" s="0" t="n">
        <v>2610</v>
      </c>
      <c r="I13" s="0" t="n">
        <v>1100</v>
      </c>
      <c r="J13" s="0" t="n">
        <v>9.09617133879104</v>
      </c>
      <c r="K13" s="0" t="n">
        <v>4.7</v>
      </c>
      <c r="L13" s="0" t="n">
        <v>2550</v>
      </c>
      <c r="M13" s="0" t="n">
        <v>727</v>
      </c>
      <c r="N13" s="0" t="n">
        <v>1823</v>
      </c>
      <c r="O13" s="0" t="n">
        <v>12948</v>
      </c>
      <c r="P13" s="0" t="n">
        <v>37734</v>
      </c>
      <c r="R13" s="0" t="n">
        <v>18870</v>
      </c>
      <c r="S13" s="0" t="n">
        <v>14179</v>
      </c>
      <c r="T13" s="0" t="n">
        <v>223.588</v>
      </c>
      <c r="U13" s="0" t="n">
        <v>177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15983</v>
      </c>
      <c r="C14" s="0" t="n">
        <v>8714</v>
      </c>
      <c r="D14" s="0" t="n">
        <v>7269</v>
      </c>
      <c r="E14" s="0" t="n">
        <v>45.4795720452981</v>
      </c>
      <c r="F14" s="0" t="n">
        <v>1509</v>
      </c>
      <c r="G14" s="0" t="n">
        <v>9.44128136144654</v>
      </c>
      <c r="H14" s="0" t="n">
        <v>3487</v>
      </c>
      <c r="I14" s="0" t="n">
        <v>311</v>
      </c>
      <c r="J14" s="0" t="n">
        <v>1.94581743102046</v>
      </c>
      <c r="K14" s="0" t="n">
        <v>0.62</v>
      </c>
      <c r="L14" s="0" t="n">
        <v>2865</v>
      </c>
      <c r="M14" s="0" t="n">
        <v>895</v>
      </c>
      <c r="N14" s="0" t="n">
        <v>1970</v>
      </c>
      <c r="O14" s="0" t="n">
        <v>20994</v>
      </c>
      <c r="P14" s="0" t="n">
        <v>53904</v>
      </c>
      <c r="R14" s="0" t="n">
        <v>21495</v>
      </c>
      <c r="S14" s="0" t="n">
        <v>1140</v>
      </c>
      <c r="T14" s="0" t="n">
        <v>264.621</v>
      </c>
      <c r="U14" s="0" t="n">
        <v>332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17290</v>
      </c>
      <c r="C15" s="0" t="n">
        <v>9002</v>
      </c>
      <c r="D15" s="0" t="n">
        <v>8288</v>
      </c>
      <c r="E15" s="0" t="n">
        <v>47.9352226720648</v>
      </c>
      <c r="F15" s="0" t="n">
        <v>1760</v>
      </c>
      <c r="G15" s="0" t="n">
        <v>10.1792943898207</v>
      </c>
      <c r="H15" s="0" t="n">
        <v>4013</v>
      </c>
      <c r="I15" s="0" t="n">
        <v>1233</v>
      </c>
      <c r="J15" s="0" t="n">
        <v>7.13128976286871</v>
      </c>
      <c r="K15" s="0" t="n">
        <v>4.01</v>
      </c>
      <c r="L15" s="0" t="n">
        <v>3330</v>
      </c>
      <c r="M15" s="0" t="n">
        <v>957</v>
      </c>
      <c r="N15" s="0" t="n">
        <v>2373</v>
      </c>
      <c r="O15" s="0" t="n">
        <v>21081</v>
      </c>
      <c r="P15" s="0" t="n">
        <v>51765</v>
      </c>
      <c r="R15" s="0" t="n">
        <v>19390</v>
      </c>
      <c r="S15" s="0" t="n">
        <v>536</v>
      </c>
      <c r="T15" s="0" t="n">
        <v>274.775</v>
      </c>
      <c r="U15" s="0" t="n">
        <v>265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16074</v>
      </c>
      <c r="C16" s="0" t="n">
        <v>9276</v>
      </c>
      <c r="D16" s="0" t="n">
        <v>7577</v>
      </c>
      <c r="E16" s="0" t="n">
        <v>47.1382356600722</v>
      </c>
      <c r="F16" s="0" t="n">
        <v>912</v>
      </c>
      <c r="G16" s="0" t="n">
        <v>5.67375886524823</v>
      </c>
      <c r="H16" s="0" t="n">
        <v>3027</v>
      </c>
      <c r="I16" s="0" t="n">
        <v>874</v>
      </c>
      <c r="J16" s="0" t="n">
        <v>5.43735224586288</v>
      </c>
      <c r="K16" s="0" t="n">
        <v>2.75</v>
      </c>
      <c r="L16" s="0" t="n">
        <v>3539</v>
      </c>
      <c r="M16" s="0" t="n">
        <v>769</v>
      </c>
      <c r="N16" s="0" t="n">
        <v>2770</v>
      </c>
      <c r="O16" s="0" t="n">
        <v>23765</v>
      </c>
      <c r="P16" s="0" t="n">
        <v>54012</v>
      </c>
      <c r="R16" s="0" t="n">
        <v>17931</v>
      </c>
      <c r="S16" s="0" t="n">
        <v>2825</v>
      </c>
      <c r="T16" s="0" t="n">
        <v>282.402</v>
      </c>
      <c r="U16" s="0" t="n">
        <v>245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19131</v>
      </c>
      <c r="C17" s="0" t="n">
        <v>10500</v>
      </c>
      <c r="F17" s="0" t="n">
        <v>2250</v>
      </c>
      <c r="G17" s="0" t="n">
        <v>11.7610161517955</v>
      </c>
      <c r="H17" s="0" t="n">
        <v>4480</v>
      </c>
      <c r="I17" s="0" t="n">
        <v>2092</v>
      </c>
      <c r="J17" s="0" t="n">
        <v>10.935131462025</v>
      </c>
      <c r="K17" s="0" t="n">
        <v>6.92</v>
      </c>
      <c r="L17" s="0" t="n">
        <v>4647</v>
      </c>
      <c r="M17" s="0" t="n">
        <v>1194</v>
      </c>
      <c r="N17" s="0" t="n">
        <v>3453</v>
      </c>
      <c r="O17" s="0" t="n">
        <v>23677</v>
      </c>
      <c r="P17" s="0" t="n">
        <v>53866</v>
      </c>
      <c r="R17" s="0" t="n">
        <v>17610</v>
      </c>
      <c r="S17" s="0" t="n">
        <v>2283</v>
      </c>
      <c r="T17" s="0" t="n">
        <v>292.089</v>
      </c>
      <c r="U17" s="0" t="n">
        <v>238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18870</v>
      </c>
      <c r="C18" s="0" t="n">
        <v>10393</v>
      </c>
      <c r="F18" s="0" t="n">
        <v>2282</v>
      </c>
      <c r="G18" s="0" t="n">
        <v>12.0932697403286</v>
      </c>
      <c r="H18" s="0" t="n">
        <v>4511</v>
      </c>
      <c r="I18" s="0" t="n">
        <v>1779</v>
      </c>
      <c r="J18" s="0" t="n">
        <v>9.42766295707472</v>
      </c>
      <c r="K18" s="0" t="n">
        <v>5.93</v>
      </c>
      <c r="M18" s="0" t="n">
        <v>973</v>
      </c>
      <c r="O18" s="0" t="n">
        <v>25282</v>
      </c>
      <c r="P18" s="0" t="n">
        <v>52934</v>
      </c>
      <c r="R18" s="0" t="n">
        <v>16065</v>
      </c>
      <c r="S18" s="0" t="n">
        <v>1006</v>
      </c>
      <c r="T18" s="0" t="n">
        <v>287.364</v>
      </c>
      <c r="U18" s="0" t="n">
        <v>240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19372</v>
      </c>
      <c r="C19" s="0" t="n">
        <v>11202</v>
      </c>
      <c r="F19" s="0" t="n">
        <v>2111</v>
      </c>
      <c r="G19" s="0" t="n">
        <v>10.8971711748916</v>
      </c>
      <c r="H19" s="0" t="n">
        <v>4399</v>
      </c>
      <c r="I19" s="0" t="n">
        <v>1484</v>
      </c>
      <c r="J19" s="0" t="n">
        <v>7.66054098699154</v>
      </c>
      <c r="K19" s="0" t="n">
        <v>4.97</v>
      </c>
      <c r="M19" s="0" t="n">
        <v>874</v>
      </c>
      <c r="O19" s="0" t="n">
        <v>25796</v>
      </c>
      <c r="P19" s="0" t="n">
        <v>52780</v>
      </c>
      <c r="R19" s="0" t="n">
        <v>15879</v>
      </c>
      <c r="S19" s="0" t="n">
        <v>1416</v>
      </c>
      <c r="T19" s="0" t="n">
        <v>288.392</v>
      </c>
      <c r="U19" s="0" t="n">
        <v>261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20178</v>
      </c>
      <c r="C20" s="0" t="n">
        <v>11053</v>
      </c>
      <c r="F20" s="0" t="n">
        <v>2397</v>
      </c>
      <c r="G20" s="0" t="n">
        <v>11.8792744573298</v>
      </c>
      <c r="H20" s="0" t="n">
        <v>4683</v>
      </c>
      <c r="I20" s="0" t="n">
        <v>1705</v>
      </c>
      <c r="J20" s="0" t="n">
        <v>8.44979680840519</v>
      </c>
      <c r="K20" s="0" t="n">
        <v>5.88</v>
      </c>
      <c r="M20" s="0" t="n">
        <v>725</v>
      </c>
      <c r="O20" s="0" t="n">
        <v>25890</v>
      </c>
      <c r="P20" s="0" t="n">
        <v>57286</v>
      </c>
      <c r="R20" s="0" t="n">
        <v>20110</v>
      </c>
      <c r="S20" s="0" t="n">
        <v>1717</v>
      </c>
      <c r="T20" s="0" t="n">
        <v>291.009</v>
      </c>
      <c r="U20" s="0" t="n">
        <v>249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21840</v>
      </c>
      <c r="C21" s="0" t="n">
        <v>11915</v>
      </c>
      <c r="F21" s="0" t="n">
        <v>2579</v>
      </c>
      <c r="G21" s="0" t="n">
        <v>11.8086080586081</v>
      </c>
      <c r="H21" s="0" t="n">
        <v>5041</v>
      </c>
      <c r="I21" s="0" t="n">
        <v>1678</v>
      </c>
      <c r="J21" s="0" t="n">
        <v>7.68315018315018</v>
      </c>
      <c r="K21" s="0" t="n">
        <v>5.83</v>
      </c>
      <c r="M21" s="0" t="n">
        <v>760</v>
      </c>
      <c r="O21" s="0" t="n">
        <v>25390</v>
      </c>
      <c r="P21" s="0" t="n">
        <v>55325</v>
      </c>
      <c r="R21" s="0" t="n">
        <v>19181</v>
      </c>
      <c r="S21" s="0" t="n">
        <v>641</v>
      </c>
      <c r="T21" s="0" t="n">
        <v>288.509</v>
      </c>
      <c r="U21" s="0" t="n">
        <v>262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183.82</v>
      </c>
    </row>
    <row r="3" customFormat="false" ht="15" hidden="false" customHeight="false" outlineLevel="0" collapsed="false">
      <c r="A3" s="0" t="s">
        <v>86</v>
      </c>
      <c r="B3" s="3" t="n">
        <v>275.158</v>
      </c>
    </row>
    <row r="4" customFormat="false" ht="15" hidden="false" customHeight="false" outlineLevel="0" collapsed="false">
      <c r="A4" s="0" t="s">
        <v>87</v>
      </c>
      <c r="B4" s="3" t="n">
        <v>16100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19700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2.5</v>
      </c>
      <c r="E13" s="3" t="n">
        <v>2.5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23</v>
      </c>
      <c r="D14" s="3" t="n">
        <v>23.17</v>
      </c>
      <c r="E14" s="3" t="n">
        <v>23.33</v>
      </c>
      <c r="F14" s="3" t="n">
        <v>23.5</v>
      </c>
      <c r="G14" s="3" t="n">
        <v>23.67</v>
      </c>
      <c r="H14" s="3" t="n">
        <v>23.83</v>
      </c>
      <c r="I14" s="3" t="n">
        <v>24</v>
      </c>
      <c r="J14" s="3" t="n">
        <v>24.17</v>
      </c>
      <c r="K14" s="3" t="n">
        <v>24.33</v>
      </c>
      <c r="L14" s="3" t="n">
        <v>24.5</v>
      </c>
    </row>
    <row r="15" customFormat="false" ht="15" hidden="false" customHeight="false" outlineLevel="0" collapsed="false">
      <c r="A15" s="0" t="s">
        <v>109</v>
      </c>
      <c r="C15" s="3" t="n">
        <v>3.4</v>
      </c>
      <c r="D15" s="3" t="n">
        <v>3.29</v>
      </c>
      <c r="E15" s="3" t="n">
        <v>3.18</v>
      </c>
      <c r="F15" s="3" t="n">
        <v>3.07</v>
      </c>
      <c r="G15" s="3" t="n">
        <v>2.96</v>
      </c>
      <c r="H15" s="3" t="n">
        <v>2.84</v>
      </c>
      <c r="I15" s="3" t="n">
        <v>2.73</v>
      </c>
      <c r="J15" s="3" t="n">
        <v>2.62</v>
      </c>
      <c r="K15" s="3" t="n">
        <v>2.51</v>
      </c>
      <c r="L15" s="3" t="n">
        <v>2.4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11.5</v>
      </c>
      <c r="D17" s="3" t="n">
        <v>11.39</v>
      </c>
      <c r="E17" s="3" t="n">
        <v>11.28</v>
      </c>
      <c r="F17" s="3" t="n">
        <v>11.17</v>
      </c>
      <c r="G17" s="3" t="n">
        <v>11.06</v>
      </c>
      <c r="H17" s="3" t="n">
        <v>10.94</v>
      </c>
      <c r="I17" s="3" t="n">
        <v>10.83</v>
      </c>
      <c r="J17" s="3" t="n">
        <v>10.72</v>
      </c>
      <c r="K17" s="3" t="n">
        <v>10.61</v>
      </c>
      <c r="L17" s="3" t="n">
        <v>10.5</v>
      </c>
    </row>
    <row r="18" customFormat="false" ht="15" hidden="false" customHeight="false" outlineLevel="0" collapsed="false">
      <c r="A18" s="0" t="s">
        <v>112</v>
      </c>
      <c r="C18" s="3" t="n">
        <v>3.8</v>
      </c>
      <c r="D18" s="3" t="n">
        <v>3.8</v>
      </c>
      <c r="E18" s="3" t="n">
        <v>3.8</v>
      </c>
      <c r="F18" s="3" t="n">
        <v>3.8</v>
      </c>
      <c r="G18" s="3" t="n">
        <v>3.8</v>
      </c>
      <c r="H18" s="3" t="n">
        <v>3.8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113</v>
      </c>
      <c r="C19" s="3" t="n">
        <v>24</v>
      </c>
      <c r="D19" s="3" t="n">
        <v>24.11</v>
      </c>
      <c r="E19" s="3" t="n">
        <v>24.22</v>
      </c>
      <c r="F19" s="3" t="n">
        <v>24.33</v>
      </c>
      <c r="G19" s="3" t="n">
        <v>24.44</v>
      </c>
      <c r="H19" s="3" t="n">
        <v>24.56</v>
      </c>
      <c r="I19" s="3" t="n">
        <v>24.67</v>
      </c>
      <c r="J19" s="3" t="n">
        <v>24.78</v>
      </c>
      <c r="K19" s="3" t="n">
        <v>24.89</v>
      </c>
      <c r="L19" s="3" t="n">
        <v>25</v>
      </c>
    </row>
    <row r="20" customFormat="false" ht="15" hidden="false" customHeight="false" outlineLevel="0" collapsed="false">
      <c r="A20" s="0" t="s">
        <v>114</v>
      </c>
      <c r="B20" s="3" t="n">
        <v>8.5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-12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5.5</v>
      </c>
      <c r="D27" s="3" t="n">
        <v>5.5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24.5</v>
      </c>
      <c r="D28" s="3" t="n">
        <v>24.89</v>
      </c>
      <c r="E28" s="3" t="n">
        <v>25.28</v>
      </c>
      <c r="F28" s="3" t="n">
        <v>25.67</v>
      </c>
      <c r="G28" s="3" t="n">
        <v>26.06</v>
      </c>
      <c r="H28" s="3" t="n">
        <v>26.44</v>
      </c>
      <c r="I28" s="3" t="n">
        <v>26.83</v>
      </c>
      <c r="J28" s="3" t="n">
        <v>27.22</v>
      </c>
      <c r="K28" s="3" t="n">
        <v>27.61</v>
      </c>
      <c r="L28" s="3" t="n">
        <v>28</v>
      </c>
    </row>
    <row r="29" customFormat="false" ht="15" hidden="false" customHeight="false" outlineLevel="0" collapsed="false">
      <c r="A29" s="0" t="s">
        <v>109</v>
      </c>
      <c r="C29" s="3" t="n">
        <v>3.2</v>
      </c>
      <c r="D29" s="3" t="n">
        <v>3.09</v>
      </c>
      <c r="E29" s="3" t="n">
        <v>2.98</v>
      </c>
      <c r="F29" s="3" t="n">
        <v>2.87</v>
      </c>
      <c r="G29" s="3" t="n">
        <v>2.76</v>
      </c>
      <c r="H29" s="3" t="n">
        <v>2.64</v>
      </c>
      <c r="I29" s="3" t="n">
        <v>2.53</v>
      </c>
      <c r="J29" s="3" t="n">
        <v>2.42</v>
      </c>
      <c r="K29" s="3" t="n">
        <v>2.31</v>
      </c>
      <c r="L29" s="3" t="n">
        <v>2.2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11.3</v>
      </c>
      <c r="D31" s="3" t="n">
        <v>11.1</v>
      </c>
      <c r="E31" s="3" t="n">
        <v>10.9</v>
      </c>
      <c r="F31" s="3" t="n">
        <v>10.7</v>
      </c>
      <c r="G31" s="3" t="n">
        <v>10.5</v>
      </c>
      <c r="H31" s="3" t="n">
        <v>10.3</v>
      </c>
      <c r="I31" s="3" t="n">
        <v>10.1</v>
      </c>
      <c r="J31" s="3" t="n">
        <v>9.9</v>
      </c>
      <c r="K31" s="3" t="n">
        <v>9.7</v>
      </c>
      <c r="L31" s="3" t="n">
        <v>9.5</v>
      </c>
    </row>
    <row r="32" customFormat="false" ht="15" hidden="false" customHeight="false" outlineLevel="0" collapsed="false">
      <c r="A32" s="0" t="s">
        <v>112</v>
      </c>
      <c r="C32" s="3" t="n">
        <v>3.5</v>
      </c>
      <c r="D32" s="3" t="n">
        <v>3.5</v>
      </c>
      <c r="E32" s="3" t="n">
        <v>3.5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113</v>
      </c>
      <c r="C33" s="3" t="n">
        <v>23</v>
      </c>
      <c r="D33" s="3" t="n">
        <v>23.11</v>
      </c>
      <c r="E33" s="3" t="n">
        <v>23.22</v>
      </c>
      <c r="F33" s="3" t="n">
        <v>23.33</v>
      </c>
      <c r="G33" s="3" t="n">
        <v>23.44</v>
      </c>
      <c r="H33" s="3" t="n">
        <v>23.56</v>
      </c>
      <c r="I33" s="3" t="n">
        <v>23.67</v>
      </c>
      <c r="J33" s="3" t="n">
        <v>23.78</v>
      </c>
      <c r="K33" s="3" t="n">
        <v>23.89</v>
      </c>
      <c r="L33" s="3" t="n">
        <v>24</v>
      </c>
    </row>
    <row r="34" customFormat="false" ht="15" hidden="false" customHeight="false" outlineLevel="0" collapsed="false">
      <c r="A34" s="0" t="s">
        <v>114</v>
      </c>
      <c r="B34" s="3" t="n">
        <v>7.5</v>
      </c>
    </row>
    <row r="35" customFormat="false" ht="15" hidden="false" customHeight="false" outlineLevel="0" collapsed="false">
      <c r="A35" s="0" t="s">
        <v>115</v>
      </c>
      <c r="B35" s="3" t="n">
        <v>2.75</v>
      </c>
    </row>
    <row r="36" customFormat="false" ht="15" hidden="false" customHeight="false" outlineLevel="0" collapsed="false">
      <c r="A36" s="0" t="s">
        <v>116</v>
      </c>
      <c r="B36" s="3" t="n">
        <v>16</v>
      </c>
    </row>
    <row r="37" customFormat="false" ht="15" hidden="false" customHeight="false" outlineLevel="0" collapsed="false">
      <c r="A37" s="0" t="s">
        <v>117</v>
      </c>
      <c r="B37" s="3" t="n">
        <v>-8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8</v>
      </c>
      <c r="D41" s="3" t="n">
        <v>8.5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108</v>
      </c>
      <c r="C42" s="3" t="n">
        <v>25</v>
      </c>
      <c r="D42" s="3" t="n">
        <v>25.67</v>
      </c>
      <c r="E42" s="3" t="n">
        <v>26.33</v>
      </c>
      <c r="F42" s="3" t="n">
        <v>27</v>
      </c>
      <c r="G42" s="3" t="n">
        <v>27.67</v>
      </c>
      <c r="H42" s="3" t="n">
        <v>28.33</v>
      </c>
      <c r="I42" s="3" t="n">
        <v>29</v>
      </c>
      <c r="J42" s="3" t="n">
        <v>29.67</v>
      </c>
      <c r="K42" s="3" t="n">
        <v>30.33</v>
      </c>
      <c r="L42" s="3" t="n">
        <v>31</v>
      </c>
    </row>
    <row r="43" customFormat="false" ht="15" hidden="false" customHeight="false" outlineLevel="0" collapsed="false">
      <c r="A43" s="0" t="s">
        <v>109</v>
      </c>
      <c r="C43" s="3" t="n">
        <v>3</v>
      </c>
      <c r="D43" s="3" t="n">
        <v>2.89</v>
      </c>
      <c r="E43" s="3" t="n">
        <v>2.78</v>
      </c>
      <c r="F43" s="3" t="n">
        <v>2.67</v>
      </c>
      <c r="G43" s="3" t="n">
        <v>2.56</v>
      </c>
      <c r="H43" s="3" t="n">
        <v>2.44</v>
      </c>
      <c r="I43" s="3" t="n">
        <v>2.33</v>
      </c>
      <c r="J43" s="3" t="n">
        <v>2.22</v>
      </c>
      <c r="K43" s="3" t="n">
        <v>2.11</v>
      </c>
      <c r="L43" s="3" t="n">
        <v>2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11</v>
      </c>
      <c r="D45" s="3" t="n">
        <v>10.78</v>
      </c>
      <c r="E45" s="3" t="n">
        <v>10.56</v>
      </c>
      <c r="F45" s="3" t="n">
        <v>10.33</v>
      </c>
      <c r="G45" s="3" t="n">
        <v>10.11</v>
      </c>
      <c r="H45" s="3" t="n">
        <v>9.89</v>
      </c>
      <c r="I45" s="3" t="n">
        <v>9.67</v>
      </c>
      <c r="J45" s="3" t="n">
        <v>9.44</v>
      </c>
      <c r="K45" s="3" t="n">
        <v>9.22</v>
      </c>
      <c r="L45" s="3" t="n">
        <v>9</v>
      </c>
    </row>
    <row r="46" customFormat="false" ht="15" hidden="false" customHeight="false" outlineLevel="0" collapsed="false">
      <c r="A46" s="0" t="s">
        <v>112</v>
      </c>
      <c r="C46" s="3" t="n">
        <v>3.3</v>
      </c>
      <c r="D46" s="3" t="n">
        <v>3.3</v>
      </c>
      <c r="E46" s="3" t="n">
        <v>3.3</v>
      </c>
      <c r="F46" s="3" t="n">
        <v>3.3</v>
      </c>
      <c r="G46" s="3" t="n">
        <v>3.3</v>
      </c>
      <c r="H46" s="3" t="n">
        <v>3.3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113</v>
      </c>
      <c r="C47" s="3" t="n">
        <v>22</v>
      </c>
      <c r="D47" s="3" t="n">
        <v>22.11</v>
      </c>
      <c r="E47" s="3" t="n">
        <v>22.22</v>
      </c>
      <c r="F47" s="3" t="n">
        <v>22.33</v>
      </c>
      <c r="G47" s="3" t="n">
        <v>22.44</v>
      </c>
      <c r="H47" s="3" t="n">
        <v>22.56</v>
      </c>
      <c r="I47" s="3" t="n">
        <v>22.67</v>
      </c>
      <c r="J47" s="3" t="n">
        <v>22.78</v>
      </c>
      <c r="K47" s="3" t="n">
        <v>22.89</v>
      </c>
      <c r="L47" s="3" t="n">
        <v>23</v>
      </c>
    </row>
    <row r="48" customFormat="false" ht="15" hidden="false" customHeight="false" outlineLevel="0" collapsed="false">
      <c r="A48" s="0" t="s">
        <v>114</v>
      </c>
      <c r="B48" s="3" t="n">
        <v>7</v>
      </c>
    </row>
    <row r="49" customFormat="false" ht="15" hidden="false" customHeight="false" outlineLevel="0" collapsed="false">
      <c r="A49" s="0" t="s">
        <v>115</v>
      </c>
      <c r="B49" s="3" t="n">
        <v>3.25</v>
      </c>
    </row>
    <row r="50" customFormat="false" ht="15" hidden="false" customHeight="false" outlineLevel="0" collapsed="false">
      <c r="A50" s="0" t="s">
        <v>116</v>
      </c>
      <c r="B50" s="3" t="n">
        <v>18</v>
      </c>
    </row>
    <row r="51" customFormat="false" ht="15" hidden="false" customHeight="false" outlineLevel="0" collapsed="false">
      <c r="A51" s="0" t="s">
        <v>117</v>
      </c>
      <c r="B51" s="3" t="n">
        <v>-6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2.5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19700</v>
      </c>
      <c r="C6" s="0" t="n">
        <f aca="false">B6*(1+C5/100)</f>
        <v>20094</v>
      </c>
      <c r="D6" s="0" t="n">
        <f aca="false">C6*(1+D5/100)</f>
        <v>20596.35</v>
      </c>
      <c r="E6" s="0" t="n">
        <f aca="false">D6*(1+E5/100)</f>
        <v>21111.25875</v>
      </c>
      <c r="F6" s="0" t="n">
        <f aca="false">E6*(1+F5/100)</f>
        <v>21639.04021875</v>
      </c>
      <c r="G6" s="0" t="n">
        <f aca="false">F6*(1+G5/100)</f>
        <v>22180.0162242187</v>
      </c>
      <c r="H6" s="0" t="n">
        <f aca="false">G6*(1+H5/100)</f>
        <v>22623.6165487031</v>
      </c>
      <c r="I6" s="0" t="n">
        <f aca="false">H6*(1+I5/100)</f>
        <v>23076.0888796772</v>
      </c>
      <c r="J6" s="0" t="n">
        <f aca="false">I6*(1+J5/100)</f>
        <v>23537.6106572707</v>
      </c>
      <c r="K6" s="0" t="n">
        <f aca="false">J6*(1+K5/100)</f>
        <v>24008.3628704161</v>
      </c>
      <c r="L6" s="0" t="n">
        <f aca="false">K6*(1+L5/100)</f>
        <v>24488.5301278245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23</v>
      </c>
      <c r="D7" s="4" t="n">
        <f aca="false">Assumptions!D14</f>
        <v>23.17</v>
      </c>
      <c r="E7" s="4" t="n">
        <f aca="false">Assumptions!E14</f>
        <v>23.33</v>
      </c>
      <c r="F7" s="4" t="n">
        <f aca="false">Assumptions!F14</f>
        <v>23.5</v>
      </c>
      <c r="G7" s="4" t="n">
        <f aca="false">Assumptions!G14</f>
        <v>23.67</v>
      </c>
      <c r="H7" s="4" t="n">
        <f aca="false">Assumptions!H14</f>
        <v>23.83</v>
      </c>
      <c r="I7" s="4" t="n">
        <f aca="false">Assumptions!I14</f>
        <v>24</v>
      </c>
      <c r="J7" s="4" t="n">
        <f aca="false">Assumptions!J14</f>
        <v>24.17</v>
      </c>
      <c r="K7" s="4" t="n">
        <f aca="false">Assumptions!K14</f>
        <v>24.33</v>
      </c>
      <c r="L7" s="4" t="n">
        <f aca="false">Assumptions!L14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4621.62</v>
      </c>
      <c r="D8" s="0" t="n">
        <f aca="false">D6*D7/100</f>
        <v>4772.174295</v>
      </c>
      <c r="E8" s="0" t="n">
        <f aca="false">E6*E7/100</f>
        <v>4925.256666375</v>
      </c>
      <c r="F8" s="0" t="n">
        <f aca="false">F6*F7/100</f>
        <v>5085.17445140625</v>
      </c>
      <c r="G8" s="0" t="n">
        <f aca="false">G6*G7/100</f>
        <v>5250.00984027258</v>
      </c>
      <c r="H8" s="0" t="n">
        <f aca="false">H6*H7/100</f>
        <v>5391.20782355595</v>
      </c>
      <c r="I8" s="0" t="n">
        <f aca="false">I6*I7/100</f>
        <v>5538.26133112252</v>
      </c>
      <c r="J8" s="0" t="n">
        <f aca="false">J6*J7/100</f>
        <v>5689.04049586234</v>
      </c>
      <c r="K8" s="0" t="n">
        <f aca="false">K6*K7/100</f>
        <v>5841.23468637225</v>
      </c>
      <c r="L8" s="0" t="n">
        <f aca="false">L6*L7/100</f>
        <v>5999.68988131699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3.4</v>
      </c>
      <c r="D9" s="4" t="n">
        <f aca="false">Assumptions!D15</f>
        <v>3.29</v>
      </c>
      <c r="E9" s="4" t="n">
        <f aca="false">Assumptions!E15</f>
        <v>3.18</v>
      </c>
      <c r="F9" s="4" t="n">
        <f aca="false">Assumptions!F15</f>
        <v>3.07</v>
      </c>
      <c r="G9" s="4" t="n">
        <f aca="false">Assumptions!G15</f>
        <v>2.96</v>
      </c>
      <c r="H9" s="4" t="n">
        <f aca="false">Assumptions!H15</f>
        <v>2.84</v>
      </c>
      <c r="I9" s="4" t="n">
        <f aca="false">Assumptions!I15</f>
        <v>2.73</v>
      </c>
      <c r="J9" s="4" t="n">
        <f aca="false">Assumptions!J15</f>
        <v>2.62</v>
      </c>
      <c r="K9" s="4" t="n">
        <f aca="false">Assumptions!K15</f>
        <v>2.51</v>
      </c>
      <c r="L9" s="4" t="n">
        <f aca="false">Assumptions!L15</f>
        <v>2.4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-683.196</v>
      </c>
      <c r="D10" s="0" t="n">
        <f aca="false">-D6*D9/100</f>
        <v>-677.619915</v>
      </c>
      <c r="E10" s="0" t="n">
        <f aca="false">-E6*E9/100</f>
        <v>-671.33802825</v>
      </c>
      <c r="F10" s="0" t="n">
        <f aca="false">-F6*F9/100</f>
        <v>-664.318534715625</v>
      </c>
      <c r="G10" s="0" t="n">
        <f aca="false">-G6*G9/100</f>
        <v>-656.528480236875</v>
      </c>
      <c r="H10" s="0" t="n">
        <f aca="false">-H6*H9/100</f>
        <v>-642.510709983169</v>
      </c>
      <c r="I10" s="0" t="n">
        <f aca="false">-I6*I9/100</f>
        <v>-629.977226415187</v>
      </c>
      <c r="J10" s="0" t="n">
        <f aca="false">-J6*J9/100</f>
        <v>-616.685399220493</v>
      </c>
      <c r="K10" s="0" t="n">
        <f aca="false">-K6*K9/100</f>
        <v>-602.609908047445</v>
      </c>
      <c r="L10" s="0" t="n">
        <f aca="false">-L6*L9/100</f>
        <v>-587.724723067787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3938.424</v>
      </c>
      <c r="D11" s="0" t="n">
        <f aca="false">D8+D10+D24</f>
        <v>4094.55438</v>
      </c>
      <c r="E11" s="0" t="n">
        <f aca="false">E8+E10+E24</f>
        <v>4253.918638125</v>
      </c>
      <c r="F11" s="0" t="n">
        <f aca="false">F8+F10+F24</f>
        <v>4420.85591669062</v>
      </c>
      <c r="G11" s="0" t="n">
        <f aca="false">G8+G10+G24</f>
        <v>4593.4813600357</v>
      </c>
      <c r="H11" s="0" t="n">
        <f aca="false">H8+H10+H24</f>
        <v>4748.69711357278</v>
      </c>
      <c r="I11" s="0" t="n">
        <f aca="false">I8+I10+I24</f>
        <v>4908.28410470734</v>
      </c>
      <c r="J11" s="0" t="n">
        <f aca="false">J8+J10+J24</f>
        <v>5072.35509664184</v>
      </c>
      <c r="K11" s="0" t="n">
        <f aca="false">K8+K10+K24</f>
        <v>5238.6247783248</v>
      </c>
      <c r="L11" s="0" t="n">
        <f aca="false">L8+L10+L24</f>
        <v>5411.96515824921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-2310.81</v>
      </c>
      <c r="D12" s="4" t="n">
        <f aca="false">-D6*Assumptions!D17/100</f>
        <v>-2345.924265</v>
      </c>
      <c r="E12" s="4" t="n">
        <f aca="false">-E6*Assumptions!E17/100</f>
        <v>-2381.349987</v>
      </c>
      <c r="F12" s="4" t="n">
        <f aca="false">-F6*Assumptions!F17/100</f>
        <v>-2417.08079243438</v>
      </c>
      <c r="G12" s="4" t="n">
        <f aca="false">-G6*Assumptions!G17/100</f>
        <v>-2453.10979439859</v>
      </c>
      <c r="H12" s="4" t="n">
        <f aca="false">-H6*Assumptions!H17/100</f>
        <v>-2475.02365042812</v>
      </c>
      <c r="I12" s="4" t="n">
        <f aca="false">-I6*Assumptions!I17/100</f>
        <v>-2499.14042566904</v>
      </c>
      <c r="J12" s="4" t="n">
        <f aca="false">-J6*Assumptions!J17/100</f>
        <v>-2523.23186245942</v>
      </c>
      <c r="K12" s="4" t="n">
        <f aca="false">-K6*Assumptions!K17/100</f>
        <v>-2547.28730055115</v>
      </c>
      <c r="L12" s="4" t="n">
        <f aca="false">-L6*Assumptions!L17/100</f>
        <v>-2571.29566342157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1627.614</v>
      </c>
      <c r="D13" s="0" t="n">
        <f aca="false">D11+D12</f>
        <v>1748.630115</v>
      </c>
      <c r="E13" s="0" t="n">
        <f aca="false">E11+E12</f>
        <v>1872.568651125</v>
      </c>
      <c r="F13" s="0" t="n">
        <f aca="false">F11+F12</f>
        <v>2003.77512425625</v>
      </c>
      <c r="G13" s="0" t="n">
        <f aca="false">G11+G12</f>
        <v>2140.37156563711</v>
      </c>
      <c r="H13" s="0" t="n">
        <f aca="false">H11+H12</f>
        <v>2273.67346314466</v>
      </c>
      <c r="I13" s="0" t="n">
        <f aca="false">I11+I12</f>
        <v>2409.1436790383</v>
      </c>
      <c r="J13" s="0" t="n">
        <f aca="false">J11+J12</f>
        <v>2549.12323418242</v>
      </c>
      <c r="K13" s="0" t="n">
        <f aca="false">K11+K12</f>
        <v>2691.33747777365</v>
      </c>
      <c r="L13" s="0" t="n">
        <f aca="false">L11+L12</f>
        <v>2840.66949482764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24</v>
      </c>
      <c r="D14" s="4" t="n">
        <f aca="false">Assumptions!D19</f>
        <v>24.11</v>
      </c>
      <c r="E14" s="4" t="n">
        <f aca="false">Assumptions!E19</f>
        <v>24.22</v>
      </c>
      <c r="F14" s="4" t="n">
        <f aca="false">Assumptions!F19</f>
        <v>24.33</v>
      </c>
      <c r="G14" s="4" t="n">
        <f aca="false">Assumptions!G19</f>
        <v>24.44</v>
      </c>
      <c r="H14" s="4" t="n">
        <f aca="false">Assumptions!H19</f>
        <v>24.56</v>
      </c>
      <c r="I14" s="4" t="n">
        <f aca="false">Assumptions!I19</f>
        <v>24.67</v>
      </c>
      <c r="J14" s="4" t="n">
        <f aca="false">Assumptions!J19</f>
        <v>24.78</v>
      </c>
      <c r="K14" s="4" t="n">
        <f aca="false">Assumptions!K19</f>
        <v>24.89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1236.98664</v>
      </c>
      <c r="D15" s="0" t="n">
        <f aca="false">D13-MAX(0,D13)*D14/100</f>
        <v>1327.0353942735</v>
      </c>
      <c r="E15" s="0" t="n">
        <f aca="false">E13-MAX(0,E13)*E14/100</f>
        <v>1419.03252382252</v>
      </c>
      <c r="F15" s="0" t="n">
        <f aca="false">F13-MAX(0,F13)*F14/100</f>
        <v>1516.2566365247</v>
      </c>
      <c r="G15" s="0" t="n">
        <f aca="false">G13-MAX(0,G13)*G14/100</f>
        <v>1617.2647549954</v>
      </c>
      <c r="H15" s="0" t="n">
        <f aca="false">H13-MAX(0,H13)*H14/100</f>
        <v>1715.25926059633</v>
      </c>
      <c r="I15" s="0" t="n">
        <f aca="false">I13-MAX(0,I13)*I14/100</f>
        <v>1814.80793341955</v>
      </c>
      <c r="J15" s="0" t="n">
        <f aca="false">J13-MAX(0,J13)*J14/100</f>
        <v>1917.45049675202</v>
      </c>
      <c r="K15" s="0" t="n">
        <f aca="false">K13-MAX(0,K13)*K14/100</f>
        <v>2021.46357955579</v>
      </c>
      <c r="L15" s="0" t="n">
        <f aca="false">L13-MAX(0,L13)*L14/100</f>
        <v>2130.50212112073</v>
      </c>
    </row>
    <row r="16" customFormat="false" ht="15" hidden="false" customHeight="false" outlineLevel="0" collapsed="false">
      <c r="A16" s="0" t="s">
        <v>129</v>
      </c>
      <c r="C16" s="0" t="n">
        <f aca="false">-C12</f>
        <v>2310.81</v>
      </c>
      <c r="D16" s="0" t="n">
        <f aca="false">-D12</f>
        <v>2345.924265</v>
      </c>
      <c r="E16" s="0" t="n">
        <f aca="false">-E12</f>
        <v>2381.349987</v>
      </c>
      <c r="F16" s="0" t="n">
        <f aca="false">-F12</f>
        <v>2417.08079243438</v>
      </c>
      <c r="G16" s="0" t="n">
        <f aca="false">-G12</f>
        <v>2453.10979439859</v>
      </c>
      <c r="H16" s="0" t="n">
        <f aca="false">-H12</f>
        <v>2475.02365042812</v>
      </c>
      <c r="I16" s="0" t="n">
        <f aca="false">-I12</f>
        <v>2499.14042566904</v>
      </c>
      <c r="J16" s="0" t="n">
        <f aca="false">-J12</f>
        <v>2523.23186245942</v>
      </c>
      <c r="K16" s="0" t="n">
        <f aca="false">-K12</f>
        <v>2547.28730055115</v>
      </c>
      <c r="L16" s="0" t="n">
        <f aca="false">-L12</f>
        <v>2571.29566342157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-763.572</v>
      </c>
      <c r="D17" s="4" t="n">
        <f aca="false">-D6*Assumptions!D18/100</f>
        <v>-782.6613</v>
      </c>
      <c r="E17" s="4" t="n">
        <f aca="false">-E6*Assumptions!E18/100</f>
        <v>-802.2278325</v>
      </c>
      <c r="F17" s="4" t="n">
        <f aca="false">-F6*Assumptions!F18/100</f>
        <v>-822.2835283125</v>
      </c>
      <c r="G17" s="4" t="n">
        <f aca="false">-G6*Assumptions!G18/100</f>
        <v>-842.840616520312</v>
      </c>
      <c r="H17" s="4" t="n">
        <f aca="false">-H6*Assumptions!H18/100</f>
        <v>-859.697428850718</v>
      </c>
      <c r="I17" s="4" t="n">
        <f aca="false">-I6*Assumptions!I18/100</f>
        <v>-876.891377427733</v>
      </c>
      <c r="J17" s="4" t="n">
        <f aca="false">-J6*Assumptions!J18/100</f>
        <v>-894.429204976288</v>
      </c>
      <c r="K17" s="4" t="n">
        <f aca="false">-K6*Assumptions!K18/100</f>
        <v>-912.317789075813</v>
      </c>
      <c r="L17" s="4" t="n">
        <f aca="false">-L6*Assumptions!L18/100</f>
        <v>-930.56414485733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-47.28</v>
      </c>
      <c r="D18" s="4" t="n">
        <f aca="false">(D6-C6)*Assumptions!$B$23/100</f>
        <v>-60.2819999999998</v>
      </c>
      <c r="E18" s="4" t="n">
        <f aca="false">(E6-D6)*Assumptions!$B$23/100</f>
        <v>-61.7890499999998</v>
      </c>
      <c r="F18" s="4" t="n">
        <f aca="false">(F6-E6)*Assumptions!$B$23/100</f>
        <v>-63.3337762499999</v>
      </c>
      <c r="G18" s="4" t="n">
        <f aca="false">(G6-F6)*Assumptions!$B$23/100</f>
        <v>-64.9171206562496</v>
      </c>
      <c r="H18" s="4" t="n">
        <f aca="false">(H6-G6)*Assumptions!$B$23/100</f>
        <v>-53.2320389381249</v>
      </c>
      <c r="I18" s="4" t="n">
        <f aca="false">(I6-H6)*Assumptions!$B$23/100</f>
        <v>-54.2966797168874</v>
      </c>
      <c r="J18" s="4" t="n">
        <f aca="false">(J6-I6)*Assumptions!$B$23/100</f>
        <v>-55.3826133112254</v>
      </c>
      <c r="K18" s="4" t="n">
        <f aca="false">(K6-J6)*Assumptions!$B$23/100</f>
        <v>-56.4902655774496</v>
      </c>
      <c r="L18" s="4" t="n">
        <f aca="false">(L6-K6)*Assumptions!$B$23/100</f>
        <v>-57.6200708889989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2736.94464</v>
      </c>
      <c r="D19" s="0" t="n">
        <f aca="false">D15+D16+D17+D18</f>
        <v>2830.0163592735</v>
      </c>
      <c r="E19" s="0" t="n">
        <f aca="false">E15+E16+E17+E18</f>
        <v>2936.36562832252</v>
      </c>
      <c r="F19" s="0" t="n">
        <f aca="false">F15+F16+F17+F18</f>
        <v>3047.72012439658</v>
      </c>
      <c r="G19" s="0" t="n">
        <f aca="false">G15+G16+G17+G18</f>
        <v>3162.61681221743</v>
      </c>
      <c r="H19" s="0" t="n">
        <f aca="false">H15+H16+H17+H18</f>
        <v>3277.35344323561</v>
      </c>
      <c r="I19" s="0" t="n">
        <f aca="false">I15+I16+I17+I18</f>
        <v>3382.76030194397</v>
      </c>
      <c r="J19" s="0" t="n">
        <f aca="false">J15+J16+J17+J18</f>
        <v>3490.87054092393</v>
      </c>
      <c r="K19" s="0" t="n">
        <f aca="false">K15+K16+K17+K18</f>
        <v>3599.94282545368</v>
      </c>
      <c r="L19" s="0" t="n">
        <f aca="false">L15+L16+L17+L18</f>
        <v>3713.61356879597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2522.52962211982</v>
      </c>
      <c r="D21" s="0" t="n">
        <f aca="false">D19*D20</f>
        <v>2403.97235810784</v>
      </c>
      <c r="E21" s="0" t="n">
        <f aca="false">E19*E20</f>
        <v>2298.90443036734</v>
      </c>
      <c r="F21" s="0" t="n">
        <f aca="false">F19*F20</f>
        <v>2199.1564674105</v>
      </c>
      <c r="G21" s="0" t="n">
        <f aca="false">G19*G20</f>
        <v>2103.28383658027</v>
      </c>
      <c r="H21" s="0" t="n">
        <f aca="false">H19*H20</f>
        <v>2008.83770315432</v>
      </c>
      <c r="I21" s="0" t="n">
        <f aca="false">I19*I20</f>
        <v>1911.01043291609</v>
      </c>
      <c r="J21" s="0" t="n">
        <f aca="false">J19*J20</f>
        <v>1817.58963659374</v>
      </c>
      <c r="K21" s="0" t="n">
        <f aca="false">K19*K20</f>
        <v>1727.53939423139</v>
      </c>
      <c r="L21" s="0" t="n">
        <f aca="false">L19*L20</f>
        <v>1642.47711856157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20635.3010000429</v>
      </c>
    </row>
    <row r="31" customFormat="false" ht="15" hidden="false" customHeight="false" outlineLevel="0" collapsed="false">
      <c r="A31" s="0" t="s">
        <v>138</v>
      </c>
      <c r="B31" s="0" t="n">
        <f aca="false">L19</f>
        <v>3713.61356879597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58275.1667718752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48276.9763943476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48276.9763943476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21352.2025413004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41987.5035413433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25887.5035413433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94.0823219435499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-0.48818234172805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4266.78005054505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4079.09099278262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124.413517268882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29137.5833859376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24.1275599704901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5.5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19700</v>
      </c>
      <c r="C6" s="0" t="n">
        <f aca="false">B6*(1+C5/100)</f>
        <v>20783.5</v>
      </c>
      <c r="D6" s="0" t="n">
        <f aca="false">C6*(1+D5/100)</f>
        <v>21926.5925</v>
      </c>
      <c r="E6" s="0" t="n">
        <f aca="false">D6*(1+E5/100)</f>
        <v>23022.922125</v>
      </c>
      <c r="F6" s="0" t="n">
        <f aca="false">E6*(1+F5/100)</f>
        <v>24174.06823125</v>
      </c>
      <c r="G6" s="0" t="n">
        <f aca="false">F6*(1+G5/100)</f>
        <v>25261.9013016563</v>
      </c>
      <c r="H6" s="0" t="n">
        <f aca="false">G6*(1+H5/100)</f>
        <v>26272.3773537225</v>
      </c>
      <c r="I6" s="0" t="n">
        <f aca="false">H6*(1+I5/100)</f>
        <v>27323.2724478714</v>
      </c>
      <c r="J6" s="0" t="n">
        <f aca="false">I6*(1+J5/100)</f>
        <v>28279.5869835469</v>
      </c>
      <c r="K6" s="0" t="n">
        <f aca="false">J6*(1+K5/100)</f>
        <v>29269.372527971</v>
      </c>
      <c r="L6" s="0" t="n">
        <f aca="false">K6*(1+L5/100)</f>
        <v>30147.4537038102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24.5</v>
      </c>
      <c r="D7" s="4" t="n">
        <f aca="false">Assumptions!D28</f>
        <v>24.89</v>
      </c>
      <c r="E7" s="4" t="n">
        <f aca="false">Assumptions!E28</f>
        <v>25.28</v>
      </c>
      <c r="F7" s="4" t="n">
        <f aca="false">Assumptions!F28</f>
        <v>25.67</v>
      </c>
      <c r="G7" s="4" t="n">
        <f aca="false">Assumptions!G28</f>
        <v>26.06</v>
      </c>
      <c r="H7" s="4" t="n">
        <f aca="false">Assumptions!H28</f>
        <v>26.44</v>
      </c>
      <c r="I7" s="4" t="n">
        <f aca="false">Assumptions!I28</f>
        <v>26.83</v>
      </c>
      <c r="J7" s="4" t="n">
        <f aca="false">Assumptions!J28</f>
        <v>27.22</v>
      </c>
      <c r="K7" s="4" t="n">
        <f aca="false">Assumptions!K28</f>
        <v>27.61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5091.9575</v>
      </c>
      <c r="D8" s="0" t="n">
        <f aca="false">D6*D7/100</f>
        <v>5457.52887325</v>
      </c>
      <c r="E8" s="0" t="n">
        <f aca="false">E6*E7/100</f>
        <v>5820.1947132</v>
      </c>
      <c r="F8" s="0" t="n">
        <f aca="false">F6*F7/100</f>
        <v>6205.48331496188</v>
      </c>
      <c r="G8" s="0" t="n">
        <f aca="false">G6*G7/100</f>
        <v>6583.25147921162</v>
      </c>
      <c r="H8" s="0" t="n">
        <f aca="false">H6*H7/100</f>
        <v>6946.41657232423</v>
      </c>
      <c r="I8" s="0" t="n">
        <f aca="false">I6*I7/100</f>
        <v>7330.8339977639</v>
      </c>
      <c r="J8" s="0" t="n">
        <f aca="false">J6*J7/100</f>
        <v>7697.70357692147</v>
      </c>
      <c r="K8" s="0" t="n">
        <f aca="false">K6*K7/100</f>
        <v>8081.2737549728</v>
      </c>
      <c r="L8" s="0" t="n">
        <f aca="false">L6*L7/100</f>
        <v>8441.28703706685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3.2</v>
      </c>
      <c r="D9" s="4" t="n">
        <f aca="false">Assumptions!D29</f>
        <v>3.09</v>
      </c>
      <c r="E9" s="4" t="n">
        <f aca="false">Assumptions!E29</f>
        <v>2.98</v>
      </c>
      <c r="F9" s="4" t="n">
        <f aca="false">Assumptions!F29</f>
        <v>2.87</v>
      </c>
      <c r="G9" s="4" t="n">
        <f aca="false">Assumptions!G29</f>
        <v>2.76</v>
      </c>
      <c r="H9" s="4" t="n">
        <f aca="false">Assumptions!H29</f>
        <v>2.64</v>
      </c>
      <c r="I9" s="4" t="n">
        <f aca="false">Assumptions!I29</f>
        <v>2.53</v>
      </c>
      <c r="J9" s="4" t="n">
        <f aca="false">Assumptions!J29</f>
        <v>2.42</v>
      </c>
      <c r="K9" s="4" t="n">
        <f aca="false">Assumptions!K29</f>
        <v>2.31</v>
      </c>
      <c r="L9" s="4" t="n">
        <f aca="false">Assumptions!L29</f>
        <v>2.2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-665.072</v>
      </c>
      <c r="D10" s="0" t="n">
        <f aca="false">-D6*D9/100</f>
        <v>-677.53170825</v>
      </c>
      <c r="E10" s="0" t="n">
        <f aca="false">-E6*E9/100</f>
        <v>-686.083079325</v>
      </c>
      <c r="F10" s="0" t="n">
        <f aca="false">-F6*F9/100</f>
        <v>-693.795758236875</v>
      </c>
      <c r="G10" s="0" t="n">
        <f aca="false">-G6*G9/100</f>
        <v>-697.228475925713</v>
      </c>
      <c r="H10" s="0" t="n">
        <f aca="false">-H6*H9/100</f>
        <v>-693.590762138274</v>
      </c>
      <c r="I10" s="0" t="n">
        <f aca="false">-I6*I9/100</f>
        <v>-691.278792931146</v>
      </c>
      <c r="J10" s="0" t="n">
        <f aca="false">-J6*J9/100</f>
        <v>-684.366005001835</v>
      </c>
      <c r="K10" s="0" t="n">
        <f aca="false">-K6*K9/100</f>
        <v>-676.122505396131</v>
      </c>
      <c r="L10" s="0" t="n">
        <f aca="false">-L6*L9/100</f>
        <v>-663.243981483824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4426.8855</v>
      </c>
      <c r="D11" s="0" t="n">
        <f aca="false">D8+D10+D24</f>
        <v>4779.997165</v>
      </c>
      <c r="E11" s="0" t="n">
        <f aca="false">E8+E10+E24</f>
        <v>5134.111633875</v>
      </c>
      <c r="F11" s="0" t="n">
        <f aca="false">F8+F10+F24</f>
        <v>5511.687556725</v>
      </c>
      <c r="G11" s="0" t="n">
        <f aca="false">G8+G10+G24</f>
        <v>5886.02300328591</v>
      </c>
      <c r="H11" s="0" t="n">
        <f aca="false">H8+H10+H24</f>
        <v>6252.82581018596</v>
      </c>
      <c r="I11" s="0" t="n">
        <f aca="false">I8+I10+I24</f>
        <v>6639.55520483275</v>
      </c>
      <c r="J11" s="0" t="n">
        <f aca="false">J8+J10+J24</f>
        <v>7013.33757191963</v>
      </c>
      <c r="K11" s="0" t="n">
        <f aca="false">K8+K10+K24</f>
        <v>7405.15124957667</v>
      </c>
      <c r="L11" s="0" t="n">
        <f aca="false">L8+L10+L24</f>
        <v>7778.04305558302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-2348.5355</v>
      </c>
      <c r="D12" s="4" t="n">
        <f aca="false">-D6*Assumptions!D31/100</f>
        <v>-2433.8517675</v>
      </c>
      <c r="E12" s="4" t="n">
        <f aca="false">-E6*Assumptions!E31/100</f>
        <v>-2509.498511625</v>
      </c>
      <c r="F12" s="4" t="n">
        <f aca="false">-F6*Assumptions!F31/100</f>
        <v>-2586.62530074375</v>
      </c>
      <c r="G12" s="4" t="n">
        <f aca="false">-G6*Assumptions!G31/100</f>
        <v>-2652.49963667391</v>
      </c>
      <c r="H12" s="4" t="n">
        <f aca="false">-H6*Assumptions!H31/100</f>
        <v>-2706.05486743342</v>
      </c>
      <c r="I12" s="4" t="n">
        <f aca="false">-I6*Assumptions!I31/100</f>
        <v>-2759.65051723501</v>
      </c>
      <c r="J12" s="4" t="n">
        <f aca="false">-J6*Assumptions!J31/100</f>
        <v>-2799.67911137114</v>
      </c>
      <c r="K12" s="4" t="n">
        <f aca="false">-K6*Assumptions!K31/100</f>
        <v>-2839.12913521319</v>
      </c>
      <c r="L12" s="4" t="n">
        <f aca="false">-L6*Assumptions!L31/100</f>
        <v>-2864.00810186197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2078.35</v>
      </c>
      <c r="D13" s="0" t="n">
        <f aca="false">D11+D12</f>
        <v>2346.1453975</v>
      </c>
      <c r="E13" s="0" t="n">
        <f aca="false">E11+E12</f>
        <v>2624.61312225</v>
      </c>
      <c r="F13" s="0" t="n">
        <f aca="false">F11+F12</f>
        <v>2925.06225598125</v>
      </c>
      <c r="G13" s="0" t="n">
        <f aca="false">G11+G12</f>
        <v>3233.523366612</v>
      </c>
      <c r="H13" s="0" t="n">
        <f aca="false">H11+H12</f>
        <v>3546.77094275254</v>
      </c>
      <c r="I13" s="0" t="n">
        <f aca="false">I11+I12</f>
        <v>3879.90468759774</v>
      </c>
      <c r="J13" s="0" t="n">
        <f aca="false">J11+J12</f>
        <v>4213.65846054849</v>
      </c>
      <c r="K13" s="0" t="n">
        <f aca="false">K11+K12</f>
        <v>4566.02211436348</v>
      </c>
      <c r="L13" s="0" t="n">
        <f aca="false">L11+L12</f>
        <v>4914.03495372106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23</v>
      </c>
      <c r="D14" s="4" t="n">
        <f aca="false">Assumptions!D33</f>
        <v>23.11</v>
      </c>
      <c r="E14" s="4" t="n">
        <f aca="false">Assumptions!E33</f>
        <v>23.22</v>
      </c>
      <c r="F14" s="4" t="n">
        <f aca="false">Assumptions!F33</f>
        <v>23.33</v>
      </c>
      <c r="G14" s="4" t="n">
        <f aca="false">Assumptions!G33</f>
        <v>23.44</v>
      </c>
      <c r="H14" s="4" t="n">
        <f aca="false">Assumptions!H33</f>
        <v>23.56</v>
      </c>
      <c r="I14" s="4" t="n">
        <f aca="false">Assumptions!I33</f>
        <v>23.67</v>
      </c>
      <c r="J14" s="4" t="n">
        <f aca="false">Assumptions!J33</f>
        <v>23.78</v>
      </c>
      <c r="K14" s="4" t="n">
        <f aca="false">Assumptions!K33</f>
        <v>23.89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1600.3295</v>
      </c>
      <c r="D15" s="0" t="n">
        <f aca="false">D13-MAX(0,D13)*D14/100</f>
        <v>1803.95119613775</v>
      </c>
      <c r="E15" s="0" t="n">
        <f aca="false">E13-MAX(0,E13)*E14/100</f>
        <v>2015.17795526355</v>
      </c>
      <c r="F15" s="0" t="n">
        <f aca="false">F13-MAX(0,F13)*F14/100</f>
        <v>2242.64523166083</v>
      </c>
      <c r="G15" s="0" t="n">
        <f aca="false">G13-MAX(0,G13)*G14/100</f>
        <v>2475.58548947815</v>
      </c>
      <c r="H15" s="0" t="n">
        <f aca="false">H13-MAX(0,H13)*H14/100</f>
        <v>2711.15170864004</v>
      </c>
      <c r="I15" s="0" t="n">
        <f aca="false">I13-MAX(0,I13)*I14/100</f>
        <v>2961.53124804335</v>
      </c>
      <c r="J15" s="0" t="n">
        <f aca="false">J13-MAX(0,J13)*J14/100</f>
        <v>3211.65047863006</v>
      </c>
      <c r="K15" s="0" t="n">
        <f aca="false">K13-MAX(0,K13)*K14/100</f>
        <v>3475.19943124205</v>
      </c>
      <c r="L15" s="0" t="n">
        <f aca="false">L13-MAX(0,L13)*L14/100</f>
        <v>3734.666564828</v>
      </c>
    </row>
    <row r="16" customFormat="false" ht="15" hidden="false" customHeight="false" outlineLevel="0" collapsed="false">
      <c r="A16" s="0" t="s">
        <v>129</v>
      </c>
      <c r="C16" s="0" t="n">
        <f aca="false">-C12</f>
        <v>2348.5355</v>
      </c>
      <c r="D16" s="0" t="n">
        <f aca="false">-D12</f>
        <v>2433.8517675</v>
      </c>
      <c r="E16" s="0" t="n">
        <f aca="false">-E12</f>
        <v>2509.498511625</v>
      </c>
      <c r="F16" s="0" t="n">
        <f aca="false">-F12</f>
        <v>2586.62530074375</v>
      </c>
      <c r="G16" s="0" t="n">
        <f aca="false">-G12</f>
        <v>2652.49963667391</v>
      </c>
      <c r="H16" s="0" t="n">
        <f aca="false">-H12</f>
        <v>2706.05486743342</v>
      </c>
      <c r="I16" s="0" t="n">
        <f aca="false">-I12</f>
        <v>2759.65051723501</v>
      </c>
      <c r="J16" s="0" t="n">
        <f aca="false">-J12</f>
        <v>2799.67911137114</v>
      </c>
      <c r="K16" s="0" t="n">
        <f aca="false">-K12</f>
        <v>2839.12913521319</v>
      </c>
      <c r="L16" s="0" t="n">
        <f aca="false">-L12</f>
        <v>2864.00810186197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-727.4225</v>
      </c>
      <c r="D17" s="4" t="n">
        <f aca="false">-D6*Assumptions!D32/100</f>
        <v>-767.4307375</v>
      </c>
      <c r="E17" s="4" t="n">
        <f aca="false">-E6*Assumptions!E32/100</f>
        <v>-805.802274375</v>
      </c>
      <c r="F17" s="4" t="n">
        <f aca="false">-F6*Assumptions!F32/100</f>
        <v>-846.09238809375</v>
      </c>
      <c r="G17" s="4" t="n">
        <f aca="false">-G6*Assumptions!G32/100</f>
        <v>-884.166545557969</v>
      </c>
      <c r="H17" s="4" t="n">
        <f aca="false">-H6*Assumptions!H32/100</f>
        <v>-919.533207380288</v>
      </c>
      <c r="I17" s="4" t="n">
        <f aca="false">-I6*Assumptions!I32/100</f>
        <v>-956.314535675499</v>
      </c>
      <c r="J17" s="4" t="n">
        <f aca="false">-J6*Assumptions!J32/100</f>
        <v>-989.785544424142</v>
      </c>
      <c r="K17" s="4" t="n">
        <f aca="false">-K6*Assumptions!K32/100</f>
        <v>-1024.42803847899</v>
      </c>
      <c r="L17" s="4" t="n">
        <f aca="false">-L6*Assumptions!L32/100</f>
        <v>-1055.16087963336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-86.68</v>
      </c>
      <c r="D18" s="4" t="n">
        <f aca="false">(D6-C6)*Assumptions!$B$37/100</f>
        <v>-91.4473999999999</v>
      </c>
      <c r="E18" s="4" t="n">
        <f aca="false">(E6-D6)*Assumptions!$B$37/100</f>
        <v>-87.7063700000002</v>
      </c>
      <c r="F18" s="4" t="n">
        <f aca="false">(F6-E6)*Assumptions!$B$37/100</f>
        <v>-92.0916885000002</v>
      </c>
      <c r="G18" s="4" t="n">
        <f aca="false">(G6-F6)*Assumptions!$B$37/100</f>
        <v>-87.0266456325</v>
      </c>
      <c r="H18" s="4" t="n">
        <f aca="false">(H6-G6)*Assumptions!$B$37/100</f>
        <v>-80.8380841653</v>
      </c>
      <c r="I18" s="4" t="n">
        <f aca="false">(I6-H6)*Assumptions!$B$37/100</f>
        <v>-84.0716075319122</v>
      </c>
      <c r="J18" s="4" t="n">
        <f aca="false">(J6-I6)*Assumptions!$B$37/100</f>
        <v>-76.5051628540398</v>
      </c>
      <c r="K18" s="4" t="n">
        <f aca="false">(K6-J6)*Assumptions!$B$37/100</f>
        <v>-79.1828435539312</v>
      </c>
      <c r="L18" s="4" t="n">
        <f aca="false">(L6-K6)*Assumptions!$B$37/100</f>
        <v>-70.2464940671306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3134.7625</v>
      </c>
      <c r="D19" s="0" t="n">
        <f aca="false">D15+D16+D17+D18</f>
        <v>3378.92482613775</v>
      </c>
      <c r="E19" s="0" t="n">
        <f aca="false">E15+E16+E17+E18</f>
        <v>3631.16782251355</v>
      </c>
      <c r="F19" s="0" t="n">
        <f aca="false">F15+F16+F17+F18</f>
        <v>3891.08645581082</v>
      </c>
      <c r="G19" s="0" t="n">
        <f aca="false">G15+G16+G17+G18</f>
        <v>4156.89193496159</v>
      </c>
      <c r="H19" s="0" t="n">
        <f aca="false">H15+H16+H17+H18</f>
        <v>4416.83528452787</v>
      </c>
      <c r="I19" s="0" t="n">
        <f aca="false">I15+I16+I17+I18</f>
        <v>4680.79562207095</v>
      </c>
      <c r="J19" s="0" t="n">
        <f aca="false">J15+J16+J17+J18</f>
        <v>4945.03888272302</v>
      </c>
      <c r="K19" s="0" t="n">
        <f aca="false">K15+K16+K17+K18</f>
        <v>5210.71768442232</v>
      </c>
      <c r="L19" s="0" t="n">
        <f aca="false">L15+L16+L17+L18</f>
        <v>5473.26729298948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2916.05813953488</v>
      </c>
      <c r="D21" s="0" t="n">
        <f aca="false">D19*D20</f>
        <v>2923.89384630633</v>
      </c>
      <c r="E21" s="0" t="n">
        <f aca="false">E19*E20</f>
        <v>2922.94691839545</v>
      </c>
      <c r="F21" s="0" t="n">
        <f aca="false">F19*F20</f>
        <v>2913.64759951682</v>
      </c>
      <c r="G21" s="0" t="n">
        <f aca="false">G19*G20</f>
        <v>2895.51896104407</v>
      </c>
      <c r="H21" s="0" t="n">
        <f aca="false">H19*H20</f>
        <v>2861.93929777346</v>
      </c>
      <c r="I21" s="0" t="n">
        <f aca="false">I19*I20</f>
        <v>2821.37250130462</v>
      </c>
      <c r="J21" s="0" t="n">
        <f aca="false">J19*J20</f>
        <v>2772.6943457599</v>
      </c>
      <c r="K21" s="0" t="n">
        <f aca="false">K19*K20</f>
        <v>2717.82422626788</v>
      </c>
      <c r="L21" s="0" t="n">
        <f aca="false">L19*L20</f>
        <v>2655.59605852949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2.75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28401.4918944329</v>
      </c>
    </row>
    <row r="31" customFormat="false" ht="15" hidden="false" customHeight="false" outlineLevel="0" collapsed="false">
      <c r="A31" s="0" t="s">
        <v>138</v>
      </c>
      <c r="B31" s="0" t="n">
        <f aca="false">L19</f>
        <v>5473.26729298948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118395.413548351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87572.2766878318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87572.2766878318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42489.5369364718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70891.0288309048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54791.0288309048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199.125698074942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0.083264596207929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4686.68051058854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6961.08434737679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241.456885458064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45908.4256616057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55.7045848757244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8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19700</v>
      </c>
      <c r="C6" s="0" t="n">
        <f aca="false">B6*(1+C5/100)</f>
        <v>21276</v>
      </c>
      <c r="D6" s="0" t="n">
        <f aca="false">C6*(1+D5/100)</f>
        <v>23084.46</v>
      </c>
      <c r="E6" s="0" t="n">
        <f aca="false">D6*(1+E5/100)</f>
        <v>24931.2168</v>
      </c>
      <c r="F6" s="0" t="n">
        <f aca="false">E6*(1+F5/100)</f>
        <v>26801.05806</v>
      </c>
      <c r="G6" s="0" t="n">
        <f aca="false">F6*(1+G5/100)</f>
        <v>28677.1321242</v>
      </c>
      <c r="H6" s="0" t="n">
        <f aca="false">G6*(1+H5/100)</f>
        <v>30541.145712273</v>
      </c>
      <c r="I6" s="0" t="n">
        <f aca="false">H6*(1+I5/100)</f>
        <v>32373.6144550094</v>
      </c>
      <c r="J6" s="0" t="n">
        <f aca="false">I6*(1+J5/100)</f>
        <v>34154.1632500349</v>
      </c>
      <c r="K6" s="0" t="n">
        <f aca="false">J6*(1+K5/100)</f>
        <v>35861.8714125366</v>
      </c>
      <c r="L6" s="0" t="n">
        <f aca="false">K6*(1+L5/100)</f>
        <v>37475.6556261008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25</v>
      </c>
      <c r="D7" s="4" t="n">
        <f aca="false">Assumptions!D42</f>
        <v>25.67</v>
      </c>
      <c r="E7" s="4" t="n">
        <f aca="false">Assumptions!E42</f>
        <v>26.33</v>
      </c>
      <c r="F7" s="4" t="n">
        <f aca="false">Assumptions!F42</f>
        <v>27</v>
      </c>
      <c r="G7" s="4" t="n">
        <f aca="false">Assumptions!G42</f>
        <v>27.67</v>
      </c>
      <c r="H7" s="4" t="n">
        <f aca="false">Assumptions!H42</f>
        <v>28.33</v>
      </c>
      <c r="I7" s="4" t="n">
        <f aca="false">Assumptions!I42</f>
        <v>29</v>
      </c>
      <c r="J7" s="4" t="n">
        <f aca="false">Assumptions!J42</f>
        <v>29.67</v>
      </c>
      <c r="K7" s="4" t="n">
        <f aca="false">Assumptions!K42</f>
        <v>30.33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5319</v>
      </c>
      <c r="D8" s="0" t="n">
        <f aca="false">D6*D7/100</f>
        <v>5925.780882</v>
      </c>
      <c r="E8" s="0" t="n">
        <f aca="false">E6*E7/100</f>
        <v>6564.38938344</v>
      </c>
      <c r="F8" s="0" t="n">
        <f aca="false">F6*F7/100</f>
        <v>7236.2856762</v>
      </c>
      <c r="G8" s="0" t="n">
        <f aca="false">G6*G7/100</f>
        <v>7934.96245876614</v>
      </c>
      <c r="H8" s="0" t="n">
        <f aca="false">H6*H7/100</f>
        <v>8652.30658028694</v>
      </c>
      <c r="I8" s="0" t="n">
        <f aca="false">I6*I7/100</f>
        <v>9388.34819195272</v>
      </c>
      <c r="J8" s="0" t="n">
        <f aca="false">J6*J7/100</f>
        <v>10133.5402362854</v>
      </c>
      <c r="K8" s="0" t="n">
        <f aca="false">K6*K7/100</f>
        <v>10876.9055994224</v>
      </c>
      <c r="L8" s="0" t="n">
        <f aca="false">L6*L7/100</f>
        <v>11617.4532440912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3</v>
      </c>
      <c r="D9" s="4" t="n">
        <f aca="false">Assumptions!D43</f>
        <v>2.89</v>
      </c>
      <c r="E9" s="4" t="n">
        <f aca="false">Assumptions!E43</f>
        <v>2.78</v>
      </c>
      <c r="F9" s="4" t="n">
        <f aca="false">Assumptions!F43</f>
        <v>2.67</v>
      </c>
      <c r="G9" s="4" t="n">
        <f aca="false">Assumptions!G43</f>
        <v>2.56</v>
      </c>
      <c r="H9" s="4" t="n">
        <f aca="false">Assumptions!H43</f>
        <v>2.44</v>
      </c>
      <c r="I9" s="4" t="n">
        <f aca="false">Assumptions!I43</f>
        <v>2.33</v>
      </c>
      <c r="J9" s="4" t="n">
        <f aca="false">Assumptions!J43</f>
        <v>2.22</v>
      </c>
      <c r="K9" s="4" t="n">
        <f aca="false">Assumptions!K43</f>
        <v>2.11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-638.28</v>
      </c>
      <c r="D10" s="0" t="n">
        <f aca="false">-D6*D9/100</f>
        <v>-667.140894</v>
      </c>
      <c r="E10" s="0" t="n">
        <f aca="false">-E6*E9/100</f>
        <v>-693.08782704</v>
      </c>
      <c r="F10" s="0" t="n">
        <f aca="false">-F6*F9/100</f>
        <v>-715.588250202</v>
      </c>
      <c r="G10" s="0" t="n">
        <f aca="false">-G6*G9/100</f>
        <v>-734.13458237952</v>
      </c>
      <c r="H10" s="0" t="n">
        <f aca="false">-H6*H9/100</f>
        <v>-745.203955379461</v>
      </c>
      <c r="I10" s="0" t="n">
        <f aca="false">-I6*I9/100</f>
        <v>-754.305216801719</v>
      </c>
      <c r="J10" s="0" t="n">
        <f aca="false">-J6*J9/100</f>
        <v>-758.222424150775</v>
      </c>
      <c r="K10" s="0" t="n">
        <f aca="false">-K6*K9/100</f>
        <v>-756.685486804523</v>
      </c>
      <c r="L10" s="0" t="n">
        <f aca="false">-L6*L9/100</f>
        <v>-749.513112522016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4680.72</v>
      </c>
      <c r="D11" s="0" t="n">
        <f aca="false">D8+D10+D24</f>
        <v>5258.639988</v>
      </c>
      <c r="E11" s="0" t="n">
        <f aca="false">E8+E10+E24</f>
        <v>5871.3015564</v>
      </c>
      <c r="F11" s="0" t="n">
        <f aca="false">F8+F10+F24</f>
        <v>6520.697425998</v>
      </c>
      <c r="G11" s="0" t="n">
        <f aca="false">G8+G10+G24</f>
        <v>7200.82787638662</v>
      </c>
      <c r="H11" s="0" t="n">
        <f aca="false">H8+H10+H24</f>
        <v>7907.10262490748</v>
      </c>
      <c r="I11" s="0" t="n">
        <f aca="false">I8+I10+I24</f>
        <v>8634.042975151</v>
      </c>
      <c r="J11" s="0" t="n">
        <f aca="false">J8+J10+J24</f>
        <v>9375.31781213458</v>
      </c>
      <c r="K11" s="0" t="n">
        <f aca="false">K8+K10+K24</f>
        <v>10120.2201126178</v>
      </c>
      <c r="L11" s="0" t="n">
        <f aca="false">L8+L10+L24</f>
        <v>10867.9401315692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-2340.36</v>
      </c>
      <c r="D12" s="4" t="n">
        <f aca="false">-D6*Assumptions!D45/100</f>
        <v>-2488.504788</v>
      </c>
      <c r="E12" s="4" t="n">
        <f aca="false">-E6*Assumptions!E45/100</f>
        <v>-2632.73649408</v>
      </c>
      <c r="F12" s="4" t="n">
        <f aca="false">-F6*Assumptions!F45/100</f>
        <v>-2768.549297598</v>
      </c>
      <c r="G12" s="4" t="n">
        <f aca="false">-G6*Assumptions!G45/100</f>
        <v>-2899.25805775662</v>
      </c>
      <c r="H12" s="4" t="n">
        <f aca="false">-H6*Assumptions!H45/100</f>
        <v>-3020.5193109438</v>
      </c>
      <c r="I12" s="4" t="n">
        <f aca="false">-I6*Assumptions!I45/100</f>
        <v>-3130.52851779941</v>
      </c>
      <c r="J12" s="4" t="n">
        <f aca="false">-J6*Assumptions!J45/100</f>
        <v>-3224.15301080329</v>
      </c>
      <c r="K12" s="4" t="n">
        <f aca="false">-K6*Assumptions!K45/100</f>
        <v>-3306.46454423588</v>
      </c>
      <c r="L12" s="4" t="n">
        <f aca="false">-L6*Assumptions!L45/100</f>
        <v>-3372.80900634907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2340.36</v>
      </c>
      <c r="D13" s="0" t="n">
        <f aca="false">D11+D12</f>
        <v>2770.1352</v>
      </c>
      <c r="E13" s="0" t="n">
        <f aca="false">E11+E12</f>
        <v>3238.56506232</v>
      </c>
      <c r="F13" s="0" t="n">
        <f aca="false">F11+F12</f>
        <v>3752.1481284</v>
      </c>
      <c r="G13" s="0" t="n">
        <f aca="false">G11+G12</f>
        <v>4301.56981863</v>
      </c>
      <c r="H13" s="0" t="n">
        <f aca="false">H11+H12</f>
        <v>4886.58331396368</v>
      </c>
      <c r="I13" s="0" t="n">
        <f aca="false">I11+I12</f>
        <v>5503.5144573516</v>
      </c>
      <c r="J13" s="0" t="n">
        <f aca="false">J11+J12</f>
        <v>6151.16480133128</v>
      </c>
      <c r="K13" s="0" t="n">
        <f aca="false">K11+K12</f>
        <v>6813.75556838196</v>
      </c>
      <c r="L13" s="0" t="n">
        <f aca="false">L11+L12</f>
        <v>7495.13112522016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22</v>
      </c>
      <c r="D14" s="4" t="n">
        <f aca="false">Assumptions!D47</f>
        <v>22.11</v>
      </c>
      <c r="E14" s="4" t="n">
        <f aca="false">Assumptions!E47</f>
        <v>22.22</v>
      </c>
      <c r="F14" s="4" t="n">
        <f aca="false">Assumptions!F47</f>
        <v>22.33</v>
      </c>
      <c r="G14" s="4" t="n">
        <f aca="false">Assumptions!G47</f>
        <v>22.44</v>
      </c>
      <c r="H14" s="4" t="n">
        <f aca="false">Assumptions!H47</f>
        <v>22.56</v>
      </c>
      <c r="I14" s="4" t="n">
        <f aca="false">Assumptions!I47</f>
        <v>22.67</v>
      </c>
      <c r="J14" s="4" t="n">
        <f aca="false">Assumptions!J47</f>
        <v>22.78</v>
      </c>
      <c r="K14" s="4" t="n">
        <f aca="false">Assumptions!K47</f>
        <v>22.89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1825.4808</v>
      </c>
      <c r="D15" s="0" t="n">
        <f aca="false">D13-MAX(0,D13)*D14/100</f>
        <v>2157.65830728</v>
      </c>
      <c r="E15" s="0" t="n">
        <f aca="false">E13-MAX(0,E13)*E14/100</f>
        <v>2518.9559054725</v>
      </c>
      <c r="F15" s="0" t="n">
        <f aca="false">F13-MAX(0,F13)*F14/100</f>
        <v>2914.29345132828</v>
      </c>
      <c r="G15" s="0" t="n">
        <f aca="false">G13-MAX(0,G13)*G14/100</f>
        <v>3336.29755132943</v>
      </c>
      <c r="H15" s="0" t="n">
        <f aca="false">H13-MAX(0,H13)*H14/100</f>
        <v>3784.17011833347</v>
      </c>
      <c r="I15" s="0" t="n">
        <f aca="false">I13-MAX(0,I13)*I14/100</f>
        <v>4255.86772986999</v>
      </c>
      <c r="J15" s="0" t="n">
        <f aca="false">J13-MAX(0,J13)*J14/100</f>
        <v>4749.92945958802</v>
      </c>
      <c r="K15" s="0" t="n">
        <f aca="false">K13-MAX(0,K13)*K14/100</f>
        <v>5254.08691877933</v>
      </c>
      <c r="L15" s="0" t="n">
        <f aca="false">L13-MAX(0,L13)*L14/100</f>
        <v>5771.25096641952</v>
      </c>
    </row>
    <row r="16" customFormat="false" ht="15" hidden="false" customHeight="false" outlineLevel="0" collapsed="false">
      <c r="A16" s="0" t="s">
        <v>129</v>
      </c>
      <c r="C16" s="0" t="n">
        <f aca="false">-C12</f>
        <v>2340.36</v>
      </c>
      <c r="D16" s="0" t="n">
        <f aca="false">-D12</f>
        <v>2488.504788</v>
      </c>
      <c r="E16" s="0" t="n">
        <f aca="false">-E12</f>
        <v>2632.73649408</v>
      </c>
      <c r="F16" s="0" t="n">
        <f aca="false">-F12</f>
        <v>2768.549297598</v>
      </c>
      <c r="G16" s="0" t="n">
        <f aca="false">-G12</f>
        <v>2899.25805775662</v>
      </c>
      <c r="H16" s="0" t="n">
        <f aca="false">-H12</f>
        <v>3020.5193109438</v>
      </c>
      <c r="I16" s="0" t="n">
        <f aca="false">-I12</f>
        <v>3130.52851779941</v>
      </c>
      <c r="J16" s="0" t="n">
        <f aca="false">-J12</f>
        <v>3224.15301080329</v>
      </c>
      <c r="K16" s="0" t="n">
        <f aca="false">-K12</f>
        <v>3306.46454423588</v>
      </c>
      <c r="L16" s="0" t="n">
        <f aca="false">-L12</f>
        <v>3372.80900634907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-702.108</v>
      </c>
      <c r="D17" s="4" t="n">
        <f aca="false">-D6*Assumptions!D46/100</f>
        <v>-761.78718</v>
      </c>
      <c r="E17" s="4" t="n">
        <f aca="false">-E6*Assumptions!E46/100</f>
        <v>-822.7301544</v>
      </c>
      <c r="F17" s="4" t="n">
        <f aca="false">-F6*Assumptions!F46/100</f>
        <v>-884.43491598</v>
      </c>
      <c r="G17" s="4" t="n">
        <f aca="false">-G6*Assumptions!G46/100</f>
        <v>-946.3453600986</v>
      </c>
      <c r="H17" s="4" t="n">
        <f aca="false">-H6*Assumptions!H46/100</f>
        <v>-1007.85780850501</v>
      </c>
      <c r="I17" s="4" t="n">
        <f aca="false">-I6*Assumptions!I46/100</f>
        <v>-1068.32927701531</v>
      </c>
      <c r="J17" s="4" t="n">
        <f aca="false">-J6*Assumptions!J46/100</f>
        <v>-1127.08738725115</v>
      </c>
      <c r="K17" s="4" t="n">
        <f aca="false">-K6*Assumptions!K46/100</f>
        <v>-1183.44175661371</v>
      </c>
      <c r="L17" s="4" t="n">
        <f aca="false">-L6*Assumptions!L46/100</f>
        <v>-1236.69663566133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-94.56</v>
      </c>
      <c r="D18" s="4" t="n">
        <f aca="false">(D6-C6)*Assumptions!$B$51/100</f>
        <v>-108.5076</v>
      </c>
      <c r="E18" s="4" t="n">
        <f aca="false">(E6-D6)*Assumptions!$B$51/100</f>
        <v>-110.805408</v>
      </c>
      <c r="F18" s="4" t="n">
        <f aca="false">(F6-E6)*Assumptions!$B$51/100</f>
        <v>-112.1904756</v>
      </c>
      <c r="G18" s="4" t="n">
        <f aca="false">(G6-F6)*Assumptions!$B$51/100</f>
        <v>-112.564443852</v>
      </c>
      <c r="H18" s="4" t="n">
        <f aca="false">(H6-G6)*Assumptions!$B$51/100</f>
        <v>-111.84081528438</v>
      </c>
      <c r="I18" s="4" t="n">
        <f aca="false">(I6-H6)*Assumptions!$B$51/100</f>
        <v>-109.948124564183</v>
      </c>
      <c r="J18" s="4" t="n">
        <f aca="false">(J6-I6)*Assumptions!$B$51/100</f>
        <v>-106.832927701531</v>
      </c>
      <c r="K18" s="4" t="n">
        <f aca="false">(K6-J6)*Assumptions!$B$51/100</f>
        <v>-102.462489750105</v>
      </c>
      <c r="L18" s="4" t="n">
        <f aca="false">(L6-K6)*Assumptions!$B$51/100</f>
        <v>-96.8270528138489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3369.1728</v>
      </c>
      <c r="D19" s="0" t="n">
        <f aca="false">D15+D16+D17+D18</f>
        <v>3775.86831528</v>
      </c>
      <c r="E19" s="0" t="n">
        <f aca="false">E15+E16+E17+E18</f>
        <v>4218.1568371525</v>
      </c>
      <c r="F19" s="0" t="n">
        <f aca="false">F15+F16+F17+F18</f>
        <v>4686.21735734628</v>
      </c>
      <c r="G19" s="0" t="n">
        <f aca="false">G15+G16+G17+G18</f>
        <v>5176.64580513545</v>
      </c>
      <c r="H19" s="0" t="n">
        <f aca="false">H15+H16+H17+H18</f>
        <v>5684.99080548789</v>
      </c>
      <c r="I19" s="0" t="n">
        <f aca="false">I15+I16+I17+I18</f>
        <v>6208.1188460899</v>
      </c>
      <c r="J19" s="0" t="n">
        <f aca="false">J15+J16+J17+J18</f>
        <v>6740.16215543863</v>
      </c>
      <c r="K19" s="0" t="n">
        <f aca="false">K15+K16+K17+K18</f>
        <v>7274.6472166514</v>
      </c>
      <c r="L19" s="0" t="n">
        <f aca="false">L15+L16+L17+L18</f>
        <v>7810.53628429342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3148.75962616822</v>
      </c>
      <c r="D21" s="0" t="n">
        <f aca="false">D19*D20</f>
        <v>3297.98961942528</v>
      </c>
      <c r="E21" s="0" t="n">
        <f aca="false">E19*E20</f>
        <v>3443.27247056021</v>
      </c>
      <c r="F21" s="0" t="n">
        <f aca="false">F19*F20</f>
        <v>3575.09278453348</v>
      </c>
      <c r="G21" s="0" t="n">
        <f aca="false">G19*G20</f>
        <v>3690.87691514368</v>
      </c>
      <c r="H21" s="0" t="n">
        <f aca="false">H19*H20</f>
        <v>3788.14941570522</v>
      </c>
      <c r="I21" s="0" t="n">
        <f aca="false">I19*I20</f>
        <v>3866.10440899135</v>
      </c>
      <c r="J21" s="0" t="n">
        <f aca="false">J19*J20</f>
        <v>3922.83574070999</v>
      </c>
      <c r="K21" s="0" t="n">
        <f aca="false">K19*K20</f>
        <v>3956.92608653255</v>
      </c>
      <c r="L21" s="0" t="n">
        <f aca="false">L19*L20</f>
        <v>3970.48059131309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3.25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36660.4876590831</v>
      </c>
    </row>
    <row r="31" customFormat="false" ht="15" hidden="false" customHeight="false" outlineLevel="0" collapsed="false">
      <c r="A31" s="0" t="s">
        <v>138</v>
      </c>
      <c r="B31" s="0" t="n">
        <f aca="false">L19</f>
        <v>7810.53628429342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215050.099027545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140589.653117282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140589.653117282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71468.6506436355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108129.138302719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92029.1383027186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334.459249968086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0.819493254096867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5014.54066425018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10490.5981374036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390.8091972771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68633.01032794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93.2917974153834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94.0823219435499</v>
      </c>
      <c r="C4" s="0" t="n">
        <f aca="false">B4/Assumptions!$B$2-1</f>
        <v>-0.48818234172805</v>
      </c>
      <c r="D4" s="4" t="n">
        <f aca="false">Assumptions!$B$24</f>
        <v>0.2</v>
      </c>
      <c r="E4" s="4" t="n">
        <f aca="false">DCF_Bear!$B$43</f>
        <v>124.413517268882</v>
      </c>
      <c r="F4" s="4" t="n">
        <f aca="false">DCF_Bear!$B$47</f>
        <v>24.1275599704901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199.125698074942</v>
      </c>
      <c r="C5" s="0" t="n">
        <f aca="false">B5/Assumptions!$B$2-1</f>
        <v>0.083264596207929</v>
      </c>
      <c r="D5" s="4" t="n">
        <f aca="false">Assumptions!$B$38</f>
        <v>0.5</v>
      </c>
      <c r="E5" s="4" t="n">
        <f aca="false">DCF_Base!$B$43</f>
        <v>241.456885458064</v>
      </c>
      <c r="F5" s="4" t="n">
        <f aca="false">DCF_Base!$B$47</f>
        <v>55.7045848757244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334.459249968086</v>
      </c>
      <c r="C6" s="0" t="n">
        <f aca="false">B6/Assumptions!$B$2-1</f>
        <v>0.819493254096867</v>
      </c>
      <c r="D6" s="4" t="n">
        <f aca="false">Assumptions!$B$52</f>
        <v>0.3</v>
      </c>
      <c r="E6" s="4" t="n">
        <f aca="false">DCF_Bull!$B$43</f>
        <v>390.8091972771</v>
      </c>
      <c r="F6" s="4" t="n">
        <f aca="false">DCF_Bull!$B$47</f>
        <v>93.2917974153834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218.717088416607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262.853905365939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0.159553552350402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-79.0657116408451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60.6653436565752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199.125698074942</v>
      </c>
      <c r="C15" s="3" t="n">
        <v>7.5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171.75800532552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141.510239914962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115.880397659576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95.8631423041691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55.7045848757244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1.75</v>
      </c>
      <c r="C23" s="3" t="n">
        <v>2.25</v>
      </c>
      <c r="D23" s="3" t="n">
        <v>2.75</v>
      </c>
      <c r="E23" s="3" t="n">
        <v>3.25</v>
      </c>
      <c r="F23" s="3" t="n">
        <v>3.75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242.239905479058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242.239905479058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242.239905479058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242.239905479058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242.239905479058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219.649810205925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219.649810205925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219.649810205925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219.649810205925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219.649810205925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199.125698074942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199.125698074942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199.125698074942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199.125698074942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199.125698074942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172.310504907907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180.456485601988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180.456485601988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180.456485601988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180.456485601988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140.410908802645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148.232006960384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157.211786326677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163.454578146394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163.454578146394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2026-09-25T23:12:58Z</dcterms:created>
  <dc:creator>openpyxl</dc:creator>
  <dc:description/>
  <dc:language>en-NZ</dc:language>
  <cp:lastModifiedBy/>
  <dcterms:modified xsi:type="dcterms:W3CDTF">2026-09-25T23:12:58Z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