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<sst xmlns="http://schemas.openxmlformats.org/spreadsheetml/2006/main" count="380" uniqueCount="171">
  <si>
    <t xml:space="preserve">Ticker</t>
  </si>
  <si>
    <t xml:space="preserve">WDAY</t>
  </si>
  <si>
    <t xml:space="preserve">Company</t>
  </si>
  <si>
    <t xml:space="preserve">Workday,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</si>
  <si>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</si>
  <si>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</si>
  <si>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</si>
  <si>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</si>
  <si>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2026-10-02T20:00:01Z regular close (Yahoo regularMarketTime)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</si>
  <si>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</si>
  <si>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</si>
  <si>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</si>
  <si>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</si>
  <si>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</si>
  <si>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</si>
  <si>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</si>
  <si>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</si>
  <si>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</si>
  <si>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</si>
  <si>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</si>
  <si>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</si>
  <si>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2026-10-02T21:47:49Z</t>
  </si>
  <si>
    <t xml:space="preserve">Drivers file</t>
  </si>
  <si>
    <t xml:space="preserve">WDAY_Drivers.json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</si>
  <si>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</si>
  <si>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</si>
  <si>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</si>
  <si>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investor's owner-FCF view: Workday's reported FCF ($2.8B) is ~80% consumed by stock compensation and the cash spent withholding taxes on vesting RSUs, so owner FCF in FY2026 was only ~$0.2B. The valuation therefore rests on margin expansion (cost restructuring) and SBC normalization, not on today's cash generation. The street basis (SBC as non-cash) is reported as a memo; the price's position in the house/street band shows how much SBC credit the market is giving.
key_risks_to_valuation: SBC normalization: every 1pp of revenue on the SBC path (all years) is worth roughly $6-8/share; the street basis, which adds SBC back, roughly doubles the base value; AI disintermediation of seat-based HCM pricing (bear case) -- structural, not cyclical; Organic growth: cRPO +14% includes acquired contracts; total backlog only +8%; Mobley v. Workday nationwide age-discrimination collective action; Capital allocation: net cash fell from ~$5.9B to ~$0.4B in 18 months on buybacks and M&amp;A; further M&amp;A at high multiples would not be captured in these flows; Terminal value is the large majority of value on a 10-year build</t>
  </si>
  <si>
    <t xml:space="preserve">Data sources</t>
  </si>
  <si>
    <t xml:space="preserve">price: Yahoo Finance chart API at inputs.price_as_of; 52-week range 110.36-247.40
financials: WDAY_Metrics.csv / WDAY.duckdb (SEC XBRL); latest balance sheet, share count, SBC, withholding taxes, interest income, intangible amortization and depreciation from SEC companyfacts and the Q2 FY2027 10-Q (filed 2026-08-27, period ended 2026-07-31)
qualitative: WDAY_Analysis.json (2026-10-03): FY2027 guidance as of the Q2 FY2027 print (2026-08-27), Bhusri return, layoffs, M&amp;A, Mobley v. Workday</t>
  </si>
  <si>
    <t xml:space="preserve">Scenario narrative: bear</t>
  </si>
  <si>
    <t xml:space="preserve">Generative AI erodes the system-of-record premium: customers and AI-native entrants replicate HCM/finance workflows on general models, seat-based pricing compresses as customers' own headcounts shrink, and gross retention keeps slipping below 97%. Organic growth falls toward mid-single digits once M&amp;A laps, margins stall at today's ~31% non-GAAP level because AI compute and agent R&amp;D absorb the layoff savings, and SBC stays near 18-22% of revenue to retain engineers through the pivot. Mobley v. Workday (nationwide ADEA collective) and copycat AI-hiring suits add legal cost and constrain recruiting-agent features. Terminal capped at 15x and 2.5% growth.</t>
  </si>
  <si>
    <t xml:space="preserve">Scenario narrative: base</t>
  </si>
  <si>
    <t xml:space="preserve">Workday remains the co-leading enterprise HCM system of record with ~97% gross retention. FY27 lands on guidance (+11.5% revenue, 31% non-GAAP margin); growth then decelerates to high-single digits as the acquired-company backlog contribution laps (total subscription backlog is growing only 8% vs 14% for the 12-month cRPO) and the large-enterprise HCM core saturates, partly offset by Financials/Planning cross-sell and AI-agent upsell via Flex credits. The Bhusri cost restructuring carries non-GAAP operating margin to ~35% and SBC including withholding taxes trends from 22% to 15% of revenue, so owner-FCF margin builds from ~8% to ~15.5% over ten years. Mobley v. Workday settles for an amount that is not material to a $45B company.</t>
  </si>
  <si>
    <t xml:space="preserve">Scenario narrative: bull</t>
  </si>
  <si>
    <t xml:space="preserve">Agentic AI is additive, not substitutive: the $600M+ annualized agent revenue (already &gt;25% of new ACV) compounds into a second engine priced on usage, Workday becomes the orchestration layer for HR/finance agents across 3,000+ apps via Pipedream, and Workday Go opens the mid-market. Revenue re-accelerates to ~13% for three years before fading to 6%, non-GAAP margin reaches ~38% (40% EBITDA) on AI-driven support/implementation efficiency, and SBC falls to 12% of revenue as the share-price-sensitive grant budget normalizes.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</si>
  <si>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</si>
  <si>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</si>
  <si>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</si>
  <si>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</si>
  <si>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</si>
  <si>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</si>
  <si>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</si>
  <si>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</si>
  <si>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</si>
  <si>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</si>
  <si>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</si>
  <si>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</si>
  <si>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</si>
  <si>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</si>
  <si>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</si>
  <si>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</si>
  <si>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</si>
  <si>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</si>
  <si>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</si>
  <si>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</si>
  <si>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</si>
  <si>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</si>
  <si>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</si>
  <si>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</si>
  <si>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</si>
  <si>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</si>
  <si>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</si>
  <si>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</si>
  <si>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</si>
  <si>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</si>
  <si>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</si>
  <si>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</si>
  <si>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</si>
  <si>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</si>
  <si>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</si>
  <si>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</si>
  <si>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</si>
  <si>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</si>
  <si>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</si>
  <si>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</si>
  <si>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</si>
  <si>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</si>
  <si>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</si>
  <si>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</si>
  <si>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</si>
  <si>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</si>
  <si>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</si>
  <si>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</si>
  <si>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</si>
  <si>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</si>
  <si>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</si>
  <si>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</si>
  <si>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</si>
  <si>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</si>
  <si>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</si>
  <si>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</si>
  <si>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</si>
  <si>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</si>
  <si>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</si>
  <si>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</si>
  <si>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</si>
  <si>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</si>
  <si>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</si>
  <si>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</si>
  <si>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</si>
  <si>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</si>
  <si>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</si>
  <si>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</si>
  <si>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</si>
  <si>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</si>
  <si>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</si>
  <si>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</si>
  <si>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</si>
  <si>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</si>
  <si>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</si>
  <si>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</si>
  <si>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</si>
  <si>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</si>
  <si>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</si>
  <si>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</si>
  <si>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</si>
  <si>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WDAY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</si>
  <si>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</si>
  <si>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</si>
  <si>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</si>
  <si>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</si>
  <si>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</si>
  <si>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</si>
  <si>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</si>
  <si>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</si>
  <si>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</si>
  <si>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</si>
  <si>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</si>
  <si>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</si>
  <si>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</si>
  <si>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</si>
  <si>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</si>
  <si>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</si>
  <si>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</si>
  <si>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</si>
  <si>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</si>
  <si>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</si>
  <si>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</si>
  <si>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</si>
  <si>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</si>
  <si>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</si>
  <si>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</si>
  <si>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</si>
  <si>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</si>
  <si>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</si>
  <si>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</si>
  <si>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</si>
  <si>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WDAY owner-FCF component DCF: base case (millions, USD)</t>
  </si>
  <si>
    <t xml:space="preserve">WDAY owner-FCF component DCF: bull case (millions, USD)</t>
  </si>
  <si>
    <t xml:space="preserve">WDAY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</si>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</sst>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186.14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68.055</v>
      </c>
      <c r="C2" s="0" t="n">
        <v>39.864</v>
      </c>
      <c r="F2" s="0" t="n">
        <v>-56.061</v>
      </c>
      <c r="G2" s="0" t="n">
        <v>-82.3760193960767</v>
      </c>
      <c r="H2" s="0" t="n">
        <v>-50.748</v>
      </c>
      <c r="I2" s="0" t="n">
        <v>-56.215</v>
      </c>
      <c r="J2" s="0" t="n">
        <v>-82.6023069576078</v>
      </c>
      <c r="L2" s="0" t="n">
        <v>-15.335</v>
      </c>
      <c r="M2" s="0" t="n">
        <v>3.662</v>
      </c>
      <c r="N2" s="0" t="n">
        <v>-18.997</v>
      </c>
      <c r="U2" s="0" t="n">
        <v>1.702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O3" s="0" t="n">
        <v>-102.707</v>
      </c>
      <c r="S3" s="0" t="n">
        <v>30.512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134.427</v>
      </c>
      <c r="C4" s="0" t="n">
        <v>65.368</v>
      </c>
      <c r="F4" s="0" t="n">
        <v>-78.444</v>
      </c>
      <c r="G4" s="0" t="n">
        <v>-58.3543484567832</v>
      </c>
      <c r="H4" s="0" t="n">
        <v>-69.125</v>
      </c>
      <c r="I4" s="0" t="n">
        <v>-79.971</v>
      </c>
      <c r="J4" s="0" t="n">
        <v>-59.4902809703408</v>
      </c>
      <c r="L4" s="0" t="n">
        <v>-13.774</v>
      </c>
      <c r="M4" s="0" t="n">
        <v>4.999</v>
      </c>
      <c r="N4" s="0" t="n">
        <v>-18.773</v>
      </c>
      <c r="O4" s="0" t="n">
        <v>-175.561</v>
      </c>
      <c r="P4" s="0" t="n">
        <v>232.638</v>
      </c>
      <c r="Q4" s="0" t="n">
        <v>237.293</v>
      </c>
      <c r="S4" s="0" t="n">
        <v>57.529</v>
      </c>
      <c r="T4" s="0" t="n">
        <v>36</v>
      </c>
      <c r="U4" s="0" t="n">
        <v>4.182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273.657</v>
      </c>
      <c r="C5" s="0" t="n">
        <v>116.535</v>
      </c>
      <c r="F5" s="0" t="n">
        <v>-117.863</v>
      </c>
      <c r="G5" s="0" t="n">
        <v>-43.0696090361292</v>
      </c>
      <c r="H5" s="0" t="n">
        <v>-100.141</v>
      </c>
      <c r="I5" s="0" t="n">
        <v>-119.758</v>
      </c>
      <c r="J5" s="0" t="n">
        <v>-43.7620817300489</v>
      </c>
      <c r="L5" s="0" t="n">
        <v>11.214</v>
      </c>
      <c r="M5" s="0" t="n">
        <v>15.898</v>
      </c>
      <c r="N5" s="0" t="n">
        <v>-4.684</v>
      </c>
      <c r="O5" s="0" t="n">
        <v>592.283</v>
      </c>
      <c r="P5" s="0" t="n">
        <v>959.08</v>
      </c>
      <c r="Q5" s="0" t="n">
        <v>366.797</v>
      </c>
      <c r="S5" s="0" t="n">
        <v>84.158</v>
      </c>
      <c r="U5" s="0" t="n">
        <v>15.328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468.938</v>
      </c>
      <c r="F6" s="0" t="n">
        <v>-153.282</v>
      </c>
      <c r="G6" s="0" t="n">
        <v>-32.6870503136875</v>
      </c>
      <c r="H6" s="0" t="n">
        <v>-118.587</v>
      </c>
      <c r="I6" s="0" t="n">
        <v>-172.509</v>
      </c>
      <c r="J6" s="0" t="n">
        <v>-36.7871658939988</v>
      </c>
      <c r="L6" s="0" t="n">
        <v>46.263</v>
      </c>
      <c r="M6" s="0" t="n">
        <v>60.725</v>
      </c>
      <c r="N6" s="0" t="n">
        <v>-14.462</v>
      </c>
      <c r="O6" s="0" t="n">
        <v>1187.217</v>
      </c>
      <c r="P6" s="0" t="n">
        <v>2176.265</v>
      </c>
      <c r="Q6" s="0" t="n">
        <v>989.048</v>
      </c>
      <c r="S6" s="0" t="n">
        <v>581.326</v>
      </c>
      <c r="U6" s="0" t="n">
        <v>61.851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787.86</v>
      </c>
      <c r="F7" s="0" t="n">
        <v>-215.702</v>
      </c>
      <c r="G7" s="0" t="n">
        <v>-27.3782144035742</v>
      </c>
      <c r="H7" s="0" t="n">
        <v>-156.497</v>
      </c>
      <c r="I7" s="0" t="n">
        <v>-247.982</v>
      </c>
      <c r="J7" s="0" t="n">
        <v>-31.4753890285076</v>
      </c>
      <c r="L7" s="0" t="n">
        <v>102.003</v>
      </c>
      <c r="M7" s="0" t="n">
        <v>103.646</v>
      </c>
      <c r="N7" s="0" t="n">
        <v>-1.643</v>
      </c>
      <c r="O7" s="0" t="n">
        <v>1201.228</v>
      </c>
      <c r="P7" s="0" t="n">
        <v>2350.09</v>
      </c>
      <c r="Q7" s="0" t="n">
        <v>1224.115</v>
      </c>
      <c r="S7" s="0" t="n">
        <v>298.192</v>
      </c>
      <c r="U7" s="0" t="n">
        <v>156.048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1156.69</v>
      </c>
      <c r="F8" s="0" t="n">
        <v>-249.789</v>
      </c>
      <c r="G8" s="0" t="n">
        <v>-21.5951551409626</v>
      </c>
      <c r="H8" s="0" t="n">
        <v>-163.85</v>
      </c>
      <c r="I8" s="0" t="n">
        <v>-275.048</v>
      </c>
      <c r="J8" s="0" t="n">
        <v>-23.7788863048872</v>
      </c>
      <c r="L8" s="0" t="n">
        <v>258.637</v>
      </c>
      <c r="M8" s="0" t="n">
        <v>133.667</v>
      </c>
      <c r="N8" s="0" t="n">
        <v>124.97</v>
      </c>
      <c r="O8" s="0" t="n">
        <v>1226.28</v>
      </c>
      <c r="P8" s="0" t="n">
        <v>2730.094</v>
      </c>
      <c r="Q8" s="0" t="n">
        <v>1593.937</v>
      </c>
      <c r="S8" s="0" t="n">
        <v>300.087</v>
      </c>
      <c r="U8" s="0" t="n">
        <v>249.97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1574.44</v>
      </c>
      <c r="F9" s="0" t="n">
        <v>-353.086</v>
      </c>
      <c r="G9" s="0" t="n">
        <v>-22.4261324661467</v>
      </c>
      <c r="H9" s="0" t="n">
        <v>-247.261</v>
      </c>
      <c r="I9" s="0" t="n">
        <v>-384.699</v>
      </c>
      <c r="J9" s="0" t="n">
        <v>-24.4340209852392</v>
      </c>
      <c r="L9" s="0" t="n">
        <v>350.626</v>
      </c>
      <c r="M9" s="0" t="n">
        <v>120.813</v>
      </c>
      <c r="N9" s="0" t="n">
        <v>229.813</v>
      </c>
      <c r="O9" s="0" t="n">
        <v>1276.608</v>
      </c>
      <c r="P9" s="0" t="n">
        <v>3268.282</v>
      </c>
      <c r="Q9" s="0" t="n">
        <v>1991.674</v>
      </c>
      <c r="S9" s="0" t="n">
        <v>539.923</v>
      </c>
      <c r="U9" s="0" t="n">
        <v>372.272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2143.05</v>
      </c>
      <c r="F10" s="0" t="n">
        <v>-303.223</v>
      </c>
      <c r="G10" s="0" t="n">
        <v>-14.1491332446746</v>
      </c>
      <c r="H10" s="0" t="n">
        <v>-167.5</v>
      </c>
      <c r="I10" s="0" t="n">
        <v>-321.222</v>
      </c>
      <c r="J10" s="0" t="n">
        <v>-14.989010989011</v>
      </c>
      <c r="L10" s="0" t="n">
        <v>465.727</v>
      </c>
      <c r="M10" s="0" t="n">
        <v>141.536</v>
      </c>
      <c r="N10" s="0" t="n">
        <v>324.191</v>
      </c>
      <c r="O10" s="0" t="n">
        <v>1580.365</v>
      </c>
      <c r="P10" s="0" t="n">
        <v>4947.424</v>
      </c>
      <c r="Q10" s="0" t="n">
        <v>3367.059</v>
      </c>
      <c r="S10" s="0" t="n">
        <v>1134.355</v>
      </c>
      <c r="U10" s="0" t="n">
        <v>478.425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2822.18</v>
      </c>
      <c r="F11" s="0" t="n">
        <v>-463.284</v>
      </c>
      <c r="G11" s="0" t="n">
        <v>-16.4158203941634</v>
      </c>
      <c r="H11" s="0" t="n">
        <v>-265.173</v>
      </c>
      <c r="I11" s="0" t="n">
        <v>-418.258</v>
      </c>
      <c r="J11" s="0" t="n">
        <v>-14.8203870766571</v>
      </c>
      <c r="L11" s="0" t="n">
        <v>606.658</v>
      </c>
      <c r="M11" s="0" t="n">
        <v>202.507</v>
      </c>
      <c r="N11" s="0" t="n">
        <v>404.151</v>
      </c>
      <c r="O11" s="0" t="n">
        <v>1958.442</v>
      </c>
      <c r="P11" s="0" t="n">
        <v>5520.746</v>
      </c>
      <c r="Q11" s="0" t="n">
        <v>3562.304</v>
      </c>
      <c r="S11" s="0" t="n">
        <v>638.554</v>
      </c>
      <c r="U11" s="0" t="n">
        <v>652.465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3627.206</v>
      </c>
      <c r="F12" s="0" t="n">
        <v>-502.23</v>
      </c>
      <c r="G12" s="0" t="n">
        <v>-13.8461945640805</v>
      </c>
      <c r="I12" s="0" t="n">
        <v>-480.674</v>
      </c>
      <c r="J12" s="0" t="n">
        <v>-13.2519079423667</v>
      </c>
      <c r="K12" s="0" t="n">
        <v>-2.12</v>
      </c>
      <c r="L12" s="0" t="n">
        <v>864.598</v>
      </c>
      <c r="O12" s="0" t="n">
        <v>2486.551</v>
      </c>
      <c r="P12" s="0" t="n">
        <v>6816.365</v>
      </c>
      <c r="Q12" s="0" t="n">
        <v>4329.814</v>
      </c>
      <c r="R12" s="0" t="n">
        <v>1506.605</v>
      </c>
      <c r="S12" s="0" t="n">
        <v>731.141</v>
      </c>
      <c r="T12" s="0" t="n">
        <v>227.185</v>
      </c>
      <c r="U12" s="0" t="n">
        <v>859.88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4317.996</v>
      </c>
      <c r="F13" s="0" t="n">
        <v>-248.599</v>
      </c>
      <c r="G13" s="0" t="n">
        <v>-5.75727721841336</v>
      </c>
      <c r="I13" s="0" t="n">
        <v>-282.431</v>
      </c>
      <c r="J13" s="0" t="n">
        <v>-6.54078882889192</v>
      </c>
      <c r="K13" s="0" t="n">
        <v>-1.19</v>
      </c>
      <c r="L13" s="0" t="n">
        <v>1268.441</v>
      </c>
      <c r="O13" s="0" t="n">
        <v>3277.834</v>
      </c>
      <c r="P13" s="0" t="n">
        <v>8718.411</v>
      </c>
      <c r="Q13" s="0" t="n">
        <v>5440.577</v>
      </c>
      <c r="R13" s="0" t="n">
        <v>2898.115</v>
      </c>
      <c r="S13" s="0" t="n">
        <v>1384.181</v>
      </c>
      <c r="T13" s="0" t="n">
        <v>237.019</v>
      </c>
      <c r="U13" s="0" t="n">
        <v>1004.854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5139</v>
      </c>
      <c r="F14" s="0" t="n">
        <v>-116</v>
      </c>
      <c r="G14" s="0" t="n">
        <v>-2.2572484919245</v>
      </c>
      <c r="I14" s="0" t="n">
        <v>29</v>
      </c>
      <c r="J14" s="0" t="n">
        <v>0.564312122981125</v>
      </c>
      <c r="K14" s="0" t="n">
        <v>0.12</v>
      </c>
      <c r="L14" s="0" t="n">
        <v>1651</v>
      </c>
      <c r="O14" s="0" t="n">
        <v>4535</v>
      </c>
      <c r="P14" s="0" t="n">
        <v>10498.505</v>
      </c>
      <c r="Q14" s="0" t="n">
        <v>5963.423</v>
      </c>
      <c r="R14" s="0" t="n">
        <v>3062.24</v>
      </c>
      <c r="S14" s="0" t="n">
        <v>1534</v>
      </c>
      <c r="T14" s="0" t="n">
        <v>254.032</v>
      </c>
      <c r="U14" s="0" t="n">
        <v>1112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6216</v>
      </c>
      <c r="F15" s="0" t="n">
        <v>-222</v>
      </c>
      <c r="G15" s="0" t="n">
        <v>-3.57142857142857</v>
      </c>
      <c r="I15" s="0" t="n">
        <v>-367</v>
      </c>
      <c r="J15" s="0" t="n">
        <v>-5.9041184041184</v>
      </c>
      <c r="K15" s="0" t="n">
        <v>-1.44</v>
      </c>
      <c r="L15" s="0" t="n">
        <v>1657</v>
      </c>
      <c r="M15" s="0" t="n">
        <v>364</v>
      </c>
      <c r="N15" s="0" t="n">
        <v>1293</v>
      </c>
      <c r="O15" s="0" t="n">
        <v>5585</v>
      </c>
      <c r="P15" s="0" t="n">
        <v>13486</v>
      </c>
      <c r="Q15" s="0" t="n">
        <v>7901</v>
      </c>
      <c r="R15" s="0" t="n">
        <v>2976</v>
      </c>
      <c r="S15" s="0" t="n">
        <v>1886</v>
      </c>
      <c r="T15" s="0" t="n">
        <v>254.819</v>
      </c>
      <c r="U15" s="0" t="n">
        <v>1295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7259</v>
      </c>
      <c r="F16" s="0" t="n">
        <v>183</v>
      </c>
      <c r="G16" s="0" t="n">
        <v>2.52100840336134</v>
      </c>
      <c r="I16" s="0" t="n">
        <v>1381</v>
      </c>
      <c r="J16" s="0" t="n">
        <v>19.0246590439455</v>
      </c>
      <c r="K16" s="0" t="n">
        <v>5.28</v>
      </c>
      <c r="L16" s="0" t="n">
        <v>2149</v>
      </c>
      <c r="M16" s="0" t="n">
        <v>232</v>
      </c>
      <c r="N16" s="0" t="n">
        <v>1917</v>
      </c>
      <c r="O16" s="0" t="n">
        <v>8082</v>
      </c>
      <c r="P16" s="0" t="n">
        <v>16452</v>
      </c>
      <c r="Q16" s="0" t="n">
        <v>8370</v>
      </c>
      <c r="R16" s="0" t="n">
        <v>2980</v>
      </c>
      <c r="S16" s="0" t="n">
        <v>2012</v>
      </c>
      <c r="T16" s="0" t="n">
        <v>265.285</v>
      </c>
      <c r="U16" s="0" t="n">
        <v>1416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8446</v>
      </c>
      <c r="F17" s="0" t="n">
        <v>415</v>
      </c>
      <c r="G17" s="0" t="n">
        <v>4.91356855316126</v>
      </c>
      <c r="I17" s="0" t="n">
        <v>526</v>
      </c>
      <c r="J17" s="0" t="n">
        <v>6.22780014207909</v>
      </c>
      <c r="K17" s="0" t="n">
        <v>1.98</v>
      </c>
      <c r="L17" s="0" t="n">
        <v>2461</v>
      </c>
      <c r="M17" s="0" t="n">
        <v>269</v>
      </c>
      <c r="N17" s="0" t="n">
        <v>2192</v>
      </c>
      <c r="O17" s="0" t="n">
        <v>9034</v>
      </c>
      <c r="P17" s="0" t="n">
        <v>17977</v>
      </c>
      <c r="Q17" s="0" t="n">
        <v>8943</v>
      </c>
      <c r="R17" s="0" t="n">
        <v>2984</v>
      </c>
      <c r="S17" s="0" t="n">
        <v>1543</v>
      </c>
      <c r="T17" s="0" t="n">
        <v>269.205</v>
      </c>
      <c r="U17" s="0" t="n">
        <v>1519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9552</v>
      </c>
      <c r="F18" s="0" t="n">
        <v>721</v>
      </c>
      <c r="G18" s="0" t="n">
        <v>7.54815745393635</v>
      </c>
      <c r="I18" s="0" t="n">
        <v>693</v>
      </c>
      <c r="J18" s="0" t="n">
        <v>7.25502512562814</v>
      </c>
      <c r="K18" s="0" t="n">
        <v>2.61</v>
      </c>
      <c r="L18" s="0" t="n">
        <v>2939</v>
      </c>
      <c r="M18" s="0" t="n">
        <v>162</v>
      </c>
      <c r="N18" s="0" t="n">
        <v>2777</v>
      </c>
      <c r="O18" s="0" t="n">
        <v>7805</v>
      </c>
      <c r="P18" s="0" t="n">
        <v>18074</v>
      </c>
      <c r="Q18" s="0" t="n">
        <v>10269</v>
      </c>
      <c r="R18" s="0" t="n">
        <v>2987</v>
      </c>
      <c r="S18" s="0" t="n">
        <v>1501</v>
      </c>
      <c r="T18" s="0" t="n">
        <v>268.117</v>
      </c>
      <c r="U18" s="0" t="n">
        <v>1626</v>
      </c>
      <c r="AA18" s="0" t="s">
        <v>17</v>
      </c>
      <c r="AB1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186.14</v>
      </c>
    </row>
    <row r="3" customFormat="false" ht="15" hidden="false" customHeight="false" outlineLevel="0" collapsed="false">
      <c r="A3" s="0" t="s">
        <v>83</v>
      </c>
      <c r="B3" s="3" t="n">
        <v>242</v>
      </c>
    </row>
    <row r="4" customFormat="false" ht="15" hidden="false" customHeight="false" outlineLevel="0" collapsed="false">
      <c r="A4" s="0" t="s">
        <v>84</v>
      </c>
      <c r="B4" s="3" t="n">
        <v>-414</v>
      </c>
    </row>
    <row r="5" customFormat="false" ht="15" hidden="false" customHeight="false" outlineLevel="0" collapsed="false">
      <c r="A5" s="0" t="s">
        <v>85</v>
      </c>
      <c r="B5" s="3" t="n">
        <v>234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9552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11</v>
      </c>
      <c r="D13" s="3" t="n">
        <v>8</v>
      </c>
      <c r="E13" s="3" t="n">
        <v>6.5</v>
      </c>
      <c r="F13" s="3" t="n">
        <v>5.5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104</v>
      </c>
      <c r="C14" s="3" t="n">
        <v>31.5</v>
      </c>
      <c r="D14" s="3" t="n">
        <v>32</v>
      </c>
      <c r="E14" s="3" t="n">
        <v>32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105</v>
      </c>
      <c r="C15" s="3" t="n">
        <v>22.5</v>
      </c>
      <c r="D15" s="3" t="n">
        <v>22</v>
      </c>
      <c r="E15" s="3" t="n">
        <v>21.5</v>
      </c>
      <c r="F15" s="3" t="n">
        <v>21</v>
      </c>
      <c r="G15" s="3" t="n">
        <v>20.5</v>
      </c>
      <c r="H15" s="3" t="n">
        <v>20</v>
      </c>
      <c r="I15" s="3" t="n">
        <v>19.5</v>
      </c>
      <c r="J15" s="3" t="n">
        <v>19</v>
      </c>
      <c r="K15" s="3" t="n">
        <v>18.5</v>
      </c>
      <c r="L15" s="3" t="n">
        <v>18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3.4</v>
      </c>
      <c r="D17" s="3" t="n">
        <v>3.4</v>
      </c>
      <c r="E17" s="3" t="n">
        <v>3.3</v>
      </c>
      <c r="F17" s="3" t="n">
        <v>3.3</v>
      </c>
      <c r="G17" s="3" t="n">
        <v>3.2</v>
      </c>
      <c r="H17" s="3" t="n">
        <v>3.2</v>
      </c>
      <c r="I17" s="3" t="n">
        <v>3.1</v>
      </c>
      <c r="J17" s="3" t="n">
        <v>3.1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108</v>
      </c>
      <c r="C18" s="3" t="n">
        <v>2.6</v>
      </c>
      <c r="D18" s="3" t="n">
        <v>2.6</v>
      </c>
      <c r="E18" s="3" t="n">
        <v>2.6</v>
      </c>
      <c r="F18" s="3" t="n">
        <v>2.6</v>
      </c>
      <c r="G18" s="3" t="n">
        <v>2.6</v>
      </c>
      <c r="H18" s="3" t="n">
        <v>2.6</v>
      </c>
      <c r="I18" s="3" t="n">
        <v>2.6</v>
      </c>
      <c r="J18" s="3" t="n">
        <v>2.6</v>
      </c>
      <c r="K18" s="3" t="n">
        <v>2.6</v>
      </c>
      <c r="L18" s="3" t="n">
        <v>2.6</v>
      </c>
    </row>
    <row r="19" customFormat="false" ht="15" hidden="false" customHeight="false" outlineLevel="0" collapsed="false">
      <c r="A19" s="0" t="s">
        <v>109</v>
      </c>
      <c r="C19" s="3" t="n">
        <v>30</v>
      </c>
      <c r="D19" s="3" t="n">
        <v>29</v>
      </c>
      <c r="E19" s="3" t="n">
        <v>28</v>
      </c>
      <c r="F19" s="3" t="n">
        <v>27</v>
      </c>
      <c r="G19" s="3" t="n">
        <v>27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110</v>
      </c>
      <c r="B20" s="3" t="n">
        <v>9</v>
      </c>
    </row>
    <row r="21" customFormat="false" ht="15" hidden="false" customHeight="false" outlineLevel="0" collapsed="false">
      <c r="A21" s="0" t="s">
        <v>111</v>
      </c>
      <c r="B21" s="3" t="n">
        <v>2.5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15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11.5</v>
      </c>
      <c r="D27" s="3" t="n">
        <v>10.5</v>
      </c>
      <c r="E27" s="3" t="n">
        <v>10</v>
      </c>
      <c r="F27" s="3" t="n">
        <v>9</v>
      </c>
      <c r="G27" s="3" t="n">
        <v>8.5</v>
      </c>
      <c r="H27" s="3" t="n">
        <v>7.5</v>
      </c>
      <c r="I27" s="3" t="n">
        <v>6.5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104</v>
      </c>
      <c r="C28" s="3" t="n">
        <v>32</v>
      </c>
      <c r="D28" s="3" t="n">
        <v>33.5</v>
      </c>
      <c r="E28" s="3" t="n">
        <v>34.5</v>
      </c>
      <c r="F28" s="3" t="n">
        <v>35.5</v>
      </c>
      <c r="G28" s="3" t="n">
        <v>36</v>
      </c>
      <c r="H28" s="3" t="n">
        <v>36.5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105</v>
      </c>
      <c r="C29" s="3" t="n">
        <v>22</v>
      </c>
      <c r="D29" s="3" t="n">
        <v>21</v>
      </c>
      <c r="E29" s="3" t="n">
        <v>20</v>
      </c>
      <c r="F29" s="3" t="n">
        <v>19.2</v>
      </c>
      <c r="G29" s="3" t="n">
        <v>18.4</v>
      </c>
      <c r="H29" s="3" t="n">
        <v>17.6</v>
      </c>
      <c r="I29" s="3" t="n">
        <v>16.9</v>
      </c>
      <c r="J29" s="3" t="n">
        <v>16.2</v>
      </c>
      <c r="K29" s="3" t="n">
        <v>15.6</v>
      </c>
      <c r="L29" s="3" t="n">
        <v>15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3.4</v>
      </c>
      <c r="D31" s="3" t="n">
        <v>3.4</v>
      </c>
      <c r="E31" s="3" t="n">
        <v>3.3</v>
      </c>
      <c r="F31" s="3" t="n">
        <v>3.3</v>
      </c>
      <c r="G31" s="3" t="n">
        <v>3.2</v>
      </c>
      <c r="H31" s="3" t="n">
        <v>3.2</v>
      </c>
      <c r="I31" s="3" t="n">
        <v>3.1</v>
      </c>
      <c r="J31" s="3" t="n">
        <v>3.1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108</v>
      </c>
      <c r="C32" s="3" t="n">
        <v>2.5</v>
      </c>
      <c r="D32" s="3" t="n">
        <v>2.5</v>
      </c>
      <c r="E32" s="3" t="n">
        <v>2.5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109</v>
      </c>
      <c r="C33" s="3" t="n">
        <v>30</v>
      </c>
      <c r="D33" s="3" t="n">
        <v>29</v>
      </c>
      <c r="E33" s="3" t="n">
        <v>28</v>
      </c>
      <c r="F33" s="3" t="n">
        <v>27</v>
      </c>
      <c r="G33" s="3" t="n">
        <v>27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110</v>
      </c>
      <c r="B34" s="3" t="n">
        <v>9</v>
      </c>
    </row>
    <row r="35" customFormat="false" ht="15" hidden="false" customHeight="false" outlineLevel="0" collapsed="false">
      <c r="A35" s="0" t="s">
        <v>111</v>
      </c>
      <c r="B35" s="3" t="n">
        <v>3</v>
      </c>
    </row>
    <row r="36" customFormat="false" ht="15" hidden="false" customHeight="false" outlineLevel="0" collapsed="false">
      <c r="A36" s="0" t="s">
        <v>112</v>
      </c>
      <c r="B36" s="3" t="n">
        <v>20</v>
      </c>
    </row>
    <row r="37" customFormat="false" ht="15" hidden="false" customHeight="false" outlineLevel="0" collapsed="false">
      <c r="A37" s="0" t="s">
        <v>113</v>
      </c>
      <c r="B37" s="3" t="n">
        <v>20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12</v>
      </c>
      <c r="D41" s="3" t="n">
        <v>13</v>
      </c>
      <c r="E41" s="3" t="n">
        <v>13</v>
      </c>
      <c r="F41" s="3" t="n">
        <v>12</v>
      </c>
      <c r="G41" s="3" t="n">
        <v>11</v>
      </c>
      <c r="H41" s="3" t="n">
        <v>10</v>
      </c>
      <c r="I41" s="3" t="n">
        <v>9</v>
      </c>
      <c r="J41" s="3" t="n">
        <v>8</v>
      </c>
      <c r="K41" s="3" t="n">
        <v>7</v>
      </c>
      <c r="L41" s="3" t="n">
        <v>6</v>
      </c>
    </row>
    <row r="42" customFormat="false" ht="15" hidden="false" customHeight="false" outlineLevel="0" collapsed="false">
      <c r="A42" s="0" t="s">
        <v>104</v>
      </c>
      <c r="C42" s="3" t="n">
        <v>32.5</v>
      </c>
      <c r="D42" s="3" t="n">
        <v>34.5</v>
      </c>
      <c r="E42" s="3" t="n">
        <v>36</v>
      </c>
      <c r="F42" s="3" t="n">
        <v>37.5</v>
      </c>
      <c r="G42" s="3" t="n">
        <v>38.5</v>
      </c>
      <c r="H42" s="3" t="n">
        <v>39.5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105</v>
      </c>
      <c r="C43" s="3" t="n">
        <v>21.5</v>
      </c>
      <c r="D43" s="3" t="n">
        <v>20.3</v>
      </c>
      <c r="E43" s="3" t="n">
        <v>19</v>
      </c>
      <c r="F43" s="3" t="n">
        <v>17.8</v>
      </c>
      <c r="G43" s="3" t="n">
        <v>16.7</v>
      </c>
      <c r="H43" s="3" t="n">
        <v>15.6</v>
      </c>
      <c r="I43" s="3" t="n">
        <v>14.6</v>
      </c>
      <c r="J43" s="3" t="n">
        <v>13.7</v>
      </c>
      <c r="K43" s="3" t="n">
        <v>12.8</v>
      </c>
      <c r="L43" s="3" t="n">
        <v>12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3.4</v>
      </c>
      <c r="D45" s="3" t="n">
        <v>3.4</v>
      </c>
      <c r="E45" s="3" t="n">
        <v>3.3</v>
      </c>
      <c r="F45" s="3" t="n">
        <v>3.3</v>
      </c>
      <c r="G45" s="3" t="n">
        <v>3.2</v>
      </c>
      <c r="H45" s="3" t="n">
        <v>3.2</v>
      </c>
      <c r="I45" s="3" t="n">
        <v>3.1</v>
      </c>
      <c r="J45" s="3" t="n">
        <v>3.1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108</v>
      </c>
      <c r="C46" s="3" t="n">
        <v>2.5</v>
      </c>
      <c r="D46" s="3" t="n">
        <v>2.5</v>
      </c>
      <c r="E46" s="3" t="n">
        <v>2.5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109</v>
      </c>
      <c r="C47" s="3" t="n">
        <v>30</v>
      </c>
      <c r="D47" s="3" t="n">
        <v>29</v>
      </c>
      <c r="E47" s="3" t="n">
        <v>28</v>
      </c>
      <c r="F47" s="3" t="n">
        <v>27</v>
      </c>
      <c r="G47" s="3" t="n">
        <v>27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110</v>
      </c>
      <c r="B48" s="3" t="n">
        <v>9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20</v>
      </c>
    </row>
    <row r="51" customFormat="false" ht="15" hidden="false" customHeight="false" outlineLevel="0" collapsed="false">
      <c r="A51" s="0" t="s">
        <v>113</v>
      </c>
      <c r="B51" s="3" t="n">
        <v>22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11</v>
      </c>
      <c r="D5" s="4" t="n">
        <f aca="false">Assumptions!D13</f>
        <v>8</v>
      </c>
      <c r="E5" s="4" t="n">
        <f aca="false">Assumptions!E13</f>
        <v>6.5</v>
      </c>
      <c r="F5" s="4" t="n">
        <f aca="false">Assumptions!F13</f>
        <v>5.5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9552</v>
      </c>
      <c r="C6" s="0" t="n">
        <f aca="false">B6*(1+C5/100)</f>
        <v>10602.72</v>
      </c>
      <c r="D6" s="0" t="n">
        <f aca="false">C6*(1+D5/100)</f>
        <v>11450.9376</v>
      </c>
      <c r="E6" s="0" t="n">
        <f aca="false">D6*(1+E5/100)</f>
        <v>12195.248544</v>
      </c>
      <c r="F6" s="0" t="n">
        <f aca="false">E6*(1+F5/100)</f>
        <v>12865.98721392</v>
      </c>
      <c r="G6" s="0" t="n">
        <f aca="false">F6*(1+G5/100)</f>
        <v>13509.286574616</v>
      </c>
      <c r="H6" s="0" t="n">
        <f aca="false">G6*(1+H5/100)</f>
        <v>14117.2044704737</v>
      </c>
      <c r="I6" s="0" t="n">
        <f aca="false">H6*(1+I5/100)</f>
        <v>14681.8926492927</v>
      </c>
      <c r="J6" s="0" t="n">
        <f aca="false">I6*(1+J5/100)</f>
        <v>15195.7588920179</v>
      </c>
      <c r="K6" s="0" t="n">
        <f aca="false">J6*(1+K5/100)</f>
        <v>15651.6316587785</v>
      </c>
      <c r="L6" s="0" t="n">
        <f aca="false">K6*(1+L5/100)</f>
        <v>16121.1806085418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31.5</v>
      </c>
      <c r="D7" s="4" t="n">
        <f aca="false">Assumptions!D14</f>
        <v>32</v>
      </c>
      <c r="E7" s="4" t="n">
        <f aca="false">Assumptions!E14</f>
        <v>32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3339.8568</v>
      </c>
      <c r="D8" s="0" t="n">
        <f aca="false">D6*D7/100</f>
        <v>3664.300032</v>
      </c>
      <c r="E8" s="0" t="n">
        <f aca="false">E6*E7/100</f>
        <v>3902.47953408</v>
      </c>
      <c r="F8" s="0" t="n">
        <f aca="false">F6*F7/100</f>
        <v>4117.1159084544</v>
      </c>
      <c r="G8" s="0" t="n">
        <f aca="false">G6*G7/100</f>
        <v>4322.97170387712</v>
      </c>
      <c r="H8" s="0" t="n">
        <f aca="false">H6*H7/100</f>
        <v>4517.50543055159</v>
      </c>
      <c r="I8" s="0" t="n">
        <f aca="false">I6*I7/100</f>
        <v>4698.20564777365</v>
      </c>
      <c r="J8" s="0" t="n">
        <f aca="false">J6*J7/100</f>
        <v>4862.64284544573</v>
      </c>
      <c r="K8" s="0" t="n">
        <f aca="false">K6*K7/100</f>
        <v>5008.5221308091</v>
      </c>
      <c r="L8" s="0" t="n">
        <f aca="false">L6*L7/100</f>
        <v>5158.77779473338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22.5</v>
      </c>
      <c r="D9" s="4" t="n">
        <f aca="false">Assumptions!D15</f>
        <v>22</v>
      </c>
      <c r="E9" s="4" t="n">
        <f aca="false">Assumptions!E15</f>
        <v>21.5</v>
      </c>
      <c r="F9" s="4" t="n">
        <f aca="false">Assumptions!F15</f>
        <v>21</v>
      </c>
      <c r="G9" s="4" t="n">
        <f aca="false">Assumptions!G15</f>
        <v>20.5</v>
      </c>
      <c r="H9" s="4" t="n">
        <f aca="false">Assumptions!H15</f>
        <v>20</v>
      </c>
      <c r="I9" s="4" t="n">
        <f aca="false">Assumptions!I15</f>
        <v>19.5</v>
      </c>
      <c r="J9" s="4" t="n">
        <f aca="false">Assumptions!J15</f>
        <v>19</v>
      </c>
      <c r="K9" s="4" t="n">
        <f aca="false">Assumptions!K15</f>
        <v>18.5</v>
      </c>
      <c r="L9" s="4" t="n">
        <f aca="false">Assumptions!L15</f>
        <v>18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-2385.612</v>
      </c>
      <c r="D10" s="0" t="n">
        <f aca="false">-D6*D9/100</f>
        <v>-2519.206272</v>
      </c>
      <c r="E10" s="0" t="n">
        <f aca="false">-E6*E9/100</f>
        <v>-2621.97843696</v>
      </c>
      <c r="F10" s="0" t="n">
        <f aca="false">-F6*F9/100</f>
        <v>-2701.8573149232</v>
      </c>
      <c r="G10" s="0" t="n">
        <f aca="false">-G6*G9/100</f>
        <v>-2769.40374779628</v>
      </c>
      <c r="H10" s="0" t="n">
        <f aca="false">-H6*H9/100</f>
        <v>-2823.44089409474</v>
      </c>
      <c r="I10" s="0" t="n">
        <f aca="false">-I6*I9/100</f>
        <v>-2862.96906661207</v>
      </c>
      <c r="J10" s="0" t="n">
        <f aca="false">-J6*J9/100</f>
        <v>-2887.1941894834</v>
      </c>
      <c r="K10" s="0" t="n">
        <f aca="false">-K6*K9/100</f>
        <v>-2895.55185687401</v>
      </c>
      <c r="L10" s="0" t="n">
        <f aca="false">-L6*L9/100</f>
        <v>-2901.81250953752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954.2448</v>
      </c>
      <c r="D11" s="0" t="n">
        <f aca="false">D8+D10+D24</f>
        <v>1145.09376</v>
      </c>
      <c r="E11" s="0" t="n">
        <f aca="false">E8+E10+E24</f>
        <v>1280.50109712</v>
      </c>
      <c r="F11" s="0" t="n">
        <f aca="false">F8+F10+F24</f>
        <v>1415.2585935312</v>
      </c>
      <c r="G11" s="0" t="n">
        <f aca="false">G8+G10+G24</f>
        <v>1553.56795608084</v>
      </c>
      <c r="H11" s="0" t="n">
        <f aca="false">H8+H10+H24</f>
        <v>1694.06453645685</v>
      </c>
      <c r="I11" s="0" t="n">
        <f aca="false">I8+I10+I24</f>
        <v>1835.23658116158</v>
      </c>
      <c r="J11" s="0" t="n">
        <f aca="false">J8+J10+J24</f>
        <v>1975.44865596233</v>
      </c>
      <c r="K11" s="0" t="n">
        <f aca="false">K8+K10+K24</f>
        <v>2112.97027393509</v>
      </c>
      <c r="L11" s="0" t="n">
        <f aca="false">L8+L10+L24</f>
        <v>2256.96528519585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-360.49248</v>
      </c>
      <c r="D12" s="4" t="n">
        <f aca="false">-D6*Assumptions!D17/100</f>
        <v>-389.3318784</v>
      </c>
      <c r="E12" s="4" t="n">
        <f aca="false">-E6*Assumptions!E17/100</f>
        <v>-402.443201952</v>
      </c>
      <c r="F12" s="4" t="n">
        <f aca="false">-F6*Assumptions!F17/100</f>
        <v>-424.57757805936</v>
      </c>
      <c r="G12" s="4" t="n">
        <f aca="false">-G6*Assumptions!G17/100</f>
        <v>-432.297170387712</v>
      </c>
      <c r="H12" s="4" t="n">
        <f aca="false">-H6*Assumptions!H17/100</f>
        <v>-451.750543055159</v>
      </c>
      <c r="I12" s="4" t="n">
        <f aca="false">-I6*Assumptions!I17/100</f>
        <v>-455.138672128073</v>
      </c>
      <c r="J12" s="4" t="n">
        <f aca="false">-J6*Assumptions!J17/100</f>
        <v>-471.068525652555</v>
      </c>
      <c r="K12" s="4" t="n">
        <f aca="false">-K6*Assumptions!K17/100</f>
        <v>-469.548949763353</v>
      </c>
      <c r="L12" s="4" t="n">
        <f aca="false">-L6*Assumptions!L17/100</f>
        <v>-483.635418256254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593.75232</v>
      </c>
      <c r="D13" s="0" t="n">
        <f aca="false">D11+D12</f>
        <v>755.7618816</v>
      </c>
      <c r="E13" s="0" t="n">
        <f aca="false">E11+E12</f>
        <v>878.057895168</v>
      </c>
      <c r="F13" s="0" t="n">
        <f aca="false">F11+F12</f>
        <v>990.68101547184</v>
      </c>
      <c r="G13" s="0" t="n">
        <f aca="false">G11+G12</f>
        <v>1121.27078569313</v>
      </c>
      <c r="H13" s="0" t="n">
        <f aca="false">H11+H12</f>
        <v>1242.31399340169</v>
      </c>
      <c r="I13" s="0" t="n">
        <f aca="false">I11+I12</f>
        <v>1380.09790903351</v>
      </c>
      <c r="J13" s="0" t="n">
        <f aca="false">J11+J12</f>
        <v>1504.38013030977</v>
      </c>
      <c r="K13" s="0" t="n">
        <f aca="false">K11+K12</f>
        <v>1643.42132417174</v>
      </c>
      <c r="L13" s="0" t="n">
        <f aca="false">L11+L12</f>
        <v>1773.3298669396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30</v>
      </c>
      <c r="D14" s="4" t="n">
        <f aca="false">Assumptions!D19</f>
        <v>29</v>
      </c>
      <c r="E14" s="4" t="n">
        <f aca="false">Assumptions!E19</f>
        <v>28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415.626624</v>
      </c>
      <c r="D15" s="0" t="n">
        <f aca="false">D13-MAX(0,D13)*D14/100</f>
        <v>536.590935936</v>
      </c>
      <c r="E15" s="0" t="n">
        <f aca="false">E13-MAX(0,E13)*E14/100</f>
        <v>632.20168452096</v>
      </c>
      <c r="F15" s="0" t="n">
        <f aca="false">F13-MAX(0,F13)*F14/100</f>
        <v>723.197141294443</v>
      </c>
      <c r="G15" s="0" t="n">
        <f aca="false">G13-MAX(0,G13)*G14/100</f>
        <v>818.527673555984</v>
      </c>
      <c r="H15" s="0" t="n">
        <f aca="false">H13-MAX(0,H13)*H14/100</f>
        <v>919.312355117248</v>
      </c>
      <c r="I15" s="0" t="n">
        <f aca="false">I13-MAX(0,I13)*I14/100</f>
        <v>1021.2724526848</v>
      </c>
      <c r="J15" s="0" t="n">
        <f aca="false">J13-MAX(0,J13)*J14/100</f>
        <v>1113.24129642923</v>
      </c>
      <c r="K15" s="0" t="n">
        <f aca="false">K13-MAX(0,K13)*K14/100</f>
        <v>1216.13177988709</v>
      </c>
      <c r="L15" s="0" t="n">
        <f aca="false">L13-MAX(0,L13)*L14/100</f>
        <v>1312.2641015353</v>
      </c>
    </row>
    <row r="16" customFormat="false" ht="15" hidden="false" customHeight="false" outlineLevel="0" collapsed="false">
      <c r="A16" s="0" t="s">
        <v>125</v>
      </c>
      <c r="C16" s="0" t="n">
        <f aca="false">-C12</f>
        <v>360.49248</v>
      </c>
      <c r="D16" s="0" t="n">
        <f aca="false">-D12</f>
        <v>389.3318784</v>
      </c>
      <c r="E16" s="0" t="n">
        <f aca="false">-E12</f>
        <v>402.443201952</v>
      </c>
      <c r="F16" s="0" t="n">
        <f aca="false">-F12</f>
        <v>424.57757805936</v>
      </c>
      <c r="G16" s="0" t="n">
        <f aca="false">-G12</f>
        <v>432.297170387712</v>
      </c>
      <c r="H16" s="0" t="n">
        <f aca="false">-H12</f>
        <v>451.750543055159</v>
      </c>
      <c r="I16" s="0" t="n">
        <f aca="false">-I12</f>
        <v>455.138672128073</v>
      </c>
      <c r="J16" s="0" t="n">
        <f aca="false">-J12</f>
        <v>471.068525652555</v>
      </c>
      <c r="K16" s="0" t="n">
        <f aca="false">-K12</f>
        <v>469.548949763353</v>
      </c>
      <c r="L16" s="0" t="n">
        <f aca="false">-L12</f>
        <v>483.635418256254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-275.67072</v>
      </c>
      <c r="D17" s="4" t="n">
        <f aca="false">-D6*Assumptions!D18/100</f>
        <v>-297.7243776</v>
      </c>
      <c r="E17" s="4" t="n">
        <f aca="false">-E6*Assumptions!E18/100</f>
        <v>-317.076462144</v>
      </c>
      <c r="F17" s="4" t="n">
        <f aca="false">-F6*Assumptions!F18/100</f>
        <v>-334.51566756192</v>
      </c>
      <c r="G17" s="4" t="n">
        <f aca="false">-G6*Assumptions!G18/100</f>
        <v>-351.241450940016</v>
      </c>
      <c r="H17" s="4" t="n">
        <f aca="false">-H6*Assumptions!H18/100</f>
        <v>-367.047316232317</v>
      </c>
      <c r="I17" s="4" t="n">
        <f aca="false">-I6*Assumptions!I18/100</f>
        <v>-381.729208881609</v>
      </c>
      <c r="J17" s="4" t="n">
        <f aca="false">-J6*Assumptions!J18/100</f>
        <v>-395.089731192466</v>
      </c>
      <c r="K17" s="4" t="n">
        <f aca="false">-K6*Assumptions!K18/100</f>
        <v>-406.94242312824</v>
      </c>
      <c r="L17" s="4" t="n">
        <f aca="false">-L6*Assumptions!L18/100</f>
        <v>-419.150695822087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157.608</v>
      </c>
      <c r="D18" s="4" t="n">
        <f aca="false">(D6-C6)*Assumptions!$B$23/100</f>
        <v>127.23264</v>
      </c>
      <c r="E18" s="4" t="n">
        <f aca="false">(E6-D6)*Assumptions!$B$23/100</f>
        <v>111.6466416</v>
      </c>
      <c r="F18" s="4" t="n">
        <f aca="false">(F6-E6)*Assumptions!$B$23/100</f>
        <v>100.610800488</v>
      </c>
      <c r="G18" s="4" t="n">
        <f aca="false">(G6-F6)*Assumptions!$B$23/100</f>
        <v>96.4949041044001</v>
      </c>
      <c r="H18" s="4" t="n">
        <f aca="false">(H6-G6)*Assumptions!$B$23/100</f>
        <v>91.1876843786579</v>
      </c>
      <c r="I18" s="4" t="n">
        <f aca="false">(I6-H6)*Assumptions!$B$23/100</f>
        <v>84.7032268228424</v>
      </c>
      <c r="J18" s="4" t="n">
        <f aca="false">(J6-I6)*Assumptions!$B$23/100</f>
        <v>77.0799364087863</v>
      </c>
      <c r="K18" s="4" t="n">
        <f aca="false">(K6-J6)*Assumptions!$B$23/100</f>
        <v>68.3809150140807</v>
      </c>
      <c r="L18" s="4" t="n">
        <f aca="false">(L6-K6)*Assumptions!$B$23/100</f>
        <v>70.432342464503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658.056384</v>
      </c>
      <c r="D19" s="0" t="n">
        <f aca="false">D15+D16+D17+D18</f>
        <v>755.431076736</v>
      </c>
      <c r="E19" s="0" t="n">
        <f aca="false">E15+E16+E17+E18</f>
        <v>829.21506592896</v>
      </c>
      <c r="F19" s="0" t="n">
        <f aca="false">F15+F16+F17+F18</f>
        <v>913.869852279883</v>
      </c>
      <c r="G19" s="0" t="n">
        <f aca="false">G15+G16+G17+G18</f>
        <v>996.07829710808</v>
      </c>
      <c r="H19" s="0" t="n">
        <f aca="false">H15+H16+H17+H18</f>
        <v>1095.20326631875</v>
      </c>
      <c r="I19" s="0" t="n">
        <f aca="false">I15+I16+I17+I18</f>
        <v>1179.3851427541</v>
      </c>
      <c r="J19" s="0" t="n">
        <f aca="false">J15+J16+J17+J18</f>
        <v>1266.30002729811</v>
      </c>
      <c r="K19" s="0" t="n">
        <f aca="false">K15+K16+K17+K18</f>
        <v>1347.11922153628</v>
      </c>
      <c r="L19" s="0" t="n">
        <f aca="false">L15+L16+L17+L18</f>
        <v>1447.18116643397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603.72145321101</v>
      </c>
      <c r="D21" s="0" t="n">
        <f aca="false">D19*D20</f>
        <v>635.831223580507</v>
      </c>
      <c r="E21" s="0" t="n">
        <f aca="false">E19*E20</f>
        <v>640.306175328089</v>
      </c>
      <c r="F21" s="0" t="n">
        <f aca="false">F19*F20</f>
        <v>647.408442987496</v>
      </c>
      <c r="G21" s="0" t="n">
        <f aca="false">G19*G20</f>
        <v>647.382548501149</v>
      </c>
      <c r="H21" s="0" t="n">
        <f aca="false">H19*H20</f>
        <v>653.033923997266</v>
      </c>
      <c r="I21" s="0" t="n">
        <f aca="false">I19*I20</f>
        <v>645.164060945919</v>
      </c>
      <c r="J21" s="0" t="n">
        <f aca="false">J19*J20</f>
        <v>635.513283649626</v>
      </c>
      <c r="K21" s="0" t="n">
        <f aca="false">K19*K20</f>
        <v>620.251111915677</v>
      </c>
      <c r="L21" s="0" t="n">
        <f aca="false">L19*L20</f>
        <v>611.304964237619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6339.91718835436</v>
      </c>
    </row>
    <row r="31" customFormat="false" ht="15" hidden="false" customHeight="false" outlineLevel="0" collapsed="false">
      <c r="A31" s="0" t="s">
        <v>134</v>
      </c>
      <c r="B31" s="0" t="n">
        <f aca="false">L19</f>
        <v>1447.18116643397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22820.9337783819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21707.7174965096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21707.7174965096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9169.57446356428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15509.4916519186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16157.4916519186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66.7664944294159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-0.641310333999055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17305.2376281585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19329.2444262168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218.1486516789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11866.8855647586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34.5420688206422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11.5</v>
      </c>
      <c r="D5" s="4" t="n">
        <f aca="false">Assumptions!D27</f>
        <v>10.5</v>
      </c>
      <c r="E5" s="4" t="n">
        <f aca="false">Assumptions!E27</f>
        <v>10</v>
      </c>
      <c r="F5" s="4" t="n">
        <f aca="false">Assumptions!F27</f>
        <v>9</v>
      </c>
      <c r="G5" s="4" t="n">
        <f aca="false">Assumptions!G27</f>
        <v>8.5</v>
      </c>
      <c r="H5" s="4" t="n">
        <f aca="false">Assumptions!H27</f>
        <v>7.5</v>
      </c>
      <c r="I5" s="4" t="n">
        <f aca="false">Assumptions!I27</f>
        <v>6.5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9552</v>
      </c>
      <c r="C6" s="0" t="n">
        <f aca="false">B6*(1+C5/100)</f>
        <v>10650.48</v>
      </c>
      <c r="D6" s="0" t="n">
        <f aca="false">C6*(1+D5/100)</f>
        <v>11768.7804</v>
      </c>
      <c r="E6" s="0" t="n">
        <f aca="false">D6*(1+E5/100)</f>
        <v>12945.65844</v>
      </c>
      <c r="F6" s="0" t="n">
        <f aca="false">E6*(1+F5/100)</f>
        <v>14110.7676996</v>
      </c>
      <c r="G6" s="0" t="n">
        <f aca="false">F6*(1+G5/100)</f>
        <v>15310.182954066</v>
      </c>
      <c r="H6" s="0" t="n">
        <f aca="false">G6*(1+H5/100)</f>
        <v>16458.446675621</v>
      </c>
      <c r="I6" s="0" t="n">
        <f aca="false">H6*(1+I5/100)</f>
        <v>17528.2457095363</v>
      </c>
      <c r="J6" s="0" t="n">
        <f aca="false">I6*(1+J5/100)</f>
        <v>18492.2992235608</v>
      </c>
      <c r="K6" s="0" t="n">
        <f aca="false">J6*(1+K5/100)</f>
        <v>19416.9141847389</v>
      </c>
      <c r="L6" s="0" t="n">
        <f aca="false">K6*(1+L5/100)</f>
        <v>20290.6753230521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32</v>
      </c>
      <c r="D7" s="4" t="n">
        <f aca="false">Assumptions!D28</f>
        <v>33.5</v>
      </c>
      <c r="E7" s="4" t="n">
        <f aca="false">Assumptions!E28</f>
        <v>34.5</v>
      </c>
      <c r="F7" s="4" t="n">
        <f aca="false">Assumptions!F28</f>
        <v>35.5</v>
      </c>
      <c r="G7" s="4" t="n">
        <f aca="false">Assumptions!G28</f>
        <v>36</v>
      </c>
      <c r="H7" s="4" t="n">
        <f aca="false">Assumptions!H28</f>
        <v>36.5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3408.1536</v>
      </c>
      <c r="D8" s="0" t="n">
        <f aca="false">D6*D7/100</f>
        <v>3942.541434</v>
      </c>
      <c r="E8" s="0" t="n">
        <f aca="false">E6*E7/100</f>
        <v>4466.2521618</v>
      </c>
      <c r="F8" s="0" t="n">
        <f aca="false">F6*F7/100</f>
        <v>5009.322533358</v>
      </c>
      <c r="G8" s="0" t="n">
        <f aca="false">G6*G7/100</f>
        <v>5511.66586346376</v>
      </c>
      <c r="H8" s="0" t="n">
        <f aca="false">H6*H7/100</f>
        <v>6007.33303660165</v>
      </c>
      <c r="I8" s="0" t="n">
        <f aca="false">I6*I7/100</f>
        <v>6485.45091252844</v>
      </c>
      <c r="J8" s="0" t="n">
        <f aca="false">J6*J7/100</f>
        <v>6842.1507127175</v>
      </c>
      <c r="K8" s="0" t="n">
        <f aca="false">K6*K7/100</f>
        <v>7184.25824835338</v>
      </c>
      <c r="L8" s="0" t="n">
        <f aca="false">L6*L7/100</f>
        <v>7507.54986952928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22</v>
      </c>
      <c r="D9" s="4" t="n">
        <f aca="false">Assumptions!D29</f>
        <v>21</v>
      </c>
      <c r="E9" s="4" t="n">
        <f aca="false">Assumptions!E29</f>
        <v>20</v>
      </c>
      <c r="F9" s="4" t="n">
        <f aca="false">Assumptions!F29</f>
        <v>19.2</v>
      </c>
      <c r="G9" s="4" t="n">
        <f aca="false">Assumptions!G29</f>
        <v>18.4</v>
      </c>
      <c r="H9" s="4" t="n">
        <f aca="false">Assumptions!H29</f>
        <v>17.6</v>
      </c>
      <c r="I9" s="4" t="n">
        <f aca="false">Assumptions!I29</f>
        <v>16.9</v>
      </c>
      <c r="J9" s="4" t="n">
        <f aca="false">Assumptions!J29</f>
        <v>16.2</v>
      </c>
      <c r="K9" s="4" t="n">
        <f aca="false">Assumptions!K29</f>
        <v>15.6</v>
      </c>
      <c r="L9" s="4" t="n">
        <f aca="false">Assumptions!L29</f>
        <v>15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-2343.1056</v>
      </c>
      <c r="D10" s="0" t="n">
        <f aca="false">-D6*D9/100</f>
        <v>-2471.443884</v>
      </c>
      <c r="E10" s="0" t="n">
        <f aca="false">-E6*E9/100</f>
        <v>-2589.131688</v>
      </c>
      <c r="F10" s="0" t="n">
        <f aca="false">-F6*F9/100</f>
        <v>-2709.2673983232</v>
      </c>
      <c r="G10" s="0" t="n">
        <f aca="false">-G6*G9/100</f>
        <v>-2817.07366354814</v>
      </c>
      <c r="H10" s="0" t="n">
        <f aca="false">-H6*H9/100</f>
        <v>-2896.68661490929</v>
      </c>
      <c r="I10" s="0" t="n">
        <f aca="false">-I6*I9/100</f>
        <v>-2962.27352491164</v>
      </c>
      <c r="J10" s="0" t="n">
        <f aca="false">-J6*J9/100</f>
        <v>-2995.75247421685</v>
      </c>
      <c r="K10" s="0" t="n">
        <f aca="false">-K6*K9/100</f>
        <v>-3029.03861281926</v>
      </c>
      <c r="L10" s="0" t="n">
        <f aca="false">-L6*L9/100</f>
        <v>-3043.60129845781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1065.048</v>
      </c>
      <c r="D11" s="0" t="n">
        <f aca="false">D8+D10+D24</f>
        <v>1471.09755</v>
      </c>
      <c r="E11" s="0" t="n">
        <f aca="false">E8+E10+E24</f>
        <v>1877.1204738</v>
      </c>
      <c r="F11" s="0" t="n">
        <f aca="false">F8+F10+F24</f>
        <v>2300.0551350348</v>
      </c>
      <c r="G11" s="0" t="n">
        <f aca="false">G8+G10+G24</f>
        <v>2694.59219991562</v>
      </c>
      <c r="H11" s="0" t="n">
        <f aca="false">H8+H10+H24</f>
        <v>3110.64642169236</v>
      </c>
      <c r="I11" s="0" t="n">
        <f aca="false">I8+I10+I24</f>
        <v>3523.1773876168</v>
      </c>
      <c r="J11" s="0" t="n">
        <f aca="false">J8+J10+J24</f>
        <v>3846.39823850065</v>
      </c>
      <c r="K11" s="0" t="n">
        <f aca="false">K8+K10+K24</f>
        <v>4155.21963553412</v>
      </c>
      <c r="L11" s="0" t="n">
        <f aca="false">L8+L10+L24</f>
        <v>4463.94857107146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-362.11632</v>
      </c>
      <c r="D12" s="4" t="n">
        <f aca="false">-D6*Assumptions!D31/100</f>
        <v>-400.1385336</v>
      </c>
      <c r="E12" s="4" t="n">
        <f aca="false">-E6*Assumptions!E31/100</f>
        <v>-427.20672852</v>
      </c>
      <c r="F12" s="4" t="n">
        <f aca="false">-F6*Assumptions!F31/100</f>
        <v>-465.6553340868</v>
      </c>
      <c r="G12" s="4" t="n">
        <f aca="false">-G6*Assumptions!G31/100</f>
        <v>-489.925854530112</v>
      </c>
      <c r="H12" s="4" t="n">
        <f aca="false">-H6*Assumptions!H31/100</f>
        <v>-526.67029361987</v>
      </c>
      <c r="I12" s="4" t="n">
        <f aca="false">-I6*Assumptions!I31/100</f>
        <v>-543.375616995626</v>
      </c>
      <c r="J12" s="4" t="n">
        <f aca="false">-J6*Assumptions!J31/100</f>
        <v>-573.261275930385</v>
      </c>
      <c r="K12" s="4" t="n">
        <f aca="false">-K6*Assumptions!K31/100</f>
        <v>-582.507425542166</v>
      </c>
      <c r="L12" s="4" t="n">
        <f aca="false">-L6*Assumptions!L31/100</f>
        <v>-608.720259691563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702.93168</v>
      </c>
      <c r="D13" s="0" t="n">
        <f aca="false">D11+D12</f>
        <v>1070.9590164</v>
      </c>
      <c r="E13" s="0" t="n">
        <f aca="false">E11+E12</f>
        <v>1449.91374528</v>
      </c>
      <c r="F13" s="0" t="n">
        <f aca="false">F11+F12</f>
        <v>1834.399800948</v>
      </c>
      <c r="G13" s="0" t="n">
        <f aca="false">G11+G12</f>
        <v>2204.6663453855</v>
      </c>
      <c r="H13" s="0" t="n">
        <f aca="false">H11+H12</f>
        <v>2583.97612807249</v>
      </c>
      <c r="I13" s="0" t="n">
        <f aca="false">I11+I12</f>
        <v>2979.80177062117</v>
      </c>
      <c r="J13" s="0" t="n">
        <f aca="false">J11+J12</f>
        <v>3273.13696257026</v>
      </c>
      <c r="K13" s="0" t="n">
        <f aca="false">K11+K12</f>
        <v>3572.71220999195</v>
      </c>
      <c r="L13" s="0" t="n">
        <f aca="false">L11+L12</f>
        <v>3855.2283113799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30</v>
      </c>
      <c r="D14" s="4" t="n">
        <f aca="false">Assumptions!D33</f>
        <v>29</v>
      </c>
      <c r="E14" s="4" t="n">
        <f aca="false">Assumptions!E33</f>
        <v>28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492.052176</v>
      </c>
      <c r="D15" s="0" t="n">
        <f aca="false">D13-MAX(0,D13)*D14/100</f>
        <v>760.380901644</v>
      </c>
      <c r="E15" s="0" t="n">
        <f aca="false">E13-MAX(0,E13)*E14/100</f>
        <v>1043.9378966016</v>
      </c>
      <c r="F15" s="0" t="n">
        <f aca="false">F13-MAX(0,F13)*F14/100</f>
        <v>1339.11185469204</v>
      </c>
      <c r="G15" s="0" t="n">
        <f aca="false">G13-MAX(0,G13)*G14/100</f>
        <v>1609.40643213142</v>
      </c>
      <c r="H15" s="0" t="n">
        <f aca="false">H13-MAX(0,H13)*H14/100</f>
        <v>1912.14233477364</v>
      </c>
      <c r="I15" s="0" t="n">
        <f aca="false">I13-MAX(0,I13)*I14/100</f>
        <v>2205.05331025967</v>
      </c>
      <c r="J15" s="0" t="n">
        <f aca="false">J13-MAX(0,J13)*J14/100</f>
        <v>2422.12135230199</v>
      </c>
      <c r="K15" s="0" t="n">
        <f aca="false">K13-MAX(0,K13)*K14/100</f>
        <v>2643.80703539404</v>
      </c>
      <c r="L15" s="0" t="n">
        <f aca="false">L13-MAX(0,L13)*L14/100</f>
        <v>2852.86895042112</v>
      </c>
    </row>
    <row r="16" customFormat="false" ht="15" hidden="false" customHeight="false" outlineLevel="0" collapsed="false">
      <c r="A16" s="0" t="s">
        <v>125</v>
      </c>
      <c r="C16" s="0" t="n">
        <f aca="false">-C12</f>
        <v>362.11632</v>
      </c>
      <c r="D16" s="0" t="n">
        <f aca="false">-D12</f>
        <v>400.1385336</v>
      </c>
      <c r="E16" s="0" t="n">
        <f aca="false">-E12</f>
        <v>427.20672852</v>
      </c>
      <c r="F16" s="0" t="n">
        <f aca="false">-F12</f>
        <v>465.6553340868</v>
      </c>
      <c r="G16" s="0" t="n">
        <f aca="false">-G12</f>
        <v>489.925854530112</v>
      </c>
      <c r="H16" s="0" t="n">
        <f aca="false">-H12</f>
        <v>526.67029361987</v>
      </c>
      <c r="I16" s="0" t="n">
        <f aca="false">-I12</f>
        <v>543.375616995626</v>
      </c>
      <c r="J16" s="0" t="n">
        <f aca="false">-J12</f>
        <v>573.261275930385</v>
      </c>
      <c r="K16" s="0" t="n">
        <f aca="false">-K12</f>
        <v>582.507425542166</v>
      </c>
      <c r="L16" s="0" t="n">
        <f aca="false">-L12</f>
        <v>608.720259691563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-266.262</v>
      </c>
      <c r="D17" s="4" t="n">
        <f aca="false">-D6*Assumptions!D32/100</f>
        <v>-294.21951</v>
      </c>
      <c r="E17" s="4" t="n">
        <f aca="false">-E6*Assumptions!E32/100</f>
        <v>-323.641461</v>
      </c>
      <c r="F17" s="4" t="n">
        <f aca="false">-F6*Assumptions!F32/100</f>
        <v>-338.6584247904</v>
      </c>
      <c r="G17" s="4" t="n">
        <f aca="false">-G6*Assumptions!G32/100</f>
        <v>-367.444390897584</v>
      </c>
      <c r="H17" s="4" t="n">
        <f aca="false">-H6*Assumptions!H32/100</f>
        <v>-395.002720214903</v>
      </c>
      <c r="I17" s="4" t="n">
        <f aca="false">-I6*Assumptions!I32/100</f>
        <v>-420.677897028872</v>
      </c>
      <c r="J17" s="4" t="n">
        <f aca="false">-J6*Assumptions!J32/100</f>
        <v>-443.815181365459</v>
      </c>
      <c r="K17" s="4" t="n">
        <f aca="false">-K6*Assumptions!K32/100</f>
        <v>-466.005940433732</v>
      </c>
      <c r="L17" s="4" t="n">
        <f aca="false">-L6*Assumptions!L32/100</f>
        <v>-486.97620775325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219.696</v>
      </c>
      <c r="D18" s="4" t="n">
        <f aca="false">(D6-C6)*Assumptions!$B$37/100</f>
        <v>223.66008</v>
      </c>
      <c r="E18" s="4" t="n">
        <f aca="false">(E6-D6)*Assumptions!$B$37/100</f>
        <v>235.375608</v>
      </c>
      <c r="F18" s="4" t="n">
        <f aca="false">(F6-E6)*Assumptions!$B$37/100</f>
        <v>233.02185192</v>
      </c>
      <c r="G18" s="4" t="n">
        <f aca="false">(G6-F6)*Assumptions!$B$37/100</f>
        <v>239.8830508932</v>
      </c>
      <c r="H18" s="4" t="n">
        <f aca="false">(H6-G6)*Assumptions!$B$37/100</f>
        <v>229.65274431099</v>
      </c>
      <c r="I18" s="4" t="n">
        <f aca="false">(I6-H6)*Assumptions!$B$37/100</f>
        <v>213.959806783072</v>
      </c>
      <c r="J18" s="4" t="n">
        <f aca="false">(J6-I6)*Assumptions!$B$37/100</f>
        <v>192.810702804899</v>
      </c>
      <c r="K18" s="4" t="n">
        <f aca="false">(K6-J6)*Assumptions!$B$37/100</f>
        <v>184.922992235608</v>
      </c>
      <c r="L18" s="4" t="n">
        <f aca="false">(L6-K6)*Assumptions!$B$37/100</f>
        <v>174.752227662649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807.602496</v>
      </c>
      <c r="D19" s="0" t="n">
        <f aca="false">D15+D16+D17+D18</f>
        <v>1089.960005244</v>
      </c>
      <c r="E19" s="0" t="n">
        <f aca="false">E15+E16+E17+E18</f>
        <v>1382.8787721216</v>
      </c>
      <c r="F19" s="0" t="n">
        <f aca="false">F15+F16+F17+F18</f>
        <v>1699.13061590844</v>
      </c>
      <c r="G19" s="0" t="n">
        <f aca="false">G15+G16+G17+G18</f>
        <v>1971.77094665715</v>
      </c>
      <c r="H19" s="0" t="n">
        <f aca="false">H15+H16+H17+H18</f>
        <v>2273.4626524896</v>
      </c>
      <c r="I19" s="0" t="n">
        <f aca="false">I15+I16+I17+I18</f>
        <v>2541.7108370095</v>
      </c>
      <c r="J19" s="0" t="n">
        <f aca="false">J15+J16+J17+J18</f>
        <v>2744.37814967182</v>
      </c>
      <c r="K19" s="0" t="n">
        <f aca="false">K15+K16+K17+K18</f>
        <v>2945.23151273808</v>
      </c>
      <c r="L19" s="0" t="n">
        <f aca="false">L15+L16+L17+L18</f>
        <v>3149.36523002209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740.919721100917</v>
      </c>
      <c r="D21" s="0" t="n">
        <f aca="false">D19*D20</f>
        <v>917.39752987459</v>
      </c>
      <c r="E21" s="0" t="n">
        <f aca="false">E19*E20</f>
        <v>1067.83614275943</v>
      </c>
      <c r="F21" s="0" t="n">
        <f aca="false">F19*F20</f>
        <v>1203.70696520227</v>
      </c>
      <c r="G21" s="0" t="n">
        <f aca="false">G19*G20</f>
        <v>1281.51582482368</v>
      </c>
      <c r="H21" s="0" t="n">
        <f aca="false">H19*H20</f>
        <v>1355.5914985597</v>
      </c>
      <c r="I21" s="0" t="n">
        <f aca="false">I19*I20</f>
        <v>1390.40286833356</v>
      </c>
      <c r="J21" s="0" t="n">
        <f aca="false">J19*J20</f>
        <v>1377.31085199103</v>
      </c>
      <c r="K21" s="0" t="n">
        <f aca="false">K19*K20</f>
        <v>1356.06640557143</v>
      </c>
      <c r="L21" s="0" t="n">
        <f aca="false">L19*L20</f>
        <v>1330.32590802286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12021.0737162395</v>
      </c>
    </row>
    <row r="31" customFormat="false" ht="15" hidden="false" customHeight="false" outlineLevel="0" collapsed="false">
      <c r="A31" s="0" t="s">
        <v>134</v>
      </c>
      <c r="B31" s="0" t="n">
        <f aca="false">L19</f>
        <v>3149.36523002209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54064.1031153792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62987.3046004417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54064.1031153792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22837.261421059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34858.3351372985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35506.3351372985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146.720393129333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-0.211773970509656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17510.7410712749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22070.3263793474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310.278523090582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27032.0515576896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66.8125865764384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12</v>
      </c>
      <c r="D5" s="4" t="n">
        <f aca="false">Assumptions!D41</f>
        <v>13</v>
      </c>
      <c r="E5" s="4" t="n">
        <f aca="false">Assumptions!E41</f>
        <v>13</v>
      </c>
      <c r="F5" s="4" t="n">
        <f aca="false">Assumptions!F41</f>
        <v>12</v>
      </c>
      <c r="G5" s="4" t="n">
        <f aca="false">Assumptions!G41</f>
        <v>11</v>
      </c>
      <c r="H5" s="4" t="n">
        <f aca="false">Assumptions!H41</f>
        <v>10</v>
      </c>
      <c r="I5" s="4" t="n">
        <f aca="false">Assumptions!I41</f>
        <v>9</v>
      </c>
      <c r="J5" s="4" t="n">
        <f aca="false">Assumptions!J41</f>
        <v>8</v>
      </c>
      <c r="K5" s="4" t="n">
        <f aca="false">Assumptions!K41</f>
        <v>7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9552</v>
      </c>
      <c r="C6" s="0" t="n">
        <f aca="false">B6*(1+C5/100)</f>
        <v>10698.24</v>
      </c>
      <c r="D6" s="0" t="n">
        <f aca="false">C6*(1+D5/100)</f>
        <v>12089.0112</v>
      </c>
      <c r="E6" s="0" t="n">
        <f aca="false">D6*(1+E5/100)</f>
        <v>13660.582656</v>
      </c>
      <c r="F6" s="0" t="n">
        <f aca="false">E6*(1+F5/100)</f>
        <v>15299.85257472</v>
      </c>
      <c r="G6" s="0" t="n">
        <f aca="false">F6*(1+G5/100)</f>
        <v>16982.8363579392</v>
      </c>
      <c r="H6" s="0" t="n">
        <f aca="false">G6*(1+H5/100)</f>
        <v>18681.1199937331</v>
      </c>
      <c r="I6" s="0" t="n">
        <f aca="false">H6*(1+I5/100)</f>
        <v>20362.4207931691</v>
      </c>
      <c r="J6" s="0" t="n">
        <f aca="false">I6*(1+J5/100)</f>
        <v>21991.4144566226</v>
      </c>
      <c r="K6" s="0" t="n">
        <f aca="false">J6*(1+K5/100)</f>
        <v>23530.8134685862</v>
      </c>
      <c r="L6" s="0" t="n">
        <f aca="false">K6*(1+L5/100)</f>
        <v>24942.6622767014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32.5</v>
      </c>
      <c r="D7" s="4" t="n">
        <f aca="false">Assumptions!D42</f>
        <v>34.5</v>
      </c>
      <c r="E7" s="4" t="n">
        <f aca="false">Assumptions!E42</f>
        <v>36</v>
      </c>
      <c r="F7" s="4" t="n">
        <f aca="false">Assumptions!F42</f>
        <v>37.5</v>
      </c>
      <c r="G7" s="4" t="n">
        <f aca="false">Assumptions!G42</f>
        <v>38.5</v>
      </c>
      <c r="H7" s="4" t="n">
        <f aca="false">Assumptions!H42</f>
        <v>39.5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3476.928</v>
      </c>
      <c r="D8" s="0" t="n">
        <f aca="false">D6*D7/100</f>
        <v>4170.708864</v>
      </c>
      <c r="E8" s="0" t="n">
        <f aca="false">E6*E7/100</f>
        <v>4917.80975616</v>
      </c>
      <c r="F8" s="0" t="n">
        <f aca="false">F6*F7/100</f>
        <v>5737.44471552</v>
      </c>
      <c r="G8" s="0" t="n">
        <f aca="false">G6*G7/100</f>
        <v>6538.39199780659</v>
      </c>
      <c r="H8" s="0" t="n">
        <f aca="false">H6*H7/100</f>
        <v>7379.04239752458</v>
      </c>
      <c r="I8" s="0" t="n">
        <f aca="false">I6*I7/100</f>
        <v>8144.96831726764</v>
      </c>
      <c r="J8" s="0" t="n">
        <f aca="false">J6*J7/100</f>
        <v>8796.56578264906</v>
      </c>
      <c r="K8" s="0" t="n">
        <f aca="false">K6*K7/100</f>
        <v>9412.32538743449</v>
      </c>
      <c r="L8" s="0" t="n">
        <f aca="false">L6*L7/100</f>
        <v>9977.06491068056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21.5</v>
      </c>
      <c r="D9" s="4" t="n">
        <f aca="false">Assumptions!D43</f>
        <v>20.3</v>
      </c>
      <c r="E9" s="4" t="n">
        <f aca="false">Assumptions!E43</f>
        <v>19</v>
      </c>
      <c r="F9" s="4" t="n">
        <f aca="false">Assumptions!F43</f>
        <v>17.8</v>
      </c>
      <c r="G9" s="4" t="n">
        <f aca="false">Assumptions!G43</f>
        <v>16.7</v>
      </c>
      <c r="H9" s="4" t="n">
        <f aca="false">Assumptions!H43</f>
        <v>15.6</v>
      </c>
      <c r="I9" s="4" t="n">
        <f aca="false">Assumptions!I43</f>
        <v>14.6</v>
      </c>
      <c r="J9" s="4" t="n">
        <f aca="false">Assumptions!J43</f>
        <v>13.7</v>
      </c>
      <c r="K9" s="4" t="n">
        <f aca="false">Assumptions!K43</f>
        <v>12.8</v>
      </c>
      <c r="L9" s="4" t="n">
        <f aca="false">Assumptions!L43</f>
        <v>12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-2300.1216</v>
      </c>
      <c r="D10" s="0" t="n">
        <f aca="false">-D6*D9/100</f>
        <v>-2454.0692736</v>
      </c>
      <c r="E10" s="0" t="n">
        <f aca="false">-E6*E9/100</f>
        <v>-2595.51070464</v>
      </c>
      <c r="F10" s="0" t="n">
        <f aca="false">-F6*F9/100</f>
        <v>-2723.37375830016</v>
      </c>
      <c r="G10" s="0" t="n">
        <f aca="false">-G6*G9/100</f>
        <v>-2836.13367177585</v>
      </c>
      <c r="H10" s="0" t="n">
        <f aca="false">-H6*H9/100</f>
        <v>-2914.25471902237</v>
      </c>
      <c r="I10" s="0" t="n">
        <f aca="false">-I6*I9/100</f>
        <v>-2972.91343580269</v>
      </c>
      <c r="J10" s="0" t="n">
        <f aca="false">-J6*J9/100</f>
        <v>-3012.8237805573</v>
      </c>
      <c r="K10" s="0" t="n">
        <f aca="false">-K6*K9/100</f>
        <v>-3011.94412397904</v>
      </c>
      <c r="L10" s="0" t="n">
        <f aca="false">-L6*L9/100</f>
        <v>-2993.11947320417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1176.8064</v>
      </c>
      <c r="D11" s="0" t="n">
        <f aca="false">D8+D10+D24</f>
        <v>1716.6395904</v>
      </c>
      <c r="E11" s="0" t="n">
        <f aca="false">E8+E10+E24</f>
        <v>2322.29905152</v>
      </c>
      <c r="F11" s="0" t="n">
        <f aca="false">F8+F10+F24</f>
        <v>3014.07095721984</v>
      </c>
      <c r="G11" s="0" t="n">
        <f aca="false">G8+G10+G24</f>
        <v>3702.25832603075</v>
      </c>
      <c r="H11" s="0" t="n">
        <f aca="false">H8+H10+H24</f>
        <v>4464.78767850222</v>
      </c>
      <c r="I11" s="0" t="n">
        <f aca="false">I8+I10+I24</f>
        <v>5172.05488146495</v>
      </c>
      <c r="J11" s="0" t="n">
        <f aca="false">J8+J10+J24</f>
        <v>5783.74200209176</v>
      </c>
      <c r="K11" s="0" t="n">
        <f aca="false">K8+K10+K24</f>
        <v>6400.38126345545</v>
      </c>
      <c r="L11" s="0" t="n">
        <f aca="false">L8+L10+L24</f>
        <v>6983.94543747639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-363.74016</v>
      </c>
      <c r="D12" s="4" t="n">
        <f aca="false">-D6*Assumptions!D45/100</f>
        <v>-411.0263808</v>
      </c>
      <c r="E12" s="4" t="n">
        <f aca="false">-E6*Assumptions!E45/100</f>
        <v>-450.799227648</v>
      </c>
      <c r="F12" s="4" t="n">
        <f aca="false">-F6*Assumptions!F45/100</f>
        <v>-504.89513496576</v>
      </c>
      <c r="G12" s="4" t="n">
        <f aca="false">-G6*Assumptions!G45/100</f>
        <v>-543.450763454055</v>
      </c>
      <c r="H12" s="4" t="n">
        <f aca="false">-H6*Assumptions!H45/100</f>
        <v>-597.79583979946</v>
      </c>
      <c r="I12" s="4" t="n">
        <f aca="false">-I6*Assumptions!I45/100</f>
        <v>-631.235044588242</v>
      </c>
      <c r="J12" s="4" t="n">
        <f aca="false">-J6*Assumptions!J45/100</f>
        <v>-681.733848155302</v>
      </c>
      <c r="K12" s="4" t="n">
        <f aca="false">-K6*Assumptions!K45/100</f>
        <v>-705.924404057587</v>
      </c>
      <c r="L12" s="4" t="n">
        <f aca="false">-L6*Assumptions!L45/100</f>
        <v>-748.279868301042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813.06624</v>
      </c>
      <c r="D13" s="0" t="n">
        <f aca="false">D11+D12</f>
        <v>1305.6132096</v>
      </c>
      <c r="E13" s="0" t="n">
        <f aca="false">E11+E12</f>
        <v>1871.499823872</v>
      </c>
      <c r="F13" s="0" t="n">
        <f aca="false">F11+F12</f>
        <v>2509.17582225408</v>
      </c>
      <c r="G13" s="0" t="n">
        <f aca="false">G11+G12</f>
        <v>3158.80756257669</v>
      </c>
      <c r="H13" s="0" t="n">
        <f aca="false">H11+H12</f>
        <v>3866.99183870276</v>
      </c>
      <c r="I13" s="0" t="n">
        <f aca="false">I11+I12</f>
        <v>4540.81983687671</v>
      </c>
      <c r="J13" s="0" t="n">
        <f aca="false">J11+J12</f>
        <v>5102.00815393646</v>
      </c>
      <c r="K13" s="0" t="n">
        <f aca="false">K11+K12</f>
        <v>5694.45685939787</v>
      </c>
      <c r="L13" s="0" t="n">
        <f aca="false">L11+L12</f>
        <v>6235.66556917535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30</v>
      </c>
      <c r="D14" s="4" t="n">
        <f aca="false">Assumptions!D47</f>
        <v>29</v>
      </c>
      <c r="E14" s="4" t="n">
        <f aca="false">Assumptions!E47</f>
        <v>28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569.146368</v>
      </c>
      <c r="D15" s="0" t="n">
        <f aca="false">D13-MAX(0,D13)*D14/100</f>
        <v>926.985378816</v>
      </c>
      <c r="E15" s="0" t="n">
        <f aca="false">E13-MAX(0,E13)*E14/100</f>
        <v>1347.47987318784</v>
      </c>
      <c r="F15" s="0" t="n">
        <f aca="false">F13-MAX(0,F13)*F14/100</f>
        <v>1831.69835024548</v>
      </c>
      <c r="G15" s="0" t="n">
        <f aca="false">G13-MAX(0,G13)*G14/100</f>
        <v>2305.92952068099</v>
      </c>
      <c r="H15" s="0" t="n">
        <f aca="false">H13-MAX(0,H13)*H14/100</f>
        <v>2861.57396064004</v>
      </c>
      <c r="I15" s="0" t="n">
        <f aca="false">I13-MAX(0,I13)*I14/100</f>
        <v>3360.20667928877</v>
      </c>
      <c r="J15" s="0" t="n">
        <f aca="false">J13-MAX(0,J13)*J14/100</f>
        <v>3775.48603391298</v>
      </c>
      <c r="K15" s="0" t="n">
        <f aca="false">K13-MAX(0,K13)*K14/100</f>
        <v>4213.89807595442</v>
      </c>
      <c r="L15" s="0" t="n">
        <f aca="false">L13-MAX(0,L13)*L14/100</f>
        <v>4614.39252118976</v>
      </c>
    </row>
    <row r="16" customFormat="false" ht="15" hidden="false" customHeight="false" outlineLevel="0" collapsed="false">
      <c r="A16" s="0" t="s">
        <v>125</v>
      </c>
      <c r="C16" s="0" t="n">
        <f aca="false">-C12</f>
        <v>363.74016</v>
      </c>
      <c r="D16" s="0" t="n">
        <f aca="false">-D12</f>
        <v>411.0263808</v>
      </c>
      <c r="E16" s="0" t="n">
        <f aca="false">-E12</f>
        <v>450.799227648</v>
      </c>
      <c r="F16" s="0" t="n">
        <f aca="false">-F12</f>
        <v>504.89513496576</v>
      </c>
      <c r="G16" s="0" t="n">
        <f aca="false">-G12</f>
        <v>543.450763454055</v>
      </c>
      <c r="H16" s="0" t="n">
        <f aca="false">-H12</f>
        <v>597.79583979946</v>
      </c>
      <c r="I16" s="0" t="n">
        <f aca="false">-I12</f>
        <v>631.235044588242</v>
      </c>
      <c r="J16" s="0" t="n">
        <f aca="false">-J12</f>
        <v>681.733848155302</v>
      </c>
      <c r="K16" s="0" t="n">
        <f aca="false">-K12</f>
        <v>705.924404057587</v>
      </c>
      <c r="L16" s="0" t="n">
        <f aca="false">-L12</f>
        <v>748.279868301042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-267.456</v>
      </c>
      <c r="D17" s="4" t="n">
        <f aca="false">-D6*Assumptions!D46/100</f>
        <v>-302.22528</v>
      </c>
      <c r="E17" s="4" t="n">
        <f aca="false">-E6*Assumptions!E46/100</f>
        <v>-341.5145664</v>
      </c>
      <c r="F17" s="4" t="n">
        <f aca="false">-F6*Assumptions!F46/100</f>
        <v>-367.19646179328</v>
      </c>
      <c r="G17" s="4" t="n">
        <f aca="false">-G6*Assumptions!G46/100</f>
        <v>-407.588072590541</v>
      </c>
      <c r="H17" s="4" t="n">
        <f aca="false">-H6*Assumptions!H46/100</f>
        <v>-448.346879849595</v>
      </c>
      <c r="I17" s="4" t="n">
        <f aca="false">-I6*Assumptions!I46/100</f>
        <v>-488.698099036059</v>
      </c>
      <c r="J17" s="4" t="n">
        <f aca="false">-J6*Assumptions!J46/100</f>
        <v>-527.793946958943</v>
      </c>
      <c r="K17" s="4" t="n">
        <f aca="false">-K6*Assumptions!K46/100</f>
        <v>-564.739523246069</v>
      </c>
      <c r="L17" s="4" t="n">
        <f aca="false">-L6*Assumptions!L46/100</f>
        <v>-598.623894640834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252.1728</v>
      </c>
      <c r="D18" s="4" t="n">
        <f aca="false">(D6-C6)*Assumptions!$B$51/100</f>
        <v>305.969664</v>
      </c>
      <c r="E18" s="4" t="n">
        <f aca="false">(E6-D6)*Assumptions!$B$51/100</f>
        <v>345.74572032</v>
      </c>
      <c r="F18" s="4" t="n">
        <f aca="false">(F6-E6)*Assumptions!$B$51/100</f>
        <v>360.6393821184</v>
      </c>
      <c r="G18" s="4" t="n">
        <f aca="false">(G6-F6)*Assumptions!$B$51/100</f>
        <v>370.256432308224</v>
      </c>
      <c r="H18" s="4" t="n">
        <f aca="false">(H6-G6)*Assumptions!$B$51/100</f>
        <v>373.622399874663</v>
      </c>
      <c r="I18" s="4" t="n">
        <f aca="false">(I6-H6)*Assumptions!$B$51/100</f>
        <v>369.886175875916</v>
      </c>
      <c r="J18" s="4" t="n">
        <f aca="false">(J6-I6)*Assumptions!$B$51/100</f>
        <v>358.378605959777</v>
      </c>
      <c r="K18" s="4" t="n">
        <f aca="false">(K6-J6)*Assumptions!$B$51/100</f>
        <v>338.667782631989</v>
      </c>
      <c r="L18" s="4" t="n">
        <f aca="false">(L6-K6)*Assumptions!$B$51/100</f>
        <v>310.606737785338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917.603328</v>
      </c>
      <c r="D19" s="0" t="n">
        <f aca="false">D15+D16+D17+D18</f>
        <v>1341.756143616</v>
      </c>
      <c r="E19" s="0" t="n">
        <f aca="false">E15+E16+E17+E18</f>
        <v>1802.51025475584</v>
      </c>
      <c r="F19" s="0" t="n">
        <f aca="false">F15+F16+F17+F18</f>
        <v>2330.03640553636</v>
      </c>
      <c r="G19" s="0" t="n">
        <f aca="false">G15+G16+G17+G18</f>
        <v>2812.04864385272</v>
      </c>
      <c r="H19" s="0" t="n">
        <f aca="false">H15+H16+H17+H18</f>
        <v>3384.64532046457</v>
      </c>
      <c r="I19" s="0" t="n">
        <f aca="false">I15+I16+I17+I18</f>
        <v>3872.62980071687</v>
      </c>
      <c r="J19" s="0" t="n">
        <f aca="false">J15+J16+J17+J18</f>
        <v>4287.80454106911</v>
      </c>
      <c r="K19" s="0" t="n">
        <f aca="false">K15+K16+K17+K18</f>
        <v>4693.75073939793</v>
      </c>
      <c r="L19" s="0" t="n">
        <f aca="false">L15+L16+L17+L18</f>
        <v>5074.6552326353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841.837915596331</v>
      </c>
      <c r="D21" s="0" t="n">
        <f aca="false">D19*D20</f>
        <v>1129.32930192408</v>
      </c>
      <c r="E21" s="0" t="n">
        <f aca="false">E19*E20</f>
        <v>1391.86864136312</v>
      </c>
      <c r="F21" s="0" t="n">
        <f aca="false">F19*F20</f>
        <v>1650.65653238169</v>
      </c>
      <c r="G21" s="0" t="n">
        <f aca="false">G19*G20</f>
        <v>1827.63867343758</v>
      </c>
      <c r="H21" s="0" t="n">
        <f aca="false">H19*H20</f>
        <v>2018.15341766765</v>
      </c>
      <c r="I21" s="0" t="n">
        <f aca="false">I19*I20</f>
        <v>2118.46111859288</v>
      </c>
      <c r="J21" s="0" t="n">
        <f aca="false">J19*J20</f>
        <v>2151.90451299036</v>
      </c>
      <c r="K21" s="0" t="n">
        <f aca="false">K19*K20</f>
        <v>2161.13323054398</v>
      </c>
      <c r="L21" s="0" t="n">
        <f aca="false">L19*L20</f>
        <v>2143.58921153491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17434.5725560326</v>
      </c>
    </row>
    <row r="31" customFormat="false" ht="15" hidden="false" customHeight="false" outlineLevel="0" collapsed="false">
      <c r="A31" s="0" t="s">
        <v>134</v>
      </c>
      <c r="B31" s="0" t="n">
        <f aca="false">L19</f>
        <v>5074.6552326353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87114.914826906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101493.104652706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87114.914826906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36798.2814646826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54232.8540207152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54880.8540207152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226.780388515352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0.218332376250951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17479.6574658298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21704.2632027619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388.697416071516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43557.457413453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99.38904954352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66.7664944294159</v>
      </c>
      <c r="C4" s="0" t="n">
        <f aca="false">B4/Assumptions!$B$2-1</f>
        <v>-0.641310333999055</v>
      </c>
      <c r="D4" s="4" t="n">
        <f aca="false">Assumptions!$B$24</f>
        <v>0.25</v>
      </c>
      <c r="E4" s="4" t="n">
        <f aca="false">DCF_Bear!$B$43</f>
        <v>218.1486516789</v>
      </c>
      <c r="F4" s="4" t="n">
        <f aca="false">DCF_Bear!$B$47</f>
        <v>34.5420688206422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146.720393129333</v>
      </c>
      <c r="C5" s="0" t="n">
        <f aca="false">B5/Assumptions!$B$2-1</f>
        <v>-0.211773970509656</v>
      </c>
      <c r="D5" s="4" t="n">
        <f aca="false">Assumptions!$B$38</f>
        <v>0.5</v>
      </c>
      <c r="E5" s="4" t="n">
        <f aca="false">DCF_Base!$B$43</f>
        <v>310.278523090582</v>
      </c>
      <c r="F5" s="4" t="n">
        <f aca="false">DCF_Base!$B$47</f>
        <v>66.8125865764384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226.780388515352</v>
      </c>
      <c r="C6" s="0" t="n">
        <f aca="false">B6/Assumptions!$B$2-1</f>
        <v>0.218332376250951</v>
      </c>
      <c r="D6" s="4" t="n">
        <f aca="false">Assumptions!$B$52</f>
        <v>0.25</v>
      </c>
      <c r="E6" s="4" t="n">
        <f aca="false">DCF_Bull!$B$43</f>
        <v>388.697416071516</v>
      </c>
      <c r="F6" s="4" t="n">
        <f aca="false">DCF_Bull!$B$47</f>
        <v>99.38904954352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146.746917300858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306.850778482895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-0.268442318405767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24.6047049760731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66.8890728792597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146.720393129333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123.571461967151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106.331738269371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93.0239526867089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66.8125865764384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190.509397143524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190.509397143524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190.509397143524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190.509397143524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190.509397143524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157.638203622663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167.502132394503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175.722073037703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175.722073037703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175.722073037703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132.453812651716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139.03838825677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146.720393129333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155.799126160543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162.295834201226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113.715807499638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118.315112917811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123.571461967151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129.636480101006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136.712334590503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99.2658241123095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102.590960186221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106.331738269371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110.571286763608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115.416485042736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2026-10-02T21:47:49Z</dcterms:created>
  <dc:creator>openpyxl</dc:creator>
  <dc:description/>
  <dc:language>en-NZ</dc:language>
  <cp:lastModifiedBy/>
  <dcterms:modified xsi:type="dcterms:W3CDTF">2026-10-02T21:47:49Z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