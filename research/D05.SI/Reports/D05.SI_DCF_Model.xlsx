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<sst xmlns="http://schemas.openxmlformats.org/spreadsheetml/2006/main" count="373" uniqueCount="179">
  <si>
    <t xml:space="preserve">Ticker</t>
  </si>
  <si>
    <t xml:space="preserve">D05.SI</t>
  </si>
  <si>
    <t xml:space="preserve">Company</t>
  </si>
  <si>
    <t xml:space="preserve">DBS Group Holdings Ltd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</si>
  <si>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</si>
  <si>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</si>
  <si>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</si>
  <si>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</si>
  <si>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2026-10-23T09:13:52Z (SGX regular close, Friday 23 Oct 2026 17:13 SGT)</t>
  </si>
  <si>
    <t xml:space="preserve">Balance sheet date</t>
  </si>
  <si>
    <t xml:space="preserve">2026-06-30</t>
  </si>
  <si>
    <t xml:space="preserve">Model</t>
  </si>
  <si>
    <t xml:space="preserve">Bank FCFE capitalisation at cost of equity (engine route; residual income equivalent on book, net debt zero)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</si>
  <si>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</si>
  <si>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</si>
  <si>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</si>
  <si>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</si>
  <si>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</si>
  <si>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</si>
  <si>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</si>
  <si>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</si>
  <si>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2026-10-24T03:18:44Z</t>
  </si>
  <si>
    <t xml:space="preserve">Drivers file</t>
  </si>
  <si>
    <t xml:space="preserve">D05.SI_Drivers.json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</si>
  <si>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</si>
  <si>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</si>
  <si>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</si>
  <si>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what it can distribute after funding the regulatory capital its growth consumes, discounted at an SGD cost of equity -- never on statutory operating cash flow, which is deposit and loan movement, and never with deposits or wholesale funding treated as net debt. Net profit is the flow; capital retained at g/ROE is the reinvestment; 8.0% is the owner's required return. This is the residual-income answer in FCFE form: at ~16.5% ROE and 3% long-run growth the franchise is worth ~2.7x required book, plus the ~S$4.7bn of surplus CET1 being returned. The ~3.0x book the market pays needs either ROE held near the 1H26 17.5-19% through a falling-rate cycle or a cost of equity nearer 7.5%.
key_risks_to_valuation: NIM: every 10bp on ~S$760bn of average interest-bearing assets is ~S$0.76bn of pre-tax income (~3% of income); 1H26 NIM was already down 20bp YoY.; Credit cycle in Hong Kong/China commercial real estate and trade-exposed SMEs (FY2020 allowances were S$3.1bn vs S$0.8bn FY2025).; Basel III output-floor phase-in to 72.5% by 2029: fully phased CET1 14.6% vs transitional 16.6%; a higher MAS operating expectation would shrink the surplus capital bridge.; Cost of equity sensitivity: at 3.0x book the valuation is dominated by the (ROE - g)/(CoE - g) term; 50bp on CoE moves value ~10%.; Wealth-fee cyclicality: 1H26 wealth fees +33% are market-linked and can reverse quickly in a risk-off year.</t>
  </si>
  <si>
    <t xml:space="preserve">Data sources</t>
  </si>
  <si>
    <t xml:space="preserve">price: Yahoo Finance chart API (D05.SI, SGD) at inputs.price_as_of; 52-week range 52.85-79.05.
financials: D05.SI_Metrics.csv (core_metrics, SGD millions) and kpis table; 1H26 performance summary (D05.SI_HalfYear_H1-2026.txt) for the latest balance sheet, capital adequacy, share count and dividends; FY2025 annual report CFO statement for FY2026 guidance and the S$8bn capital return framework.
qualitative: Filings first; D05.SI_Analysis.json (written in parallel, read at the end of the build) for the 2Q26 raised FY2026 guidance and risk framing.</t>
  </si>
  <si>
    <t xml:space="preserve">Scenario narrative: bear</t>
  </si>
  <si>
    <t xml:space="preserve">A risk-off Asia (Iran war second-order effects, tariffs, Hong Kong/China property) pushes rates and NIM toward 2021 troughs, wealth flows reverse, cost-income rises to 43% and credit costs reach ~30bp. ROE falls to ~14%, and the market re-rates DBS toward its pre-2022 ~1.8x book.</t>
  </si>
  <si>
    <t xml:space="preserve">Scenario narrative: base</t>
  </si>
  <si>
    <t xml:space="preserve">Rate headwind fades through 2027 as hedges and deposit growth offset lower Sora; fees and treasury customer income compound with the Asian wealth franchise; cost-income ~40.5% and credit costs normalise to the guided 17-20bp. ROE settles ~16.5% on required equity, ~70% distributed, and surplus capital is returned on schedule under the S$8bn framework.</t>
  </si>
  <si>
    <t xml:space="preserve">Scenario narrative: bull</t>
  </si>
  <si>
    <t xml:space="preserve">NIM stabilises near 1.9% from 2027, wealth AUM growth continues at high-teens, AI-driven productivity keeps cost-income below 39% and credit costs stay benign. ROE ~18% with 6-7% income growth for five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</si>
  <si>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</si>
  <si>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</si>
  <si>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</si>
  <si>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</si>
  <si>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</si>
  <si>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</si>
  <si>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</si>
  <si>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</si>
  <si>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</si>
  <si>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</si>
  <si>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</si>
  <si>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</si>
  <si>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</si>
  <si>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</si>
  <si>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</si>
  <si>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</si>
  <si>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</si>
  <si>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</si>
  <si>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</si>
  <si>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</si>
  <si>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</si>
  <si>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</si>
  <si>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</si>
  <si>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</si>
  <si>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</si>
  <si>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</si>
  <si>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</si>
  <si>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</si>
  <si>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CET1Ratio</t>
  </si>
  <si>
    <t xml:space="preserve">CostToIncomeRatio</t>
  </si>
  <si>
    <t xml:space="preserve">CreditImpairmentCharge</t>
  </si>
  <si>
    <t xml:space="preserve">CustomerDeposits</t>
  </si>
  <si>
    <t xml:space="preserve">NIM</t>
  </si>
  <si>
    <t xml:space="preserve">NPLRatio</t>
  </si>
  <si>
    <t xml:space="preserve">NetFeeAndCommissionIncome</t>
  </si>
  <si>
    <t xml:space="preserve">NetInterestIncome</t>
  </si>
  <si>
    <t xml:space="preserve">NetLoansAndAdvances</t>
  </si>
  <si>
    <t xml:space="preserve">OperatingExpenses</t>
  </si>
  <si>
    <t xml:space="preserve">ROA</t>
  </si>
  <si>
    <t xml:space="preserve">ROE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</si>
  <si>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</si>
  <si>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</si>
  <si>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</si>
  <si>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</si>
  <si>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</si>
  <si>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</si>
  <si>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</si>
  <si>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</si>
  <si>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</si>
  <si>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</si>
  <si>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</si>
  <si>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</si>
  <si>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</si>
  <si>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</si>
  <si>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</si>
  <si>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</si>
  <si>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</si>
  <si>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</si>
  <si>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</si>
  <si>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</si>
  <si>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</si>
  <si>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</si>
  <si>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</si>
  <si>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</si>
  <si>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</si>
  <si>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</si>
  <si>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</si>
  <si>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</si>
  <si>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</si>
  <si>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</si>
  <si>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</si>
  <si>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</si>
  <si>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</si>
  <si>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</si>
  <si>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</si>
  <si>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</si>
  <si>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</si>
  <si>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</si>
  <si>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</si>
  <si>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</si>
  <si>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</si>
  <si>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</si>
  <si>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</si>
  <si>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</si>
  <si>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</si>
  <si>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</si>
  <si>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</si>
  <si>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</si>
  <si>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D05.SI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</si>
  <si>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</si>
  <si>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</si>
  <si>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</si>
  <si>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</si>
  <si>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</si>
  <si>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</si>
  <si>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</si>
  <si>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</si>
  <si>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</si>
  <si>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</si>
  <si>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</si>
  <si>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</si>
  <si>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</si>
  <si>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</si>
  <si>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</si>
  <si>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</si>
  <si>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</si>
  <si>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</si>
  <si>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</si>
  <si>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</si>
  <si>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</si>
  <si>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</si>
  <si>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</si>
  <si>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</si>
  <si>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</si>
  <si>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</si>
  <si>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</si>
  <si>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</si>
  <si>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</si>
  <si>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</si>
  <si>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D05.SI owner-FCF component DCF: base case (millions, SGD)</t>
  </si>
  <si>
    <t xml:space="preserve">D05.SI owner-FCF component DCF: bull case (millions, SGD)</t>
  </si>
  <si>
    <t xml:space="preserve">D05.SI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</si>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</sst>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74.44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</row>
    <row r="2" customFormat="false" ht="15" hidden="false" customHeight="false" outlineLevel="0" collapsed="false">
      <c r="A2" s="0" t="s">
        <v>76</v>
      </c>
      <c r="B2" s="0" t="n">
        <v>11489</v>
      </c>
      <c r="F2" s="0" t="n">
        <v>5083</v>
      </c>
      <c r="G2" s="0" t="n">
        <v>44.2</v>
      </c>
      <c r="I2" s="0" t="n">
        <v>4238</v>
      </c>
      <c r="J2" s="0" t="n">
        <v>36.9</v>
      </c>
      <c r="K2" s="0" t="n">
        <v>1.66</v>
      </c>
      <c r="L2" s="0" t="n">
        <v>9437</v>
      </c>
      <c r="O2" s="0" t="n">
        <v>44609</v>
      </c>
      <c r="P2" s="0" t="n">
        <v>481570</v>
      </c>
      <c r="Q2" s="0" t="n">
        <v>434600</v>
      </c>
      <c r="S2" s="0" t="n">
        <v>20132</v>
      </c>
      <c r="T2" s="0" t="n">
        <v>2517</v>
      </c>
      <c r="U2" s="0" t="n">
        <v>109</v>
      </c>
      <c r="AA2" s="0" t="s">
        <v>17</v>
      </c>
      <c r="AB2" s="0" t="s">
        <v>14</v>
      </c>
      <c r="AC2" s="0" t="n">
        <v>16.87</v>
      </c>
      <c r="AE2" s="0" t="n">
        <v>43.3</v>
      </c>
      <c r="AF2" s="0" t="n">
        <v>1434</v>
      </c>
      <c r="AG2" s="0" t="n">
        <v>347446</v>
      </c>
      <c r="AH2" s="0" t="n">
        <v>1.8</v>
      </c>
      <c r="AI2" s="0" t="n">
        <v>1.4</v>
      </c>
      <c r="AJ2" s="0" t="n">
        <v>2331</v>
      </c>
      <c r="AK2" s="0" t="n">
        <v>7305</v>
      </c>
      <c r="AL2" s="0" t="n">
        <v>301516</v>
      </c>
      <c r="AM2" s="0" t="n">
        <v>4972</v>
      </c>
      <c r="AN2" s="0" t="n">
        <v>0.92</v>
      </c>
      <c r="AO2" s="0" t="n">
        <v>10.1</v>
      </c>
    </row>
    <row r="3" customFormat="false" ht="15" hidden="false" customHeight="false" outlineLevel="0" collapsed="false">
      <c r="A3" s="0" t="s">
        <v>77</v>
      </c>
      <c r="B3" s="0" t="n">
        <v>11924</v>
      </c>
      <c r="F3" s="0" t="n">
        <v>5250</v>
      </c>
      <c r="G3" s="0" t="n">
        <v>44</v>
      </c>
      <c r="I3" s="0" t="n">
        <v>4371</v>
      </c>
      <c r="J3" s="0" t="n">
        <v>36.7</v>
      </c>
      <c r="K3" s="0" t="n">
        <v>1.69</v>
      </c>
      <c r="L3" s="0" t="n">
        <v>-3122</v>
      </c>
      <c r="O3" s="0" t="n">
        <v>47458</v>
      </c>
      <c r="P3" s="0" t="n">
        <v>517711</v>
      </c>
      <c r="Q3" s="0" t="n">
        <v>467909</v>
      </c>
      <c r="S3" s="0" t="n">
        <v>18693</v>
      </c>
      <c r="T3" s="0" t="n">
        <v>2549.597</v>
      </c>
      <c r="U3" s="0" t="n">
        <v>110</v>
      </c>
      <c r="AA3" s="0" t="s">
        <v>17</v>
      </c>
      <c r="AB3" s="0" t="s">
        <v>14</v>
      </c>
      <c r="AC3" s="0" t="n">
        <v>17.85</v>
      </c>
      <c r="AE3" s="0" t="n">
        <v>43</v>
      </c>
      <c r="AF3" s="0" t="n">
        <v>1544</v>
      </c>
      <c r="AG3" s="0" t="n">
        <v>373634</v>
      </c>
      <c r="AH3" s="0" t="n">
        <v>1.75</v>
      </c>
      <c r="AJ3" s="0" t="n">
        <v>2622</v>
      </c>
      <c r="AK3" s="0" t="n">
        <v>7791</v>
      </c>
      <c r="AL3" s="0" t="n">
        <v>323099</v>
      </c>
      <c r="AM3" s="0" t="n">
        <v>5130</v>
      </c>
      <c r="AN3" s="0" t="n">
        <v>0.89</v>
      </c>
      <c r="AO3" s="0" t="n">
        <v>9.7</v>
      </c>
    </row>
    <row r="4" customFormat="false" ht="15" hidden="false" customHeight="false" outlineLevel="0" collapsed="false">
      <c r="A4" s="0" t="s">
        <v>78</v>
      </c>
      <c r="B4" s="0" t="n">
        <v>13183</v>
      </c>
      <c r="F4" s="0" t="n">
        <v>6675</v>
      </c>
      <c r="G4" s="0" t="n">
        <v>50.6</v>
      </c>
      <c r="I4" s="0" t="n">
        <v>5577</v>
      </c>
      <c r="J4" s="0" t="n">
        <v>42.3</v>
      </c>
      <c r="K4" s="0" t="n">
        <v>2.15</v>
      </c>
      <c r="L4" s="0" t="n">
        <v>-1283</v>
      </c>
      <c r="O4" s="0" t="n">
        <v>49045</v>
      </c>
      <c r="P4" s="0" t="n">
        <v>550751</v>
      </c>
      <c r="Q4" s="0" t="n">
        <v>500876</v>
      </c>
      <c r="S4" s="0" t="n">
        <v>14221</v>
      </c>
      <c r="T4" s="0" t="n">
        <v>2559.464</v>
      </c>
      <c r="U4" s="0" t="n">
        <v>112</v>
      </c>
      <c r="AA4" s="0" t="s">
        <v>17</v>
      </c>
      <c r="AB4" s="0" t="s">
        <v>14</v>
      </c>
      <c r="AC4" s="0" t="n">
        <v>18.12</v>
      </c>
      <c r="AE4" s="0" t="n">
        <v>44</v>
      </c>
      <c r="AF4" s="0" t="n">
        <v>710</v>
      </c>
      <c r="AG4" s="0" t="n">
        <v>393785</v>
      </c>
      <c r="AH4" s="0" t="n">
        <v>1.85</v>
      </c>
      <c r="AI4" s="0" t="n">
        <v>1.5</v>
      </c>
      <c r="AJ4" s="0" t="n">
        <v>2780</v>
      </c>
      <c r="AK4" s="0" t="n">
        <v>8955</v>
      </c>
      <c r="AL4" s="0" t="n">
        <v>345003</v>
      </c>
      <c r="AM4" s="0" t="n">
        <v>5798</v>
      </c>
      <c r="AN4" s="0" t="n">
        <v>1.05</v>
      </c>
      <c r="AO4" s="0" t="n">
        <v>12.1</v>
      </c>
    </row>
    <row r="5" customFormat="false" ht="15" hidden="false" customHeight="false" outlineLevel="0" collapsed="false">
      <c r="A5" s="0" t="s">
        <v>79</v>
      </c>
      <c r="B5" s="0" t="n">
        <v>14544</v>
      </c>
      <c r="F5" s="0" t="n">
        <v>7583</v>
      </c>
      <c r="G5" s="0" t="n">
        <v>52.1</v>
      </c>
      <c r="I5" s="0" t="n">
        <v>6391</v>
      </c>
      <c r="J5" s="0" t="n">
        <v>43.9</v>
      </c>
      <c r="K5" s="0" t="n">
        <v>2.46</v>
      </c>
      <c r="L5" s="0" t="n">
        <v>11186</v>
      </c>
      <c r="O5" s="0" t="n">
        <v>50981</v>
      </c>
      <c r="P5" s="0" t="n">
        <v>578946</v>
      </c>
      <c r="Q5" s="0" t="n">
        <v>527147</v>
      </c>
      <c r="S5" s="0" t="n">
        <v>19935</v>
      </c>
      <c r="T5" s="0" t="n">
        <v>2555.616</v>
      </c>
      <c r="U5" s="0" t="n">
        <v>120</v>
      </c>
      <c r="AA5" s="0" t="s">
        <v>17</v>
      </c>
      <c r="AB5" s="0" t="s">
        <v>14</v>
      </c>
      <c r="AC5" s="0" t="n">
        <v>19.17</v>
      </c>
      <c r="AE5" s="0" t="n">
        <v>43</v>
      </c>
      <c r="AF5" s="0" t="n">
        <v>703</v>
      </c>
      <c r="AG5" s="0" t="n">
        <v>404289</v>
      </c>
      <c r="AH5" s="0" t="n">
        <v>1.89</v>
      </c>
      <c r="AI5" s="0" t="n">
        <v>1.5</v>
      </c>
      <c r="AJ5" s="0" t="n">
        <v>3052</v>
      </c>
      <c r="AK5" s="0" t="n">
        <v>9625</v>
      </c>
      <c r="AL5" s="0" t="n">
        <v>357884</v>
      </c>
      <c r="AM5" s="0" t="n">
        <v>6258</v>
      </c>
      <c r="AN5" s="0" t="n">
        <v>1.13</v>
      </c>
      <c r="AO5" s="0" t="n">
        <v>13.2</v>
      </c>
    </row>
    <row r="6" customFormat="false" ht="15" hidden="false" customHeight="false" outlineLevel="0" collapsed="false">
      <c r="A6" s="0" t="s">
        <v>80</v>
      </c>
      <c r="B6" s="0" t="n">
        <v>14592</v>
      </c>
      <c r="F6" s="0" t="n">
        <v>5368</v>
      </c>
      <c r="G6" s="0" t="n">
        <v>36.8</v>
      </c>
      <c r="I6" s="0" t="n">
        <v>4721</v>
      </c>
      <c r="J6" s="0" t="n">
        <v>32.4</v>
      </c>
      <c r="K6" s="0" t="n">
        <v>1.81</v>
      </c>
      <c r="L6" s="0" t="n">
        <v>24881</v>
      </c>
      <c r="O6" s="0" t="n">
        <v>54626</v>
      </c>
      <c r="P6" s="0" t="n">
        <v>649938</v>
      </c>
      <c r="Q6" s="0" t="n">
        <v>595295</v>
      </c>
      <c r="S6" s="0" t="n">
        <v>42202</v>
      </c>
      <c r="T6" s="0" t="n">
        <v>2543.231</v>
      </c>
      <c r="U6" s="0" t="n">
        <v>131</v>
      </c>
      <c r="AA6" s="0" t="s">
        <v>17</v>
      </c>
      <c r="AB6" s="0" t="s">
        <v>14</v>
      </c>
      <c r="AC6" s="0" t="n">
        <v>20.08</v>
      </c>
      <c r="AE6" s="0" t="n">
        <v>42.2</v>
      </c>
      <c r="AF6" s="0" t="n">
        <v>3066</v>
      </c>
      <c r="AG6" s="0" t="n">
        <v>464850</v>
      </c>
      <c r="AH6" s="0" t="n">
        <v>1.62</v>
      </c>
      <c r="AI6" s="0" t="n">
        <v>1.6</v>
      </c>
      <c r="AJ6" s="0" t="n">
        <v>3058</v>
      </c>
      <c r="AK6" s="0" t="n">
        <v>9076</v>
      </c>
      <c r="AL6" s="0" t="n">
        <v>371171</v>
      </c>
      <c r="AM6" s="0" t="n">
        <v>6158</v>
      </c>
      <c r="AN6" s="0" t="n">
        <v>0.75</v>
      </c>
      <c r="AO6" s="0" t="n">
        <v>9.1</v>
      </c>
    </row>
    <row r="7" customFormat="false" ht="15" hidden="false" customHeight="false" outlineLevel="0" collapsed="false">
      <c r="A7" s="0" t="s">
        <v>81</v>
      </c>
      <c r="B7" s="0" t="n">
        <v>14297</v>
      </c>
      <c r="F7" s="0" t="n">
        <v>7776</v>
      </c>
      <c r="G7" s="0" t="n">
        <v>54.4</v>
      </c>
      <c r="I7" s="0" t="n">
        <v>6805</v>
      </c>
      <c r="J7" s="0" t="n">
        <v>47.6</v>
      </c>
      <c r="K7" s="0" t="n">
        <v>2.61</v>
      </c>
      <c r="L7" s="0" t="n">
        <v>7731</v>
      </c>
      <c r="O7" s="0" t="n">
        <v>57526</v>
      </c>
      <c r="P7" s="0" t="n">
        <v>686073</v>
      </c>
      <c r="Q7" s="0" t="n">
        <v>628359</v>
      </c>
      <c r="S7" s="0" t="n">
        <v>46690</v>
      </c>
      <c r="T7" s="0" t="n">
        <v>2562.334</v>
      </c>
      <c r="U7" s="0" t="n">
        <v>134</v>
      </c>
      <c r="AA7" s="0" t="s">
        <v>17</v>
      </c>
      <c r="AB7" s="0" t="s">
        <v>14</v>
      </c>
      <c r="AC7" s="0" t="n">
        <v>21.47</v>
      </c>
      <c r="AD7" s="0" t="n">
        <v>14.4</v>
      </c>
      <c r="AE7" s="0" t="n">
        <v>45.2</v>
      </c>
      <c r="AF7" s="0" t="n">
        <v>52</v>
      </c>
      <c r="AG7" s="0" t="n">
        <v>501959</v>
      </c>
      <c r="AH7" s="0" t="n">
        <v>1.45</v>
      </c>
      <c r="AI7" s="0" t="n">
        <v>1.3</v>
      </c>
      <c r="AJ7" s="0" t="n">
        <v>3524</v>
      </c>
      <c r="AK7" s="0" t="n">
        <v>8440</v>
      </c>
      <c r="AL7" s="0" t="n">
        <v>408993</v>
      </c>
      <c r="AM7" s="0" t="n">
        <v>6469</v>
      </c>
      <c r="AN7" s="0" t="n">
        <v>1.02</v>
      </c>
      <c r="AO7" s="0" t="n">
        <v>12.5</v>
      </c>
    </row>
    <row r="8" customFormat="false" ht="15" hidden="false" customHeight="false" outlineLevel="0" collapsed="false">
      <c r="A8" s="0" t="s">
        <v>82</v>
      </c>
      <c r="B8" s="0" t="n">
        <v>16502</v>
      </c>
      <c r="F8" s="0" t="n">
        <v>9382</v>
      </c>
      <c r="G8" s="0" t="n">
        <v>56.9</v>
      </c>
      <c r="I8" s="0" t="n">
        <v>8193</v>
      </c>
      <c r="J8" s="0" t="n">
        <v>49.6</v>
      </c>
      <c r="K8" s="0" t="n">
        <v>3.15</v>
      </c>
      <c r="L8" s="0" t="n">
        <v>2769</v>
      </c>
      <c r="O8" s="0" t="n">
        <v>56887</v>
      </c>
      <c r="P8" s="0" t="n">
        <v>743368</v>
      </c>
      <c r="Q8" s="0" t="n">
        <v>686296</v>
      </c>
      <c r="S8" s="0" t="n">
        <v>43976</v>
      </c>
      <c r="T8" s="0" t="n">
        <v>2572.833</v>
      </c>
      <c r="U8" s="0" t="n">
        <v>134</v>
      </c>
      <c r="AA8" s="0" t="s">
        <v>17</v>
      </c>
      <c r="AB8" s="0" t="s">
        <v>14</v>
      </c>
      <c r="AC8" s="0" t="n">
        <v>21.17</v>
      </c>
      <c r="AD8" s="0" t="n">
        <v>14.6</v>
      </c>
      <c r="AE8" s="0" t="n">
        <v>43</v>
      </c>
      <c r="AF8" s="0" t="n">
        <v>237</v>
      </c>
      <c r="AG8" s="0" t="n">
        <v>527000</v>
      </c>
      <c r="AH8" s="0" t="n">
        <v>1.75</v>
      </c>
      <c r="AI8" s="0" t="n">
        <v>1.1</v>
      </c>
      <c r="AJ8" s="0" t="n">
        <v>3091</v>
      </c>
      <c r="AK8" s="0" t="n">
        <v>10719</v>
      </c>
      <c r="AL8" s="0" t="n">
        <v>414519</v>
      </c>
      <c r="AM8" s="0" t="n">
        <v>7090</v>
      </c>
      <c r="AN8" s="0" t="n">
        <v>1.12</v>
      </c>
      <c r="AO8" s="0" t="n">
        <v>15</v>
      </c>
    </row>
    <row r="9" customFormat="false" ht="15" hidden="false" customHeight="false" outlineLevel="0" collapsed="false">
      <c r="A9" s="0" t="s">
        <v>83</v>
      </c>
      <c r="B9" s="0" t="n">
        <v>20180</v>
      </c>
      <c r="F9" s="0" t="n">
        <v>11739</v>
      </c>
      <c r="G9" s="0" t="n">
        <v>58.2</v>
      </c>
      <c r="I9" s="0" t="n">
        <v>10062</v>
      </c>
      <c r="J9" s="0" t="n">
        <v>49.9</v>
      </c>
      <c r="K9" s="0" t="n">
        <v>3.87</v>
      </c>
      <c r="L9" s="0" t="n">
        <v>5166</v>
      </c>
      <c r="O9" s="0" t="n">
        <v>62065</v>
      </c>
      <c r="P9" s="0" t="n">
        <v>739301</v>
      </c>
      <c r="Q9" s="0" t="n">
        <v>677054</v>
      </c>
      <c r="S9" s="0" t="n">
        <v>39875</v>
      </c>
      <c r="T9" s="0" t="n">
        <v>2578.277</v>
      </c>
      <c r="U9" s="0" t="n">
        <v>178</v>
      </c>
      <c r="AA9" s="0" t="s">
        <v>17</v>
      </c>
      <c r="AB9" s="0" t="s">
        <v>14</v>
      </c>
      <c r="AC9" s="0" t="n">
        <v>23.14</v>
      </c>
      <c r="AD9" s="0" t="n">
        <v>14.6</v>
      </c>
      <c r="AE9" s="0" t="n">
        <v>39.9</v>
      </c>
      <c r="AF9" s="0" t="n">
        <v>590</v>
      </c>
      <c r="AG9" s="0" t="n">
        <v>535103</v>
      </c>
      <c r="AH9" s="0" t="n">
        <v>2.15</v>
      </c>
      <c r="AI9" s="0" t="n">
        <v>1.1</v>
      </c>
      <c r="AJ9" s="0" t="n">
        <v>3384</v>
      </c>
      <c r="AK9" s="0" t="n">
        <v>14286</v>
      </c>
      <c r="AL9" s="0" t="n">
        <v>416163</v>
      </c>
      <c r="AM9" s="0" t="n">
        <v>8056</v>
      </c>
      <c r="AN9" s="0" t="n">
        <v>1.38</v>
      </c>
      <c r="AO9" s="0" t="n">
        <v>18</v>
      </c>
    </row>
    <row r="10" customFormat="false" ht="15" hidden="false" customHeight="false" outlineLevel="0" collapsed="false">
      <c r="A10" s="0" t="s">
        <v>84</v>
      </c>
      <c r="B10" s="0" t="n">
        <v>22297</v>
      </c>
      <c r="F10" s="0" t="n">
        <v>13007</v>
      </c>
      <c r="G10" s="0" t="n">
        <v>58.3</v>
      </c>
      <c r="I10" s="0" t="n">
        <v>11289</v>
      </c>
      <c r="J10" s="0" t="n">
        <v>50.6</v>
      </c>
      <c r="K10" s="0" t="n">
        <v>3.94</v>
      </c>
      <c r="L10" s="0" t="n">
        <v>15341</v>
      </c>
      <c r="O10" s="0" t="n">
        <v>68786</v>
      </c>
      <c r="P10" s="0" t="n">
        <v>827219</v>
      </c>
      <c r="Q10" s="0" t="n">
        <v>758386</v>
      </c>
      <c r="S10" s="0" t="n">
        <v>47352</v>
      </c>
      <c r="T10" s="0" t="n">
        <v>2843</v>
      </c>
      <c r="U10" s="0" t="n">
        <v>177</v>
      </c>
      <c r="AA10" s="0" t="s">
        <v>17</v>
      </c>
      <c r="AB10" s="0" t="s">
        <v>14</v>
      </c>
      <c r="AC10" s="0" t="n">
        <v>23.38</v>
      </c>
      <c r="AD10" s="0" t="n">
        <v>17</v>
      </c>
      <c r="AE10" s="0" t="n">
        <v>39.9</v>
      </c>
      <c r="AF10" s="0" t="n">
        <v>622</v>
      </c>
      <c r="AG10" s="0" t="n">
        <v>561730</v>
      </c>
      <c r="AH10" s="0" t="n">
        <v>2.13</v>
      </c>
      <c r="AI10" s="0" t="n">
        <v>1.1</v>
      </c>
      <c r="AJ10" s="0" t="n">
        <v>4168</v>
      </c>
      <c r="AK10" s="0" t="n">
        <v>15043</v>
      </c>
      <c r="AL10" s="0" t="n">
        <v>430594</v>
      </c>
      <c r="AM10" s="0" t="n">
        <v>8895</v>
      </c>
      <c r="AN10" s="0" t="n">
        <v>1.45</v>
      </c>
      <c r="AO10" s="0" t="n">
        <v>18</v>
      </c>
    </row>
    <row r="11" customFormat="false" ht="15" hidden="false" customHeight="false" outlineLevel="0" collapsed="false">
      <c r="A11" s="0" t="s">
        <v>85</v>
      </c>
      <c r="B11" s="0" t="n">
        <v>22900</v>
      </c>
      <c r="F11" s="0" t="n">
        <v>13099</v>
      </c>
      <c r="G11" s="0" t="n">
        <v>57.2</v>
      </c>
      <c r="I11" s="0" t="n">
        <v>10933</v>
      </c>
      <c r="J11" s="0" t="n">
        <v>47.7</v>
      </c>
      <c r="K11" s="0" t="n">
        <v>3.82</v>
      </c>
      <c r="L11" s="0" t="n">
        <v>11024</v>
      </c>
      <c r="O11" s="0" t="n">
        <v>68867</v>
      </c>
      <c r="P11" s="0" t="n">
        <v>897488</v>
      </c>
      <c r="Q11" s="0" t="n">
        <v>828572</v>
      </c>
      <c r="S11" s="0" t="n">
        <v>46382</v>
      </c>
      <c r="T11" s="0" t="n">
        <v>2850</v>
      </c>
      <c r="U11" s="0" t="n">
        <v>203</v>
      </c>
      <c r="AA11" s="0" t="s">
        <v>17</v>
      </c>
      <c r="AB11" s="0" t="s">
        <v>14</v>
      </c>
      <c r="AC11" s="0" t="n">
        <v>24.29</v>
      </c>
      <c r="AD11" s="0" t="n">
        <v>17</v>
      </c>
      <c r="AE11" s="0" t="n">
        <v>40.4</v>
      </c>
      <c r="AF11" s="0" t="n">
        <v>791</v>
      </c>
      <c r="AG11" s="0" t="n">
        <v>610023</v>
      </c>
      <c r="AH11" s="0" t="n">
        <v>2.01</v>
      </c>
      <c r="AI11" s="0" t="n">
        <v>1</v>
      </c>
      <c r="AJ11" s="0" t="n">
        <v>4898</v>
      </c>
      <c r="AK11" s="0" t="n">
        <v>14500</v>
      </c>
      <c r="AL11" s="0" t="n">
        <v>445011</v>
      </c>
      <c r="AM11" s="0" t="n">
        <v>9249</v>
      </c>
      <c r="AN11" s="0" t="n">
        <v>1.29</v>
      </c>
      <c r="AO11" s="0" t="n">
        <v>16.2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86</v>
      </c>
      <c r="B1" s="2" t="s">
        <v>87</v>
      </c>
    </row>
    <row r="2" customFormat="false" ht="15" hidden="false" customHeight="false" outlineLevel="0" collapsed="false">
      <c r="A2" s="0" t="s">
        <v>88</v>
      </c>
      <c r="B2" s="3" t="n">
        <v>74.44</v>
      </c>
    </row>
    <row r="3" customFormat="false" ht="15" hidden="false" customHeight="false" outlineLevel="0" collapsed="false">
      <c r="A3" s="0" t="s">
        <v>89</v>
      </c>
      <c r="B3" s="3" t="n">
        <v>2853</v>
      </c>
    </row>
    <row r="4" customFormat="false" ht="15" hidden="false" customHeight="false" outlineLevel="0" collapsed="false">
      <c r="A4" s="0" t="s">
        <v>90</v>
      </c>
      <c r="B4" s="3" t="n">
        <v>0</v>
      </c>
    </row>
    <row r="5" customFormat="false" ht="15" hidden="false" customHeight="false" outlineLevel="0" collapsed="false">
      <c r="A5" s="0" t="s">
        <v>91</v>
      </c>
      <c r="B5" s="3" t="n">
        <v>4700</v>
      </c>
    </row>
    <row r="6" customFormat="false" ht="15" hidden="false" customHeight="false" outlineLevel="0" collapsed="false">
      <c r="A6" s="0" t="s">
        <v>92</v>
      </c>
      <c r="B6" s="3" t="n">
        <v>15</v>
      </c>
    </row>
    <row r="7" customFormat="false" ht="15" hidden="false" customHeight="false" outlineLevel="0" collapsed="false">
      <c r="A7" s="0" t="s">
        <v>93</v>
      </c>
      <c r="B7" s="3" t="n">
        <v>23750</v>
      </c>
    </row>
    <row r="8" customFormat="false" ht="15" hidden="false" customHeight="false" outlineLevel="0" collapsed="false">
      <c r="A8" s="0" t="s">
        <v>94</v>
      </c>
      <c r="B8" s="3" t="s">
        <v>95</v>
      </c>
    </row>
    <row r="9" customFormat="false" ht="15" hidden="false" customHeight="false" outlineLevel="0" collapsed="false">
      <c r="A9" s="0" t="s">
        <v>96</v>
      </c>
      <c r="B9" s="3" t="s">
        <v>97</v>
      </c>
    </row>
    <row r="10" customFormat="false" ht="15" hidden="false" customHeight="false" outlineLevel="0" collapsed="false">
      <c r="A10" s="0" t="s">
        <v>98</v>
      </c>
      <c r="B10" s="3" t="n">
        <v>1</v>
      </c>
    </row>
    <row r="12" customFormat="false" ht="15" hidden="false" customHeight="false" outlineLevel="0" collapsed="false">
      <c r="A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  <c r="K12" s="2" t="s">
        <v>108</v>
      </c>
      <c r="L12" s="2" t="s">
        <v>109</v>
      </c>
    </row>
    <row r="13" customFormat="false" ht="15" hidden="false" customHeight="false" outlineLevel="0" collapsed="false">
      <c r="A13" s="0" t="s">
        <v>110</v>
      </c>
      <c r="C13" s="3" t="n">
        <v>0</v>
      </c>
      <c r="D13" s="3" t="n">
        <v>2</v>
      </c>
      <c r="E13" s="3" t="n">
        <v>3</v>
      </c>
      <c r="F13" s="3" t="n">
        <v>3.5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111</v>
      </c>
      <c r="C14" s="3" t="n">
        <v>52.4</v>
      </c>
      <c r="D14" s="3" t="n">
        <v>52.4</v>
      </c>
      <c r="E14" s="3" t="n">
        <v>52.4</v>
      </c>
      <c r="F14" s="3" t="n">
        <v>52.4</v>
      </c>
      <c r="G14" s="3" t="n">
        <v>52.4</v>
      </c>
      <c r="H14" s="3" t="n">
        <v>52.4</v>
      </c>
      <c r="I14" s="3" t="n">
        <v>52.4</v>
      </c>
      <c r="J14" s="3" t="n">
        <v>52.4</v>
      </c>
      <c r="K14" s="3" t="n">
        <v>52.4</v>
      </c>
      <c r="L14" s="3" t="n">
        <v>52.4</v>
      </c>
    </row>
    <row r="15" customFormat="false" ht="15" hidden="false" customHeight="false" outlineLevel="0" collapsed="false">
      <c r="A15" s="0" t="s">
        <v>112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113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115</v>
      </c>
      <c r="C18" s="3" t="n">
        <v>0</v>
      </c>
      <c r="D18" s="3" t="n">
        <v>6.1</v>
      </c>
      <c r="E18" s="3" t="n">
        <v>9.1</v>
      </c>
      <c r="F18" s="3" t="n">
        <v>10.7</v>
      </c>
      <c r="G18" s="3" t="n">
        <v>10.7</v>
      </c>
      <c r="H18" s="3" t="n">
        <v>9.1</v>
      </c>
      <c r="I18" s="3" t="n">
        <v>9.1</v>
      </c>
      <c r="J18" s="3" t="n">
        <v>7.6</v>
      </c>
      <c r="K18" s="3" t="n">
        <v>7.6</v>
      </c>
      <c r="L18" s="3" t="n">
        <v>7.6</v>
      </c>
    </row>
    <row r="19" customFormat="false" ht="15" hidden="false" customHeight="false" outlineLevel="0" collapsed="false">
      <c r="A19" s="0" t="s">
        <v>116</v>
      </c>
      <c r="C19" s="3" t="n">
        <v>17</v>
      </c>
      <c r="D19" s="3" t="n">
        <v>17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117</v>
      </c>
      <c r="B20" s="3" t="n">
        <v>8</v>
      </c>
    </row>
    <row r="21" customFormat="false" ht="15" hidden="false" customHeight="false" outlineLevel="0" collapsed="false">
      <c r="A21" s="0" t="s">
        <v>118</v>
      </c>
      <c r="B21" s="3" t="n">
        <v>2.5</v>
      </c>
    </row>
    <row r="22" customFormat="false" ht="15" hidden="false" customHeight="false" outlineLevel="0" collapsed="false">
      <c r="A22" s="0" t="s">
        <v>119</v>
      </c>
      <c r="B22" s="3" t="n">
        <v>16</v>
      </c>
    </row>
    <row r="23" customFormat="false" ht="15" hidden="false" customHeight="false" outlineLevel="0" collapsed="false">
      <c r="A23" s="0" t="s">
        <v>120</v>
      </c>
      <c r="B23" s="3" t="n">
        <v>0</v>
      </c>
    </row>
    <row r="24" customFormat="false" ht="15" hidden="false" customHeight="false" outlineLevel="0" collapsed="false">
      <c r="A24" s="0" t="s">
        <v>121</v>
      </c>
      <c r="B24" s="3" t="n">
        <v>0.25</v>
      </c>
    </row>
    <row r="26" customFormat="false" ht="15" hidden="false" customHeight="false" outlineLevel="0" collapsed="false">
      <c r="A26" s="2" t="s">
        <v>122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105</v>
      </c>
      <c r="I26" s="2" t="s">
        <v>106</v>
      </c>
      <c r="J26" s="2" t="s">
        <v>107</v>
      </c>
      <c r="K26" s="2" t="s">
        <v>108</v>
      </c>
      <c r="L26" s="2" t="s">
        <v>109</v>
      </c>
    </row>
    <row r="27" customFormat="false" ht="15" hidden="false" customHeight="false" outlineLevel="0" collapsed="false">
      <c r="A27" s="0" t="s">
        <v>110</v>
      </c>
      <c r="C27" s="3" t="n">
        <v>4.5</v>
      </c>
      <c r="D27" s="3" t="n">
        <v>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111</v>
      </c>
      <c r="C28" s="3" t="n">
        <v>57.9</v>
      </c>
      <c r="D28" s="3" t="n">
        <v>57.9</v>
      </c>
      <c r="E28" s="3" t="n">
        <v>57.8</v>
      </c>
      <c r="F28" s="3" t="n">
        <v>57.7</v>
      </c>
      <c r="G28" s="3" t="n">
        <v>57.6</v>
      </c>
      <c r="H28" s="3" t="n">
        <v>57.5</v>
      </c>
      <c r="I28" s="3" t="n">
        <v>57.5</v>
      </c>
      <c r="J28" s="3" t="n">
        <v>57.5</v>
      </c>
      <c r="K28" s="3" t="n">
        <v>57.5</v>
      </c>
      <c r="L28" s="3" t="n">
        <v>57.5</v>
      </c>
    </row>
    <row r="29" customFormat="false" ht="15" hidden="false" customHeight="false" outlineLevel="0" collapsed="false">
      <c r="A29" s="0" t="s">
        <v>112</v>
      </c>
      <c r="C29" s="3" t="n">
        <v>0.9</v>
      </c>
      <c r="D29" s="3" t="n">
        <v>0.9</v>
      </c>
      <c r="E29" s="3" t="n">
        <v>0.9</v>
      </c>
      <c r="F29" s="3" t="n">
        <v>0.9</v>
      </c>
      <c r="G29" s="3" t="n">
        <v>0.9</v>
      </c>
      <c r="H29" s="3" t="n">
        <v>0.9</v>
      </c>
      <c r="I29" s="3" t="n">
        <v>0.9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113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114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115</v>
      </c>
      <c r="C32" s="3" t="n">
        <v>13</v>
      </c>
      <c r="D32" s="3" t="n">
        <v>14.4</v>
      </c>
      <c r="E32" s="3" t="n">
        <v>14.4</v>
      </c>
      <c r="F32" s="3" t="n">
        <v>14.4</v>
      </c>
      <c r="G32" s="3" t="n">
        <v>13</v>
      </c>
      <c r="H32" s="3" t="n">
        <v>11.5</v>
      </c>
      <c r="I32" s="3" t="n">
        <v>11.5</v>
      </c>
      <c r="J32" s="3" t="n">
        <v>10.1</v>
      </c>
      <c r="K32" s="3" t="n">
        <v>10.1</v>
      </c>
      <c r="L32" s="3" t="n">
        <v>8.7</v>
      </c>
    </row>
    <row r="33" customFormat="false" ht="15" hidden="false" customHeight="false" outlineLevel="0" collapsed="false">
      <c r="A33" s="0" t="s">
        <v>116</v>
      </c>
      <c r="C33" s="3" t="n">
        <v>16.5</v>
      </c>
      <c r="D33" s="3" t="n">
        <v>16.5</v>
      </c>
      <c r="E33" s="3" t="n">
        <v>17</v>
      </c>
      <c r="F33" s="3" t="n">
        <v>17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117</v>
      </c>
      <c r="B34" s="3" t="n">
        <v>8</v>
      </c>
    </row>
    <row r="35" customFormat="false" ht="15" hidden="false" customHeight="false" outlineLevel="0" collapsed="false">
      <c r="A35" s="0" t="s">
        <v>118</v>
      </c>
      <c r="B35" s="3" t="n">
        <v>3</v>
      </c>
    </row>
    <row r="36" customFormat="false" ht="15" hidden="false" customHeight="false" outlineLevel="0" collapsed="false">
      <c r="A36" s="0" t="s">
        <v>119</v>
      </c>
      <c r="B36" s="3" t="n">
        <v>22</v>
      </c>
    </row>
    <row r="37" customFormat="false" ht="15" hidden="false" customHeight="false" outlineLevel="0" collapsed="false">
      <c r="A37" s="0" t="s">
        <v>120</v>
      </c>
      <c r="B37" s="3" t="n">
        <v>0</v>
      </c>
    </row>
    <row r="38" customFormat="false" ht="15" hidden="false" customHeight="false" outlineLevel="0" collapsed="false">
      <c r="A38" s="0" t="s">
        <v>121</v>
      </c>
      <c r="B38" s="3" t="n">
        <v>0.5</v>
      </c>
    </row>
    <row r="40" customFormat="false" ht="15" hidden="false" customHeight="false" outlineLevel="0" collapsed="false">
      <c r="A40" s="2" t="s">
        <v>123</v>
      </c>
      <c r="C40" s="2" t="s">
        <v>100</v>
      </c>
      <c r="D40" s="2" t="s">
        <v>101</v>
      </c>
      <c r="E40" s="2" t="s">
        <v>102</v>
      </c>
      <c r="F40" s="2" t="s">
        <v>103</v>
      </c>
      <c r="G40" s="2" t="s">
        <v>104</v>
      </c>
      <c r="H40" s="2" t="s">
        <v>105</v>
      </c>
      <c r="I40" s="2" t="s">
        <v>106</v>
      </c>
      <c r="J40" s="2" t="s">
        <v>107</v>
      </c>
      <c r="K40" s="2" t="s">
        <v>108</v>
      </c>
      <c r="L40" s="2" t="s">
        <v>109</v>
      </c>
    </row>
    <row r="41" customFormat="false" ht="15" hidden="false" customHeight="false" outlineLevel="0" collapsed="false">
      <c r="A41" s="0" t="s">
        <v>110</v>
      </c>
      <c r="C41" s="3" t="n">
        <v>6</v>
      </c>
      <c r="D41" s="3" t="n">
        <v>7</v>
      </c>
      <c r="E41" s="3" t="n">
        <v>7</v>
      </c>
      <c r="F41" s="3" t="n">
        <v>6.5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111</v>
      </c>
      <c r="C42" s="3" t="n">
        <v>59.9</v>
      </c>
      <c r="D42" s="3" t="n">
        <v>59.9</v>
      </c>
      <c r="E42" s="3" t="n">
        <v>60</v>
      </c>
      <c r="F42" s="3" t="n">
        <v>60</v>
      </c>
      <c r="G42" s="3" t="n">
        <v>60</v>
      </c>
      <c r="H42" s="3" t="n">
        <v>60</v>
      </c>
      <c r="I42" s="3" t="n">
        <v>60</v>
      </c>
      <c r="J42" s="3" t="n">
        <v>60</v>
      </c>
      <c r="K42" s="3" t="n">
        <v>60</v>
      </c>
      <c r="L42" s="3" t="n">
        <v>60</v>
      </c>
    </row>
    <row r="43" customFormat="false" ht="15" hidden="false" customHeight="false" outlineLevel="0" collapsed="false">
      <c r="A43" s="0" t="s">
        <v>112</v>
      </c>
      <c r="C43" s="3" t="n">
        <v>0.9</v>
      </c>
      <c r="D43" s="3" t="n">
        <v>0.9</v>
      </c>
      <c r="E43" s="3" t="n">
        <v>0.9</v>
      </c>
      <c r="F43" s="3" t="n">
        <v>0.9</v>
      </c>
      <c r="G43" s="3" t="n">
        <v>0.9</v>
      </c>
      <c r="H43" s="3" t="n">
        <v>0.9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113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115</v>
      </c>
      <c r="C46" s="3" t="n">
        <v>16.4</v>
      </c>
      <c r="D46" s="3" t="n">
        <v>19.2</v>
      </c>
      <c r="E46" s="3" t="n">
        <v>19.2</v>
      </c>
      <c r="F46" s="3" t="n">
        <v>17.8</v>
      </c>
      <c r="G46" s="3" t="n">
        <v>16.4</v>
      </c>
      <c r="H46" s="3" t="n">
        <v>15.1</v>
      </c>
      <c r="I46" s="3" t="n">
        <v>13.7</v>
      </c>
      <c r="J46" s="3" t="n">
        <v>12.3</v>
      </c>
      <c r="K46" s="3" t="n">
        <v>11</v>
      </c>
      <c r="L46" s="3" t="n">
        <v>9.6</v>
      </c>
    </row>
    <row r="47" customFormat="false" ht="15" hidden="false" customHeight="false" outlineLevel="0" collapsed="false">
      <c r="A47" s="0" t="s">
        <v>116</v>
      </c>
      <c r="C47" s="3" t="n">
        <v>16.5</v>
      </c>
      <c r="D47" s="3" t="n">
        <v>16.5</v>
      </c>
      <c r="E47" s="3" t="n">
        <v>16.5</v>
      </c>
      <c r="F47" s="3" t="n">
        <v>16.5</v>
      </c>
      <c r="G47" s="3" t="n">
        <v>16.5</v>
      </c>
      <c r="H47" s="3" t="n">
        <v>16.5</v>
      </c>
      <c r="I47" s="3" t="n">
        <v>16.5</v>
      </c>
      <c r="J47" s="3" t="n">
        <v>16.5</v>
      </c>
      <c r="K47" s="3" t="n">
        <v>16.5</v>
      </c>
      <c r="L47" s="3" t="n">
        <v>16.5</v>
      </c>
    </row>
    <row r="48" customFormat="false" ht="15" hidden="false" customHeight="false" outlineLevel="0" collapsed="false">
      <c r="A48" s="0" t="s">
        <v>117</v>
      </c>
      <c r="B48" s="3" t="n">
        <v>8</v>
      </c>
    </row>
    <row r="49" customFormat="false" ht="15" hidden="false" customHeight="false" outlineLevel="0" collapsed="false">
      <c r="A49" s="0" t="s">
        <v>118</v>
      </c>
      <c r="B49" s="3" t="n">
        <v>3.5</v>
      </c>
    </row>
    <row r="50" customFormat="false" ht="15" hidden="false" customHeight="false" outlineLevel="0" collapsed="false">
      <c r="A50" s="0" t="s">
        <v>119</v>
      </c>
      <c r="B50" s="3" t="n">
        <v>24</v>
      </c>
    </row>
    <row r="51" customFormat="false" ht="15" hidden="false" customHeight="false" outlineLevel="0" collapsed="false">
      <c r="A51" s="0" t="s">
        <v>120</v>
      </c>
      <c r="B51" s="3" t="n">
        <v>0</v>
      </c>
    </row>
    <row r="52" customFormat="false" ht="15" hidden="false" customHeight="false" outlineLevel="0" collapsed="false">
      <c r="A52" s="0" t="s">
        <v>121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124</v>
      </c>
    </row>
    <row r="3" customFormat="false" ht="15" hidden="false" customHeight="false" outlineLevel="0" collapsed="false">
      <c r="A3" s="0" t="s">
        <v>125</v>
      </c>
      <c r="B3" s="0" t="s">
        <v>95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Assumptions!C13</f>
        <v>0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23750</v>
      </c>
      <c r="C6" s="0" t="n">
        <f aca="false">B6*(1+C5/100)</f>
        <v>23750</v>
      </c>
      <c r="D6" s="0" t="n">
        <f aca="false">C6*(1+D5/100)</f>
        <v>24225</v>
      </c>
      <c r="E6" s="0" t="n">
        <f aca="false">D6*(1+E5/100)</f>
        <v>24951.75</v>
      </c>
      <c r="F6" s="0" t="n">
        <f aca="false">E6*(1+F5/100)</f>
        <v>25825.06125</v>
      </c>
      <c r="G6" s="0" t="n">
        <f aca="false">F6*(1+G5/100)</f>
        <v>26728.93839375</v>
      </c>
      <c r="H6" s="0" t="n">
        <f aca="false">G6*(1+H5/100)</f>
        <v>27530.8065455625</v>
      </c>
      <c r="I6" s="0" t="n">
        <f aca="false">H6*(1+I5/100)</f>
        <v>28356.7307419294</v>
      </c>
      <c r="J6" s="0" t="n">
        <f aca="false">I6*(1+J5/100)</f>
        <v>29065.6490104776</v>
      </c>
      <c r="K6" s="0" t="n">
        <f aca="false">J6*(1+K5/100)</f>
        <v>29792.2902357395</v>
      </c>
      <c r="L6" s="0" t="n">
        <f aca="false">K6*(1+L5/100)</f>
        <v>30537.097491633</v>
      </c>
    </row>
    <row r="7" customFormat="false" ht="15" hidden="false" customHeight="false" outlineLevel="0" collapsed="false">
      <c r="A7" s="0" t="s">
        <v>111</v>
      </c>
      <c r="C7" s="4" t="n">
        <f aca="false">Assumptions!C14</f>
        <v>52.4</v>
      </c>
      <c r="D7" s="4" t="n">
        <f aca="false">Assumptions!D14</f>
        <v>52.4</v>
      </c>
      <c r="E7" s="4" t="n">
        <f aca="false">Assumptions!E14</f>
        <v>52.4</v>
      </c>
      <c r="F7" s="4" t="n">
        <f aca="false">Assumptions!F14</f>
        <v>52.4</v>
      </c>
      <c r="G7" s="4" t="n">
        <f aca="false">Assumptions!G14</f>
        <v>52.4</v>
      </c>
      <c r="H7" s="4" t="n">
        <f aca="false">Assumptions!H14</f>
        <v>52.4</v>
      </c>
      <c r="I7" s="4" t="n">
        <f aca="false">Assumptions!I14</f>
        <v>52.4</v>
      </c>
      <c r="J7" s="4" t="n">
        <f aca="false">Assumptions!J14</f>
        <v>52.4</v>
      </c>
      <c r="K7" s="4" t="n">
        <f aca="false">Assumptions!K14</f>
        <v>52.4</v>
      </c>
      <c r="L7" s="4" t="n">
        <f aca="false">Assumptions!L14</f>
        <v>52.4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12445</v>
      </c>
      <c r="D8" s="0" t="n">
        <f aca="false">D6*D7/100</f>
        <v>12693.9</v>
      </c>
      <c r="E8" s="0" t="n">
        <f aca="false">E6*E7/100</f>
        <v>13074.717</v>
      </c>
      <c r="F8" s="0" t="n">
        <f aca="false">F6*F7/100</f>
        <v>13532.332095</v>
      </c>
      <c r="G8" s="0" t="n">
        <f aca="false">G6*G7/100</f>
        <v>14005.963718325</v>
      </c>
      <c r="H8" s="0" t="n">
        <f aca="false">H6*H7/100</f>
        <v>14426.1426298747</v>
      </c>
      <c r="I8" s="0" t="n">
        <f aca="false">I6*I7/100</f>
        <v>14858.926908771</v>
      </c>
      <c r="J8" s="0" t="n">
        <f aca="false">J6*J7/100</f>
        <v>15230.4000814903</v>
      </c>
      <c r="K8" s="0" t="n">
        <f aca="false">K6*K7/100</f>
        <v>15611.1600835275</v>
      </c>
      <c r="L8" s="0" t="n">
        <f aca="false">L6*L7/100</f>
        <v>16001.4390856157</v>
      </c>
    </row>
    <row r="9" customFormat="false" ht="15" hidden="false" customHeight="false" outlineLevel="0" collapsed="false">
      <c r="A9" s="0" t="s">
        <v>112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-213.75</v>
      </c>
      <c r="D10" s="0" t="n">
        <f aca="false">-D6*D9/100</f>
        <v>-218.025</v>
      </c>
      <c r="E10" s="0" t="n">
        <f aca="false">-E6*E9/100</f>
        <v>-224.56575</v>
      </c>
      <c r="F10" s="0" t="n">
        <f aca="false">-F6*F9/100</f>
        <v>-232.42555125</v>
      </c>
      <c r="G10" s="0" t="n">
        <f aca="false">-G6*G9/100</f>
        <v>-240.56044554375</v>
      </c>
      <c r="H10" s="0" t="n">
        <f aca="false">-H6*H9/100</f>
        <v>-247.777258910062</v>
      </c>
      <c r="I10" s="0" t="n">
        <f aca="false">-I6*I9/100</f>
        <v>-255.210576677364</v>
      </c>
      <c r="J10" s="0" t="n">
        <f aca="false">-J6*J9/100</f>
        <v>-261.590841094298</v>
      </c>
      <c r="K10" s="0" t="n">
        <f aca="false">-K6*K9/100</f>
        <v>-268.130612121656</v>
      </c>
      <c r="L10" s="0" t="n">
        <f aca="false">-L6*L9/100</f>
        <v>-274.833877424697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12231.25</v>
      </c>
      <c r="D11" s="0" t="n">
        <f aca="false">D8+D10+D24</f>
        <v>12475.875</v>
      </c>
      <c r="E11" s="0" t="n">
        <f aca="false">E8+E10+E24</f>
        <v>12850.15125</v>
      </c>
      <c r="F11" s="0" t="n">
        <f aca="false">F8+F10+F24</f>
        <v>13299.90654375</v>
      </c>
      <c r="G11" s="0" t="n">
        <f aca="false">G8+G10+G24</f>
        <v>13765.4032727812</v>
      </c>
      <c r="H11" s="0" t="n">
        <f aca="false">H8+H10+H24</f>
        <v>14178.3653709647</v>
      </c>
      <c r="I11" s="0" t="n">
        <f aca="false">I8+I10+I24</f>
        <v>14603.7163320936</v>
      </c>
      <c r="J11" s="0" t="n">
        <f aca="false">J8+J10+J24</f>
        <v>14968.809240396</v>
      </c>
      <c r="K11" s="0" t="n">
        <f aca="false">K8+K10+K24</f>
        <v>15343.0294714059</v>
      </c>
      <c r="L11" s="0" t="n">
        <f aca="false">L8+L10+L24</f>
        <v>15726.605208191</v>
      </c>
    </row>
    <row r="12" customFormat="false" ht="15" hidden="false" customHeight="false" outlineLevel="0" collapsed="false">
      <c r="A12" s="0" t="s">
        <v>129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12231.25</v>
      </c>
      <c r="D13" s="0" t="n">
        <f aca="false">D11+D12</f>
        <v>12475.875</v>
      </c>
      <c r="E13" s="0" t="n">
        <f aca="false">E11+E12</f>
        <v>12850.15125</v>
      </c>
      <c r="F13" s="0" t="n">
        <f aca="false">F11+F12</f>
        <v>13299.90654375</v>
      </c>
      <c r="G13" s="0" t="n">
        <f aca="false">G11+G12</f>
        <v>13765.4032727812</v>
      </c>
      <c r="H13" s="0" t="n">
        <f aca="false">H11+H12</f>
        <v>14178.3653709647</v>
      </c>
      <c r="I13" s="0" t="n">
        <f aca="false">I11+I12</f>
        <v>14603.7163320936</v>
      </c>
      <c r="J13" s="0" t="n">
        <f aca="false">J11+J12</f>
        <v>14968.809240396</v>
      </c>
      <c r="K13" s="0" t="n">
        <f aca="false">K11+K12</f>
        <v>15343.0294714059</v>
      </c>
      <c r="L13" s="0" t="n">
        <f aca="false">L11+L12</f>
        <v>15726.605208191</v>
      </c>
    </row>
    <row r="14" customFormat="false" ht="15" hidden="false" customHeight="false" outlineLevel="0" collapsed="false">
      <c r="A14" s="0" t="s">
        <v>116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10151.9375</v>
      </c>
      <c r="D15" s="0" t="n">
        <f aca="false">D13-MAX(0,D13)*D14/100</f>
        <v>10354.97625</v>
      </c>
      <c r="E15" s="0" t="n">
        <f aca="false">E13-MAX(0,E13)*E14/100</f>
        <v>10665.6255375</v>
      </c>
      <c r="F15" s="0" t="n">
        <f aca="false">F13-MAX(0,F13)*F14/100</f>
        <v>11038.9224313125</v>
      </c>
      <c r="G15" s="0" t="n">
        <f aca="false">G13-MAX(0,G13)*G14/100</f>
        <v>11425.2847164084</v>
      </c>
      <c r="H15" s="0" t="n">
        <f aca="false">H13-MAX(0,H13)*H14/100</f>
        <v>11768.0432579007</v>
      </c>
      <c r="I15" s="0" t="n">
        <f aca="false">I13-MAX(0,I13)*I14/100</f>
        <v>12121.0845556377</v>
      </c>
      <c r="J15" s="0" t="n">
        <f aca="false">J13-MAX(0,J13)*J14/100</f>
        <v>12424.1116695287</v>
      </c>
      <c r="K15" s="0" t="n">
        <f aca="false">K13-MAX(0,K13)*K14/100</f>
        <v>12734.7144612669</v>
      </c>
      <c r="L15" s="0" t="n">
        <f aca="false">L13-MAX(0,L13)*L14/100</f>
        <v>13053.0823227985</v>
      </c>
    </row>
    <row r="16" customFormat="false" ht="15" hidden="false" customHeight="false" outlineLevel="0" collapsed="false">
      <c r="A16" s="0" t="s">
        <v>132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133</v>
      </c>
      <c r="C17" s="4" t="n">
        <f aca="false">-C6*Assumptions!C18/100</f>
        <v>-0</v>
      </c>
      <c r="D17" s="4" t="n">
        <f aca="false">-D6*Assumptions!D18/100</f>
        <v>-1477.725</v>
      </c>
      <c r="E17" s="4" t="n">
        <f aca="false">-E6*Assumptions!E18/100</f>
        <v>-2270.60925</v>
      </c>
      <c r="F17" s="4" t="n">
        <f aca="false">-F6*Assumptions!F18/100</f>
        <v>-2763.28155375</v>
      </c>
      <c r="G17" s="4" t="n">
        <f aca="false">-G6*Assumptions!G18/100</f>
        <v>-2859.99640813125</v>
      </c>
      <c r="H17" s="4" t="n">
        <f aca="false">-H6*Assumptions!H18/100</f>
        <v>-2505.30339564619</v>
      </c>
      <c r="I17" s="4" t="n">
        <f aca="false">-I6*Assumptions!I18/100</f>
        <v>-2580.46249751557</v>
      </c>
      <c r="J17" s="4" t="n">
        <f aca="false">-J6*Assumptions!J18/100</f>
        <v>-2208.9893247963</v>
      </c>
      <c r="K17" s="4" t="n">
        <f aca="false">-K6*Assumptions!K18/100</f>
        <v>-2264.21405791621</v>
      </c>
      <c r="L17" s="4" t="n">
        <f aca="false">-L6*Assumptions!L18/100</f>
        <v>-2320.81940936411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10151.9375</v>
      </c>
      <c r="D19" s="0" t="n">
        <f aca="false">D15+D16+D17+D18</f>
        <v>8877.25125</v>
      </c>
      <c r="E19" s="0" t="n">
        <f aca="false">E15+E16+E17+E18</f>
        <v>8395.0162875</v>
      </c>
      <c r="F19" s="0" t="n">
        <f aca="false">F15+F16+F17+F18</f>
        <v>8275.6408775625</v>
      </c>
      <c r="G19" s="0" t="n">
        <f aca="false">G15+G16+G17+G18</f>
        <v>8565.28830827719</v>
      </c>
      <c r="H19" s="0" t="n">
        <f aca="false">H15+H16+H17+H18</f>
        <v>9262.7398622545</v>
      </c>
      <c r="I19" s="0" t="n">
        <f aca="false">I15+I16+I17+I18</f>
        <v>9540.62205812214</v>
      </c>
      <c r="J19" s="0" t="n">
        <f aca="false">J15+J16+J17+J18</f>
        <v>10215.1223447324</v>
      </c>
      <c r="K19" s="0" t="n">
        <f aca="false">K15+K16+K17+K18</f>
        <v>10470.5004033507</v>
      </c>
      <c r="L19" s="0" t="n">
        <f aca="false">L15+L16+L17+L18</f>
        <v>10732.2629134344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9399.94212962963</v>
      </c>
      <c r="D21" s="0" t="n">
        <f aca="false">D19*D20</f>
        <v>7610.81211419753</v>
      </c>
      <c r="E21" s="0" t="n">
        <f aca="false">E19*E20</f>
        <v>6664.23459290695</v>
      </c>
      <c r="F21" s="0" t="n">
        <f aca="false">F19*F20</f>
        <v>6082.84309603108</v>
      </c>
      <c r="G21" s="0" t="n">
        <f aca="false">G19*G20</f>
        <v>5829.39130036311</v>
      </c>
      <c r="H21" s="0" t="n">
        <f aca="false">H19*H20</f>
        <v>5837.09732291218</v>
      </c>
      <c r="I21" s="0" t="n">
        <f aca="false">I19*I20</f>
        <v>5566.86133574032</v>
      </c>
      <c r="J21" s="0" t="n">
        <f aca="false">J19*J20</f>
        <v>5518.91275423976</v>
      </c>
      <c r="K21" s="0" t="n">
        <f aca="false">K19*K20</f>
        <v>5237.85701212569</v>
      </c>
      <c r="L21" s="0" t="n">
        <f aca="false">L19*L20</f>
        <v>4971.11429391559</v>
      </c>
    </row>
    <row r="23" customFormat="false" ht="15" hidden="false" customHeight="false" outlineLevel="0" collapsed="false">
      <c r="A23" s="0" t="s">
        <v>113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119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62719.0659520618</v>
      </c>
    </row>
    <row r="31" customFormat="false" ht="15" hidden="false" customHeight="false" outlineLevel="0" collapsed="false">
      <c r="A31" s="0" t="s">
        <v>141</v>
      </c>
      <c r="B31" s="0" t="n">
        <f aca="false">L19</f>
        <v>10732.2629134344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200010.354295823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171716.206614951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171716.206614951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79537.8287026494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142256.894654711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146956.894654711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51.5096020521245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-0.30803866130945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1605.48395044163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2372.43261611616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52.9038945745773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88004.5558901623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25.609305737853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125</v>
      </c>
      <c r="B3" s="0" t="s">
        <v>95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Assumptions!C27</f>
        <v>4.5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23750</v>
      </c>
      <c r="C6" s="0" t="n">
        <f aca="false">B6*(1+C5/100)</f>
        <v>24818.75</v>
      </c>
      <c r="D6" s="0" t="n">
        <f aca="false">C6*(1+D5/100)</f>
        <v>26059.6875</v>
      </c>
      <c r="E6" s="0" t="n">
        <f aca="false">D6*(1+E5/100)</f>
        <v>27362.671875</v>
      </c>
      <c r="F6" s="0" t="n">
        <f aca="false">E6*(1+F5/100)</f>
        <v>28730.80546875</v>
      </c>
      <c r="G6" s="0" t="n">
        <f aca="false">F6*(1+G5/100)</f>
        <v>30023.6917148438</v>
      </c>
      <c r="H6" s="0" t="n">
        <f aca="false">G6*(1+H5/100)</f>
        <v>31224.6393834375</v>
      </c>
      <c r="I6" s="0" t="n">
        <f aca="false">H6*(1+I5/100)</f>
        <v>32473.624958775</v>
      </c>
      <c r="J6" s="0" t="n">
        <f aca="false">I6*(1+J5/100)</f>
        <v>33610.2018323321</v>
      </c>
      <c r="K6" s="0" t="n">
        <f aca="false">J6*(1+K5/100)</f>
        <v>34786.5588964637</v>
      </c>
      <c r="L6" s="0" t="n">
        <f aca="false">K6*(1+L5/100)</f>
        <v>35830.1556633577</v>
      </c>
    </row>
    <row r="7" customFormat="false" ht="15" hidden="false" customHeight="false" outlineLevel="0" collapsed="false">
      <c r="A7" s="0" t="s">
        <v>111</v>
      </c>
      <c r="C7" s="4" t="n">
        <f aca="false">Assumptions!C28</f>
        <v>57.9</v>
      </c>
      <c r="D7" s="4" t="n">
        <f aca="false">Assumptions!D28</f>
        <v>57.9</v>
      </c>
      <c r="E7" s="4" t="n">
        <f aca="false">Assumptions!E28</f>
        <v>57.8</v>
      </c>
      <c r="F7" s="4" t="n">
        <f aca="false">Assumptions!F28</f>
        <v>57.7</v>
      </c>
      <c r="G7" s="4" t="n">
        <f aca="false">Assumptions!G28</f>
        <v>57.6</v>
      </c>
      <c r="H7" s="4" t="n">
        <f aca="false">Assumptions!H28</f>
        <v>57.5</v>
      </c>
      <c r="I7" s="4" t="n">
        <f aca="false">Assumptions!I28</f>
        <v>57.5</v>
      </c>
      <c r="J7" s="4" t="n">
        <f aca="false">Assumptions!J28</f>
        <v>57.5</v>
      </c>
      <c r="K7" s="4" t="n">
        <f aca="false">Assumptions!K28</f>
        <v>57.5</v>
      </c>
      <c r="L7" s="4" t="n">
        <f aca="false">Assumptions!L28</f>
        <v>57.5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14370.05625</v>
      </c>
      <c r="D8" s="0" t="n">
        <f aca="false">D6*D7/100</f>
        <v>15088.5590625</v>
      </c>
      <c r="E8" s="0" t="n">
        <f aca="false">E6*E7/100</f>
        <v>15815.62434375</v>
      </c>
      <c r="F8" s="0" t="n">
        <f aca="false">F6*F7/100</f>
        <v>16577.6747554688</v>
      </c>
      <c r="G8" s="0" t="n">
        <f aca="false">G6*G7/100</f>
        <v>17293.64642775</v>
      </c>
      <c r="H8" s="0" t="n">
        <f aca="false">H6*H7/100</f>
        <v>17954.1676454766</v>
      </c>
      <c r="I8" s="0" t="n">
        <f aca="false">I6*I7/100</f>
        <v>18672.3343512956</v>
      </c>
      <c r="J8" s="0" t="n">
        <f aca="false">J6*J7/100</f>
        <v>19325.866053591</v>
      </c>
      <c r="K8" s="0" t="n">
        <f aca="false">K6*K7/100</f>
        <v>20002.2713654667</v>
      </c>
      <c r="L8" s="0" t="n">
        <f aca="false">L6*L7/100</f>
        <v>20602.3395064307</v>
      </c>
    </row>
    <row r="9" customFormat="false" ht="15" hidden="false" customHeight="false" outlineLevel="0" collapsed="false">
      <c r="A9" s="0" t="s">
        <v>112</v>
      </c>
      <c r="C9" s="4" t="n">
        <f aca="false">Assumptions!C29</f>
        <v>0.9</v>
      </c>
      <c r="D9" s="4" t="n">
        <f aca="false">Assumptions!D29</f>
        <v>0.9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0.9</v>
      </c>
      <c r="H9" s="4" t="n">
        <f aca="false">Assumptions!H29</f>
        <v>0.9</v>
      </c>
      <c r="I9" s="4" t="n">
        <f aca="false">Assumptions!I29</f>
        <v>0.9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-223.36875</v>
      </c>
      <c r="D10" s="0" t="n">
        <f aca="false">-D6*D9/100</f>
        <v>-234.5371875</v>
      </c>
      <c r="E10" s="0" t="n">
        <f aca="false">-E6*E9/100</f>
        <v>-246.264046875</v>
      </c>
      <c r="F10" s="0" t="n">
        <f aca="false">-F6*F9/100</f>
        <v>-258.57724921875</v>
      </c>
      <c r="G10" s="0" t="n">
        <f aca="false">-G6*G9/100</f>
        <v>-270.213225433594</v>
      </c>
      <c r="H10" s="0" t="n">
        <f aca="false">-H6*H9/100</f>
        <v>-281.021754450938</v>
      </c>
      <c r="I10" s="0" t="n">
        <f aca="false">-I6*I9/100</f>
        <v>-292.262624628975</v>
      </c>
      <c r="J10" s="0" t="n">
        <f aca="false">-J6*J9/100</f>
        <v>-302.491816490989</v>
      </c>
      <c r="K10" s="0" t="n">
        <f aca="false">-K6*K9/100</f>
        <v>-313.079030068174</v>
      </c>
      <c r="L10" s="0" t="n">
        <f aca="false">-L6*L9/100</f>
        <v>-322.471400970219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14146.6875</v>
      </c>
      <c r="D11" s="0" t="n">
        <f aca="false">D8+D10+D24</f>
        <v>14854.021875</v>
      </c>
      <c r="E11" s="0" t="n">
        <f aca="false">E8+E10+E24</f>
        <v>15569.360296875</v>
      </c>
      <c r="F11" s="0" t="n">
        <f aca="false">F8+F10+F24</f>
        <v>16319.09750625</v>
      </c>
      <c r="G11" s="0" t="n">
        <f aca="false">G8+G10+G24</f>
        <v>17023.4332023164</v>
      </c>
      <c r="H11" s="0" t="n">
        <f aca="false">H8+H10+H24</f>
        <v>17673.1458910256</v>
      </c>
      <c r="I11" s="0" t="n">
        <f aca="false">I8+I10+I24</f>
        <v>18380.0717266667</v>
      </c>
      <c r="J11" s="0" t="n">
        <f aca="false">J8+J10+J24</f>
        <v>19023.3742371</v>
      </c>
      <c r="K11" s="0" t="n">
        <f aca="false">K8+K10+K24</f>
        <v>19689.1923353985</v>
      </c>
      <c r="L11" s="0" t="n">
        <f aca="false">L8+L10+L24</f>
        <v>20279.8681054604</v>
      </c>
    </row>
    <row r="12" customFormat="false" ht="15" hidden="false" customHeight="false" outlineLevel="0" collapsed="false">
      <c r="A12" s="0" t="s">
        <v>129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14146.6875</v>
      </c>
      <c r="D13" s="0" t="n">
        <f aca="false">D11+D12</f>
        <v>14854.021875</v>
      </c>
      <c r="E13" s="0" t="n">
        <f aca="false">E11+E12</f>
        <v>15569.360296875</v>
      </c>
      <c r="F13" s="0" t="n">
        <f aca="false">F11+F12</f>
        <v>16319.09750625</v>
      </c>
      <c r="G13" s="0" t="n">
        <f aca="false">G11+G12</f>
        <v>17023.4332023164</v>
      </c>
      <c r="H13" s="0" t="n">
        <f aca="false">H11+H12</f>
        <v>17673.1458910256</v>
      </c>
      <c r="I13" s="0" t="n">
        <f aca="false">I11+I12</f>
        <v>18380.0717266667</v>
      </c>
      <c r="J13" s="0" t="n">
        <f aca="false">J11+J12</f>
        <v>19023.3742371</v>
      </c>
      <c r="K13" s="0" t="n">
        <f aca="false">K11+K12</f>
        <v>19689.1923353985</v>
      </c>
      <c r="L13" s="0" t="n">
        <f aca="false">L11+L12</f>
        <v>20279.8681054604</v>
      </c>
    </row>
    <row r="14" customFormat="false" ht="15" hidden="false" customHeight="false" outlineLevel="0" collapsed="false">
      <c r="A14" s="0" t="s">
        <v>116</v>
      </c>
      <c r="C14" s="4" t="n">
        <f aca="false">Assumptions!C33</f>
        <v>16.5</v>
      </c>
      <c r="D14" s="4" t="n">
        <f aca="false">Assumptions!D33</f>
        <v>16.5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11812.4840625</v>
      </c>
      <c r="D15" s="0" t="n">
        <f aca="false">D13-MAX(0,D13)*D14/100</f>
        <v>12403.108265625</v>
      </c>
      <c r="E15" s="0" t="n">
        <f aca="false">E13-MAX(0,E13)*E14/100</f>
        <v>12922.5690464063</v>
      </c>
      <c r="F15" s="0" t="n">
        <f aca="false">F13-MAX(0,F13)*F14/100</f>
        <v>13544.8509301875</v>
      </c>
      <c r="G15" s="0" t="n">
        <f aca="false">G13-MAX(0,G13)*G14/100</f>
        <v>14129.4495579226</v>
      </c>
      <c r="H15" s="0" t="n">
        <f aca="false">H13-MAX(0,H13)*H14/100</f>
        <v>14668.7110895513</v>
      </c>
      <c r="I15" s="0" t="n">
        <f aca="false">I13-MAX(0,I13)*I14/100</f>
        <v>15255.4595331333</v>
      </c>
      <c r="J15" s="0" t="n">
        <f aca="false">J13-MAX(0,J13)*J14/100</f>
        <v>15789.400616793</v>
      </c>
      <c r="K15" s="0" t="n">
        <f aca="false">K13-MAX(0,K13)*K14/100</f>
        <v>16342.0296383807</v>
      </c>
      <c r="L15" s="0" t="n">
        <f aca="false">L13-MAX(0,L13)*L14/100</f>
        <v>16832.2905275322</v>
      </c>
    </row>
    <row r="16" customFormat="false" ht="15" hidden="false" customHeight="false" outlineLevel="0" collapsed="false">
      <c r="A16" s="0" t="s">
        <v>132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133</v>
      </c>
      <c r="C17" s="4" t="n">
        <f aca="false">-C6*Assumptions!C32/100</f>
        <v>-3226.4375</v>
      </c>
      <c r="D17" s="4" t="n">
        <f aca="false">-D6*Assumptions!D32/100</f>
        <v>-3752.595</v>
      </c>
      <c r="E17" s="4" t="n">
        <f aca="false">-E6*Assumptions!E32/100</f>
        <v>-3940.22475</v>
      </c>
      <c r="F17" s="4" t="n">
        <f aca="false">-F6*Assumptions!F32/100</f>
        <v>-4137.2359875</v>
      </c>
      <c r="G17" s="4" t="n">
        <f aca="false">-G6*Assumptions!G32/100</f>
        <v>-3903.07992292969</v>
      </c>
      <c r="H17" s="4" t="n">
        <f aca="false">-H6*Assumptions!H32/100</f>
        <v>-3590.83352909531</v>
      </c>
      <c r="I17" s="4" t="n">
        <f aca="false">-I6*Assumptions!I32/100</f>
        <v>-3734.46687025913</v>
      </c>
      <c r="J17" s="4" t="n">
        <f aca="false">-J6*Assumptions!J32/100</f>
        <v>-3394.63038506554</v>
      </c>
      <c r="K17" s="4" t="n">
        <f aca="false">-K6*Assumptions!K32/100</f>
        <v>-3513.44244854284</v>
      </c>
      <c r="L17" s="4" t="n">
        <f aca="false">-L6*Assumptions!L32/100</f>
        <v>-3117.22354271212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8586.0465625</v>
      </c>
      <c r="D19" s="0" t="n">
        <f aca="false">D15+D16+D17+D18</f>
        <v>8650.513265625</v>
      </c>
      <c r="E19" s="0" t="n">
        <f aca="false">E15+E16+E17+E18</f>
        <v>8982.34429640625</v>
      </c>
      <c r="F19" s="0" t="n">
        <f aca="false">F15+F16+F17+F18</f>
        <v>9407.6149426875</v>
      </c>
      <c r="G19" s="0" t="n">
        <f aca="false">G15+G16+G17+G18</f>
        <v>10226.3696349929</v>
      </c>
      <c r="H19" s="0" t="n">
        <f aca="false">H15+H16+H17+H18</f>
        <v>11077.877560456</v>
      </c>
      <c r="I19" s="0" t="n">
        <f aca="false">I15+I16+I17+I18</f>
        <v>11520.9926628742</v>
      </c>
      <c r="J19" s="0" t="n">
        <f aca="false">J15+J16+J17+J18</f>
        <v>12394.7702317274</v>
      </c>
      <c r="K19" s="0" t="n">
        <f aca="false">K15+K16+K17+K18</f>
        <v>12828.5871898379</v>
      </c>
      <c r="L19" s="0" t="n">
        <f aca="false">L15+L16+L17+L18</f>
        <v>13715.06698482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7950.04311342593</v>
      </c>
      <c r="D21" s="0" t="n">
        <f aca="false">D19*D20</f>
        <v>7416.42083815587</v>
      </c>
      <c r="E21" s="0" t="n">
        <f aca="false">E19*E20</f>
        <v>7130.47450243091</v>
      </c>
      <c r="F21" s="0" t="n">
        <f aca="false">F19*F20</f>
        <v>6914.87782648931</v>
      </c>
      <c r="G21" s="0" t="n">
        <f aca="false">G19*G20</f>
        <v>6959.89534023238</v>
      </c>
      <c r="H21" s="0" t="n">
        <f aca="false">H19*H20</f>
        <v>6980.94196892925</v>
      </c>
      <c r="I21" s="0" t="n">
        <f aca="false">I19*I20</f>
        <v>6722.38856267261</v>
      </c>
      <c r="J21" s="0" t="n">
        <f aca="false">J19*J20</f>
        <v>6696.50868675368</v>
      </c>
      <c r="K21" s="0" t="n">
        <f aca="false">K19*K20</f>
        <v>6417.48749147227</v>
      </c>
      <c r="L21" s="0" t="n">
        <f aca="false">L19*L20</f>
        <v>6352.72971601389</v>
      </c>
    </row>
    <row r="23" customFormat="false" ht="15" hidden="false" customHeight="false" outlineLevel="0" collapsed="false">
      <c r="A23" s="0" t="s">
        <v>113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119</v>
      </c>
      <c r="B29" s="4" t="n">
        <f aca="false">Assumptions!$B$36</f>
        <v>22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69541.7680465761</v>
      </c>
    </row>
    <row r="31" customFormat="false" ht="15" hidden="false" customHeight="false" outlineLevel="0" collapsed="false">
      <c r="A31" s="0" t="s">
        <v>141</v>
      </c>
      <c r="B31" s="0" t="n">
        <f aca="false">L19</f>
        <v>13715.06698482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282530.379887293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301731.473666041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282530.379887293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130866.232149886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200408.000196462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205108.000196462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71.892043531883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-0.0342283243970579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1794.39251002959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3076.95305227278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73.5994902764685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117720.991619705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29.5774006243662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0" t="s">
        <v>125</v>
      </c>
      <c r="B3" s="0" t="s">
        <v>95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Assumptions!C41</f>
        <v>6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23750</v>
      </c>
      <c r="C6" s="0" t="n">
        <f aca="false">B6*(1+C5/100)</f>
        <v>25175</v>
      </c>
      <c r="D6" s="0" t="n">
        <f aca="false">C6*(1+D5/100)</f>
        <v>26937.25</v>
      </c>
      <c r="E6" s="0" t="n">
        <f aca="false">D6*(1+E5/100)</f>
        <v>28822.8575</v>
      </c>
      <c r="F6" s="0" t="n">
        <f aca="false">E6*(1+F5/100)</f>
        <v>30696.3432375</v>
      </c>
      <c r="G6" s="0" t="n">
        <f aca="false">F6*(1+G5/100)</f>
        <v>32538.12383175</v>
      </c>
      <c r="H6" s="0" t="n">
        <f aca="false">G6*(1+H5/100)</f>
        <v>34327.7206424963</v>
      </c>
      <c r="I6" s="0" t="n">
        <f aca="false">H6*(1+I5/100)</f>
        <v>36044.1066746211</v>
      </c>
      <c r="J6" s="0" t="n">
        <f aca="false">I6*(1+J5/100)</f>
        <v>37666.091474979</v>
      </c>
      <c r="K6" s="0" t="n">
        <f aca="false">J6*(1+K5/100)</f>
        <v>39172.7351339782</v>
      </c>
      <c r="L6" s="0" t="n">
        <f aca="false">K6*(1+L5/100)</f>
        <v>40543.7808636674</v>
      </c>
    </row>
    <row r="7" customFormat="false" ht="15" hidden="false" customHeight="false" outlineLevel="0" collapsed="false">
      <c r="A7" s="0" t="s">
        <v>111</v>
      </c>
      <c r="C7" s="4" t="n">
        <f aca="false">Assumptions!C42</f>
        <v>59.9</v>
      </c>
      <c r="D7" s="4" t="n">
        <f aca="false">Assumptions!D42</f>
        <v>59.9</v>
      </c>
      <c r="E7" s="4" t="n">
        <f aca="false">Assumptions!E42</f>
        <v>60</v>
      </c>
      <c r="F7" s="4" t="n">
        <f aca="false">Assumptions!F42</f>
        <v>60</v>
      </c>
      <c r="G7" s="4" t="n">
        <f aca="false">Assumptions!G42</f>
        <v>60</v>
      </c>
      <c r="H7" s="4" t="n">
        <f aca="false">Assumptions!H42</f>
        <v>60</v>
      </c>
      <c r="I7" s="4" t="n">
        <f aca="false">Assumptions!I42</f>
        <v>60</v>
      </c>
      <c r="J7" s="4" t="n">
        <f aca="false">Assumptions!J42</f>
        <v>60</v>
      </c>
      <c r="K7" s="4" t="n">
        <f aca="false">Assumptions!K42</f>
        <v>60</v>
      </c>
      <c r="L7" s="4" t="n">
        <f aca="false">Assumptions!L42</f>
        <v>60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15079.825</v>
      </c>
      <c r="D8" s="0" t="n">
        <f aca="false">D6*D7/100</f>
        <v>16135.41275</v>
      </c>
      <c r="E8" s="0" t="n">
        <f aca="false">E6*E7/100</f>
        <v>17293.7145</v>
      </c>
      <c r="F8" s="0" t="n">
        <f aca="false">F6*F7/100</f>
        <v>18417.8059425</v>
      </c>
      <c r="G8" s="0" t="n">
        <f aca="false">G6*G7/100</f>
        <v>19522.87429905</v>
      </c>
      <c r="H8" s="0" t="n">
        <f aca="false">H6*H7/100</f>
        <v>20596.6323854978</v>
      </c>
      <c r="I8" s="0" t="n">
        <f aca="false">I6*I7/100</f>
        <v>21626.4640047726</v>
      </c>
      <c r="J8" s="0" t="n">
        <f aca="false">J6*J7/100</f>
        <v>22599.6548849874</v>
      </c>
      <c r="K8" s="0" t="n">
        <f aca="false">K6*K7/100</f>
        <v>23503.6410803869</v>
      </c>
      <c r="L8" s="0" t="n">
        <f aca="false">L6*L7/100</f>
        <v>24326.2685182004</v>
      </c>
    </row>
    <row r="9" customFormat="false" ht="15" hidden="false" customHeight="false" outlineLevel="0" collapsed="false">
      <c r="A9" s="0" t="s">
        <v>112</v>
      </c>
      <c r="C9" s="4" t="n">
        <f aca="false">Assumptions!C43</f>
        <v>0.9</v>
      </c>
      <c r="D9" s="4" t="n">
        <f aca="false">Assumptions!D43</f>
        <v>0.9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0.9</v>
      </c>
      <c r="H9" s="4" t="n">
        <f aca="false">Assumptions!H43</f>
        <v>0.9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-226.575</v>
      </c>
      <c r="D10" s="0" t="n">
        <f aca="false">-D6*D9/100</f>
        <v>-242.43525</v>
      </c>
      <c r="E10" s="0" t="n">
        <f aca="false">-E6*E9/100</f>
        <v>-259.4057175</v>
      </c>
      <c r="F10" s="0" t="n">
        <f aca="false">-F6*F9/100</f>
        <v>-276.2670891375</v>
      </c>
      <c r="G10" s="0" t="n">
        <f aca="false">-G6*G9/100</f>
        <v>-292.84311448575</v>
      </c>
      <c r="H10" s="0" t="n">
        <f aca="false">-H6*H9/100</f>
        <v>-308.949485782466</v>
      </c>
      <c r="I10" s="0" t="n">
        <f aca="false">-I6*I9/100</f>
        <v>-324.39696007159</v>
      </c>
      <c r="J10" s="0" t="n">
        <f aca="false">-J6*J9/100</f>
        <v>-338.994823274811</v>
      </c>
      <c r="K10" s="0" t="n">
        <f aca="false">-K6*K9/100</f>
        <v>-352.554616205804</v>
      </c>
      <c r="L10" s="0" t="n">
        <f aca="false">-L6*L9/100</f>
        <v>-364.894027773007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14853.25</v>
      </c>
      <c r="D11" s="0" t="n">
        <f aca="false">D8+D10+D24</f>
        <v>15892.9775</v>
      </c>
      <c r="E11" s="0" t="n">
        <f aca="false">E8+E10+E24</f>
        <v>17034.3087825</v>
      </c>
      <c r="F11" s="0" t="n">
        <f aca="false">F8+F10+F24</f>
        <v>18141.5388533625</v>
      </c>
      <c r="G11" s="0" t="n">
        <f aca="false">G8+G10+G24</f>
        <v>19230.0311845643</v>
      </c>
      <c r="H11" s="0" t="n">
        <f aca="false">H8+H10+H24</f>
        <v>20287.6828997153</v>
      </c>
      <c r="I11" s="0" t="n">
        <f aca="false">I8+I10+I24</f>
        <v>21302.067044701</v>
      </c>
      <c r="J11" s="0" t="n">
        <f aca="false">J8+J10+J24</f>
        <v>22260.6600617126</v>
      </c>
      <c r="K11" s="0" t="n">
        <f aca="false">K8+K10+K24</f>
        <v>23151.0864641811</v>
      </c>
      <c r="L11" s="0" t="n">
        <f aca="false">L8+L10+L24</f>
        <v>23961.3744904274</v>
      </c>
    </row>
    <row r="12" customFormat="false" ht="15" hidden="false" customHeight="false" outlineLevel="0" collapsed="false">
      <c r="A12" s="0" t="s">
        <v>129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14853.25</v>
      </c>
      <c r="D13" s="0" t="n">
        <f aca="false">D11+D12</f>
        <v>15892.9775</v>
      </c>
      <c r="E13" s="0" t="n">
        <f aca="false">E11+E12</f>
        <v>17034.3087825</v>
      </c>
      <c r="F13" s="0" t="n">
        <f aca="false">F11+F12</f>
        <v>18141.5388533625</v>
      </c>
      <c r="G13" s="0" t="n">
        <f aca="false">G11+G12</f>
        <v>19230.0311845643</v>
      </c>
      <c r="H13" s="0" t="n">
        <f aca="false">H11+H12</f>
        <v>20287.6828997153</v>
      </c>
      <c r="I13" s="0" t="n">
        <f aca="false">I11+I12</f>
        <v>21302.067044701</v>
      </c>
      <c r="J13" s="0" t="n">
        <f aca="false">J11+J12</f>
        <v>22260.6600617126</v>
      </c>
      <c r="K13" s="0" t="n">
        <f aca="false">K11+K12</f>
        <v>23151.0864641811</v>
      </c>
      <c r="L13" s="0" t="n">
        <f aca="false">L11+L12</f>
        <v>23961.3744904274</v>
      </c>
    </row>
    <row r="14" customFormat="false" ht="15" hidden="false" customHeight="false" outlineLevel="0" collapsed="false">
      <c r="A14" s="0" t="s">
        <v>116</v>
      </c>
      <c r="C14" s="4" t="n">
        <f aca="false">Assumptions!C47</f>
        <v>16.5</v>
      </c>
      <c r="D14" s="4" t="n">
        <f aca="false">Assumptions!D47</f>
        <v>16.5</v>
      </c>
      <c r="E14" s="4" t="n">
        <f aca="false">Assumptions!E47</f>
        <v>16.5</v>
      </c>
      <c r="F14" s="4" t="n">
        <f aca="false">Assumptions!F47</f>
        <v>16.5</v>
      </c>
      <c r="G14" s="4" t="n">
        <f aca="false">Assumptions!G47</f>
        <v>16.5</v>
      </c>
      <c r="H14" s="4" t="n">
        <f aca="false">Assumptions!H47</f>
        <v>16.5</v>
      </c>
      <c r="I14" s="4" t="n">
        <f aca="false">Assumptions!I47</f>
        <v>16.5</v>
      </c>
      <c r="J14" s="4" t="n">
        <f aca="false">Assumptions!J47</f>
        <v>16.5</v>
      </c>
      <c r="K14" s="4" t="n">
        <f aca="false">Assumptions!K47</f>
        <v>16.5</v>
      </c>
      <c r="L14" s="4" t="n">
        <f aca="false">Assumptions!L47</f>
        <v>16.5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12402.46375</v>
      </c>
      <c r="D15" s="0" t="n">
        <f aca="false">D13-MAX(0,D13)*D14/100</f>
        <v>13270.6362125</v>
      </c>
      <c r="E15" s="0" t="n">
        <f aca="false">E13-MAX(0,E13)*E14/100</f>
        <v>14223.6478333875</v>
      </c>
      <c r="F15" s="0" t="n">
        <f aca="false">F13-MAX(0,F13)*F14/100</f>
        <v>15148.1849425577</v>
      </c>
      <c r="G15" s="0" t="n">
        <f aca="false">G13-MAX(0,G13)*G14/100</f>
        <v>16057.0760391112</v>
      </c>
      <c r="H15" s="0" t="n">
        <f aca="false">H13-MAX(0,H13)*H14/100</f>
        <v>16940.2152212623</v>
      </c>
      <c r="I15" s="0" t="n">
        <f aca="false">I13-MAX(0,I13)*I14/100</f>
        <v>17787.2259823254</v>
      </c>
      <c r="J15" s="0" t="n">
        <f aca="false">J13-MAX(0,J13)*J14/100</f>
        <v>18587.65115153</v>
      </c>
      <c r="K15" s="0" t="n">
        <f aca="false">K13-MAX(0,K13)*K14/100</f>
        <v>19331.1571975912</v>
      </c>
      <c r="L15" s="0" t="n">
        <f aca="false">L13-MAX(0,L13)*L14/100</f>
        <v>20007.7476995069</v>
      </c>
    </row>
    <row r="16" customFormat="false" ht="15" hidden="false" customHeight="false" outlineLevel="0" collapsed="false">
      <c r="A16" s="0" t="s">
        <v>132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133</v>
      </c>
      <c r="C17" s="4" t="n">
        <f aca="false">-C6*Assumptions!C46/100</f>
        <v>-4128.7</v>
      </c>
      <c r="D17" s="4" t="n">
        <f aca="false">-D6*Assumptions!D46/100</f>
        <v>-5171.952</v>
      </c>
      <c r="E17" s="4" t="n">
        <f aca="false">-E6*Assumptions!E46/100</f>
        <v>-5533.98864</v>
      </c>
      <c r="F17" s="4" t="n">
        <f aca="false">-F6*Assumptions!F46/100</f>
        <v>-5463.949096275</v>
      </c>
      <c r="G17" s="4" t="n">
        <f aca="false">-G6*Assumptions!G46/100</f>
        <v>-5336.252308407</v>
      </c>
      <c r="H17" s="4" t="n">
        <f aca="false">-H6*Assumptions!H46/100</f>
        <v>-5183.48581701693</v>
      </c>
      <c r="I17" s="4" t="n">
        <f aca="false">-I6*Assumptions!I46/100</f>
        <v>-4938.04261442309</v>
      </c>
      <c r="J17" s="4" t="n">
        <f aca="false">-J6*Assumptions!J46/100</f>
        <v>-4632.92925142242</v>
      </c>
      <c r="K17" s="4" t="n">
        <f aca="false">-K6*Assumptions!K46/100</f>
        <v>-4309.0008647376</v>
      </c>
      <c r="L17" s="4" t="n">
        <f aca="false">-L6*Assumptions!L46/100</f>
        <v>-3892.20296291207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8273.76375</v>
      </c>
      <c r="D19" s="0" t="n">
        <f aca="false">D15+D16+D17+D18</f>
        <v>8098.6842125</v>
      </c>
      <c r="E19" s="0" t="n">
        <f aca="false">E15+E16+E17+E18</f>
        <v>8689.6591933875</v>
      </c>
      <c r="F19" s="0" t="n">
        <f aca="false">F15+F16+F17+F18</f>
        <v>9684.23584628269</v>
      </c>
      <c r="G19" s="0" t="n">
        <f aca="false">G15+G16+G17+G18</f>
        <v>10720.8237307042</v>
      </c>
      <c r="H19" s="0" t="n">
        <f aca="false">H15+H16+H17+H18</f>
        <v>11756.7294042453</v>
      </c>
      <c r="I19" s="0" t="n">
        <f aca="false">I15+I16+I17+I18</f>
        <v>12849.1833679023</v>
      </c>
      <c r="J19" s="0" t="n">
        <f aca="false">J15+J16+J17+J18</f>
        <v>13954.7219001076</v>
      </c>
      <c r="K19" s="0" t="n">
        <f aca="false">K15+K16+K17+K18</f>
        <v>15022.1563328536</v>
      </c>
      <c r="L19" s="0" t="n">
        <f aca="false">L15+L16+L17+L18</f>
        <v>16115.5447365948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7660.89236111111</v>
      </c>
      <c r="D21" s="0" t="n">
        <f aca="false">D19*D20</f>
        <v>6943.31636874143</v>
      </c>
      <c r="E21" s="0" t="n">
        <f aca="false">E19*E20</f>
        <v>6898.13163118832</v>
      </c>
      <c r="F21" s="0" t="n">
        <f aca="false">F19*F20</f>
        <v>7118.2024485393</v>
      </c>
      <c r="G21" s="0" t="n">
        <f aca="false">G19*G20</f>
        <v>7296.41248947796</v>
      </c>
      <c r="H21" s="0" t="n">
        <f aca="false">H19*H20</f>
        <v>7408.7337820389</v>
      </c>
      <c r="I21" s="0" t="n">
        <f aca="false">I19*I20</f>
        <v>7497.37508213294</v>
      </c>
      <c r="J21" s="0" t="n">
        <f aca="false">J19*J20</f>
        <v>7539.30203450643</v>
      </c>
      <c r="K21" s="0" t="n">
        <f aca="false">K19*K20</f>
        <v>7514.81818959733</v>
      </c>
      <c r="L21" s="0" t="n">
        <f aca="false">L19*L20</f>
        <v>7464.61537892814</v>
      </c>
    </row>
    <row r="23" customFormat="false" ht="15" hidden="false" customHeight="false" outlineLevel="0" collapsed="false">
      <c r="A23" s="0" t="s">
        <v>113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119</v>
      </c>
      <c r="B29" s="4" t="n">
        <f aca="false">Assumptions!$B$50</f>
        <v>24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73341.7997662618</v>
      </c>
    </row>
    <row r="31" customFormat="false" ht="15" hidden="false" customHeight="false" outlineLevel="0" collapsed="false">
      <c r="A31" s="0" t="s">
        <v>141</v>
      </c>
      <c r="B31" s="0" t="n">
        <f aca="false">L19</f>
        <v>16115.5447365948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370657.528941681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386773.073678276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370657.528941681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171686.153715347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245027.953481609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249727.953481609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87.5317046903642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0.175869219376198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1938.43716868271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3887.38036262532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89.5737017220179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145039.902629354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32.6601954082686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157</v>
      </c>
    </row>
    <row r="3" customFormat="false" ht="15" hidden="false" customHeight="false" outlineLevel="0" collapsed="false">
      <c r="A3" s="2" t="s">
        <v>158</v>
      </c>
      <c r="B3" s="2" t="s">
        <v>159</v>
      </c>
      <c r="C3" s="2" t="s">
        <v>149</v>
      </c>
      <c r="D3" s="2" t="s">
        <v>160</v>
      </c>
      <c r="E3" s="2" t="s">
        <v>152</v>
      </c>
      <c r="F3" s="2" t="s">
        <v>161</v>
      </c>
    </row>
    <row r="4" customFormat="false" ht="15" hidden="false" customHeight="false" outlineLevel="0" collapsed="false">
      <c r="A4" s="0" t="s">
        <v>162</v>
      </c>
      <c r="B4" s="4" t="n">
        <f aca="false">DCF_Bear!$B$38</f>
        <v>51.5096020521245</v>
      </c>
      <c r="C4" s="0" t="n">
        <f aca="false">B4/Assumptions!$B$2-1</f>
        <v>-0.30803866130945</v>
      </c>
      <c r="D4" s="4" t="n">
        <f aca="false">Assumptions!$B$24</f>
        <v>0.25</v>
      </c>
      <c r="E4" s="4" t="n">
        <f aca="false">DCF_Bear!$B$43</f>
        <v>52.9038945745773</v>
      </c>
      <c r="F4" s="4" t="n">
        <f aca="false">DCF_Bear!$B$47</f>
        <v>25.609305737853</v>
      </c>
    </row>
    <row r="5" customFormat="false" ht="15" hidden="false" customHeight="false" outlineLevel="0" collapsed="false">
      <c r="A5" s="0" t="s">
        <v>163</v>
      </c>
      <c r="B5" s="4" t="n">
        <f aca="false">DCF_Base!$B$38</f>
        <v>71.892043531883</v>
      </c>
      <c r="C5" s="0" t="n">
        <f aca="false">B5/Assumptions!$B$2-1</f>
        <v>-0.0342283243970579</v>
      </c>
      <c r="D5" s="4" t="n">
        <f aca="false">Assumptions!$B$38</f>
        <v>0.5</v>
      </c>
      <c r="E5" s="4" t="n">
        <f aca="false">DCF_Base!$B$43</f>
        <v>73.5994902764685</v>
      </c>
      <c r="F5" s="4" t="n">
        <f aca="false">DCF_Base!$B$47</f>
        <v>29.5774006243662</v>
      </c>
    </row>
    <row r="6" customFormat="false" ht="15" hidden="false" customHeight="false" outlineLevel="0" collapsed="false">
      <c r="A6" s="0" t="s">
        <v>164</v>
      </c>
      <c r="B6" s="4" t="n">
        <f aca="false">DCF_Bull!$B$38</f>
        <v>87.5317046903642</v>
      </c>
      <c r="C6" s="0" t="n">
        <f aca="false">B6/Assumptions!$B$2-1</f>
        <v>0.175869219376198</v>
      </c>
      <c r="D6" s="4" t="n">
        <f aca="false">Assumptions!$B$52</f>
        <v>0.25</v>
      </c>
      <c r="E6" s="4" t="n">
        <f aca="false">DCF_Bull!$B$43</f>
        <v>89.5737017220179</v>
      </c>
      <c r="F6" s="4" t="n">
        <f aca="false">DCF_Bull!$B$47</f>
        <v>32.6601954082686</v>
      </c>
    </row>
    <row r="8" customFormat="false" ht="15" hidden="false" customHeight="false" outlineLevel="0" collapsed="false">
      <c r="A8" s="0" t="s">
        <v>165</v>
      </c>
      <c r="B8" s="0" t="n">
        <f aca="false">SUMPRODUCT(B4:B6,D4:D6)</f>
        <v>70.7063484515637</v>
      </c>
    </row>
    <row r="9" customFormat="false" ht="15" hidden="false" customHeight="false" outlineLevel="0" collapsed="false">
      <c r="A9" s="0" t="s">
        <v>166</v>
      </c>
      <c r="B9" s="0" t="n">
        <f aca="false">SUMPRODUCT(E4:E6,D4:D6)</f>
        <v>72.419144212383</v>
      </c>
    </row>
    <row r="10" customFormat="false" ht="15" hidden="false" customHeight="false" outlineLevel="0" collapsed="false">
      <c r="A10" s="0" t="s">
        <v>167</v>
      </c>
      <c r="B10" s="0" t="n">
        <f aca="false">1-Assumptions!$B$2/B8</f>
        <v>-0.0528050398613642</v>
      </c>
    </row>
    <row r="11" customFormat="false" ht="15" hidden="false" customHeight="false" outlineLevel="0" collapsed="false">
      <c r="A11" s="0" t="s">
        <v>168</v>
      </c>
      <c r="B11" s="0" t="n">
        <f aca="false">IF(ABS(B9-B8)&gt;0.01*ABS(B8),(Assumptions!$B$2-B8)/(B9-B8)*100,"n/a")</f>
        <v>217.985800399823</v>
      </c>
    </row>
    <row r="12" customFormat="false" ht="15" hidden="false" customHeight="false" outlineLevel="0" collapsed="false">
      <c r="A12" s="0" t="s">
        <v>169</v>
      </c>
      <c r="B12" s="0" t="n">
        <f aca="false">SUMPRODUCT(F4:F6,D4:D6)</f>
        <v>29.3560755987135</v>
      </c>
    </row>
    <row r="14" customFormat="false" ht="15" hidden="false" customHeight="false" outlineLevel="0" collapsed="false">
      <c r="A14" s="2" t="s">
        <v>170</v>
      </c>
      <c r="C14" s="0" t="s">
        <v>171</v>
      </c>
    </row>
    <row r="15" customFormat="false" ht="15" hidden="false" customHeight="false" outlineLevel="0" collapsed="false">
      <c r="A15" s="0" t="s">
        <v>172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71.892043531883</v>
      </c>
      <c r="C15" s="3" t="n">
        <v>8</v>
      </c>
    </row>
    <row r="16" customFormat="false" ht="15" hidden="false" customHeight="false" outlineLevel="0" collapsed="false">
      <c r="A16" s="0" t="s">
        <v>173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59.721927334934</v>
      </c>
      <c r="C16" s="3" t="n">
        <v>9</v>
      </c>
    </row>
    <row r="17" customFormat="false" ht="15" hidden="false" customHeight="false" outlineLevel="0" collapsed="false">
      <c r="A17" s="0" t="s">
        <v>174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51.0549889824685</v>
      </c>
      <c r="C17" s="3" t="n">
        <v>10</v>
      </c>
    </row>
    <row r="18" customFormat="false" ht="15" hidden="false" customHeight="false" outlineLevel="0" collapsed="false">
      <c r="A18" s="0" t="s">
        <v>175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44.575770676809</v>
      </c>
      <c r="C18" s="3" t="n">
        <v>11</v>
      </c>
    </row>
    <row r="19" customFormat="false" ht="15" hidden="false" customHeight="false" outlineLevel="0" collapsed="false">
      <c r="A19" s="0" t="s">
        <v>176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39.5536019989584</v>
      </c>
      <c r="C19" s="3" t="n">
        <v>12</v>
      </c>
    </row>
    <row r="20" customFormat="false" ht="15" hidden="false" customHeight="false" outlineLevel="0" collapsed="false">
      <c r="A20" s="0" t="s">
        <v>177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29.5774006243662</v>
      </c>
      <c r="C20" s="3" t="n">
        <v>15</v>
      </c>
    </row>
    <row r="22" customFormat="false" ht="15" hidden="false" customHeight="false" outlineLevel="0" collapsed="false">
      <c r="A22" s="2" t="s">
        <v>178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87.668877844544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87.668877844544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87.668877844544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87.668877844544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87.668877844544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77.1224909630352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81.032505456306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81.032505456306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81.032505456306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81.032505456306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63.8759807987425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67.5196456774427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71.892043531883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75.0094012614377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75.0094012614377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54.4519543426468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56.8842495698562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59.721927334934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63.075546511844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67.099889524136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47.4143805727236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49.1133311639379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51.0549889824685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53.2953633884654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55.909133528795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2026-10-24T03:18:44Z</dcterms:created>
  <dc:creator>openpyxl</dc:creator>
  <dc:description/>
  <dc:language>en-NZ</dc:language>
  <cp:lastModifiedBy/>
  <dcterms:modified xsi:type="dcterms:W3CDTF">2026-10-24T03:18:44Z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