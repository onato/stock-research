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<sst xmlns="http://schemas.openxmlformats.org/spreadsheetml/2006/main" count="354" uniqueCount="163">
  <si>
    <t xml:space="preserve">Ticker</t>
  </si>
  <si>
    <t xml:space="preserve">ENS.NZ</t>
  </si>
  <si>
    <t xml:space="preserve">Company</t>
  </si>
  <si>
    <t xml:space="preserve">Enprise Group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</si>
  <si>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</si>
  <si>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</si>
  <si>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</si>
  <si>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</si>
  <si>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2026-09-25T01:18:41Z regular close (52-week range 0.375-0.725)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</si>
  <si>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</si>
  <si>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</si>
  <si>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</si>
  <si>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</si>
  <si>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</si>
  <si>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</si>
  <si>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</si>
  <si>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</si>
  <si>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</si>
  <si>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</si>
  <si>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</si>
  <si>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</si>
  <si>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2026-09-25T12:32:38Z</t>
  </si>
  <si>
    <t xml:space="preserve">Drivers file</t>
  </si>
  <si>
    <t xml:space="preserve">ENS.NZ_Drivers.json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</si>
  <si>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</si>
  <si>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</si>
  <si>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</si>
  <si>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ENS.NZ is valued as a going, revenue-growing operating business under real and disclosed going-concern stress -- an owner-FCF DCF, not a receivership/asset-waterfall model, because the company continues to trade, generated positive group operating cash flow in FY2026, and has a credible (if uncertain) forward cash-generating thesis in the forced MYOB Exo-to-Acumatica migration of its ~800-client installed base. The going-concern risk that a pure growth DCF would miss is priced three ways rather than folded silently into growth assumptions: a 20% WACC carrying an explicit +3pp going-concern/covenant premium on top of the NZ small-cap/illiquidity base, a 35% bear-case probability weight (the top of the method's going-concern band), and a bear scenario whose driver path is a genuine equity-impairment branch (sustained negative margins, a further dilutive raise or covenant breach) rather than merely 'growth disappoints'. Net debt is stated on a bank-borrowings-only basis (-$0.503m, i.e. net cash) because the lease liability is already fully charged through the flows under the consistent lease treatment used here -- so the going-concern strain in this model is a profitability/working-capital problem, not a heavy net-debt overhang, and the valuation should be read that way.
key_risks_to_valuation: Going-concern material uncertainty (FY2025 audit) and a worsening current ratio (0.69 -&gt; 0.60) mean the base case's 'muddles through without a further raise' assumption could be wrong within the next 12 months -- a further rescue raise would dilute per-share value below every scenario computed here; No formal FY2027 guidance exists (management has committed only to a qualitative 'return to sustainable profitability'), so every driver path beyond the going-concern facts themselves is this model's judgment, not a disclosed target; CEO transition and an unscoped strategic review could produce further impairments, a divestiture (Datagate flagged for 'exit considerations'), or restructuring costs not modelled explicitly in any scenario; NCI (Recipe Marketing, iSell minority stakes) is consolidated into group OCF/capex rather than explicitly stripped from owner FCF -- a simplification given data granularity that could overstate attributable owner FCF by a small amount; Single-vendor (MYOB) dependency means the entire valuation is exposed to a platform-partner decision outside the company's control</t>
  </si>
  <si>
    <t xml:space="preserve">Data sources</t>
  </si>
  <si>
    <t xml:space="preserve">price: Yahoo Finance chart API at inputs.price_as_of; 52-week range 0.375-0.725
financials: research/ENS.NZ/Reports/ENS.NZ_Metrics.csv (financial-parser rebuild, FY2018-FY2026, all periods in NZD millions, EPS in dollars); FY2026 annual results announcement research/ENS.NZ/Extracted/ENS.NZ_Annual_FY2026.txt for balance sheet, cash flow and lease/borrowings detail
qualitative: research/ENS.NZ/Reports/ENS.NZ_Analysis.json (qualitative-analyst, 2026-09-26) -- going-concern qualification, NZSA review findings, CEO departure, strategic reset, Exo migration thesis, Datagate exit considerations</t>
  </si>
  <si>
    <t xml:space="preserve">Scenario narrative: bear</t>
  </si>
  <si>
    <t xml:space="preserve">The auditor's going-concern flag proves prescient: margins stay negative through a leadership vacuum and competitive Exo-migration leakage, and the balance sheet strain forces a further deeply dilutive raise or a covenant event.</t>
  </si>
  <si>
    <t xml:space="preserve">Scenario narrative: base</t>
  </si>
  <si>
    <t xml:space="preserve">Strategic reset delivers a slow, partial margin recovery on continued mid-single-digit revenue growth; the business muddles through its liquidity strain without a further rescue raise but never approaches its FY2021 margin peak.</t>
  </si>
  <si>
    <t xml:space="preserve">Scenario narrative: bull</t>
  </si>
  <si>
    <t xml:space="preserve">Exo-migration capture, a fast and effective leadership reset, and a favourable Datagate exit combine to push margins back toward the FY2021 peak — several independent good outcomes, hence the lowest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</si>
  <si>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</si>
  <si>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</si>
  <si>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</si>
  <si>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</si>
  <si>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</si>
  <si>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</si>
  <si>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</si>
  <si>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</si>
  <si>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</si>
  <si>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</si>
  <si>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</si>
  <si>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</si>
  <si>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</si>
  <si>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</si>
  <si>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</si>
  <si>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</si>
  <si>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</si>
  <si>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</si>
  <si>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</si>
  <si>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</si>
  <si>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</si>
  <si>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</si>
  <si>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</si>
  <si>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</si>
  <si>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</si>
  <si>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</si>
  <si>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</si>
  <si>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</si>
  <si>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</si>
  <si>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</si>
  <si>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</si>
  <si>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</si>
  <si>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</si>
  <si>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</si>
  <si>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</si>
  <si>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</si>
  <si>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</si>
  <si>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</si>
  <si>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</si>
  <si>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</si>
  <si>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</si>
  <si>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</si>
  <si>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</si>
  <si>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</si>
  <si>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</si>
  <si>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</si>
  <si>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</si>
  <si>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</si>
  <si>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</si>
  <si>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</si>
  <si>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</si>
  <si>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</si>
  <si>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</si>
  <si>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</si>
  <si>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</si>
  <si>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</si>
  <si>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</si>
  <si>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</si>
  <si>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</si>
  <si>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</si>
  <si>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</si>
  <si>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</si>
  <si>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</si>
  <si>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</si>
  <si>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</si>
  <si>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</si>
  <si>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</si>
  <si>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</si>
  <si>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</si>
  <si>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</si>
  <si>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</si>
  <si>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</si>
  <si>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ENS.NZ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</si>
  <si>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</si>
  <si>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</si>
  <si>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</si>
  <si>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</si>
  <si>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</si>
  <si>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</si>
  <si>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</si>
  <si>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</si>
  <si>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</si>
  <si>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</si>
  <si>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</si>
  <si>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</si>
  <si>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</si>
  <si>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</si>
  <si>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</si>
  <si>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</si>
  <si>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</si>
  <si>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</si>
  <si>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</si>
  <si>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</si>
  <si>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</si>
  <si>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</si>
  <si>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</si>
  <si>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</si>
  <si>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</si>
  <si>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</si>
  <si>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</si>
  <si>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</si>
  <si>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</si>
  <si>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</si>
  <si>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ENS.NZ owner-FCF component DCF: base case (millions, NZD)</t>
  </si>
  <si>
    <t xml:space="preserve">ENS.NZ owner-FCF component DCF: bull case (millions, NZD)</t>
  </si>
  <si>
    <t xml:space="preserve">ENS.NZ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</si>
  <si>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</si>
  <si>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</si>
  <si>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</si>
  <si>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</si>
  <si>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</si>
  <si>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</si>
  <si>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</si>
  <si>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</si>
  <si>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</si>
  <si>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</si>
  <si>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</si>
  <si>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</si>
  <si>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</si>
  <si>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</si>
  <si>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</si>
  <si>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</si>
  <si>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</si>
  <si>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</si>
  <si>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</si>
  <si>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Value per share at 20% (WACC)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</si>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</sst>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8.809</v>
      </c>
      <c r="C2" s="0" t="n">
        <v>3.356</v>
      </c>
      <c r="D2" s="0" t="n">
        <v>5.453</v>
      </c>
      <c r="E2" s="0" t="n">
        <v>61.9</v>
      </c>
      <c r="F2" s="0" t="n">
        <v>0.765</v>
      </c>
      <c r="G2" s="0" t="n">
        <v>8.7</v>
      </c>
      <c r="H2" s="0" t="n">
        <v>0.88</v>
      </c>
      <c r="I2" s="0" t="n">
        <v>0.151</v>
      </c>
      <c r="J2" s="0" t="n">
        <v>1.7</v>
      </c>
      <c r="K2" s="0" t="n">
        <v>0.017</v>
      </c>
      <c r="L2" s="0" t="n">
        <v>0.572</v>
      </c>
      <c r="M2" s="0" t="n">
        <v>0.065</v>
      </c>
      <c r="N2" s="0" t="n">
        <v>0.507</v>
      </c>
      <c r="O2" s="0" t="n">
        <v>7.675</v>
      </c>
      <c r="P2" s="0" t="n">
        <v>9.971</v>
      </c>
      <c r="Q2" s="0" t="n">
        <v>2.296</v>
      </c>
      <c r="R2" s="0" t="n">
        <v>0.949</v>
      </c>
      <c r="S2" s="0" t="n">
        <v>1.265</v>
      </c>
      <c r="T2" s="0" t="n">
        <v>9.578</v>
      </c>
      <c r="U2" s="0" t="n">
        <v>0.03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6.714</v>
      </c>
      <c r="C3" s="0" t="n">
        <v>0.6</v>
      </c>
      <c r="D3" s="0" t="n">
        <v>6.114</v>
      </c>
      <c r="E3" s="0" t="n">
        <v>91.1</v>
      </c>
      <c r="F3" s="0" t="n">
        <v>0.663</v>
      </c>
      <c r="G3" s="0" t="n">
        <v>9.9</v>
      </c>
      <c r="H3" s="0" t="n">
        <v>0.778</v>
      </c>
      <c r="I3" s="0" t="n">
        <v>-1.041</v>
      </c>
      <c r="J3" s="0" t="n">
        <v>-15.5</v>
      </c>
      <c r="K3" s="0" t="n">
        <v>-0.1087</v>
      </c>
      <c r="L3" s="0" t="n">
        <v>0.341</v>
      </c>
      <c r="M3" s="0" t="n">
        <v>0.03</v>
      </c>
      <c r="N3" s="0" t="n">
        <v>0.311</v>
      </c>
      <c r="O3" s="0" t="n">
        <v>6.63</v>
      </c>
      <c r="P3" s="0" t="n">
        <v>9.311</v>
      </c>
      <c r="Q3" s="0" t="n">
        <v>2.681</v>
      </c>
      <c r="R3" s="0" t="n">
        <v>0.635</v>
      </c>
      <c r="S3" s="0" t="n">
        <v>0.771</v>
      </c>
      <c r="T3" s="0" t="n">
        <v>9.578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16.113</v>
      </c>
      <c r="F4" s="0" t="n">
        <v>0.629</v>
      </c>
      <c r="G4" s="0" t="n">
        <v>3.9</v>
      </c>
      <c r="H4" s="0" t="n">
        <v>1.978</v>
      </c>
      <c r="I4" s="0" t="n">
        <v>1.098</v>
      </c>
      <c r="J4" s="0" t="n">
        <v>6.8</v>
      </c>
      <c r="K4" s="0" t="n">
        <v>0.0685</v>
      </c>
      <c r="L4" s="0" t="n">
        <v>2.215</v>
      </c>
      <c r="M4" s="0" t="n">
        <v>0.462</v>
      </c>
      <c r="N4" s="0" t="n">
        <v>1.753</v>
      </c>
      <c r="O4" s="0" t="n">
        <v>13.238</v>
      </c>
      <c r="P4" s="0" t="n">
        <v>22.83</v>
      </c>
      <c r="Q4" s="0" t="n">
        <v>9.037</v>
      </c>
      <c r="R4" s="0" t="n">
        <v>1.709</v>
      </c>
      <c r="S4" s="0" t="n">
        <v>2.806</v>
      </c>
      <c r="T4" s="0" t="n">
        <v>16.157699</v>
      </c>
      <c r="U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18.744</v>
      </c>
      <c r="F5" s="0" t="n">
        <v>-1.782</v>
      </c>
      <c r="G5" s="0" t="n">
        <v>-9.5</v>
      </c>
      <c r="H5" s="0" t="n">
        <v>-0.428</v>
      </c>
      <c r="I5" s="0" t="n">
        <v>-1.836</v>
      </c>
      <c r="J5" s="0" t="n">
        <v>-9.8</v>
      </c>
      <c r="K5" s="0" t="n">
        <v>-0.1136</v>
      </c>
      <c r="L5" s="0" t="n">
        <v>-0.146</v>
      </c>
      <c r="M5" s="0" t="n">
        <v>0.486</v>
      </c>
      <c r="N5" s="0" t="n">
        <v>-0.632</v>
      </c>
      <c r="O5" s="0" t="n">
        <v>11.193</v>
      </c>
      <c r="P5" s="0" t="n">
        <v>22.22</v>
      </c>
      <c r="Q5" s="0" t="n">
        <v>10.866</v>
      </c>
      <c r="R5" s="0" t="n">
        <v>2.648</v>
      </c>
      <c r="S5" s="0" t="n">
        <v>1.546</v>
      </c>
      <c r="T5" s="0" t="n">
        <v>16.157699</v>
      </c>
      <c r="U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20.751</v>
      </c>
      <c r="F6" s="0" t="n">
        <v>-2.513</v>
      </c>
      <c r="G6" s="0" t="n">
        <v>-12.1</v>
      </c>
      <c r="H6" s="0" t="n">
        <v>0.292</v>
      </c>
      <c r="I6" s="0" t="n">
        <v>-10.279</v>
      </c>
      <c r="J6" s="0" t="n">
        <v>-49.5</v>
      </c>
      <c r="K6" s="0" t="n">
        <v>-0.6082</v>
      </c>
      <c r="L6" s="0" t="n">
        <v>-0.725</v>
      </c>
      <c r="M6" s="0" t="n">
        <v>0.593</v>
      </c>
      <c r="N6" s="0" t="n">
        <v>-1.318</v>
      </c>
      <c r="O6" s="0" t="n">
        <v>1.759</v>
      </c>
      <c r="P6" s="0" t="n">
        <v>12.944</v>
      </c>
      <c r="Q6" s="0" t="n">
        <v>11.498</v>
      </c>
      <c r="R6" s="0" t="n">
        <v>3.328</v>
      </c>
      <c r="S6" s="0" t="n">
        <v>1.178</v>
      </c>
      <c r="T6" s="0" t="n">
        <v>17.430061</v>
      </c>
      <c r="U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21.865</v>
      </c>
      <c r="F7" s="0" t="n">
        <v>-0.298</v>
      </c>
      <c r="G7" s="0" t="n">
        <v>-1.4</v>
      </c>
      <c r="H7" s="0" t="n">
        <v>1.301</v>
      </c>
      <c r="I7" s="0" t="n">
        <v>-0.007</v>
      </c>
      <c r="J7" s="0" t="n">
        <v>0</v>
      </c>
      <c r="K7" s="0" t="n">
        <v>-0.0004</v>
      </c>
      <c r="L7" s="0" t="n">
        <v>1.796</v>
      </c>
      <c r="M7" s="0" t="n">
        <v>0.614</v>
      </c>
      <c r="N7" s="0" t="n">
        <v>1.182</v>
      </c>
      <c r="O7" s="0" t="n">
        <v>3.42</v>
      </c>
      <c r="P7" s="0" t="n">
        <v>14.599</v>
      </c>
      <c r="Q7" s="0" t="n">
        <v>11.495</v>
      </c>
      <c r="R7" s="0" t="n">
        <v>3.046</v>
      </c>
      <c r="S7" s="0" t="n">
        <v>1.737</v>
      </c>
      <c r="T7" s="0" t="n">
        <v>20.068057</v>
      </c>
      <c r="U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24.831</v>
      </c>
      <c r="F8" s="0" t="n">
        <v>-0.085</v>
      </c>
      <c r="G8" s="0" t="n">
        <v>-0.3</v>
      </c>
      <c r="H8" s="0" t="n">
        <v>0.912</v>
      </c>
      <c r="I8" s="0" t="n">
        <v>-0.101</v>
      </c>
      <c r="J8" s="0" t="n">
        <v>-0.4</v>
      </c>
      <c r="K8" s="0" t="n">
        <v>-0.005</v>
      </c>
      <c r="L8" s="0" t="n">
        <v>0.682</v>
      </c>
      <c r="M8" s="0" t="n">
        <v>0.824</v>
      </c>
      <c r="N8" s="0" t="n">
        <v>-0.142</v>
      </c>
      <c r="O8" s="0" t="n">
        <v>3.277</v>
      </c>
      <c r="P8" s="0" t="n">
        <v>14.66</v>
      </c>
      <c r="Q8" s="0" t="n">
        <v>11.605</v>
      </c>
      <c r="R8" s="0" t="n">
        <v>3.331</v>
      </c>
      <c r="S8" s="0" t="n">
        <v>1.588</v>
      </c>
      <c r="T8" s="0" t="n">
        <v>20.062048</v>
      </c>
      <c r="U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26.289</v>
      </c>
      <c r="F9" s="0" t="n">
        <v>-1.098</v>
      </c>
      <c r="G9" s="0" t="n">
        <v>-4.2</v>
      </c>
      <c r="H9" s="0" t="n">
        <v>-0.257</v>
      </c>
      <c r="I9" s="0" t="n">
        <v>-2.032</v>
      </c>
      <c r="J9" s="0" t="n">
        <v>-7.7</v>
      </c>
      <c r="K9" s="0" t="n">
        <v>-0.0967</v>
      </c>
      <c r="L9" s="0" t="n">
        <v>0.512</v>
      </c>
      <c r="M9" s="0" t="n">
        <v>0.702</v>
      </c>
      <c r="N9" s="0" t="n">
        <v>-0.19</v>
      </c>
      <c r="O9" s="0" t="n">
        <v>1.942</v>
      </c>
      <c r="P9" s="0" t="n">
        <v>14.841</v>
      </c>
      <c r="Q9" s="0" t="n">
        <v>13.281</v>
      </c>
      <c r="R9" s="0" t="n">
        <v>2.964</v>
      </c>
      <c r="S9" s="0" t="n">
        <v>1.453</v>
      </c>
      <c r="T9" s="0" t="n">
        <v>22.056553</v>
      </c>
      <c r="U9" s="0" t="n">
        <v>0</v>
      </c>
      <c r="AA9" s="0" t="s">
        <v>17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0.4</v>
      </c>
    </row>
    <row r="3" customFormat="false" ht="15" hidden="false" customHeight="false" outlineLevel="0" collapsed="false">
      <c r="A3" s="0" t="s">
        <v>74</v>
      </c>
      <c r="B3" s="3" t="n">
        <v>22.057</v>
      </c>
    </row>
    <row r="4" customFormat="false" ht="15" hidden="false" customHeight="false" outlineLevel="0" collapsed="false">
      <c r="A4" s="0" t="s">
        <v>75</v>
      </c>
      <c r="B4" s="3" t="n">
        <v>-0.503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26.289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2</v>
      </c>
      <c r="D13" s="3" t="n">
        <v>1</v>
      </c>
      <c r="E13" s="3" t="n">
        <v>0</v>
      </c>
      <c r="F13" s="3" t="n">
        <v>-1.5</v>
      </c>
      <c r="G13" s="3" t="n">
        <v>-2</v>
      </c>
      <c r="H13" s="3" t="n">
        <v>-1</v>
      </c>
      <c r="I13" s="3" t="n">
        <v>0</v>
      </c>
      <c r="J13" s="3" t="n">
        <v>1</v>
      </c>
      <c r="K13" s="3" t="n">
        <v>1.5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-1.5</v>
      </c>
      <c r="D14" s="3" t="n">
        <v>-2</v>
      </c>
      <c r="E14" s="3" t="n">
        <v>-2.5</v>
      </c>
      <c r="F14" s="3" t="n">
        <v>-2</v>
      </c>
      <c r="G14" s="3" t="n">
        <v>-1.5</v>
      </c>
      <c r="H14" s="3" t="n">
        <v>-1</v>
      </c>
      <c r="I14" s="3" t="n">
        <v>-0.5</v>
      </c>
      <c r="J14" s="3" t="n">
        <v>0</v>
      </c>
      <c r="K14" s="3" t="n">
        <v>0.5</v>
      </c>
      <c r="L14" s="3" t="n">
        <v>1</v>
      </c>
    </row>
    <row r="15" customFormat="false" ht="15" hidden="false" customHeight="false" outlineLevel="0" collapsed="false">
      <c r="A15" s="0" t="s">
        <v>96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97</v>
      </c>
      <c r="C16" s="3" t="n">
        <v>2.1</v>
      </c>
      <c r="D16" s="3" t="n">
        <v>2.1</v>
      </c>
      <c r="E16" s="3" t="n">
        <v>2</v>
      </c>
      <c r="F16" s="3" t="n">
        <v>2</v>
      </c>
      <c r="G16" s="3" t="n">
        <v>2</v>
      </c>
      <c r="H16" s="3" t="n">
        <v>1.9</v>
      </c>
      <c r="I16" s="3" t="n">
        <v>1.9</v>
      </c>
      <c r="J16" s="3" t="n">
        <v>1.9</v>
      </c>
      <c r="K16" s="3" t="n">
        <v>1.8</v>
      </c>
      <c r="L16" s="3" t="n">
        <v>1.8</v>
      </c>
    </row>
    <row r="17" customFormat="false" ht="15" hidden="false" customHeight="false" outlineLevel="0" collapsed="false">
      <c r="A17" s="0" t="s">
        <v>98</v>
      </c>
      <c r="C17" s="3" t="n">
        <v>3.3</v>
      </c>
      <c r="D17" s="3" t="n">
        <v>3.3</v>
      </c>
      <c r="E17" s="3" t="n">
        <v>3.2</v>
      </c>
      <c r="F17" s="3" t="n">
        <v>3.2</v>
      </c>
      <c r="G17" s="3" t="n">
        <v>3.1</v>
      </c>
      <c r="H17" s="3" t="n">
        <v>3.1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99</v>
      </c>
      <c r="C18" s="3" t="n">
        <v>2.5</v>
      </c>
      <c r="D18" s="3" t="n">
        <v>2.3</v>
      </c>
      <c r="E18" s="3" t="n">
        <v>2</v>
      </c>
      <c r="F18" s="3" t="n">
        <v>1.8</v>
      </c>
      <c r="G18" s="3" t="n">
        <v>1.8</v>
      </c>
      <c r="H18" s="3" t="n">
        <v>1.8</v>
      </c>
      <c r="I18" s="3" t="n">
        <v>1.9</v>
      </c>
      <c r="J18" s="3" t="n">
        <v>2</v>
      </c>
      <c r="K18" s="3" t="n">
        <v>2.1</v>
      </c>
      <c r="L18" s="3" t="n">
        <v>2.2</v>
      </c>
    </row>
    <row r="19" customFormat="false" ht="15" hidden="false" customHeight="false" outlineLevel="0" collapsed="false">
      <c r="A19" s="0" t="s">
        <v>100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5</v>
      </c>
      <c r="K19" s="3" t="n">
        <v>10</v>
      </c>
      <c r="L19" s="3" t="n">
        <v>15</v>
      </c>
    </row>
    <row r="20" customFormat="false" ht="15" hidden="false" customHeight="false" outlineLevel="0" collapsed="false">
      <c r="A20" s="0" t="s">
        <v>101</v>
      </c>
      <c r="B20" s="3" t="n">
        <v>20</v>
      </c>
    </row>
    <row r="21" customFormat="false" ht="15" hidden="false" customHeight="false" outlineLevel="0" collapsed="false">
      <c r="A21" s="0" t="s">
        <v>102</v>
      </c>
      <c r="B21" s="3" t="n">
        <v>1.5</v>
      </c>
    </row>
    <row r="22" customFormat="false" ht="15" hidden="false" customHeight="false" outlineLevel="0" collapsed="false">
      <c r="A22" s="0" t="s">
        <v>103</v>
      </c>
      <c r="B22" s="3" t="n">
        <v>8</v>
      </c>
    </row>
    <row r="23" customFormat="false" ht="15" hidden="false" customHeight="false" outlineLevel="0" collapsed="false">
      <c r="A23" s="0" t="s">
        <v>104</v>
      </c>
      <c r="B23" s="3" t="n">
        <v>3</v>
      </c>
    </row>
    <row r="24" customFormat="false" ht="15" hidden="false" customHeight="false" outlineLevel="0" collapsed="false">
      <c r="A24" s="0" t="s">
        <v>105</v>
      </c>
      <c r="B24" s="3" t="n">
        <v>0.35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6.5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1</v>
      </c>
      <c r="D28" s="3" t="n">
        <v>2</v>
      </c>
      <c r="E28" s="3" t="n">
        <v>3</v>
      </c>
      <c r="F28" s="3" t="n">
        <v>3.8</v>
      </c>
      <c r="G28" s="3" t="n">
        <v>4.3</v>
      </c>
      <c r="H28" s="3" t="n">
        <v>4.6</v>
      </c>
      <c r="I28" s="3" t="n">
        <v>4.8</v>
      </c>
      <c r="J28" s="3" t="n">
        <v>5</v>
      </c>
      <c r="K28" s="3" t="n">
        <v>5</v>
      </c>
      <c r="L28" s="3" t="n">
        <v>5</v>
      </c>
    </row>
    <row r="29" customFormat="false" ht="15" hidden="false" customHeight="false" outlineLevel="0" collapsed="false">
      <c r="A29" s="0" t="s">
        <v>96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97</v>
      </c>
      <c r="C30" s="3" t="n">
        <v>2</v>
      </c>
      <c r="D30" s="3" t="n">
        <v>2</v>
      </c>
      <c r="E30" s="3" t="n">
        <v>1.9</v>
      </c>
      <c r="F30" s="3" t="n">
        <v>1.9</v>
      </c>
      <c r="G30" s="3" t="n">
        <v>1.8</v>
      </c>
      <c r="H30" s="3" t="n">
        <v>1.8</v>
      </c>
      <c r="I30" s="3" t="n">
        <v>1.7</v>
      </c>
      <c r="J30" s="3" t="n">
        <v>1.7</v>
      </c>
      <c r="K30" s="3" t="n">
        <v>1.7</v>
      </c>
      <c r="L30" s="3" t="n">
        <v>1.7</v>
      </c>
    </row>
    <row r="31" customFormat="false" ht="15" hidden="false" customHeight="false" outlineLevel="0" collapsed="false">
      <c r="A31" s="0" t="s">
        <v>98</v>
      </c>
      <c r="C31" s="3" t="n">
        <v>3.2</v>
      </c>
      <c r="D31" s="3" t="n">
        <v>3.1</v>
      </c>
      <c r="E31" s="3" t="n">
        <v>3</v>
      </c>
      <c r="F31" s="3" t="n">
        <v>3</v>
      </c>
      <c r="G31" s="3" t="n">
        <v>2.9</v>
      </c>
      <c r="H31" s="3" t="n">
        <v>2.9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99</v>
      </c>
      <c r="C32" s="3" t="n">
        <v>2.7</v>
      </c>
      <c r="D32" s="3" t="n">
        <v>2.7</v>
      </c>
      <c r="E32" s="3" t="n">
        <v>2.6</v>
      </c>
      <c r="F32" s="3" t="n">
        <v>2.6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100</v>
      </c>
      <c r="C33" s="3" t="n">
        <v>0</v>
      </c>
      <c r="D33" s="3" t="n">
        <v>0</v>
      </c>
      <c r="E33" s="3" t="n">
        <v>5</v>
      </c>
      <c r="F33" s="3" t="n">
        <v>12</v>
      </c>
      <c r="G33" s="3" t="n">
        <v>18</v>
      </c>
      <c r="H33" s="3" t="n">
        <v>24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101</v>
      </c>
      <c r="B34" s="3" t="n">
        <v>20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10</v>
      </c>
    </row>
    <row r="37" customFormat="false" ht="15" hidden="false" customHeight="false" outlineLevel="0" collapsed="false">
      <c r="A37" s="0" t="s">
        <v>104</v>
      </c>
      <c r="B37" s="3" t="n">
        <v>8</v>
      </c>
    </row>
    <row r="38" customFormat="false" ht="15" hidden="false" customHeight="false" outlineLevel="0" collapsed="false">
      <c r="A38" s="0" t="s">
        <v>105</v>
      </c>
      <c r="B38" s="3" t="n">
        <v>0.45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11</v>
      </c>
      <c r="D41" s="3" t="n">
        <v>10.5</v>
      </c>
      <c r="E41" s="3" t="n">
        <v>9.5</v>
      </c>
      <c r="F41" s="3" t="n">
        <v>8.5</v>
      </c>
      <c r="G41" s="3" t="n">
        <v>7.5</v>
      </c>
      <c r="H41" s="3" t="n">
        <v>6.5</v>
      </c>
      <c r="I41" s="3" t="n">
        <v>5.5</v>
      </c>
      <c r="J41" s="3" t="n">
        <v>4.5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2.5</v>
      </c>
      <c r="D42" s="3" t="n">
        <v>4.5</v>
      </c>
      <c r="E42" s="3" t="n">
        <v>6.5</v>
      </c>
      <c r="F42" s="3" t="n">
        <v>8</v>
      </c>
      <c r="G42" s="3" t="n">
        <v>9</v>
      </c>
      <c r="H42" s="3" t="n">
        <v>9.5</v>
      </c>
      <c r="I42" s="3" t="n">
        <v>10</v>
      </c>
      <c r="J42" s="3" t="n">
        <v>10</v>
      </c>
      <c r="K42" s="3" t="n">
        <v>10</v>
      </c>
      <c r="L42" s="3" t="n">
        <v>10</v>
      </c>
    </row>
    <row r="43" customFormat="false" ht="15" hidden="false" customHeight="false" outlineLevel="0" collapsed="false">
      <c r="A43" s="0" t="s">
        <v>96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97</v>
      </c>
      <c r="C44" s="3" t="n">
        <v>1.9</v>
      </c>
      <c r="D44" s="3" t="n">
        <v>1.8</v>
      </c>
      <c r="E44" s="3" t="n">
        <v>1.7</v>
      </c>
      <c r="F44" s="3" t="n">
        <v>1.6</v>
      </c>
      <c r="G44" s="3" t="n">
        <v>1.5</v>
      </c>
      <c r="H44" s="3" t="n">
        <v>1.5</v>
      </c>
      <c r="I44" s="3" t="n">
        <v>1.4</v>
      </c>
      <c r="J44" s="3" t="n">
        <v>1.4</v>
      </c>
      <c r="K44" s="3" t="n">
        <v>1.4</v>
      </c>
      <c r="L44" s="3" t="n">
        <v>1.4</v>
      </c>
    </row>
    <row r="45" customFormat="false" ht="15" hidden="false" customHeight="false" outlineLevel="0" collapsed="false">
      <c r="A45" s="0" t="s">
        <v>98</v>
      </c>
      <c r="C45" s="3" t="n">
        <v>3.1</v>
      </c>
      <c r="D45" s="3" t="n">
        <v>3</v>
      </c>
      <c r="E45" s="3" t="n">
        <v>2.9</v>
      </c>
      <c r="F45" s="3" t="n">
        <v>2.8</v>
      </c>
      <c r="G45" s="3" t="n">
        <v>2.7</v>
      </c>
      <c r="H45" s="3" t="n">
        <v>2.6</v>
      </c>
      <c r="I45" s="3" t="n">
        <v>2.6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99</v>
      </c>
      <c r="C46" s="3" t="n">
        <v>2.8</v>
      </c>
      <c r="D46" s="3" t="n">
        <v>2.8</v>
      </c>
      <c r="E46" s="3" t="n">
        <v>2.7</v>
      </c>
      <c r="F46" s="3" t="n">
        <v>2.6</v>
      </c>
      <c r="G46" s="3" t="n">
        <v>2.5</v>
      </c>
      <c r="H46" s="3" t="n">
        <v>2.4</v>
      </c>
      <c r="I46" s="3" t="n">
        <v>2.4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100</v>
      </c>
      <c r="C47" s="3" t="n">
        <v>0</v>
      </c>
      <c r="D47" s="3" t="n">
        <v>0</v>
      </c>
      <c r="E47" s="3" t="n">
        <v>0</v>
      </c>
      <c r="F47" s="3" t="n">
        <v>8</v>
      </c>
      <c r="G47" s="3" t="n">
        <v>16</v>
      </c>
      <c r="H47" s="3" t="n">
        <v>22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101</v>
      </c>
      <c r="B48" s="3" t="n">
        <v>20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12</v>
      </c>
    </row>
    <row r="51" customFormat="false" ht="15" hidden="false" customHeight="false" outlineLevel="0" collapsed="false">
      <c r="A51" s="0" t="s">
        <v>104</v>
      </c>
      <c r="B51" s="3" t="n">
        <v>12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2</v>
      </c>
      <c r="D5" s="4" t="n">
        <f aca="false">Assumptions!D13</f>
        <v>1</v>
      </c>
      <c r="E5" s="4" t="n">
        <f aca="false">Assumptions!E13</f>
        <v>0</v>
      </c>
      <c r="F5" s="4" t="n">
        <f aca="false">Assumptions!F13</f>
        <v>-1.5</v>
      </c>
      <c r="G5" s="4" t="n">
        <f aca="false">Assumptions!G13</f>
        <v>-2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1</v>
      </c>
      <c r="K5" s="4" t="n">
        <f aca="false">Assumptions!K13</f>
        <v>1.5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26.289</v>
      </c>
      <c r="C6" s="0" t="n">
        <f aca="false">B6*(1+C5/100)</f>
        <v>26.81478</v>
      </c>
      <c r="D6" s="0" t="n">
        <f aca="false">C6*(1+D5/100)</f>
        <v>27.0829278</v>
      </c>
      <c r="E6" s="0" t="n">
        <f aca="false">D6*(1+E5/100)</f>
        <v>27.0829278</v>
      </c>
      <c r="F6" s="0" t="n">
        <f aca="false">E6*(1+F5/100)</f>
        <v>26.676683883</v>
      </c>
      <c r="G6" s="0" t="n">
        <f aca="false">F6*(1+G5/100)</f>
        <v>26.14315020534</v>
      </c>
      <c r="H6" s="0" t="n">
        <f aca="false">G6*(1+H5/100)</f>
        <v>25.8817187032866</v>
      </c>
      <c r="I6" s="0" t="n">
        <f aca="false">H6*(1+I5/100)</f>
        <v>25.8817187032866</v>
      </c>
      <c r="J6" s="0" t="n">
        <f aca="false">I6*(1+J5/100)</f>
        <v>26.1405358903195</v>
      </c>
      <c r="K6" s="0" t="n">
        <f aca="false">J6*(1+K5/100)</f>
        <v>26.5326439286743</v>
      </c>
      <c r="L6" s="0" t="n">
        <f aca="false">K6*(1+L5/100)</f>
        <v>27.0632968072477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-1.5</v>
      </c>
      <c r="D7" s="4" t="n">
        <f aca="false">Assumptions!D14</f>
        <v>-2</v>
      </c>
      <c r="E7" s="4" t="n">
        <f aca="false">Assumptions!E14</f>
        <v>-2.5</v>
      </c>
      <c r="F7" s="4" t="n">
        <f aca="false">Assumptions!F14</f>
        <v>-2</v>
      </c>
      <c r="G7" s="4" t="n">
        <f aca="false">Assumptions!G14</f>
        <v>-1.5</v>
      </c>
      <c r="H7" s="4" t="n">
        <f aca="false">Assumptions!H14</f>
        <v>-1</v>
      </c>
      <c r="I7" s="4" t="n">
        <f aca="false">Assumptions!I14</f>
        <v>-0.5</v>
      </c>
      <c r="J7" s="4" t="n">
        <f aca="false">Assumptions!J14</f>
        <v>0</v>
      </c>
      <c r="K7" s="4" t="n">
        <f aca="false">Assumptions!K14</f>
        <v>0.5</v>
      </c>
      <c r="L7" s="4" t="n">
        <f aca="false">Assumptions!L14</f>
        <v>1</v>
      </c>
    </row>
    <row r="8" customFormat="false" ht="15" hidden="false" customHeight="false" outlineLevel="0" collapsed="false">
      <c r="A8" s="0" t="s">
        <v>43</v>
      </c>
      <c r="C8" s="0" t="n">
        <f aca="false">C6*C7/100</f>
        <v>-0.4022217</v>
      </c>
      <c r="D8" s="0" t="n">
        <f aca="false">D6*D7/100</f>
        <v>-0.541658556</v>
      </c>
      <c r="E8" s="0" t="n">
        <f aca="false">E6*E7/100</f>
        <v>-0.677073195</v>
      </c>
      <c r="F8" s="0" t="n">
        <f aca="false">F6*F7/100</f>
        <v>-0.53353367766</v>
      </c>
      <c r="G8" s="0" t="n">
        <f aca="false">G6*G7/100</f>
        <v>-0.3921472530801</v>
      </c>
      <c r="H8" s="0" t="n">
        <f aca="false">H6*H7/100</f>
        <v>-0.258817187032866</v>
      </c>
      <c r="I8" s="0" t="n">
        <f aca="false">I6*I7/100</f>
        <v>-0.129408593516433</v>
      </c>
      <c r="J8" s="0" t="n">
        <f aca="false">J6*J7/100</f>
        <v>0</v>
      </c>
      <c r="K8" s="0" t="n">
        <f aca="false">K6*K7/100</f>
        <v>0.132663219643371</v>
      </c>
      <c r="L8" s="0" t="n">
        <f aca="false">L6*L7/100</f>
        <v>0.270632968072477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-0.96533208</v>
      </c>
      <c r="D11" s="0" t="n">
        <f aca="false">D8+D10+D24</f>
        <v>-1.1104000398</v>
      </c>
      <c r="E11" s="0" t="n">
        <f aca="false">E8+E10+E24</f>
        <v>-1.218731751</v>
      </c>
      <c r="F11" s="0" t="n">
        <f aca="false">F8+F10+F24</f>
        <v>-1.06706735532</v>
      </c>
      <c r="G11" s="0" t="n">
        <f aca="false">G8+G10+G24</f>
        <v>-0.9150102571869</v>
      </c>
      <c r="H11" s="0" t="n">
        <f aca="false">H8+H10+H24</f>
        <v>-0.750569842395311</v>
      </c>
      <c r="I11" s="0" t="n">
        <f aca="false">I8+I10+I24</f>
        <v>-0.621161248878878</v>
      </c>
      <c r="J11" s="0" t="n">
        <f aca="false">J8+J10+J24</f>
        <v>-0.49667018191607</v>
      </c>
      <c r="K11" s="0" t="n">
        <f aca="false">K8+K10+K24</f>
        <v>-0.344924371072765</v>
      </c>
      <c r="L11" s="0" t="n">
        <f aca="false">L8+L10+L24</f>
        <v>-0.216506374457982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-0.88488774</v>
      </c>
      <c r="D12" s="4" t="n">
        <f aca="false">-D6*Assumptions!D17/100</f>
        <v>-0.8937366174</v>
      </c>
      <c r="E12" s="4" t="n">
        <f aca="false">-E6*Assumptions!E17/100</f>
        <v>-0.8666536896</v>
      </c>
      <c r="F12" s="4" t="n">
        <f aca="false">-F6*Assumptions!F17/100</f>
        <v>-0.853653884256</v>
      </c>
      <c r="G12" s="4" t="n">
        <f aca="false">-G6*Assumptions!G17/100</f>
        <v>-0.81043765636554</v>
      </c>
      <c r="H12" s="4" t="n">
        <f aca="false">-H6*Assumptions!H17/100</f>
        <v>-0.802333279801885</v>
      </c>
      <c r="I12" s="4" t="n">
        <f aca="false">-I6*Assumptions!I17/100</f>
        <v>-0.776451561098598</v>
      </c>
      <c r="J12" s="4" t="n">
        <f aca="false">-J6*Assumptions!J17/100</f>
        <v>-0.784216076709584</v>
      </c>
      <c r="K12" s="4" t="n">
        <f aca="false">-K6*Assumptions!K17/100</f>
        <v>-0.795979317860228</v>
      </c>
      <c r="L12" s="4" t="n">
        <f aca="false">-L6*Assumptions!L17/100</f>
        <v>-0.811898904217432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-1.85021982</v>
      </c>
      <c r="D13" s="0" t="n">
        <f aca="false">D11+D12</f>
        <v>-2.0041366572</v>
      </c>
      <c r="E13" s="0" t="n">
        <f aca="false">E11+E12</f>
        <v>-2.0853854406</v>
      </c>
      <c r="F13" s="0" t="n">
        <f aca="false">F11+F12</f>
        <v>-1.920721239576</v>
      </c>
      <c r="G13" s="0" t="n">
        <f aca="false">G11+G12</f>
        <v>-1.72544791355244</v>
      </c>
      <c r="H13" s="0" t="n">
        <f aca="false">H11+H12</f>
        <v>-1.5529031221972</v>
      </c>
      <c r="I13" s="0" t="n">
        <f aca="false">I11+I12</f>
        <v>-1.39761280997748</v>
      </c>
      <c r="J13" s="0" t="n">
        <f aca="false">J11+J12</f>
        <v>-1.28088625862565</v>
      </c>
      <c r="K13" s="0" t="n">
        <f aca="false">K11+K12</f>
        <v>-1.14090368893299</v>
      </c>
      <c r="L13" s="0" t="n">
        <f aca="false">L11+L12</f>
        <v>-1.02840527867541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5</v>
      </c>
      <c r="K14" s="4" t="n">
        <f aca="false">Assumptions!K19</f>
        <v>10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-1.85021982</v>
      </c>
      <c r="D15" s="0" t="n">
        <f aca="false">D13-MAX(0,D13)*D14/100</f>
        <v>-2.0041366572</v>
      </c>
      <c r="E15" s="0" t="n">
        <f aca="false">E13-MAX(0,E13)*E14/100</f>
        <v>-2.0853854406</v>
      </c>
      <c r="F15" s="0" t="n">
        <f aca="false">F13-MAX(0,F13)*F14/100</f>
        <v>-1.920721239576</v>
      </c>
      <c r="G15" s="0" t="n">
        <f aca="false">G13-MAX(0,G13)*G14/100</f>
        <v>-1.72544791355244</v>
      </c>
      <c r="H15" s="0" t="n">
        <f aca="false">H13-MAX(0,H13)*H14/100</f>
        <v>-1.5529031221972</v>
      </c>
      <c r="I15" s="0" t="n">
        <f aca="false">I13-MAX(0,I13)*I14/100</f>
        <v>-1.39761280997748</v>
      </c>
      <c r="J15" s="0" t="n">
        <f aca="false">J13-MAX(0,J13)*J14/100</f>
        <v>-1.28088625862565</v>
      </c>
      <c r="K15" s="0" t="n">
        <f aca="false">K13-MAX(0,K13)*K14/100</f>
        <v>-1.14090368893299</v>
      </c>
      <c r="L15" s="0" t="n">
        <f aca="false">L13-MAX(0,L13)*L14/100</f>
        <v>-1.02840527867541</v>
      </c>
    </row>
    <row r="16" customFormat="false" ht="15" hidden="false" customHeight="false" outlineLevel="0" collapsed="false">
      <c r="A16" s="0" t="s">
        <v>116</v>
      </c>
      <c r="C16" s="0" t="n">
        <f aca="false">-C12</f>
        <v>0.88488774</v>
      </c>
      <c r="D16" s="0" t="n">
        <f aca="false">-D12</f>
        <v>0.8937366174</v>
      </c>
      <c r="E16" s="0" t="n">
        <f aca="false">-E12</f>
        <v>0.8666536896</v>
      </c>
      <c r="F16" s="0" t="n">
        <f aca="false">-F12</f>
        <v>0.853653884256</v>
      </c>
      <c r="G16" s="0" t="n">
        <f aca="false">-G12</f>
        <v>0.81043765636554</v>
      </c>
      <c r="H16" s="0" t="n">
        <f aca="false">-H12</f>
        <v>0.802333279801885</v>
      </c>
      <c r="I16" s="0" t="n">
        <f aca="false">-I12</f>
        <v>0.776451561098598</v>
      </c>
      <c r="J16" s="0" t="n">
        <f aca="false">-J12</f>
        <v>0.784216076709584</v>
      </c>
      <c r="K16" s="0" t="n">
        <f aca="false">-K12</f>
        <v>0.795979317860228</v>
      </c>
      <c r="L16" s="0" t="n">
        <f aca="false">-L12</f>
        <v>0.811898904217432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-0.6703695</v>
      </c>
      <c r="D17" s="4" t="n">
        <f aca="false">-D6*Assumptions!D18/100</f>
        <v>-0.6229073394</v>
      </c>
      <c r="E17" s="4" t="n">
        <f aca="false">-E6*Assumptions!E18/100</f>
        <v>-0.541658556</v>
      </c>
      <c r="F17" s="4" t="n">
        <f aca="false">-F6*Assumptions!F18/100</f>
        <v>-0.480180309894</v>
      </c>
      <c r="G17" s="4" t="n">
        <f aca="false">-G6*Assumptions!G18/100</f>
        <v>-0.47057670369612</v>
      </c>
      <c r="H17" s="4" t="n">
        <f aca="false">-H6*Assumptions!H18/100</f>
        <v>-0.465870936659159</v>
      </c>
      <c r="I17" s="4" t="n">
        <f aca="false">-I6*Assumptions!I18/100</f>
        <v>-0.491752655362445</v>
      </c>
      <c r="J17" s="4" t="n">
        <f aca="false">-J6*Assumptions!J18/100</f>
        <v>-0.522810717806389</v>
      </c>
      <c r="K17" s="4" t="n">
        <f aca="false">-K6*Assumptions!K18/100</f>
        <v>-0.55718552250216</v>
      </c>
      <c r="L17" s="4" t="n">
        <f aca="false">-L6*Assumptions!L18/100</f>
        <v>-0.595392529759451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0.0157734</v>
      </c>
      <c r="D18" s="4" t="n">
        <f aca="false">(D6-C6)*Assumptions!$B$23/100</f>
        <v>0.00804443400000004</v>
      </c>
      <c r="E18" s="4" t="n">
        <f aca="false">(E6-D6)*Assumptions!$B$23/100</f>
        <v>0</v>
      </c>
      <c r="F18" s="4" t="n">
        <f aca="false">(F6-E6)*Assumptions!$B$23/100</f>
        <v>-0.01218731751</v>
      </c>
      <c r="G18" s="4" t="n">
        <f aca="false">(G6-F6)*Assumptions!$B$23/100</f>
        <v>-0.0160060103298</v>
      </c>
      <c r="H18" s="4" t="n">
        <f aca="false">(H6-G6)*Assumptions!$B$23/100</f>
        <v>-0.00784294506160205</v>
      </c>
      <c r="I18" s="4" t="n">
        <f aca="false">(I6-H6)*Assumptions!$B$23/100</f>
        <v>0</v>
      </c>
      <c r="J18" s="4" t="n">
        <f aca="false">(J6-I6)*Assumptions!$B$23/100</f>
        <v>0.00776451561098604</v>
      </c>
      <c r="K18" s="4" t="n">
        <f aca="false">(K6-J6)*Assumptions!$B$23/100</f>
        <v>0.0117632411506436</v>
      </c>
      <c r="L18" s="4" t="n">
        <f aca="false">(L6-K6)*Assumptions!$B$23/100</f>
        <v>0.0159195863572045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-1.61992818</v>
      </c>
      <c r="D19" s="0" t="n">
        <f aca="false">D15+D16+D17+D18</f>
        <v>-1.7252629452</v>
      </c>
      <c r="E19" s="0" t="n">
        <f aca="false">E15+E16+E17+E18</f>
        <v>-1.760390307</v>
      </c>
      <c r="F19" s="0" t="n">
        <f aca="false">F15+F16+F17+F18</f>
        <v>-1.559434982724</v>
      </c>
      <c r="G19" s="0" t="n">
        <f aca="false">G15+G16+G17+G18</f>
        <v>-1.40159297121282</v>
      </c>
      <c r="H19" s="0" t="n">
        <f aca="false">H15+H16+H17+H18</f>
        <v>-1.22428372411607</v>
      </c>
      <c r="I19" s="0" t="n">
        <f aca="false">I15+I16+I17+I18</f>
        <v>-1.11291390424132</v>
      </c>
      <c r="J19" s="0" t="n">
        <f aca="false">J15+J16+J17+J18</f>
        <v>-1.01171638411147</v>
      </c>
      <c r="K19" s="0" t="n">
        <f aca="false">K15+K16+K17+K18</f>
        <v>-0.890346652424281</v>
      </c>
      <c r="L19" s="0" t="n">
        <f aca="false">L15+L16+L17+L18</f>
        <v>-0.795979317860228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0.833333333333333</v>
      </c>
      <c r="D20" s="0" t="n">
        <f aca="false">1/(1+$B$27/100)^D4</f>
        <v>0.694444444444444</v>
      </c>
      <c r="E20" s="0" t="n">
        <f aca="false">1/(1+$B$27/100)^E4</f>
        <v>0.578703703703704</v>
      </c>
      <c r="F20" s="0" t="n">
        <f aca="false">1/(1+$B$27/100)^F4</f>
        <v>0.482253086419753</v>
      </c>
      <c r="G20" s="0" t="n">
        <f aca="false">1/(1+$B$27/100)^G4</f>
        <v>0.401877572016461</v>
      </c>
      <c r="H20" s="0" t="n">
        <f aca="false">1/(1+$B$27/100)^H4</f>
        <v>0.334897976680384</v>
      </c>
      <c r="I20" s="0" t="n">
        <f aca="false">1/(1+$B$27/100)^I4</f>
        <v>0.279081647233654</v>
      </c>
      <c r="J20" s="0" t="n">
        <f aca="false">1/(1+$B$27/100)^J4</f>
        <v>0.232568039361378</v>
      </c>
      <c r="K20" s="0" t="n">
        <f aca="false">1/(1+$B$27/100)^K4</f>
        <v>0.193806699467815</v>
      </c>
      <c r="L20" s="0" t="n">
        <f aca="false">1/(1+$B$27/100)^L4</f>
        <v>0.161505582889846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-1.34994015</v>
      </c>
      <c r="D21" s="0" t="n">
        <f aca="false">D19*D20</f>
        <v>-1.1980992675</v>
      </c>
      <c r="E21" s="0" t="n">
        <f aca="false">E19*E20</f>
        <v>-1.018744390625</v>
      </c>
      <c r="F21" s="0" t="n">
        <f aca="false">F19*F20</f>
        <v>-0.752042333489584</v>
      </c>
      <c r="G21" s="0" t="n">
        <f aca="false">G19*G20</f>
        <v>-0.563268780226346</v>
      </c>
      <c r="H21" s="0" t="n">
        <f aca="false">H19*H20</f>
        <v>-0.410010142089198</v>
      </c>
      <c r="I21" s="0" t="n">
        <f aca="false">I19*I20</f>
        <v>-0.310593845624905</v>
      </c>
      <c r="J21" s="0" t="n">
        <f aca="false">J19*J20</f>
        <v>-0.235292895842588</v>
      </c>
      <c r="K21" s="0" t="n">
        <f aca="false">K19*K20</f>
        <v>-0.172555146088568</v>
      </c>
      <c r="L21" s="0" t="n">
        <f aca="false">L19*L20</f>
        <v>-0.128555103699278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2.1</v>
      </c>
      <c r="D23" s="4" t="n">
        <f aca="false">Assumptions!D16</f>
        <v>2.1</v>
      </c>
      <c r="E23" s="4" t="n">
        <f aca="false">Assumptions!E16</f>
        <v>2</v>
      </c>
      <c r="F23" s="4" t="n">
        <f aca="false">Assumptions!F16</f>
        <v>2</v>
      </c>
      <c r="G23" s="4" t="n">
        <f aca="false">Assumptions!G16</f>
        <v>2</v>
      </c>
      <c r="H23" s="4" t="n">
        <f aca="false">Assumptions!H16</f>
        <v>1.9</v>
      </c>
      <c r="I23" s="4" t="n">
        <f aca="false">Assumptions!I16</f>
        <v>1.9</v>
      </c>
      <c r="J23" s="4" t="n">
        <f aca="false">Assumptions!J16</f>
        <v>1.9</v>
      </c>
      <c r="K23" s="4" t="n">
        <f aca="false">Assumptions!K16</f>
        <v>1.8</v>
      </c>
      <c r="L23" s="4" t="n">
        <f aca="false">Assumptions!L16</f>
        <v>1.8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-0.56311038</v>
      </c>
      <c r="D24" s="0" t="n">
        <f aca="false">-D6*D23/100</f>
        <v>-0.5687414838</v>
      </c>
      <c r="E24" s="0" t="n">
        <f aca="false">-E6*E23/100</f>
        <v>-0.541658556</v>
      </c>
      <c r="F24" s="0" t="n">
        <f aca="false">-F6*F23/100</f>
        <v>-0.53353367766</v>
      </c>
      <c r="G24" s="0" t="n">
        <f aca="false">-G6*G23/100</f>
        <v>-0.5228630041068</v>
      </c>
      <c r="H24" s="0" t="n">
        <f aca="false">-H6*H23/100</f>
        <v>-0.491752655362445</v>
      </c>
      <c r="I24" s="0" t="n">
        <f aca="false">-I6*I23/100</f>
        <v>-0.491752655362445</v>
      </c>
      <c r="J24" s="0" t="n">
        <f aca="false">-J6*J23/100</f>
        <v>-0.49667018191607</v>
      </c>
      <c r="K24" s="0" t="n">
        <f aca="false">-K6*K23/100</f>
        <v>-0.477587590716137</v>
      </c>
      <c r="L24" s="0" t="n">
        <f aca="false">-L6*L23/100</f>
        <v>-0.487139342530459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20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-6.13910205518547</v>
      </c>
    </row>
    <row r="31" customFormat="false" ht="15" hidden="false" customHeight="false" outlineLevel="0" collapsed="false">
      <c r="A31" s="0" t="s">
        <v>125</v>
      </c>
      <c r="B31" s="0" t="n">
        <f aca="false">L19</f>
        <v>-0.795979317860228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-4.36712977096287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-6.36783454288182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0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0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-6.13910205518547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-5.63610205518547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-0.255524416520174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-1.63881104130043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-0.255524416520174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0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-0.303049896284704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6.5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26.289</v>
      </c>
      <c r="C6" s="0" t="n">
        <f aca="false">B6*(1+C5/100)</f>
        <v>27.997785</v>
      </c>
      <c r="D6" s="0" t="n">
        <f aca="false">C6*(1+D5/100)</f>
        <v>29.6776521</v>
      </c>
      <c r="E6" s="0" t="n">
        <f aca="false">D6*(1+E5/100)</f>
        <v>31.3099229655</v>
      </c>
      <c r="F6" s="0" t="n">
        <f aca="false">E6*(1+F5/100)</f>
        <v>32.875419113775</v>
      </c>
      <c r="G6" s="0" t="n">
        <f aca="false">F6*(1+G5/100)</f>
        <v>34.3548129738949</v>
      </c>
      <c r="H6" s="0" t="n">
        <f aca="false">G6*(1+H5/100)</f>
        <v>35.7290054928507</v>
      </c>
      <c r="I6" s="0" t="n">
        <f aca="false">H6*(1+I5/100)</f>
        <v>36.9795206851004</v>
      </c>
      <c r="J6" s="0" t="n">
        <f aca="false">I6*(1+J5/100)</f>
        <v>38.0889063056535</v>
      </c>
      <c r="K6" s="0" t="n">
        <f aca="false">J6*(1+K5/100)</f>
        <v>39.0411289632948</v>
      </c>
      <c r="L6" s="0" t="n">
        <f aca="false">K6*(1+L5/100)</f>
        <v>40.0171571873772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</v>
      </c>
      <c r="D7" s="4" t="n">
        <f aca="false">Assumptions!D28</f>
        <v>2</v>
      </c>
      <c r="E7" s="4" t="n">
        <f aca="false">Assumptions!E28</f>
        <v>3</v>
      </c>
      <c r="F7" s="4" t="n">
        <f aca="false">Assumptions!F28</f>
        <v>3.8</v>
      </c>
      <c r="G7" s="4" t="n">
        <f aca="false">Assumptions!G28</f>
        <v>4.3</v>
      </c>
      <c r="H7" s="4" t="n">
        <f aca="false">Assumptions!H28</f>
        <v>4.6</v>
      </c>
      <c r="I7" s="4" t="n">
        <f aca="false">Assumptions!I28</f>
        <v>4.8</v>
      </c>
      <c r="J7" s="4" t="n">
        <f aca="false">Assumptions!J28</f>
        <v>5</v>
      </c>
      <c r="K7" s="4" t="n">
        <f aca="false">Assumptions!K28</f>
        <v>5</v>
      </c>
      <c r="L7" s="4" t="n">
        <f aca="false">Assumptions!L28</f>
        <v>5</v>
      </c>
    </row>
    <row r="8" customFormat="false" ht="15" hidden="false" customHeight="false" outlineLevel="0" collapsed="false">
      <c r="A8" s="0" t="s">
        <v>43</v>
      </c>
      <c r="C8" s="0" t="n">
        <f aca="false">C6*C7/100</f>
        <v>0.27997785</v>
      </c>
      <c r="D8" s="0" t="n">
        <f aca="false">D6*D7/100</f>
        <v>0.593553042</v>
      </c>
      <c r="E8" s="0" t="n">
        <f aca="false">E6*E7/100</f>
        <v>0.939297688965</v>
      </c>
      <c r="F8" s="0" t="n">
        <f aca="false">F6*F7/100</f>
        <v>1.24926592632345</v>
      </c>
      <c r="G8" s="0" t="n">
        <f aca="false">G6*G7/100</f>
        <v>1.47725695787748</v>
      </c>
      <c r="H8" s="0" t="n">
        <f aca="false">H6*H7/100</f>
        <v>1.64353425267113</v>
      </c>
      <c r="I8" s="0" t="n">
        <f aca="false">I6*I7/100</f>
        <v>1.77501699288482</v>
      </c>
      <c r="J8" s="0" t="n">
        <f aca="false">J6*J7/100</f>
        <v>1.90444531528267</v>
      </c>
      <c r="K8" s="0" t="n">
        <f aca="false">K6*K7/100</f>
        <v>1.95205644816474</v>
      </c>
      <c r="L8" s="0" t="n">
        <f aca="false">L6*L7/100</f>
        <v>2.00085785936886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-0.27997785</v>
      </c>
      <c r="D11" s="0" t="n">
        <f aca="false">D8+D10+D24</f>
        <v>0</v>
      </c>
      <c r="E11" s="0" t="n">
        <f aca="false">E8+E10+E24</f>
        <v>0.3444091526205</v>
      </c>
      <c r="F11" s="0" t="n">
        <f aca="false">F8+F10+F24</f>
        <v>0.624632963161725</v>
      </c>
      <c r="G11" s="0" t="n">
        <f aca="false">G8+G10+G24</f>
        <v>0.858870324347372</v>
      </c>
      <c r="H11" s="0" t="n">
        <f aca="false">H8+H10+H24</f>
        <v>1.00041215379982</v>
      </c>
      <c r="I11" s="0" t="n">
        <f aca="false">I8+I10+I24</f>
        <v>1.14636514123811</v>
      </c>
      <c r="J11" s="0" t="n">
        <f aca="false">J8+J10+J24</f>
        <v>1.25693390808656</v>
      </c>
      <c r="K11" s="0" t="n">
        <f aca="false">K8+K10+K24</f>
        <v>1.28835725578873</v>
      </c>
      <c r="L11" s="0" t="n">
        <f aca="false">L8+L10+L24</f>
        <v>1.32056618718345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-0.89592912</v>
      </c>
      <c r="D12" s="4" t="n">
        <f aca="false">-D6*Assumptions!D31/100</f>
        <v>-0.9200072151</v>
      </c>
      <c r="E12" s="4" t="n">
        <f aca="false">-E6*Assumptions!E31/100</f>
        <v>-0.939297688965</v>
      </c>
      <c r="F12" s="4" t="n">
        <f aca="false">-F6*Assumptions!F31/100</f>
        <v>-0.98626257341325</v>
      </c>
      <c r="G12" s="4" t="n">
        <f aca="false">-G6*Assumptions!G31/100</f>
        <v>-0.996289576242951</v>
      </c>
      <c r="H12" s="4" t="n">
        <f aca="false">-H6*Assumptions!H31/100</f>
        <v>-1.03614115929267</v>
      </c>
      <c r="I12" s="4" t="n">
        <f aca="false">-I6*Assumptions!I31/100</f>
        <v>-1.03542657918281</v>
      </c>
      <c r="J12" s="4" t="n">
        <f aca="false">-J6*Assumptions!J31/100</f>
        <v>-1.0664893765583</v>
      </c>
      <c r="K12" s="4" t="n">
        <f aca="false">-K6*Assumptions!K31/100</f>
        <v>-1.09315161097225</v>
      </c>
      <c r="L12" s="4" t="n">
        <f aca="false">-L6*Assumptions!L31/100</f>
        <v>-1.12048040124656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-1.17590697</v>
      </c>
      <c r="D13" s="0" t="n">
        <f aca="false">D11+D12</f>
        <v>-0.9200072151</v>
      </c>
      <c r="E13" s="0" t="n">
        <f aca="false">E11+E12</f>
        <v>-0.5948885363445</v>
      </c>
      <c r="F13" s="0" t="n">
        <f aca="false">F11+F12</f>
        <v>-0.361629610251525</v>
      </c>
      <c r="G13" s="0" t="n">
        <f aca="false">G11+G12</f>
        <v>-0.137419251895579</v>
      </c>
      <c r="H13" s="0" t="n">
        <f aca="false">H11+H12</f>
        <v>-0.0357290054928505</v>
      </c>
      <c r="I13" s="0" t="n">
        <f aca="false">I11+I12</f>
        <v>0.110938562055302</v>
      </c>
      <c r="J13" s="0" t="n">
        <f aca="false">J11+J12</f>
        <v>0.190444531528267</v>
      </c>
      <c r="K13" s="0" t="n">
        <f aca="false">K11+K12</f>
        <v>0.195205644816474</v>
      </c>
      <c r="L13" s="0" t="n">
        <f aca="false">L11+L12</f>
        <v>0.200085785936886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5</v>
      </c>
      <c r="F14" s="4" t="n">
        <f aca="false">Assumptions!F33</f>
        <v>12</v>
      </c>
      <c r="G14" s="4" t="n">
        <f aca="false">Assumptions!G33</f>
        <v>18</v>
      </c>
      <c r="H14" s="4" t="n">
        <f aca="false">Assumptions!H33</f>
        <v>24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-1.17590697</v>
      </c>
      <c r="D15" s="0" t="n">
        <f aca="false">D13-MAX(0,D13)*D14/100</f>
        <v>-0.9200072151</v>
      </c>
      <c r="E15" s="0" t="n">
        <f aca="false">E13-MAX(0,E13)*E14/100</f>
        <v>-0.5948885363445</v>
      </c>
      <c r="F15" s="0" t="n">
        <f aca="false">F13-MAX(0,F13)*F14/100</f>
        <v>-0.361629610251525</v>
      </c>
      <c r="G15" s="0" t="n">
        <f aca="false">G13-MAX(0,G13)*G14/100</f>
        <v>-0.137419251895579</v>
      </c>
      <c r="H15" s="0" t="n">
        <f aca="false">H13-MAX(0,H13)*H14/100</f>
        <v>-0.0357290054928505</v>
      </c>
      <c r="I15" s="0" t="n">
        <f aca="false">I13-MAX(0,I13)*I14/100</f>
        <v>0.0798757646798172</v>
      </c>
      <c r="J15" s="0" t="n">
        <f aca="false">J13-MAX(0,J13)*J14/100</f>
        <v>0.137120062700352</v>
      </c>
      <c r="K15" s="0" t="n">
        <f aca="false">K13-MAX(0,K13)*K14/100</f>
        <v>0.140548064267861</v>
      </c>
      <c r="L15" s="0" t="n">
        <f aca="false">L13-MAX(0,L13)*L14/100</f>
        <v>0.144061765874558</v>
      </c>
    </row>
    <row r="16" customFormat="false" ht="15" hidden="false" customHeight="false" outlineLevel="0" collapsed="false">
      <c r="A16" s="0" t="s">
        <v>116</v>
      </c>
      <c r="C16" s="0" t="n">
        <f aca="false">-C12</f>
        <v>0.89592912</v>
      </c>
      <c r="D16" s="0" t="n">
        <f aca="false">-D12</f>
        <v>0.9200072151</v>
      </c>
      <c r="E16" s="0" t="n">
        <f aca="false">-E12</f>
        <v>0.939297688965</v>
      </c>
      <c r="F16" s="0" t="n">
        <f aca="false">-F12</f>
        <v>0.98626257341325</v>
      </c>
      <c r="G16" s="0" t="n">
        <f aca="false">-G12</f>
        <v>0.996289576242951</v>
      </c>
      <c r="H16" s="0" t="n">
        <f aca="false">-H12</f>
        <v>1.03614115929267</v>
      </c>
      <c r="I16" s="0" t="n">
        <f aca="false">-I12</f>
        <v>1.03542657918281</v>
      </c>
      <c r="J16" s="0" t="n">
        <f aca="false">-J12</f>
        <v>1.0664893765583</v>
      </c>
      <c r="K16" s="0" t="n">
        <f aca="false">-K12</f>
        <v>1.09315161097225</v>
      </c>
      <c r="L16" s="0" t="n">
        <f aca="false">-L12</f>
        <v>1.12048040124656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-0.755940195</v>
      </c>
      <c r="D17" s="4" t="n">
        <f aca="false">-D6*Assumptions!D32/100</f>
        <v>-0.8012966067</v>
      </c>
      <c r="E17" s="4" t="n">
        <f aca="false">-E6*Assumptions!E32/100</f>
        <v>-0.814057997103</v>
      </c>
      <c r="F17" s="4" t="n">
        <f aca="false">-F6*Assumptions!F32/100</f>
        <v>-0.85476089695815</v>
      </c>
      <c r="G17" s="4" t="n">
        <f aca="false">-G6*Assumptions!G32/100</f>
        <v>-0.858870324347372</v>
      </c>
      <c r="H17" s="4" t="n">
        <f aca="false">-H6*Assumptions!H32/100</f>
        <v>-0.893225137321267</v>
      </c>
      <c r="I17" s="4" t="n">
        <f aca="false">-I6*Assumptions!I32/100</f>
        <v>-0.924488017127511</v>
      </c>
      <c r="J17" s="4" t="n">
        <f aca="false">-J6*Assumptions!J32/100</f>
        <v>-0.952222657641336</v>
      </c>
      <c r="K17" s="4" t="n">
        <f aca="false">-K6*Assumptions!K32/100</f>
        <v>-0.97602822408237</v>
      </c>
      <c r="L17" s="4" t="n">
        <f aca="false">-L6*Assumptions!L32/100</f>
        <v>-1.00042892968443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0.1367028</v>
      </c>
      <c r="D18" s="4" t="n">
        <f aca="false">(D6-C6)*Assumptions!$B$37/100</f>
        <v>0.134389368</v>
      </c>
      <c r="E18" s="4" t="n">
        <f aca="false">(E6-D6)*Assumptions!$B$37/100</f>
        <v>0.13058166924</v>
      </c>
      <c r="F18" s="4" t="n">
        <f aca="false">(F6-E6)*Assumptions!$B$37/100</f>
        <v>0.125239691862</v>
      </c>
      <c r="G18" s="4" t="n">
        <f aca="false">(G6-F6)*Assumptions!$B$37/100</f>
        <v>0.11835150880959</v>
      </c>
      <c r="H18" s="4" t="n">
        <f aca="false">(H6-G6)*Assumptions!$B$37/100</f>
        <v>0.109935401516464</v>
      </c>
      <c r="I18" s="4" t="n">
        <f aca="false">(I6-H6)*Assumptions!$B$37/100</f>
        <v>0.100041215379982</v>
      </c>
      <c r="J18" s="4" t="n">
        <f aca="false">(J6-I6)*Assumptions!$B$37/100</f>
        <v>0.088750849644241</v>
      </c>
      <c r="K18" s="4" t="n">
        <f aca="false">(K6-J6)*Assumptions!$B$37/100</f>
        <v>0.0761778126113069</v>
      </c>
      <c r="L18" s="4" t="n">
        <f aca="false">(L6-K6)*Assumptions!$B$37/100</f>
        <v>0.078082257926589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-0.899215245</v>
      </c>
      <c r="D19" s="0" t="n">
        <f aca="false">D15+D16+D17+D18</f>
        <v>-0.6669072387</v>
      </c>
      <c r="E19" s="0" t="n">
        <f aca="false">E15+E16+E17+E18</f>
        <v>-0.3390671752425</v>
      </c>
      <c r="F19" s="0" t="n">
        <f aca="false">F15+F16+F17+F18</f>
        <v>-0.104888241934425</v>
      </c>
      <c r="G19" s="0" t="n">
        <f aca="false">G15+G16+G17+G18</f>
        <v>0.11835150880959</v>
      </c>
      <c r="H19" s="0" t="n">
        <f aca="false">H15+H16+H17+H18</f>
        <v>0.217122417995016</v>
      </c>
      <c r="I19" s="0" t="n">
        <f aca="false">I15+I16+I17+I18</f>
        <v>0.2908555421151</v>
      </c>
      <c r="J19" s="0" t="n">
        <f aca="false">J15+J16+J17+J18</f>
        <v>0.340137631261554</v>
      </c>
      <c r="K19" s="0" t="n">
        <f aca="false">K15+K16+K17+K18</f>
        <v>0.333849263769053</v>
      </c>
      <c r="L19" s="0" t="n">
        <f aca="false">L15+L16+L17+L18</f>
        <v>0.342195495363278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0.833333333333333</v>
      </c>
      <c r="D20" s="0" t="n">
        <f aca="false">1/(1+$B$27/100)^D4</f>
        <v>0.694444444444444</v>
      </c>
      <c r="E20" s="0" t="n">
        <f aca="false">1/(1+$B$27/100)^E4</f>
        <v>0.578703703703704</v>
      </c>
      <c r="F20" s="0" t="n">
        <f aca="false">1/(1+$B$27/100)^F4</f>
        <v>0.482253086419753</v>
      </c>
      <c r="G20" s="0" t="n">
        <f aca="false">1/(1+$B$27/100)^G4</f>
        <v>0.401877572016461</v>
      </c>
      <c r="H20" s="0" t="n">
        <f aca="false">1/(1+$B$27/100)^H4</f>
        <v>0.334897976680384</v>
      </c>
      <c r="I20" s="0" t="n">
        <f aca="false">1/(1+$B$27/100)^I4</f>
        <v>0.279081647233654</v>
      </c>
      <c r="J20" s="0" t="n">
        <f aca="false">1/(1+$B$27/100)^J4</f>
        <v>0.232568039361378</v>
      </c>
      <c r="K20" s="0" t="n">
        <f aca="false">1/(1+$B$27/100)^K4</f>
        <v>0.193806699467815</v>
      </c>
      <c r="L20" s="0" t="n">
        <f aca="false">1/(1+$B$27/100)^L4</f>
        <v>0.161505582889846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-0.7493460375</v>
      </c>
      <c r="D21" s="0" t="n">
        <f aca="false">D19*D20</f>
        <v>-0.463130026875</v>
      </c>
      <c r="E21" s="0" t="n">
        <f aca="false">E19*E20</f>
        <v>-0.196219430117188</v>
      </c>
      <c r="F21" s="0" t="n">
        <f aca="false">F19*F20</f>
        <v>-0.0505826784020182</v>
      </c>
      <c r="G21" s="0" t="n">
        <f aca="false">G19*G20</f>
        <v>0.0475628170048827</v>
      </c>
      <c r="H21" s="0" t="n">
        <f aca="false">H19*H20</f>
        <v>0.0727138584784834</v>
      </c>
      <c r="I21" s="0" t="n">
        <f aca="false">I19*I20</f>
        <v>0.0811724438005194</v>
      </c>
      <c r="J21" s="0" t="n">
        <f aca="false">J19*J20</f>
        <v>0.0791051420155229</v>
      </c>
      <c r="K21" s="0" t="n">
        <f aca="false">K19*K20</f>
        <v>0.0647022239308401</v>
      </c>
      <c r="L21" s="0" t="n">
        <f aca="false">L19*L20</f>
        <v>0.0552664829409257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2</v>
      </c>
      <c r="D23" s="4" t="n">
        <f aca="false">Assumptions!D30</f>
        <v>2</v>
      </c>
      <c r="E23" s="4" t="n">
        <f aca="false">Assumptions!E30</f>
        <v>1.9</v>
      </c>
      <c r="F23" s="4" t="n">
        <f aca="false">Assumptions!F30</f>
        <v>1.9</v>
      </c>
      <c r="G23" s="4" t="n">
        <f aca="false">Assumptions!G30</f>
        <v>1.8</v>
      </c>
      <c r="H23" s="4" t="n">
        <f aca="false">Assumptions!H30</f>
        <v>1.8</v>
      </c>
      <c r="I23" s="4" t="n">
        <f aca="false">Assumptions!I30</f>
        <v>1.7</v>
      </c>
      <c r="J23" s="4" t="n">
        <f aca="false">Assumptions!J30</f>
        <v>1.7</v>
      </c>
      <c r="K23" s="4" t="n">
        <f aca="false">Assumptions!K30</f>
        <v>1.7</v>
      </c>
      <c r="L23" s="4" t="n">
        <f aca="false">Assumptions!L30</f>
        <v>1.7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-0.5599557</v>
      </c>
      <c r="D24" s="0" t="n">
        <f aca="false">-D6*D23/100</f>
        <v>-0.593553042</v>
      </c>
      <c r="E24" s="0" t="n">
        <f aca="false">-E6*E23/100</f>
        <v>-0.5948885363445</v>
      </c>
      <c r="F24" s="0" t="n">
        <f aca="false">-F6*F23/100</f>
        <v>-0.624632963161725</v>
      </c>
      <c r="G24" s="0" t="n">
        <f aca="false">-G6*G23/100</f>
        <v>-0.618386633530108</v>
      </c>
      <c r="H24" s="0" t="n">
        <f aca="false">-H6*H23/100</f>
        <v>-0.643122098871312</v>
      </c>
      <c r="I24" s="0" t="n">
        <f aca="false">-I6*I23/100</f>
        <v>-0.628651851646707</v>
      </c>
      <c r="J24" s="0" t="n">
        <f aca="false">-J6*J23/100</f>
        <v>-0.647511407196109</v>
      </c>
      <c r="K24" s="0" t="n">
        <f aca="false">-K6*K23/100</f>
        <v>-0.663699192376011</v>
      </c>
      <c r="L24" s="0" t="n">
        <f aca="false">-L6*L23/100</f>
        <v>-0.680291672185412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20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-1.05875520472303</v>
      </c>
    </row>
    <row r="31" customFormat="false" ht="15" hidden="false" customHeight="false" outlineLevel="0" collapsed="false">
      <c r="A31" s="0" t="s">
        <v>125</v>
      </c>
      <c r="B31" s="0" t="n">
        <f aca="false">L19</f>
        <v>0.342195495363278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2.00428790141349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3.42195495363278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2.00428790141349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0.323703685796851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-0.735051518926181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-0.232051518926181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-0.0105205385558408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-1.0263013463896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-0.0105205385558408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2.80600306197888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0.00817044833517931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11</v>
      </c>
      <c r="D5" s="4" t="n">
        <f aca="false">Assumptions!D41</f>
        <v>10.5</v>
      </c>
      <c r="E5" s="4" t="n">
        <f aca="false">Assumptions!E41</f>
        <v>9.5</v>
      </c>
      <c r="F5" s="4" t="n">
        <f aca="false">Assumptions!F41</f>
        <v>8.5</v>
      </c>
      <c r="G5" s="4" t="n">
        <f aca="false">Assumptions!G41</f>
        <v>7.5</v>
      </c>
      <c r="H5" s="4" t="n">
        <f aca="false">Assumptions!H41</f>
        <v>6.5</v>
      </c>
      <c r="I5" s="4" t="n">
        <f aca="false">Assumptions!I41</f>
        <v>5.5</v>
      </c>
      <c r="J5" s="4" t="n">
        <f aca="false">Assumptions!J41</f>
        <v>4.5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26.289</v>
      </c>
      <c r="C6" s="0" t="n">
        <f aca="false">B6*(1+C5/100)</f>
        <v>29.18079</v>
      </c>
      <c r="D6" s="0" t="n">
        <f aca="false">C6*(1+D5/100)</f>
        <v>32.24477295</v>
      </c>
      <c r="E6" s="0" t="n">
        <f aca="false">D6*(1+E5/100)</f>
        <v>35.30802638025</v>
      </c>
      <c r="F6" s="0" t="n">
        <f aca="false">E6*(1+F5/100)</f>
        <v>38.3092086225713</v>
      </c>
      <c r="G6" s="0" t="n">
        <f aca="false">F6*(1+G5/100)</f>
        <v>41.1823992692641</v>
      </c>
      <c r="H6" s="0" t="n">
        <f aca="false">G6*(1+H5/100)</f>
        <v>43.8592552217663</v>
      </c>
      <c r="I6" s="0" t="n">
        <f aca="false">H6*(1+I5/100)</f>
        <v>46.2715142589634</v>
      </c>
      <c r="J6" s="0" t="n">
        <f aca="false">I6*(1+J5/100)</f>
        <v>48.3537324006168</v>
      </c>
      <c r="K6" s="0" t="n">
        <f aca="false">J6*(1+K5/100)</f>
        <v>50.0461130346383</v>
      </c>
      <c r="L6" s="0" t="n">
        <f aca="false">K6*(1+L5/100)</f>
        <v>51.5474964256775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2.5</v>
      </c>
      <c r="D7" s="4" t="n">
        <f aca="false">Assumptions!D42</f>
        <v>4.5</v>
      </c>
      <c r="E7" s="4" t="n">
        <f aca="false">Assumptions!E42</f>
        <v>6.5</v>
      </c>
      <c r="F7" s="4" t="n">
        <f aca="false">Assumptions!F42</f>
        <v>8</v>
      </c>
      <c r="G7" s="4" t="n">
        <f aca="false">Assumptions!G42</f>
        <v>9</v>
      </c>
      <c r="H7" s="4" t="n">
        <f aca="false">Assumptions!H42</f>
        <v>9.5</v>
      </c>
      <c r="I7" s="4" t="n">
        <f aca="false">Assumptions!I42</f>
        <v>10</v>
      </c>
      <c r="J7" s="4" t="n">
        <f aca="false">Assumptions!J42</f>
        <v>10</v>
      </c>
      <c r="K7" s="4" t="n">
        <f aca="false">Assumptions!K42</f>
        <v>10</v>
      </c>
      <c r="L7" s="4" t="n">
        <f aca="false">Assumptions!L42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0.72951975</v>
      </c>
      <c r="D8" s="0" t="n">
        <f aca="false">D6*D7/100</f>
        <v>1.45101478275</v>
      </c>
      <c r="E8" s="0" t="n">
        <f aca="false">E6*E7/100</f>
        <v>2.29502171471625</v>
      </c>
      <c r="F8" s="0" t="n">
        <f aca="false">F6*F7/100</f>
        <v>3.0647366898057</v>
      </c>
      <c r="G8" s="0" t="n">
        <f aca="false">G6*G7/100</f>
        <v>3.70641593423377</v>
      </c>
      <c r="H8" s="0" t="n">
        <f aca="false">H6*H7/100</f>
        <v>4.1666292460678</v>
      </c>
      <c r="I8" s="0" t="n">
        <f aca="false">I6*I7/100</f>
        <v>4.62715142589634</v>
      </c>
      <c r="J8" s="0" t="n">
        <f aca="false">J6*J7/100</f>
        <v>4.83537324006168</v>
      </c>
      <c r="K8" s="0" t="n">
        <f aca="false">K6*K7/100</f>
        <v>5.00461130346383</v>
      </c>
      <c r="L8" s="0" t="n">
        <f aca="false">L6*L7/100</f>
        <v>5.15474964256775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0.17508474</v>
      </c>
      <c r="D11" s="0" t="n">
        <f aca="false">D8+D10+D24</f>
        <v>0.87060886965</v>
      </c>
      <c r="E11" s="0" t="n">
        <f aca="false">E8+E10+E24</f>
        <v>1.694785266252</v>
      </c>
      <c r="F11" s="0" t="n">
        <f aca="false">F8+F10+F24</f>
        <v>2.45178935184456</v>
      </c>
      <c r="G11" s="0" t="n">
        <f aca="false">G8+G10+G24</f>
        <v>3.08867994519481</v>
      </c>
      <c r="H11" s="0" t="n">
        <f aca="false">H8+H10+H24</f>
        <v>3.5087404177413</v>
      </c>
      <c r="I11" s="0" t="n">
        <f aca="false">I8+I10+I24</f>
        <v>3.97935022627085</v>
      </c>
      <c r="J11" s="0" t="n">
        <f aca="false">J8+J10+J24</f>
        <v>4.15842098645304</v>
      </c>
      <c r="K11" s="0" t="n">
        <f aca="false">K8+K10+K24</f>
        <v>4.3039657209789</v>
      </c>
      <c r="L11" s="0" t="n">
        <f aca="false">L8+L10+L24</f>
        <v>4.43308469260826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-0.90460449</v>
      </c>
      <c r="D12" s="4" t="n">
        <f aca="false">-D6*Assumptions!D45/100</f>
        <v>-0.9673431885</v>
      </c>
      <c r="E12" s="4" t="n">
        <f aca="false">-E6*Assumptions!E45/100</f>
        <v>-1.02393276502725</v>
      </c>
      <c r="F12" s="4" t="n">
        <f aca="false">-F6*Assumptions!F45/100</f>
        <v>-1.072657841432</v>
      </c>
      <c r="G12" s="4" t="n">
        <f aca="false">-G6*Assumptions!G45/100</f>
        <v>-1.11192478027013</v>
      </c>
      <c r="H12" s="4" t="n">
        <f aca="false">-H6*Assumptions!H45/100</f>
        <v>-1.14034063576592</v>
      </c>
      <c r="I12" s="4" t="n">
        <f aca="false">-I6*Assumptions!I45/100</f>
        <v>-1.20305937073305</v>
      </c>
      <c r="J12" s="4" t="n">
        <f aca="false">-J6*Assumptions!J45/100</f>
        <v>-1.20884331001542</v>
      </c>
      <c r="K12" s="4" t="n">
        <f aca="false">-K6*Assumptions!K45/100</f>
        <v>-1.25115282586596</v>
      </c>
      <c r="L12" s="4" t="n">
        <f aca="false">-L6*Assumptions!L45/100</f>
        <v>-1.28868741064194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-0.72951975</v>
      </c>
      <c r="D13" s="0" t="n">
        <f aca="false">D11+D12</f>
        <v>-0.09673431885</v>
      </c>
      <c r="E13" s="0" t="n">
        <f aca="false">E11+E12</f>
        <v>0.67085250122475</v>
      </c>
      <c r="F13" s="0" t="n">
        <f aca="false">F11+F12</f>
        <v>1.37913151041257</v>
      </c>
      <c r="G13" s="0" t="n">
        <f aca="false">G11+G12</f>
        <v>1.97675516492468</v>
      </c>
      <c r="H13" s="0" t="n">
        <f aca="false">H11+H12</f>
        <v>2.36839978197538</v>
      </c>
      <c r="I13" s="0" t="n">
        <f aca="false">I11+I12</f>
        <v>2.7762908555378</v>
      </c>
      <c r="J13" s="0" t="n">
        <f aca="false">J11+J12</f>
        <v>2.94957767643762</v>
      </c>
      <c r="K13" s="0" t="n">
        <f aca="false">K11+K12</f>
        <v>3.05281289511294</v>
      </c>
      <c r="L13" s="0" t="n">
        <f aca="false">L11+L12</f>
        <v>3.14439728196633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8</v>
      </c>
      <c r="G14" s="4" t="n">
        <f aca="false">Assumptions!G47</f>
        <v>16</v>
      </c>
      <c r="H14" s="4" t="n">
        <f aca="false">Assumptions!H47</f>
        <v>22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-0.72951975</v>
      </c>
      <c r="D15" s="0" t="n">
        <f aca="false">D13-MAX(0,D13)*D14/100</f>
        <v>-0.09673431885</v>
      </c>
      <c r="E15" s="0" t="n">
        <f aca="false">E13-MAX(0,E13)*E14/100</f>
        <v>0.67085250122475</v>
      </c>
      <c r="F15" s="0" t="n">
        <f aca="false">F13-MAX(0,F13)*F14/100</f>
        <v>1.26880098957956</v>
      </c>
      <c r="G15" s="0" t="n">
        <f aca="false">G13-MAX(0,G13)*G14/100</f>
        <v>1.66047433853673</v>
      </c>
      <c r="H15" s="0" t="n">
        <f aca="false">H13-MAX(0,H13)*H14/100</f>
        <v>1.84735182994079</v>
      </c>
      <c r="I15" s="0" t="n">
        <f aca="false">I13-MAX(0,I13)*I14/100</f>
        <v>1.99892941598722</v>
      </c>
      <c r="J15" s="0" t="n">
        <f aca="false">J13-MAX(0,J13)*J14/100</f>
        <v>2.12369592703509</v>
      </c>
      <c r="K15" s="0" t="n">
        <f aca="false">K13-MAX(0,K13)*K14/100</f>
        <v>2.19802528448132</v>
      </c>
      <c r="L15" s="0" t="n">
        <f aca="false">L13-MAX(0,L13)*L14/100</f>
        <v>2.26396604301576</v>
      </c>
    </row>
    <row r="16" customFormat="false" ht="15" hidden="false" customHeight="false" outlineLevel="0" collapsed="false">
      <c r="A16" s="0" t="s">
        <v>116</v>
      </c>
      <c r="C16" s="0" t="n">
        <f aca="false">-C12</f>
        <v>0.90460449</v>
      </c>
      <c r="D16" s="0" t="n">
        <f aca="false">-D12</f>
        <v>0.9673431885</v>
      </c>
      <c r="E16" s="0" t="n">
        <f aca="false">-E12</f>
        <v>1.02393276502725</v>
      </c>
      <c r="F16" s="0" t="n">
        <f aca="false">-F12</f>
        <v>1.072657841432</v>
      </c>
      <c r="G16" s="0" t="n">
        <f aca="false">-G12</f>
        <v>1.11192478027013</v>
      </c>
      <c r="H16" s="0" t="n">
        <f aca="false">-H12</f>
        <v>1.14034063576592</v>
      </c>
      <c r="I16" s="0" t="n">
        <f aca="false">-I12</f>
        <v>1.20305937073305</v>
      </c>
      <c r="J16" s="0" t="n">
        <f aca="false">-J12</f>
        <v>1.20884331001542</v>
      </c>
      <c r="K16" s="0" t="n">
        <f aca="false">-K12</f>
        <v>1.25115282586596</v>
      </c>
      <c r="L16" s="0" t="n">
        <f aca="false">-L12</f>
        <v>1.28868741064194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-0.81706212</v>
      </c>
      <c r="D17" s="4" t="n">
        <f aca="false">-D6*Assumptions!D46/100</f>
        <v>-0.9028536426</v>
      </c>
      <c r="E17" s="4" t="n">
        <f aca="false">-E6*Assumptions!E46/100</f>
        <v>-0.95331671226675</v>
      </c>
      <c r="F17" s="4" t="n">
        <f aca="false">-F6*Assumptions!F46/100</f>
        <v>-0.996039424186853</v>
      </c>
      <c r="G17" s="4" t="n">
        <f aca="false">-G6*Assumptions!G46/100</f>
        <v>-1.0295599817316</v>
      </c>
      <c r="H17" s="4" t="n">
        <f aca="false">-H6*Assumptions!H46/100</f>
        <v>-1.05262212532239</v>
      </c>
      <c r="I17" s="4" t="n">
        <f aca="false">-I6*Assumptions!I46/100</f>
        <v>-1.11051634221512</v>
      </c>
      <c r="J17" s="4" t="n">
        <f aca="false">-J6*Assumptions!J46/100</f>
        <v>-1.11213584521419</v>
      </c>
      <c r="K17" s="4" t="n">
        <f aca="false">-K6*Assumptions!K46/100</f>
        <v>-1.15106059979668</v>
      </c>
      <c r="L17" s="4" t="n">
        <f aca="false">-L6*Assumptions!L46/100</f>
        <v>-1.18559241779058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0.3470148</v>
      </c>
      <c r="D18" s="4" t="n">
        <f aca="false">(D6-C6)*Assumptions!$B$51/100</f>
        <v>0.367677954</v>
      </c>
      <c r="E18" s="4" t="n">
        <f aca="false">(E6-D6)*Assumptions!$B$51/100</f>
        <v>0.36759041163</v>
      </c>
      <c r="F18" s="4" t="n">
        <f aca="false">(F6-E6)*Assumptions!$B$51/100</f>
        <v>0.36014186907855</v>
      </c>
      <c r="G18" s="4" t="n">
        <f aca="false">(G6-F6)*Assumptions!$B$51/100</f>
        <v>0.344782877603141</v>
      </c>
      <c r="H18" s="4" t="n">
        <f aca="false">(H6-G6)*Assumptions!$B$51/100</f>
        <v>0.32122271430026</v>
      </c>
      <c r="I18" s="4" t="n">
        <f aca="false">(I6-H6)*Assumptions!$B$51/100</f>
        <v>0.289471084463657</v>
      </c>
      <c r="J18" s="4" t="n">
        <f aca="false">(J6-I6)*Assumptions!$B$51/100</f>
        <v>0.249866176998402</v>
      </c>
      <c r="K18" s="4" t="n">
        <f aca="false">(K6-J6)*Assumptions!$B$51/100</f>
        <v>0.20308567608259</v>
      </c>
      <c r="L18" s="4" t="n">
        <f aca="false">(L6-K6)*Assumptions!$B$51/100</f>
        <v>0.180166006924698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-0.29496258</v>
      </c>
      <c r="D19" s="0" t="n">
        <f aca="false">D15+D16+D17+D18</f>
        <v>0.33543318105</v>
      </c>
      <c r="E19" s="0" t="n">
        <f aca="false">E15+E16+E17+E18</f>
        <v>1.10905896561525</v>
      </c>
      <c r="F19" s="0" t="n">
        <f aca="false">F15+F16+F17+F18</f>
        <v>1.70556127590325</v>
      </c>
      <c r="G19" s="0" t="n">
        <f aca="false">G15+G16+G17+G18</f>
        <v>2.0876220146784</v>
      </c>
      <c r="H19" s="0" t="n">
        <f aca="false">H15+H16+H17+H18</f>
        <v>2.25629305468459</v>
      </c>
      <c r="I19" s="0" t="n">
        <f aca="false">I15+I16+I17+I18</f>
        <v>2.3809435289688</v>
      </c>
      <c r="J19" s="0" t="n">
        <f aca="false">J15+J16+J17+J18</f>
        <v>2.47026956883472</v>
      </c>
      <c r="K19" s="0" t="n">
        <f aca="false">K15+K16+K17+K18</f>
        <v>2.50120318663318</v>
      </c>
      <c r="L19" s="0" t="n">
        <f aca="false">L15+L16+L17+L18</f>
        <v>2.54722704279181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0.833333333333333</v>
      </c>
      <c r="D20" s="0" t="n">
        <f aca="false">1/(1+$B$27/100)^D4</f>
        <v>0.694444444444444</v>
      </c>
      <c r="E20" s="0" t="n">
        <f aca="false">1/(1+$B$27/100)^E4</f>
        <v>0.578703703703704</v>
      </c>
      <c r="F20" s="0" t="n">
        <f aca="false">1/(1+$B$27/100)^F4</f>
        <v>0.482253086419753</v>
      </c>
      <c r="G20" s="0" t="n">
        <f aca="false">1/(1+$B$27/100)^G4</f>
        <v>0.401877572016461</v>
      </c>
      <c r="H20" s="0" t="n">
        <f aca="false">1/(1+$B$27/100)^H4</f>
        <v>0.334897976680384</v>
      </c>
      <c r="I20" s="0" t="n">
        <f aca="false">1/(1+$B$27/100)^I4</f>
        <v>0.279081647233654</v>
      </c>
      <c r="J20" s="0" t="n">
        <f aca="false">1/(1+$B$27/100)^J4</f>
        <v>0.232568039361378</v>
      </c>
      <c r="K20" s="0" t="n">
        <f aca="false">1/(1+$B$27/100)^K4</f>
        <v>0.193806699467815</v>
      </c>
      <c r="L20" s="0" t="n">
        <f aca="false">1/(1+$B$27/100)^L4</f>
        <v>0.161505582889846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-0.24580215</v>
      </c>
      <c r="D21" s="0" t="n">
        <f aca="false">D19*D20</f>
        <v>0.2329397090625</v>
      </c>
      <c r="E21" s="0" t="n">
        <f aca="false">E19*E20</f>
        <v>0.641816531027344</v>
      </c>
      <c r="F21" s="0" t="n">
        <f aca="false">F19*F20</f>
        <v>0.822512189382356</v>
      </c>
      <c r="G21" s="0" t="n">
        <f aca="false">G19*G20</f>
        <v>0.838968466547067</v>
      </c>
      <c r="H21" s="0" t="n">
        <f aca="false">H19*H20</f>
        <v>0.755627978811872</v>
      </c>
      <c r="I21" s="0" t="n">
        <f aca="false">I19*I20</f>
        <v>0.664477642034921</v>
      </c>
      <c r="J21" s="0" t="n">
        <f aca="false">J19*J20</f>
        <v>0.574505750317968</v>
      </c>
      <c r="K21" s="0" t="n">
        <f aca="false">K19*K20</f>
        <v>0.484749934299758</v>
      </c>
      <c r="L21" s="0" t="n">
        <f aca="false">L19*L20</f>
        <v>0.411391388298869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1.9</v>
      </c>
      <c r="D23" s="4" t="n">
        <f aca="false">Assumptions!D44</f>
        <v>1.8</v>
      </c>
      <c r="E23" s="4" t="n">
        <f aca="false">Assumptions!E44</f>
        <v>1.7</v>
      </c>
      <c r="F23" s="4" t="n">
        <f aca="false">Assumptions!F44</f>
        <v>1.6</v>
      </c>
      <c r="G23" s="4" t="n">
        <f aca="false">Assumptions!G44</f>
        <v>1.5</v>
      </c>
      <c r="H23" s="4" t="n">
        <f aca="false">Assumptions!H44</f>
        <v>1.5</v>
      </c>
      <c r="I23" s="4" t="n">
        <f aca="false">Assumptions!I44</f>
        <v>1.4</v>
      </c>
      <c r="J23" s="4" t="n">
        <f aca="false">Assumptions!J44</f>
        <v>1.4</v>
      </c>
      <c r="K23" s="4" t="n">
        <f aca="false">Assumptions!K44</f>
        <v>1.4</v>
      </c>
      <c r="L23" s="4" t="n">
        <f aca="false">Assumptions!L44</f>
        <v>1.4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-0.55443501</v>
      </c>
      <c r="D24" s="0" t="n">
        <f aca="false">-D6*D23/100</f>
        <v>-0.5804059131</v>
      </c>
      <c r="E24" s="0" t="n">
        <f aca="false">-E6*E23/100</f>
        <v>-0.60023644846425</v>
      </c>
      <c r="F24" s="0" t="n">
        <f aca="false">-F6*F23/100</f>
        <v>-0.61294733796114</v>
      </c>
      <c r="G24" s="0" t="n">
        <f aca="false">-G6*G23/100</f>
        <v>-0.617735989038961</v>
      </c>
      <c r="H24" s="0" t="n">
        <f aca="false">-H6*H23/100</f>
        <v>-0.657888828326494</v>
      </c>
      <c r="I24" s="0" t="n">
        <f aca="false">-I6*I23/100</f>
        <v>-0.647801199625488</v>
      </c>
      <c r="J24" s="0" t="n">
        <f aca="false">-J6*J23/100</f>
        <v>-0.676952253608634</v>
      </c>
      <c r="K24" s="0" t="n">
        <f aca="false">-K6*K23/100</f>
        <v>-0.700645582484937</v>
      </c>
      <c r="L24" s="0" t="n">
        <f aca="false">-L6*L23/100</f>
        <v>-0.721664949959485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20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5.18118743978266</v>
      </c>
    </row>
    <row r="31" customFormat="false" ht="15" hidden="false" customHeight="false" outlineLevel="0" collapsed="false">
      <c r="A31" s="0" t="s">
        <v>125</v>
      </c>
      <c r="B31" s="0" t="n">
        <f aca="false">L19</f>
        <v>2.54722704279181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15.433199141621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30.5667245135017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15.433199141621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2.49254782322256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7.67373526300522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8.17673526300522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0.370709310559243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-0.0732267236018934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0.370709310559243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21.863698783963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0.574218240787099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-0.255524416520174</v>
      </c>
      <c r="C4" s="0" t="n">
        <f aca="false">B4/Assumptions!$B$2-1</f>
        <v>-1.63881104130043</v>
      </c>
      <c r="D4" s="4" t="n">
        <f aca="false">Assumptions!$B$24</f>
        <v>0.35</v>
      </c>
      <c r="E4" s="4" t="n">
        <f aca="false">DCF_Bear!$B$43</f>
        <v>-0.255524416520174</v>
      </c>
      <c r="F4" s="4" t="n">
        <f aca="false">DCF_Bear!$B$47</f>
        <v>-0.303049896284704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-0.0105205385558408</v>
      </c>
      <c r="C5" s="0" t="n">
        <f aca="false">B5/Assumptions!$B$2-1</f>
        <v>-1.0263013463896</v>
      </c>
      <c r="D5" s="4" t="n">
        <f aca="false">Assumptions!$B$38</f>
        <v>0.45</v>
      </c>
      <c r="E5" s="4" t="n">
        <f aca="false">DCF_Base!$B$43</f>
        <v>-0.0105205385558408</v>
      </c>
      <c r="F5" s="4" t="n">
        <f aca="false">DCF_Base!$B$47</f>
        <v>0.00817044833517931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0.370709310559243</v>
      </c>
      <c r="C6" s="0" t="n">
        <f aca="false">B6/Assumptions!$B$2-1</f>
        <v>-0.0732267236018934</v>
      </c>
      <c r="D6" s="4" t="n">
        <f aca="false">Assumptions!$B$52</f>
        <v>0.2</v>
      </c>
      <c r="E6" s="4" t="n">
        <f aca="false">DCF_Bull!$B$43</f>
        <v>0.370709310559243</v>
      </c>
      <c r="F6" s="4" t="n">
        <f aca="false">DCF_Bull!$B$47</f>
        <v>0.574218240787099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-0.0200259260203406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-0.0200259260203406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20.9741075440764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0.0124528862086042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0.048080340748889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0.0410204679734953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0.034673554919931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0.0289668241235146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0.00817044833517931</v>
      </c>
      <c r="C19" s="3" t="n">
        <v>15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-0.0105205385558408</v>
      </c>
      <c r="C20" s="3" t="n">
        <v>20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18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-0.00642307581234199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-0.00576062161409263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-0.00505542843531106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-0.00430322237794405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-0.00349914004075863</v>
      </c>
    </row>
    <row r="25" customFormat="false" ht="15" hidden="false" customHeight="false" outlineLevel="0" collapsed="false">
      <c r="A25" s="3" t="n">
        <v>19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-0.0091589685608644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-0.00861410441981973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-0.00803621820962084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-0.00742221411128451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-0.00676859684531359</v>
      </c>
    </row>
    <row r="26" customFormat="false" ht="15" hidden="false" customHeight="false" outlineLevel="0" collapsed="false">
      <c r="A26" s="3" t="n">
        <v>20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-0.0114492629510816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-0.0109977997033951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-0.0105205385558408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-0.0100152032231363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-0.00947924150663147</v>
      </c>
    </row>
    <row r="27" customFormat="false" ht="15" hidden="false" customHeight="false" outlineLevel="0" collapsed="false">
      <c r="A27" s="3" t="n">
        <v>21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-0.013369361572349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-0.0129927953997683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-0.0125958742989399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-0.0121769020258433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-0.0117339884799984</v>
      </c>
    </row>
    <row r="28" customFormat="false" ht="15" hidden="false" customHeight="false" outlineLevel="0" collapsed="false">
      <c r="A28" s="3" t="n">
        <v>22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-0.0149795691955025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-0.0146635776110376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-0.0143313813299334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-0.0139817010340343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-0.0136131191005191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2026-09-25T12:32:38Z</dcterms:created>
  <dc:creator>openpyxl</dc:creator>
  <dc:description/>
  <dc:language>en-NZ</dc:language>
  <cp:lastModifiedBy/>
  <dcterms:modified xsi:type="dcterms:W3CDTF">2026-09-25T12:32:38Z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