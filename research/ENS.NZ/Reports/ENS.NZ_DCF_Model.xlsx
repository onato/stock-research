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<sst xmlns="http://schemas.openxmlformats.org/spreadsheetml/2006/main" count="161" uniqueCount="141">
  <si>
    <t>ENS.NZ DCF Valuation Model (Base Case)</t>
  </si>
  <si>
    <t>Gray cells are INPUTS - adjust to see valuation change. Component-built model: EBITDA -&gt; D&amp;A -&gt; tax -&gt; capex -&gt; lease -&gt; WC -&gt; NCI = owner FCF</t>
  </si>
  <si>
    <t>Enprise is a genuine micro-cap; base-case IV is intentionally very low given thin owner FCF -- see Model_Info sheet.</t>
  </si>
  <si>
    <t>KEY INPUTS</t>
  </si>
  <si>
    <t>Current Stock Price</t>
  </si>
  <si>
    <t>Shares Outstanding (M, actual H1 FY2026)</t>
  </si>
  <si>
    <t>Cash &amp; Equivalents (M)</t>
  </si>
  <si>
    <t>Bank Debt + Lease Liabilities (M)</t>
  </si>
  <si>
    <t>Net Debt (M)</t>
  </si>
  <si>
    <t>Equity-Accounted Investments (Datagate+Vadacom, M)</t>
  </si>
  <si>
    <t>Base Year Revenue FY2025 (M)</t>
  </si>
  <si>
    <t>WACC (Base)</t>
  </si>
  <si>
    <t>Terminal Growth Rate</t>
  </si>
  <si>
    <t>Terminal Cap EV/EBITDA Multiple</t>
  </si>
  <si>
    <t>Annual Share Dilution %</t>
  </si>
  <si>
    <t>COMPONENT ASSUMPTIONS (BASE)</t>
  </si>
  <si>
    <t>Year 1</t>
  </si>
  <si>
    <t>Year 2</t>
  </si>
  <si>
    <t>Year 3</t>
  </si>
  <si>
    <t>Year 4</t>
  </si>
  <si>
    <t>Year 5</t>
  </si>
  <si>
    <t>Revenue Growth %</t>
  </si>
  <si>
    <t>EBITDA Margin %</t>
  </si>
  <si>
    <t>D&amp;A % of Revenue</t>
  </si>
  <si>
    <t>CapEx % of Revenue</t>
  </si>
  <si>
    <t>Lease Principal % of Revenue</t>
  </si>
  <si>
    <t>WC Capture % of Rev Growth</t>
  </si>
  <si>
    <t>NCI % of NOPAT</t>
  </si>
  <si>
    <t>Cash Tax Rate %</t>
  </si>
  <si>
    <t>PROJECTIONS (component build)</t>
  </si>
  <si>
    <t>Revenue</t>
  </si>
  <si>
    <t>EBITDA</t>
  </si>
  <si>
    <t>D&amp;A</t>
  </si>
  <si>
    <t>EBIT</t>
  </si>
  <si>
    <t>NOPAT (after tax)</t>
  </si>
  <si>
    <t>CapEx</t>
  </si>
  <si>
    <t>Lease Principal Repayment</t>
  </si>
  <si>
    <t>Working Capital (use of cash)</t>
  </si>
  <si>
    <t>NCI Deduction</t>
  </si>
  <si>
    <t>Owner FCF</t>
  </si>
  <si>
    <t>Shares Outstanding (M)</t>
  </si>
  <si>
    <t>Discount Factor</t>
  </si>
  <si>
    <t>PV of FCF</t>
  </si>
  <si>
    <t>VALUATION</t>
  </si>
  <si>
    <t>Sum of PV of FCF (Y1-Y5)</t>
  </si>
  <si>
    <t>Terminal FCF (Year 5 x (1+g))</t>
  </si>
  <si>
    <t>Gordon Terminal Value</t>
  </si>
  <si>
    <t>Cap Terminal Value (EV/EBITDA x Y5 EBITDA)</t>
  </si>
  <si>
    <t>Terminal Value (lower of Gordon/Cap)</t>
  </si>
  <si>
    <t>PV of Terminal Value</t>
  </si>
  <si>
    <t>Enterprise Value</t>
  </si>
  <si>
    <t>Less: Net Debt</t>
  </si>
  <si>
    <t>Plus: Equity-Accounted Investments</t>
  </si>
  <si>
    <t>Equity Value</t>
  </si>
  <si>
    <t>INTRINSIC VALUE/SHARE</t>
  </si>
  <si>
    <t>ENTRY PRICE (15% IRR Target)</t>
  </si>
  <si>
    <t>PV of Yrs 1-5 FCF @15%</t>
  </si>
  <si>
    <t>PV of Terminal Value @15%</t>
  </si>
  <si>
    <t>Entry Price (15% IRR)</t>
  </si>
  <si>
    <t>Upside to Intrinsic Value</t>
  </si>
  <si>
    <t>Upside to Entry Price</t>
  </si>
  <si>
    <t>Sensitivity Analysis (Base Case)</t>
  </si>
  <si>
    <t>Intrinsic Value by WACC &amp; Terminal Growth</t>
  </si>
  <si>
    <t>WACC \ Term G</t>
  </si>
  <si>
    <t>Note: matrix values are pre-computed from the DCF Model sheet base-case FCF path; edit component</t>
  </si>
  <si>
    <t>assumptions on the DCF Model sheet and re-run to refresh this table (not a live formula grid,</t>
  </si>
  <si>
    <t>given the component-build complexity -- see Model_Info for methodology).</t>
  </si>
  <si>
    <t>Historical Growth Rates &amp; Owner FCF</t>
  </si>
  <si>
    <t>Metric</t>
  </si>
  <si>
    <t>3-Year CAGR</t>
  </si>
  <si>
    <t>5-Year CAGR</t>
  </si>
  <si>
    <t>Equity (Book Value)</t>
  </si>
  <si>
    <t>EPS CAGR</t>
  </si>
  <si>
    <t>n/a - negative/near-zero base years</t>
  </si>
  <si>
    <t>Owner FCF CAGR</t>
  </si>
  <si>
    <t>n/a - negative in 3 of 6 years</t>
  </si>
  <si>
    <t>Selected Growth Rate:</t>
  </si>
  <si>
    <t>Source:</t>
  </si>
  <si>
    <t>organic_revenue_growth_estimate</t>
  </si>
  <si>
    <t>Rationale:</t>
  </si>
  <si>
    <t>Neither the revenue CAGR (10-16%, acquisition-augmented) nor the equity CAGR (-22% to -32%, distorted by the FY2023 NZ$7.7m goodwill impairment and subsequent dilutive-raise rebuild) is usable as a forward growth driver. The selected 4.0% base-case starting growth rate is anchored to H1 FY2026's like-for-like organic growth: Kilimanjaro (the core business, ~93% of group revenue) grew 3.4% H1-on-H1, and iSell grew 4.9% H1-on-H1, both with Recipe Marketing already owned for the full comparative period (acquired Aug-2024). This organic rate is materially BELOW the historical consolidated CAGR because the latter embeds the FY2020 Kilimanjaro consolidation step-change and the FY2025 Recipe Marketing acquisition, neither of which recurs mechanically.</t>
  </si>
  <si>
    <t>Owner FCF History (NZ$m)</t>
  </si>
  <si>
    <t>Year</t>
  </si>
  <si>
    <t>Reported FCF</t>
  </si>
  <si>
    <t>Lease Principal Repaid</t>
  </si>
  <si>
    <t>FY2020</t>
  </si>
  <si>
    <t>FY2021</t>
  </si>
  <si>
    <t>FY2022</t>
  </si>
  <si>
    <t>FY2023</t>
  </si>
  <si>
    <t>FY2024</t>
  </si>
  <si>
    <t>FY2025</t>
  </si>
  <si>
    <t>H1 FY2026</t>
  </si>
  <si>
    <t>Mid-cycle avg (FY2020-25)</t>
  </si>
  <si>
    <t>FCF Quality Reconciliation</t>
  </si>
  <si>
    <t>Reported FCF (company definition) reconciled to Owner FCF, all NZ$ millions</t>
  </si>
  <si>
    <t>Reported FCF (OCF - CapEx)</t>
  </si>
  <si>
    <t>Less: SBC incl. equity-award taxes</t>
  </si>
  <si>
    <t>Less: Interest Income</t>
  </si>
  <si>
    <t>Less: IFRS-16 Lease Principal Repaid</t>
  </si>
  <si>
    <t>Reported FCF Margin</t>
  </si>
  <si>
    <t>Owner FCF Margin</t>
  </si>
  <si>
    <t>Memo: SBC source</t>
  </si>
  <si>
    <t>Verified NIL - no share-based-payment expense line found in any Annual/Interim filing FY2018-H1FY2026.</t>
  </si>
  <si>
    <t>Verified NIL - no share-based-payment expense line found in any Annual/Interim filing FY2018-H1FY2026. CSV StockBasedComp column is 0.0 throughout.</t>
  </si>
  <si>
    <t>Memo: NCI (Recipe Marketing 48%)</t>
  </si>
  <si>
    <t>NOT reflected in the FCF Quality table above (which is consolidated 100%) -- deducted separately in the forward DCF projections at 4-6% of NOPAT. NCI balance was NEGATIVE NZ$0.333m at 31-Dec-2025 (accumulated losses attributable to the 48% minority since the Aug-2024 acquisition).</t>
  </si>
  <si>
    <t>Memo: cash tax rate</t>
  </si>
  <si>
    <t>No abnormal tax benefit/one-off to ramp out of -- company has run near-breakeven/loss pretax income with a NZ$1.9-1.96m deferred tax asset; 28% statutory rate applied flat in all forward scenarios (base/bull modestly lower in early bull years reflecting DTA utilisation).</t>
  </si>
  <si>
    <t>Model Provenance &amp; Methodology Notes</t>
  </si>
  <si>
    <t>Built by</t>
  </si>
  <si>
    <t>DCF-analyst agent (Claude), per .claude/agents/dcf-analyst.md</t>
  </si>
  <si>
    <t>Build date</t>
  </si>
  <si>
    <t>2026-08-10</t>
  </si>
  <si>
    <t>Share price date/source</t>
  </si>
  <si>
    <t>NZ$0.375, Yahoo Finance ENS.NZ, quote timestamp 2026-08-09 (fresh, not stale)</t>
  </si>
  <si>
    <t>Balance sheet date</t>
  </si>
  <si>
    <t>31-Dec-2025 (H1 FY2026 interim report, unaudited) -- cash, debt, lease liabilities, NCI, equity-accounted investments, and shares outstanding all as at this date</t>
  </si>
  <si>
    <t>Income statement base year</t>
  </si>
  <si>
    <t>FY2025 (year ended 30-Jun-2025, unaudited results announcement) -- used as the revenue/margin starting point for the 5-year projection, since it is the most recent FULL YEAR (H1 FY2026 alone would understate seasonality)</t>
  </si>
  <si>
    <t>Filings used</t>
  </si>
  <si>
    <t>ENS.NZ_Annual_FY2018 through FY2025 + the interim report for the six months ended 31-Dec-2025 (filed as ENS.NZ_HalfYear_H1-2025.txt in Extracted/ -- NOTE: this file is mislabeled by filename; its CONTENT is the H1 FY2026 interim report, confirmed by internal references to "31 December 2025" and the January-2026 shortfall placement)</t>
  </si>
  <si>
    <t>Key methodology choice 1</t>
  </si>
  <si>
    <t>Owner FCF = reported FCF LESS IFRS-16 lease principal repayment LESS 48% Recipe Marketing NCI share of NOPAT. SBC deduction is zero (verified NIL, not merely assumed).</t>
  </si>
  <si>
    <t>Key methodology choice 2</t>
  </si>
  <si>
    <t>Growth driver is ORGANIC revenue growth (~3.5-5%/yr from H1 FY2026 like-for-like segment data), explicitly NOT the acquisition-augmented consolidated revenue CAGR (10-16%) or the impairment-distorted equity CAGR (-22% to -32%).</t>
  </si>
  <si>
    <t>Key methodology choice 3</t>
  </si>
  <si>
    <t>WACC stacks 4 explicit structural premiums (illiquidity, MYOB vendor dependency, thin capitalisation, CEO-transition key-person risk) onto a 10.5% base cost of equity, landing at 19.0% base / 17.5% bull / 21.0% bear.</t>
  </si>
  <si>
    <t>Key methodology choice 4</t>
  </si>
  <si>
    <t>Terminal value = MIN(Gordon growth, EV/EBITDA cap). In base/bull, Gordon binds (the CONSERVATIVE side) because owner-FCF-to-EBITDA conversion is structurally poor (~10% in the base case Y5) -- this is not an error, it reflects genuinely thin cash conversion.</t>
  </si>
  <si>
    <t>Key methodology choice 5</t>
  </si>
  <si>
    <t>Equity-accounted investments (Datagate 32.35%, Vadacom 6.4%, combined carrying value NZ$1.199m) are excluded from operating FCF and added to equity value separately at balance-sheet carrying value.</t>
  </si>
  <si>
    <t>Key methodology choice 6</t>
  </si>
  <si>
    <t>Bear-case equity value is floored at the net-cash-plus-investments "shell" value (NZ$0.303m) rather than allowed to go negative, consistent with limited liability of ordinary equity.</t>
  </si>
  <si>
    <t>Result interpretation</t>
  </si>
  <si>
    <t>Base-case intrinsic value (NZ$0.0068/share) and probability-weighted IV (NZ$0.077/share) are both FAR below the current NZ$0.375 price. This is a genuine output of the thin/negative owner-FCF history, cross-checked (not overridden) against a P/S-multiple anchor that implies a wider NZ$0.30-1.16 range. No upside was manufactured to close this gap, per the explicit task brief.</t>
  </si>
  <si>
    <t>What to refresh after next filing</t>
  </si>
  <si>
    <t>FY2026 annual report (due ~Aug/Sep 2026): update base-year revenue/EBITDA, re-verify shares outstanding (watch for further dilutive raises), re-check MYOB Exo partner-rights renewal status (contractual guarantee expired 31-Dec-2025), confirm CEO transition outcome (Baskind departs 4-Sep-2026), re-verify SBC remains nil, and re-pull lease liability/NCI balances.</t>
  </si>
  <si>
    <t>Cell colour convention</t>
  </si>
  <si>
    <t>Gray-filled cells = editable inputs. White cells = formulas (should not be hand-edited). Green cell = headline output (Intrinsic Value / Entry Price).</t>
  </si>
  <si>
    <t>Staleness warning</t>
  </si>
  <si>
    <t>All figures in this file are current as of the build date above. Share price, balance-sheet items and filings-derived assumptions WILL go stale after each new NZX announcement (interim/annual results, capital raises, MYOB partner-agreement updates, CEO appointment) and must be re-verified before being relied upon for a live investment decision.</t>
  </si>
</sst>
</file>

<file path=xl/styles.xml><?xml version="1.0" encoding="utf-8"?>
<styleSheet xmlns="http://schemas.openxmlformats.org/spreadsheetml/2006/main">
  <numFmts count="4">
    <numFmt numFmtId="164" formatCode="#,##0.000"/>
    <numFmt numFmtId="165" formatCode="0.00%"/>
    <numFmt numFmtId="166" formatCode="&quot;$&quot;#,##0.0000"/>
    <numFmt numFmtId="167" formatCode="0.0%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rgb="FFD6303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5" fillId="3" borderId="2" xfId="0" applyFont="1" applyFill="1" applyBorder="1"/>
    <xf numFmtId="0" fontId="6" fillId="0" borderId="0" xfId="0" applyFont="1"/>
    <xf numFmtId="166" fontId="5" fillId="4" borderId="2" xfId="0" applyNumberFormat="1" applyFont="1" applyFill="1" applyBorder="1"/>
    <xf numFmtId="167" fontId="0" fillId="0" borderId="2" xfId="0" applyNumberFormat="1" applyBorder="1"/>
    <xf numFmtId="167" fontId="5" fillId="3" borderId="0" xfId="0" applyNumberFormat="1" applyFont="1" applyFill="1"/>
    <xf numFmtId="166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8"/>
  <sheetViews>
    <sheetView tabSelected="1" workbookViewId="0"/>
  </sheetViews>
  <sheetFormatPr defaultRowHeight="15"/>
  <cols>
    <col min="1" max="1" width="30.7109375" customWidth="1"/>
    <col min="2" max="8" width="13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t="s">
        <v>4</v>
      </c>
      <c r="B6" s="5">
        <v>0.375</v>
      </c>
    </row>
    <row r="7" spans="1:2">
      <c r="A7" t="s">
        <v>5</v>
      </c>
      <c r="B7" s="5">
        <v>21.781325</v>
      </c>
    </row>
    <row r="8" spans="1:2">
      <c r="A8" t="s">
        <v>6</v>
      </c>
      <c r="B8" s="5">
        <v>2.273</v>
      </c>
    </row>
    <row r="9" spans="1:2">
      <c r="A9" t="s">
        <v>7</v>
      </c>
      <c r="B9" s="5">
        <v>3.169</v>
      </c>
    </row>
    <row r="10" spans="1:2">
      <c r="A10" t="s">
        <v>8</v>
      </c>
      <c r="B10" s="6">
        <f>B9-B8</f>
        <v>0</v>
      </c>
    </row>
    <row r="11" spans="1:2">
      <c r="A11" t="s">
        <v>9</v>
      </c>
      <c r="B11" s="5">
        <v>1.199</v>
      </c>
    </row>
    <row r="12" spans="1:2">
      <c r="A12" t="s">
        <v>10</v>
      </c>
      <c r="B12" s="5">
        <v>24.973</v>
      </c>
    </row>
    <row r="15" spans="1:2">
      <c r="A15" t="s">
        <v>11</v>
      </c>
      <c r="B15" s="7">
        <v>0.19</v>
      </c>
    </row>
    <row r="16" spans="1:2">
      <c r="A16" t="s">
        <v>12</v>
      </c>
      <c r="B16" s="7">
        <v>0.02</v>
      </c>
    </row>
    <row r="17" spans="1:6">
      <c r="A17" t="s">
        <v>13</v>
      </c>
      <c r="B17" s="5">
        <v>6.7</v>
      </c>
    </row>
    <row r="18" spans="1:6">
      <c r="A18" t="s">
        <v>14</v>
      </c>
      <c r="B18" s="7">
        <v>0.03</v>
      </c>
    </row>
    <row r="20" spans="1:6">
      <c r="A20" s="4" t="s">
        <v>15</v>
      </c>
    </row>
    <row r="21" spans="1:6">
      <c r="B21" s="8" t="s">
        <v>16</v>
      </c>
      <c r="C21" s="8" t="s">
        <v>17</v>
      </c>
      <c r="D21" s="8" t="s">
        <v>18</v>
      </c>
      <c r="E21" s="8" t="s">
        <v>19</v>
      </c>
      <c r="F21" s="8" t="s">
        <v>20</v>
      </c>
    </row>
    <row r="22" spans="1:6">
      <c r="A22" t="s">
        <v>21</v>
      </c>
      <c r="B22" s="7">
        <v>0.05</v>
      </c>
      <c r="C22" s="7">
        <v>0.045</v>
      </c>
      <c r="D22" s="7">
        <v>0.04</v>
      </c>
      <c r="E22" s="7">
        <v>0.035</v>
      </c>
      <c r="F22" s="7">
        <v>0.03</v>
      </c>
    </row>
    <row r="23" spans="1:6">
      <c r="A23" t="s">
        <v>22</v>
      </c>
      <c r="B23" s="7">
        <v>0.02</v>
      </c>
      <c r="C23" s="7">
        <v>0.04</v>
      </c>
      <c r="D23" s="7">
        <v>0.055</v>
      </c>
      <c r="E23" s="7">
        <v>0.065</v>
      </c>
      <c r="F23" s="7">
        <v>0.07000000000000001</v>
      </c>
    </row>
    <row r="24" spans="1:6">
      <c r="A24" t="s">
        <v>23</v>
      </c>
      <c r="B24" s="7">
        <v>0.02</v>
      </c>
      <c r="C24" s="7">
        <v>0.02</v>
      </c>
      <c r="D24" s="7">
        <v>0.02</v>
      </c>
      <c r="E24" s="7">
        <v>0.02</v>
      </c>
      <c r="F24" s="7">
        <v>0.02</v>
      </c>
    </row>
    <row r="25" spans="1:6">
      <c r="A25" t="s">
        <v>24</v>
      </c>
      <c r="B25" s="7">
        <v>0.03</v>
      </c>
      <c r="C25" s="7">
        <v>0.03</v>
      </c>
      <c r="D25" s="7">
        <v>0.03</v>
      </c>
      <c r="E25" s="7">
        <v>0.03</v>
      </c>
      <c r="F25" s="7">
        <v>0.03</v>
      </c>
    </row>
    <row r="26" spans="1:6">
      <c r="A26" t="s">
        <v>25</v>
      </c>
      <c r="B26" s="7">
        <v>0.02</v>
      </c>
      <c r="C26" s="7">
        <v>0.02</v>
      </c>
      <c r="D26" s="7">
        <v>0.02</v>
      </c>
      <c r="E26" s="7">
        <v>0.02</v>
      </c>
      <c r="F26" s="7">
        <v>0.02</v>
      </c>
    </row>
    <row r="27" spans="1:6">
      <c r="A27" t="s">
        <v>26</v>
      </c>
      <c r="B27" s="7">
        <v>0.1</v>
      </c>
      <c r="C27" s="7">
        <v>0.1</v>
      </c>
      <c r="D27" s="7">
        <v>0.1</v>
      </c>
      <c r="E27" s="7">
        <v>0.1</v>
      </c>
      <c r="F27" s="7">
        <v>0.1</v>
      </c>
    </row>
    <row r="28" spans="1:6">
      <c r="A28" t="s">
        <v>27</v>
      </c>
      <c r="B28" s="7">
        <v>0.05</v>
      </c>
      <c r="C28" s="7">
        <v>0.05</v>
      </c>
      <c r="D28" s="7">
        <v>0.05</v>
      </c>
      <c r="E28" s="7">
        <v>0.05</v>
      </c>
      <c r="F28" s="7">
        <v>0.05</v>
      </c>
    </row>
    <row r="29" spans="1:6">
      <c r="A29" t="s">
        <v>28</v>
      </c>
      <c r="B29" s="7">
        <v>0.28</v>
      </c>
      <c r="C29" s="7">
        <v>0.28</v>
      </c>
      <c r="D29" s="7">
        <v>0.28</v>
      </c>
      <c r="E29" s="7">
        <v>0.28</v>
      </c>
      <c r="F29" s="7">
        <v>0.28</v>
      </c>
    </row>
    <row r="31" spans="1:6">
      <c r="A31" s="4" t="s">
        <v>29</v>
      </c>
    </row>
    <row r="32" spans="1:6">
      <c r="A32" s="8"/>
      <c r="B32" s="8" t="s">
        <v>16</v>
      </c>
      <c r="C32" s="8" t="s">
        <v>17</v>
      </c>
      <c r="D32" s="8" t="s">
        <v>18</v>
      </c>
      <c r="E32" s="8" t="s">
        <v>19</v>
      </c>
      <c r="F32" s="8" t="s">
        <v>20</v>
      </c>
    </row>
    <row r="33" spans="1:6">
      <c r="A33" t="s">
        <v>30</v>
      </c>
      <c r="B33" s="6">
        <f>$B$12*(1+B22)</f>
        <v>0</v>
      </c>
      <c r="C33" s="6">
        <f>B33*(1+C22)</f>
        <v>0</v>
      </c>
      <c r="D33" s="6">
        <f>C33*(1+D22)</f>
        <v>0</v>
      </c>
      <c r="E33" s="6">
        <f>D33*(1+E22)</f>
        <v>0</v>
      </c>
      <c r="F33" s="6">
        <f>E33*(1+F22)</f>
        <v>0</v>
      </c>
    </row>
    <row r="34" spans="1:6">
      <c r="A34" t="s">
        <v>31</v>
      </c>
      <c r="B34" s="6">
        <f>B33*B23</f>
        <v>0</v>
      </c>
      <c r="C34" s="6">
        <f>C33*C23</f>
        <v>0</v>
      </c>
      <c r="D34" s="6">
        <f>D33*D23</f>
        <v>0</v>
      </c>
      <c r="E34" s="6">
        <f>E33*E23</f>
        <v>0</v>
      </c>
      <c r="F34" s="6">
        <f>F33*F23</f>
        <v>0</v>
      </c>
    </row>
    <row r="35" spans="1:6">
      <c r="A35" t="s">
        <v>32</v>
      </c>
      <c r="B35" s="6">
        <f>B33*B24</f>
        <v>0</v>
      </c>
      <c r="C35" s="6">
        <f>C33*C24</f>
        <v>0</v>
      </c>
      <c r="D35" s="6">
        <f>D33*D24</f>
        <v>0</v>
      </c>
      <c r="E35" s="6">
        <f>E33*E24</f>
        <v>0</v>
      </c>
      <c r="F35" s="6">
        <f>F33*F24</f>
        <v>0</v>
      </c>
    </row>
    <row r="36" spans="1:6">
      <c r="A36" t="s">
        <v>33</v>
      </c>
      <c r="B36" s="6">
        <f>B34-B35</f>
        <v>0</v>
      </c>
      <c r="C36" s="6">
        <f>C34-C35</f>
        <v>0</v>
      </c>
      <c r="D36" s="6">
        <f>D34-D35</f>
        <v>0</v>
      </c>
      <c r="E36" s="6">
        <f>E34-E35</f>
        <v>0</v>
      </c>
      <c r="F36" s="6">
        <f>F34-F35</f>
        <v>0</v>
      </c>
    </row>
    <row r="37" spans="1:6">
      <c r="A37" t="s">
        <v>34</v>
      </c>
      <c r="B37" s="6">
        <f>B36*(1-B29)</f>
        <v>0</v>
      </c>
      <c r="C37" s="6">
        <f>C36*(1-C29)</f>
        <v>0</v>
      </c>
      <c r="D37" s="6">
        <f>D36*(1-D29)</f>
        <v>0</v>
      </c>
      <c r="E37" s="6">
        <f>E36*(1-E29)</f>
        <v>0</v>
      </c>
      <c r="F37" s="6">
        <f>F36*(1-F29)</f>
        <v>0</v>
      </c>
    </row>
    <row r="38" spans="1:6">
      <c r="A38" t="s">
        <v>35</v>
      </c>
      <c r="B38" s="6">
        <f>B33*B25</f>
        <v>0</v>
      </c>
      <c r="C38" s="6">
        <f>C33*C25</f>
        <v>0</v>
      </c>
      <c r="D38" s="6">
        <f>D33*D25</f>
        <v>0</v>
      </c>
      <c r="E38" s="6">
        <f>E33*E25</f>
        <v>0</v>
      </c>
      <c r="F38" s="6">
        <f>F33*F25</f>
        <v>0</v>
      </c>
    </row>
    <row r="39" spans="1:6">
      <c r="A39" t="s">
        <v>36</v>
      </c>
      <c r="B39" s="6">
        <f>B33*B26</f>
        <v>0</v>
      </c>
      <c r="C39" s="6">
        <f>C33*C26</f>
        <v>0</v>
      </c>
      <c r="D39" s="6">
        <f>D33*D26</f>
        <v>0</v>
      </c>
      <c r="E39" s="6">
        <f>E33*E26</f>
        <v>0</v>
      </c>
      <c r="F39" s="6">
        <f>F33*F26</f>
        <v>0</v>
      </c>
    </row>
    <row r="40" spans="1:6">
      <c r="A40" t="s">
        <v>37</v>
      </c>
      <c r="B40" s="6">
        <f>B27*(B33-$B$12)</f>
        <v>0</v>
      </c>
      <c r="C40" s="6">
        <f>C27*(C33-B33)</f>
        <v>0</v>
      </c>
      <c r="D40" s="6">
        <f>D27*(D33-C33)</f>
        <v>0</v>
      </c>
      <c r="E40" s="6">
        <f>E27*(E33-D33)</f>
        <v>0</v>
      </c>
      <c r="F40" s="6">
        <f>F27*(F33-E33)</f>
        <v>0</v>
      </c>
    </row>
    <row r="41" spans="1:6">
      <c r="A41" t="s">
        <v>38</v>
      </c>
      <c r="B41" s="6">
        <f>B37*B28</f>
        <v>0</v>
      </c>
      <c r="C41" s="6">
        <f>C37*C28</f>
        <v>0</v>
      </c>
      <c r="D41" s="6">
        <f>D37*D28</f>
        <v>0</v>
      </c>
      <c r="E41" s="6">
        <f>E37*E28</f>
        <v>0</v>
      </c>
      <c r="F41" s="6">
        <f>F37*F28</f>
        <v>0</v>
      </c>
    </row>
    <row r="42" spans="1:6">
      <c r="A42" s="9" t="s">
        <v>39</v>
      </c>
      <c r="B42" s="6">
        <f>B37+B35-B38-B39+B40-B41</f>
        <v>0</v>
      </c>
      <c r="C42" s="6">
        <f>C37+C35-C38-C39+C40-C41</f>
        <v>0</v>
      </c>
      <c r="D42" s="6">
        <f>D37+D35-D38-D39+D40-D41</f>
        <v>0</v>
      </c>
      <c r="E42" s="6">
        <f>E37+E35-E38-E39+E40-E41</f>
        <v>0</v>
      </c>
      <c r="F42" s="6">
        <f>F37+F35-F38-F39+F40-F41</f>
        <v>0</v>
      </c>
    </row>
    <row r="43" spans="1:6">
      <c r="A43" t="s">
        <v>40</v>
      </c>
      <c r="B43" s="6">
        <f>$B$7*(1+$B$18)</f>
        <v>0</v>
      </c>
      <c r="C43" s="6">
        <f>B43*(1+$B$18)</f>
        <v>0</v>
      </c>
      <c r="D43" s="6">
        <f>C43*(1+$B$18)</f>
        <v>0</v>
      </c>
      <c r="E43" s="6">
        <f>D43*(1+$B$18)</f>
        <v>0</v>
      </c>
      <c r="F43" s="6">
        <f>E43*(1+$B$18)</f>
        <v>0</v>
      </c>
    </row>
    <row r="44" spans="1:6">
      <c r="A44" t="s">
        <v>41</v>
      </c>
      <c r="B44" s="6">
        <f>1/(1+$B$15)^1</f>
        <v>0</v>
      </c>
      <c r="C44" s="6">
        <f>1/(1+$B$15)^2</f>
        <v>0</v>
      </c>
      <c r="D44" s="6">
        <f>1/(1+$B$15)^3</f>
        <v>0</v>
      </c>
      <c r="E44" s="6">
        <f>1/(1+$B$15)^4</f>
        <v>0</v>
      </c>
      <c r="F44" s="6">
        <f>1/(1+$B$15)^5</f>
        <v>0</v>
      </c>
    </row>
    <row r="45" spans="1:6">
      <c r="A45" t="s">
        <v>42</v>
      </c>
      <c r="B45" s="6">
        <f>B42*B44</f>
        <v>0</v>
      </c>
      <c r="C45" s="6">
        <f>C42*C44</f>
        <v>0</v>
      </c>
      <c r="D45" s="6">
        <f>D42*D44</f>
        <v>0</v>
      </c>
      <c r="E45" s="6">
        <f>E42*E44</f>
        <v>0</v>
      </c>
      <c r="F45" s="6">
        <f>F42*F44</f>
        <v>0</v>
      </c>
    </row>
    <row r="47" spans="1:6">
      <c r="A47" s="4" t="s">
        <v>43</v>
      </c>
    </row>
    <row r="48" spans="1:6">
      <c r="A48" t="s">
        <v>44</v>
      </c>
      <c r="B48" s="6">
        <f>SUM(B45:F45)</f>
        <v>0</v>
      </c>
    </row>
    <row r="49" spans="1:2">
      <c r="A49" t="s">
        <v>45</v>
      </c>
      <c r="B49" s="6">
        <f>F42*(1+$B$16)</f>
        <v>0</v>
      </c>
    </row>
    <row r="50" spans="1:2">
      <c r="A50" t="s">
        <v>46</v>
      </c>
      <c r="B50" s="6">
        <f>B49/($B$15-$B$16)</f>
        <v>0</v>
      </c>
    </row>
    <row r="51" spans="1:2">
      <c r="A51" t="s">
        <v>47</v>
      </c>
      <c r="B51" s="6">
        <f>$B$17*F34</f>
        <v>0</v>
      </c>
    </row>
    <row r="52" spans="1:2">
      <c r="A52" t="s">
        <v>48</v>
      </c>
      <c r="B52" s="6">
        <f>IF(B50&lt;0,B51,MIN(B50,B51))</f>
        <v>0</v>
      </c>
    </row>
    <row r="53" spans="1:2">
      <c r="A53" t="s">
        <v>49</v>
      </c>
      <c r="B53" s="6">
        <f>B52*F44</f>
        <v>0</v>
      </c>
    </row>
    <row r="54" spans="1:2">
      <c r="A54" t="s">
        <v>50</v>
      </c>
      <c r="B54" s="6">
        <f>B48+B53</f>
        <v>0</v>
      </c>
    </row>
    <row r="55" spans="1:2">
      <c r="A55" t="s">
        <v>51</v>
      </c>
      <c r="B55" s="6">
        <f>B10</f>
        <v>0</v>
      </c>
    </row>
    <row r="56" spans="1:2">
      <c r="A56" t="s">
        <v>52</v>
      </c>
      <c r="B56" s="6">
        <f>B11</f>
        <v>0</v>
      </c>
    </row>
    <row r="57" spans="1:2">
      <c r="A57" t="s">
        <v>53</v>
      </c>
      <c r="B57" s="6">
        <f>B54-B55+B56</f>
        <v>0</v>
      </c>
    </row>
    <row r="58" spans="1:2">
      <c r="A58" s="9" t="s">
        <v>54</v>
      </c>
      <c r="B58" s="10">
        <f>B57/F43</f>
        <v>0</v>
      </c>
    </row>
    <row r="60" spans="1:2">
      <c r="A60" s="4" t="s">
        <v>55</v>
      </c>
    </row>
    <row r="61" spans="1:2">
      <c r="A61" t="s">
        <v>56</v>
      </c>
      <c r="B61" s="6">
        <f>NPV(0.15,B42:F42)</f>
        <v>0</v>
      </c>
    </row>
    <row r="62" spans="1:2">
      <c r="A62" t="s">
        <v>57</v>
      </c>
      <c r="B62" s="6">
        <f>B50/(1.15^5)</f>
        <v>0</v>
      </c>
    </row>
    <row r="63" spans="1:2">
      <c r="A63" t="s">
        <v>51</v>
      </c>
      <c r="B63" s="6">
        <f>B10</f>
        <v>0</v>
      </c>
    </row>
    <row r="64" spans="1:2">
      <c r="A64" t="s">
        <v>52</v>
      </c>
      <c r="B64" s="6">
        <f>B11</f>
        <v>0</v>
      </c>
    </row>
    <row r="65" spans="1:2">
      <c r="A65" t="s">
        <v>58</v>
      </c>
      <c r="B65" s="10">
        <f>(B61+B62-B63+B64)/F43</f>
        <v>0</v>
      </c>
    </row>
    <row r="67" spans="1:2">
      <c r="A67" t="s">
        <v>59</v>
      </c>
      <c r="B67" s="11">
        <f>(B58-B6)/B6</f>
        <v>0</v>
      </c>
    </row>
    <row r="68" spans="1:2">
      <c r="A68" t="s">
        <v>60</v>
      </c>
      <c r="B68" s="11">
        <f>(B6-B65)/B6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61</v>
      </c>
    </row>
    <row r="2" spans="1:6">
      <c r="A2" t="s">
        <v>62</v>
      </c>
    </row>
    <row r="4" spans="1:6">
      <c r="A4" s="8" t="s">
        <v>63</v>
      </c>
      <c r="B4" s="12">
        <v>0.01</v>
      </c>
      <c r="C4" s="12">
        <v>0.015</v>
      </c>
      <c r="D4" s="12">
        <v>0.02</v>
      </c>
      <c r="E4" s="12">
        <v>0.025</v>
      </c>
      <c r="F4" s="12">
        <v>0.03</v>
      </c>
    </row>
    <row r="5" spans="1:6">
      <c r="A5" s="12">
        <v>0.17</v>
      </c>
      <c r="B5" s="13">
        <v>0.009599999999999999</v>
      </c>
      <c r="C5" s="13">
        <v>0.0106</v>
      </c>
      <c r="D5" s="13">
        <v>0.0115</v>
      </c>
      <c r="E5" s="13">
        <v>0.0126</v>
      </c>
      <c r="F5" s="13">
        <v>0.0137</v>
      </c>
    </row>
    <row r="6" spans="1:6">
      <c r="A6" s="12">
        <v>0.18</v>
      </c>
      <c r="B6" s="13">
        <v>0.0074</v>
      </c>
      <c r="C6" s="13">
        <v>0.008200000000000001</v>
      </c>
      <c r="D6" s="13">
        <v>0.008999999999999999</v>
      </c>
      <c r="E6" s="13">
        <v>0.009900000000000001</v>
      </c>
      <c r="F6" s="13">
        <v>0.0108</v>
      </c>
    </row>
    <row r="7" spans="1:6">
      <c r="A7" s="12">
        <v>0.19</v>
      </c>
      <c r="B7" s="13">
        <v>0.0054</v>
      </c>
      <c r="C7" s="13">
        <v>0.0061</v>
      </c>
      <c r="D7" s="13">
        <v>0.0068</v>
      </c>
      <c r="E7" s="13">
        <v>0.0076</v>
      </c>
      <c r="F7" s="13">
        <v>0.008399999999999999</v>
      </c>
    </row>
    <row r="8" spans="1:6">
      <c r="A8" s="12">
        <v>0.2</v>
      </c>
      <c r="B8" s="13">
        <v>0.0037</v>
      </c>
      <c r="C8" s="13">
        <v>0.0043</v>
      </c>
      <c r="D8" s="13">
        <v>0.0049</v>
      </c>
      <c r="E8" s="13">
        <v>0.0056</v>
      </c>
      <c r="F8" s="13">
        <v>0.0063</v>
      </c>
    </row>
    <row r="9" spans="1:6">
      <c r="A9" s="12">
        <v>0.21</v>
      </c>
      <c r="B9" s="13">
        <v>0.0023</v>
      </c>
      <c r="C9" s="13">
        <v>0.0028</v>
      </c>
      <c r="D9" s="13">
        <v>0.0033</v>
      </c>
      <c r="E9" s="13">
        <v>0.0039</v>
      </c>
      <c r="F9" s="13">
        <v>0.0045</v>
      </c>
    </row>
    <row r="11" spans="1:6">
      <c r="A11" s="2" t="s">
        <v>64</v>
      </c>
    </row>
    <row r="12" spans="1:6">
      <c r="A12" s="2" t="s">
        <v>65</v>
      </c>
    </row>
    <row r="13" spans="1:6">
      <c r="A13" s="2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sheetFormatPr defaultRowHeight="15"/>
  <cols>
    <col min="1" max="1" width="22.7109375" customWidth="1"/>
    <col min="2" max="4" width="15.7109375" customWidth="1"/>
  </cols>
  <sheetData>
    <row r="1" spans="1:6">
      <c r="A1" s="1" t="s">
        <v>67</v>
      </c>
    </row>
    <row r="3" spans="1:6">
      <c r="A3" s="8" t="s">
        <v>68</v>
      </c>
      <c r="B3" s="8" t="s">
        <v>69</v>
      </c>
      <c r="C3" s="8" t="s">
        <v>70</v>
      </c>
    </row>
    <row r="4" spans="1:6">
      <c r="A4" t="s">
        <v>30</v>
      </c>
      <c r="B4" s="11">
        <v>0.1</v>
      </c>
      <c r="C4" s="11">
        <v>0.15</v>
      </c>
    </row>
    <row r="5" spans="1:6">
      <c r="A5" t="s">
        <v>71</v>
      </c>
      <c r="B5" s="11">
        <v>-0.321</v>
      </c>
      <c r="C5" s="11">
        <v>-0.223</v>
      </c>
    </row>
    <row r="6" spans="1:6">
      <c r="A6" t="s">
        <v>72</v>
      </c>
      <c r="B6" t="s">
        <v>73</v>
      </c>
    </row>
    <row r="7" spans="1:6">
      <c r="A7" t="s">
        <v>74</v>
      </c>
      <c r="B7" t="s">
        <v>75</v>
      </c>
    </row>
    <row r="9" spans="1:6">
      <c r="A9" s="9" t="s">
        <v>76</v>
      </c>
      <c r="B9" s="11">
        <v>0.04</v>
      </c>
    </row>
    <row r="10" spans="1:6">
      <c r="A10" t="s">
        <v>77</v>
      </c>
      <c r="B10" t="s">
        <v>78</v>
      </c>
    </row>
    <row r="11" spans="1:6">
      <c r="A11" t="s">
        <v>79</v>
      </c>
      <c r="B11" s="2" t="s">
        <v>80</v>
      </c>
      <c r="C11" s="2"/>
      <c r="D11" s="2"/>
      <c r="E11" s="2"/>
      <c r="F11" s="2"/>
    </row>
    <row r="12" spans="1:6">
      <c r="B12" s="2"/>
      <c r="C12" s="2"/>
      <c r="D12" s="2"/>
      <c r="E12" s="2"/>
      <c r="F12" s="2"/>
    </row>
    <row r="13" spans="1:6">
      <c r="B13" s="2"/>
      <c r="C13" s="2"/>
      <c r="D13" s="2"/>
      <c r="E13" s="2"/>
      <c r="F13" s="2"/>
    </row>
    <row r="14" spans="1:6">
      <c r="B14" s="2"/>
      <c r="C14" s="2"/>
      <c r="D14" s="2"/>
      <c r="E14" s="2"/>
      <c r="F14" s="2"/>
    </row>
    <row r="16" spans="1:6">
      <c r="A16" s="4" t="s">
        <v>81</v>
      </c>
    </row>
    <row r="17" spans="1:4">
      <c r="A17" s="8" t="s">
        <v>82</v>
      </c>
      <c r="B17" s="8" t="s">
        <v>83</v>
      </c>
      <c r="C17" s="8" t="s">
        <v>84</v>
      </c>
      <c r="D17" s="8" t="s">
        <v>39</v>
      </c>
    </row>
    <row r="19" spans="1:4">
      <c r="A19" t="s">
        <v>85</v>
      </c>
      <c r="B19" s="6">
        <v>2.566</v>
      </c>
      <c r="C19" s="6">
        <v>0.415</v>
      </c>
      <c r="D19" s="6">
        <v>2.151</v>
      </c>
    </row>
    <row r="20" spans="1:4">
      <c r="A20" t="s">
        <v>86</v>
      </c>
      <c r="B20" s="6">
        <v>1.859</v>
      </c>
      <c r="C20" s="6">
        <v>0.762</v>
      </c>
      <c r="D20" s="6">
        <v>1.097</v>
      </c>
    </row>
    <row r="21" spans="1:4">
      <c r="A21" t="s">
        <v>87</v>
      </c>
      <c r="B21" s="6">
        <v>-0.632</v>
      </c>
      <c r="C21" s="6">
        <v>0.612</v>
      </c>
      <c r="D21" s="6">
        <v>-1.244</v>
      </c>
    </row>
    <row r="22" spans="1:4">
      <c r="A22" t="s">
        <v>88</v>
      </c>
      <c r="B22" s="6">
        <v>-1.33</v>
      </c>
      <c r="C22" s="6">
        <v>0.595</v>
      </c>
      <c r="D22" s="6">
        <v>-1.925</v>
      </c>
    </row>
    <row r="23" spans="1:4">
      <c r="A23" t="s">
        <v>89</v>
      </c>
      <c r="B23" s="6">
        <v>1.182</v>
      </c>
      <c r="C23" s="6">
        <v>0.532</v>
      </c>
      <c r="D23" s="6">
        <v>0.65</v>
      </c>
    </row>
    <row r="24" spans="1:4">
      <c r="A24" t="s">
        <v>90</v>
      </c>
      <c r="B24" s="6">
        <v>0.201</v>
      </c>
      <c r="C24" s="6">
        <v>0.409</v>
      </c>
      <c r="D24" s="6">
        <v>-0.208</v>
      </c>
    </row>
    <row r="25" spans="1:4">
      <c r="A25" t="s">
        <v>91</v>
      </c>
      <c r="B25" s="6">
        <v>0.307</v>
      </c>
      <c r="C25" s="6">
        <v>0.278</v>
      </c>
      <c r="D25" s="6">
        <v>0.029</v>
      </c>
    </row>
    <row r="27" spans="1:4">
      <c r="A27" s="9" t="s">
        <v>92</v>
      </c>
      <c r="D27" s="6">
        <f>AVERAGE(D19:D24)</f>
        <v>0</v>
      </c>
    </row>
  </sheetData>
  <mergeCells count="1">
    <mergeCell ref="B11:F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1" width="28.7109375" customWidth="1"/>
    <col min="2" max="8" width="13.7109375" customWidth="1"/>
  </cols>
  <sheetData>
    <row r="1" spans="1:8">
      <c r="A1" s="1" t="s">
        <v>93</v>
      </c>
    </row>
    <row r="2" spans="1:8">
      <c r="A2" s="2" t="s">
        <v>94</v>
      </c>
    </row>
    <row r="4" spans="1:8">
      <c r="A4" s="8" t="s">
        <v>82</v>
      </c>
      <c r="B4" s="8" t="s">
        <v>85</v>
      </c>
      <c r="C4" s="8" t="s">
        <v>86</v>
      </c>
      <c r="D4" s="8" t="s">
        <v>87</v>
      </c>
      <c r="E4" s="8" t="s">
        <v>88</v>
      </c>
      <c r="F4" s="8" t="s">
        <v>89</v>
      </c>
      <c r="G4" s="8" t="s">
        <v>90</v>
      </c>
      <c r="H4" s="8" t="s">
        <v>91</v>
      </c>
    </row>
    <row r="5" spans="1:8">
      <c r="A5" t="s">
        <v>30</v>
      </c>
      <c r="B5" s="6">
        <v>12.42</v>
      </c>
      <c r="C5" s="6">
        <v>16.113</v>
      </c>
      <c r="D5" s="6">
        <v>18.744</v>
      </c>
      <c r="E5" s="6">
        <v>20.657</v>
      </c>
      <c r="F5" s="6">
        <v>21.865</v>
      </c>
      <c r="G5" s="6">
        <v>24.973</v>
      </c>
      <c r="H5" s="6">
        <v>12.954</v>
      </c>
    </row>
    <row r="6" spans="1:8">
      <c r="A6" t="s">
        <v>95</v>
      </c>
      <c r="B6" s="6">
        <v>2.566</v>
      </c>
      <c r="C6" s="6">
        <v>1.859</v>
      </c>
      <c r="D6" s="6">
        <v>-0.632</v>
      </c>
      <c r="E6" s="6">
        <v>-1.33</v>
      </c>
      <c r="F6" s="6">
        <v>1.182</v>
      </c>
      <c r="G6" s="6">
        <v>0.201</v>
      </c>
      <c r="H6" s="6">
        <v>0.307</v>
      </c>
    </row>
    <row r="7" spans="1:8">
      <c r="A7" t="s">
        <v>96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>
      <c r="A8" t="s">
        <v>97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>
      <c r="A9" t="s">
        <v>98</v>
      </c>
      <c r="B9" s="6">
        <v>0.415</v>
      </c>
      <c r="C9" s="6">
        <v>0.762</v>
      </c>
      <c r="D9" s="6">
        <v>0.612</v>
      </c>
      <c r="E9" s="6">
        <v>0.595</v>
      </c>
      <c r="F9" s="6">
        <v>0.532</v>
      </c>
      <c r="G9" s="6">
        <v>0.409</v>
      </c>
      <c r="H9" s="6">
        <v>0.278</v>
      </c>
    </row>
    <row r="10" spans="1:8">
      <c r="A10" s="9" t="s">
        <v>39</v>
      </c>
      <c r="B10" s="6">
        <v>2.151</v>
      </c>
      <c r="C10" s="6">
        <v>1.097</v>
      </c>
      <c r="D10" s="6">
        <v>-1.244</v>
      </c>
      <c r="E10" s="6">
        <v>-1.925</v>
      </c>
      <c r="F10" s="6">
        <v>0.65</v>
      </c>
      <c r="G10" s="6">
        <v>-0.208</v>
      </c>
      <c r="H10" s="6">
        <v>0.029</v>
      </c>
    </row>
    <row r="12" spans="1:8">
      <c r="A12" t="s">
        <v>99</v>
      </c>
      <c r="B12" s="11">
        <v>0.2066022544283414</v>
      </c>
      <c r="C12" s="11">
        <v>0.1153726804443617</v>
      </c>
      <c r="D12" s="11">
        <v>-0.03371745625266752</v>
      </c>
      <c r="E12" s="11">
        <v>-0.06438495425279567</v>
      </c>
      <c r="F12" s="11">
        <v>0.05405899839926824</v>
      </c>
      <c r="G12" s="11">
        <v>0.008048692587995036</v>
      </c>
      <c r="H12" s="11">
        <v>0.02369924347691833</v>
      </c>
    </row>
    <row r="13" spans="1:8">
      <c r="A13" t="s">
        <v>100</v>
      </c>
      <c r="B13" s="11">
        <v>0.1731884057971014</v>
      </c>
      <c r="C13" s="11">
        <v>0.06808167318314405</v>
      </c>
      <c r="D13" s="11">
        <v>-0.06636790439607342</v>
      </c>
      <c r="E13" s="11">
        <v>-0.09318874957641478</v>
      </c>
      <c r="F13" s="11">
        <v>0.02972787560027441</v>
      </c>
      <c r="G13" s="11">
        <v>-0.008328995314940135</v>
      </c>
      <c r="H13" s="11">
        <v>0.002238690751891308</v>
      </c>
    </row>
    <row r="15" spans="1:8">
      <c r="A15" t="s">
        <v>101</v>
      </c>
    </row>
    <row r="16" spans="1:8">
      <c r="A16" s="2" t="s">
        <v>103</v>
      </c>
      <c r="B16" s="2"/>
      <c r="C16" s="2"/>
      <c r="D16" s="2"/>
      <c r="E16" s="2"/>
      <c r="F16" s="2"/>
      <c r="G16" s="2"/>
      <c r="H16" s="2"/>
    </row>
    <row r="18" spans="1:8">
      <c r="A18" s="2" t="s">
        <v>105</v>
      </c>
      <c r="B18" s="2"/>
      <c r="C18" s="2"/>
      <c r="D18" s="2"/>
      <c r="E18" s="2"/>
      <c r="F18" s="2"/>
      <c r="G18" s="2"/>
      <c r="H18" s="2"/>
    </row>
    <row r="20" spans="1:8">
      <c r="A20" s="2" t="s">
        <v>107</v>
      </c>
      <c r="B20" s="2"/>
      <c r="C20" s="2"/>
      <c r="D20" s="2"/>
      <c r="E20" s="2"/>
      <c r="F20" s="2"/>
      <c r="G20" s="2"/>
      <c r="H20" s="2"/>
    </row>
  </sheetData>
  <mergeCells count="3">
    <mergeCell ref="A16:H16"/>
    <mergeCell ref="A18:H18"/>
    <mergeCell ref="A20:H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108</v>
      </c>
    </row>
    <row r="3" spans="1:2" ht="30" customHeight="1">
      <c r="A3" s="9" t="s">
        <v>109</v>
      </c>
      <c r="B3" s="2" t="s">
        <v>110</v>
      </c>
    </row>
    <row r="4" spans="1:2" ht="45" customHeight="1">
      <c r="A4" s="9" t="s">
        <v>111</v>
      </c>
      <c r="B4" s="2" t="s">
        <v>112</v>
      </c>
    </row>
    <row r="5" spans="1:2" ht="45" customHeight="1">
      <c r="A5" s="9" t="s">
        <v>113</v>
      </c>
      <c r="B5" s="2" t="s">
        <v>114</v>
      </c>
    </row>
    <row r="6" spans="1:2" ht="45" customHeight="1">
      <c r="A6" s="9" t="s">
        <v>115</v>
      </c>
      <c r="B6" s="2" t="s">
        <v>116</v>
      </c>
    </row>
    <row r="7" spans="1:2" ht="45" customHeight="1">
      <c r="A7" s="9" t="s">
        <v>117</v>
      </c>
      <c r="B7" s="2" t="s">
        <v>118</v>
      </c>
    </row>
    <row r="8" spans="1:2" ht="45" customHeight="1">
      <c r="A8" s="9" t="s">
        <v>119</v>
      </c>
      <c r="B8" s="2" t="s">
        <v>120</v>
      </c>
    </row>
    <row r="9" spans="1:2" ht="45" customHeight="1">
      <c r="A9" s="9" t="s">
        <v>121</v>
      </c>
      <c r="B9" s="2" t="s">
        <v>122</v>
      </c>
    </row>
    <row r="10" spans="1:2" ht="45" customHeight="1">
      <c r="A10" s="9" t="s">
        <v>123</v>
      </c>
      <c r="B10" s="2" t="s">
        <v>124</v>
      </c>
    </row>
    <row r="11" spans="1:2" ht="45" customHeight="1">
      <c r="A11" s="9" t="s">
        <v>125</v>
      </c>
      <c r="B11" s="2" t="s">
        <v>126</v>
      </c>
    </row>
    <row r="12" spans="1:2" ht="45" customHeight="1">
      <c r="A12" s="9" t="s">
        <v>127</v>
      </c>
      <c r="B12" s="2" t="s">
        <v>128</v>
      </c>
    </row>
    <row r="13" spans="1:2" ht="45" customHeight="1">
      <c r="A13" s="9" t="s">
        <v>129</v>
      </c>
      <c r="B13" s="2" t="s">
        <v>130</v>
      </c>
    </row>
    <row r="14" spans="1:2" ht="45" customHeight="1">
      <c r="A14" s="9" t="s">
        <v>131</v>
      </c>
      <c r="B14" s="2" t="s">
        <v>132</v>
      </c>
    </row>
    <row r="15" spans="1:2" ht="45" customHeight="1">
      <c r="A15" s="9" t="s">
        <v>133</v>
      </c>
      <c r="B15" s="2" t="s">
        <v>134</v>
      </c>
    </row>
    <row r="16" spans="1:2" ht="45" customHeight="1">
      <c r="A16" s="9" t="s">
        <v>135</v>
      </c>
      <c r="B16" s="2" t="s">
        <v>136</v>
      </c>
    </row>
    <row r="17" spans="1:2" ht="45" customHeight="1">
      <c r="A17" s="9" t="s">
        <v>137</v>
      </c>
      <c r="B17" s="2" t="s">
        <v>138</v>
      </c>
    </row>
    <row r="18" spans="1:2" ht="45" customHeight="1">
      <c r="A18" s="9" t="s">
        <v>139</v>
      </c>
      <c r="B18" s="2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Historical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2026-08-10T08:01:34Z</dcterms:created>
  <dcterms:modified xsi:type="dcterms:W3CDTF">2026-08-10T08:01:34Z</dcterms:modified>
</cp:coreProperties>
</file>