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<sst xmlns="http://schemas.openxmlformats.org/spreadsheetml/2006/main" count="356" uniqueCount="165">
  <si>
    <t xml:space="preserve">Ticker</t>
  </si>
  <si>
    <t xml:space="preserve">0990.HK</t>
  </si>
  <si>
    <t xml:space="preserve">Company</t>
  </si>
  <si>
    <t xml:space="preserve">Deep Source Holdings Limited (formerly Theme International Holdings)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</si>
  <si>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</si>
  <si>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</si>
  <si>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</si>
  <si>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</si>
  <si>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2026-10-09T08:08:06Z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</si>
  <si>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</si>
  <si>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</si>
  <si>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</si>
  <si>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</si>
  <si>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</si>
  <si>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</si>
  <si>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</si>
  <si>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</si>
  <si>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</si>
  <si>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</si>
  <si>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</si>
  <si>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</si>
  <si>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2026-10-11T12:51:05Z</t>
  </si>
  <si>
    <t xml:space="preserve">Drivers file</t>
  </si>
  <si>
    <t xml:space="preserve">0990.HK_Drivers.json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</si>
  <si>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</si>
  <si>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</si>
  <si>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</si>
  <si>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what exists, not what is promised. The continuing trading business is capitalised on through-cycle margins at a 10x terminal cap; the balance sheet (net cash, associates at a haircut, the brokerage sale proceeds, net of minorities) is added once, with every stripped income stream matched to its asset. The lithium/AI pivot is carried at committed cost only. At the current price the market is paying roughly book value, i.e. roughly the bridge plus a modest trading franchise.
key_risks_to_valuation: Associates carried at 75% of a HK$2.77bn book with almost no dividend history; a further haircut of 25pp is ~HK$0.05/share; Net cash of HK$2.2bn is partly working-capital float for a HK$30bn trading book and may not be fully distributable; trade-finance banks already hold HK$659m as restricted deposits (excluded); Marex consideration is formula-based on tangible NAV and not final; 23.5% of it belongs to BPI minorities; Pivot capital allocation: US$70m Tortuga de Oro is the first of what could be several lithium/AI deals with no disclosed return framework; FY2024 shows the trading margin can go to ~0.4% in a bad year; the model's 2.25% through-cycle margin is the single most sensitive driver; Governance: 2024 Singapore subsidiary misappropriation (HK$167m), related-party trading and financing, no internal audit function in FY2025</t>
  </si>
  <si>
    <t xml:space="preserve">Data sources</t>
  </si>
  <si>
    <t xml:space="preserve">price: Yahoo Finance chart API at inputs.price_as_of; 52-week range 0.48-0.97
financials: 0990.HK_Annual_FY2021-FY2025.txt (segment note, note 40 principal subsidiaries and material NCI, cash-flow reconciliation); 0990.HK_HalfYear_H1-2026.txt (P&amp;L, balance sheet, segment note 3, discontinued-operations note 6, EPS note 7, share capital note 19, MD&amp;A, events after the reporting period); 0990.HK_Metrics.csv via make dcf-context
qualitative: 0990.HK_Analysis.json (2026-10-12)</t>
  </si>
  <si>
    <t xml:space="preserve">Scenario narrative: bear</t>
  </si>
  <si>
    <t xml:space="preserve">Trading reverts to FY2024 economics for two years (margin 1.0-1.4%, revenue -30%) and settles below the through-cycle mean; the pivot consumes ~HK$800m at zero return. The associates and net cash still underpin the value, which is why the bear case does not collapse: most of this company's value is on the balance sheet, not in the trading P&amp;L.</t>
  </si>
  <si>
    <t xml:space="preserve">Scenario narrative: base</t>
  </si>
  <si>
    <t xml:space="preserve">Deep Source after the Marex sale is a HK$20-30bn-revenue iron-ore, nickel/chrome-ore and steel trader earning a through-cycle ~2.2% segment margin, plus a HK$2.8bn book of equity-accounted steel-trading associates and ~HK$2.2bn of net cash. FY2026 is a strong volume year (H1 revenue +49%) that the base lets partially unwind in FY2027, then grows at ~3% with margins held at the six-period mean rather than the H1 FY2026 print. The brokerage proceeds and the associates are bridge items, not growth drivers; the lithium/AI transformation is carried at the cost of what has actually been committed (Tortuga de Oro) and nothing more.</t>
  </si>
  <si>
    <t xml:space="preserve">Scenario narrative: bull</t>
  </si>
  <si>
    <t xml:space="preserve">Volumes from the funded Indonesian and Australian initiatives compound at 5-6% for three years and margins recover to the FY2021-22 band (2.8-2.9%). Even here the pivot is credited at zero beyond cost - a successful lithium-chain build-out is upside to the bull, not inside 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</si>
  <si>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</si>
  <si>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</si>
  <si>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</si>
  <si>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</si>
  <si>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</si>
  <si>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</si>
  <si>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</si>
  <si>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</si>
  <si>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</si>
  <si>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</si>
  <si>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</si>
  <si>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</si>
  <si>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</si>
  <si>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</si>
  <si>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</si>
  <si>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</si>
  <si>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</si>
  <si>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</si>
  <si>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</si>
  <si>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</si>
  <si>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</si>
  <si>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</si>
  <si>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</si>
  <si>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</si>
  <si>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</si>
  <si>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</si>
  <si>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</si>
  <si>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DiscontinuedOpsProfit</t>
  </si>
  <si>
    <t xml:space="preserve">ProfitIncludingNCI</t>
  </si>
  <si>
    <t xml:space="preserve">ShareOfAssociatesProfit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</si>
  <si>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</si>
  <si>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</si>
  <si>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</si>
  <si>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</si>
  <si>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</si>
  <si>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</si>
  <si>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</si>
  <si>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</si>
  <si>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</si>
  <si>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</si>
  <si>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</si>
  <si>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</si>
  <si>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</si>
  <si>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</si>
  <si>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</si>
  <si>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</si>
  <si>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</si>
  <si>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</si>
  <si>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</si>
  <si>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</si>
  <si>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</si>
  <si>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</si>
  <si>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</si>
  <si>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</si>
  <si>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</si>
  <si>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</si>
  <si>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</si>
  <si>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</si>
  <si>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</si>
  <si>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</si>
  <si>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</si>
  <si>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</si>
  <si>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</si>
  <si>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</si>
  <si>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</si>
  <si>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</si>
  <si>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</si>
  <si>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</si>
  <si>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</si>
  <si>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</si>
  <si>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</si>
  <si>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</si>
  <si>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</si>
  <si>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</si>
  <si>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</si>
  <si>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0990.HK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</si>
  <si>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</si>
  <si>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</si>
  <si>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</si>
  <si>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</si>
  <si>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</si>
  <si>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</si>
  <si>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</si>
  <si>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</si>
  <si>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</si>
  <si>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</si>
  <si>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</si>
  <si>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</si>
  <si>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</si>
  <si>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</si>
  <si>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</si>
  <si>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</si>
  <si>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</si>
  <si>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</si>
  <si>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</si>
  <si>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</si>
  <si>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</si>
  <si>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</si>
  <si>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</si>
  <si>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</si>
  <si>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</si>
  <si>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</si>
  <si>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</si>
  <si>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</si>
  <si>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</si>
  <si>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</si>
  <si>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0990.HK owner-FCF component DCF: base case (millions, HKD)</t>
  </si>
  <si>
    <t xml:space="preserve">0990.HK owner-FCF component DCF: bull case (millions, HKD)</t>
  </si>
  <si>
    <t xml:space="preserve">0990.HK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</si>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</sst>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0.585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4330.171</v>
      </c>
      <c r="C2" s="0" t="n">
        <v>-4141.309</v>
      </c>
      <c r="D2" s="0" t="n">
        <v>188.862</v>
      </c>
      <c r="E2" s="0" t="n">
        <v>4.4</v>
      </c>
      <c r="F2" s="0" t="n">
        <v>87.421</v>
      </c>
      <c r="G2" s="0" t="n">
        <v>2</v>
      </c>
      <c r="I2" s="0" t="n">
        <v>61.893</v>
      </c>
      <c r="J2" s="0" t="n">
        <v>1.4</v>
      </c>
      <c r="K2" s="0" t="n">
        <v>0.0076</v>
      </c>
      <c r="L2" s="0" t="n">
        <v>1405.312</v>
      </c>
      <c r="M2" s="0" t="n">
        <v>0.68</v>
      </c>
      <c r="N2" s="0" t="n">
        <v>1404.632</v>
      </c>
      <c r="O2" s="0" t="n">
        <v>680.423</v>
      </c>
      <c r="P2" s="0" t="n">
        <v>1817.07</v>
      </c>
      <c r="Q2" s="0" t="n">
        <v>1091.908</v>
      </c>
      <c r="R2" s="0" t="n">
        <v>225.67</v>
      </c>
      <c r="S2" s="0" t="n">
        <v>193.35</v>
      </c>
      <c r="T2" s="0" t="n">
        <v>8117.651</v>
      </c>
      <c r="AA2" s="0" t="s">
        <v>17</v>
      </c>
      <c r="AB2" s="0" t="s">
        <v>14</v>
      </c>
      <c r="AD2" s="0" t="n">
        <v>67.137</v>
      </c>
    </row>
    <row r="3" customFormat="false" ht="15" hidden="false" customHeight="false" outlineLevel="0" collapsed="false">
      <c r="A3" s="0" t="s">
        <v>67</v>
      </c>
      <c r="B3" s="0" t="n">
        <v>11280.616</v>
      </c>
      <c r="C3" s="0" t="n">
        <v>-10770.712</v>
      </c>
      <c r="D3" s="0" t="n">
        <v>509.904</v>
      </c>
      <c r="E3" s="0" t="n">
        <v>4.5</v>
      </c>
      <c r="F3" s="0" t="n">
        <v>245.488</v>
      </c>
      <c r="G3" s="0" t="n">
        <v>2.2</v>
      </c>
      <c r="I3" s="0" t="n">
        <v>145.745</v>
      </c>
      <c r="J3" s="0" t="n">
        <v>1.3</v>
      </c>
      <c r="K3" s="0" t="n">
        <v>0.0143</v>
      </c>
      <c r="L3" s="0" t="n">
        <v>7482.417</v>
      </c>
      <c r="M3" s="0" t="n">
        <v>11.859</v>
      </c>
      <c r="N3" s="0" t="n">
        <v>7470.558</v>
      </c>
      <c r="O3" s="0" t="n">
        <v>1222.513</v>
      </c>
      <c r="P3" s="0" t="n">
        <v>4618.794</v>
      </c>
      <c r="Q3" s="0" t="n">
        <v>3304.627</v>
      </c>
      <c r="R3" s="0" t="n">
        <v>625.266</v>
      </c>
      <c r="S3" s="0" t="n">
        <v>609.762</v>
      </c>
      <c r="T3" s="0" t="n">
        <v>10168.233</v>
      </c>
      <c r="AA3" s="0" t="s">
        <v>17</v>
      </c>
      <c r="AB3" s="0" t="s">
        <v>14</v>
      </c>
      <c r="AD3" s="0" t="n">
        <v>182.91</v>
      </c>
    </row>
    <row r="4" customFormat="false" ht="15" hidden="false" customHeight="false" outlineLevel="0" collapsed="false">
      <c r="A4" s="0" t="s">
        <v>68</v>
      </c>
      <c r="B4" s="0" t="n">
        <v>15876.104</v>
      </c>
      <c r="C4" s="0" t="n">
        <v>-15248.552</v>
      </c>
      <c r="D4" s="0" t="n">
        <v>627.552</v>
      </c>
      <c r="E4" s="0" t="n">
        <v>4</v>
      </c>
      <c r="F4" s="0" t="n">
        <v>551.775</v>
      </c>
      <c r="G4" s="0" t="n">
        <v>3.5</v>
      </c>
      <c r="I4" s="0" t="n">
        <v>445.977</v>
      </c>
      <c r="J4" s="0" t="n">
        <v>2.8</v>
      </c>
      <c r="K4" s="0" t="n">
        <v>0.0377</v>
      </c>
      <c r="L4" s="0" t="n">
        <v>6179.275</v>
      </c>
      <c r="M4" s="0" t="n">
        <v>2.713</v>
      </c>
      <c r="N4" s="0" t="n">
        <v>6176.562</v>
      </c>
      <c r="O4" s="0" t="n">
        <v>1669.794</v>
      </c>
      <c r="P4" s="0" t="n">
        <v>4011.422</v>
      </c>
      <c r="Q4" s="0" t="n">
        <v>2169.993</v>
      </c>
      <c r="R4" s="0" t="n">
        <v>0</v>
      </c>
      <c r="S4" s="0" t="n">
        <v>304.706</v>
      </c>
      <c r="T4" s="0" t="n">
        <v>11841.345</v>
      </c>
      <c r="AA4" s="0" t="s">
        <v>17</v>
      </c>
      <c r="AB4" s="0" t="s">
        <v>14</v>
      </c>
      <c r="AD4" s="0" t="n">
        <v>500.341</v>
      </c>
    </row>
    <row r="5" customFormat="false" ht="15" hidden="false" customHeight="false" outlineLevel="0" collapsed="false">
      <c r="A5" s="0" t="s">
        <v>69</v>
      </c>
      <c r="B5" s="0" t="n">
        <v>34644.9</v>
      </c>
      <c r="C5" s="0" t="n">
        <v>-33175.881</v>
      </c>
      <c r="D5" s="0" t="n">
        <v>1469.019</v>
      </c>
      <c r="E5" s="0" t="n">
        <v>4.2</v>
      </c>
      <c r="F5" s="0" t="n">
        <v>1281.028</v>
      </c>
      <c r="G5" s="0" t="n">
        <v>3.7</v>
      </c>
      <c r="I5" s="0" t="n">
        <v>997.967</v>
      </c>
      <c r="J5" s="0" t="n">
        <v>2.9</v>
      </c>
      <c r="K5" s="0" t="n">
        <v>0.0771</v>
      </c>
      <c r="L5" s="0" t="n">
        <v>4857.803</v>
      </c>
      <c r="M5" s="0" t="n">
        <v>131.411</v>
      </c>
      <c r="N5" s="0" t="n">
        <v>4726.392</v>
      </c>
      <c r="O5" s="0" t="n">
        <v>3485.465</v>
      </c>
      <c r="P5" s="0" t="n">
        <v>9095.281</v>
      </c>
      <c r="Q5" s="0" t="n">
        <v>4765.965</v>
      </c>
      <c r="R5" s="0" t="n">
        <v>38.656</v>
      </c>
      <c r="S5" s="0" t="n">
        <v>880.252</v>
      </c>
      <c r="T5" s="0" t="n">
        <v>12948.851</v>
      </c>
      <c r="AA5" s="0" t="s">
        <v>17</v>
      </c>
      <c r="AB5" s="0" t="s">
        <v>14</v>
      </c>
      <c r="AD5" s="0" t="n">
        <v>1202.62</v>
      </c>
    </row>
    <row r="6" customFormat="false" ht="15" hidden="false" customHeight="false" outlineLevel="0" collapsed="false">
      <c r="A6" s="0" t="s">
        <v>70</v>
      </c>
      <c r="B6" s="0" t="n">
        <v>39090.928</v>
      </c>
      <c r="C6" s="0" t="n">
        <v>-37011.048</v>
      </c>
      <c r="D6" s="0" t="n">
        <v>2079.88</v>
      </c>
      <c r="E6" s="0" t="n">
        <v>5.3</v>
      </c>
      <c r="F6" s="0" t="n">
        <v>1686.359</v>
      </c>
      <c r="G6" s="0" t="n">
        <v>4.3</v>
      </c>
      <c r="I6" s="0" t="n">
        <v>1206.822</v>
      </c>
      <c r="J6" s="0" t="n">
        <v>3.1</v>
      </c>
      <c r="K6" s="0" t="n">
        <v>0.0896</v>
      </c>
      <c r="L6" s="0" t="n">
        <v>6646.315</v>
      </c>
      <c r="M6" s="0" t="n">
        <v>29.463</v>
      </c>
      <c r="N6" s="0" t="n">
        <v>6616.852</v>
      </c>
      <c r="O6" s="0" t="n">
        <v>4584.488</v>
      </c>
      <c r="P6" s="0" t="n">
        <v>13616.683</v>
      </c>
      <c r="Q6" s="0" t="n">
        <v>7707.73</v>
      </c>
      <c r="R6" s="0" t="n">
        <v>165.564</v>
      </c>
      <c r="S6" s="0" t="n">
        <v>2734.468</v>
      </c>
      <c r="T6" s="0" t="n">
        <v>13471.345</v>
      </c>
      <c r="AA6" s="0" t="s">
        <v>17</v>
      </c>
      <c r="AB6" s="0" t="s">
        <v>14</v>
      </c>
      <c r="AD6" s="0" t="n">
        <v>1569.174</v>
      </c>
      <c r="AE6" s="0" t="n">
        <v>93.843</v>
      </c>
    </row>
    <row r="7" customFormat="false" ht="15" hidden="false" customHeight="false" outlineLevel="0" collapsed="false">
      <c r="A7" s="0" t="s">
        <v>71</v>
      </c>
      <c r="B7" s="0" t="n">
        <v>55376.948</v>
      </c>
      <c r="C7" s="0" t="n">
        <v>-53596.299</v>
      </c>
      <c r="D7" s="0" t="n">
        <v>1780.649</v>
      </c>
      <c r="E7" s="0" t="n">
        <v>3.2</v>
      </c>
      <c r="F7" s="0" t="n">
        <v>1513.979</v>
      </c>
      <c r="G7" s="0" t="n">
        <v>2.7</v>
      </c>
      <c r="I7" s="0" t="n">
        <v>1200.955</v>
      </c>
      <c r="J7" s="0" t="n">
        <v>2.2</v>
      </c>
      <c r="K7" s="0" t="n">
        <v>0.0891</v>
      </c>
      <c r="L7" s="0" t="n">
        <v>3071.242</v>
      </c>
      <c r="M7" s="0" t="n">
        <v>14.284</v>
      </c>
      <c r="N7" s="0" t="n">
        <v>3056.958</v>
      </c>
      <c r="O7" s="0" t="n">
        <v>6198.499</v>
      </c>
      <c r="P7" s="0" t="n">
        <v>16331.129</v>
      </c>
      <c r="Q7" s="0" t="n">
        <v>9061.301</v>
      </c>
      <c r="R7" s="0" t="n">
        <v>4.337</v>
      </c>
      <c r="S7" s="0" t="n">
        <v>2689.687</v>
      </c>
      <c r="T7" s="0" t="n">
        <v>13471.345</v>
      </c>
      <c r="AA7" s="0" t="s">
        <v>17</v>
      </c>
      <c r="AB7" s="0" t="s">
        <v>14</v>
      </c>
      <c r="AD7" s="0" t="n">
        <v>1382.081</v>
      </c>
      <c r="AE7" s="0" t="n">
        <v>36.507</v>
      </c>
    </row>
    <row r="8" customFormat="false" ht="15" hidden="false" customHeight="false" outlineLevel="0" collapsed="false">
      <c r="A8" s="0" t="s">
        <v>72</v>
      </c>
      <c r="B8" s="0" t="n">
        <v>40913.965</v>
      </c>
      <c r="C8" s="0" t="n">
        <v>-39881.451</v>
      </c>
      <c r="D8" s="0" t="n">
        <v>1032.514</v>
      </c>
      <c r="E8" s="0" t="n">
        <v>2.5</v>
      </c>
      <c r="F8" s="0" t="n">
        <v>410.311</v>
      </c>
      <c r="G8" s="0" t="n">
        <v>1</v>
      </c>
      <c r="I8" s="0" t="n">
        <v>296.242</v>
      </c>
      <c r="J8" s="0" t="n">
        <v>0.7</v>
      </c>
      <c r="K8" s="0" t="n">
        <v>0.022</v>
      </c>
      <c r="L8" s="0" t="n">
        <v>4388.511</v>
      </c>
      <c r="M8" s="0" t="n">
        <v>11.882</v>
      </c>
      <c r="N8" s="0" t="n">
        <v>4376.629</v>
      </c>
      <c r="O8" s="0" t="n">
        <v>6115.522</v>
      </c>
      <c r="P8" s="0" t="n">
        <v>18976.792</v>
      </c>
      <c r="Q8" s="0" t="n">
        <v>11740.505</v>
      </c>
      <c r="R8" s="0" t="n">
        <v>142.93</v>
      </c>
      <c r="S8" s="0" t="n">
        <v>2165.073</v>
      </c>
      <c r="T8" s="0" t="n">
        <v>13471.345</v>
      </c>
      <c r="AA8" s="0" t="s">
        <v>17</v>
      </c>
      <c r="AB8" s="0" t="s">
        <v>14</v>
      </c>
      <c r="AD8" s="0" t="n">
        <v>371.921</v>
      </c>
      <c r="AE8" s="0" t="n">
        <v>45.718</v>
      </c>
    </row>
    <row r="9" customFormat="false" ht="15" hidden="false" customHeight="false" outlineLevel="0" collapsed="false">
      <c r="A9" s="0" t="s">
        <v>73</v>
      </c>
      <c r="B9" s="0" t="n">
        <v>21352.287</v>
      </c>
      <c r="C9" s="0" t="n">
        <v>-20536.265</v>
      </c>
      <c r="D9" s="0" t="n">
        <v>816.022</v>
      </c>
      <c r="E9" s="0" t="n">
        <v>3.8</v>
      </c>
      <c r="F9" s="0" t="n">
        <v>754.287</v>
      </c>
      <c r="G9" s="0" t="n">
        <v>3.5</v>
      </c>
      <c r="I9" s="0" t="n">
        <v>719.661</v>
      </c>
      <c r="J9" s="0" t="n">
        <v>3.4</v>
      </c>
      <c r="K9" s="0" t="n">
        <v>0.0518</v>
      </c>
      <c r="L9" s="0" t="n">
        <v>1563.193</v>
      </c>
      <c r="M9" s="0" t="n">
        <v>6.749</v>
      </c>
      <c r="N9" s="0" t="n">
        <v>1556.444</v>
      </c>
      <c r="O9" s="0" t="n">
        <v>7330.76</v>
      </c>
      <c r="P9" s="0" t="n">
        <v>22631.388</v>
      </c>
      <c r="Q9" s="0" t="n">
        <v>14230.305</v>
      </c>
      <c r="R9" s="0" t="n">
        <v>546.583</v>
      </c>
      <c r="S9" s="0" t="n">
        <v>1962.296</v>
      </c>
      <c r="T9" s="0" t="n">
        <v>13891.125</v>
      </c>
      <c r="AA9" s="0" t="s">
        <v>17</v>
      </c>
      <c r="AB9" s="0" t="s">
        <v>14</v>
      </c>
      <c r="AD9" s="0" t="n">
        <v>822.623</v>
      </c>
      <c r="AE9" s="0" t="n">
        <v>200.361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0.585</v>
      </c>
    </row>
    <row r="3" customFormat="false" ht="15" hidden="false" customHeight="false" outlineLevel="0" collapsed="false">
      <c r="A3" s="0" t="s">
        <v>77</v>
      </c>
      <c r="B3" s="3" t="n">
        <v>14801.345</v>
      </c>
    </row>
    <row r="4" customFormat="false" ht="15" hidden="false" customHeight="false" outlineLevel="0" collapsed="false">
      <c r="A4" s="0" t="s">
        <v>78</v>
      </c>
      <c r="B4" s="3" t="n">
        <v>-2246.8</v>
      </c>
    </row>
    <row r="5" customFormat="false" ht="15" hidden="false" customHeight="false" outlineLevel="0" collapsed="false">
      <c r="A5" s="0" t="s">
        <v>79</v>
      </c>
      <c r="B5" s="3" t="n">
        <v>2562.6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20504.744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31.7</v>
      </c>
      <c r="D13" s="3" t="n">
        <v>-30</v>
      </c>
      <c r="E13" s="3" t="n">
        <v>-5</v>
      </c>
      <c r="F13" s="3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2.2</v>
      </c>
      <c r="D14" s="3" t="n">
        <v>1</v>
      </c>
      <c r="E14" s="3" t="n">
        <v>1.4</v>
      </c>
      <c r="F14" s="3" t="n">
        <v>1.8</v>
      </c>
      <c r="G14" s="3" t="n">
        <v>1.8</v>
      </c>
      <c r="H14" s="3" t="n">
        <v>1.8</v>
      </c>
      <c r="I14" s="3" t="n">
        <v>1.8</v>
      </c>
      <c r="J14" s="3" t="n">
        <v>1.8</v>
      </c>
      <c r="K14" s="3" t="n">
        <v>1.8</v>
      </c>
      <c r="L14" s="3" t="n">
        <v>1.8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0.2</v>
      </c>
      <c r="D17" s="3" t="n">
        <v>0.2</v>
      </c>
      <c r="E17" s="3" t="n">
        <v>0.2</v>
      </c>
      <c r="F17" s="3" t="n">
        <v>0.2</v>
      </c>
      <c r="G17" s="3" t="n">
        <v>0.2</v>
      </c>
      <c r="H17" s="3" t="n">
        <v>0.2</v>
      </c>
      <c r="I17" s="3" t="n">
        <v>0.2</v>
      </c>
      <c r="J17" s="3" t="n">
        <v>0.2</v>
      </c>
      <c r="K17" s="3" t="n">
        <v>0.2</v>
      </c>
      <c r="L17" s="3" t="n">
        <v>0.2</v>
      </c>
    </row>
    <row r="18" customFormat="false" ht="15" hidden="false" customHeight="false" outlineLevel="0" collapsed="false">
      <c r="A18" s="0" t="s">
        <v>102</v>
      </c>
      <c r="C18" s="3" t="n">
        <v>2.9</v>
      </c>
      <c r="D18" s="3" t="n">
        <v>1.6</v>
      </c>
      <c r="E18" s="3" t="n">
        <v>0.3</v>
      </c>
      <c r="F18" s="3" t="n">
        <v>0.3</v>
      </c>
      <c r="G18" s="3" t="n">
        <v>0.3</v>
      </c>
      <c r="H18" s="3" t="n">
        <v>0.25</v>
      </c>
      <c r="I18" s="3" t="n">
        <v>0.25</v>
      </c>
      <c r="J18" s="3" t="n">
        <v>0.25</v>
      </c>
      <c r="K18" s="3" t="n">
        <v>0.25</v>
      </c>
      <c r="L18" s="3" t="n">
        <v>0.25</v>
      </c>
    </row>
    <row r="19" customFormat="false" ht="15" hidden="false" customHeight="false" outlineLevel="0" collapsed="false">
      <c r="A19" s="0" t="s">
        <v>103</v>
      </c>
      <c r="C19" s="3" t="n">
        <v>18</v>
      </c>
      <c r="D19" s="3" t="n">
        <v>18</v>
      </c>
      <c r="E19" s="3" t="n">
        <v>18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104</v>
      </c>
      <c r="B20" s="3" t="n">
        <v>11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-5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31.7</v>
      </c>
      <c r="D27" s="3" t="n">
        <v>-8</v>
      </c>
      <c r="E27" s="3" t="n">
        <v>3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2.4</v>
      </c>
      <c r="D28" s="3" t="n">
        <v>2.3</v>
      </c>
      <c r="E28" s="3" t="n">
        <v>2.25</v>
      </c>
      <c r="F28" s="3" t="n">
        <v>2.25</v>
      </c>
      <c r="G28" s="3" t="n">
        <v>2.25</v>
      </c>
      <c r="H28" s="3" t="n">
        <v>2.25</v>
      </c>
      <c r="I28" s="3" t="n">
        <v>2.25</v>
      </c>
      <c r="J28" s="3" t="n">
        <v>2.25</v>
      </c>
      <c r="K28" s="3" t="n">
        <v>2.25</v>
      </c>
      <c r="L28" s="3" t="n">
        <v>2.25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0.2</v>
      </c>
      <c r="D31" s="3" t="n">
        <v>0.2</v>
      </c>
      <c r="E31" s="3" t="n">
        <v>0.2</v>
      </c>
      <c r="F31" s="3" t="n">
        <v>0.2</v>
      </c>
      <c r="G31" s="3" t="n">
        <v>0.2</v>
      </c>
      <c r="H31" s="3" t="n">
        <v>0.2</v>
      </c>
      <c r="I31" s="3" t="n">
        <v>0.2</v>
      </c>
      <c r="J31" s="3" t="n">
        <v>0.2</v>
      </c>
      <c r="K31" s="3" t="n">
        <v>0.2</v>
      </c>
      <c r="L31" s="3" t="n">
        <v>0.2</v>
      </c>
    </row>
    <row r="32" customFormat="false" ht="15" hidden="false" customHeight="false" outlineLevel="0" collapsed="false">
      <c r="A32" s="0" t="s">
        <v>102</v>
      </c>
      <c r="C32" s="3" t="n">
        <v>0.9</v>
      </c>
      <c r="D32" s="3" t="n">
        <v>0.4</v>
      </c>
      <c r="E32" s="3" t="n">
        <v>0.3</v>
      </c>
      <c r="F32" s="3" t="n">
        <v>0.3</v>
      </c>
      <c r="G32" s="3" t="n">
        <v>0.3</v>
      </c>
      <c r="H32" s="3" t="n">
        <v>0.25</v>
      </c>
      <c r="I32" s="3" t="n">
        <v>0.25</v>
      </c>
      <c r="J32" s="3" t="n">
        <v>0.25</v>
      </c>
      <c r="K32" s="3" t="n">
        <v>0.25</v>
      </c>
      <c r="L32" s="3" t="n">
        <v>0.25</v>
      </c>
    </row>
    <row r="33" customFormat="false" ht="15" hidden="false" customHeight="false" outlineLevel="0" collapsed="false">
      <c r="A33" s="0" t="s">
        <v>103</v>
      </c>
      <c r="C33" s="3" t="n">
        <v>18</v>
      </c>
      <c r="D33" s="3" t="n">
        <v>18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104</v>
      </c>
      <c r="B34" s="3" t="n">
        <v>11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10</v>
      </c>
    </row>
    <row r="37" customFormat="false" ht="15" hidden="false" customHeight="false" outlineLevel="0" collapsed="false">
      <c r="A37" s="0" t="s">
        <v>107</v>
      </c>
      <c r="B37" s="3" t="n">
        <v>-5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31.7</v>
      </c>
      <c r="D41" s="3" t="n">
        <v>0</v>
      </c>
      <c r="E41" s="3" t="n">
        <v>6</v>
      </c>
      <c r="F41" s="3" t="n">
        <v>6</v>
      </c>
      <c r="G41" s="3" t="n">
        <v>5</v>
      </c>
      <c r="H41" s="3" t="n">
        <v>4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2.6</v>
      </c>
      <c r="D42" s="3" t="n">
        <v>2.7</v>
      </c>
      <c r="E42" s="3" t="n">
        <v>2.8</v>
      </c>
      <c r="F42" s="3" t="n">
        <v>2.8</v>
      </c>
      <c r="G42" s="3" t="n">
        <v>2.9</v>
      </c>
      <c r="H42" s="3" t="n">
        <v>2.9</v>
      </c>
      <c r="I42" s="3" t="n">
        <v>2.9</v>
      </c>
      <c r="J42" s="3" t="n">
        <v>2.9</v>
      </c>
      <c r="K42" s="3" t="n">
        <v>2.9</v>
      </c>
      <c r="L42" s="3" t="n">
        <v>2.9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0.2</v>
      </c>
      <c r="D45" s="3" t="n">
        <v>0.2</v>
      </c>
      <c r="E45" s="3" t="n">
        <v>0.2</v>
      </c>
      <c r="F45" s="3" t="n">
        <v>0.2</v>
      </c>
      <c r="G45" s="3" t="n">
        <v>0.2</v>
      </c>
      <c r="H45" s="3" t="n">
        <v>0.2</v>
      </c>
      <c r="I45" s="3" t="n">
        <v>0.2</v>
      </c>
      <c r="J45" s="3" t="n">
        <v>0.2</v>
      </c>
      <c r="K45" s="3" t="n">
        <v>0.2</v>
      </c>
      <c r="L45" s="3" t="n">
        <v>0.2</v>
      </c>
    </row>
    <row r="46" customFormat="false" ht="15" hidden="false" customHeight="false" outlineLevel="0" collapsed="false">
      <c r="A46" s="0" t="s">
        <v>102</v>
      </c>
      <c r="C46" s="3" t="n">
        <v>0.9</v>
      </c>
      <c r="D46" s="3" t="n">
        <v>0.5</v>
      </c>
      <c r="E46" s="3" t="n">
        <v>0.4</v>
      </c>
      <c r="F46" s="3" t="n">
        <v>0.4</v>
      </c>
      <c r="G46" s="3" t="n">
        <v>0.35</v>
      </c>
      <c r="H46" s="3" t="n">
        <v>0.3</v>
      </c>
      <c r="I46" s="3" t="n">
        <v>0.3</v>
      </c>
      <c r="J46" s="3" t="n">
        <v>0.3</v>
      </c>
      <c r="K46" s="3" t="n">
        <v>0.3</v>
      </c>
      <c r="L46" s="3" t="n">
        <v>0.3</v>
      </c>
    </row>
    <row r="47" customFormat="false" ht="15" hidden="false" customHeight="false" outlineLevel="0" collapsed="false">
      <c r="A47" s="0" t="s">
        <v>103</v>
      </c>
      <c r="C47" s="3" t="n">
        <v>18</v>
      </c>
      <c r="D47" s="3" t="n">
        <v>18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104</v>
      </c>
      <c r="B48" s="3" t="n">
        <v>11</v>
      </c>
    </row>
    <row r="49" customFormat="false" ht="15" hidden="false" customHeight="false" outlineLevel="0" collapsed="false">
      <c r="A49" s="0" t="s">
        <v>105</v>
      </c>
      <c r="B49" s="3" t="n">
        <v>2</v>
      </c>
    </row>
    <row r="50" customFormat="false" ht="15" hidden="false" customHeight="false" outlineLevel="0" collapsed="false">
      <c r="A50" s="0" t="s">
        <v>106</v>
      </c>
      <c r="B50" s="3" t="n">
        <v>10</v>
      </c>
    </row>
    <row r="51" customFormat="false" ht="15" hidden="false" customHeight="false" outlineLevel="0" collapsed="false">
      <c r="A51" s="0" t="s">
        <v>107</v>
      </c>
      <c r="B51" s="3" t="n">
        <v>-5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31.7</v>
      </c>
      <c r="D5" s="4" t="n">
        <f aca="false">Assumptions!D13</f>
        <v>-30</v>
      </c>
      <c r="E5" s="4" t="n">
        <f aca="false">Assumptions!E13</f>
        <v>-5</v>
      </c>
      <c r="F5" s="4" t="n">
        <f aca="false">Assumptions!F13</f>
        <v>0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20504.744</v>
      </c>
      <c r="C6" s="0" t="n">
        <f aca="false">B6*(1+C5/100)</f>
        <v>27004.747848</v>
      </c>
      <c r="D6" s="0" t="n">
        <f aca="false">C6*(1+D5/100)</f>
        <v>18903.3234936</v>
      </c>
      <c r="E6" s="0" t="n">
        <f aca="false">D6*(1+E5/100)</f>
        <v>17958.15731892</v>
      </c>
      <c r="F6" s="0" t="n">
        <f aca="false">E6*(1+F5/100)</f>
        <v>17958.15731892</v>
      </c>
      <c r="G6" s="0" t="n">
        <f aca="false">F6*(1+G5/100)</f>
        <v>18317.3204652984</v>
      </c>
      <c r="H6" s="0" t="n">
        <f aca="false">G6*(1+H5/100)</f>
        <v>18683.6668746044</v>
      </c>
      <c r="I6" s="0" t="n">
        <f aca="false">H6*(1+I5/100)</f>
        <v>19057.3402120965</v>
      </c>
      <c r="J6" s="0" t="n">
        <f aca="false">I6*(1+J5/100)</f>
        <v>19438.4870163384</v>
      </c>
      <c r="K6" s="0" t="n">
        <f aca="false">J6*(1+K5/100)</f>
        <v>19827.2567566651</v>
      </c>
      <c r="L6" s="0" t="n">
        <f aca="false">K6*(1+L5/100)</f>
        <v>20223.8018917985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2.2</v>
      </c>
      <c r="D7" s="4" t="n">
        <f aca="false">Assumptions!D14</f>
        <v>1</v>
      </c>
      <c r="E7" s="4" t="n">
        <f aca="false">Assumptions!E14</f>
        <v>1.4</v>
      </c>
      <c r="F7" s="4" t="n">
        <f aca="false">Assumptions!F14</f>
        <v>1.8</v>
      </c>
      <c r="G7" s="4" t="n">
        <f aca="false">Assumptions!G14</f>
        <v>1.8</v>
      </c>
      <c r="H7" s="4" t="n">
        <f aca="false">Assumptions!H14</f>
        <v>1.8</v>
      </c>
      <c r="I7" s="4" t="n">
        <f aca="false">Assumptions!I14</f>
        <v>1.8</v>
      </c>
      <c r="J7" s="4" t="n">
        <f aca="false">Assumptions!J14</f>
        <v>1.8</v>
      </c>
      <c r="K7" s="4" t="n">
        <f aca="false">Assumptions!K14</f>
        <v>1.8</v>
      </c>
      <c r="L7" s="4" t="n">
        <f aca="false">Assumptions!L14</f>
        <v>1.8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594.104452656</v>
      </c>
      <c r="D8" s="0" t="n">
        <f aca="false">D6*D7/100</f>
        <v>189.033234936</v>
      </c>
      <c r="E8" s="0" t="n">
        <f aca="false">E6*E7/100</f>
        <v>251.41420246488</v>
      </c>
      <c r="F8" s="0" t="n">
        <f aca="false">F6*F7/100</f>
        <v>323.24683174056</v>
      </c>
      <c r="G8" s="0" t="n">
        <f aca="false">G6*G7/100</f>
        <v>329.711768375371</v>
      </c>
      <c r="H8" s="0" t="n">
        <f aca="false">H6*H7/100</f>
        <v>336.306003742879</v>
      </c>
      <c r="I8" s="0" t="n">
        <f aca="false">I6*I7/100</f>
        <v>343.032123817736</v>
      </c>
      <c r="J8" s="0" t="n">
        <f aca="false">J6*J7/100</f>
        <v>349.892766294091</v>
      </c>
      <c r="K8" s="0" t="n">
        <f aca="false">K6*K7/100</f>
        <v>356.890621619973</v>
      </c>
      <c r="L8" s="0" t="n">
        <f aca="false">L6*L7/100</f>
        <v>364.028434052372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594.104452656</v>
      </c>
      <c r="D11" s="0" t="n">
        <f aca="false">D8+D10+D24</f>
        <v>189.033234936</v>
      </c>
      <c r="E11" s="0" t="n">
        <f aca="false">E8+E10+E24</f>
        <v>251.41420246488</v>
      </c>
      <c r="F11" s="0" t="n">
        <f aca="false">F8+F10+F24</f>
        <v>323.24683174056</v>
      </c>
      <c r="G11" s="0" t="n">
        <f aca="false">G8+G10+G24</f>
        <v>329.711768375371</v>
      </c>
      <c r="H11" s="0" t="n">
        <f aca="false">H8+H10+H24</f>
        <v>336.306003742879</v>
      </c>
      <c r="I11" s="0" t="n">
        <f aca="false">I8+I10+I24</f>
        <v>343.032123817736</v>
      </c>
      <c r="J11" s="0" t="n">
        <f aca="false">J8+J10+J24</f>
        <v>349.892766294091</v>
      </c>
      <c r="K11" s="0" t="n">
        <f aca="false">K8+K10+K24</f>
        <v>356.890621619973</v>
      </c>
      <c r="L11" s="0" t="n">
        <f aca="false">L8+L10+L24</f>
        <v>364.028434052372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-54.009495696</v>
      </c>
      <c r="D12" s="4" t="n">
        <f aca="false">-D6*Assumptions!D17/100</f>
        <v>-37.8066469872</v>
      </c>
      <c r="E12" s="4" t="n">
        <f aca="false">-E6*Assumptions!E17/100</f>
        <v>-35.91631463784</v>
      </c>
      <c r="F12" s="4" t="n">
        <f aca="false">-F6*Assumptions!F17/100</f>
        <v>-35.91631463784</v>
      </c>
      <c r="G12" s="4" t="n">
        <f aca="false">-G6*Assumptions!G17/100</f>
        <v>-36.6346409305968</v>
      </c>
      <c r="H12" s="4" t="n">
        <f aca="false">-H6*Assumptions!H17/100</f>
        <v>-37.3673337492087</v>
      </c>
      <c r="I12" s="4" t="n">
        <f aca="false">-I6*Assumptions!I17/100</f>
        <v>-38.1146804241929</v>
      </c>
      <c r="J12" s="4" t="n">
        <f aca="false">-J6*Assumptions!J17/100</f>
        <v>-38.8769740326768</v>
      </c>
      <c r="K12" s="4" t="n">
        <f aca="false">-K6*Assumptions!K17/100</f>
        <v>-39.6545135133303</v>
      </c>
      <c r="L12" s="4" t="n">
        <f aca="false">-L6*Assumptions!L17/100</f>
        <v>-40.4476037835969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540.09495696</v>
      </c>
      <c r="D13" s="0" t="n">
        <f aca="false">D11+D12</f>
        <v>151.2265879488</v>
      </c>
      <c r="E13" s="0" t="n">
        <f aca="false">E11+E12</f>
        <v>215.49788782704</v>
      </c>
      <c r="F13" s="0" t="n">
        <f aca="false">F11+F12</f>
        <v>287.33051710272</v>
      </c>
      <c r="G13" s="0" t="n">
        <f aca="false">G11+G12</f>
        <v>293.077127444774</v>
      </c>
      <c r="H13" s="0" t="n">
        <f aca="false">H11+H12</f>
        <v>298.93866999367</v>
      </c>
      <c r="I13" s="0" t="n">
        <f aca="false">I11+I12</f>
        <v>304.917443393543</v>
      </c>
      <c r="J13" s="0" t="n">
        <f aca="false">J11+J12</f>
        <v>311.015792261414</v>
      </c>
      <c r="K13" s="0" t="n">
        <f aca="false">K11+K12</f>
        <v>317.236108106642</v>
      </c>
      <c r="L13" s="0" t="n">
        <f aca="false">L11+L12</f>
        <v>323.580830268775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18</v>
      </c>
      <c r="D14" s="4" t="n">
        <f aca="false">Assumptions!D19</f>
        <v>18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442.8778647072</v>
      </c>
      <c r="D15" s="0" t="n">
        <f aca="false">D13-MAX(0,D13)*D14/100</f>
        <v>124.005802118016</v>
      </c>
      <c r="E15" s="0" t="n">
        <f aca="false">E13-MAX(0,E13)*E14/100</f>
        <v>176.708268018173</v>
      </c>
      <c r="F15" s="0" t="n">
        <f aca="false">F13-MAX(0,F13)*F14/100</f>
        <v>235.61102402423</v>
      </c>
      <c r="G15" s="0" t="n">
        <f aca="false">G13-MAX(0,G13)*G14/100</f>
        <v>240.323244504715</v>
      </c>
      <c r="H15" s="0" t="n">
        <f aca="false">H13-MAX(0,H13)*H14/100</f>
        <v>245.129709394809</v>
      </c>
      <c r="I15" s="0" t="n">
        <f aca="false">I13-MAX(0,I13)*I14/100</f>
        <v>250.032303582705</v>
      </c>
      <c r="J15" s="0" t="n">
        <f aca="false">J13-MAX(0,J13)*J14/100</f>
        <v>255.03294965436</v>
      </c>
      <c r="K15" s="0" t="n">
        <f aca="false">K13-MAX(0,K13)*K14/100</f>
        <v>260.133608647447</v>
      </c>
      <c r="L15" s="0" t="n">
        <f aca="false">L13-MAX(0,L13)*L14/100</f>
        <v>265.336280820396</v>
      </c>
    </row>
    <row r="16" customFormat="false" ht="15" hidden="false" customHeight="false" outlineLevel="0" collapsed="false">
      <c r="A16" s="0" t="s">
        <v>119</v>
      </c>
      <c r="C16" s="0" t="n">
        <f aca="false">-C12</f>
        <v>54.009495696</v>
      </c>
      <c r="D16" s="0" t="n">
        <f aca="false">-D12</f>
        <v>37.8066469872</v>
      </c>
      <c r="E16" s="0" t="n">
        <f aca="false">-E12</f>
        <v>35.91631463784</v>
      </c>
      <c r="F16" s="0" t="n">
        <f aca="false">-F12</f>
        <v>35.91631463784</v>
      </c>
      <c r="G16" s="0" t="n">
        <f aca="false">-G12</f>
        <v>36.6346409305968</v>
      </c>
      <c r="H16" s="0" t="n">
        <f aca="false">-H12</f>
        <v>37.3673337492087</v>
      </c>
      <c r="I16" s="0" t="n">
        <f aca="false">-I12</f>
        <v>38.1146804241929</v>
      </c>
      <c r="J16" s="0" t="n">
        <f aca="false">-J12</f>
        <v>38.8769740326768</v>
      </c>
      <c r="K16" s="0" t="n">
        <f aca="false">-K12</f>
        <v>39.6545135133303</v>
      </c>
      <c r="L16" s="0" t="n">
        <f aca="false">-L12</f>
        <v>40.4476037835969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-783.137687592</v>
      </c>
      <c r="D17" s="4" t="n">
        <f aca="false">-D6*Assumptions!D18/100</f>
        <v>-302.4531758976</v>
      </c>
      <c r="E17" s="4" t="n">
        <f aca="false">-E6*Assumptions!E18/100</f>
        <v>-53.87447195676</v>
      </c>
      <c r="F17" s="4" t="n">
        <f aca="false">-F6*Assumptions!F18/100</f>
        <v>-53.87447195676</v>
      </c>
      <c r="G17" s="4" t="n">
        <f aca="false">-G6*Assumptions!G18/100</f>
        <v>-54.9519613958952</v>
      </c>
      <c r="H17" s="4" t="n">
        <f aca="false">-H6*Assumptions!H18/100</f>
        <v>-46.7091671865109</v>
      </c>
      <c r="I17" s="4" t="n">
        <f aca="false">-I6*Assumptions!I18/100</f>
        <v>-47.6433505302411</v>
      </c>
      <c r="J17" s="4" t="n">
        <f aca="false">-J6*Assumptions!J18/100</f>
        <v>-48.596217540846</v>
      </c>
      <c r="K17" s="4" t="n">
        <f aca="false">-K6*Assumptions!K18/100</f>
        <v>-49.5681418916629</v>
      </c>
      <c r="L17" s="4" t="n">
        <f aca="false">-L6*Assumptions!L18/100</f>
        <v>-50.5595047294961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-325.0001924</v>
      </c>
      <c r="D18" s="4" t="n">
        <f aca="false">(D6-C6)*Assumptions!$B$23/100</f>
        <v>405.07121772</v>
      </c>
      <c r="E18" s="4" t="n">
        <f aca="false">(E6-D6)*Assumptions!$B$23/100</f>
        <v>47.2583087340001</v>
      </c>
      <c r="F18" s="4" t="n">
        <f aca="false">(F6-E6)*Assumptions!$B$23/100</f>
        <v>-0</v>
      </c>
      <c r="G18" s="4" t="n">
        <f aca="false">(G6-F6)*Assumptions!$B$23/100</f>
        <v>-17.95815731892</v>
      </c>
      <c r="H18" s="4" t="n">
        <f aca="false">(H6-G6)*Assumptions!$B$23/100</f>
        <v>-18.3173204652983</v>
      </c>
      <c r="I18" s="4" t="n">
        <f aca="false">(I6-H6)*Assumptions!$B$23/100</f>
        <v>-18.6836668746044</v>
      </c>
      <c r="J18" s="4" t="n">
        <f aca="false">(J6-I6)*Assumptions!$B$23/100</f>
        <v>-19.0573402120965</v>
      </c>
      <c r="K18" s="4" t="n">
        <f aca="false">(K6-J6)*Assumptions!$B$23/100</f>
        <v>-19.4384870163383</v>
      </c>
      <c r="L18" s="4" t="n">
        <f aca="false">(L6-K6)*Assumptions!$B$23/100</f>
        <v>-19.8272567566652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-611.2505195888</v>
      </c>
      <c r="D19" s="0" t="n">
        <f aca="false">D15+D16+D17+D18</f>
        <v>264.430490927616</v>
      </c>
      <c r="E19" s="0" t="n">
        <f aca="false">E15+E16+E17+E18</f>
        <v>206.008419433253</v>
      </c>
      <c r="F19" s="0" t="n">
        <f aca="false">F15+F16+F17+F18</f>
        <v>217.65286670531</v>
      </c>
      <c r="G19" s="0" t="n">
        <f aca="false">G15+G16+G17+G18</f>
        <v>204.047766720497</v>
      </c>
      <c r="H19" s="0" t="n">
        <f aca="false">H15+H16+H17+H18</f>
        <v>217.470555492209</v>
      </c>
      <c r="I19" s="0" t="n">
        <f aca="false">I15+I16+I17+I18</f>
        <v>221.819966602053</v>
      </c>
      <c r="J19" s="0" t="n">
        <f aca="false">J15+J16+J17+J18</f>
        <v>226.256365934094</v>
      </c>
      <c r="K19" s="0" t="n">
        <f aca="false">K15+K16+K17+K18</f>
        <v>230.781493252776</v>
      </c>
      <c r="L19" s="0" t="n">
        <f aca="false">L15+L16+L17+L18</f>
        <v>235.397123117831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-550.676143773694</v>
      </c>
      <c r="D21" s="0" t="n">
        <f aca="false">D19*D20</f>
        <v>214.617718470592</v>
      </c>
      <c r="E21" s="0" t="n">
        <f aca="false">E19*E20</f>
        <v>150.631580765026</v>
      </c>
      <c r="F21" s="0" t="n">
        <f aca="false">F19*F20</f>
        <v>143.374684910241</v>
      </c>
      <c r="G21" s="0" t="n">
        <f aca="false">G19*G20</f>
        <v>121.092418147662</v>
      </c>
      <c r="H21" s="0" t="n">
        <f aca="false">H19*H20</f>
        <v>116.268639613048</v>
      </c>
      <c r="I21" s="0" t="n">
        <f aca="false">I19*I20</f>
        <v>106.841452617396</v>
      </c>
      <c r="J21" s="0" t="n">
        <f aca="false">J19*J20</f>
        <v>98.1786321349043</v>
      </c>
      <c r="K21" s="0" t="n">
        <f aca="false">K19*K20</f>
        <v>90.2182025023444</v>
      </c>
      <c r="L21" s="0" t="n">
        <f aca="false">L19*L20</f>
        <v>82.9032131102624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573.450398497782</v>
      </c>
    </row>
    <row r="31" customFormat="false" ht="15" hidden="false" customHeight="false" outlineLevel="0" collapsed="false">
      <c r="A31" s="0" t="s">
        <v>128</v>
      </c>
      <c r="B31" s="0" t="n">
        <f aca="false">L19</f>
        <v>235.397123117831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2667.83406200209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2353.97123117831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2353.97123117831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829.032131102624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1402.48252960041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6211.88252960041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0.419683652370809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-0.282592047229387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0.419683652370809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1846.96204292452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0.383132274757997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31.7</v>
      </c>
      <c r="D5" s="4" t="n">
        <f aca="false">Assumptions!D27</f>
        <v>-8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20504.744</v>
      </c>
      <c r="C6" s="0" t="n">
        <f aca="false">B6*(1+C5/100)</f>
        <v>27004.747848</v>
      </c>
      <c r="D6" s="0" t="n">
        <f aca="false">C6*(1+D5/100)</f>
        <v>24844.36802016</v>
      </c>
      <c r="E6" s="0" t="n">
        <f aca="false">D6*(1+E5/100)</f>
        <v>25589.6990607648</v>
      </c>
      <c r="F6" s="0" t="n">
        <f aca="false">E6*(1+F5/100)</f>
        <v>26357.3900325877</v>
      </c>
      <c r="G6" s="0" t="n">
        <f aca="false">F6*(1+G5/100)</f>
        <v>27148.1117335654</v>
      </c>
      <c r="H6" s="0" t="n">
        <f aca="false">G6*(1+H5/100)</f>
        <v>27962.5550855723</v>
      </c>
      <c r="I6" s="0" t="n">
        <f aca="false">H6*(1+I5/100)</f>
        <v>28661.6189627116</v>
      </c>
      <c r="J6" s="0" t="n">
        <f aca="false">I6*(1+J5/100)</f>
        <v>29378.1594367794</v>
      </c>
      <c r="K6" s="0" t="n">
        <f aca="false">J6*(1+K5/100)</f>
        <v>30112.6134226989</v>
      </c>
      <c r="L6" s="0" t="n">
        <f aca="false">K6*(1+L5/100)</f>
        <v>30865.4287582664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2.4</v>
      </c>
      <c r="D7" s="4" t="n">
        <f aca="false">Assumptions!D28</f>
        <v>2.3</v>
      </c>
      <c r="E7" s="4" t="n">
        <f aca="false">Assumptions!E28</f>
        <v>2.25</v>
      </c>
      <c r="F7" s="4" t="n">
        <f aca="false">Assumptions!F28</f>
        <v>2.25</v>
      </c>
      <c r="G7" s="4" t="n">
        <f aca="false">Assumptions!G28</f>
        <v>2.25</v>
      </c>
      <c r="H7" s="4" t="n">
        <f aca="false">Assumptions!H28</f>
        <v>2.25</v>
      </c>
      <c r="I7" s="4" t="n">
        <f aca="false">Assumptions!I28</f>
        <v>2.25</v>
      </c>
      <c r="J7" s="4" t="n">
        <f aca="false">Assumptions!J28</f>
        <v>2.25</v>
      </c>
      <c r="K7" s="4" t="n">
        <f aca="false">Assumptions!K28</f>
        <v>2.25</v>
      </c>
      <c r="L7" s="4" t="n">
        <f aca="false">Assumptions!L28</f>
        <v>2.25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648.113948352</v>
      </c>
      <c r="D8" s="0" t="n">
        <f aca="false">D6*D7/100</f>
        <v>571.42046446368</v>
      </c>
      <c r="E8" s="0" t="n">
        <f aca="false">E6*E7/100</f>
        <v>575.768228867208</v>
      </c>
      <c r="F8" s="0" t="n">
        <f aca="false">F6*F7/100</f>
        <v>593.041275733224</v>
      </c>
      <c r="G8" s="0" t="n">
        <f aca="false">G6*G7/100</f>
        <v>610.832514005221</v>
      </c>
      <c r="H8" s="0" t="n">
        <f aca="false">H6*H7/100</f>
        <v>629.157489425378</v>
      </c>
      <c r="I8" s="0" t="n">
        <f aca="false">I6*I7/100</f>
        <v>644.886426661012</v>
      </c>
      <c r="J8" s="0" t="n">
        <f aca="false">J6*J7/100</f>
        <v>661.008587327537</v>
      </c>
      <c r="K8" s="0" t="n">
        <f aca="false">K6*K7/100</f>
        <v>677.533802010726</v>
      </c>
      <c r="L8" s="0" t="n">
        <f aca="false">L6*L7/100</f>
        <v>694.472147060994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648.113948352</v>
      </c>
      <c r="D11" s="0" t="n">
        <f aca="false">D8+D10+D24</f>
        <v>571.42046446368</v>
      </c>
      <c r="E11" s="0" t="n">
        <f aca="false">E8+E10+E24</f>
        <v>575.768228867208</v>
      </c>
      <c r="F11" s="0" t="n">
        <f aca="false">F8+F10+F24</f>
        <v>593.041275733224</v>
      </c>
      <c r="G11" s="0" t="n">
        <f aca="false">G8+G10+G24</f>
        <v>610.832514005221</v>
      </c>
      <c r="H11" s="0" t="n">
        <f aca="false">H8+H10+H24</f>
        <v>629.157489425378</v>
      </c>
      <c r="I11" s="0" t="n">
        <f aca="false">I8+I10+I24</f>
        <v>644.886426661012</v>
      </c>
      <c r="J11" s="0" t="n">
        <f aca="false">J8+J10+J24</f>
        <v>661.008587327537</v>
      </c>
      <c r="K11" s="0" t="n">
        <f aca="false">K8+K10+K24</f>
        <v>677.533802010726</v>
      </c>
      <c r="L11" s="0" t="n">
        <f aca="false">L8+L10+L24</f>
        <v>694.472147060994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-54.009495696</v>
      </c>
      <c r="D12" s="4" t="n">
        <f aca="false">-D6*Assumptions!D31/100</f>
        <v>-49.68873604032</v>
      </c>
      <c r="E12" s="4" t="n">
        <f aca="false">-E6*Assumptions!E31/100</f>
        <v>-51.1793981215296</v>
      </c>
      <c r="F12" s="4" t="n">
        <f aca="false">-F6*Assumptions!F31/100</f>
        <v>-52.7147800651755</v>
      </c>
      <c r="G12" s="4" t="n">
        <f aca="false">-G6*Assumptions!G31/100</f>
        <v>-54.2962234671308</v>
      </c>
      <c r="H12" s="4" t="n">
        <f aca="false">-H6*Assumptions!H31/100</f>
        <v>-55.9251101711447</v>
      </c>
      <c r="I12" s="4" t="n">
        <f aca="false">-I6*Assumptions!I31/100</f>
        <v>-57.3232379254233</v>
      </c>
      <c r="J12" s="4" t="n">
        <f aca="false">-J6*Assumptions!J31/100</f>
        <v>-58.7563188735589</v>
      </c>
      <c r="K12" s="4" t="n">
        <f aca="false">-K6*Assumptions!K31/100</f>
        <v>-60.2252268453978</v>
      </c>
      <c r="L12" s="4" t="n">
        <f aca="false">-L6*Assumptions!L31/100</f>
        <v>-61.7308575165328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594.104452656</v>
      </c>
      <c r="D13" s="0" t="n">
        <f aca="false">D11+D12</f>
        <v>521.73172842336</v>
      </c>
      <c r="E13" s="0" t="n">
        <f aca="false">E11+E12</f>
        <v>524.588830745678</v>
      </c>
      <c r="F13" s="0" t="n">
        <f aca="false">F11+F12</f>
        <v>540.326495668049</v>
      </c>
      <c r="G13" s="0" t="n">
        <f aca="false">G11+G12</f>
        <v>556.53629053809</v>
      </c>
      <c r="H13" s="0" t="n">
        <f aca="false">H11+H12</f>
        <v>573.232379254233</v>
      </c>
      <c r="I13" s="0" t="n">
        <f aca="false">I11+I12</f>
        <v>587.563188735589</v>
      </c>
      <c r="J13" s="0" t="n">
        <f aca="false">J11+J12</f>
        <v>602.252268453978</v>
      </c>
      <c r="K13" s="0" t="n">
        <f aca="false">K11+K12</f>
        <v>617.308575165328</v>
      </c>
      <c r="L13" s="0" t="n">
        <f aca="false">L11+L12</f>
        <v>632.741289544461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487.16565117792</v>
      </c>
      <c r="D15" s="0" t="n">
        <f aca="false">D13-MAX(0,D13)*D14/100</f>
        <v>427.820017307155</v>
      </c>
      <c r="E15" s="0" t="n">
        <f aca="false">E13-MAX(0,E13)*E14/100</f>
        <v>430.162841211456</v>
      </c>
      <c r="F15" s="0" t="n">
        <f aca="false">F13-MAX(0,F13)*F14/100</f>
        <v>443.0677264478</v>
      </c>
      <c r="G15" s="0" t="n">
        <f aca="false">G13-MAX(0,G13)*G14/100</f>
        <v>456.359758241234</v>
      </c>
      <c r="H15" s="0" t="n">
        <f aca="false">H13-MAX(0,H13)*H14/100</f>
        <v>470.050550988471</v>
      </c>
      <c r="I15" s="0" t="n">
        <f aca="false">I13-MAX(0,I13)*I14/100</f>
        <v>481.801814763183</v>
      </c>
      <c r="J15" s="0" t="n">
        <f aca="false">J13-MAX(0,J13)*J14/100</f>
        <v>493.846860132262</v>
      </c>
      <c r="K15" s="0" t="n">
        <f aca="false">K13-MAX(0,K13)*K14/100</f>
        <v>506.193031635569</v>
      </c>
      <c r="L15" s="0" t="n">
        <f aca="false">L13-MAX(0,L13)*L14/100</f>
        <v>518.847857426458</v>
      </c>
    </row>
    <row r="16" customFormat="false" ht="15" hidden="false" customHeight="false" outlineLevel="0" collapsed="false">
      <c r="A16" s="0" t="s">
        <v>119</v>
      </c>
      <c r="C16" s="0" t="n">
        <f aca="false">-C12</f>
        <v>54.009495696</v>
      </c>
      <c r="D16" s="0" t="n">
        <f aca="false">-D12</f>
        <v>49.68873604032</v>
      </c>
      <c r="E16" s="0" t="n">
        <f aca="false">-E12</f>
        <v>51.1793981215296</v>
      </c>
      <c r="F16" s="0" t="n">
        <f aca="false">-F12</f>
        <v>52.7147800651755</v>
      </c>
      <c r="G16" s="0" t="n">
        <f aca="false">-G12</f>
        <v>54.2962234671308</v>
      </c>
      <c r="H16" s="0" t="n">
        <f aca="false">-H12</f>
        <v>55.9251101711447</v>
      </c>
      <c r="I16" s="0" t="n">
        <f aca="false">-I12</f>
        <v>57.3232379254233</v>
      </c>
      <c r="J16" s="0" t="n">
        <f aca="false">-J12</f>
        <v>58.7563188735589</v>
      </c>
      <c r="K16" s="0" t="n">
        <f aca="false">-K12</f>
        <v>60.2252268453978</v>
      </c>
      <c r="L16" s="0" t="n">
        <f aca="false">-L12</f>
        <v>61.7308575165328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-243.042730632</v>
      </c>
      <c r="D17" s="4" t="n">
        <f aca="false">-D6*Assumptions!D32/100</f>
        <v>-99.37747208064</v>
      </c>
      <c r="E17" s="4" t="n">
        <f aca="false">-E6*Assumptions!E32/100</f>
        <v>-76.7690971822944</v>
      </c>
      <c r="F17" s="4" t="n">
        <f aca="false">-F6*Assumptions!F32/100</f>
        <v>-79.0721700977632</v>
      </c>
      <c r="G17" s="4" t="n">
        <f aca="false">-G6*Assumptions!G32/100</f>
        <v>-81.4443352006961</v>
      </c>
      <c r="H17" s="4" t="n">
        <f aca="false">-H6*Assumptions!H32/100</f>
        <v>-69.9063877139308</v>
      </c>
      <c r="I17" s="4" t="n">
        <f aca="false">-I6*Assumptions!I32/100</f>
        <v>-71.6540474067791</v>
      </c>
      <c r="J17" s="4" t="n">
        <f aca="false">-J6*Assumptions!J32/100</f>
        <v>-73.4453985919486</v>
      </c>
      <c r="K17" s="4" t="n">
        <f aca="false">-K6*Assumptions!K32/100</f>
        <v>-75.2815335567473</v>
      </c>
      <c r="L17" s="4" t="n">
        <f aca="false">-L6*Assumptions!L32/100</f>
        <v>-77.163571895666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-325.0001924</v>
      </c>
      <c r="D18" s="4" t="n">
        <f aca="false">(D6-C6)*Assumptions!$B$37/100</f>
        <v>108.018991392</v>
      </c>
      <c r="E18" s="4" t="n">
        <f aca="false">(E6-D6)*Assumptions!$B$37/100</f>
        <v>-37.26655203024</v>
      </c>
      <c r="F18" s="4" t="n">
        <f aca="false">(F6-E6)*Assumptions!$B$37/100</f>
        <v>-38.3845485911472</v>
      </c>
      <c r="G18" s="4" t="n">
        <f aca="false">(G6-F6)*Assumptions!$B$37/100</f>
        <v>-39.5360850488816</v>
      </c>
      <c r="H18" s="4" t="n">
        <f aca="false">(H6-G6)*Assumptions!$B$37/100</f>
        <v>-40.7221676003481</v>
      </c>
      <c r="I18" s="4" t="n">
        <f aca="false">(I6-H6)*Assumptions!$B$37/100</f>
        <v>-34.9531938569653</v>
      </c>
      <c r="J18" s="4" t="n">
        <f aca="false">(J6-I6)*Assumptions!$B$37/100</f>
        <v>-35.8270237033894</v>
      </c>
      <c r="K18" s="4" t="n">
        <f aca="false">(K6-J6)*Assumptions!$B$37/100</f>
        <v>-36.7226992959742</v>
      </c>
      <c r="L18" s="4" t="n">
        <f aca="false">(L6-K6)*Assumptions!$B$37/100</f>
        <v>-37.6407667783735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-26.86777615808</v>
      </c>
      <c r="D19" s="0" t="n">
        <f aca="false">D15+D16+D17+D18</f>
        <v>486.150272658835</v>
      </c>
      <c r="E19" s="0" t="n">
        <f aca="false">E15+E16+E17+E18</f>
        <v>367.306590120451</v>
      </c>
      <c r="F19" s="0" t="n">
        <f aca="false">F15+F16+F17+F18</f>
        <v>378.325787824065</v>
      </c>
      <c r="G19" s="0" t="n">
        <f aca="false">G15+G16+G17+G18</f>
        <v>389.675561458787</v>
      </c>
      <c r="H19" s="0" t="n">
        <f aca="false">H15+H16+H17+H18</f>
        <v>415.347105845337</v>
      </c>
      <c r="I19" s="0" t="n">
        <f aca="false">I15+I16+I17+I18</f>
        <v>432.517811424862</v>
      </c>
      <c r="J19" s="0" t="n">
        <f aca="false">J15+J16+J17+J18</f>
        <v>443.330756710483</v>
      </c>
      <c r="K19" s="0" t="n">
        <f aca="false">K15+K16+K17+K18</f>
        <v>454.414025628245</v>
      </c>
      <c r="L19" s="0" t="n">
        <f aca="false">L15+L16+L17+L18</f>
        <v>465.774376268951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-24.205203746018</v>
      </c>
      <c r="D21" s="0" t="n">
        <f aca="false">D19*D20</f>
        <v>394.570467217624</v>
      </c>
      <c r="E21" s="0" t="n">
        <f aca="false">E19*E20</f>
        <v>268.571412991115</v>
      </c>
      <c r="F21" s="0" t="n">
        <f aca="false">F19*F20</f>
        <v>249.214914757521</v>
      </c>
      <c r="G21" s="0" t="n">
        <f aca="false">G19*G20</f>
        <v>231.253479459682</v>
      </c>
      <c r="H21" s="0" t="n">
        <f aca="false">H19*H20</f>
        <v>222.061523936211</v>
      </c>
      <c r="I21" s="0" t="n">
        <f aca="false">I19*I20</f>
        <v>208.325841732867</v>
      </c>
      <c r="J21" s="0" t="n">
        <f aca="false">J19*J20</f>
        <v>192.37296196053</v>
      </c>
      <c r="K21" s="0" t="n">
        <f aca="false">K19*K20</f>
        <v>177.641699107697</v>
      </c>
      <c r="L21" s="0" t="n">
        <f aca="false">L19*L20</f>
        <v>164.038505932783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2083.84560335001</v>
      </c>
    </row>
    <row r="31" customFormat="false" ht="15" hidden="false" customHeight="false" outlineLevel="0" collapsed="false">
      <c r="A31" s="0" t="s">
        <v>128</v>
      </c>
      <c r="B31" s="0" t="n">
        <f aca="false">L19</f>
        <v>465.774376268951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5278.77626438145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4657.74376268951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4657.74376268951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1640.38505932783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3724.23066267784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8533.63066267784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0.576544270988741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-0.0144542376260842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0.576544270988741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3654.53741380254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0.502652617748139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31.7</v>
      </c>
      <c r="D5" s="4" t="n">
        <f aca="false">Assumptions!D41</f>
        <v>0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20504.744</v>
      </c>
      <c r="C6" s="0" t="n">
        <f aca="false">B6*(1+C5/100)</f>
        <v>27004.747848</v>
      </c>
      <c r="D6" s="0" t="n">
        <f aca="false">C6*(1+D5/100)</f>
        <v>27004.747848</v>
      </c>
      <c r="E6" s="0" t="n">
        <f aca="false">D6*(1+E5/100)</f>
        <v>28625.03271888</v>
      </c>
      <c r="F6" s="0" t="n">
        <f aca="false">E6*(1+F5/100)</f>
        <v>30342.5346820128</v>
      </c>
      <c r="G6" s="0" t="n">
        <f aca="false">F6*(1+G5/100)</f>
        <v>31859.6614161134</v>
      </c>
      <c r="H6" s="0" t="n">
        <f aca="false">G6*(1+H5/100)</f>
        <v>33134.047872758</v>
      </c>
      <c r="I6" s="0" t="n">
        <f aca="false">H6*(1+I5/100)</f>
        <v>34128.0693089407</v>
      </c>
      <c r="J6" s="0" t="n">
        <f aca="false">I6*(1+J5/100)</f>
        <v>35151.9113882089</v>
      </c>
      <c r="K6" s="0" t="n">
        <f aca="false">J6*(1+K5/100)</f>
        <v>36030.7091729142</v>
      </c>
      <c r="L6" s="0" t="n">
        <f aca="false">K6*(1+L5/100)</f>
        <v>36931.476902237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2.6</v>
      </c>
      <c r="D7" s="4" t="n">
        <f aca="false">Assumptions!D42</f>
        <v>2.7</v>
      </c>
      <c r="E7" s="4" t="n">
        <f aca="false">Assumptions!E42</f>
        <v>2.8</v>
      </c>
      <c r="F7" s="4" t="n">
        <f aca="false">Assumptions!F42</f>
        <v>2.8</v>
      </c>
      <c r="G7" s="4" t="n">
        <f aca="false">Assumptions!G42</f>
        <v>2.9</v>
      </c>
      <c r="H7" s="4" t="n">
        <f aca="false">Assumptions!H42</f>
        <v>2.9</v>
      </c>
      <c r="I7" s="4" t="n">
        <f aca="false">Assumptions!I42</f>
        <v>2.9</v>
      </c>
      <c r="J7" s="4" t="n">
        <f aca="false">Assumptions!J42</f>
        <v>2.9</v>
      </c>
      <c r="K7" s="4" t="n">
        <f aca="false">Assumptions!K42</f>
        <v>2.9</v>
      </c>
      <c r="L7" s="4" t="n">
        <f aca="false">Assumptions!L42</f>
        <v>2.9</v>
      </c>
    </row>
    <row r="8" customFormat="false" ht="15" hidden="false" customHeight="false" outlineLevel="0" collapsed="false">
      <c r="A8" s="0" t="s">
        <v>43</v>
      </c>
      <c r="C8" s="0" t="n">
        <f aca="false">C6*C7/100</f>
        <v>702.123444048</v>
      </c>
      <c r="D8" s="0" t="n">
        <f aca="false">D6*D7/100</f>
        <v>729.128191896</v>
      </c>
      <c r="E8" s="0" t="n">
        <f aca="false">E6*E7/100</f>
        <v>801.50091612864</v>
      </c>
      <c r="F8" s="0" t="n">
        <f aca="false">F6*F7/100</f>
        <v>849.590971096358</v>
      </c>
      <c r="G8" s="0" t="n">
        <f aca="false">G6*G7/100</f>
        <v>923.93018106729</v>
      </c>
      <c r="H8" s="0" t="n">
        <f aca="false">H6*H7/100</f>
        <v>960.887388309982</v>
      </c>
      <c r="I8" s="0" t="n">
        <f aca="false">I6*I7/100</f>
        <v>989.714009959281</v>
      </c>
      <c r="J8" s="0" t="n">
        <f aca="false">J6*J7/100</f>
        <v>1019.40543025806</v>
      </c>
      <c r="K8" s="0" t="n">
        <f aca="false">K6*K7/100</f>
        <v>1044.89056601451</v>
      </c>
      <c r="L8" s="0" t="n">
        <f aca="false">L6*L7/100</f>
        <v>1071.01283016487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702.123444048</v>
      </c>
      <c r="D11" s="0" t="n">
        <f aca="false">D8+D10+D24</f>
        <v>729.128191896</v>
      </c>
      <c r="E11" s="0" t="n">
        <f aca="false">E8+E10+E24</f>
        <v>801.50091612864</v>
      </c>
      <c r="F11" s="0" t="n">
        <f aca="false">F8+F10+F24</f>
        <v>849.590971096358</v>
      </c>
      <c r="G11" s="0" t="n">
        <f aca="false">G8+G10+G24</f>
        <v>923.93018106729</v>
      </c>
      <c r="H11" s="0" t="n">
        <f aca="false">H8+H10+H24</f>
        <v>960.887388309982</v>
      </c>
      <c r="I11" s="0" t="n">
        <f aca="false">I8+I10+I24</f>
        <v>989.714009959281</v>
      </c>
      <c r="J11" s="0" t="n">
        <f aca="false">J8+J10+J24</f>
        <v>1019.40543025806</v>
      </c>
      <c r="K11" s="0" t="n">
        <f aca="false">K8+K10+K24</f>
        <v>1044.89056601451</v>
      </c>
      <c r="L11" s="0" t="n">
        <f aca="false">L8+L10+L24</f>
        <v>1071.01283016487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-54.009495696</v>
      </c>
      <c r="D12" s="4" t="n">
        <f aca="false">-D6*Assumptions!D45/100</f>
        <v>-54.009495696</v>
      </c>
      <c r="E12" s="4" t="n">
        <f aca="false">-E6*Assumptions!E45/100</f>
        <v>-57.25006543776</v>
      </c>
      <c r="F12" s="4" t="n">
        <f aca="false">-F6*Assumptions!F45/100</f>
        <v>-60.6850693640256</v>
      </c>
      <c r="G12" s="4" t="n">
        <f aca="false">-G6*Assumptions!G45/100</f>
        <v>-63.7193228322269</v>
      </c>
      <c r="H12" s="4" t="n">
        <f aca="false">-H6*Assumptions!H45/100</f>
        <v>-66.268095745516</v>
      </c>
      <c r="I12" s="4" t="n">
        <f aca="false">-I6*Assumptions!I45/100</f>
        <v>-68.2561386178815</v>
      </c>
      <c r="J12" s="4" t="n">
        <f aca="false">-J6*Assumptions!J45/100</f>
        <v>-70.3038227764179</v>
      </c>
      <c r="K12" s="4" t="n">
        <f aca="false">-K6*Assumptions!K45/100</f>
        <v>-72.0614183458283</v>
      </c>
      <c r="L12" s="4" t="n">
        <f aca="false">-L6*Assumptions!L45/100</f>
        <v>-73.862953804474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648.113948352</v>
      </c>
      <c r="D13" s="0" t="n">
        <f aca="false">D11+D12</f>
        <v>675.1186962</v>
      </c>
      <c r="E13" s="0" t="n">
        <f aca="false">E11+E12</f>
        <v>744.25085069088</v>
      </c>
      <c r="F13" s="0" t="n">
        <f aca="false">F11+F12</f>
        <v>788.905901732333</v>
      </c>
      <c r="G13" s="0" t="n">
        <f aca="false">G11+G12</f>
        <v>860.210858235063</v>
      </c>
      <c r="H13" s="0" t="n">
        <f aca="false">H11+H12</f>
        <v>894.619292564466</v>
      </c>
      <c r="I13" s="0" t="n">
        <f aca="false">I11+I12</f>
        <v>921.4578713414</v>
      </c>
      <c r="J13" s="0" t="n">
        <f aca="false">J11+J12</f>
        <v>949.101607481642</v>
      </c>
      <c r="K13" s="0" t="n">
        <f aca="false">K11+K12</f>
        <v>972.829147668683</v>
      </c>
      <c r="L13" s="0" t="n">
        <f aca="false">L11+L12</f>
        <v>997.149876360399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18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531.45343764864</v>
      </c>
      <c r="D15" s="0" t="n">
        <f aca="false">D13-MAX(0,D13)*D14/100</f>
        <v>553.597330884</v>
      </c>
      <c r="E15" s="0" t="n">
        <f aca="false">E13-MAX(0,E13)*E14/100</f>
        <v>610.285697566522</v>
      </c>
      <c r="F15" s="0" t="n">
        <f aca="false">F13-MAX(0,F13)*F14/100</f>
        <v>646.902839420513</v>
      </c>
      <c r="G15" s="0" t="n">
        <f aca="false">G13-MAX(0,G13)*G14/100</f>
        <v>705.372903752752</v>
      </c>
      <c r="H15" s="0" t="n">
        <f aca="false">H13-MAX(0,H13)*H14/100</f>
        <v>733.587819902862</v>
      </c>
      <c r="I15" s="0" t="n">
        <f aca="false">I13-MAX(0,I13)*I14/100</f>
        <v>755.595454499948</v>
      </c>
      <c r="J15" s="0" t="n">
        <f aca="false">J13-MAX(0,J13)*J14/100</f>
        <v>778.263318134946</v>
      </c>
      <c r="K15" s="0" t="n">
        <f aca="false">K13-MAX(0,K13)*K14/100</f>
        <v>797.71990108832</v>
      </c>
      <c r="L15" s="0" t="n">
        <f aca="false">L13-MAX(0,L13)*L14/100</f>
        <v>817.662898615527</v>
      </c>
    </row>
    <row r="16" customFormat="false" ht="15" hidden="false" customHeight="false" outlineLevel="0" collapsed="false">
      <c r="A16" s="0" t="s">
        <v>119</v>
      </c>
      <c r="C16" s="0" t="n">
        <f aca="false">-C12</f>
        <v>54.009495696</v>
      </c>
      <c r="D16" s="0" t="n">
        <f aca="false">-D12</f>
        <v>54.009495696</v>
      </c>
      <c r="E16" s="0" t="n">
        <f aca="false">-E12</f>
        <v>57.25006543776</v>
      </c>
      <c r="F16" s="0" t="n">
        <f aca="false">-F12</f>
        <v>60.6850693640256</v>
      </c>
      <c r="G16" s="0" t="n">
        <f aca="false">-G12</f>
        <v>63.7193228322269</v>
      </c>
      <c r="H16" s="0" t="n">
        <f aca="false">-H12</f>
        <v>66.268095745516</v>
      </c>
      <c r="I16" s="0" t="n">
        <f aca="false">-I12</f>
        <v>68.2561386178815</v>
      </c>
      <c r="J16" s="0" t="n">
        <f aca="false">-J12</f>
        <v>70.3038227764179</v>
      </c>
      <c r="K16" s="0" t="n">
        <f aca="false">-K12</f>
        <v>72.0614183458283</v>
      </c>
      <c r="L16" s="0" t="n">
        <f aca="false">-L12</f>
        <v>73.862953804474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-243.042730632</v>
      </c>
      <c r="D17" s="4" t="n">
        <f aca="false">-D6*Assumptions!D46/100</f>
        <v>-135.02373924</v>
      </c>
      <c r="E17" s="4" t="n">
        <f aca="false">-E6*Assumptions!E46/100</f>
        <v>-114.50013087552</v>
      </c>
      <c r="F17" s="4" t="n">
        <f aca="false">-F6*Assumptions!F46/100</f>
        <v>-121.370138728051</v>
      </c>
      <c r="G17" s="4" t="n">
        <f aca="false">-G6*Assumptions!G46/100</f>
        <v>-111.508814956397</v>
      </c>
      <c r="H17" s="4" t="n">
        <f aca="false">-H6*Assumptions!H46/100</f>
        <v>-99.402143618274</v>
      </c>
      <c r="I17" s="4" t="n">
        <f aca="false">-I6*Assumptions!I46/100</f>
        <v>-102.384207926822</v>
      </c>
      <c r="J17" s="4" t="n">
        <f aca="false">-J6*Assumptions!J46/100</f>
        <v>-105.455734164627</v>
      </c>
      <c r="K17" s="4" t="n">
        <f aca="false">-K6*Assumptions!K46/100</f>
        <v>-108.092127518742</v>
      </c>
      <c r="L17" s="4" t="n">
        <f aca="false">-L6*Assumptions!L46/100</f>
        <v>-110.794430706711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-325.0001924</v>
      </c>
      <c r="D18" s="4" t="n">
        <f aca="false">(D6-C6)*Assumptions!$B$51/100</f>
        <v>-0</v>
      </c>
      <c r="E18" s="4" t="n">
        <f aca="false">(E6-D6)*Assumptions!$B$51/100</f>
        <v>-81.0142435440001</v>
      </c>
      <c r="F18" s="4" t="n">
        <f aca="false">(F6-E6)*Assumptions!$B$51/100</f>
        <v>-85.8750981566402</v>
      </c>
      <c r="G18" s="4" t="n">
        <f aca="false">(G6-F6)*Assumptions!$B$51/100</f>
        <v>-75.8563367050321</v>
      </c>
      <c r="H18" s="4" t="n">
        <f aca="false">(H6-G6)*Assumptions!$B$51/100</f>
        <v>-63.7193228322269</v>
      </c>
      <c r="I18" s="4" t="n">
        <f aca="false">(I6-H6)*Assumptions!$B$51/100</f>
        <v>-49.7010718091369</v>
      </c>
      <c r="J18" s="4" t="n">
        <f aca="false">(J6-I6)*Assumptions!$B$51/100</f>
        <v>-51.1921039634111</v>
      </c>
      <c r="K18" s="4" t="n">
        <f aca="false">(K6-J6)*Assumptions!$B$51/100</f>
        <v>-43.9398892352609</v>
      </c>
      <c r="L18" s="4" t="n">
        <f aca="false">(L6-K6)*Assumptions!$B$51/100</f>
        <v>-45.0383864661424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17.42001031264</v>
      </c>
      <c r="D19" s="0" t="n">
        <f aca="false">D15+D16+D17+D18</f>
        <v>472.58308734</v>
      </c>
      <c r="E19" s="0" t="n">
        <f aca="false">E15+E16+E17+E18</f>
        <v>472.021388584762</v>
      </c>
      <c r="F19" s="0" t="n">
        <f aca="false">F15+F16+F17+F18</f>
        <v>500.342671899847</v>
      </c>
      <c r="G19" s="0" t="n">
        <f aca="false">G15+G16+G17+G18</f>
        <v>581.727074923549</v>
      </c>
      <c r="H19" s="0" t="n">
        <f aca="false">H15+H16+H17+H18</f>
        <v>636.734449197877</v>
      </c>
      <c r="I19" s="0" t="n">
        <f aca="false">I15+I16+I17+I18</f>
        <v>671.76631338187</v>
      </c>
      <c r="J19" s="0" t="n">
        <f aca="false">J15+J16+J17+J18</f>
        <v>691.919302783326</v>
      </c>
      <c r="K19" s="0" t="n">
        <f aca="false">K15+K16+K17+K18</f>
        <v>717.749302680145</v>
      </c>
      <c r="L19" s="0" t="n">
        <f aca="false">L15+L16+L17+L18</f>
        <v>735.693035247148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15.6937029843603</v>
      </c>
      <c r="D21" s="0" t="n">
        <f aca="false">D19*D20</f>
        <v>383.559035256879</v>
      </c>
      <c r="E21" s="0" t="n">
        <f aca="false">E19*E20</f>
        <v>345.137971122884</v>
      </c>
      <c r="F21" s="0" t="n">
        <f aca="false">F19*F20</f>
        <v>329.591215666899</v>
      </c>
      <c r="G21" s="0" t="n">
        <f aca="false">G19*G20</f>
        <v>345.226705181001</v>
      </c>
      <c r="H21" s="0" t="n">
        <f aca="false">H19*H20</f>
        <v>340.424238285689</v>
      </c>
      <c r="I21" s="0" t="n">
        <f aca="false">I19*I20</f>
        <v>323.561894993485</v>
      </c>
      <c r="J21" s="0" t="n">
        <f aca="false">J19*J20</f>
        <v>300.242118777738</v>
      </c>
      <c r="K21" s="0" t="n">
        <f aca="false">K19*K20</f>
        <v>280.58598210121</v>
      </c>
      <c r="L21" s="0" t="n">
        <f aca="false">L19*L20</f>
        <v>259.099668156522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2923.12253252667</v>
      </c>
    </row>
    <row r="31" customFormat="false" ht="15" hidden="false" customHeight="false" outlineLevel="0" collapsed="false">
      <c r="A31" s="0" t="s">
        <v>128</v>
      </c>
      <c r="B31" s="0" t="n">
        <f aca="false">L19</f>
        <v>735.693035247148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8337.85439946768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7356.93035247148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7356.93035247148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2590.99668156522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5514.11921409189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10323.5192140919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0.697471696936454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0.192259311002485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0.697471696936454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5772.36073809301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0.583343868496785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0.419683652370809</v>
      </c>
      <c r="C4" s="0" t="n">
        <f aca="false">B4/Assumptions!$B$2-1</f>
        <v>-0.282592047229387</v>
      </c>
      <c r="D4" s="4" t="n">
        <f aca="false">Assumptions!$B$24</f>
        <v>0.3</v>
      </c>
      <c r="E4" s="4" t="n">
        <f aca="false">DCF_Bear!$B$43</f>
        <v>0.419683652370809</v>
      </c>
      <c r="F4" s="4" t="n">
        <f aca="false">DCF_Bear!$B$47</f>
        <v>0.383132274757997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0.576544270988741</v>
      </c>
      <c r="C5" s="0" t="n">
        <f aca="false">B5/Assumptions!$B$2-1</f>
        <v>-0.0144542376260842</v>
      </c>
      <c r="D5" s="4" t="n">
        <f aca="false">Assumptions!$B$38</f>
        <v>0.5</v>
      </c>
      <c r="E5" s="4" t="n">
        <f aca="false">DCF_Base!$B$43</f>
        <v>0.576544270988741</v>
      </c>
      <c r="F5" s="4" t="n">
        <f aca="false">DCF_Base!$B$47</f>
        <v>0.502652617748139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0.697471696936454</v>
      </c>
      <c r="C6" s="0" t="n">
        <f aca="false">B6/Assumptions!$B$2-1</f>
        <v>0.192259311002485</v>
      </c>
      <c r="D6" s="4" t="n">
        <f aca="false">Assumptions!$B$52</f>
        <v>0.2</v>
      </c>
      <c r="E6" s="4" t="n">
        <f aca="false">DCF_Bull!$B$43</f>
        <v>0.697471696936454</v>
      </c>
      <c r="F6" s="4" t="n">
        <f aca="false">DCF_Bull!$B$47</f>
        <v>0.583343868496785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0.553671570592904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0.553671570592904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-0.0565830558602602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0.482934765000826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0.613393350381296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0.594158695188172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0.576544270988741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0.560394103223245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0.502652617748139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0.613393350381296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0.613393350381296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0.613393350381296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0.613393350381296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0.613393350381296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0.594158695188172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0.594158695188172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0.594158695188172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0.594158695188172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0.594158695188172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0.576544270988741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0.576544270988741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0.576544270988741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0.576544270988741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0.576544270988741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0.552104304061965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0.55701677763902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0.560394103223245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0.560394103223245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0.560394103223245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0.530890909535131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0.534686325131889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0.53882677851017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0.543361560781621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0.545568755692504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2026-10-11T12:51:05Z</dcterms:created>
  <dc:creator>openpyxl</dc:creator>
  <dc:description/>
  <dc:language>en-NZ</dc:language>
  <cp:lastModifiedBy/>
  <dcterms:modified xsi:type="dcterms:W3CDTF">2026-10-11T12:51:05Z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