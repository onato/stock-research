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<sst xmlns="http://schemas.openxmlformats.org/spreadsheetml/2006/main" count="358" uniqueCount="166">
  <si>
    <t xml:space="preserve">Ticker</t>
  </si>
  <si>
    <t xml:space="preserve">0390.HK</t>
  </si>
  <si>
    <t xml:space="preserve">Company</t>
  </si>
  <si>
    <t xml:space="preserve">China Railway Group Limited (CREC)</t>
  </si>
  <si>
    <t xml:space="preserve">Valuation date</t>
  </si>
  <si>
    <t xml:space="preserve">2026-10-11</t>
  </si>
  <si>
    <t xml:space="preserve">Current price</t>
  </si>
  <si>
    <t xml:space="preserve">Price as of</t>
  </si>
  <si>
    <t xml:space="preserve">2026-10-09T08:08:06Z HKEX regular close (Yahoo chart API); 52-week range 3.11-5.28 HKD; price sits ~3% above the 52-week low</t>
  </si>
  <si>
    <t xml:space="preserve">Balance sheet date</t>
  </si>
  <si>
    <t xml:space="preserve">2026-06-30</t>
  </si>
  <si>
    <t xml:space="preserve">Model</t>
  </si>
  <si>
    <t xml:space="preserve">Distributable earnings to ordinary shareholders capitalised at cost of equity (FCFE payout-capacity,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</si>
  <si>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</si>
  <si>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</si>
  <si>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</si>
  <si>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</si>
  <si>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</si>
  <si>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</si>
  <si>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</si>
  <si>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</si>
  <si>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</si>
  <si>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2026-10-10T22:34:48Z</t>
  </si>
  <si>
    <t xml:space="preserve">Drivers file</t>
  </si>
  <si>
    <t xml:space="preserve">0390.HK_Drivers.json</t>
  </si>
  <si>
    <t xml:space="preserve">Convention</t>
  </si>
  <si>
    <t xml:space="preserve">Percents stored as percents; formulas divide by 100. Blue = input, green = link, black = formula.</t>
  </si>
  <si>
    <t xml:space="preserve">Methodology</t>
  </si>
  <si>
    <t xml:space="preserve">summary: CREC is valued on what ordinary shareholders can actually be paid, not on enterprise free cash flow. The group's unlevered FCF has been negative 7 of 9 years because it funds its local-government customers through receivables and builds PPP concessions on its own balance sheet; ordinary equity is a thin geared claim behind RMB465bn net debt, RMB170bn NCI and RMB55bn perpetual notes. Earnings attributable to ordinary shareholders are already after all those claims, so they are capitalised at a 10.5% RMB cost of equity with net debt held at zero, after a payout-capacity haircut that charges the cash-conversion problem explicitly: only 30% of earnings is paid today, rising to 60% in the base case. Terminal value is the lower of Gordon (12x at 10.5%/2%) and a 10x cap on the distributable flow (~6x earnings), which binds in all three scenarios -- a deliberate no-re-rate stance for a stock whose P/E has sat ~3-7x for a decade and which trades at ~0.23x book.
fcf_normalization: Rejected for the headline (see inputs.fcf_normalization_note): normalising a series that is negative 7 of 9 years requires assuming the PPP taper and receivable reversal the model is trying to test, and the resulting equity value swings by more than the market cap per 1pp of margin.
terminal_value_approach: max(0, min(Gordon at CoE, 10x terminal distributable flow)); cap binds in every scenario. 10x a 60%-payout flow is ~6x earnings, inside CREC's own historical P/E range, so no multiple expansion is assumed.
key_risks_to_valuation: Receivables (RMB485.9bn, +35% YoY) are impaired at scale -- book value and future NI both overstated; this is the bear case and a plausible tail beyond it.; PPP/concession spend does not taper (it rose to RMB42.0bn in FY2025), keeping payout capacity near 30%.; Property segment losses widen with the China housing downturn.; Rising gearing (78.1%) or a funding-cost spike squeezes the post-interest margin -- 61% of borrowings are floating.; SASAC-directed capital allocation (strategic projects, NCI raises, perpetual issuance) dilutes ordinary-shareholder economics.; The H-share class persistently trades ~35-40% below the A-share class; the RMB value per share is the same for both, so an H-share holder may never see the gap close.</t>
  </si>
  <si>
    <t xml:space="preserve">Data sources</t>
  </si>
  <si>
    <t xml:space="preserve">price: Yahoo Finance chart API at inputs.price_as_of (0390.HK, 601390.SS, CNYHKD=X); 52-week range 3.11-5.28 HKD
financials: 0390.HK_Metrics.csv (core_metrics FY2017-FY2025, H1 FY2023-H1 FY2026); FY2025 annual report income statement and cash flow statement (pp.~120-127); H1 FY2026 interim report (share-change table, profit or loss, perpetual-note note)
qualitative: 0390.HK_Analysis.json (2026-10-11): FY2026 guidance, receivables/gearing disclosures, bull/bear cases</t>
  </si>
  <si>
    <t xml:space="preserve">Scenario narrative: bear</t>
  </si>
  <si>
    <t xml:space="preserve">The receivables build (+35% FY2025, 139 days) turns into impairments, property losses deepen, and price competition defeats the anti-involution campaign. Revenue falls through FY2029 (cumulative ~-18% from FY2025), margin ~1.2-1.3%, and only ~30% of earnings is distributable for three years. Equity survives -- central-SOE status makes a wipe-out remote -- but it compounds nothing.</t>
  </si>
  <si>
    <t xml:space="preserve">Scenario narrative: base</t>
  </si>
  <si>
    <t xml:space="preserve">Trough then nominal-GDP growth. FY2026 revenue on guidance (RMB1,011.8bn, -7.5%), a further -3% in FY2027, flat FY2028, then 2-3% on 15th Five-Year Plan rail/water spend and overseas contracts. Ordinary-shareholder NI margin 1.63% -&gt; 2.0% (below the 2.3-2.6% FY2019-24 band). Payout capacity 32% -&gt; 60% as the new PPP mechanism shrinks concession spend and the debt-swap programme stops receivable growth. The axes are local-government payment behaviour and PPP taper, not volume.</t>
  </si>
  <si>
    <t xml:space="preserve">Scenario narrative: bull</t>
  </si>
  <si>
    <t xml:space="preserve">Fiscal arrears are cleared by the special-bond and debt-swap programmes; receivable days normalise; overseas (+16.5% new contracts FY2025) and mining lift mix. Revenue flat in FY2027 and 3-4% thereafter; margin back to 2.4%; payout capacity 70% -- the level clean-surplus retention implies at ~6.6% ROE and 2.5%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</si>
  <si>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</si>
  <si>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</si>
  <si>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</si>
  <si>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</si>
  <si>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</si>
  <si>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</si>
  <si>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</si>
  <si>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</si>
  <si>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</si>
  <si>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</si>
  <si>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</si>
  <si>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</si>
  <si>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</si>
  <si>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</si>
  <si>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</si>
  <si>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</si>
  <si>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</si>
  <si>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</si>
  <si>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</si>
  <si>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</si>
  <si>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</si>
  <si>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</si>
  <si>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</si>
  <si>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</si>
  <si>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</si>
  <si>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</si>
  <si>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</si>
  <si>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</si>
  <si>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</si>
  <si>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</si>
  <si>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</si>
  <si>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</si>
  <si>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</si>
  <si>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</si>
  <si>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</si>
  <si>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</si>
  <si>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</si>
  <si>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</si>
  <si>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</si>
  <si>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</si>
  <si>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</si>
  <si>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</si>
  <si>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</si>
  <si>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</si>
  <si>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</si>
  <si>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</si>
  <si>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</si>
  <si>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</si>
  <si>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</si>
  <si>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</si>
  <si>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</si>
  <si>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</si>
  <si>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</si>
  <si>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</si>
  <si>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</si>
  <si>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</si>
  <si>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</si>
  <si>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</si>
  <si>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</si>
  <si>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</si>
  <si>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</si>
  <si>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</si>
  <si>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</si>
  <si>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</si>
  <si>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</si>
  <si>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</si>
  <si>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</si>
  <si>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</si>
  <si>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</si>
  <si>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</si>
  <si>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</si>
  <si>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</si>
  <si>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</si>
  <si>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</si>
  <si>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0390.HK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</si>
  <si>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</si>
  <si>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</si>
  <si>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</si>
  <si>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</si>
  <si>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</si>
  <si>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</si>
  <si>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</si>
  <si>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</si>
  <si>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</si>
  <si>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</si>
  <si>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</si>
  <si>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</si>
  <si>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</si>
  <si>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</si>
  <si>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</si>
  <si>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</si>
  <si>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</si>
  <si>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</si>
  <si>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</si>
  <si>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</si>
  <si>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</si>
  <si>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</si>
  <si>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</si>
  <si>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</si>
  <si>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</si>
  <si>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</si>
  <si>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</si>
  <si>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</si>
  <si>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</si>
  <si>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</si>
  <si>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0390.HK owner-FCF component DCF: base case (millions, CNY)</t>
  </si>
  <si>
    <t xml:space="preserve">0390.HK owner-FCF component DCF: bull case (millions, CNY)</t>
  </si>
  <si>
    <t xml:space="preserve">0390.HK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</si>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</sst>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3.215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46.2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688773</v>
      </c>
      <c r="C2" s="0" t="n">
        <v>626044</v>
      </c>
      <c r="D2" s="0" t="n">
        <v>62729</v>
      </c>
      <c r="E2" s="0" t="n">
        <v>9.1</v>
      </c>
      <c r="F2" s="0" t="n">
        <v>21994</v>
      </c>
      <c r="G2" s="0" t="n">
        <v>3.2</v>
      </c>
      <c r="I2" s="0" t="n">
        <v>16067</v>
      </c>
      <c r="J2" s="0" t="n">
        <v>2.3</v>
      </c>
      <c r="K2" s="0" t="n">
        <v>0.669</v>
      </c>
      <c r="L2" s="0" t="n">
        <v>33178</v>
      </c>
      <c r="M2" s="0" t="n">
        <v>14545</v>
      </c>
      <c r="N2" s="0" t="n">
        <v>18633</v>
      </c>
      <c r="O2" s="0" t="n">
        <v>155217</v>
      </c>
      <c r="P2" s="0" t="n">
        <v>843922</v>
      </c>
      <c r="Q2" s="0" t="n">
        <v>674364</v>
      </c>
      <c r="R2" s="0" t="n">
        <v>173934</v>
      </c>
      <c r="S2" s="0" t="n">
        <v>116688</v>
      </c>
      <c r="T2" s="0" t="n">
        <v>22844</v>
      </c>
      <c r="AA2" s="0" t="s">
        <v>18</v>
      </c>
      <c r="AB2" s="0" t="s">
        <v>14</v>
      </c>
    </row>
    <row r="3" customFormat="false" ht="15" hidden="false" customHeight="false" outlineLevel="0" collapsed="false">
      <c r="A3" s="0" t="s">
        <v>66</v>
      </c>
      <c r="B3" s="0" t="n">
        <v>740383</v>
      </c>
      <c r="C3" s="0" t="n">
        <v>668725</v>
      </c>
      <c r="D3" s="0" t="n">
        <v>71658</v>
      </c>
      <c r="E3" s="0" t="n">
        <v>9.7</v>
      </c>
      <c r="F3" s="0" t="n">
        <v>28713</v>
      </c>
      <c r="G3" s="0" t="n">
        <v>3.9</v>
      </c>
      <c r="I3" s="0" t="n">
        <v>17198</v>
      </c>
      <c r="J3" s="0" t="n">
        <v>2.3</v>
      </c>
      <c r="K3" s="0" t="n">
        <v>0.718</v>
      </c>
      <c r="L3" s="0" t="n">
        <v>11962</v>
      </c>
      <c r="M3" s="0" t="n">
        <v>18296</v>
      </c>
      <c r="N3" s="0" t="n">
        <v>-6334</v>
      </c>
      <c r="O3" s="0" t="n">
        <v>191619</v>
      </c>
      <c r="P3" s="0" t="n">
        <v>942513</v>
      </c>
      <c r="Q3" s="0" t="n">
        <v>720532</v>
      </c>
      <c r="R3" s="0" t="n">
        <v>190920</v>
      </c>
      <c r="S3" s="0" t="n">
        <v>117768</v>
      </c>
      <c r="T3" s="0" t="n">
        <v>22844</v>
      </c>
      <c r="U3" s="0" t="n">
        <v>0</v>
      </c>
      <c r="AA3" s="0" t="s">
        <v>18</v>
      </c>
      <c r="AB3" s="0" t="s">
        <v>14</v>
      </c>
      <c r="AC3" s="0" t="n">
        <v>15155</v>
      </c>
    </row>
    <row r="4" customFormat="false" ht="15" hidden="false" customHeight="false" outlineLevel="0" collapsed="false">
      <c r="A4" s="0" t="s">
        <v>67</v>
      </c>
      <c r="B4" s="0" t="n">
        <v>850843</v>
      </c>
      <c r="C4" s="0" t="n">
        <v>770979</v>
      </c>
      <c r="D4" s="0" t="n">
        <v>79864</v>
      </c>
      <c r="E4" s="0" t="n">
        <v>9.4</v>
      </c>
      <c r="F4" s="0" t="n">
        <v>37468</v>
      </c>
      <c r="G4" s="0" t="n">
        <v>4.4</v>
      </c>
      <c r="I4" s="0" t="n">
        <v>23678</v>
      </c>
      <c r="J4" s="0" t="n">
        <v>2.8</v>
      </c>
      <c r="K4" s="0" t="n">
        <v>0.95</v>
      </c>
      <c r="L4" s="0" t="n">
        <v>22198</v>
      </c>
      <c r="M4" s="0" t="n">
        <v>19146</v>
      </c>
      <c r="N4" s="0" t="n">
        <v>3052</v>
      </c>
      <c r="O4" s="0" t="n">
        <v>221310</v>
      </c>
      <c r="P4" s="0" t="n">
        <v>1056041</v>
      </c>
      <c r="Q4" s="0" t="n">
        <v>810713</v>
      </c>
      <c r="R4" s="0" t="n">
        <v>231245</v>
      </c>
      <c r="S4" s="0" t="n">
        <v>138186</v>
      </c>
      <c r="T4" s="0" t="n">
        <v>24571</v>
      </c>
      <c r="U4" s="0" t="n">
        <v>0</v>
      </c>
      <c r="AA4" s="0" t="s">
        <v>18</v>
      </c>
      <c r="AB4" s="0" t="s">
        <v>14</v>
      </c>
      <c r="AC4" s="0" t="n">
        <v>11747</v>
      </c>
    </row>
    <row r="5" customFormat="false" ht="15" hidden="false" customHeight="false" outlineLevel="0" collapsed="false">
      <c r="A5" s="0" t="s">
        <v>68</v>
      </c>
      <c r="B5" s="0" t="n">
        <v>974732</v>
      </c>
      <c r="C5" s="0" t="n">
        <v>884380</v>
      </c>
      <c r="D5" s="0" t="n">
        <v>90352</v>
      </c>
      <c r="E5" s="0" t="n">
        <v>9.3</v>
      </c>
      <c r="F5" s="0" t="n">
        <v>35849</v>
      </c>
      <c r="G5" s="0" t="n">
        <v>3.7</v>
      </c>
      <c r="I5" s="0" t="n">
        <v>25188</v>
      </c>
      <c r="J5" s="0" t="n">
        <v>2.6</v>
      </c>
      <c r="K5" s="0" t="n">
        <v>0.963</v>
      </c>
      <c r="L5" s="0" t="n">
        <v>30994</v>
      </c>
      <c r="M5" s="0" t="n">
        <v>43291</v>
      </c>
      <c r="N5" s="0" t="n">
        <v>-12297</v>
      </c>
      <c r="O5" s="0" t="n">
        <v>255197</v>
      </c>
      <c r="P5" s="0" t="n">
        <v>1199977</v>
      </c>
      <c r="Q5" s="0" t="n">
        <v>886931</v>
      </c>
      <c r="R5" s="0" t="n">
        <v>250055</v>
      </c>
      <c r="S5" s="0" t="n">
        <v>145464</v>
      </c>
      <c r="T5" s="0" t="n">
        <v>24571</v>
      </c>
      <c r="U5" s="0" t="n">
        <v>0</v>
      </c>
      <c r="AA5" s="0" t="s">
        <v>18</v>
      </c>
      <c r="AB5" s="0" t="s">
        <v>14</v>
      </c>
      <c r="AC5" s="0" t="n">
        <v>11373</v>
      </c>
    </row>
    <row r="6" customFormat="false" ht="15" hidden="false" customHeight="false" outlineLevel="0" collapsed="false">
      <c r="A6" s="0" t="s">
        <v>69</v>
      </c>
      <c r="B6" s="0" t="n">
        <v>1073272</v>
      </c>
      <c r="C6" s="0" t="n">
        <v>969886</v>
      </c>
      <c r="D6" s="0" t="n">
        <v>103386</v>
      </c>
      <c r="E6" s="0" t="n">
        <v>9.6</v>
      </c>
      <c r="F6" s="0" t="n">
        <v>37845</v>
      </c>
      <c r="G6" s="0" t="n">
        <v>3.5</v>
      </c>
      <c r="I6" s="0" t="n">
        <v>27618</v>
      </c>
      <c r="J6" s="0" t="n">
        <v>2.6</v>
      </c>
      <c r="K6" s="0" t="n">
        <v>1.037</v>
      </c>
      <c r="L6" s="0" t="n">
        <v>13069</v>
      </c>
      <c r="M6" s="0" t="n">
        <v>55973</v>
      </c>
      <c r="N6" s="0" t="n">
        <v>-42904</v>
      </c>
      <c r="O6" s="0" t="n">
        <v>275122</v>
      </c>
      <c r="P6" s="0" t="n">
        <v>1361580</v>
      </c>
      <c r="Q6" s="0" t="n">
        <v>1003386</v>
      </c>
      <c r="R6" s="0" t="n">
        <v>311927</v>
      </c>
      <c r="S6" s="0" t="n">
        <v>148116</v>
      </c>
      <c r="T6" s="0" t="n">
        <v>24571</v>
      </c>
      <c r="U6" s="0" t="n">
        <v>0</v>
      </c>
      <c r="AA6" s="0" t="s">
        <v>18</v>
      </c>
      <c r="AB6" s="0" t="s">
        <v>14</v>
      </c>
      <c r="AC6" s="0" t="n">
        <v>10556</v>
      </c>
    </row>
    <row r="7" customFormat="false" ht="15" hidden="false" customHeight="false" outlineLevel="0" collapsed="false">
      <c r="A7" s="0" t="s">
        <v>70</v>
      </c>
      <c r="B7" s="0" t="n">
        <v>1154349</v>
      </c>
      <c r="C7" s="0" t="n">
        <v>1045459</v>
      </c>
      <c r="D7" s="0" t="n">
        <v>108890</v>
      </c>
      <c r="E7" s="0" t="n">
        <v>9.4</v>
      </c>
      <c r="F7" s="0" t="n">
        <v>42700</v>
      </c>
      <c r="G7" s="0" t="n">
        <v>3.7</v>
      </c>
      <c r="I7" s="0" t="n">
        <v>31276</v>
      </c>
      <c r="J7" s="0" t="n">
        <v>2.7</v>
      </c>
      <c r="K7" s="0" t="n">
        <v>1.198</v>
      </c>
      <c r="L7" s="0" t="n">
        <v>43552</v>
      </c>
      <c r="M7" s="0" t="n">
        <v>62307</v>
      </c>
      <c r="N7" s="0" t="n">
        <v>-18755</v>
      </c>
      <c r="O7" s="0" t="n">
        <v>301082</v>
      </c>
      <c r="P7" s="0" t="n">
        <v>1613019</v>
      </c>
      <c r="Q7" s="0" t="n">
        <v>1190109</v>
      </c>
      <c r="R7" s="0" t="n">
        <v>392242</v>
      </c>
      <c r="S7" s="0" t="n">
        <v>204987</v>
      </c>
      <c r="T7" s="0" t="n">
        <v>24752</v>
      </c>
      <c r="U7" s="0" t="n">
        <v>143</v>
      </c>
      <c r="AA7" s="0" t="s">
        <v>18</v>
      </c>
      <c r="AB7" s="0" t="s">
        <v>14</v>
      </c>
      <c r="AC7" s="0" t="n">
        <v>23521</v>
      </c>
    </row>
    <row r="8" customFormat="false" ht="15" hidden="false" customHeight="false" outlineLevel="0" collapsed="false">
      <c r="A8" s="0" t="s">
        <v>71</v>
      </c>
      <c r="B8" s="0" t="n">
        <v>1263412</v>
      </c>
      <c r="C8" s="0" t="n">
        <v>1140726</v>
      </c>
      <c r="D8" s="0" t="n">
        <v>122686</v>
      </c>
      <c r="E8" s="0" t="n">
        <v>9.7</v>
      </c>
      <c r="F8" s="0" t="n">
        <v>47171</v>
      </c>
      <c r="G8" s="0" t="n">
        <v>3.7</v>
      </c>
      <c r="I8" s="0" t="n">
        <v>33483</v>
      </c>
      <c r="J8" s="0" t="n">
        <v>2.7</v>
      </c>
      <c r="K8" s="0" t="n">
        <v>1.294</v>
      </c>
      <c r="L8" s="0" t="n">
        <v>38364</v>
      </c>
      <c r="M8" s="0" t="n">
        <v>57902</v>
      </c>
      <c r="N8" s="0" t="n">
        <v>-19538</v>
      </c>
      <c r="O8" s="0" t="n">
        <v>332386</v>
      </c>
      <c r="P8" s="0" t="n">
        <v>1829290</v>
      </c>
      <c r="Q8" s="0" t="n">
        <v>1369536</v>
      </c>
      <c r="R8" s="0" t="n">
        <v>429963</v>
      </c>
      <c r="S8" s="0" t="n">
        <v>196150</v>
      </c>
      <c r="T8" s="0" t="n">
        <v>24752</v>
      </c>
      <c r="U8" s="0" t="n">
        <v>134</v>
      </c>
      <c r="AA8" s="0" t="s">
        <v>18</v>
      </c>
      <c r="AB8" s="0" t="s">
        <v>14</v>
      </c>
      <c r="AC8" s="0" t="n">
        <v>25917</v>
      </c>
    </row>
    <row r="9" customFormat="false" ht="15" hidden="false" customHeight="false" outlineLevel="0" collapsed="false">
      <c r="A9" s="0" t="s">
        <v>72</v>
      </c>
      <c r="B9" s="0" t="n">
        <v>1160311</v>
      </c>
      <c r="C9" s="0" t="n">
        <v>1050080</v>
      </c>
      <c r="D9" s="0" t="n">
        <v>110231</v>
      </c>
      <c r="E9" s="0" t="n">
        <v>9.5</v>
      </c>
      <c r="F9" s="0" t="n">
        <v>43142</v>
      </c>
      <c r="G9" s="0" t="n">
        <v>3.7</v>
      </c>
      <c r="I9" s="0" t="n">
        <v>27887</v>
      </c>
      <c r="J9" s="0" t="n">
        <v>2.4</v>
      </c>
      <c r="K9" s="0" t="n">
        <v>1.085</v>
      </c>
      <c r="L9" s="0" t="n">
        <v>28051</v>
      </c>
      <c r="M9" s="0" t="n">
        <v>58003</v>
      </c>
      <c r="N9" s="0" t="n">
        <v>-29952</v>
      </c>
      <c r="O9" s="0" t="n">
        <v>354567</v>
      </c>
      <c r="P9" s="0" t="n">
        <v>2256266</v>
      </c>
      <c r="Q9" s="0" t="n">
        <v>1746274</v>
      </c>
      <c r="R9" s="0" t="n">
        <v>517967</v>
      </c>
      <c r="S9" s="0" t="n">
        <v>199485</v>
      </c>
      <c r="T9" s="0" t="n">
        <v>24742</v>
      </c>
      <c r="U9" s="0" t="n">
        <v>-27</v>
      </c>
      <c r="AA9" s="0" t="s">
        <v>18</v>
      </c>
      <c r="AB9" s="0" t="s">
        <v>14</v>
      </c>
      <c r="AC9" s="0" t="n">
        <v>23133</v>
      </c>
    </row>
    <row r="10" customFormat="false" ht="15" hidden="false" customHeight="false" outlineLevel="0" collapsed="false">
      <c r="A10" s="0" t="s">
        <v>73</v>
      </c>
      <c r="B10" s="0" t="n">
        <v>1093494</v>
      </c>
      <c r="C10" s="0" t="n">
        <v>995537</v>
      </c>
      <c r="D10" s="0" t="n">
        <v>97957</v>
      </c>
      <c r="E10" s="0" t="n">
        <v>9</v>
      </c>
      <c r="F10" s="0" t="n">
        <v>39098</v>
      </c>
      <c r="G10" s="0" t="n">
        <v>3.6</v>
      </c>
      <c r="I10" s="0" t="n">
        <v>22892</v>
      </c>
      <c r="J10" s="0" t="n">
        <v>2.1</v>
      </c>
      <c r="K10" s="0" t="n">
        <v>0.848</v>
      </c>
      <c r="L10" s="0" t="n">
        <v>28772</v>
      </c>
      <c r="M10" s="0" t="n">
        <v>60286</v>
      </c>
      <c r="N10" s="0" t="n">
        <v>-31514</v>
      </c>
      <c r="O10" s="0" t="n">
        <v>370915</v>
      </c>
      <c r="P10" s="0" t="n">
        <v>2470432</v>
      </c>
      <c r="Q10" s="0" t="n">
        <v>1929982</v>
      </c>
      <c r="R10" s="0" t="n">
        <v>568164</v>
      </c>
      <c r="S10" s="0" t="n">
        <v>211322</v>
      </c>
      <c r="T10" s="0" t="n">
        <v>24686</v>
      </c>
      <c r="U10" s="0" t="n">
        <v>4</v>
      </c>
      <c r="AA10" s="0" t="s">
        <v>18</v>
      </c>
      <c r="AB10" s="0" t="s">
        <v>14</v>
      </c>
      <c r="AC10" s="0" t="n">
        <v>16901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3.215</v>
      </c>
    </row>
    <row r="3" customFormat="false" ht="15" hidden="false" customHeight="false" outlineLevel="0" collapsed="false">
      <c r="A3" s="0" t="s">
        <v>77</v>
      </c>
      <c r="B3" s="3" t="n">
        <v>24531.31</v>
      </c>
    </row>
    <row r="4" customFormat="false" ht="15" hidden="false" customHeight="false" outlineLevel="0" collapsed="false">
      <c r="A4" s="0" t="s">
        <v>78</v>
      </c>
      <c r="B4" s="3" t="n">
        <v>0</v>
      </c>
    </row>
    <row r="5" customFormat="false" ht="15" hidden="false" customHeight="false" outlineLevel="0" collapsed="false">
      <c r="A5" s="0" t="s">
        <v>79</v>
      </c>
      <c r="B5" s="3" t="n">
        <v>0</v>
      </c>
    </row>
    <row r="6" customFormat="false" ht="15" hidden="false" customHeight="false" outlineLevel="0" collapsed="false">
      <c r="A6" s="0" t="s">
        <v>80</v>
      </c>
      <c r="B6" s="3" t="n">
        <v>15</v>
      </c>
    </row>
    <row r="7" customFormat="false" ht="15" hidden="false" customHeight="false" outlineLevel="0" collapsed="false">
      <c r="A7" s="0" t="s">
        <v>81</v>
      </c>
      <c r="B7" s="3" t="n">
        <v>1093494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-9</v>
      </c>
      <c r="D13" s="3" t="n">
        <v>-6</v>
      </c>
      <c r="E13" s="3" t="n">
        <v>-3</v>
      </c>
      <c r="F13" s="3" t="n">
        <v>-1</v>
      </c>
      <c r="G13" s="3" t="n">
        <v>0</v>
      </c>
      <c r="H13" s="3" t="n">
        <v>1</v>
      </c>
      <c r="I13" s="3" t="n">
        <v>1.5</v>
      </c>
      <c r="J13" s="3" t="n">
        <v>1.5</v>
      </c>
      <c r="K13" s="3" t="n">
        <v>1.5</v>
      </c>
      <c r="L13" s="3" t="n">
        <v>1.5</v>
      </c>
    </row>
    <row r="14" customFormat="false" ht="15" hidden="false" customHeight="false" outlineLevel="0" collapsed="false">
      <c r="A14" s="0" t="s">
        <v>98</v>
      </c>
      <c r="C14" s="3" t="n">
        <v>1.5</v>
      </c>
      <c r="D14" s="3" t="n">
        <v>1.35</v>
      </c>
      <c r="E14" s="3" t="n">
        <v>1.25</v>
      </c>
      <c r="F14" s="3" t="n">
        <v>1.2</v>
      </c>
      <c r="G14" s="3" t="n">
        <v>1.2</v>
      </c>
      <c r="H14" s="3" t="n">
        <v>1.25</v>
      </c>
      <c r="I14" s="3" t="n">
        <v>1.3</v>
      </c>
      <c r="J14" s="3" t="n">
        <v>1.3</v>
      </c>
      <c r="K14" s="3" t="n">
        <v>1.3</v>
      </c>
      <c r="L14" s="3" t="n">
        <v>1.3</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102</v>
      </c>
      <c r="C18" s="3" t="n">
        <v>1.05</v>
      </c>
      <c r="D18" s="3" t="n">
        <v>0.945</v>
      </c>
      <c r="E18" s="3" t="n">
        <v>0.875</v>
      </c>
      <c r="F18" s="3" t="n">
        <v>0.78</v>
      </c>
      <c r="G18" s="3" t="n">
        <v>0.72</v>
      </c>
      <c r="H18" s="3" t="n">
        <v>0.6875</v>
      </c>
      <c r="I18" s="3" t="n">
        <v>0.65</v>
      </c>
      <c r="J18" s="3" t="n">
        <v>0.65</v>
      </c>
      <c r="K18" s="3" t="n">
        <v>0.65</v>
      </c>
      <c r="L18" s="3" t="n">
        <v>0.65</v>
      </c>
    </row>
    <row r="19" customFormat="false" ht="15" hidden="false" customHeight="false" outlineLevel="0" collapsed="false">
      <c r="A19" s="0" t="s">
        <v>103</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104</v>
      </c>
      <c r="B20" s="3" t="n">
        <v>10.5</v>
      </c>
    </row>
    <row r="21" customFormat="false" ht="15" hidden="false" customHeight="false" outlineLevel="0" collapsed="false">
      <c r="A21" s="0" t="s">
        <v>105</v>
      </c>
      <c r="B21" s="3" t="n">
        <v>1</v>
      </c>
    </row>
    <row r="22" customFormat="false" ht="15" hidden="false" customHeight="false" outlineLevel="0" collapsed="false">
      <c r="A22" s="0" t="s">
        <v>106</v>
      </c>
      <c r="B22" s="3" t="n">
        <v>10</v>
      </c>
    </row>
    <row r="23" customFormat="false" ht="15" hidden="false" customHeight="false" outlineLevel="0" collapsed="false">
      <c r="A23" s="0" t="s">
        <v>107</v>
      </c>
      <c r="B23" s="3" t="n">
        <v>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-7.47</v>
      </c>
      <c r="D27" s="3" t="n">
        <v>-3</v>
      </c>
      <c r="E27" s="3" t="n">
        <v>0</v>
      </c>
      <c r="F27" s="3" t="n">
        <v>2</v>
      </c>
      <c r="G27" s="3" t="n">
        <v>2.5</v>
      </c>
      <c r="H27" s="3" t="n">
        <v>3</v>
      </c>
      <c r="I27" s="3" t="n">
        <v>3</v>
      </c>
      <c r="J27" s="3" t="n">
        <v>2.5</v>
      </c>
      <c r="K27" s="3" t="n">
        <v>2.5</v>
      </c>
      <c r="L27" s="3" t="n">
        <v>2</v>
      </c>
    </row>
    <row r="28" customFormat="false" ht="15" hidden="false" customHeight="false" outlineLevel="0" collapsed="false">
      <c r="A28" s="0" t="s">
        <v>98</v>
      </c>
      <c r="C28" s="3" t="n">
        <v>1.63</v>
      </c>
      <c r="D28" s="3" t="n">
        <v>1.7</v>
      </c>
      <c r="E28" s="3" t="n">
        <v>1.8</v>
      </c>
      <c r="F28" s="3" t="n">
        <v>1.9</v>
      </c>
      <c r="G28" s="3" t="n">
        <v>1.95</v>
      </c>
      <c r="H28" s="3" t="n">
        <v>2</v>
      </c>
      <c r="I28" s="3" t="n">
        <v>2</v>
      </c>
      <c r="J28" s="3" t="n">
        <v>2</v>
      </c>
      <c r="K28" s="3" t="n">
        <v>2</v>
      </c>
      <c r="L28" s="3" t="n">
        <v>2</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102</v>
      </c>
      <c r="C32" s="3" t="n">
        <v>1.108</v>
      </c>
      <c r="D32" s="3" t="n">
        <v>1.054</v>
      </c>
      <c r="E32" s="3" t="n">
        <v>1.008</v>
      </c>
      <c r="F32" s="3" t="n">
        <v>0.95</v>
      </c>
      <c r="G32" s="3" t="n">
        <v>0.878</v>
      </c>
      <c r="H32" s="3" t="n">
        <v>0.8</v>
      </c>
      <c r="I32" s="3" t="n">
        <v>0.8</v>
      </c>
      <c r="J32" s="3" t="n">
        <v>0.8</v>
      </c>
      <c r="K32" s="3" t="n">
        <v>0.8</v>
      </c>
      <c r="L32" s="3" t="n">
        <v>0.8</v>
      </c>
    </row>
    <row r="33" customFormat="false" ht="15" hidden="false" customHeight="false" outlineLevel="0" collapsed="false">
      <c r="A33" s="0" t="s">
        <v>103</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104</v>
      </c>
      <c r="B34" s="3" t="n">
        <v>10.5</v>
      </c>
    </row>
    <row r="35" customFormat="false" ht="15" hidden="false" customHeight="false" outlineLevel="0" collapsed="false">
      <c r="A35" s="0" t="s">
        <v>105</v>
      </c>
      <c r="B35" s="3" t="n">
        <v>2</v>
      </c>
    </row>
    <row r="36" customFormat="false" ht="15" hidden="false" customHeight="false" outlineLevel="0" collapsed="false">
      <c r="A36" s="0" t="s">
        <v>106</v>
      </c>
      <c r="B36" s="3" t="n">
        <v>10</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-7.47</v>
      </c>
      <c r="D41" s="3" t="n">
        <v>0</v>
      </c>
      <c r="E41" s="3" t="n">
        <v>3</v>
      </c>
      <c r="F41" s="3" t="n">
        <v>4</v>
      </c>
      <c r="G41" s="3" t="n">
        <v>4</v>
      </c>
      <c r="H41" s="3" t="n">
        <v>3.5</v>
      </c>
      <c r="I41" s="3" t="n">
        <v>3</v>
      </c>
      <c r="J41" s="3" t="n">
        <v>3</v>
      </c>
      <c r="K41" s="3" t="n">
        <v>2.5</v>
      </c>
      <c r="L41" s="3" t="n">
        <v>2.5</v>
      </c>
    </row>
    <row r="42" customFormat="false" ht="15" hidden="false" customHeight="false" outlineLevel="0" collapsed="false">
      <c r="A42" s="0" t="s">
        <v>98</v>
      </c>
      <c r="C42" s="3" t="n">
        <v>1.65</v>
      </c>
      <c r="D42" s="3" t="n">
        <v>1.85</v>
      </c>
      <c r="E42" s="3" t="n">
        <v>2.05</v>
      </c>
      <c r="F42" s="3" t="n">
        <v>2.2</v>
      </c>
      <c r="G42" s="3" t="n">
        <v>2.3</v>
      </c>
      <c r="H42" s="3" t="n">
        <v>2.35</v>
      </c>
      <c r="I42" s="3" t="n">
        <v>2.4</v>
      </c>
      <c r="J42" s="3" t="n">
        <v>2.4</v>
      </c>
      <c r="K42" s="3" t="n">
        <v>2.4</v>
      </c>
      <c r="L42" s="3" t="n">
        <v>2.4</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102</v>
      </c>
      <c r="C46" s="3" t="n">
        <v>1.122</v>
      </c>
      <c r="D46" s="3" t="n">
        <v>1.11</v>
      </c>
      <c r="E46" s="3" t="n">
        <v>1.025</v>
      </c>
      <c r="F46" s="3" t="n">
        <v>0.924</v>
      </c>
      <c r="G46" s="3" t="n">
        <v>0.805</v>
      </c>
      <c r="H46" s="3" t="n">
        <v>0.705</v>
      </c>
      <c r="I46" s="3" t="n">
        <v>0.72</v>
      </c>
      <c r="J46" s="3" t="n">
        <v>0.72</v>
      </c>
      <c r="K46" s="3" t="n">
        <v>0.72</v>
      </c>
      <c r="L46" s="3" t="n">
        <v>0.72</v>
      </c>
    </row>
    <row r="47" customFormat="false" ht="15" hidden="false" customHeight="false" outlineLevel="0" collapsed="false">
      <c r="A47" s="0" t="s">
        <v>103</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104</v>
      </c>
      <c r="B48" s="3" t="n">
        <v>10.5</v>
      </c>
    </row>
    <row r="49" customFormat="false" ht="15" hidden="false" customHeight="false" outlineLevel="0" collapsed="false">
      <c r="A49" s="0" t="s">
        <v>105</v>
      </c>
      <c r="B49" s="3" t="n">
        <v>2.5</v>
      </c>
    </row>
    <row r="50" customFormat="false" ht="15" hidden="false" customHeight="false" outlineLevel="0" collapsed="false">
      <c r="A50" s="0" t="s">
        <v>106</v>
      </c>
      <c r="B50" s="3" t="n">
        <v>10</v>
      </c>
    </row>
    <row r="51" customFormat="false" ht="15" hidden="false" customHeight="false" outlineLevel="0" collapsed="false">
      <c r="A51" s="0" t="s">
        <v>107</v>
      </c>
      <c r="B51" s="3" t="n">
        <v>0</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-9</v>
      </c>
      <c r="D5" s="4" t="n">
        <f aca="false">Assumptions!D13</f>
        <v>-6</v>
      </c>
      <c r="E5" s="4" t="n">
        <f aca="false">Assumptions!E13</f>
        <v>-3</v>
      </c>
      <c r="F5" s="4" t="n">
        <f aca="false">Assumptions!F13</f>
        <v>-1</v>
      </c>
      <c r="G5" s="4" t="n">
        <f aca="false">Assumptions!G13</f>
        <v>0</v>
      </c>
      <c r="H5" s="4" t="n">
        <f aca="false">Assumptions!H13</f>
        <v>1</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1093494</v>
      </c>
      <c r="C6" s="0" t="n">
        <f aca="false">B6*(1+C5/100)</f>
        <v>995079.54</v>
      </c>
      <c r="D6" s="0" t="n">
        <f aca="false">C6*(1+D5/100)</f>
        <v>935374.7676</v>
      </c>
      <c r="E6" s="0" t="n">
        <f aca="false">D6*(1+E5/100)</f>
        <v>907313.524572</v>
      </c>
      <c r="F6" s="0" t="n">
        <f aca="false">E6*(1+F5/100)</f>
        <v>898240.38932628</v>
      </c>
      <c r="G6" s="0" t="n">
        <f aca="false">F6*(1+G5/100)</f>
        <v>898240.38932628</v>
      </c>
      <c r="H6" s="0" t="n">
        <f aca="false">G6*(1+H5/100)</f>
        <v>907222.793219543</v>
      </c>
      <c r="I6" s="0" t="n">
        <f aca="false">H6*(1+I5/100)</f>
        <v>920831.135117836</v>
      </c>
      <c r="J6" s="0" t="n">
        <f aca="false">I6*(1+J5/100)</f>
        <v>934643.602144603</v>
      </c>
      <c r="K6" s="0" t="n">
        <f aca="false">J6*(1+K5/100)</f>
        <v>948663.256176772</v>
      </c>
      <c r="L6" s="0" t="n">
        <f aca="false">K6*(1+L5/100)</f>
        <v>962893.205019424</v>
      </c>
    </row>
    <row r="7" customFormat="false" ht="15" hidden="false" customHeight="false" outlineLevel="0" collapsed="false">
      <c r="A7" s="0" t="s">
        <v>98</v>
      </c>
      <c r="C7" s="4" t="n">
        <f aca="false">Assumptions!C14</f>
        <v>1.5</v>
      </c>
      <c r="D7" s="4" t="n">
        <f aca="false">Assumptions!D14</f>
        <v>1.35</v>
      </c>
      <c r="E7" s="4" t="n">
        <f aca="false">Assumptions!E14</f>
        <v>1.25</v>
      </c>
      <c r="F7" s="4" t="n">
        <f aca="false">Assumptions!F14</f>
        <v>1.2</v>
      </c>
      <c r="G7" s="4" t="n">
        <f aca="false">Assumptions!G14</f>
        <v>1.2</v>
      </c>
      <c r="H7" s="4" t="n">
        <f aca="false">Assumptions!H14</f>
        <v>1.25</v>
      </c>
      <c r="I7" s="4" t="n">
        <f aca="false">Assumptions!I14</f>
        <v>1.3</v>
      </c>
      <c r="J7" s="4" t="n">
        <f aca="false">Assumptions!J14</f>
        <v>1.3</v>
      </c>
      <c r="K7" s="4" t="n">
        <f aca="false">Assumptions!K14</f>
        <v>1.3</v>
      </c>
      <c r="L7" s="4" t="n">
        <f aca="false">Assumptions!L14</f>
        <v>1.3</v>
      </c>
    </row>
    <row r="8" customFormat="false" ht="15" hidden="false" customHeight="false" outlineLevel="0" collapsed="false">
      <c r="A8" s="0" t="s">
        <v>44</v>
      </c>
      <c r="C8" s="0" t="n">
        <f aca="false">C6*C7/100</f>
        <v>14926.1931</v>
      </c>
      <c r="D8" s="0" t="n">
        <f aca="false">D6*D7/100</f>
        <v>12627.5593626</v>
      </c>
      <c r="E8" s="0" t="n">
        <f aca="false">E6*E7/100</f>
        <v>11341.41905715</v>
      </c>
      <c r="F8" s="0" t="n">
        <f aca="false">F6*F7/100</f>
        <v>10778.8846719154</v>
      </c>
      <c r="G8" s="0" t="n">
        <f aca="false">G6*G7/100</f>
        <v>10778.8846719154</v>
      </c>
      <c r="H8" s="0" t="n">
        <f aca="false">H6*H7/100</f>
        <v>11340.2849152443</v>
      </c>
      <c r="I8" s="0" t="n">
        <f aca="false">I6*I7/100</f>
        <v>11970.8047565319</v>
      </c>
      <c r="J8" s="0" t="n">
        <f aca="false">J6*J7/100</f>
        <v>12150.3668278798</v>
      </c>
      <c r="K8" s="0" t="n">
        <f aca="false">K6*K7/100</f>
        <v>12332.622330298</v>
      </c>
      <c r="L8" s="0" t="n">
        <f aca="false">L6*L7/100</f>
        <v>12517.6116652525</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14926.1931</v>
      </c>
      <c r="D11" s="0" t="n">
        <f aca="false">D8+D10+D24</f>
        <v>12627.5593626</v>
      </c>
      <c r="E11" s="0" t="n">
        <f aca="false">E8+E10+E24</f>
        <v>11341.41905715</v>
      </c>
      <c r="F11" s="0" t="n">
        <f aca="false">F8+F10+F24</f>
        <v>10778.8846719154</v>
      </c>
      <c r="G11" s="0" t="n">
        <f aca="false">G8+G10+G24</f>
        <v>10778.8846719154</v>
      </c>
      <c r="H11" s="0" t="n">
        <f aca="false">H8+H10+H24</f>
        <v>11340.2849152443</v>
      </c>
      <c r="I11" s="0" t="n">
        <f aca="false">I8+I10+I24</f>
        <v>11970.8047565319</v>
      </c>
      <c r="J11" s="0" t="n">
        <f aca="false">J8+J10+J24</f>
        <v>12150.3668278798</v>
      </c>
      <c r="K11" s="0" t="n">
        <f aca="false">K8+K10+K24</f>
        <v>12332.622330298</v>
      </c>
      <c r="L11" s="0" t="n">
        <f aca="false">L8+L10+L24</f>
        <v>12517.6116652525</v>
      </c>
    </row>
    <row r="12" customFormat="false" ht="15" hidden="false" customHeight="false" outlineLevel="0" collapsed="false">
      <c r="A12" s="0" t="s">
        <v>116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117</v>
      </c>
      <c r="C13" s="0" t="n">
        <f aca="false">C11+C12</f>
        <v>14926.1931</v>
      </c>
      <c r="D13" s="0" t="n">
        <f aca="false">D11+D12</f>
        <v>12627.5593626</v>
      </c>
      <c r="E13" s="0" t="n">
        <f aca="false">E11+E12</f>
        <v>11341.41905715</v>
      </c>
      <c r="F13" s="0" t="n">
        <f aca="false">F11+F12</f>
        <v>10778.8846719154</v>
      </c>
      <c r="G13" s="0" t="n">
        <f aca="false">G11+G12</f>
        <v>10778.8846719154</v>
      </c>
      <c r="H13" s="0" t="n">
        <f aca="false">H11+H12</f>
        <v>11340.2849152443</v>
      </c>
      <c r="I13" s="0" t="n">
        <f aca="false">I11+I12</f>
        <v>11970.8047565319</v>
      </c>
      <c r="J13" s="0" t="n">
        <f aca="false">J11+J12</f>
        <v>12150.3668278798</v>
      </c>
      <c r="K13" s="0" t="n">
        <f aca="false">K11+K12</f>
        <v>12332.622330298</v>
      </c>
      <c r="L13" s="0" t="n">
        <f aca="false">L11+L12</f>
        <v>12517.6116652525</v>
      </c>
    </row>
    <row r="14" customFormat="false" ht="15" hidden="false" customHeight="false" outlineLevel="0" collapsed="false">
      <c r="A14" s="0" t="s">
        <v>103</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118</v>
      </c>
      <c r="C15" s="0" t="n">
        <f aca="false">C13-MAX(0,C13)*C14/100</f>
        <v>14926.1931</v>
      </c>
      <c r="D15" s="0" t="n">
        <f aca="false">D13-MAX(0,D13)*D14/100</f>
        <v>12627.5593626</v>
      </c>
      <c r="E15" s="0" t="n">
        <f aca="false">E13-MAX(0,E13)*E14/100</f>
        <v>11341.41905715</v>
      </c>
      <c r="F15" s="0" t="n">
        <f aca="false">F13-MAX(0,F13)*F14/100</f>
        <v>10778.8846719154</v>
      </c>
      <c r="G15" s="0" t="n">
        <f aca="false">G13-MAX(0,G13)*G14/100</f>
        <v>10778.8846719154</v>
      </c>
      <c r="H15" s="0" t="n">
        <f aca="false">H13-MAX(0,H13)*H14/100</f>
        <v>11340.2849152443</v>
      </c>
      <c r="I15" s="0" t="n">
        <f aca="false">I13-MAX(0,I13)*I14/100</f>
        <v>11970.8047565319</v>
      </c>
      <c r="J15" s="0" t="n">
        <f aca="false">J13-MAX(0,J13)*J14/100</f>
        <v>12150.3668278798</v>
      </c>
      <c r="K15" s="0" t="n">
        <f aca="false">K13-MAX(0,K13)*K14/100</f>
        <v>12332.622330298</v>
      </c>
      <c r="L15" s="0" t="n">
        <f aca="false">L13-MAX(0,L13)*L14/100</f>
        <v>12517.6116652525</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-C6*Assumptions!C18/100</f>
        <v>-10448.33517</v>
      </c>
      <c r="D17" s="4" t="n">
        <f aca="false">-D6*Assumptions!D18/100</f>
        <v>-8839.29155382</v>
      </c>
      <c r="E17" s="4" t="n">
        <f aca="false">-E6*Assumptions!E18/100</f>
        <v>-7938.993340005</v>
      </c>
      <c r="F17" s="4" t="n">
        <f aca="false">-F6*Assumptions!F18/100</f>
        <v>-7006.27503674498</v>
      </c>
      <c r="G17" s="4" t="n">
        <f aca="false">-G6*Assumptions!G18/100</f>
        <v>-6467.33080314922</v>
      </c>
      <c r="H17" s="4" t="n">
        <f aca="false">-H6*Assumptions!H18/100</f>
        <v>-6237.15670338436</v>
      </c>
      <c r="I17" s="4" t="n">
        <f aca="false">-I6*Assumptions!I18/100</f>
        <v>-5985.40237826593</v>
      </c>
      <c r="J17" s="4" t="n">
        <f aca="false">-J6*Assumptions!J18/100</f>
        <v>-6075.18341393992</v>
      </c>
      <c r="K17" s="4" t="n">
        <f aca="false">-K6*Assumptions!K18/100</f>
        <v>-6166.31116514902</v>
      </c>
      <c r="L17" s="4" t="n">
        <f aca="false">-L6*Assumptions!L18/100</f>
        <v>-6258.80583262625</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4477.85793</v>
      </c>
      <c r="D19" s="0" t="n">
        <f aca="false">D15+D16+D17+D18</f>
        <v>3788.26780878</v>
      </c>
      <c r="E19" s="0" t="n">
        <f aca="false">E15+E16+E17+E18</f>
        <v>3402.425717145</v>
      </c>
      <c r="F19" s="0" t="n">
        <f aca="false">F15+F16+F17+F18</f>
        <v>3772.60963517037</v>
      </c>
      <c r="G19" s="0" t="n">
        <f aca="false">G15+G16+G17+G18</f>
        <v>4311.55386876614</v>
      </c>
      <c r="H19" s="0" t="n">
        <f aca="false">H15+H16+H17+H18</f>
        <v>5103.12821185993</v>
      </c>
      <c r="I19" s="0" t="n">
        <f aca="false">I15+I16+I17+I18</f>
        <v>5985.40237826593</v>
      </c>
      <c r="J19" s="0" t="n">
        <f aca="false">J15+J16+J17+J18</f>
        <v>6075.18341393992</v>
      </c>
      <c r="K19" s="0" t="n">
        <f aca="false">K15+K16+K17+K18</f>
        <v>6166.31116514902</v>
      </c>
      <c r="L19" s="0" t="n">
        <f aca="false">L15+L16+L17+L18</f>
        <v>6258.80583262625</v>
      </c>
    </row>
    <row r="20" customFormat="false" ht="15" hidden="false" customHeight="false" outlineLevel="0" collapsed="false">
      <c r="A20" s="0" t="s">
        <v>123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124</v>
      </c>
      <c r="C21" s="0" t="n">
        <f aca="false">C19*C20</f>
        <v>4052.36011764706</v>
      </c>
      <c r="D21" s="0" t="n">
        <f aca="false">D19*D20</f>
        <v>3102.53091360128</v>
      </c>
      <c r="E21" s="0" t="n">
        <f aca="false">E19*E20</f>
        <v>2521.74877341481</v>
      </c>
      <c r="F21" s="0" t="n">
        <f aca="false">F19*F20</f>
        <v>2530.42085064466</v>
      </c>
      <c r="G21" s="0" t="n">
        <f aca="false">G19*G20</f>
        <v>2617.11270913475</v>
      </c>
      <c r="H21" s="0" t="n">
        <f aca="false">H19*H20</f>
        <v>2803.25633083933</v>
      </c>
      <c r="I21" s="0" t="n">
        <f aca="false">I19*I20</f>
        <v>2975.48253678632</v>
      </c>
      <c r="J21" s="0" t="n">
        <f aca="false">J19*J20</f>
        <v>2733.13554283992</v>
      </c>
      <c r="K21" s="0" t="n">
        <f aca="false">K19*K20</f>
        <v>2510.52721808373</v>
      </c>
      <c r="L21" s="0" t="n">
        <f aca="false">L19*L20</f>
        <v>2306.04988810406</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10.5</v>
      </c>
    </row>
    <row r="28" customFormat="false" ht="15" hidden="false" customHeight="false" outlineLevel="0" collapsed="false">
      <c r="A28" s="0" t="s">
        <v>105</v>
      </c>
      <c r="B28" s="4" t="n">
        <f aca="false">Assumptions!$B$21</f>
        <v>1</v>
      </c>
    </row>
    <row r="29" customFormat="false" ht="15" hidden="false" customHeight="false" outlineLevel="0" collapsed="false">
      <c r="A29" s="0" t="s">
        <v>106</v>
      </c>
      <c r="B29" s="4" t="n">
        <f aca="false">Assumptions!$B$22</f>
        <v>10</v>
      </c>
    </row>
    <row r="30" customFormat="false" ht="15" hidden="false" customHeight="false" outlineLevel="0" collapsed="false">
      <c r="A30" s="0" t="s">
        <v>127</v>
      </c>
      <c r="B30" s="0" t="n">
        <f aca="false">SUM(C21:L21)</f>
        <v>28152.6248810959</v>
      </c>
    </row>
    <row r="31" customFormat="false" ht="15" hidden="false" customHeight="false" outlineLevel="0" collapsed="false">
      <c r="A31" s="0" t="s">
        <v>128</v>
      </c>
      <c r="B31" s="0" t="n">
        <f aca="false">L19</f>
        <v>6258.80583262625</v>
      </c>
    </row>
    <row r="32" customFormat="false" ht="15" hidden="false" customHeight="false" outlineLevel="0" collapsed="false">
      <c r="A32" s="0" t="s">
        <v>129</v>
      </c>
      <c r="B32" s="0" t="n">
        <f aca="false">IF(B27&gt;B28,B31*(1+B28/100)/((B27-B28)/100),B31*B29)</f>
        <v>66540.988325816</v>
      </c>
    </row>
    <row r="33" customFormat="false" ht="15" hidden="false" customHeight="false" outlineLevel="0" collapsed="false">
      <c r="A33" s="0" t="s">
        <v>130</v>
      </c>
      <c r="B33" s="0" t="n">
        <f aca="false">B31*B29</f>
        <v>62588.0583262625</v>
      </c>
    </row>
    <row r="34" customFormat="false" ht="15" hidden="false" customHeight="false" outlineLevel="0" collapsed="false">
      <c r="A34" s="0" t="s">
        <v>131</v>
      </c>
      <c r="B34" s="0" t="n">
        <f aca="false">MAX(0,MIN(B32,B33))</f>
        <v>62588.0583262625</v>
      </c>
    </row>
    <row r="35" customFormat="false" ht="15" hidden="false" customHeight="false" outlineLevel="0" collapsed="false">
      <c r="A35" s="0" t="s">
        <v>132</v>
      </c>
      <c r="B35" s="0" t="n">
        <f aca="false">B34/(1+B27/100)^L4</f>
        <v>23060.4988810406</v>
      </c>
    </row>
    <row r="36" customFormat="false" ht="15" hidden="false" customHeight="false" outlineLevel="0" collapsed="false">
      <c r="A36" s="0" t="s">
        <v>133</v>
      </c>
      <c r="B36" s="0" t="n">
        <f aca="false">B30+B35</f>
        <v>51213.1237621364</v>
      </c>
    </row>
    <row r="37" customFormat="false" ht="15" hidden="false" customHeight="false" outlineLevel="0" collapsed="false">
      <c r="A37" s="0" t="s">
        <v>134</v>
      </c>
      <c r="B37" s="0" t="n">
        <f aca="false">B36+Assumptions!$B$5-Assumptions!$B$4</f>
        <v>51213.1237621364</v>
      </c>
    </row>
    <row r="38" customFormat="false" ht="15" hidden="false" customHeight="false" outlineLevel="0" collapsed="false">
      <c r="A38" s="0" t="s">
        <v>135</v>
      </c>
      <c r="B38" s="0" t="n">
        <f aca="false">B37/Assumptions!$B$3*Assumptions!$B$10</f>
        <v>2.44695054449192</v>
      </c>
    </row>
    <row r="39" customFormat="false" ht="15" hidden="false" customHeight="false" outlineLevel="0" collapsed="false">
      <c r="A39" s="0" t="s">
        <v>136</v>
      </c>
      <c r="B39" s="4" t="n">
        <f aca="false">B38/Assumptions!$B$2-1</f>
        <v>-0.238895631573275</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2.44695054449192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45152.8135068037</v>
      </c>
    </row>
    <row r="47" customFormat="false" ht="15" hidden="false" customHeight="false" outlineLevel="0" collapsed="false">
      <c r="A47" s="0" t="s">
        <v>141</v>
      </c>
      <c r="B47" s="0" t="n">
        <f aca="false">(SUMPRODUCT(C19:L19/(1+B45/100)^C4:L4)+B46/(1+B45/100)^L4+Assumptions!$B$5-Assumptions!$B$4)/Assumptions!$B$3*Assumptions!$B$10</f>
        <v>1.63403815589823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-7.47</v>
      </c>
      <c r="D5" s="4" t="n">
        <f aca="false">Assumptions!D27</f>
        <v>-3</v>
      </c>
      <c r="E5" s="4" t="n">
        <f aca="false">Assumptions!E27</f>
        <v>0</v>
      </c>
      <c r="F5" s="4" t="n">
        <f aca="false">Assumptions!F27</f>
        <v>2</v>
      </c>
      <c r="G5" s="4" t="n">
        <f aca="false">Assumptions!G27</f>
        <v>2.5</v>
      </c>
      <c r="H5" s="4" t="n">
        <f aca="false">Assumptions!H27</f>
        <v>3</v>
      </c>
      <c r="I5" s="4" t="n">
        <f aca="false">Assumptions!I27</f>
        <v>3</v>
      </c>
      <c r="J5" s="4" t="n">
        <f aca="false">Assumptions!J27</f>
        <v>2.5</v>
      </c>
      <c r="K5" s="4" t="n">
        <f aca="false">Assumptions!K27</f>
        <v>2.5</v>
      </c>
      <c r="L5" s="4" t="n">
        <f aca="false">Assumptions!L27</f>
        <v>2</v>
      </c>
    </row>
    <row r="6" customFormat="false" ht="15" hidden="false" customHeight="false" outlineLevel="0" collapsed="false">
      <c r="A6" s="0" t="s">
        <v>38</v>
      </c>
      <c r="B6" s="3" t="n">
        <v>1093494</v>
      </c>
      <c r="C6" s="0" t="n">
        <f aca="false">B6*(1+C5/100)</f>
        <v>1011809.9982</v>
      </c>
      <c r="D6" s="0" t="n">
        <f aca="false">C6*(1+D5/100)</f>
        <v>981455.698254</v>
      </c>
      <c r="E6" s="0" t="n">
        <f aca="false">D6*(1+E5/100)</f>
        <v>981455.698254</v>
      </c>
      <c r="F6" s="0" t="n">
        <f aca="false">E6*(1+F5/100)</f>
        <v>1001084.81221908</v>
      </c>
      <c r="G6" s="0" t="n">
        <f aca="false">F6*(1+G5/100)</f>
        <v>1026111.93252456</v>
      </c>
      <c r="H6" s="0" t="n">
        <f aca="false">G6*(1+H5/100)</f>
        <v>1056895.29050029</v>
      </c>
      <c r="I6" s="0" t="n">
        <f aca="false">H6*(1+I5/100)</f>
        <v>1088602.1492153</v>
      </c>
      <c r="J6" s="0" t="n">
        <f aca="false">I6*(1+J5/100)</f>
        <v>1115817.20294569</v>
      </c>
      <c r="K6" s="0" t="n">
        <f aca="false">J6*(1+K5/100)</f>
        <v>1143712.63301933</v>
      </c>
      <c r="L6" s="0" t="n">
        <f aca="false">K6*(1+L5/100)</f>
        <v>1166586.88567971</v>
      </c>
    </row>
    <row r="7" customFormat="false" ht="15" hidden="false" customHeight="false" outlineLevel="0" collapsed="false">
      <c r="A7" s="0" t="s">
        <v>98</v>
      </c>
      <c r="C7" s="4" t="n">
        <f aca="false">Assumptions!C28</f>
        <v>1.63</v>
      </c>
      <c r="D7" s="4" t="n">
        <f aca="false">Assumptions!D28</f>
        <v>1.7</v>
      </c>
      <c r="E7" s="4" t="n">
        <f aca="false">Assumptions!E28</f>
        <v>1.8</v>
      </c>
      <c r="F7" s="4" t="n">
        <f aca="false">Assumptions!F28</f>
        <v>1.9</v>
      </c>
      <c r="G7" s="4" t="n">
        <f aca="false">Assumptions!G28</f>
        <v>1.95</v>
      </c>
      <c r="H7" s="4" t="n">
        <f aca="false">Assumptions!H28</f>
        <v>2</v>
      </c>
      <c r="I7" s="4" t="n">
        <f aca="false">Assumptions!I28</f>
        <v>2</v>
      </c>
      <c r="J7" s="4" t="n">
        <f aca="false">Assumptions!J28</f>
        <v>2</v>
      </c>
      <c r="K7" s="4" t="n">
        <f aca="false">Assumptions!K28</f>
        <v>2</v>
      </c>
      <c r="L7" s="4" t="n">
        <f aca="false">Assumptions!L28</f>
        <v>2</v>
      </c>
    </row>
    <row r="8" customFormat="false" ht="15" hidden="false" customHeight="false" outlineLevel="0" collapsed="false">
      <c r="A8" s="0" t="s">
        <v>44</v>
      </c>
      <c r="C8" s="0" t="n">
        <f aca="false">C6*C7/100</f>
        <v>16492.50297066</v>
      </c>
      <c r="D8" s="0" t="n">
        <f aca="false">D6*D7/100</f>
        <v>16684.746870318</v>
      </c>
      <c r="E8" s="0" t="n">
        <f aca="false">E6*E7/100</f>
        <v>17666.202568572</v>
      </c>
      <c r="F8" s="0" t="n">
        <f aca="false">F6*F7/100</f>
        <v>19020.6114321625</v>
      </c>
      <c r="G8" s="0" t="n">
        <f aca="false">G6*G7/100</f>
        <v>20009.1826842289</v>
      </c>
      <c r="H8" s="0" t="n">
        <f aca="false">H6*H7/100</f>
        <v>21137.9058100059</v>
      </c>
      <c r="I8" s="0" t="n">
        <f aca="false">I6*I7/100</f>
        <v>21772.0429843061</v>
      </c>
      <c r="J8" s="0" t="n">
        <f aca="false">J6*J7/100</f>
        <v>22316.3440589137</v>
      </c>
      <c r="K8" s="0" t="n">
        <f aca="false">K6*K7/100</f>
        <v>22874.2526603865</v>
      </c>
      <c r="L8" s="0" t="n">
        <f aca="false">L6*L7/100</f>
        <v>23331.7377135943</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16492.50297066</v>
      </c>
      <c r="D11" s="0" t="n">
        <f aca="false">D8+D10+D24</f>
        <v>16684.746870318</v>
      </c>
      <c r="E11" s="0" t="n">
        <f aca="false">E8+E10+E24</f>
        <v>17666.202568572</v>
      </c>
      <c r="F11" s="0" t="n">
        <f aca="false">F8+F10+F24</f>
        <v>19020.6114321625</v>
      </c>
      <c r="G11" s="0" t="n">
        <f aca="false">G8+G10+G24</f>
        <v>20009.1826842289</v>
      </c>
      <c r="H11" s="0" t="n">
        <f aca="false">H8+H10+H24</f>
        <v>21137.9058100059</v>
      </c>
      <c r="I11" s="0" t="n">
        <f aca="false">I8+I10+I24</f>
        <v>21772.0429843061</v>
      </c>
      <c r="J11" s="0" t="n">
        <f aca="false">J8+J10+J24</f>
        <v>22316.3440589137</v>
      </c>
      <c r="K11" s="0" t="n">
        <f aca="false">K8+K10+K24</f>
        <v>22874.2526603865</v>
      </c>
      <c r="L11" s="0" t="n">
        <f aca="false">L8+L10+L24</f>
        <v>23331.7377135943</v>
      </c>
    </row>
    <row r="12" customFormat="false" ht="15" hidden="false" customHeight="false" outlineLevel="0" collapsed="false">
      <c r="A12" s="0" t="s">
        <v>116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117</v>
      </c>
      <c r="C13" s="0" t="n">
        <f aca="false">C11+C12</f>
        <v>16492.50297066</v>
      </c>
      <c r="D13" s="0" t="n">
        <f aca="false">D11+D12</f>
        <v>16684.746870318</v>
      </c>
      <c r="E13" s="0" t="n">
        <f aca="false">E11+E12</f>
        <v>17666.202568572</v>
      </c>
      <c r="F13" s="0" t="n">
        <f aca="false">F11+F12</f>
        <v>19020.6114321625</v>
      </c>
      <c r="G13" s="0" t="n">
        <f aca="false">G11+G12</f>
        <v>20009.1826842289</v>
      </c>
      <c r="H13" s="0" t="n">
        <f aca="false">H11+H12</f>
        <v>21137.9058100059</v>
      </c>
      <c r="I13" s="0" t="n">
        <f aca="false">I11+I12</f>
        <v>21772.0429843061</v>
      </c>
      <c r="J13" s="0" t="n">
        <f aca="false">J11+J12</f>
        <v>22316.3440589137</v>
      </c>
      <c r="K13" s="0" t="n">
        <f aca="false">K11+K12</f>
        <v>22874.2526603865</v>
      </c>
      <c r="L13" s="0" t="n">
        <f aca="false">L11+L12</f>
        <v>23331.7377135943</v>
      </c>
    </row>
    <row r="14" customFormat="false" ht="15" hidden="false" customHeight="false" outlineLevel="0" collapsed="false">
      <c r="A14" s="0" t="s">
        <v>103</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118</v>
      </c>
      <c r="C15" s="0" t="n">
        <f aca="false">C13-MAX(0,C13)*C14/100</f>
        <v>16492.50297066</v>
      </c>
      <c r="D15" s="0" t="n">
        <f aca="false">D13-MAX(0,D13)*D14/100</f>
        <v>16684.746870318</v>
      </c>
      <c r="E15" s="0" t="n">
        <f aca="false">E13-MAX(0,E13)*E14/100</f>
        <v>17666.202568572</v>
      </c>
      <c r="F15" s="0" t="n">
        <f aca="false">F13-MAX(0,F13)*F14/100</f>
        <v>19020.6114321625</v>
      </c>
      <c r="G15" s="0" t="n">
        <f aca="false">G13-MAX(0,G13)*G14/100</f>
        <v>20009.1826842289</v>
      </c>
      <c r="H15" s="0" t="n">
        <f aca="false">H13-MAX(0,H13)*H14/100</f>
        <v>21137.9058100059</v>
      </c>
      <c r="I15" s="0" t="n">
        <f aca="false">I13-MAX(0,I13)*I14/100</f>
        <v>21772.0429843061</v>
      </c>
      <c r="J15" s="0" t="n">
        <f aca="false">J13-MAX(0,J13)*J14/100</f>
        <v>22316.3440589137</v>
      </c>
      <c r="K15" s="0" t="n">
        <f aca="false">K13-MAX(0,K13)*K14/100</f>
        <v>22874.2526603865</v>
      </c>
      <c r="L15" s="0" t="n">
        <f aca="false">L13-MAX(0,L13)*L14/100</f>
        <v>23331.7377135943</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-C6*Assumptions!C32/100</f>
        <v>-11210.854780056</v>
      </c>
      <c r="D17" s="4" t="n">
        <f aca="false">-D6*Assumptions!D32/100</f>
        <v>-10344.5430595972</v>
      </c>
      <c r="E17" s="4" t="n">
        <f aca="false">-E6*Assumptions!E32/100</f>
        <v>-9893.07343840032</v>
      </c>
      <c r="F17" s="4" t="n">
        <f aca="false">-F6*Assumptions!F32/100</f>
        <v>-9510.30571608126</v>
      </c>
      <c r="G17" s="4" t="n">
        <f aca="false">-G6*Assumptions!G32/100</f>
        <v>-9009.26276756561</v>
      </c>
      <c r="H17" s="4" t="n">
        <f aca="false">-H6*Assumptions!H32/100</f>
        <v>-8455.16232400235</v>
      </c>
      <c r="I17" s="4" t="n">
        <f aca="false">-I6*Assumptions!I32/100</f>
        <v>-8708.81719372242</v>
      </c>
      <c r="J17" s="4" t="n">
        <f aca="false">-J6*Assumptions!J32/100</f>
        <v>-8926.53762356548</v>
      </c>
      <c r="K17" s="4" t="n">
        <f aca="false">-K6*Assumptions!K32/100</f>
        <v>-9149.70106415462</v>
      </c>
      <c r="L17" s="4" t="n">
        <f aca="false">-L6*Assumptions!L32/100</f>
        <v>-9332.69508543771</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5281.648190604</v>
      </c>
      <c r="D19" s="0" t="n">
        <f aca="false">D15+D16+D17+D18</f>
        <v>6340.20381072084</v>
      </c>
      <c r="E19" s="0" t="n">
        <f aca="false">E15+E16+E17+E18</f>
        <v>7773.12913017168</v>
      </c>
      <c r="F19" s="0" t="n">
        <f aca="false">F15+F16+F17+F18</f>
        <v>9510.30571608126</v>
      </c>
      <c r="G19" s="0" t="n">
        <f aca="false">G15+G16+G17+G18</f>
        <v>10999.9199166633</v>
      </c>
      <c r="H19" s="0" t="n">
        <f aca="false">H15+H16+H17+H18</f>
        <v>12682.7434860035</v>
      </c>
      <c r="I19" s="0" t="n">
        <f aca="false">I15+I16+I17+I18</f>
        <v>13063.2257905836</v>
      </c>
      <c r="J19" s="0" t="n">
        <f aca="false">J15+J16+J17+J18</f>
        <v>13389.8064353482</v>
      </c>
      <c r="K19" s="0" t="n">
        <f aca="false">K15+K16+K17+K18</f>
        <v>13724.5515962319</v>
      </c>
      <c r="L19" s="0" t="n">
        <f aca="false">L15+L16+L17+L18</f>
        <v>13999.0426281566</v>
      </c>
    </row>
    <row r="20" customFormat="false" ht="15" hidden="false" customHeight="false" outlineLevel="0" collapsed="false">
      <c r="A20" s="0" t="s">
        <v>123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124</v>
      </c>
      <c r="C21" s="0" t="n">
        <f aca="false">C19*C20</f>
        <v>4779.77211819366</v>
      </c>
      <c r="D21" s="0" t="n">
        <f aca="false">D19*D20</f>
        <v>5192.52579654048</v>
      </c>
      <c r="E21" s="0" t="n">
        <f aca="false">E19*E20</f>
        <v>5761.14821576574</v>
      </c>
      <c r="F21" s="0" t="n">
        <f aca="false">F19*F20</f>
        <v>6378.89371209494</v>
      </c>
      <c r="G21" s="0" t="n">
        <f aca="false">G19*G20</f>
        <v>6676.95014131928</v>
      </c>
      <c r="H21" s="0" t="n">
        <f aca="false">H19*H20</f>
        <v>6966.89941807138</v>
      </c>
      <c r="I21" s="0" t="n">
        <f aca="false">I19*I20</f>
        <v>6494.03294173169</v>
      </c>
      <c r="J21" s="0" t="n">
        <f aca="false">J19*J20</f>
        <v>6023.8767106561</v>
      </c>
      <c r="K21" s="0" t="n">
        <f aca="false">K19*K20</f>
        <v>5587.75893974887</v>
      </c>
      <c r="L21" s="0" t="n">
        <f aca="false">L19*L20</f>
        <v>5157.93132899895</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10.5</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10</v>
      </c>
    </row>
    <row r="30" customFormat="false" ht="15" hidden="false" customHeight="false" outlineLevel="0" collapsed="false">
      <c r="A30" s="0" t="s">
        <v>127</v>
      </c>
      <c r="B30" s="0" t="n">
        <f aca="false">SUM(C21:L21)</f>
        <v>59019.7893231211</v>
      </c>
    </row>
    <row r="31" customFormat="false" ht="15" hidden="false" customHeight="false" outlineLevel="0" collapsed="false">
      <c r="A31" s="0" t="s">
        <v>128</v>
      </c>
      <c r="B31" s="0" t="n">
        <f aca="false">L19</f>
        <v>13999.0426281566</v>
      </c>
    </row>
    <row r="32" customFormat="false" ht="15" hidden="false" customHeight="false" outlineLevel="0" collapsed="false">
      <c r="A32" s="0" t="s">
        <v>129</v>
      </c>
      <c r="B32" s="0" t="n">
        <f aca="false">IF(B27&gt;B28,B31*(1+B28/100)/((B27-B28)/100),B31*B29)</f>
        <v>167988.511537879</v>
      </c>
    </row>
    <row r="33" customFormat="false" ht="15" hidden="false" customHeight="false" outlineLevel="0" collapsed="false">
      <c r="A33" s="0" t="s">
        <v>130</v>
      </c>
      <c r="B33" s="0" t="n">
        <f aca="false">B31*B29</f>
        <v>139990.426281566</v>
      </c>
    </row>
    <row r="34" customFormat="false" ht="15" hidden="false" customHeight="false" outlineLevel="0" collapsed="false">
      <c r="A34" s="0" t="s">
        <v>131</v>
      </c>
      <c r="B34" s="0" t="n">
        <f aca="false">MAX(0,MIN(B32,B33))</f>
        <v>139990.426281566</v>
      </c>
    </row>
    <row r="35" customFormat="false" ht="15" hidden="false" customHeight="false" outlineLevel="0" collapsed="false">
      <c r="A35" s="0" t="s">
        <v>132</v>
      </c>
      <c r="B35" s="0" t="n">
        <f aca="false">B34/(1+B27/100)^L4</f>
        <v>51579.3132899895</v>
      </c>
    </row>
    <row r="36" customFormat="false" ht="15" hidden="false" customHeight="false" outlineLevel="0" collapsed="false">
      <c r="A36" s="0" t="s">
        <v>133</v>
      </c>
      <c r="B36" s="0" t="n">
        <f aca="false">B30+B35</f>
        <v>110599.102613111</v>
      </c>
    </row>
    <row r="37" customFormat="false" ht="15" hidden="false" customHeight="false" outlineLevel="0" collapsed="false">
      <c r="A37" s="0" t="s">
        <v>134</v>
      </c>
      <c r="B37" s="0" t="n">
        <f aca="false">B36+Assumptions!$B$5-Assumptions!$B$4</f>
        <v>110599.102613111</v>
      </c>
    </row>
    <row r="38" customFormat="false" ht="15" hidden="false" customHeight="false" outlineLevel="0" collapsed="false">
      <c r="A38" s="0" t="s">
        <v>135</v>
      </c>
      <c r="B38" s="0" t="n">
        <f aca="false">B37/Assumptions!$B$3*Assumptions!$B$10</f>
        <v>5.28439810889948</v>
      </c>
    </row>
    <row r="39" customFormat="false" ht="15" hidden="false" customHeight="false" outlineLevel="0" collapsed="false">
      <c r="A39" s="0" t="s">
        <v>136</v>
      </c>
      <c r="B39" s="4" t="n">
        <f aca="false">B38/Assumptions!$B$2-1</f>
        <v>0.643669707278221</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5.28439810889948</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109838.642159382</v>
      </c>
    </row>
    <row r="47" customFormat="false" ht="15" hidden="false" customHeight="false" outlineLevel="0" collapsed="false">
      <c r="A47" s="0" t="s">
        <v>141</v>
      </c>
      <c r="B47" s="0" t="n">
        <f aca="false">(SUMPRODUCT(C19:L19/(1+B45/100)^C4:L4)+B46/(1+B45/100)^L4+Assumptions!$B$5-Assumptions!$B$4)/Assumptions!$B$3*Assumptions!$B$10</f>
        <v>3.56855582556102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-7.47</v>
      </c>
      <c r="D5" s="4" t="n">
        <f aca="false">Assumptions!D41</f>
        <v>0</v>
      </c>
      <c r="E5" s="4" t="n">
        <f aca="false">Assumptions!E41</f>
        <v>3</v>
      </c>
      <c r="F5" s="4" t="n">
        <f aca="false">Assumptions!F41</f>
        <v>4</v>
      </c>
      <c r="G5" s="4" t="n">
        <f aca="false">Assumptions!G41</f>
        <v>4</v>
      </c>
      <c r="H5" s="4" t="n">
        <f aca="false">Assumptions!H41</f>
        <v>3.5</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38</v>
      </c>
      <c r="B6" s="3" t="n">
        <v>1093494</v>
      </c>
      <c r="C6" s="0" t="n">
        <f aca="false">B6*(1+C5/100)</f>
        <v>1011809.9982</v>
      </c>
      <c r="D6" s="0" t="n">
        <f aca="false">C6*(1+D5/100)</f>
        <v>1011809.9982</v>
      </c>
      <c r="E6" s="0" t="n">
        <f aca="false">D6*(1+E5/100)</f>
        <v>1042164.298146</v>
      </c>
      <c r="F6" s="0" t="n">
        <f aca="false">E6*(1+F5/100)</f>
        <v>1083850.87007184</v>
      </c>
      <c r="G6" s="0" t="n">
        <f aca="false">F6*(1+G5/100)</f>
        <v>1127204.90487471</v>
      </c>
      <c r="H6" s="0" t="n">
        <f aca="false">G6*(1+H5/100)</f>
        <v>1166657.07654533</v>
      </c>
      <c r="I6" s="0" t="n">
        <f aca="false">H6*(1+I5/100)</f>
        <v>1201656.78884169</v>
      </c>
      <c r="J6" s="0" t="n">
        <f aca="false">I6*(1+J5/100)</f>
        <v>1237706.49250694</v>
      </c>
      <c r="K6" s="0" t="n">
        <f aca="false">J6*(1+K5/100)</f>
        <v>1268649.15481961</v>
      </c>
      <c r="L6" s="0" t="n">
        <f aca="false">K6*(1+L5/100)</f>
        <v>1300365.3836901</v>
      </c>
    </row>
    <row r="7" customFormat="false" ht="15" hidden="false" customHeight="false" outlineLevel="0" collapsed="false">
      <c r="A7" s="0" t="s">
        <v>98</v>
      </c>
      <c r="C7" s="4" t="n">
        <f aca="false">Assumptions!C42</f>
        <v>1.65</v>
      </c>
      <c r="D7" s="4" t="n">
        <f aca="false">Assumptions!D42</f>
        <v>1.85</v>
      </c>
      <c r="E7" s="4" t="n">
        <f aca="false">Assumptions!E42</f>
        <v>2.05</v>
      </c>
      <c r="F7" s="4" t="n">
        <f aca="false">Assumptions!F42</f>
        <v>2.2</v>
      </c>
      <c r="G7" s="4" t="n">
        <f aca="false">Assumptions!G42</f>
        <v>2.3</v>
      </c>
      <c r="H7" s="4" t="n">
        <f aca="false">Assumptions!H42</f>
        <v>2.35</v>
      </c>
      <c r="I7" s="4" t="n">
        <f aca="false">Assumptions!I42</f>
        <v>2.4</v>
      </c>
      <c r="J7" s="4" t="n">
        <f aca="false">Assumptions!J42</f>
        <v>2.4</v>
      </c>
      <c r="K7" s="4" t="n">
        <f aca="false">Assumptions!K42</f>
        <v>2.4</v>
      </c>
      <c r="L7" s="4" t="n">
        <f aca="false">Assumptions!L42</f>
        <v>2.4</v>
      </c>
    </row>
    <row r="8" customFormat="false" ht="15" hidden="false" customHeight="false" outlineLevel="0" collapsed="false">
      <c r="A8" s="0" t="s">
        <v>44</v>
      </c>
      <c r="C8" s="0" t="n">
        <f aca="false">C6*C7/100</f>
        <v>16694.8649703</v>
      </c>
      <c r="D8" s="0" t="n">
        <f aca="false">D6*D7/100</f>
        <v>18718.4849667</v>
      </c>
      <c r="E8" s="0" t="n">
        <f aca="false">E6*E7/100</f>
        <v>21364.368111993</v>
      </c>
      <c r="F8" s="0" t="n">
        <f aca="false">F6*F7/100</f>
        <v>23844.7191415805</v>
      </c>
      <c r="G8" s="0" t="n">
        <f aca="false">G6*G7/100</f>
        <v>25925.7128121184</v>
      </c>
      <c r="H8" s="0" t="n">
        <f aca="false">H6*H7/100</f>
        <v>27416.4412988152</v>
      </c>
      <c r="I8" s="0" t="n">
        <f aca="false">I6*I7/100</f>
        <v>28839.7629322005</v>
      </c>
      <c r="J8" s="0" t="n">
        <f aca="false">J6*J7/100</f>
        <v>29704.9558201665</v>
      </c>
      <c r="K8" s="0" t="n">
        <f aca="false">K6*K7/100</f>
        <v>30447.5797156707</v>
      </c>
      <c r="L8" s="0" t="n">
        <f aca="false">L6*L7/100</f>
        <v>31208.7692085625</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16694.8649703</v>
      </c>
      <c r="D11" s="0" t="n">
        <f aca="false">D8+D10+D24</f>
        <v>18718.4849667</v>
      </c>
      <c r="E11" s="0" t="n">
        <f aca="false">E8+E10+E24</f>
        <v>21364.368111993</v>
      </c>
      <c r="F11" s="0" t="n">
        <f aca="false">F8+F10+F24</f>
        <v>23844.7191415805</v>
      </c>
      <c r="G11" s="0" t="n">
        <f aca="false">G8+G10+G24</f>
        <v>25925.7128121184</v>
      </c>
      <c r="H11" s="0" t="n">
        <f aca="false">H8+H10+H24</f>
        <v>27416.4412988152</v>
      </c>
      <c r="I11" s="0" t="n">
        <f aca="false">I8+I10+I24</f>
        <v>28839.7629322005</v>
      </c>
      <c r="J11" s="0" t="n">
        <f aca="false">J8+J10+J24</f>
        <v>29704.9558201665</v>
      </c>
      <c r="K11" s="0" t="n">
        <f aca="false">K8+K10+K24</f>
        <v>30447.5797156707</v>
      </c>
      <c r="L11" s="0" t="n">
        <f aca="false">L8+L10+L24</f>
        <v>31208.7692085625</v>
      </c>
    </row>
    <row r="12" customFormat="false" ht="15" hidden="false" customHeight="false" outlineLevel="0" collapsed="false">
      <c r="A12" s="0" t="s">
        <v>116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117</v>
      </c>
      <c r="C13" s="0" t="n">
        <f aca="false">C11+C12</f>
        <v>16694.8649703</v>
      </c>
      <c r="D13" s="0" t="n">
        <f aca="false">D11+D12</f>
        <v>18718.4849667</v>
      </c>
      <c r="E13" s="0" t="n">
        <f aca="false">E11+E12</f>
        <v>21364.368111993</v>
      </c>
      <c r="F13" s="0" t="n">
        <f aca="false">F11+F12</f>
        <v>23844.7191415805</v>
      </c>
      <c r="G13" s="0" t="n">
        <f aca="false">G11+G12</f>
        <v>25925.7128121184</v>
      </c>
      <c r="H13" s="0" t="n">
        <f aca="false">H11+H12</f>
        <v>27416.4412988152</v>
      </c>
      <c r="I13" s="0" t="n">
        <f aca="false">I11+I12</f>
        <v>28839.7629322005</v>
      </c>
      <c r="J13" s="0" t="n">
        <f aca="false">J11+J12</f>
        <v>29704.9558201665</v>
      </c>
      <c r="K13" s="0" t="n">
        <f aca="false">K11+K12</f>
        <v>30447.5797156707</v>
      </c>
      <c r="L13" s="0" t="n">
        <f aca="false">L11+L12</f>
        <v>31208.7692085625</v>
      </c>
    </row>
    <row r="14" customFormat="false" ht="15" hidden="false" customHeight="false" outlineLevel="0" collapsed="false">
      <c r="A14" s="0" t="s">
        <v>103</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118</v>
      </c>
      <c r="C15" s="0" t="n">
        <f aca="false">C13-MAX(0,C13)*C14/100</f>
        <v>16694.8649703</v>
      </c>
      <c r="D15" s="0" t="n">
        <f aca="false">D13-MAX(0,D13)*D14/100</f>
        <v>18718.4849667</v>
      </c>
      <c r="E15" s="0" t="n">
        <f aca="false">E13-MAX(0,E13)*E14/100</f>
        <v>21364.368111993</v>
      </c>
      <c r="F15" s="0" t="n">
        <f aca="false">F13-MAX(0,F13)*F14/100</f>
        <v>23844.7191415805</v>
      </c>
      <c r="G15" s="0" t="n">
        <f aca="false">G13-MAX(0,G13)*G14/100</f>
        <v>25925.7128121184</v>
      </c>
      <c r="H15" s="0" t="n">
        <f aca="false">H13-MAX(0,H13)*H14/100</f>
        <v>27416.4412988152</v>
      </c>
      <c r="I15" s="0" t="n">
        <f aca="false">I13-MAX(0,I13)*I14/100</f>
        <v>28839.7629322005</v>
      </c>
      <c r="J15" s="0" t="n">
        <f aca="false">J13-MAX(0,J13)*J14/100</f>
        <v>29704.9558201665</v>
      </c>
      <c r="K15" s="0" t="n">
        <f aca="false">K13-MAX(0,K13)*K14/100</f>
        <v>30447.5797156707</v>
      </c>
      <c r="L15" s="0" t="n">
        <f aca="false">L13-MAX(0,L13)*L14/100</f>
        <v>31208.7692085625</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-C6*Assumptions!C46/100</f>
        <v>-11352.508179804</v>
      </c>
      <c r="D17" s="4" t="n">
        <f aca="false">-D6*Assumptions!D46/100</f>
        <v>-11231.09098002</v>
      </c>
      <c r="E17" s="4" t="n">
        <f aca="false">-E6*Assumptions!E46/100</f>
        <v>-10682.1840559965</v>
      </c>
      <c r="F17" s="4" t="n">
        <f aca="false">-F6*Assumptions!F46/100</f>
        <v>-10014.7820394638</v>
      </c>
      <c r="G17" s="4" t="n">
        <f aca="false">-G6*Assumptions!G46/100</f>
        <v>-9073.99948424145</v>
      </c>
      <c r="H17" s="4" t="n">
        <f aca="false">-H6*Assumptions!H46/100</f>
        <v>-8224.93238964457</v>
      </c>
      <c r="I17" s="4" t="n">
        <f aca="false">-I6*Assumptions!I46/100</f>
        <v>-8651.92887966016</v>
      </c>
      <c r="J17" s="4" t="n">
        <f aca="false">-J6*Assumptions!J46/100</f>
        <v>-8911.48674604996</v>
      </c>
      <c r="K17" s="4" t="n">
        <f aca="false">-K6*Assumptions!K46/100</f>
        <v>-9134.27391470121</v>
      </c>
      <c r="L17" s="4" t="n">
        <f aca="false">-L6*Assumptions!L46/100</f>
        <v>-9362.63076256874</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5342.356790496</v>
      </c>
      <c r="D19" s="0" t="n">
        <f aca="false">D15+D16+D17+D18</f>
        <v>7487.39398668</v>
      </c>
      <c r="E19" s="0" t="n">
        <f aca="false">E15+E16+E17+E18</f>
        <v>10682.1840559965</v>
      </c>
      <c r="F19" s="0" t="n">
        <f aca="false">F15+F16+F17+F18</f>
        <v>13829.9371021167</v>
      </c>
      <c r="G19" s="0" t="n">
        <f aca="false">G15+G16+G17+G18</f>
        <v>16851.713327877</v>
      </c>
      <c r="H19" s="0" t="n">
        <f aca="false">H15+H16+H17+H18</f>
        <v>19191.5089091707</v>
      </c>
      <c r="I19" s="0" t="n">
        <f aca="false">I15+I16+I17+I18</f>
        <v>20187.8340525404</v>
      </c>
      <c r="J19" s="0" t="n">
        <f aca="false">J15+J16+J17+J18</f>
        <v>20793.4690741166</v>
      </c>
      <c r="K19" s="0" t="n">
        <f aca="false">K15+K16+K17+K18</f>
        <v>21313.3058009695</v>
      </c>
      <c r="L19" s="0" t="n">
        <f aca="false">L15+L16+L17+L18</f>
        <v>21846.1384459937</v>
      </c>
    </row>
    <row r="20" customFormat="false" ht="15" hidden="false" customHeight="false" outlineLevel="0" collapsed="false">
      <c r="A20" s="0" t="s">
        <v>123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124</v>
      </c>
      <c r="C21" s="0" t="n">
        <f aca="false">C19*C20</f>
        <v>4834.71202759819</v>
      </c>
      <c r="D21" s="0" t="n">
        <f aca="false">D19*D20</f>
        <v>6132.05625329539</v>
      </c>
      <c r="E21" s="0" t="n">
        <f aca="false">E19*E20</f>
        <v>7917.22928875701</v>
      </c>
      <c r="F21" s="0" t="n">
        <f aca="false">F19*F20</f>
        <v>9276.2211282217</v>
      </c>
      <c r="G21" s="0" t="n">
        <f aca="false">G19*G20</f>
        <v>10228.9880779579</v>
      </c>
      <c r="H21" s="0" t="n">
        <f aca="false">H19*H20</f>
        <v>10542.3020183896</v>
      </c>
      <c r="I21" s="0" t="n">
        <f aca="false">I19*I20</f>
        <v>10035.8411820388</v>
      </c>
      <c r="J21" s="0" t="n">
        <f aca="false">J19*J20</f>
        <v>9354.67549095015</v>
      </c>
      <c r="K21" s="0" t="n">
        <f aca="false">K19*K20</f>
        <v>8677.41391694471</v>
      </c>
      <c r="L21" s="0" t="n">
        <f aca="false">L19*L20</f>
        <v>8049.18485508446</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10.5</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10</v>
      </c>
    </row>
    <row r="30" customFormat="false" ht="15" hidden="false" customHeight="false" outlineLevel="0" collapsed="false">
      <c r="A30" s="0" t="s">
        <v>127</v>
      </c>
      <c r="B30" s="0" t="n">
        <f aca="false">SUM(C21:L21)</f>
        <v>85048.6242392379</v>
      </c>
    </row>
    <row r="31" customFormat="false" ht="15" hidden="false" customHeight="false" outlineLevel="0" collapsed="false">
      <c r="A31" s="0" t="s">
        <v>128</v>
      </c>
      <c r="B31" s="0" t="n">
        <f aca="false">L19</f>
        <v>21846.1384459937</v>
      </c>
    </row>
    <row r="32" customFormat="false" ht="15" hidden="false" customHeight="false" outlineLevel="0" collapsed="false">
      <c r="A32" s="0" t="s">
        <v>129</v>
      </c>
      <c r="B32" s="0" t="n">
        <f aca="false">IF(B27&gt;B28,B31*(1+B28/100)/((B27-B28)/100),B31*B29)</f>
        <v>279903.648839295</v>
      </c>
    </row>
    <row r="33" customFormat="false" ht="15" hidden="false" customHeight="false" outlineLevel="0" collapsed="false">
      <c r="A33" s="0" t="s">
        <v>130</v>
      </c>
      <c r="B33" s="0" t="n">
        <f aca="false">B31*B29</f>
        <v>218461.384459937</v>
      </c>
    </row>
    <row r="34" customFormat="false" ht="15" hidden="false" customHeight="false" outlineLevel="0" collapsed="false">
      <c r="A34" s="0" t="s">
        <v>131</v>
      </c>
      <c r="B34" s="0" t="n">
        <f aca="false">MAX(0,MIN(B32,B33))</f>
        <v>218461.384459937</v>
      </c>
    </row>
    <row r="35" customFormat="false" ht="15" hidden="false" customHeight="false" outlineLevel="0" collapsed="false">
      <c r="A35" s="0" t="s">
        <v>132</v>
      </c>
      <c r="B35" s="0" t="n">
        <f aca="false">B34/(1+B27/100)^L4</f>
        <v>80491.8485508446</v>
      </c>
    </row>
    <row r="36" customFormat="false" ht="15" hidden="false" customHeight="false" outlineLevel="0" collapsed="false">
      <c r="A36" s="0" t="s">
        <v>133</v>
      </c>
      <c r="B36" s="0" t="n">
        <f aca="false">B30+B35</f>
        <v>165540.472790083</v>
      </c>
    </row>
    <row r="37" customFormat="false" ht="15" hidden="false" customHeight="false" outlineLevel="0" collapsed="false">
      <c r="A37" s="0" t="s">
        <v>134</v>
      </c>
      <c r="B37" s="0" t="n">
        <f aca="false">B36+Assumptions!$B$5-Assumptions!$B$4</f>
        <v>165540.472790083</v>
      </c>
    </row>
    <row r="38" customFormat="false" ht="15" hidden="false" customHeight="false" outlineLevel="0" collapsed="false">
      <c r="A38" s="0" t="s">
        <v>135</v>
      </c>
      <c r="B38" s="0" t="n">
        <f aca="false">B37/Assumptions!$B$3*Assumptions!$B$10</f>
        <v>7.90948335646387</v>
      </c>
    </row>
    <row r="39" customFormat="false" ht="15" hidden="false" customHeight="false" outlineLevel="0" collapsed="false">
      <c r="A39" s="0" t="s">
        <v>136</v>
      </c>
      <c r="B39" s="4" t="n">
        <f aca="false">B38/Assumptions!$B$2-1</f>
        <v>1.46018144835579</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7.90948335646387</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179138.335257149</v>
      </c>
    </row>
    <row r="47" customFormat="false" ht="15" hidden="false" customHeight="false" outlineLevel="0" collapsed="false">
      <c r="A47" s="0" t="s">
        <v>141</v>
      </c>
      <c r="B47" s="0" t="n">
        <f aca="false">(SUMPRODUCT(C19:L19/(1+B45/100)^C4:L4)+B46/(1+B45/100)^L4+Assumptions!$B$5-Assumptions!$B$4)/Assumptions!$B$3*Assumptions!$B$10</f>
        <v>5.35319744185304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2.44695054449192</v>
      </c>
      <c r="C4" s="0" t="n">
        <f aca="false">B4/Assumptions!$B$2-1</f>
        <v>-0.238895631573275</v>
      </c>
      <c r="D4" s="4" t="n">
        <f aca="false">Assumptions!$B$24</f>
        <v>0.3</v>
      </c>
      <c r="E4" s="4" t="n">
        <f aca="false">DCF_Bear!$B$43</f>
        <v>2.44695054449192</v>
      </c>
      <c r="F4" s="4" t="n">
        <f aca="false">DCF_Bear!$B$47</f>
        <v>1.63403815589823</v>
      </c>
    </row>
    <row r="5" customFormat="false" ht="15" hidden="false" customHeight="false" outlineLevel="0" collapsed="false">
      <c r="A5" s="0" t="s">
        <v>150</v>
      </c>
      <c r="B5" s="4" t="n">
        <f aca="false">DCF_Base!$B$38</f>
        <v>5.28439810889948</v>
      </c>
      <c r="C5" s="0" t="n">
        <f aca="false">B5/Assumptions!$B$2-1</f>
        <v>0.643669707278221</v>
      </c>
      <c r="D5" s="4" t="n">
        <f aca="false">Assumptions!$B$38</f>
        <v>0.5</v>
      </c>
      <c r="E5" s="4" t="n">
        <f aca="false">DCF_Base!$B$43</f>
        <v>5.28439810889948</v>
      </c>
      <c r="F5" s="4" t="n">
        <f aca="false">DCF_Base!$B$47</f>
        <v>3.56855582556102</v>
      </c>
    </row>
    <row r="6" customFormat="false" ht="15" hidden="false" customHeight="false" outlineLevel="0" collapsed="false">
      <c r="A6" s="0" t="s">
        <v>151</v>
      </c>
      <c r="B6" s="4" t="n">
        <f aca="false">DCF_Bull!$B$38</f>
        <v>7.90948335646387</v>
      </c>
      <c r="C6" s="0" t="n">
        <f aca="false">B6/Assumptions!$B$2-1</f>
        <v>1.46018144835579</v>
      </c>
      <c r="D6" s="4" t="n">
        <f aca="false">Assumptions!$B$52</f>
        <v>0.2</v>
      </c>
      <c r="E6" s="4" t="n">
        <f aca="false">DCF_Bull!$B$43</f>
        <v>7.90948335646387</v>
      </c>
      <c r="F6" s="4" t="n">
        <f aca="false">DCF_Bull!$B$47</f>
        <v>5.35319744185304</v>
      </c>
    </row>
    <row r="8" customFormat="false" ht="15" hidden="false" customHeight="false" outlineLevel="0" collapsed="false">
      <c r="A8" s="0" t="s">
        <v>152</v>
      </c>
      <c r="B8" s="0" t="n">
        <f aca="false">SUMPRODUCT(B4:B6,D4:D6)</f>
        <v>4.95818088909009</v>
      </c>
    </row>
    <row r="9" customFormat="false" ht="15" hidden="false" customHeight="false" outlineLevel="0" collapsed="false">
      <c r="A9" s="0" t="s">
        <v>153</v>
      </c>
      <c r="B9" s="0" t="n">
        <f aca="false">SUMPRODUCT(E4:E6,D4:D6)</f>
        <v>4.95818088909009</v>
      </c>
    </row>
    <row r="10" customFormat="false" ht="15" hidden="false" customHeight="false" outlineLevel="0" collapsed="false">
      <c r="A10" s="0" t="s">
        <v>154</v>
      </c>
      <c r="B10" s="0" t="n">
        <f aca="false">1-Assumptions!$B$2/B8</f>
        <v>0.351576702843932</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3.34512884792059</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5.87045956211099</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5.47108461044118</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5.28439810889948</v>
      </c>
      <c r="C17" s="3" t="n">
        <v>10.5</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5.10580553751278</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4.77132173122461</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3.56855582556102</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6.0840715505718</v>
      </c>
      <c r="C24" s="0" t="n">
        <f aca="false">(SUMPRODUCT(DCF_Base!$C$19:$L$19/(1+$A$24/100)^DCF_Base!$C$4:$L$4)+MAX(0,MIN(IF($A$24&gt;$C$23,DCF_Base!$L$19*(1+$C$23/100)/(($A$24-$C$23)/100),DCF_Base!$L$19*DCF_Base!$B$29),DCF_Base!$L$19*DCF_Base!$B$29))/(1+$A$24/100)^DCF_Base!$L$4+Assumptions!$B$5-Assumptions!$B$4)/Assumptions!$B$3*Assumptions!$B$10</f>
        <v>6.0840715505718</v>
      </c>
      <c r="D24" s="0" t="n">
        <f aca="false">(SUMPRODUCT(DCF_Base!$C$19:$L$19/(1+$A$24/100)^DCF_Base!$C$4:$L$4)+MAX(0,MIN(IF($A$24&gt;$D$23,DCF_Base!$L$19*(1+$D$23/100)/(($A$24-$D$23)/100),DCF_Base!$L$19*DCF_Base!$B$29),DCF_Base!$L$19*DCF_Base!$B$29))/(1+$A$24/100)^DCF_Base!$L$4+Assumptions!$B$5-Assumptions!$B$4)/Assumptions!$B$3*Assumptions!$B$10</f>
        <v>6.0840715505718</v>
      </c>
      <c r="E24" s="0" t="n">
        <f aca="false">(SUMPRODUCT(DCF_Base!$C$19:$L$19/(1+$A$24/100)^DCF_Base!$C$4:$L$4)+MAX(0,MIN(IF($A$24&gt;$E$23,DCF_Base!$L$19*(1+$E$23/100)/(($A$24-$E$23)/100),DCF_Base!$L$19*DCF_Base!$B$29),DCF_Base!$L$19*DCF_Base!$B$29))/(1+$A$24/100)^DCF_Base!$L$4+Assumptions!$B$5-Assumptions!$B$4)/Assumptions!$B$3*Assumptions!$B$10</f>
        <v>6.0840715505718</v>
      </c>
      <c r="F24" s="0" t="n">
        <f aca="false">(SUMPRODUCT(DCF_Base!$C$19:$L$19/(1+$A$24/100)^DCF_Base!$C$4:$L$4)+MAX(0,MIN(IF($A$24&gt;$F$23,DCF_Base!$L$19*(1+$F$23/100)/(($A$24-$F$23)/100),DCF_Base!$L$19*DCF_Base!$B$29),DCF_Base!$L$19*DCF_Base!$B$29))/(1+$A$24/100)^DCF_Base!$L$4+Assumptions!$B$5-Assumptions!$B$4)/Assumptions!$B$3*Assumptions!$B$10</f>
        <v>6.0840715505718</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5.66628889416785</v>
      </c>
      <c r="C25" s="0" t="n">
        <f aca="false">(SUMPRODUCT(DCF_Base!$C$19:$L$19/(1+$A$25/100)^DCF_Base!$C$4:$L$4)+MAX(0,MIN(IF($A$25&gt;$C$23,DCF_Base!$L$19*(1+$C$23/100)/(($A$25-$C$23)/100),DCF_Base!$L$19*DCF_Base!$B$29),DCF_Base!$L$19*DCF_Base!$B$29))/(1+$A$25/100)^DCF_Base!$L$4+Assumptions!$B$5-Assumptions!$B$4)/Assumptions!$B$3*Assumptions!$B$10</f>
        <v>5.66628889416785</v>
      </c>
      <c r="D25" s="0" t="n">
        <f aca="false">(SUMPRODUCT(DCF_Base!$C$19:$L$19/(1+$A$25/100)^DCF_Base!$C$4:$L$4)+MAX(0,MIN(IF($A$25&gt;$D$23,DCF_Base!$L$19*(1+$D$23/100)/(($A$25-$D$23)/100),DCF_Base!$L$19*DCF_Base!$B$29),DCF_Base!$L$19*DCF_Base!$B$29))/(1+$A$25/100)^DCF_Base!$L$4+Assumptions!$B$5-Assumptions!$B$4)/Assumptions!$B$3*Assumptions!$B$10</f>
        <v>5.66628889416785</v>
      </c>
      <c r="E25" s="0" t="n">
        <f aca="false">(SUMPRODUCT(DCF_Base!$C$19:$L$19/(1+$A$25/100)^DCF_Base!$C$4:$L$4)+MAX(0,MIN(IF($A$25&gt;$E$23,DCF_Base!$L$19*(1+$E$23/100)/(($A$25-$E$23)/100),DCF_Base!$L$19*DCF_Base!$B$29),DCF_Base!$L$19*DCF_Base!$B$29))/(1+$A$25/100)^DCF_Base!$L$4+Assumptions!$B$5-Assumptions!$B$4)/Assumptions!$B$3*Assumptions!$B$10</f>
        <v>5.66628889416785</v>
      </c>
      <c r="F25" s="0" t="n">
        <f aca="false">(SUMPRODUCT(DCF_Base!$C$19:$L$19/(1+$A$25/100)^DCF_Base!$C$4:$L$4)+MAX(0,MIN(IF($A$25&gt;$F$23,DCF_Base!$L$19*(1+$F$23/100)/(($A$25-$F$23)/100),DCF_Base!$L$19*DCF_Base!$B$29),DCF_Base!$L$19*DCF_Base!$B$29))/(1+$A$25/100)^DCF_Base!$L$4+Assumptions!$B$5-Assumptions!$B$4)/Assumptions!$B$3*Assumptions!$B$10</f>
        <v>5.66628889416785</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5.28439810889948</v>
      </c>
      <c r="C26" s="0" t="n">
        <f aca="false">(SUMPRODUCT(DCF_Base!$C$19:$L$19/(1+$A$26/100)^DCF_Base!$C$4:$L$4)+MAX(0,MIN(IF($A$26&gt;$C$23,DCF_Base!$L$19*(1+$C$23/100)/(($A$26-$C$23)/100),DCF_Base!$L$19*DCF_Base!$B$29),DCF_Base!$L$19*DCF_Base!$B$29))/(1+$A$26/100)^DCF_Base!$L$4+Assumptions!$B$5-Assumptions!$B$4)/Assumptions!$B$3*Assumptions!$B$10</f>
        <v>5.28439810889948</v>
      </c>
      <c r="D26" s="0" t="n">
        <f aca="false">(SUMPRODUCT(DCF_Base!$C$19:$L$19/(1+$A$26/100)^DCF_Base!$C$4:$L$4)+MAX(0,MIN(IF($A$26&gt;$D$23,DCF_Base!$L$19*(1+$D$23/100)/(($A$26-$D$23)/100),DCF_Base!$L$19*DCF_Base!$B$29),DCF_Base!$L$19*DCF_Base!$B$29))/(1+$A$26/100)^DCF_Base!$L$4+Assumptions!$B$5-Assumptions!$B$4)/Assumptions!$B$3*Assumptions!$B$10</f>
        <v>5.28439810889948</v>
      </c>
      <c r="E26" s="0" t="n">
        <f aca="false">(SUMPRODUCT(DCF_Base!$C$19:$L$19/(1+$A$26/100)^DCF_Base!$C$4:$L$4)+MAX(0,MIN(IF($A$26&gt;$E$23,DCF_Base!$L$19*(1+$E$23/100)/(($A$26-$E$23)/100),DCF_Base!$L$19*DCF_Base!$B$29),DCF_Base!$L$19*DCF_Base!$B$29))/(1+$A$26/100)^DCF_Base!$L$4+Assumptions!$B$5-Assumptions!$B$4)/Assumptions!$B$3*Assumptions!$B$10</f>
        <v>5.28439810889948</v>
      </c>
      <c r="F26" s="0" t="n">
        <f aca="false">(SUMPRODUCT(DCF_Base!$C$19:$L$19/(1+$A$26/100)^DCF_Base!$C$4:$L$4)+MAX(0,MIN(IF($A$26&gt;$F$23,DCF_Base!$L$19*(1+$F$23/100)/(($A$26-$F$23)/100),DCF_Base!$L$19*DCF_Base!$B$29),DCF_Base!$L$19*DCF_Base!$B$29))/(1+$A$26/100)^DCF_Base!$L$4+Assumptions!$B$5-Assumptions!$B$4)/Assumptions!$B$3*Assumptions!$B$10</f>
        <v>5.28439810889948</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4.84911085779367</v>
      </c>
      <c r="C27" s="0" t="n">
        <f aca="false">(SUMPRODUCT(DCF_Base!$C$19:$L$19/(1+$A$27/100)^DCF_Base!$C$4:$L$4)+MAX(0,MIN(IF($A$27&gt;$C$23,DCF_Base!$L$19*(1+$C$23/100)/(($A$27-$C$23)/100),DCF_Base!$L$19*DCF_Base!$B$29),DCF_Base!$L$19*DCF_Base!$B$29))/(1+$A$27/100)^DCF_Base!$L$4+Assumptions!$B$5-Assumptions!$B$4)/Assumptions!$B$3*Assumptions!$B$10</f>
        <v>4.93490631238496</v>
      </c>
      <c r="D27" s="0" t="n">
        <f aca="false">(SUMPRODUCT(DCF_Base!$C$19:$L$19/(1+$A$27/100)^DCF_Base!$C$4:$L$4)+MAX(0,MIN(IF($A$27&gt;$D$23,DCF_Base!$L$19*(1+$D$23/100)/(($A$27-$D$23)/100),DCF_Base!$L$19*DCF_Base!$B$29),DCF_Base!$L$19*DCF_Base!$B$29))/(1+$A$27/100)^DCF_Base!$L$4+Assumptions!$B$5-Assumptions!$B$4)/Assumptions!$B$3*Assumptions!$B$10</f>
        <v>4.93490631238496</v>
      </c>
      <c r="E27" s="0" t="n">
        <f aca="false">(SUMPRODUCT(DCF_Base!$C$19:$L$19/(1+$A$27/100)^DCF_Base!$C$4:$L$4)+MAX(0,MIN(IF($A$27&gt;$E$23,DCF_Base!$L$19*(1+$E$23/100)/(($A$27-$E$23)/100),DCF_Base!$L$19*DCF_Base!$B$29),DCF_Base!$L$19*DCF_Base!$B$29))/(1+$A$27/100)^DCF_Base!$L$4+Assumptions!$B$5-Assumptions!$B$4)/Assumptions!$B$3*Assumptions!$B$10</f>
        <v>4.93490631238496</v>
      </c>
      <c r="F27" s="0" t="n">
        <f aca="false">(SUMPRODUCT(DCF_Base!$C$19:$L$19/(1+$A$27/100)^DCF_Base!$C$4:$L$4)+MAX(0,MIN(IF($A$27&gt;$F$23,DCF_Base!$L$19*(1+$F$23/100)/(($A$27-$F$23)/100),DCF_Base!$L$19*DCF_Base!$B$29),DCF_Base!$L$19*DCF_Base!$B$29))/(1+$A$27/100)^DCF_Base!$L$4+Assumptions!$B$5-Assumptions!$B$4)/Assumptions!$B$3*Assumptions!$B$10</f>
        <v>4.93490631238496</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4.36394004364402</v>
      </c>
      <c r="C28" s="0" t="n">
        <f aca="false">(SUMPRODUCT(DCF_Base!$C$19:$L$19/(1+$A$28/100)^DCF_Base!$C$4:$L$4)+MAX(0,MIN(IF($A$28&gt;$C$23,DCF_Base!$L$19*(1+$C$23/100)/(($A$28-$C$23)/100),DCF_Base!$L$19*DCF_Base!$B$29),DCF_Base!$L$19*DCF_Base!$B$29))/(1+$A$28/100)^DCF_Base!$L$4+Assumptions!$B$5-Assumptions!$B$4)/Assumptions!$B$3*Assumptions!$B$10</f>
        <v>4.4555302501249</v>
      </c>
      <c r="D28" s="0" t="n">
        <f aca="false">(SUMPRODUCT(DCF_Base!$C$19:$L$19/(1+$A$28/100)^DCF_Base!$C$4:$L$4)+MAX(0,MIN(IF($A$28&gt;$D$23,DCF_Base!$L$19*(1+$D$23/100)/(($A$28-$D$23)/100),DCF_Base!$L$19*DCF_Base!$B$29),DCF_Base!$L$19*DCF_Base!$B$29))/(1+$A$28/100)^DCF_Base!$L$4+Assumptions!$B$5-Assumptions!$B$4)/Assumptions!$B$3*Assumptions!$B$10</f>
        <v>4.55584333341348</v>
      </c>
      <c r="E28" s="0" t="n">
        <f aca="false">(SUMPRODUCT(DCF_Base!$C$19:$L$19/(1+$A$28/100)^DCF_Base!$C$4:$L$4)+MAX(0,MIN(IF($A$28&gt;$E$23,DCF_Base!$L$19*(1+$E$23/100)/(($A$28-$E$23)/100),DCF_Base!$L$19*DCF_Base!$B$29),DCF_Base!$L$19*DCF_Base!$B$29))/(1+$A$28/100)^DCF_Base!$L$4+Assumptions!$B$5-Assumptions!$B$4)/Assumptions!$B$3*Assumptions!$B$10</f>
        <v>4.61469367560945</v>
      </c>
      <c r="F28" s="0" t="n">
        <f aca="false">(SUMPRODUCT(DCF_Base!$C$19:$L$19/(1+$A$28/100)^DCF_Base!$C$4:$L$4)+MAX(0,MIN(IF($A$28&gt;$F$23,DCF_Base!$L$19*(1+$F$23/100)/(($A$28-$F$23)/100),DCF_Base!$L$19*DCF_Base!$B$29),DCF_Base!$L$19*DCF_Base!$B$29))/(1+$A$28/100)^DCF_Base!$L$4+Assumptions!$B$5-Assumptions!$B$4)/Assumptions!$B$3*Assumptions!$B$10</f>
        <v>4.61469367560945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2026-10-10T22:34:48Z</dcterms:created>
  <dc:creator>openpyxl</dc:creator>
  <dc:description/>
  <dc:language>en-NZ</dc:language>
  <cp:lastModifiedBy/>
  <dcterms:modified xsi:type="dcterms:W3CDTF">2026-10-10T22:34:48Z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