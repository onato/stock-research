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<sst xmlns="http://schemas.openxmlformats.org/spreadsheetml/2006/main" count="360" uniqueCount="165">
  <si>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</si>
  <si>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FRE.DE</t>
  </si>
  <si>
    <t xml:space="preserve">Company</t>
  </si>
  <si>
    <t xml:space="preserve">Fresenius SE &amp; Co. KGaA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</si>
  <si>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</si>
  <si>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</si>
  <si>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</si>
  <si>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</si>
  <si>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2026-10-23T15:37:04Z regular close (Xetra)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</si>
  <si>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</si>
  <si>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</si>
  <si>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</si>
  <si>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</si>
  <si>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</si>
  <si>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</si>
  <si>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</si>
  <si>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</si>
  <si>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</si>
  <si>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</si>
  <si>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</si>
  <si>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</si>
  <si>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2026-10-24T22:46:53Z</t>
  </si>
  <si>
    <t xml:space="preserve">Drivers file</t>
  </si>
  <si>
    <t xml:space="preserve">FRE.DE_Drivers.json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</si>
  <si>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</si>
  <si>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</si>
  <si>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</si>
  <si>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post-#FutureFresenius Fresenius (Kabi + Helios) on unlevered owner FCF built from guided segment margins, with leases charged in the flows, cash-settled LTIP already inside EBITDA, minorities deducted once, and the ~28.5% FMC stake added at market rather than through its dividends. Pre-2023 history is a different (FMC-consolidated) company and is ignored for forward growth.
key_risks_to_valuation: Balance-sheet anchors are 31-Dec-2025 (2026 interims not extracted); ten months of FCF and any FMC share sales since are not in net debt; FMC stake value moves with FME.DE: +/- EUR 5 on FME is ~+/- EUR 0.68/share; Recurring special-items leakage (0.6pp) is a judgment; Fresenius has reported special items every year of the transformation; Terminal cap (16x) binds well below Gordon (~22.7x at 6.5%/2%): value is sensitive to the multiple a regulated hospital/generics group commands; NCI valued at ~14x earnings (EUR 1.0bn) rather than at a disclosed fair value; German hospital reform and Kabi US pricing are policy-driven, not forecastable from the filings</t>
  </si>
  <si>
    <t xml:space="preserve">Data sources</t>
  </si>
  <si>
    <t xml:space="preserve">price: Yahoo Finance chart API (FRE.DE, Xetra) at inputs.price_as_of; 52-week range 35.11-52.96. FME.DE from the same API on 2026-10-23 for the FMC stake.
financials: FRE.DE_Metrics.csv / FRE.DE.duckdb (metrics_normalized, kpis); FY2025 Annual Report (income statement, cash flow statement incl. interest/tax paid, balance sheet, net debt note, lease note: ROU depreciation 187m, lease interest 46m, share-based payment note: 89m cash-settled, NCI note 12/30, exchangeable bond note 28, pensions note 29); FMC H1 2026 interim (Fresenius 28.5% of 268.6m issued FMC shares at 30-Jun-2026).
qualitative: FRE.DE_Analysis.json (2026-10-25): business model, segment guidance for FY2026, bull/bear cases, recent developments.</t>
  </si>
  <si>
    <t xml:space="preserve">Scenario narrative: bear</t>
  </si>
  <si>
    <t xml:space="preserve">Generic-injectable price erosion (Sandoz, Hikma, Pfizer/Hospira, GPO consolidation), recurring US tariff and USD headwinds, and Chinese procurement changes stall Kabi's margin gains; biosimilar launches slip. Helios is squeezed by German reimbursement that lags wage inflation and by reform restructuring, staying below its 10% band. Revenue grows ~3% and the EBITDA margin erodes ~0.8pp, capex runs higher for reform-driven hospital consolidation, and the terminal is valued at 12x with 1.5% growth. Leverage stays inside the 2.5-3.0x corridor, so there is no solvency case.</t>
  </si>
  <si>
    <t xml:space="preserve">Scenario narrative: base</t>
  </si>
  <si>
    <t xml:space="preserve">Fresenius delivers the 'Rejuvenate' plan roughly as guided: FY2026 organic growth ~5.5% (guide 4-7%), Kabi growing mid-to-high single digits with biosimilars (denosumab, tocilizumab, ustekinumab) and MedTech (Ivenix pumps, plasma-collection yields) lifting its EBIT margin into the raised 17-19% band, while Helios grows mid-single digits and recovers from the energy-relief roll-off to ~10.5-11% as German hospital reform consolidates sites into regional clusters. Group pre-special EBIT margin rises from 11.5% to ~13% by 2030, restructuring costs keep recurring at ~0.6% of revenue, capex stays ~4.5% net of subsidies, and growth fades to 2.5%. The FMC stake is worth its market price; no credit for further deleveraging beyond what the flows deliver.</t>
  </si>
  <si>
    <t xml:space="preserve">Scenario narrative: bull</t>
  </si>
  <si>
    <t xml:space="preserve">Biopharma doubles revenue by 2030 at ~20% EBIT margin as planned, MedTech scales in the US, and IV/nutrition benefit from US/EU supply-chain reshoring; Helios captures share as smaller German hospitals close under the reform and Quironsalud keeps compounding private-pay volumes in Spain. Revenue grows 6-6.5% for three years and the EBITDA margin reaches ~18.4% (group EBIT ~14%). Terminal growth 2.5% and an 18x cap, roughly where the market prices the business today.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</si>
  <si>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</si>
  <si>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</si>
  <si>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</si>
  <si>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</si>
  <si>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</si>
  <si>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</si>
  <si>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</si>
  <si>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</si>
  <si>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</si>
  <si>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</si>
  <si>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</si>
  <si>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</si>
  <si>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</si>
  <si>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</si>
  <si>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</si>
  <si>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</si>
  <si>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</si>
  <si>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</si>
  <si>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</si>
  <si>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</si>
  <si>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</si>
  <si>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</si>
  <si>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</si>
  <si>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</si>
  <si>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</si>
  <si>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</si>
  <si>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</si>
  <si>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</si>
  <si>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</si>
  <si>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</si>
  <si>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</si>
  <si>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</si>
  <si>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</si>
  <si>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</si>
  <si>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</si>
  <si>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</si>
  <si>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</si>
  <si>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</si>
  <si>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</si>
  <si>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</si>
  <si>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</si>
  <si>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</si>
  <si>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</si>
  <si>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</si>
  <si>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</si>
  <si>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</si>
  <si>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</si>
  <si>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</si>
  <si>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</si>
  <si>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</si>
  <si>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</si>
  <si>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</si>
  <si>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</si>
  <si>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</si>
  <si>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</si>
  <si>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</si>
  <si>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</si>
  <si>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</si>
  <si>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</si>
  <si>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</si>
  <si>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</si>
  <si>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</si>
  <si>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</si>
  <si>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</si>
  <si>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</si>
  <si>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</si>
  <si>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</si>
  <si>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</si>
  <si>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</si>
  <si>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</si>
  <si>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</si>
  <si>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</si>
  <si>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</si>
  <si>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</si>
  <si>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FRE.DE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</si>
  <si>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</si>
  <si>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</si>
  <si>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</si>
  <si>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</si>
  <si>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</si>
  <si>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</si>
  <si>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</si>
  <si>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</si>
  <si>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</si>
  <si>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</si>
  <si>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</si>
  <si>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</si>
  <si>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</si>
  <si>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</si>
  <si>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</si>
  <si>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</si>
  <si>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</si>
  <si>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</si>
  <si>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</si>
  <si>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</si>
  <si>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</si>
  <si>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</si>
  <si>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</si>
  <si>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</si>
  <si>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</si>
  <si>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</si>
  <si>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</si>
  <si>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</si>
  <si>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</si>
  <si>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</si>
  <si>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FRE.DE owner-FCF component DCF: base case (millions, EUR)</t>
  </si>
  <si>
    <t xml:space="preserve">FRE.DE owner-FCF component DCF: bull case (millions, EUR)</t>
  </si>
  <si>
    <t xml:space="preserve">FRE.DE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</si>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</sst>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46.1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29471</v>
      </c>
      <c r="C2" s="0" t="n">
        <v>19958</v>
      </c>
      <c r="D2" s="0" t="n">
        <v>9513</v>
      </c>
      <c r="E2" s="0" t="n">
        <v>32.3</v>
      </c>
      <c r="F2" s="0" t="n">
        <v>4302</v>
      </c>
      <c r="G2" s="0" t="n">
        <v>14.6</v>
      </c>
      <c r="H2" s="0" t="n">
        <v>5517</v>
      </c>
      <c r="I2" s="0" t="n">
        <v>1560</v>
      </c>
      <c r="J2" s="0" t="n">
        <v>5.3</v>
      </c>
      <c r="K2" s="0" t="n">
        <v>2.83</v>
      </c>
      <c r="L2" s="0" t="n">
        <v>3585</v>
      </c>
      <c r="M2" s="0" t="n">
        <v>1641</v>
      </c>
      <c r="N2" s="0" t="n">
        <v>1944</v>
      </c>
      <c r="O2" s="0" t="n">
        <v>12664</v>
      </c>
      <c r="P2" s="0" t="n">
        <v>46697</v>
      </c>
      <c r="Q2" s="0" t="n">
        <v>25848</v>
      </c>
      <c r="R2" s="0" t="n">
        <v>14780</v>
      </c>
      <c r="S2" s="0" t="n">
        <v>1579</v>
      </c>
      <c r="T2" s="0" t="n">
        <v>546.395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33886</v>
      </c>
      <c r="C3" s="0" t="n">
        <v>23410</v>
      </c>
      <c r="D3" s="0" t="n">
        <v>10476</v>
      </c>
      <c r="E3" s="0" t="n">
        <v>30.9</v>
      </c>
      <c r="F3" s="0" t="n">
        <v>4589</v>
      </c>
      <c r="G3" s="0" t="n">
        <v>13.5</v>
      </c>
      <c r="H3" s="0" t="n">
        <v>6026</v>
      </c>
      <c r="I3" s="0" t="n">
        <v>1814</v>
      </c>
      <c r="J3" s="0" t="n">
        <v>5.4</v>
      </c>
      <c r="K3" s="0" t="n">
        <v>3.25</v>
      </c>
      <c r="L3" s="0" t="n">
        <v>3937</v>
      </c>
      <c r="M3" s="0" t="n">
        <v>1823</v>
      </c>
      <c r="N3" s="0" t="n">
        <v>2114</v>
      </c>
      <c r="O3" s="0" t="n">
        <v>13661</v>
      </c>
      <c r="P3" s="0" t="n">
        <v>53133</v>
      </c>
      <c r="Q3" s="0" t="n">
        <v>31413</v>
      </c>
      <c r="R3" s="0" t="n">
        <v>19042</v>
      </c>
      <c r="S3" s="0" t="n">
        <v>1636</v>
      </c>
      <c r="T3" s="0" t="n">
        <v>554.125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33530</v>
      </c>
      <c r="C4" s="0" t="n">
        <v>23696</v>
      </c>
      <c r="D4" s="0" t="n">
        <v>9834</v>
      </c>
      <c r="E4" s="0" t="n">
        <v>29.3</v>
      </c>
      <c r="F4" s="0" t="n">
        <v>5251</v>
      </c>
      <c r="G4" s="0" t="n">
        <v>15.7</v>
      </c>
      <c r="H4" s="0" t="n">
        <v>6681</v>
      </c>
      <c r="I4" s="0" t="n">
        <v>2027</v>
      </c>
      <c r="J4" s="0" t="n">
        <v>6</v>
      </c>
      <c r="K4" s="0" t="n">
        <v>3.63</v>
      </c>
      <c r="L4" s="0" t="n">
        <v>3742</v>
      </c>
      <c r="M4" s="0" t="n">
        <v>2149</v>
      </c>
      <c r="N4" s="0" t="n">
        <v>1593</v>
      </c>
      <c r="O4" s="0" t="n">
        <v>15411</v>
      </c>
      <c r="P4" s="0" t="n">
        <v>56703</v>
      </c>
      <c r="Q4" s="0" t="n">
        <v>31695</v>
      </c>
      <c r="R4" s="0" t="n">
        <v>18984</v>
      </c>
      <c r="S4" s="0" t="n">
        <v>2709</v>
      </c>
      <c r="T4" s="0" t="n">
        <v>556.225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35409</v>
      </c>
      <c r="C5" s="0" t="n">
        <v>25061</v>
      </c>
      <c r="D5" s="0" t="n">
        <v>10348</v>
      </c>
      <c r="E5" s="0" t="n">
        <v>29.2</v>
      </c>
      <c r="F5" s="0" t="n">
        <v>4631</v>
      </c>
      <c r="G5" s="0" t="n">
        <v>13.1</v>
      </c>
      <c r="H5" s="0" t="n">
        <v>7083</v>
      </c>
      <c r="I5" s="0" t="n">
        <v>1883</v>
      </c>
      <c r="J5" s="0" t="n">
        <v>5.3</v>
      </c>
      <c r="K5" s="0" t="n">
        <v>3.38</v>
      </c>
      <c r="L5" s="0" t="n">
        <v>4263</v>
      </c>
      <c r="M5" s="0" t="n">
        <v>2459</v>
      </c>
      <c r="N5" s="0" t="n">
        <v>1804</v>
      </c>
      <c r="O5" s="0" t="n">
        <v>16778</v>
      </c>
      <c r="P5" s="0" t="n">
        <v>67006</v>
      </c>
      <c r="Q5" s="0" t="n">
        <v>40426</v>
      </c>
      <c r="R5" s="0" t="n">
        <v>27258</v>
      </c>
      <c r="S5" s="0" t="n">
        <v>1654</v>
      </c>
      <c r="T5" s="0" t="n">
        <v>557.38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36277</v>
      </c>
      <c r="C6" s="0" t="n">
        <v>25961</v>
      </c>
      <c r="D6" s="0" t="n">
        <v>10316</v>
      </c>
      <c r="E6" s="0" t="n">
        <v>28.4</v>
      </c>
      <c r="F6" s="0" t="n">
        <v>4385</v>
      </c>
      <c r="G6" s="0" t="n">
        <v>12.1</v>
      </c>
      <c r="H6" s="0" t="n">
        <v>7100</v>
      </c>
      <c r="I6" s="0" t="n">
        <v>1707</v>
      </c>
      <c r="J6" s="0" t="n">
        <v>4.7</v>
      </c>
      <c r="K6" s="0" t="n">
        <v>3.06</v>
      </c>
      <c r="L6" s="0" t="n">
        <v>6549</v>
      </c>
      <c r="M6" s="0" t="n">
        <v>2406</v>
      </c>
      <c r="N6" s="0" t="n">
        <v>4143</v>
      </c>
      <c r="O6" s="0" t="n">
        <v>16949</v>
      </c>
      <c r="P6" s="0" t="n">
        <v>66646</v>
      </c>
      <c r="Q6" s="0" t="n">
        <v>40623</v>
      </c>
      <c r="R6" s="0" t="n">
        <v>25913</v>
      </c>
      <c r="S6" s="0" t="n">
        <v>1837</v>
      </c>
      <c r="T6" s="0" t="n">
        <v>557.541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37520</v>
      </c>
      <c r="C7" s="0" t="n">
        <v>27209</v>
      </c>
      <c r="D7" s="0" t="n">
        <v>10311</v>
      </c>
      <c r="E7" s="0" t="n">
        <v>27.5</v>
      </c>
      <c r="F7" s="0" t="n">
        <v>4158</v>
      </c>
      <c r="G7" s="0" t="n">
        <v>11.1</v>
      </c>
      <c r="H7" s="0" t="n">
        <v>6825</v>
      </c>
      <c r="I7" s="0" t="n">
        <v>1818</v>
      </c>
      <c r="J7" s="0" t="n">
        <v>4.8</v>
      </c>
      <c r="K7" s="0" t="n">
        <v>3.26</v>
      </c>
      <c r="L7" s="0" t="n">
        <v>5078</v>
      </c>
      <c r="M7" s="0" t="n">
        <v>2047</v>
      </c>
      <c r="N7" s="0" t="n">
        <v>3031</v>
      </c>
      <c r="O7" s="0" t="n">
        <v>18998</v>
      </c>
      <c r="P7" s="0" t="n">
        <v>71962</v>
      </c>
      <c r="Q7" s="0" t="n">
        <v>42674</v>
      </c>
      <c r="R7" s="0" t="n">
        <v>27155</v>
      </c>
      <c r="S7" s="0" t="n">
        <v>2764</v>
      </c>
      <c r="T7" s="0" t="n">
        <v>558.502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40840</v>
      </c>
      <c r="C8" s="0" t="n">
        <v>30115</v>
      </c>
      <c r="D8" s="0" t="n">
        <v>10725</v>
      </c>
      <c r="E8" s="0" t="n">
        <v>26.3</v>
      </c>
      <c r="F8" s="0" t="n">
        <v>3321</v>
      </c>
      <c r="G8" s="0" t="n">
        <v>8.1</v>
      </c>
      <c r="H8" s="0" t="n">
        <v>6294</v>
      </c>
      <c r="I8" s="0" t="n">
        <v>1372</v>
      </c>
      <c r="J8" s="0" t="n">
        <v>3.4</v>
      </c>
      <c r="K8" s="0" t="n">
        <v>2.44</v>
      </c>
      <c r="L8" s="0" t="n">
        <v>4198</v>
      </c>
      <c r="M8" s="0" t="n">
        <v>1917</v>
      </c>
      <c r="N8" s="0" t="n">
        <v>2281</v>
      </c>
      <c r="O8" s="0" t="n">
        <v>20415</v>
      </c>
      <c r="P8" s="0" t="n">
        <v>76415</v>
      </c>
      <c r="Q8" s="0" t="n">
        <v>44197</v>
      </c>
      <c r="R8" s="0" t="n">
        <v>27763</v>
      </c>
      <c r="S8" s="0" t="n">
        <v>2749</v>
      </c>
      <c r="T8" s="0" t="n">
        <v>563.237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22299</v>
      </c>
      <c r="C9" s="0" t="n">
        <v>17241</v>
      </c>
      <c r="D9" s="0" t="n">
        <v>5058</v>
      </c>
      <c r="E9" s="0" t="n">
        <v>22.7</v>
      </c>
      <c r="F9" s="0" t="n">
        <v>1143</v>
      </c>
      <c r="G9" s="0" t="n">
        <v>5.1</v>
      </c>
      <c r="H9" s="0" t="n">
        <v>2621</v>
      </c>
      <c r="I9" s="0" t="n">
        <v>-594</v>
      </c>
      <c r="J9" s="0" t="n">
        <v>-2.7</v>
      </c>
      <c r="K9" s="0" t="n">
        <v>-1.05</v>
      </c>
      <c r="L9" s="0" t="n">
        <v>2131</v>
      </c>
      <c r="M9" s="0" t="n">
        <v>1134</v>
      </c>
      <c r="N9" s="0" t="n">
        <v>997</v>
      </c>
      <c r="O9" s="0" t="n">
        <v>18999</v>
      </c>
      <c r="P9" s="0" t="n">
        <v>45284</v>
      </c>
      <c r="Q9" s="0" t="n">
        <v>25633</v>
      </c>
      <c r="R9" s="0" t="n">
        <v>15830</v>
      </c>
      <c r="S9" s="0" t="n">
        <v>2562</v>
      </c>
      <c r="T9" s="0" t="n">
        <v>563.237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21833</v>
      </c>
      <c r="C10" s="0" t="n">
        <v>16455</v>
      </c>
      <c r="D10" s="0" t="n">
        <v>5378</v>
      </c>
      <c r="E10" s="0" t="n">
        <v>24.6</v>
      </c>
      <c r="F10" s="0" t="n">
        <v>1782</v>
      </c>
      <c r="G10" s="0" t="n">
        <v>8.2</v>
      </c>
      <c r="H10" s="0" t="n">
        <v>2986</v>
      </c>
      <c r="I10" s="0" t="n">
        <v>471</v>
      </c>
      <c r="J10" s="0" t="n">
        <v>2.2</v>
      </c>
      <c r="K10" s="0" t="n">
        <v>0.84</v>
      </c>
      <c r="L10" s="0" t="n">
        <v>2401</v>
      </c>
      <c r="M10" s="0" t="n">
        <v>923</v>
      </c>
      <c r="N10" s="0" t="n">
        <v>1478</v>
      </c>
      <c r="O10" s="0" t="n">
        <v>19542</v>
      </c>
      <c r="P10" s="0" t="n">
        <v>43550</v>
      </c>
      <c r="Q10" s="0" t="n">
        <v>23260</v>
      </c>
      <c r="R10" s="0" t="n">
        <v>13577</v>
      </c>
      <c r="S10" s="0" t="n">
        <v>2282</v>
      </c>
      <c r="T10" s="0" t="n">
        <v>563.237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22873</v>
      </c>
      <c r="C11" s="0" t="n">
        <v>17180</v>
      </c>
      <c r="D11" s="0" t="n">
        <v>5693</v>
      </c>
      <c r="E11" s="0" t="n">
        <v>24.9</v>
      </c>
      <c r="F11" s="0" t="n">
        <v>2310</v>
      </c>
      <c r="G11" s="0" t="n">
        <v>10.1</v>
      </c>
      <c r="H11" s="0" t="n">
        <v>3430</v>
      </c>
      <c r="I11" s="0" t="n">
        <v>1264</v>
      </c>
      <c r="J11" s="0" t="n">
        <v>5.5</v>
      </c>
      <c r="K11" s="0" t="n">
        <v>2.24</v>
      </c>
      <c r="L11" s="0" t="n">
        <v>2606</v>
      </c>
      <c r="M11" s="0" t="n">
        <v>1105</v>
      </c>
      <c r="N11" s="0" t="n">
        <v>1501</v>
      </c>
      <c r="O11" s="0" t="n">
        <v>19104</v>
      </c>
      <c r="P11" s="0" t="n">
        <v>41395</v>
      </c>
      <c r="Q11" s="0" t="n">
        <v>21628</v>
      </c>
      <c r="R11" s="0" t="n">
        <v>11933</v>
      </c>
      <c r="S11" s="0" t="n">
        <v>1585</v>
      </c>
      <c r="T11" s="0" t="n">
        <v>563.237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46.1</v>
      </c>
    </row>
    <row r="3" customFormat="false" ht="15" hidden="false" customHeight="false" outlineLevel="0" collapsed="false">
      <c r="A3" s="0" t="s">
        <v>76</v>
      </c>
      <c r="B3" s="3" t="n">
        <v>563.237</v>
      </c>
    </row>
    <row r="4" customFormat="false" ht="15" hidden="false" customHeight="false" outlineLevel="0" collapsed="false">
      <c r="A4" s="0" t="s">
        <v>77</v>
      </c>
      <c r="B4" s="3" t="n">
        <v>8937</v>
      </c>
    </row>
    <row r="5" customFormat="false" ht="15" hidden="false" customHeight="false" outlineLevel="0" collapsed="false">
      <c r="A5" s="0" t="s">
        <v>78</v>
      </c>
      <c r="B5" s="3" t="n">
        <v>1366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22554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3.5</v>
      </c>
      <c r="D13" s="3" t="n">
        <v>3</v>
      </c>
      <c r="E13" s="3" t="n">
        <v>3</v>
      </c>
      <c r="F13" s="3" t="n">
        <v>3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16</v>
      </c>
      <c r="D14" s="3" t="n">
        <v>15.8</v>
      </c>
      <c r="E14" s="3" t="n">
        <v>15.6</v>
      </c>
      <c r="F14" s="3" t="n">
        <v>15.5</v>
      </c>
      <c r="G14" s="3" t="n">
        <v>15.5</v>
      </c>
      <c r="H14" s="3" t="n">
        <v>15.5</v>
      </c>
      <c r="I14" s="3" t="n">
        <v>15.5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0.97</v>
      </c>
      <c r="D16" s="3" t="n">
        <v>0.97</v>
      </c>
      <c r="E16" s="3" t="n">
        <v>0.97</v>
      </c>
      <c r="F16" s="3" t="n">
        <v>0.97</v>
      </c>
      <c r="G16" s="3" t="n">
        <v>0.97</v>
      </c>
      <c r="H16" s="3" t="n">
        <v>0.97</v>
      </c>
      <c r="I16" s="3" t="n">
        <v>0.97</v>
      </c>
      <c r="J16" s="3" t="n">
        <v>0.97</v>
      </c>
      <c r="K16" s="3" t="n">
        <v>0.97</v>
      </c>
      <c r="L16" s="3" t="n">
        <v>0.97</v>
      </c>
    </row>
    <row r="17" customFormat="false" ht="15" hidden="false" customHeight="false" outlineLevel="0" collapsed="false">
      <c r="A17" s="0" t="s">
        <v>100</v>
      </c>
      <c r="C17" s="3" t="n">
        <v>4</v>
      </c>
      <c r="D17" s="3" t="n">
        <v>4</v>
      </c>
      <c r="E17" s="3" t="n">
        <v>4.1</v>
      </c>
      <c r="F17" s="3" t="n">
        <v>4.1</v>
      </c>
      <c r="G17" s="3" t="n">
        <v>4.2</v>
      </c>
      <c r="H17" s="3" t="n">
        <v>4.2</v>
      </c>
      <c r="I17" s="3" t="n">
        <v>4.2</v>
      </c>
      <c r="J17" s="3" t="n">
        <v>4.2</v>
      </c>
      <c r="K17" s="3" t="n">
        <v>4.2</v>
      </c>
      <c r="L17" s="3" t="n">
        <v>4.2</v>
      </c>
    </row>
    <row r="18" customFormat="false" ht="15" hidden="false" customHeight="false" outlineLevel="0" collapsed="false">
      <c r="A18" s="0" t="s">
        <v>101</v>
      </c>
      <c r="C18" s="3" t="n">
        <v>4.7</v>
      </c>
      <c r="D18" s="3" t="n">
        <v>4.8</v>
      </c>
      <c r="E18" s="3" t="n">
        <v>4.8</v>
      </c>
      <c r="F18" s="3" t="n">
        <v>4.8</v>
      </c>
      <c r="G18" s="3" t="n">
        <v>4.8</v>
      </c>
      <c r="H18" s="3" t="n">
        <v>4.7</v>
      </c>
      <c r="I18" s="3" t="n">
        <v>4.7</v>
      </c>
      <c r="J18" s="3" t="n">
        <v>4.7</v>
      </c>
      <c r="K18" s="3" t="n">
        <v>4.7</v>
      </c>
      <c r="L18" s="3" t="n">
        <v>4.7</v>
      </c>
    </row>
    <row r="19" customFormat="false" ht="15" hidden="false" customHeight="false" outlineLevel="0" collapsed="false">
      <c r="A19" s="0" t="s">
        <v>102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103</v>
      </c>
      <c r="B20" s="3" t="n">
        <v>6.5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-10</v>
      </c>
    </row>
    <row r="24" customFormat="false" ht="15" hidden="false" customHeight="false" outlineLevel="0" collapsed="false">
      <c r="A24" s="0" t="s">
        <v>107</v>
      </c>
      <c r="B24" s="3" t="n">
        <v>0.2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4.5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16.3</v>
      </c>
      <c r="D28" s="3" t="n">
        <v>16.6</v>
      </c>
      <c r="E28" s="3" t="n">
        <v>16.9</v>
      </c>
      <c r="F28" s="3" t="n">
        <v>17.1</v>
      </c>
      <c r="G28" s="3" t="n">
        <v>17.3</v>
      </c>
      <c r="H28" s="3" t="n">
        <v>17.3</v>
      </c>
      <c r="I28" s="3" t="n">
        <v>17.3</v>
      </c>
      <c r="J28" s="3" t="n">
        <v>17.3</v>
      </c>
      <c r="K28" s="3" t="n">
        <v>17.3</v>
      </c>
      <c r="L28" s="3" t="n">
        <v>17.3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0.97</v>
      </c>
      <c r="D30" s="3" t="n">
        <v>0.97</v>
      </c>
      <c r="E30" s="3" t="n">
        <v>0.97</v>
      </c>
      <c r="F30" s="3" t="n">
        <v>0.97</v>
      </c>
      <c r="G30" s="3" t="n">
        <v>0.97</v>
      </c>
      <c r="H30" s="3" t="n">
        <v>0.97</v>
      </c>
      <c r="I30" s="3" t="n">
        <v>0.97</v>
      </c>
      <c r="J30" s="3" t="n">
        <v>0.97</v>
      </c>
      <c r="K30" s="3" t="n">
        <v>0.97</v>
      </c>
      <c r="L30" s="3" t="n">
        <v>0.97</v>
      </c>
    </row>
    <row r="31" customFormat="false" ht="15" hidden="false" customHeight="false" outlineLevel="0" collapsed="false">
      <c r="A31" s="0" t="s">
        <v>100</v>
      </c>
      <c r="C31" s="3" t="n">
        <v>4</v>
      </c>
      <c r="D31" s="3" t="n">
        <v>4</v>
      </c>
      <c r="E31" s="3" t="n">
        <v>4.1</v>
      </c>
      <c r="F31" s="3" t="n">
        <v>4.1</v>
      </c>
      <c r="G31" s="3" t="n">
        <v>4.2</v>
      </c>
      <c r="H31" s="3" t="n">
        <v>4.2</v>
      </c>
      <c r="I31" s="3" t="n">
        <v>4.2</v>
      </c>
      <c r="J31" s="3" t="n">
        <v>4.2</v>
      </c>
      <c r="K31" s="3" t="n">
        <v>4.2</v>
      </c>
      <c r="L31" s="3" t="n">
        <v>4.2</v>
      </c>
    </row>
    <row r="32" customFormat="false" ht="15" hidden="false" customHeight="false" outlineLevel="0" collapsed="false">
      <c r="A32" s="0" t="s">
        <v>101</v>
      </c>
      <c r="C32" s="3" t="n">
        <v>4.6</v>
      </c>
      <c r="D32" s="3" t="n">
        <v>4.7</v>
      </c>
      <c r="E32" s="3" t="n">
        <v>4.7</v>
      </c>
      <c r="F32" s="3" t="n">
        <v>4.6</v>
      </c>
      <c r="G32" s="3" t="n">
        <v>4.6</v>
      </c>
      <c r="H32" s="3" t="n">
        <v>4.5</v>
      </c>
      <c r="I32" s="3" t="n">
        <v>4.5</v>
      </c>
      <c r="J32" s="3" t="n">
        <v>4.5</v>
      </c>
      <c r="K32" s="3" t="n">
        <v>4.4</v>
      </c>
      <c r="L32" s="3" t="n">
        <v>4.4</v>
      </c>
    </row>
    <row r="33" customFormat="false" ht="15" hidden="false" customHeight="false" outlineLevel="0" collapsed="false">
      <c r="A33" s="0" t="s">
        <v>102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103</v>
      </c>
      <c r="B34" s="3" t="n">
        <v>6.5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16</v>
      </c>
    </row>
    <row r="37" customFormat="false" ht="15" hidden="false" customHeight="false" outlineLevel="0" collapsed="false">
      <c r="A37" s="0" t="s">
        <v>106</v>
      </c>
      <c r="B37" s="3" t="n">
        <v>-10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5.5</v>
      </c>
      <c r="D41" s="3" t="n">
        <v>6.5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16.5</v>
      </c>
      <c r="D42" s="3" t="n">
        <v>17</v>
      </c>
      <c r="E42" s="3" t="n">
        <v>17.5</v>
      </c>
      <c r="F42" s="3" t="n">
        <v>17.9</v>
      </c>
      <c r="G42" s="3" t="n">
        <v>18.2</v>
      </c>
      <c r="H42" s="3" t="n">
        <v>18.4</v>
      </c>
      <c r="I42" s="3" t="n">
        <v>18.4</v>
      </c>
      <c r="J42" s="3" t="n">
        <v>18.4</v>
      </c>
      <c r="K42" s="3" t="n">
        <v>18.4</v>
      </c>
      <c r="L42" s="3" t="n">
        <v>18.4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0.97</v>
      </c>
      <c r="D44" s="3" t="n">
        <v>0.97</v>
      </c>
      <c r="E44" s="3" t="n">
        <v>0.97</v>
      </c>
      <c r="F44" s="3" t="n">
        <v>0.97</v>
      </c>
      <c r="G44" s="3" t="n">
        <v>0.97</v>
      </c>
      <c r="H44" s="3" t="n">
        <v>0.97</v>
      </c>
      <c r="I44" s="3" t="n">
        <v>0.97</v>
      </c>
      <c r="J44" s="3" t="n">
        <v>0.97</v>
      </c>
      <c r="K44" s="3" t="n">
        <v>0.97</v>
      </c>
      <c r="L44" s="3" t="n">
        <v>0.97</v>
      </c>
    </row>
    <row r="45" customFormat="false" ht="15" hidden="false" customHeight="false" outlineLevel="0" collapsed="false">
      <c r="A45" s="0" t="s">
        <v>100</v>
      </c>
      <c r="C45" s="3" t="n">
        <v>4</v>
      </c>
      <c r="D45" s="3" t="n">
        <v>4</v>
      </c>
      <c r="E45" s="3" t="n">
        <v>4.1</v>
      </c>
      <c r="F45" s="3" t="n">
        <v>4.1</v>
      </c>
      <c r="G45" s="3" t="n">
        <v>4.2</v>
      </c>
      <c r="H45" s="3" t="n">
        <v>4.2</v>
      </c>
      <c r="I45" s="3" t="n">
        <v>4.2</v>
      </c>
      <c r="J45" s="3" t="n">
        <v>4.2</v>
      </c>
      <c r="K45" s="3" t="n">
        <v>4.2</v>
      </c>
      <c r="L45" s="3" t="n">
        <v>4.2</v>
      </c>
    </row>
    <row r="46" customFormat="false" ht="15" hidden="false" customHeight="false" outlineLevel="0" collapsed="false">
      <c r="A46" s="0" t="s">
        <v>101</v>
      </c>
      <c r="C46" s="3" t="n">
        <v>4.6</v>
      </c>
      <c r="D46" s="3" t="n">
        <v>4.7</v>
      </c>
      <c r="E46" s="3" t="n">
        <v>4.7</v>
      </c>
      <c r="F46" s="3" t="n">
        <v>4.6</v>
      </c>
      <c r="G46" s="3" t="n">
        <v>4.6</v>
      </c>
      <c r="H46" s="3" t="n">
        <v>4.5</v>
      </c>
      <c r="I46" s="3" t="n">
        <v>4.5</v>
      </c>
      <c r="J46" s="3" t="n">
        <v>4.5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102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103</v>
      </c>
      <c r="B48" s="3" t="n">
        <v>6.5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18</v>
      </c>
    </row>
    <row r="51" customFormat="false" ht="15" hidden="false" customHeight="false" outlineLevel="0" collapsed="false">
      <c r="A51" s="0" t="s">
        <v>106</v>
      </c>
      <c r="B51" s="3" t="n">
        <v>-10</v>
      </c>
    </row>
    <row r="52" customFormat="false" ht="15" hidden="false" customHeight="false" outlineLevel="0" collapsed="false">
      <c r="A52" s="0" t="s">
        <v>107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3.5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22554</v>
      </c>
      <c r="C6" s="0" t="n">
        <f aca="false">B6*(1+C5/100)</f>
        <v>23343.39</v>
      </c>
      <c r="D6" s="0" t="n">
        <f aca="false">C6*(1+D5/100)</f>
        <v>24043.6917</v>
      </c>
      <c r="E6" s="0" t="n">
        <f aca="false">D6*(1+E5/100)</f>
        <v>24765.002451</v>
      </c>
      <c r="F6" s="0" t="n">
        <f aca="false">E6*(1+F5/100)</f>
        <v>25507.95252453</v>
      </c>
      <c r="G6" s="0" t="n">
        <f aca="false">F6*(1+G5/100)</f>
        <v>26145.6513376433</v>
      </c>
      <c r="H6" s="0" t="n">
        <f aca="false">G6*(1+H5/100)</f>
        <v>26799.2926210843</v>
      </c>
      <c r="I6" s="0" t="n">
        <f aca="false">H6*(1+I5/100)</f>
        <v>27469.2749366114</v>
      </c>
      <c r="J6" s="0" t="n">
        <f aca="false">I6*(1+J5/100)</f>
        <v>28018.6604353437</v>
      </c>
      <c r="K6" s="0" t="n">
        <f aca="false">J6*(1+K5/100)</f>
        <v>28579.0336440505</v>
      </c>
      <c r="L6" s="0" t="n">
        <f aca="false">K6*(1+L5/100)</f>
        <v>29150.6143169316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16</v>
      </c>
      <c r="D7" s="4" t="n">
        <f aca="false">Assumptions!D14</f>
        <v>15.8</v>
      </c>
      <c r="E7" s="4" t="n">
        <f aca="false">Assumptions!E14</f>
        <v>15.6</v>
      </c>
      <c r="F7" s="4" t="n">
        <f aca="false">Assumptions!F14</f>
        <v>15.5</v>
      </c>
      <c r="G7" s="4" t="n">
        <f aca="false">Assumptions!G14</f>
        <v>15.5</v>
      </c>
      <c r="H7" s="4" t="n">
        <f aca="false">Assumptions!H14</f>
        <v>15.5</v>
      </c>
      <c r="I7" s="4" t="n">
        <f aca="false">Assumptions!I14</f>
        <v>15.5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3734.9424</v>
      </c>
      <c r="D8" s="0" t="n">
        <f aca="false">D6*D7/100</f>
        <v>3798.9032886</v>
      </c>
      <c r="E8" s="0" t="n">
        <f aca="false">E6*E7/100</f>
        <v>3863.340382356</v>
      </c>
      <c r="F8" s="0" t="n">
        <f aca="false">F6*F7/100</f>
        <v>3953.73264130215</v>
      </c>
      <c r="G8" s="0" t="n">
        <f aca="false">G6*G7/100</f>
        <v>4052.5759573347</v>
      </c>
      <c r="H8" s="0" t="n">
        <f aca="false">H6*H7/100</f>
        <v>4153.89035626807</v>
      </c>
      <c r="I8" s="0" t="n">
        <f aca="false">I6*I7/100</f>
        <v>4257.73761517477</v>
      </c>
      <c r="J8" s="0" t="n">
        <f aca="false">J6*J7/100</f>
        <v>4342.89236747827</v>
      </c>
      <c r="K8" s="0" t="n">
        <f aca="false">K6*K7/100</f>
        <v>4429.75021482783</v>
      </c>
      <c r="L8" s="0" t="n">
        <f aca="false">L6*L7/100</f>
        <v>4518.34521912439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3508.511517</v>
      </c>
      <c r="D11" s="0" t="n">
        <f aca="false">D8+D10+D24</f>
        <v>3565.67947911</v>
      </c>
      <c r="E11" s="0" t="n">
        <f aca="false">E8+E10+E24</f>
        <v>3623.1198585813</v>
      </c>
      <c r="F11" s="0" t="n">
        <f aca="false">F8+F10+F24</f>
        <v>3706.30550181421</v>
      </c>
      <c r="G11" s="0" t="n">
        <f aca="false">G8+G10+G24</f>
        <v>3798.96313935956</v>
      </c>
      <c r="H11" s="0" t="n">
        <f aca="false">H8+H10+H24</f>
        <v>3893.93721784355</v>
      </c>
      <c r="I11" s="0" t="n">
        <f aca="false">I8+I10+I24</f>
        <v>3991.28564828964</v>
      </c>
      <c r="J11" s="0" t="n">
        <f aca="false">J8+J10+J24</f>
        <v>4071.11136125543</v>
      </c>
      <c r="K11" s="0" t="n">
        <f aca="false">K8+K10+K24</f>
        <v>4152.53358848054</v>
      </c>
      <c r="L11" s="0" t="n">
        <f aca="false">L8+L10+L24</f>
        <v>4235.58426025015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-933.7356</v>
      </c>
      <c r="D12" s="4" t="n">
        <f aca="false">-D6*Assumptions!D17/100</f>
        <v>-961.747668</v>
      </c>
      <c r="E12" s="4" t="n">
        <f aca="false">-E6*Assumptions!E17/100</f>
        <v>-1015.365100491</v>
      </c>
      <c r="F12" s="4" t="n">
        <f aca="false">-F6*Assumptions!F17/100</f>
        <v>-1045.82605350573</v>
      </c>
      <c r="G12" s="4" t="n">
        <f aca="false">-G6*Assumptions!G17/100</f>
        <v>-1098.11735618102</v>
      </c>
      <c r="H12" s="4" t="n">
        <f aca="false">-H6*Assumptions!H17/100</f>
        <v>-1125.57029008554</v>
      </c>
      <c r="I12" s="4" t="n">
        <f aca="false">-I6*Assumptions!I17/100</f>
        <v>-1153.70954733768</v>
      </c>
      <c r="J12" s="4" t="n">
        <f aca="false">-J6*Assumptions!J17/100</f>
        <v>-1176.78373828443</v>
      </c>
      <c r="K12" s="4" t="n">
        <f aca="false">-K6*Assumptions!K17/100</f>
        <v>-1200.31941305012</v>
      </c>
      <c r="L12" s="4" t="n">
        <f aca="false">-L6*Assumptions!L17/100</f>
        <v>-1224.32580131113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2574.775917</v>
      </c>
      <c r="D13" s="0" t="n">
        <f aca="false">D11+D12</f>
        <v>2603.93181111</v>
      </c>
      <c r="E13" s="0" t="n">
        <f aca="false">E11+E12</f>
        <v>2607.7547580903</v>
      </c>
      <c r="F13" s="0" t="n">
        <f aca="false">F11+F12</f>
        <v>2660.47944830848</v>
      </c>
      <c r="G13" s="0" t="n">
        <f aca="false">G11+G12</f>
        <v>2700.84578317855</v>
      </c>
      <c r="H13" s="0" t="n">
        <f aca="false">H11+H12</f>
        <v>2768.36692775801</v>
      </c>
      <c r="I13" s="0" t="n">
        <f aca="false">I11+I12</f>
        <v>2837.57610095196</v>
      </c>
      <c r="J13" s="0" t="n">
        <f aca="false">J11+J12</f>
        <v>2894.327622971</v>
      </c>
      <c r="K13" s="0" t="n">
        <f aca="false">K11+K12</f>
        <v>2952.21417543042</v>
      </c>
      <c r="L13" s="0" t="n">
        <f aca="false">L11+L12</f>
        <v>3011.25845893903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1905.33417858</v>
      </c>
      <c r="D15" s="0" t="n">
        <f aca="false">D13-MAX(0,D13)*D14/100</f>
        <v>1926.9095402214</v>
      </c>
      <c r="E15" s="0" t="n">
        <f aca="false">E13-MAX(0,E13)*E14/100</f>
        <v>1929.73852098682</v>
      </c>
      <c r="F15" s="0" t="n">
        <f aca="false">F13-MAX(0,F13)*F14/100</f>
        <v>1968.75479174827</v>
      </c>
      <c r="G15" s="0" t="n">
        <f aca="false">G13-MAX(0,G13)*G14/100</f>
        <v>1998.62587955213</v>
      </c>
      <c r="H15" s="0" t="n">
        <f aca="false">H13-MAX(0,H13)*H14/100</f>
        <v>2048.59152654093</v>
      </c>
      <c r="I15" s="0" t="n">
        <f aca="false">I13-MAX(0,I13)*I14/100</f>
        <v>2099.80631470445</v>
      </c>
      <c r="J15" s="0" t="n">
        <f aca="false">J13-MAX(0,J13)*J14/100</f>
        <v>2141.80244099854</v>
      </c>
      <c r="K15" s="0" t="n">
        <f aca="false">K13-MAX(0,K13)*K14/100</f>
        <v>2184.63848981851</v>
      </c>
      <c r="L15" s="0" t="n">
        <f aca="false">L13-MAX(0,L13)*L14/100</f>
        <v>2228.33125961488</v>
      </c>
    </row>
    <row r="16" customFormat="false" ht="15" hidden="false" customHeight="false" outlineLevel="0" collapsed="false">
      <c r="A16" s="0" t="s">
        <v>118</v>
      </c>
      <c r="C16" s="0" t="n">
        <f aca="false">-C12</f>
        <v>933.7356</v>
      </c>
      <c r="D16" s="0" t="n">
        <f aca="false">-D12</f>
        <v>961.747668</v>
      </c>
      <c r="E16" s="0" t="n">
        <f aca="false">-E12</f>
        <v>1015.365100491</v>
      </c>
      <c r="F16" s="0" t="n">
        <f aca="false">-F12</f>
        <v>1045.82605350573</v>
      </c>
      <c r="G16" s="0" t="n">
        <f aca="false">-G12</f>
        <v>1098.11735618102</v>
      </c>
      <c r="H16" s="0" t="n">
        <f aca="false">-H12</f>
        <v>1125.57029008554</v>
      </c>
      <c r="I16" s="0" t="n">
        <f aca="false">-I12</f>
        <v>1153.70954733768</v>
      </c>
      <c r="J16" s="0" t="n">
        <f aca="false">-J12</f>
        <v>1176.78373828443</v>
      </c>
      <c r="K16" s="0" t="n">
        <f aca="false">-K12</f>
        <v>1200.31941305012</v>
      </c>
      <c r="L16" s="0" t="n">
        <f aca="false">-L12</f>
        <v>1224.32580131113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-1097.13933</v>
      </c>
      <c r="D17" s="4" t="n">
        <f aca="false">-D6*Assumptions!D18/100</f>
        <v>-1154.0972016</v>
      </c>
      <c r="E17" s="4" t="n">
        <f aca="false">-E6*Assumptions!E18/100</f>
        <v>-1188.720117648</v>
      </c>
      <c r="F17" s="4" t="n">
        <f aca="false">-F6*Assumptions!F18/100</f>
        <v>-1224.38172117744</v>
      </c>
      <c r="G17" s="4" t="n">
        <f aca="false">-G6*Assumptions!G18/100</f>
        <v>-1254.99126420688</v>
      </c>
      <c r="H17" s="4" t="n">
        <f aca="false">-H6*Assumptions!H18/100</f>
        <v>-1259.56675319096</v>
      </c>
      <c r="I17" s="4" t="n">
        <f aca="false">-I6*Assumptions!I18/100</f>
        <v>-1291.05592202074</v>
      </c>
      <c r="J17" s="4" t="n">
        <f aca="false">-J6*Assumptions!J18/100</f>
        <v>-1316.87704046115</v>
      </c>
      <c r="K17" s="4" t="n">
        <f aca="false">-K6*Assumptions!K18/100</f>
        <v>-1343.21458127038</v>
      </c>
      <c r="L17" s="4" t="n">
        <f aca="false">-L6*Assumptions!L18/100</f>
        <v>-1370.07887289578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-78.9389999999999</v>
      </c>
      <c r="D18" s="4" t="n">
        <f aca="false">(D6-C6)*Assumptions!$B$23/100</f>
        <v>-70.03017</v>
      </c>
      <c r="E18" s="4" t="n">
        <f aca="false">(E6-D6)*Assumptions!$B$23/100</f>
        <v>-72.1310751000001</v>
      </c>
      <c r="F18" s="4" t="n">
        <f aca="false">(F6-E6)*Assumptions!$B$23/100</f>
        <v>-74.2950073529999</v>
      </c>
      <c r="G18" s="4" t="n">
        <f aca="false">(G6-F6)*Assumptions!$B$23/100</f>
        <v>-63.7698813113249</v>
      </c>
      <c r="H18" s="4" t="n">
        <f aca="false">(H6-G6)*Assumptions!$B$23/100</f>
        <v>-65.364128344108</v>
      </c>
      <c r="I18" s="4" t="n">
        <f aca="false">(I6-H6)*Assumptions!$B$23/100</f>
        <v>-66.9982315527104</v>
      </c>
      <c r="J18" s="4" t="n">
        <f aca="false">(J6-I6)*Assumptions!$B$23/100</f>
        <v>-54.938549873223</v>
      </c>
      <c r="K18" s="4" t="n">
        <f aca="false">(K6-J6)*Assumptions!$B$23/100</f>
        <v>-56.0373208706875</v>
      </c>
      <c r="L18" s="4" t="n">
        <f aca="false">(L6-K6)*Assumptions!$B$23/100</f>
        <v>-57.1580672881013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1662.99144858</v>
      </c>
      <c r="D19" s="0" t="n">
        <f aca="false">D15+D16+D17+D18</f>
        <v>1664.5298366214</v>
      </c>
      <c r="E19" s="0" t="n">
        <f aca="false">E15+E16+E17+E18</f>
        <v>1684.25242872982</v>
      </c>
      <c r="F19" s="0" t="n">
        <f aca="false">F15+F16+F17+F18</f>
        <v>1715.90411672356</v>
      </c>
      <c r="G19" s="0" t="n">
        <f aca="false">G15+G16+G17+G18</f>
        <v>1777.98209021494</v>
      </c>
      <c r="H19" s="0" t="n">
        <f aca="false">H15+H16+H17+H18</f>
        <v>1849.2309350914</v>
      </c>
      <c r="I19" s="0" t="n">
        <f aca="false">I15+I16+I17+I18</f>
        <v>1895.46170846868</v>
      </c>
      <c r="J19" s="0" t="n">
        <f aca="false">J15+J16+J17+J18</f>
        <v>1946.7705889486</v>
      </c>
      <c r="K19" s="0" t="n">
        <f aca="false">K15+K16+K17+K18</f>
        <v>1985.70600072757</v>
      </c>
      <c r="L19" s="0" t="n">
        <f aca="false">L15+L16+L17+L18</f>
        <v>2025.42012074212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1561.49431791549</v>
      </c>
      <c r="D21" s="0" t="n">
        <f aca="false">D19*D20</f>
        <v>1467.54818190518</v>
      </c>
      <c r="E21" s="0" t="n">
        <f aca="false">E19*E20</f>
        <v>1394.30684349095</v>
      </c>
      <c r="F21" s="0" t="n">
        <f aca="false">F19*F20</f>
        <v>1333.8118916907</v>
      </c>
      <c r="G21" s="0" t="n">
        <f aca="false">G19*G20</f>
        <v>1297.71505532536</v>
      </c>
      <c r="H21" s="0" t="n">
        <f aca="false">H19*H20</f>
        <v>1267.34105335675</v>
      </c>
      <c r="I21" s="0" t="n">
        <f aca="false">I19*I20</f>
        <v>1219.74138938091</v>
      </c>
      <c r="J21" s="0" t="n">
        <f aca="false">J19*J20</f>
        <v>1176.29950501967</v>
      </c>
      <c r="K21" s="0" t="n">
        <f aca="false">K19*K20</f>
        <v>1126.59670903292</v>
      </c>
      <c r="L21" s="0" t="n">
        <f aca="false">L19*L20</f>
        <v>1078.99403118646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0.97</v>
      </c>
      <c r="D23" s="4" t="n">
        <f aca="false">Assumptions!D16</f>
        <v>0.97</v>
      </c>
      <c r="E23" s="4" t="n">
        <f aca="false">Assumptions!E16</f>
        <v>0.97</v>
      </c>
      <c r="F23" s="4" t="n">
        <f aca="false">Assumptions!F16</f>
        <v>0.97</v>
      </c>
      <c r="G23" s="4" t="n">
        <f aca="false">Assumptions!G16</f>
        <v>0.97</v>
      </c>
      <c r="H23" s="4" t="n">
        <f aca="false">Assumptions!H16</f>
        <v>0.97</v>
      </c>
      <c r="I23" s="4" t="n">
        <f aca="false">Assumptions!I16</f>
        <v>0.97</v>
      </c>
      <c r="J23" s="4" t="n">
        <f aca="false">Assumptions!J16</f>
        <v>0.97</v>
      </c>
      <c r="K23" s="4" t="n">
        <f aca="false">Assumptions!K16</f>
        <v>0.97</v>
      </c>
      <c r="L23" s="4" t="n">
        <f aca="false">Assumptions!L16</f>
        <v>0.97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-226.430883</v>
      </c>
      <c r="D24" s="0" t="n">
        <f aca="false">-D6*D23/100</f>
        <v>-233.22380949</v>
      </c>
      <c r="E24" s="0" t="n">
        <f aca="false">-E6*E23/100</f>
        <v>-240.2205237747</v>
      </c>
      <c r="F24" s="0" t="n">
        <f aca="false">-F6*F23/100</f>
        <v>-247.427139487941</v>
      </c>
      <c r="G24" s="0" t="n">
        <f aca="false">-G6*G23/100</f>
        <v>-253.61281797514</v>
      </c>
      <c r="H24" s="0" t="n">
        <f aca="false">-H6*H23/100</f>
        <v>-259.953138424518</v>
      </c>
      <c r="I24" s="0" t="n">
        <f aca="false">-I6*I23/100</f>
        <v>-266.451966885131</v>
      </c>
      <c r="J24" s="0" t="n">
        <f aca="false">-J6*J23/100</f>
        <v>-271.781006222834</v>
      </c>
      <c r="K24" s="0" t="n">
        <f aca="false">-K6*K23/100</f>
        <v>-277.21662634729</v>
      </c>
      <c r="L24" s="0" t="n">
        <f aca="false">-L6*L23/100</f>
        <v>-282.760958874236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12923.8489783044</v>
      </c>
    </row>
    <row r="31" customFormat="false" ht="15" hidden="false" customHeight="false" outlineLevel="0" collapsed="false">
      <c r="A31" s="0" t="s">
        <v>127</v>
      </c>
      <c r="B31" s="0" t="n">
        <f aca="false">L19</f>
        <v>2025.42012074212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41116.0284510651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24305.0414489055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24305.0414489055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12947.9283742375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25871.7773525419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18300.7773525419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32.4921433651233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-0.29518127190622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32.4921433651233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15228.1586855797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9.02622621946367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4.5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22554</v>
      </c>
      <c r="C6" s="0" t="n">
        <f aca="false">B6*(1+C5/100)</f>
        <v>23568.93</v>
      </c>
      <c r="D6" s="0" t="n">
        <f aca="false">C6*(1+D5/100)</f>
        <v>24747.3765</v>
      </c>
      <c r="E6" s="0" t="n">
        <f aca="false">D6*(1+E5/100)</f>
        <v>25984.745325</v>
      </c>
      <c r="F6" s="0" t="n">
        <f aca="false">E6*(1+F5/100)</f>
        <v>27154.058864625</v>
      </c>
      <c r="G6" s="0" t="n">
        <f aca="false">F6*(1+G5/100)</f>
        <v>28375.9915135331</v>
      </c>
      <c r="H6" s="0" t="n">
        <f aca="false">G6*(1+H5/100)</f>
        <v>29511.0311740744</v>
      </c>
      <c r="I6" s="0" t="n">
        <f aca="false">H6*(1+I5/100)</f>
        <v>30543.917265167</v>
      </c>
      <c r="J6" s="0" t="n">
        <f aca="false">I6*(1+J5/100)</f>
        <v>31460.2347831221</v>
      </c>
      <c r="K6" s="0" t="n">
        <f aca="false">J6*(1+K5/100)</f>
        <v>32404.0418266157</v>
      </c>
      <c r="L6" s="0" t="n">
        <f aca="false">K6*(1+L5/100)</f>
        <v>33214.1428722811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16.3</v>
      </c>
      <c r="D7" s="4" t="n">
        <f aca="false">Assumptions!D28</f>
        <v>16.6</v>
      </c>
      <c r="E7" s="4" t="n">
        <f aca="false">Assumptions!E28</f>
        <v>16.9</v>
      </c>
      <c r="F7" s="4" t="n">
        <f aca="false">Assumptions!F28</f>
        <v>17.1</v>
      </c>
      <c r="G7" s="4" t="n">
        <f aca="false">Assumptions!G28</f>
        <v>17.3</v>
      </c>
      <c r="H7" s="4" t="n">
        <f aca="false">Assumptions!H28</f>
        <v>17.3</v>
      </c>
      <c r="I7" s="4" t="n">
        <f aca="false">Assumptions!I28</f>
        <v>17.3</v>
      </c>
      <c r="J7" s="4" t="n">
        <f aca="false">Assumptions!J28</f>
        <v>17.3</v>
      </c>
      <c r="K7" s="4" t="n">
        <f aca="false">Assumptions!K28</f>
        <v>17.3</v>
      </c>
      <c r="L7" s="4" t="n">
        <f aca="false">Assumptions!L28</f>
        <v>17.3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3841.73559</v>
      </c>
      <c r="D8" s="0" t="n">
        <f aca="false">D6*D7/100</f>
        <v>4108.064499</v>
      </c>
      <c r="E8" s="0" t="n">
        <f aca="false">E6*E7/100</f>
        <v>4391.421959925</v>
      </c>
      <c r="F8" s="0" t="n">
        <f aca="false">F6*F7/100</f>
        <v>4643.34406585087</v>
      </c>
      <c r="G8" s="0" t="n">
        <f aca="false">G6*G7/100</f>
        <v>4909.04653184123</v>
      </c>
      <c r="H8" s="0" t="n">
        <f aca="false">H6*H7/100</f>
        <v>5105.40839311488</v>
      </c>
      <c r="I8" s="0" t="n">
        <f aca="false">I6*I7/100</f>
        <v>5284.0976868739</v>
      </c>
      <c r="J8" s="0" t="n">
        <f aca="false">J6*J7/100</f>
        <v>5442.62061748012</v>
      </c>
      <c r="K8" s="0" t="n">
        <f aca="false">K6*K7/100</f>
        <v>5605.89923600452</v>
      </c>
      <c r="L8" s="0" t="n">
        <f aca="false">L6*L7/100</f>
        <v>5746.04671690463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3613.116969</v>
      </c>
      <c r="D11" s="0" t="n">
        <f aca="false">D8+D10+D24</f>
        <v>3868.01494695</v>
      </c>
      <c r="E11" s="0" t="n">
        <f aca="false">E8+E10+E24</f>
        <v>4139.3699302725</v>
      </c>
      <c r="F11" s="0" t="n">
        <f aca="false">F8+F10+F24</f>
        <v>4379.94969486401</v>
      </c>
      <c r="G11" s="0" t="n">
        <f aca="false">G8+G10+G24</f>
        <v>4633.79941415996</v>
      </c>
      <c r="H11" s="0" t="n">
        <f aca="false">H8+H10+H24</f>
        <v>4819.15139072636</v>
      </c>
      <c r="I11" s="0" t="n">
        <f aca="false">I8+I10+I24</f>
        <v>4987.82168940178</v>
      </c>
      <c r="J11" s="0" t="n">
        <f aca="false">J8+J10+J24</f>
        <v>5137.45634008383</v>
      </c>
      <c r="K11" s="0" t="n">
        <f aca="false">K8+K10+K24</f>
        <v>5291.58003028635</v>
      </c>
      <c r="L11" s="0" t="n">
        <f aca="false">L8+L10+L24</f>
        <v>5423.86953104351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-942.7572</v>
      </c>
      <c r="D12" s="4" t="n">
        <f aca="false">-D6*Assumptions!D31/100</f>
        <v>-989.89506</v>
      </c>
      <c r="E12" s="4" t="n">
        <f aca="false">-E6*Assumptions!E31/100</f>
        <v>-1065.374558325</v>
      </c>
      <c r="F12" s="4" t="n">
        <f aca="false">-F6*Assumptions!F31/100</f>
        <v>-1113.31641344962</v>
      </c>
      <c r="G12" s="4" t="n">
        <f aca="false">-G6*Assumptions!G31/100</f>
        <v>-1191.79164356839</v>
      </c>
      <c r="H12" s="4" t="n">
        <f aca="false">-H6*Assumptions!H31/100</f>
        <v>-1239.46330931113</v>
      </c>
      <c r="I12" s="4" t="n">
        <f aca="false">-I6*Assumptions!I31/100</f>
        <v>-1282.84452513702</v>
      </c>
      <c r="J12" s="4" t="n">
        <f aca="false">-J6*Assumptions!J31/100</f>
        <v>-1321.32986089113</v>
      </c>
      <c r="K12" s="4" t="n">
        <f aca="false">-K6*Assumptions!K31/100</f>
        <v>-1360.96975671786</v>
      </c>
      <c r="L12" s="4" t="n">
        <f aca="false">-L6*Assumptions!L31/100</f>
        <v>-1394.99400063581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2670.359769</v>
      </c>
      <c r="D13" s="0" t="n">
        <f aca="false">D11+D12</f>
        <v>2878.11988695</v>
      </c>
      <c r="E13" s="0" t="n">
        <f aca="false">E11+E12</f>
        <v>3073.9953719475</v>
      </c>
      <c r="F13" s="0" t="n">
        <f aca="false">F11+F12</f>
        <v>3266.63328141439</v>
      </c>
      <c r="G13" s="0" t="n">
        <f aca="false">G11+G12</f>
        <v>3442.00777059157</v>
      </c>
      <c r="H13" s="0" t="n">
        <f aca="false">H11+H12</f>
        <v>3579.68808141523</v>
      </c>
      <c r="I13" s="0" t="n">
        <f aca="false">I11+I12</f>
        <v>3704.97716426476</v>
      </c>
      <c r="J13" s="0" t="n">
        <f aca="false">J11+J12</f>
        <v>3816.12647919271</v>
      </c>
      <c r="K13" s="0" t="n">
        <f aca="false">K11+K12</f>
        <v>3930.61027356849</v>
      </c>
      <c r="L13" s="0" t="n">
        <f aca="false">L11+L12</f>
        <v>4028.8755304077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1976.06622906</v>
      </c>
      <c r="D15" s="0" t="n">
        <f aca="false">D13-MAX(0,D13)*D14/100</f>
        <v>2129.808716343</v>
      </c>
      <c r="E15" s="0" t="n">
        <f aca="false">E13-MAX(0,E13)*E14/100</f>
        <v>2274.75657524115</v>
      </c>
      <c r="F15" s="0" t="n">
        <f aca="false">F13-MAX(0,F13)*F14/100</f>
        <v>2417.30862824665</v>
      </c>
      <c r="G15" s="0" t="n">
        <f aca="false">G13-MAX(0,G13)*G14/100</f>
        <v>2547.08575023776</v>
      </c>
      <c r="H15" s="0" t="n">
        <f aca="false">H13-MAX(0,H13)*H14/100</f>
        <v>2648.96918024727</v>
      </c>
      <c r="I15" s="0" t="n">
        <f aca="false">I13-MAX(0,I13)*I14/100</f>
        <v>2741.68310155592</v>
      </c>
      <c r="J15" s="0" t="n">
        <f aca="false">J13-MAX(0,J13)*J14/100</f>
        <v>2823.9335946026</v>
      </c>
      <c r="K15" s="0" t="n">
        <f aca="false">K13-MAX(0,K13)*K14/100</f>
        <v>2908.65160244068</v>
      </c>
      <c r="L15" s="0" t="n">
        <f aca="false">L13-MAX(0,L13)*L14/100</f>
        <v>2981.3678925017</v>
      </c>
    </row>
    <row r="16" customFormat="false" ht="15" hidden="false" customHeight="false" outlineLevel="0" collapsed="false">
      <c r="A16" s="0" t="s">
        <v>118</v>
      </c>
      <c r="C16" s="0" t="n">
        <f aca="false">-C12</f>
        <v>942.7572</v>
      </c>
      <c r="D16" s="0" t="n">
        <f aca="false">-D12</f>
        <v>989.89506</v>
      </c>
      <c r="E16" s="0" t="n">
        <f aca="false">-E12</f>
        <v>1065.374558325</v>
      </c>
      <c r="F16" s="0" t="n">
        <f aca="false">-F12</f>
        <v>1113.31641344962</v>
      </c>
      <c r="G16" s="0" t="n">
        <f aca="false">-G12</f>
        <v>1191.79164356839</v>
      </c>
      <c r="H16" s="0" t="n">
        <f aca="false">-H12</f>
        <v>1239.46330931113</v>
      </c>
      <c r="I16" s="0" t="n">
        <f aca="false">-I12</f>
        <v>1282.84452513702</v>
      </c>
      <c r="J16" s="0" t="n">
        <f aca="false">-J12</f>
        <v>1321.32986089113</v>
      </c>
      <c r="K16" s="0" t="n">
        <f aca="false">-K12</f>
        <v>1360.96975671786</v>
      </c>
      <c r="L16" s="0" t="n">
        <f aca="false">-L12</f>
        <v>1394.99400063581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-1084.17078</v>
      </c>
      <c r="D17" s="4" t="n">
        <f aca="false">-D6*Assumptions!D32/100</f>
        <v>-1163.1266955</v>
      </c>
      <c r="E17" s="4" t="n">
        <f aca="false">-E6*Assumptions!E32/100</f>
        <v>-1221.283030275</v>
      </c>
      <c r="F17" s="4" t="n">
        <f aca="false">-F6*Assumptions!F32/100</f>
        <v>-1249.08670777275</v>
      </c>
      <c r="G17" s="4" t="n">
        <f aca="false">-G6*Assumptions!G32/100</f>
        <v>-1305.29560962252</v>
      </c>
      <c r="H17" s="4" t="n">
        <f aca="false">-H6*Assumptions!H32/100</f>
        <v>-1327.99640283335</v>
      </c>
      <c r="I17" s="4" t="n">
        <f aca="false">-I6*Assumptions!I32/100</f>
        <v>-1374.47627693252</v>
      </c>
      <c r="J17" s="4" t="n">
        <f aca="false">-J6*Assumptions!J32/100</f>
        <v>-1415.71056524049</v>
      </c>
      <c r="K17" s="4" t="n">
        <f aca="false">-K6*Assumptions!K32/100</f>
        <v>-1425.77784037109</v>
      </c>
      <c r="L17" s="4" t="n">
        <f aca="false">-L6*Assumptions!L32/100</f>
        <v>-1461.42228638037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-101.493</v>
      </c>
      <c r="D18" s="4" t="n">
        <f aca="false">(D6-C6)*Assumptions!$B$37/100</f>
        <v>-117.84465</v>
      </c>
      <c r="E18" s="4" t="n">
        <f aca="false">(E6-D6)*Assumptions!$B$37/100</f>
        <v>-123.7368825</v>
      </c>
      <c r="F18" s="4" t="n">
        <f aca="false">(F6-E6)*Assumptions!$B$37/100</f>
        <v>-116.9313539625</v>
      </c>
      <c r="G18" s="4" t="n">
        <f aca="false">(G6-F6)*Assumptions!$B$37/100</f>
        <v>-122.193264890812</v>
      </c>
      <c r="H18" s="4" t="n">
        <f aca="false">(H6-G6)*Assumptions!$B$37/100</f>
        <v>-113.503966054133</v>
      </c>
      <c r="I18" s="4" t="n">
        <f aca="false">(I6-H6)*Assumptions!$B$37/100</f>
        <v>-103.28860910926</v>
      </c>
      <c r="J18" s="4" t="n">
        <f aca="false">(J6-I6)*Assumptions!$B$37/100</f>
        <v>-91.6317517955013</v>
      </c>
      <c r="K18" s="4" t="n">
        <f aca="false">(K6-J6)*Assumptions!$B$37/100</f>
        <v>-94.3807043493664</v>
      </c>
      <c r="L18" s="4" t="n">
        <f aca="false">(L6-K6)*Assumptions!$B$37/100</f>
        <v>-81.0101045665389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1733.15964906</v>
      </c>
      <c r="D19" s="0" t="n">
        <f aca="false">D15+D16+D17+D18</f>
        <v>1838.732430843</v>
      </c>
      <c r="E19" s="0" t="n">
        <f aca="false">E15+E16+E17+E18</f>
        <v>1995.11122079115</v>
      </c>
      <c r="F19" s="0" t="n">
        <f aca="false">F15+F16+F17+F18</f>
        <v>2164.60697996102</v>
      </c>
      <c r="G19" s="0" t="n">
        <f aca="false">G15+G16+G17+G18</f>
        <v>2311.38851929281</v>
      </c>
      <c r="H19" s="0" t="n">
        <f aca="false">H15+H16+H17+H18</f>
        <v>2446.93212067091</v>
      </c>
      <c r="I19" s="0" t="n">
        <f aca="false">I15+I16+I17+I18</f>
        <v>2546.76274065116</v>
      </c>
      <c r="J19" s="0" t="n">
        <f aca="false">J15+J16+J17+J18</f>
        <v>2637.92113845773</v>
      </c>
      <c r="K19" s="0" t="n">
        <f aca="false">K15+K16+K17+K18</f>
        <v>2749.46281443808</v>
      </c>
      <c r="L19" s="0" t="n">
        <f aca="false">L15+L16+L17+L18</f>
        <v>2833.9295021906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1627.37995216901</v>
      </c>
      <c r="D21" s="0" t="n">
        <f aca="false">D19*D20</f>
        <v>1621.1355161833</v>
      </c>
      <c r="E21" s="0" t="n">
        <f aca="false">E19*E20</f>
        <v>1651.65101217789</v>
      </c>
      <c r="F21" s="0" t="n">
        <f aca="false">F19*F20</f>
        <v>1682.5989882358</v>
      </c>
      <c r="G21" s="0" t="n">
        <f aca="false">G19*G20</f>
        <v>1687.03818598637</v>
      </c>
      <c r="H21" s="0" t="n">
        <f aca="false">H19*H20</f>
        <v>1676.96606868102</v>
      </c>
      <c r="I21" s="0" t="n">
        <f aca="false">I19*I20</f>
        <v>1638.85765131863</v>
      </c>
      <c r="J21" s="0" t="n">
        <f aca="false">J19*J20</f>
        <v>1593.91422238642</v>
      </c>
      <c r="K21" s="0" t="n">
        <f aca="false">K19*K20</f>
        <v>1559.91660256825</v>
      </c>
      <c r="L21" s="0" t="n">
        <f aca="false">L19*L20</f>
        <v>1509.70802864666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0.97</v>
      </c>
      <c r="D23" s="4" t="n">
        <f aca="false">Assumptions!D30</f>
        <v>0.97</v>
      </c>
      <c r="E23" s="4" t="n">
        <f aca="false">Assumptions!E30</f>
        <v>0.97</v>
      </c>
      <c r="F23" s="4" t="n">
        <f aca="false">Assumptions!F30</f>
        <v>0.97</v>
      </c>
      <c r="G23" s="4" t="n">
        <f aca="false">Assumptions!G30</f>
        <v>0.97</v>
      </c>
      <c r="H23" s="4" t="n">
        <f aca="false">Assumptions!H30</f>
        <v>0.97</v>
      </c>
      <c r="I23" s="4" t="n">
        <f aca="false">Assumptions!I30</f>
        <v>0.97</v>
      </c>
      <c r="J23" s="4" t="n">
        <f aca="false">Assumptions!J30</f>
        <v>0.97</v>
      </c>
      <c r="K23" s="4" t="n">
        <f aca="false">Assumptions!K30</f>
        <v>0.97</v>
      </c>
      <c r="L23" s="4" t="n">
        <f aca="false">Assumptions!L30</f>
        <v>0.97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-228.618621</v>
      </c>
      <c r="D24" s="0" t="n">
        <f aca="false">-D6*D23/100</f>
        <v>-240.04955205</v>
      </c>
      <c r="E24" s="0" t="n">
        <f aca="false">-E6*E23/100</f>
        <v>-252.0520296525</v>
      </c>
      <c r="F24" s="0" t="n">
        <f aca="false">-F6*F23/100</f>
        <v>-263.394370986862</v>
      </c>
      <c r="G24" s="0" t="n">
        <f aca="false">-G6*G23/100</f>
        <v>-275.247117681271</v>
      </c>
      <c r="H24" s="0" t="n">
        <f aca="false">-H6*H23/100</f>
        <v>-286.257002388522</v>
      </c>
      <c r="I24" s="0" t="n">
        <f aca="false">-I6*I23/100</f>
        <v>-296.27599747212</v>
      </c>
      <c r="J24" s="0" t="n">
        <f aca="false">-J6*J23/100</f>
        <v>-305.164277396284</v>
      </c>
      <c r="K24" s="0" t="n">
        <f aca="false">-K6*K23/100</f>
        <v>-314.319205718173</v>
      </c>
      <c r="L24" s="0" t="n">
        <f aca="false">-L6*L23/100</f>
        <v>-322.177185861127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16249.1662283533</v>
      </c>
    </row>
    <row r="31" customFormat="false" ht="15" hidden="false" customHeight="false" outlineLevel="0" collapsed="false">
      <c r="A31" s="0" t="s">
        <v>127</v>
      </c>
      <c r="B31" s="0" t="n">
        <f aca="false">L19</f>
        <v>2833.9295021906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64235.7353829869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45342.8720350495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45342.8720350495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24155.3284583466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40404.4946866999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32833.4946866999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58.2942787613384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0.264517977469379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58.2942787613384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22235.4468633416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15.7678279223808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5.5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22554</v>
      </c>
      <c r="C6" s="0" t="n">
        <f aca="false">B6*(1+C5/100)</f>
        <v>23794.47</v>
      </c>
      <c r="D6" s="0" t="n">
        <f aca="false">C6*(1+D5/100)</f>
        <v>25341.11055</v>
      </c>
      <c r="E6" s="0" t="n">
        <f aca="false">D6*(1+E5/100)</f>
        <v>26988.28273575</v>
      </c>
      <c r="F6" s="0" t="n">
        <f aca="false">E6*(1+F5/100)</f>
        <v>28607.579699895</v>
      </c>
      <c r="G6" s="0" t="n">
        <f aca="false">F6*(1+G5/100)</f>
        <v>30180.9965833892</v>
      </c>
      <c r="H6" s="0" t="n">
        <f aca="false">G6*(1+H5/100)</f>
        <v>31690.0464125587</v>
      </c>
      <c r="I6" s="0" t="n">
        <f aca="false">H6*(1+I5/100)</f>
        <v>33116.0985011238</v>
      </c>
      <c r="J6" s="0" t="n">
        <f aca="false">I6*(1+J5/100)</f>
        <v>34440.7424411688</v>
      </c>
      <c r="K6" s="0" t="n">
        <f aca="false">J6*(1+K5/100)</f>
        <v>35646.1684266097</v>
      </c>
      <c r="L6" s="0" t="n">
        <f aca="false">K6*(1+L5/100)</f>
        <v>36715.553479408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16.5</v>
      </c>
      <c r="D7" s="4" t="n">
        <f aca="false">Assumptions!D42</f>
        <v>17</v>
      </c>
      <c r="E7" s="4" t="n">
        <f aca="false">Assumptions!E42</f>
        <v>17.5</v>
      </c>
      <c r="F7" s="4" t="n">
        <f aca="false">Assumptions!F42</f>
        <v>17.9</v>
      </c>
      <c r="G7" s="4" t="n">
        <f aca="false">Assumptions!G42</f>
        <v>18.2</v>
      </c>
      <c r="H7" s="4" t="n">
        <f aca="false">Assumptions!H42</f>
        <v>18.4</v>
      </c>
      <c r="I7" s="4" t="n">
        <f aca="false">Assumptions!I42</f>
        <v>18.4</v>
      </c>
      <c r="J7" s="4" t="n">
        <f aca="false">Assumptions!J42</f>
        <v>18.4</v>
      </c>
      <c r="K7" s="4" t="n">
        <f aca="false">Assumptions!K42</f>
        <v>18.4</v>
      </c>
      <c r="L7" s="4" t="n">
        <f aca="false">Assumptions!L42</f>
        <v>18.4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3926.08755</v>
      </c>
      <c r="D8" s="0" t="n">
        <f aca="false">D6*D7/100</f>
        <v>4307.9887935</v>
      </c>
      <c r="E8" s="0" t="n">
        <f aca="false">E6*E7/100</f>
        <v>4722.94947875625</v>
      </c>
      <c r="F8" s="0" t="n">
        <f aca="false">F6*F7/100</f>
        <v>5120.7567662812</v>
      </c>
      <c r="G8" s="0" t="n">
        <f aca="false">G6*G7/100</f>
        <v>5492.94137817684</v>
      </c>
      <c r="H8" s="0" t="n">
        <f aca="false">H6*H7/100</f>
        <v>5830.9685399108</v>
      </c>
      <c r="I8" s="0" t="n">
        <f aca="false">I6*I7/100</f>
        <v>6093.36212420678</v>
      </c>
      <c r="J8" s="0" t="n">
        <f aca="false">J6*J7/100</f>
        <v>6337.09660917505</v>
      </c>
      <c r="K8" s="0" t="n">
        <f aca="false">K6*K7/100</f>
        <v>6558.89499049618</v>
      </c>
      <c r="L8" s="0" t="n">
        <f aca="false">L6*L7/100</f>
        <v>6755.66184021107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3695.281191</v>
      </c>
      <c r="D11" s="0" t="n">
        <f aca="false">D8+D10+D24</f>
        <v>4062.180021165</v>
      </c>
      <c r="E11" s="0" t="n">
        <f aca="false">E8+E10+E24</f>
        <v>4461.16313621947</v>
      </c>
      <c r="F11" s="0" t="n">
        <f aca="false">F8+F10+F24</f>
        <v>4843.26324319222</v>
      </c>
      <c r="G11" s="0" t="n">
        <f aca="false">G8+G10+G24</f>
        <v>5200.18571131796</v>
      </c>
      <c r="H11" s="0" t="n">
        <f aca="false">H8+H10+H24</f>
        <v>5523.57508970898</v>
      </c>
      <c r="I11" s="0" t="n">
        <f aca="false">I8+I10+I24</f>
        <v>5772.13596874588</v>
      </c>
      <c r="J11" s="0" t="n">
        <f aca="false">J8+J10+J24</f>
        <v>6003.02140749572</v>
      </c>
      <c r="K11" s="0" t="n">
        <f aca="false">K8+K10+K24</f>
        <v>6213.12715675807</v>
      </c>
      <c r="L11" s="0" t="n">
        <f aca="false">L8+L10+L24</f>
        <v>6399.52097146081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-951.7788</v>
      </c>
      <c r="D12" s="4" t="n">
        <f aca="false">-D6*Assumptions!D45/100</f>
        <v>-1013.644422</v>
      </c>
      <c r="E12" s="4" t="n">
        <f aca="false">-E6*Assumptions!E45/100</f>
        <v>-1106.51959216575</v>
      </c>
      <c r="F12" s="4" t="n">
        <f aca="false">-F6*Assumptions!F45/100</f>
        <v>-1172.91076769569</v>
      </c>
      <c r="G12" s="4" t="n">
        <f aca="false">-G6*Assumptions!G45/100</f>
        <v>-1267.60185650235</v>
      </c>
      <c r="H12" s="4" t="n">
        <f aca="false">-H6*Assumptions!H45/100</f>
        <v>-1330.98194932746</v>
      </c>
      <c r="I12" s="4" t="n">
        <f aca="false">-I6*Assumptions!I45/100</f>
        <v>-1390.8761370472</v>
      </c>
      <c r="J12" s="4" t="n">
        <f aca="false">-J6*Assumptions!J45/100</f>
        <v>-1446.51118252909</v>
      </c>
      <c r="K12" s="4" t="n">
        <f aca="false">-K6*Assumptions!K45/100</f>
        <v>-1497.13907391761</v>
      </c>
      <c r="L12" s="4" t="n">
        <f aca="false">-L6*Assumptions!L45/100</f>
        <v>-1542.05324613514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2743.502391</v>
      </c>
      <c r="D13" s="0" t="n">
        <f aca="false">D11+D12</f>
        <v>3048.535599165</v>
      </c>
      <c r="E13" s="0" t="n">
        <f aca="false">E11+E12</f>
        <v>3354.64354405372</v>
      </c>
      <c r="F13" s="0" t="n">
        <f aca="false">F11+F12</f>
        <v>3670.35247549653</v>
      </c>
      <c r="G13" s="0" t="n">
        <f aca="false">G11+G12</f>
        <v>3932.58385481561</v>
      </c>
      <c r="H13" s="0" t="n">
        <f aca="false">H11+H12</f>
        <v>4192.59314038151</v>
      </c>
      <c r="I13" s="0" t="n">
        <f aca="false">I11+I12</f>
        <v>4381.25983169868</v>
      </c>
      <c r="J13" s="0" t="n">
        <f aca="false">J11+J12</f>
        <v>4556.51022496663</v>
      </c>
      <c r="K13" s="0" t="n">
        <f aca="false">K11+K12</f>
        <v>4715.98808284046</v>
      </c>
      <c r="L13" s="0" t="n">
        <f aca="false">L11+L12</f>
        <v>4857.46772532568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2030.19176934</v>
      </c>
      <c r="D15" s="0" t="n">
        <f aca="false">D13-MAX(0,D13)*D14/100</f>
        <v>2255.9163433821</v>
      </c>
      <c r="E15" s="0" t="n">
        <f aca="false">E13-MAX(0,E13)*E14/100</f>
        <v>2482.43622259976</v>
      </c>
      <c r="F15" s="0" t="n">
        <f aca="false">F13-MAX(0,F13)*F14/100</f>
        <v>2716.06083186743</v>
      </c>
      <c r="G15" s="0" t="n">
        <f aca="false">G13-MAX(0,G13)*G14/100</f>
        <v>2910.11205256355</v>
      </c>
      <c r="H15" s="0" t="n">
        <f aca="false">H13-MAX(0,H13)*H14/100</f>
        <v>3102.51892388232</v>
      </c>
      <c r="I15" s="0" t="n">
        <f aca="false">I13-MAX(0,I13)*I14/100</f>
        <v>3242.13227545702</v>
      </c>
      <c r="J15" s="0" t="n">
        <f aca="false">J13-MAX(0,J13)*J14/100</f>
        <v>3371.81756647531</v>
      </c>
      <c r="K15" s="0" t="n">
        <f aca="false">K13-MAX(0,K13)*K14/100</f>
        <v>3489.83118130194</v>
      </c>
      <c r="L15" s="0" t="n">
        <f aca="false">L13-MAX(0,L13)*L14/100</f>
        <v>3594.526116741</v>
      </c>
    </row>
    <row r="16" customFormat="false" ht="15" hidden="false" customHeight="false" outlineLevel="0" collapsed="false">
      <c r="A16" s="0" t="s">
        <v>118</v>
      </c>
      <c r="C16" s="0" t="n">
        <f aca="false">-C12</f>
        <v>951.7788</v>
      </c>
      <c r="D16" s="0" t="n">
        <f aca="false">-D12</f>
        <v>1013.644422</v>
      </c>
      <c r="E16" s="0" t="n">
        <f aca="false">-E12</f>
        <v>1106.51959216575</v>
      </c>
      <c r="F16" s="0" t="n">
        <f aca="false">-F12</f>
        <v>1172.91076769569</v>
      </c>
      <c r="G16" s="0" t="n">
        <f aca="false">-G12</f>
        <v>1267.60185650235</v>
      </c>
      <c r="H16" s="0" t="n">
        <f aca="false">-H12</f>
        <v>1330.98194932746</v>
      </c>
      <c r="I16" s="0" t="n">
        <f aca="false">-I12</f>
        <v>1390.8761370472</v>
      </c>
      <c r="J16" s="0" t="n">
        <f aca="false">-J12</f>
        <v>1446.51118252909</v>
      </c>
      <c r="K16" s="0" t="n">
        <f aca="false">-K12</f>
        <v>1497.13907391761</v>
      </c>
      <c r="L16" s="0" t="n">
        <f aca="false">-L12</f>
        <v>1542.05324613514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-1094.54562</v>
      </c>
      <c r="D17" s="4" t="n">
        <f aca="false">-D6*Assumptions!D46/100</f>
        <v>-1191.03219585</v>
      </c>
      <c r="E17" s="4" t="n">
        <f aca="false">-E6*Assumptions!E46/100</f>
        <v>-1268.44928858025</v>
      </c>
      <c r="F17" s="4" t="n">
        <f aca="false">-F6*Assumptions!F46/100</f>
        <v>-1315.94866619517</v>
      </c>
      <c r="G17" s="4" t="n">
        <f aca="false">-G6*Assumptions!G46/100</f>
        <v>-1388.3258428359</v>
      </c>
      <c r="H17" s="4" t="n">
        <f aca="false">-H6*Assumptions!H46/100</f>
        <v>-1426.05208856514</v>
      </c>
      <c r="I17" s="4" t="n">
        <f aca="false">-I6*Assumptions!I46/100</f>
        <v>-1490.22443255057</v>
      </c>
      <c r="J17" s="4" t="n">
        <f aca="false">-J6*Assumptions!J46/100</f>
        <v>-1549.83340985259</v>
      </c>
      <c r="K17" s="4" t="n">
        <f aca="false">-K6*Assumptions!K46/100</f>
        <v>-1568.43141077083</v>
      </c>
      <c r="L17" s="4" t="n">
        <f aca="false">-L6*Assumptions!L46/100</f>
        <v>-1615.48435309395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-124.047</v>
      </c>
      <c r="D18" s="4" t="n">
        <f aca="false">(D6-C6)*Assumptions!$B$51/100</f>
        <v>-154.664055</v>
      </c>
      <c r="E18" s="4" t="n">
        <f aca="false">(E6-D6)*Assumptions!$B$51/100</f>
        <v>-164.717218575</v>
      </c>
      <c r="F18" s="4" t="n">
        <f aca="false">(F6-E6)*Assumptions!$B$51/100</f>
        <v>-161.9296964145</v>
      </c>
      <c r="G18" s="4" t="n">
        <f aca="false">(G6-F6)*Assumptions!$B$51/100</f>
        <v>-157.341688349422</v>
      </c>
      <c r="H18" s="4" t="n">
        <f aca="false">(H6-G6)*Assumptions!$B$51/100</f>
        <v>-150.904982916946</v>
      </c>
      <c r="I18" s="4" t="n">
        <f aca="false">(I6-H6)*Assumptions!$B$51/100</f>
        <v>-142.605208856514</v>
      </c>
      <c r="J18" s="4" t="n">
        <f aca="false">(J6-I6)*Assumptions!$B$51/100</f>
        <v>-132.464394004495</v>
      </c>
      <c r="K18" s="4" t="n">
        <f aca="false">(K6-J6)*Assumptions!$B$51/100</f>
        <v>-120.54259854409</v>
      </c>
      <c r="L18" s="4" t="n">
        <f aca="false">(L6-K6)*Assumptions!$B$51/100</f>
        <v>-106.938505279829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1763.37794934</v>
      </c>
      <c r="D19" s="0" t="n">
        <f aca="false">D15+D16+D17+D18</f>
        <v>1923.8645145321</v>
      </c>
      <c r="E19" s="0" t="n">
        <f aca="false">E15+E16+E17+E18</f>
        <v>2155.78930761026</v>
      </c>
      <c r="F19" s="0" t="n">
        <f aca="false">F15+F16+F17+F18</f>
        <v>2411.09323695346</v>
      </c>
      <c r="G19" s="0" t="n">
        <f aca="false">G15+G16+G17+G18</f>
        <v>2632.04637788058</v>
      </c>
      <c r="H19" s="0" t="n">
        <f aca="false">H15+H16+H17+H18</f>
        <v>2856.5438017277</v>
      </c>
      <c r="I19" s="0" t="n">
        <f aca="false">I15+I16+I17+I18</f>
        <v>3000.17877109714</v>
      </c>
      <c r="J19" s="0" t="n">
        <f aca="false">J15+J16+J17+J18</f>
        <v>3136.0309451473</v>
      </c>
      <c r="K19" s="0" t="n">
        <f aca="false">K15+K16+K17+K18</f>
        <v>3297.99624590463</v>
      </c>
      <c r="L19" s="0" t="n">
        <f aca="false">L15+L16+L17+L18</f>
        <v>3414.15650450236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1655.75394304225</v>
      </c>
      <c r="D21" s="0" t="n">
        <f aca="false">D19*D20</f>
        <v>1696.19300802936</v>
      </c>
      <c r="E21" s="0" t="n">
        <f aca="false">E19*E20</f>
        <v>1784.66822042373</v>
      </c>
      <c r="F21" s="0" t="n">
        <f aca="false">F19*F20</f>
        <v>1874.19844738425</v>
      </c>
      <c r="G21" s="0" t="n">
        <f aca="false">G19*G20</f>
        <v>1921.08021204942</v>
      </c>
      <c r="H21" s="0" t="n">
        <f aca="false">H19*H20</f>
        <v>1957.68692916785</v>
      </c>
      <c r="I21" s="0" t="n">
        <f aca="false">I19*I20</f>
        <v>1930.63368481632</v>
      </c>
      <c r="J21" s="0" t="n">
        <f aca="false">J19*J20</f>
        <v>1894.88770245673</v>
      </c>
      <c r="K21" s="0" t="n">
        <f aca="false">K19*K20</f>
        <v>1871.12881548311</v>
      </c>
      <c r="L21" s="0" t="n">
        <f aca="false">L19*L20</f>
        <v>1818.81005929017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0.97</v>
      </c>
      <c r="D23" s="4" t="n">
        <f aca="false">Assumptions!D44</f>
        <v>0.97</v>
      </c>
      <c r="E23" s="4" t="n">
        <f aca="false">Assumptions!E44</f>
        <v>0.97</v>
      </c>
      <c r="F23" s="4" t="n">
        <f aca="false">Assumptions!F44</f>
        <v>0.97</v>
      </c>
      <c r="G23" s="4" t="n">
        <f aca="false">Assumptions!G44</f>
        <v>0.97</v>
      </c>
      <c r="H23" s="4" t="n">
        <f aca="false">Assumptions!H44</f>
        <v>0.97</v>
      </c>
      <c r="I23" s="4" t="n">
        <f aca="false">Assumptions!I44</f>
        <v>0.97</v>
      </c>
      <c r="J23" s="4" t="n">
        <f aca="false">Assumptions!J44</f>
        <v>0.97</v>
      </c>
      <c r="K23" s="4" t="n">
        <f aca="false">Assumptions!K44</f>
        <v>0.97</v>
      </c>
      <c r="L23" s="4" t="n">
        <f aca="false">Assumptions!L44</f>
        <v>0.97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-230.806359</v>
      </c>
      <c r="D24" s="0" t="n">
        <f aca="false">-D6*D23/100</f>
        <v>-245.808772335</v>
      </c>
      <c r="E24" s="0" t="n">
        <f aca="false">-E6*E23/100</f>
        <v>-261.786342536775</v>
      </c>
      <c r="F24" s="0" t="n">
        <f aca="false">-F6*F23/100</f>
        <v>-277.493523088982</v>
      </c>
      <c r="G24" s="0" t="n">
        <f aca="false">-G6*G23/100</f>
        <v>-292.755666858875</v>
      </c>
      <c r="H24" s="0" t="n">
        <f aca="false">-H6*H23/100</f>
        <v>-307.393450201819</v>
      </c>
      <c r="I24" s="0" t="n">
        <f aca="false">-I6*I23/100</f>
        <v>-321.226155460901</v>
      </c>
      <c r="J24" s="0" t="n">
        <f aca="false">-J6*J23/100</f>
        <v>-334.075201679337</v>
      </c>
      <c r="K24" s="0" t="n">
        <f aca="false">-K6*K23/100</f>
        <v>-345.767833738114</v>
      </c>
      <c r="L24" s="0" t="n">
        <f aca="false">-L6*L23/100</f>
        <v>-356.140868750257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18405.0410221432</v>
      </c>
    </row>
    <row r="31" customFormat="false" ht="15" hidden="false" customHeight="false" outlineLevel="0" collapsed="false">
      <c r="A31" s="0" t="s">
        <v>127</v>
      </c>
      <c r="B31" s="0" t="n">
        <f aca="false">L19</f>
        <v>3414.15650450236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87487.7604278728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61454.8170810424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61454.8170810424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32738.581067223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51143.6220893662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43572.6220893662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77.3610790650582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0.678114513341826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77.3610790650582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27996.0833369193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20.6153742803298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32.4921433651233</v>
      </c>
      <c r="C4" s="0" t="n">
        <f aca="false">B4/Assumptions!$B$2-1</f>
        <v>-0.29518127190622</v>
      </c>
      <c r="D4" s="4" t="n">
        <f aca="false">Assumptions!$B$24</f>
        <v>0.2</v>
      </c>
      <c r="E4" s="4" t="n">
        <f aca="false">DCF_Bear!$B$43</f>
        <v>32.4921433651233</v>
      </c>
      <c r="F4" s="4" t="n">
        <f aca="false">DCF_Bear!$B$47</f>
        <v>9.02622621946367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58.2942787613384</v>
      </c>
      <c r="C5" s="0" t="n">
        <f aca="false">B5/Assumptions!$B$2-1</f>
        <v>0.264517977469379</v>
      </c>
      <c r="D5" s="4" t="n">
        <f aca="false">Assumptions!$B$38</f>
        <v>0.5</v>
      </c>
      <c r="E5" s="4" t="n">
        <f aca="false">DCF_Base!$B$43</f>
        <v>58.2942787613384</v>
      </c>
      <c r="F5" s="4" t="n">
        <f aca="false">DCF_Base!$B$47</f>
        <v>15.7678279223808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77.3610790650582</v>
      </c>
      <c r="C6" s="0" t="n">
        <f aca="false">B6/Assumptions!$B$2-1</f>
        <v>0.678114513341826</v>
      </c>
      <c r="D6" s="4" t="n">
        <f aca="false">Assumptions!$B$52</f>
        <v>0.3</v>
      </c>
      <c r="E6" s="4" t="n">
        <f aca="false">DCF_Bull!$B$43</f>
        <v>77.3610790650582</v>
      </c>
      <c r="F6" s="4" t="n">
        <f aca="false">DCF_Bull!$B$47</f>
        <v>20.6153742803298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58.8538917732113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58.8538917732113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0.216704306018664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15.8737714891821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58.2942787613384</v>
      </c>
      <c r="C15" s="3" t="n">
        <v>6.5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43.0107853584685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35.588698973673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29.8329778849125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25.2426770467658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15.7678279223808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70.4275831280851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70.4275831280851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70.4275831280851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70.4275831280851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70.4275831280851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64.0676418978988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64.0676418978988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64.0676418978988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64.0676418978988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64.0676418978988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58.2942787613384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58.2942787613384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58.2942787613384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58.2942787613384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58.2942787613384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51.9203229688461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53.0470562467467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53.0470562467467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53.0470562467467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53.0470562467467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42.6347379610727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44.9342777207068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47.587592827977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48.2723193072725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48.2723193072725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2026-10-24T22:46:53Z</dcterms:created>
  <dc:creator>openpyxl</dc:creator>
  <dc:description/>
  <dc:language>en-NZ</dc:language>
  <cp:lastModifiedBy/>
  <dcterms:modified xsi:type="dcterms:W3CDTF">2026-10-24T22:46:53Z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