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<sst xmlns="http://schemas.openxmlformats.org/spreadsheetml/2006/main" count="367" uniqueCount="169">
  <si>
    <t xml:space="preserve">Ticker</t>
  </si>
  <si>
    <t xml:space="preserve">SLF</t>
  </si>
  <si>
    <t xml:space="preserve">Company</t>
  </si>
  <si>
    <t xml:space="preserve">Sun Life Financial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</si>
  <si>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</si>
  <si>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</si>
  <si>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</si>
  <si>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</si>
  <si>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Finance chart API, NYSE); 52-week range 57.22-84.38</t>
  </si>
  <si>
    <t xml:space="preserve">Balance sheet date</t>
  </si>
  <si>
    <t xml:space="preserve">2026-06-30</t>
  </si>
  <si>
    <t xml:space="preserve">Model</t>
  </si>
  <si>
    <t xml:space="preserve">Life insurer FCFE at cost of equity, net debt held at zero (engine route)</t>
  </si>
  <si>
    <t xml:space="preserve">Currency (model)</t>
  </si>
  <si>
    <t xml:space="preserve">CAD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</si>
  <si>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</si>
  <si>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</si>
  <si>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</si>
  <si>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</si>
  <si>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</si>
  <si>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</si>
  <si>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</si>
  <si>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2026-10-04T08:24:45Z</t>
  </si>
  <si>
    <t xml:space="preserve">Drivers file</t>
  </si>
  <si>
    <t xml:space="preserve">SLF_Drivers.json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</si>
  <si>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</si>
  <si>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</si>
  <si>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</si>
  <si>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Sun Life is valued as the distributable stream of underlying earnings a diversified life insurer and asset manager can pay its common shareholders, capitalised at a CAD cost of equity of 9%, with net debt held at zero because the subordinated debt is regulatory capital whose cost is already inside the earnings. Book value is a cross-check, not the model: at 2.6x BVPS on an 18.7% underlying ROE the market is already paying the justified P/B for the current return, so the opportunity, if any, rests on earnings growth above the ~7% the base assumes, not on re-rating.
key_risks_to_valuation: FCFE conversion: the 70% base is an estimate -- SLF does not disclose remittances or organic capital generation; FY2025's 90% distribution was partly debt-funded and H1-2026 shows the opposite (C$83M buybacks). Each 5pp of conversion is ~7% of value.; Cost of equity: a 1pp change in the 9% rate moves value ~12-15%; two-thirds of earnings are non-CAD, so a USD/Asian-currency cost of equity would be higher.; Underlying vs reported: reported net income has run 68-85% of underlying for three years; if the gap is partly economic (assumption changes, Dental impairments, legal provisions), the base overstates the distributable stream.; U.S. Dental and MFS flows are the two businesses that can turn the bear case on without any macro shock.; FX: the USD intrinsic value is a translation of a CAD value at 0.7019; a 5% CAD move shifts the USD IV 5% before any earnings offset.; Capital: LICAT 145% and 23.8% leverage leave little headroom for further debt-funded M&amp;A; a market drawdown would be met by retaining more earnings, which is the bear's 62% conversion.</t>
  </si>
  <si>
    <t xml:space="preserve">Data sources</t>
  </si>
  <si>
    <t xml:space="preserve">price: Yahoo Finance chart API (NYSE: SLF, USD) at inputs.price_as_of; 52-week range 57.22-84.38. TSX line SLF.TO used for the FX parity check only. CAD=X spot from the same API.
financials: SLF_Metrics.csv (FY2014-Q2 2026, C$ millions, from the SEDAR annual reports and interim MD&amp;As); underlying net income, underlying EPS, underlying tax rate, BVPS, LICAT, financial leverage, closing share count, NCIB and capital table from SLF_Annual_FY2025.txt, SLF_Annual_FY2024.txt, SLF_Annual_FY2023.txt, SLF_Annual_FY2022.txt, SLF_Annual_FY2021_MDA.txt and SLF_Quarterly_Q2-2026.txt.
qualitative: SLF_Analysis.json (2026-10-04): segments, medium-term objectives (10%+ underlying EPS growth, 20% underlying ROE, 40-50% payout), Q1/Q2-2026 developments, bull and bear cases.</t>
  </si>
  <si>
    <t xml:space="preserve">Scenario narrative: bear</t>
  </si>
  <si>
    <t xml:space="preserve">Dental impairments plus Medicaid cuts, persistent MFS outflows, Hong Kong margin compression and a 2027 market drawdown; growth 1-3%, margin -100bp, 62% conversion while LICAT and leverage are repaired, buybacks suspended; terminal 14x FCFE.</t>
  </si>
  <si>
    <t xml:space="preserve">Scenario narrative: base</t>
  </si>
  <si>
    <t xml:space="preserve">Underlying NI compounds 8% in FY2026 decelerating to 3% by year 10, margin flat at FY2025's level, 70% of underlying NI converted to FCFE; Asia and asset management carry growth, Canada is steady, U.S. Dental stabilises. Terminal 16x FCFE (11.2x earnings).</t>
  </si>
  <si>
    <t xml:space="preserve">Scenario narrative: bull</t>
  </si>
  <si>
    <t xml:space="preserve">Medium-term objectives met organically (10%+ growth, 20% ROE): Asia double-digit, SLC alternatives and the MFS ETF range turn asset-management flows, Dental turnaround delivers, margin +55bp, 75% FCFE conversion, terminal 18x FCFE.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</si>
  <si>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</si>
  <si>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</si>
  <si>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</si>
  <si>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</si>
  <si>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</si>
  <si>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</si>
  <si>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</si>
  <si>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</si>
  <si>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</si>
  <si>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</si>
  <si>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</si>
  <si>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</si>
  <si>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</si>
  <si>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</si>
  <si>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</si>
  <si>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</si>
  <si>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</si>
  <si>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</si>
  <si>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</si>
  <si>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</si>
  <si>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</si>
  <si>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</si>
  <si>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</si>
  <si>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</si>
  <si>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</si>
  <si>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</si>
  <si>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</si>
  <si>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AUM</t>
  </si>
  <si>
    <t xml:space="preserve">InsuranceServiceResult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</si>
  <si>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</si>
  <si>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</si>
  <si>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</si>
  <si>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</si>
  <si>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</si>
  <si>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</si>
  <si>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</si>
  <si>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</si>
  <si>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</si>
  <si>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</si>
  <si>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</si>
  <si>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</si>
  <si>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</si>
  <si>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</si>
  <si>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</si>
  <si>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</si>
  <si>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</si>
  <si>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</si>
  <si>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</si>
  <si>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</si>
  <si>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</si>
  <si>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</si>
  <si>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</si>
  <si>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</si>
  <si>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</si>
  <si>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</si>
  <si>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</si>
  <si>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</si>
  <si>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</si>
  <si>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</si>
  <si>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</si>
  <si>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</si>
  <si>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</si>
  <si>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</si>
  <si>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</si>
  <si>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</si>
  <si>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</si>
  <si>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</si>
  <si>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</si>
  <si>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</si>
  <si>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</si>
  <si>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</si>
  <si>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</si>
  <si>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</si>
  <si>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</si>
  <si>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</si>
  <si>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</si>
  <si>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</si>
  <si>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</si>
  <si>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SLF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</si>
  <si>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</si>
  <si>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</si>
  <si>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</si>
  <si>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</si>
  <si>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</si>
  <si>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</si>
  <si>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</si>
  <si>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</si>
  <si>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</si>
  <si>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</si>
  <si>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</si>
  <si>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</si>
  <si>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</si>
  <si>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</si>
  <si>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</si>
  <si>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</si>
  <si>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</si>
  <si>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</si>
  <si>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</si>
  <si>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</si>
  <si>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</si>
  <si>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</si>
  <si>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</si>
  <si>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</si>
  <si>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</si>
  <si>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</si>
  <si>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</si>
  <si>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</si>
  <si>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</si>
  <si>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</si>
  <si>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SLF owner-FCF component DCF: base case (millions, CAD)</t>
  </si>
  <si>
    <t xml:space="preserve">SLF owner-FCF component DCF: bull case (millions, CAD)</t>
  </si>
  <si>
    <t xml:space="preserve">SLF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</si>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</sst>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78.57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25764</v>
      </c>
      <c r="I2" s="0" t="n">
        <v>1873</v>
      </c>
      <c r="J2" s="0" t="n">
        <v>7.3</v>
      </c>
      <c r="K2" s="0" t="n">
        <v>2.86</v>
      </c>
      <c r="L2" s="0" t="n">
        <v>1804</v>
      </c>
      <c r="M2" s="0" t="n">
        <v>-63</v>
      </c>
      <c r="N2" s="0" t="n">
        <v>1867</v>
      </c>
      <c r="O2" s="0" t="n">
        <v>18731</v>
      </c>
      <c r="P2" s="0" t="n">
        <v>223357</v>
      </c>
      <c r="Q2" s="0" t="n">
        <v>204485</v>
      </c>
      <c r="R2" s="0" t="n">
        <v>5017</v>
      </c>
      <c r="S2" s="0" t="n">
        <v>6818</v>
      </c>
      <c r="T2" s="0" t="n">
        <v>616.1</v>
      </c>
      <c r="U2" s="0" t="n">
        <v>481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19274</v>
      </c>
      <c r="I3" s="0" t="n">
        <v>2285</v>
      </c>
      <c r="J3" s="0" t="n">
        <v>11.9</v>
      </c>
      <c r="K3" s="0" t="n">
        <v>3.55</v>
      </c>
      <c r="L3" s="0" t="n">
        <v>4461</v>
      </c>
      <c r="M3" s="0" t="n">
        <v>106</v>
      </c>
      <c r="N3" s="0" t="n">
        <v>4355</v>
      </c>
      <c r="O3" s="0" t="n">
        <v>21250</v>
      </c>
      <c r="P3" s="0" t="n">
        <v>246853</v>
      </c>
      <c r="Q3" s="0" t="n">
        <v>225435</v>
      </c>
      <c r="R3" s="0" t="n">
        <v>4740</v>
      </c>
      <c r="S3" s="0" t="n">
        <v>8983</v>
      </c>
      <c r="T3" s="0" t="n">
        <v>615.5</v>
      </c>
      <c r="U3" s="0" t="n">
        <v>348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28573</v>
      </c>
      <c r="I4" s="0" t="n">
        <v>2581</v>
      </c>
      <c r="J4" s="0" t="n">
        <v>9</v>
      </c>
      <c r="K4" s="0" t="n">
        <v>4.03</v>
      </c>
      <c r="L4" s="0" t="n">
        <v>3668</v>
      </c>
      <c r="M4" s="0" t="n">
        <v>131</v>
      </c>
      <c r="N4" s="0" t="n">
        <v>3537</v>
      </c>
      <c r="O4" s="0" t="n">
        <v>21956</v>
      </c>
      <c r="P4" s="0" t="n">
        <v>258238</v>
      </c>
      <c r="Q4" s="0" t="n">
        <v>235870</v>
      </c>
      <c r="R4" s="0" t="n">
        <v>5135</v>
      </c>
      <c r="S4" s="0" t="n">
        <v>8642</v>
      </c>
      <c r="T4" s="0" t="n">
        <v>616.6</v>
      </c>
      <c r="U4" s="0" t="n">
        <v>362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69</v>
      </c>
      <c r="B5" s="0" t="n">
        <v>29334</v>
      </c>
      <c r="I5" s="0" t="n">
        <v>2242</v>
      </c>
      <c r="J5" s="0" t="n">
        <v>7.6</v>
      </c>
      <c r="K5" s="0" t="n">
        <v>3.49</v>
      </c>
      <c r="L5" s="0" t="n">
        <v>1984</v>
      </c>
      <c r="M5" s="0" t="n">
        <v>182</v>
      </c>
      <c r="N5" s="0" t="n">
        <v>1802</v>
      </c>
      <c r="O5" s="0" t="n">
        <v>22321</v>
      </c>
      <c r="P5" s="0" t="n">
        <v>269112</v>
      </c>
      <c r="Q5" s="0" t="n">
        <v>246141</v>
      </c>
      <c r="R5" s="0" t="n">
        <v>4736</v>
      </c>
      <c r="S5" s="0" t="n">
        <v>8890</v>
      </c>
      <c r="T5" s="0" t="n">
        <v>615.8</v>
      </c>
      <c r="U5" s="0" t="n">
        <v>476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26997</v>
      </c>
      <c r="I6" s="0" t="n">
        <v>2616</v>
      </c>
      <c r="J6" s="0" t="n">
        <v>9.7</v>
      </c>
      <c r="K6" s="0" t="n">
        <v>4.14</v>
      </c>
      <c r="L6" s="0" t="n">
        <v>3834</v>
      </c>
      <c r="M6" s="0" t="n">
        <v>85</v>
      </c>
      <c r="N6" s="0" t="n">
        <v>3749</v>
      </c>
      <c r="O6" s="0" t="n">
        <v>23706</v>
      </c>
      <c r="P6" s="0" t="n">
        <v>271827</v>
      </c>
      <c r="Q6" s="0" t="n">
        <v>247257</v>
      </c>
      <c r="R6" s="0" t="n">
        <v>4338</v>
      </c>
      <c r="S6" s="0" t="n">
        <v>9506</v>
      </c>
      <c r="T6" s="0" t="n">
        <v>609.2</v>
      </c>
      <c r="U6" s="0" t="n">
        <v>346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39679</v>
      </c>
      <c r="I7" s="0" t="n">
        <v>2713</v>
      </c>
      <c r="J7" s="0" t="n">
        <v>6.8</v>
      </c>
      <c r="K7" s="0" t="n">
        <v>4.4</v>
      </c>
      <c r="L7" s="0" t="n">
        <v>2547</v>
      </c>
      <c r="M7" s="0" t="n">
        <v>114</v>
      </c>
      <c r="N7" s="0" t="n">
        <v>2433</v>
      </c>
      <c r="O7" s="0" t="n">
        <v>23398</v>
      </c>
      <c r="P7" s="0" t="n">
        <v>297202</v>
      </c>
      <c r="Q7" s="0" t="n">
        <v>272694</v>
      </c>
      <c r="R7" s="0" t="n">
        <v>4038</v>
      </c>
      <c r="S7" s="0" t="n">
        <v>9575</v>
      </c>
      <c r="T7" s="0" t="n">
        <v>595</v>
      </c>
      <c r="U7" s="0" t="n">
        <v>549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43337</v>
      </c>
      <c r="I8" s="0" t="n">
        <v>2498</v>
      </c>
      <c r="J8" s="0" t="n">
        <v>5.8</v>
      </c>
      <c r="K8" s="0" t="n">
        <v>4.1</v>
      </c>
      <c r="L8" s="0" t="n">
        <v>7253</v>
      </c>
      <c r="M8" s="0" t="n">
        <v>158</v>
      </c>
      <c r="N8" s="0" t="n">
        <v>7095</v>
      </c>
      <c r="O8" s="0" t="n">
        <v>24469</v>
      </c>
      <c r="P8" s="0" t="n">
        <v>323011</v>
      </c>
      <c r="Q8" s="0" t="n">
        <v>297149</v>
      </c>
      <c r="R8" s="0" t="n">
        <v>5281</v>
      </c>
      <c r="S8" s="0" t="n">
        <v>13527</v>
      </c>
      <c r="T8" s="0" t="n">
        <v>586.3</v>
      </c>
      <c r="U8" s="0" t="n">
        <v>540</v>
      </c>
      <c r="AA8" s="0" t="s">
        <v>18</v>
      </c>
      <c r="AB8" s="0" t="s">
        <v>14</v>
      </c>
      <c r="AC8" s="0" t="n">
        <v>1256009</v>
      </c>
    </row>
    <row r="9" customFormat="false" ht="15" hidden="false" customHeight="false" outlineLevel="0" collapsed="false">
      <c r="A9" s="0" t="s">
        <v>73</v>
      </c>
      <c r="B9" s="0" t="n">
        <v>35688</v>
      </c>
      <c r="I9" s="0" t="n">
        <v>4035</v>
      </c>
      <c r="J9" s="0" t="n">
        <v>11.3</v>
      </c>
      <c r="K9" s="0" t="n">
        <v>6.69</v>
      </c>
      <c r="L9" s="0" t="n">
        <v>-1857</v>
      </c>
      <c r="M9" s="0" t="n">
        <v>81</v>
      </c>
      <c r="N9" s="0" t="n">
        <v>-1938</v>
      </c>
      <c r="O9" s="0" t="n">
        <v>26314</v>
      </c>
      <c r="P9" s="0" t="n">
        <v>345370</v>
      </c>
      <c r="Q9" s="0" t="n">
        <v>317297</v>
      </c>
      <c r="R9" s="0" t="n">
        <v>6625</v>
      </c>
      <c r="S9" s="0" t="n">
        <v>12278</v>
      </c>
      <c r="T9" s="0" t="n">
        <v>588</v>
      </c>
      <c r="U9" s="0" t="n">
        <v>757</v>
      </c>
      <c r="AA9" s="0" t="s">
        <v>18</v>
      </c>
      <c r="AB9" s="0" t="s">
        <v>14</v>
      </c>
      <c r="AC9" s="0" t="n">
        <v>1444728</v>
      </c>
    </row>
    <row r="10" customFormat="false" ht="15" hidden="false" customHeight="false" outlineLevel="0" collapsed="false">
      <c r="A10" s="0" t="s">
        <v>74</v>
      </c>
      <c r="B10" s="0" t="n">
        <v>23322</v>
      </c>
      <c r="I10" s="0" t="n">
        <v>3130</v>
      </c>
      <c r="J10" s="0" t="n">
        <v>13.4</v>
      </c>
      <c r="K10" s="0" t="n">
        <v>5.21</v>
      </c>
      <c r="L10" s="0" t="n">
        <v>4311</v>
      </c>
      <c r="M10" s="0" t="n">
        <v>-71</v>
      </c>
      <c r="N10" s="0" t="n">
        <v>4382</v>
      </c>
      <c r="O10" s="0" t="n">
        <v>27450</v>
      </c>
      <c r="P10" s="0" t="n">
        <v>330906</v>
      </c>
      <c r="Q10" s="0" t="n">
        <v>301529</v>
      </c>
      <c r="R10" s="0" t="n">
        <v>6876</v>
      </c>
      <c r="S10" s="0" t="n">
        <v>11219</v>
      </c>
      <c r="T10" s="0" t="n">
        <v>587.3</v>
      </c>
      <c r="U10" s="0" t="n">
        <v>227</v>
      </c>
      <c r="AA10" s="0" t="s">
        <v>18</v>
      </c>
      <c r="AB10" s="0" t="s">
        <v>14</v>
      </c>
      <c r="AC10" s="0" t="n">
        <v>1325859</v>
      </c>
    </row>
    <row r="11" customFormat="false" ht="15" hidden="false" customHeight="false" outlineLevel="0" collapsed="false">
      <c r="A11" s="0" t="s">
        <v>75</v>
      </c>
      <c r="B11" s="0" t="n">
        <v>40774</v>
      </c>
      <c r="I11" s="0" t="n">
        <v>3165</v>
      </c>
      <c r="J11" s="0" t="n">
        <v>7.8</v>
      </c>
      <c r="K11" s="0" t="n">
        <v>5.26</v>
      </c>
      <c r="L11" s="0" t="n">
        <v>5612</v>
      </c>
      <c r="M11" s="0" t="n">
        <v>172</v>
      </c>
      <c r="N11" s="0" t="n">
        <v>5440</v>
      </c>
      <c r="O11" s="0" t="n">
        <v>23582</v>
      </c>
      <c r="P11" s="0" t="n">
        <v>333241</v>
      </c>
      <c r="Q11" s="0" t="n">
        <v>309041</v>
      </c>
      <c r="R11" s="0" t="n">
        <v>6378</v>
      </c>
      <c r="S11" s="0" t="n">
        <v>13173</v>
      </c>
      <c r="T11" s="0" t="n">
        <v>586.7</v>
      </c>
      <c r="U11" s="0" t="n">
        <v>491</v>
      </c>
      <c r="AA11" s="0" t="s">
        <v>18</v>
      </c>
      <c r="AB11" s="0" t="s">
        <v>14</v>
      </c>
      <c r="AC11" s="0" t="n">
        <v>1399605</v>
      </c>
    </row>
    <row r="12" customFormat="false" ht="15" hidden="false" customHeight="false" outlineLevel="0" collapsed="false">
      <c r="A12" s="0" t="s">
        <v>76</v>
      </c>
      <c r="B12" s="0" t="n">
        <v>38633</v>
      </c>
      <c r="I12" s="0" t="n">
        <v>3129</v>
      </c>
      <c r="J12" s="0" t="n">
        <v>8.1</v>
      </c>
      <c r="K12" s="0" t="n">
        <v>5.26</v>
      </c>
      <c r="L12" s="0" t="n">
        <v>2532</v>
      </c>
      <c r="M12" s="0" t="n">
        <v>143</v>
      </c>
      <c r="N12" s="0" t="n">
        <v>2389</v>
      </c>
      <c r="O12" s="0" t="n">
        <v>25557</v>
      </c>
      <c r="P12" s="0" t="n">
        <v>370721</v>
      </c>
      <c r="Q12" s="0" t="n">
        <v>344592</v>
      </c>
      <c r="R12" s="0" t="n">
        <v>6379</v>
      </c>
      <c r="S12" s="0" t="n">
        <v>13873</v>
      </c>
      <c r="T12" s="0" t="n">
        <v>579.7</v>
      </c>
      <c r="U12" s="0" t="n">
        <v>610</v>
      </c>
      <c r="V12" s="0" t="n">
        <v>3.24</v>
      </c>
      <c r="AA12" s="0" t="s">
        <v>18</v>
      </c>
      <c r="AB12" s="0" t="s">
        <v>14</v>
      </c>
      <c r="AC12" s="0" t="n">
        <v>1542340</v>
      </c>
      <c r="AD12" s="0" t="n">
        <v>3091</v>
      </c>
    </row>
    <row r="13" customFormat="false" ht="15" hidden="false" customHeight="false" outlineLevel="0" collapsed="false">
      <c r="A13" s="0" t="s">
        <v>77</v>
      </c>
      <c r="B13" s="0" t="n">
        <v>41900</v>
      </c>
      <c r="I13" s="0" t="n">
        <v>3551</v>
      </c>
      <c r="J13" s="0" t="n">
        <v>8.5</v>
      </c>
      <c r="K13" s="0" t="n">
        <v>6.15</v>
      </c>
      <c r="L13" s="0" t="n">
        <v>2799</v>
      </c>
      <c r="M13" s="0" t="n">
        <v>145</v>
      </c>
      <c r="N13" s="0" t="n">
        <v>2654</v>
      </c>
      <c r="O13" s="0" t="n">
        <v>24532</v>
      </c>
      <c r="P13" s="0" t="n">
        <v>398455</v>
      </c>
      <c r="Q13" s="0" t="n">
        <v>372963</v>
      </c>
      <c r="R13" s="0" t="n">
        <v>8371</v>
      </c>
      <c r="S13" s="0" t="n">
        <v>14841</v>
      </c>
      <c r="T13" s="0" t="n">
        <v>564.6</v>
      </c>
      <c r="U13" s="0" t="n">
        <v>498</v>
      </c>
      <c r="V13" s="0" t="n">
        <v>3.52</v>
      </c>
      <c r="AA13" s="0" t="s">
        <v>18</v>
      </c>
      <c r="AB13" s="0" t="s">
        <v>14</v>
      </c>
      <c r="AC13" s="0" t="n">
        <v>1604864</v>
      </c>
      <c r="AD13" s="0" t="n">
        <v>3474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78.57</v>
      </c>
    </row>
    <row r="3" customFormat="false" ht="15" hidden="false" customHeight="false" outlineLevel="0" collapsed="false">
      <c r="A3" s="0" t="s">
        <v>81</v>
      </c>
      <c r="B3" s="3" t="n">
        <v>554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41900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0.7019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3</v>
      </c>
      <c r="D13" s="3" t="n">
        <v>1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102</v>
      </c>
      <c r="C14" s="3" t="n">
        <v>13.3</v>
      </c>
      <c r="D14" s="3" t="n">
        <v>12.9</v>
      </c>
      <c r="E14" s="3" t="n">
        <v>12.6</v>
      </c>
      <c r="F14" s="3" t="n">
        <v>12.6</v>
      </c>
      <c r="G14" s="3" t="n">
        <v>12.6</v>
      </c>
      <c r="H14" s="3" t="n">
        <v>12.6</v>
      </c>
      <c r="I14" s="3" t="n">
        <v>12.6</v>
      </c>
      <c r="J14" s="3" t="n">
        <v>12.6</v>
      </c>
      <c r="K14" s="3" t="n">
        <v>12.6</v>
      </c>
      <c r="L14" s="3" t="n">
        <v>12.6</v>
      </c>
    </row>
    <row r="15" customFormat="false" ht="15" hidden="false" customHeight="false" outlineLevel="0" collapsed="false">
      <c r="A15" s="0" t="s">
        <v>103</v>
      </c>
      <c r="C15" s="3" t="n">
        <v>1.19</v>
      </c>
      <c r="D15" s="3" t="n">
        <v>1.19</v>
      </c>
      <c r="E15" s="3" t="n">
        <v>1.19</v>
      </c>
      <c r="F15" s="3" t="n">
        <v>1.19</v>
      </c>
      <c r="G15" s="3" t="n">
        <v>1.19</v>
      </c>
      <c r="H15" s="3" t="n">
        <v>1.19</v>
      </c>
      <c r="I15" s="3" t="n">
        <v>1.19</v>
      </c>
      <c r="J15" s="3" t="n">
        <v>1.19</v>
      </c>
      <c r="K15" s="3" t="n">
        <v>1.19</v>
      </c>
      <c r="L15" s="3" t="n">
        <v>1.19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106</v>
      </c>
      <c r="C18" s="3" t="n">
        <v>3.5</v>
      </c>
      <c r="D18" s="3" t="n">
        <v>3.5</v>
      </c>
      <c r="E18" s="3" t="n">
        <v>3.5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107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108</v>
      </c>
      <c r="B20" s="3" t="n">
        <v>9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14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8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102</v>
      </c>
      <c r="C28" s="3" t="n">
        <v>13.64</v>
      </c>
      <c r="D28" s="3" t="n">
        <v>13.64</v>
      </c>
      <c r="E28" s="3" t="n">
        <v>13.64</v>
      </c>
      <c r="F28" s="3" t="n">
        <v>13.64</v>
      </c>
      <c r="G28" s="3" t="n">
        <v>13.64</v>
      </c>
      <c r="H28" s="3" t="n">
        <v>13.64</v>
      </c>
      <c r="I28" s="3" t="n">
        <v>13.64</v>
      </c>
      <c r="J28" s="3" t="n">
        <v>13.64</v>
      </c>
      <c r="K28" s="3" t="n">
        <v>13.64</v>
      </c>
      <c r="L28" s="3" t="n">
        <v>13.64</v>
      </c>
    </row>
    <row r="29" customFormat="false" ht="15" hidden="false" customHeight="false" outlineLevel="0" collapsed="false">
      <c r="A29" s="0" t="s">
        <v>103</v>
      </c>
      <c r="C29" s="3" t="n">
        <v>1.19</v>
      </c>
      <c r="D29" s="3" t="n">
        <v>1.19</v>
      </c>
      <c r="E29" s="3" t="n">
        <v>1.19</v>
      </c>
      <c r="F29" s="3" t="n">
        <v>1.19</v>
      </c>
      <c r="G29" s="3" t="n">
        <v>1.19</v>
      </c>
      <c r="H29" s="3" t="n">
        <v>1.19</v>
      </c>
      <c r="I29" s="3" t="n">
        <v>1.19</v>
      </c>
      <c r="J29" s="3" t="n">
        <v>1.19</v>
      </c>
      <c r="K29" s="3" t="n">
        <v>1.19</v>
      </c>
      <c r="L29" s="3" t="n">
        <v>1.19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106</v>
      </c>
      <c r="C32" s="3" t="n">
        <v>2.99</v>
      </c>
      <c r="D32" s="3" t="n">
        <v>2.99</v>
      </c>
      <c r="E32" s="3" t="n">
        <v>2.99</v>
      </c>
      <c r="F32" s="3" t="n">
        <v>2.99</v>
      </c>
      <c r="G32" s="3" t="n">
        <v>2.99</v>
      </c>
      <c r="H32" s="3" t="n">
        <v>2.99</v>
      </c>
      <c r="I32" s="3" t="n">
        <v>2.99</v>
      </c>
      <c r="J32" s="3" t="n">
        <v>2.99</v>
      </c>
      <c r="K32" s="3" t="n">
        <v>2.99</v>
      </c>
      <c r="L32" s="3" t="n">
        <v>2.99</v>
      </c>
    </row>
    <row r="33" customFormat="false" ht="15" hidden="false" customHeight="false" outlineLevel="0" collapsed="false">
      <c r="A33" s="0" t="s">
        <v>107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108</v>
      </c>
      <c r="B34" s="3" t="n">
        <v>9</v>
      </c>
    </row>
    <row r="35" customFormat="false" ht="15" hidden="false" customHeight="false" outlineLevel="0" collapsed="false">
      <c r="A35" s="0" t="s">
        <v>109</v>
      </c>
      <c r="B35" s="3" t="n">
        <v>3</v>
      </c>
    </row>
    <row r="36" customFormat="false" ht="15" hidden="false" customHeight="false" outlineLevel="0" collapsed="false">
      <c r="A36" s="0" t="s">
        <v>110</v>
      </c>
      <c r="B36" s="3" t="n">
        <v>16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10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5.5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102</v>
      </c>
      <c r="C42" s="3" t="n">
        <v>13.64</v>
      </c>
      <c r="D42" s="3" t="n">
        <v>13.8</v>
      </c>
      <c r="E42" s="3" t="n">
        <v>13.95</v>
      </c>
      <c r="F42" s="3" t="n">
        <v>14.1</v>
      </c>
      <c r="G42" s="3" t="n">
        <v>14.2</v>
      </c>
      <c r="H42" s="3" t="n">
        <v>14.2</v>
      </c>
      <c r="I42" s="3" t="n">
        <v>14.2</v>
      </c>
      <c r="J42" s="3" t="n">
        <v>14.2</v>
      </c>
      <c r="K42" s="3" t="n">
        <v>14.2</v>
      </c>
      <c r="L42" s="3" t="n">
        <v>14.2</v>
      </c>
    </row>
    <row r="43" customFormat="false" ht="15" hidden="false" customHeight="false" outlineLevel="0" collapsed="false">
      <c r="A43" s="0" t="s">
        <v>103</v>
      </c>
      <c r="C43" s="3" t="n">
        <v>1.19</v>
      </c>
      <c r="D43" s="3" t="n">
        <v>1.19</v>
      </c>
      <c r="E43" s="3" t="n">
        <v>1.19</v>
      </c>
      <c r="F43" s="3" t="n">
        <v>1.19</v>
      </c>
      <c r="G43" s="3" t="n">
        <v>1.19</v>
      </c>
      <c r="H43" s="3" t="n">
        <v>1.19</v>
      </c>
      <c r="I43" s="3" t="n">
        <v>1.19</v>
      </c>
      <c r="J43" s="3" t="n">
        <v>1.19</v>
      </c>
      <c r="K43" s="3" t="n">
        <v>1.19</v>
      </c>
      <c r="L43" s="3" t="n">
        <v>1.19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106</v>
      </c>
      <c r="C46" s="3" t="n">
        <v>2.6</v>
      </c>
      <c r="D46" s="3" t="n">
        <v>2.6</v>
      </c>
      <c r="E46" s="3" t="n">
        <v>2.6</v>
      </c>
      <c r="F46" s="3" t="n">
        <v>2.6</v>
      </c>
      <c r="G46" s="3" t="n">
        <v>2.6</v>
      </c>
      <c r="H46" s="3" t="n">
        <v>2.6</v>
      </c>
      <c r="I46" s="3" t="n">
        <v>2.6</v>
      </c>
      <c r="J46" s="3" t="n">
        <v>2.6</v>
      </c>
      <c r="K46" s="3" t="n">
        <v>2.6</v>
      </c>
      <c r="L46" s="3" t="n">
        <v>2.6</v>
      </c>
    </row>
    <row r="47" customFormat="false" ht="15" hidden="false" customHeight="false" outlineLevel="0" collapsed="false">
      <c r="A47" s="0" t="s">
        <v>107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108</v>
      </c>
      <c r="B48" s="3" t="n">
        <v>9</v>
      </c>
    </row>
    <row r="49" customFormat="false" ht="15" hidden="false" customHeight="false" outlineLevel="0" collapsed="false">
      <c r="A49" s="0" t="s">
        <v>109</v>
      </c>
      <c r="B49" s="3" t="n">
        <v>3.5</v>
      </c>
    </row>
    <row r="50" customFormat="false" ht="15" hidden="false" customHeight="false" outlineLevel="0" collapsed="false">
      <c r="A50" s="0" t="s">
        <v>110</v>
      </c>
      <c r="B50" s="3" t="n">
        <v>18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41900</v>
      </c>
      <c r="C6" s="0" t="n">
        <f aca="false">B6*(1+C5/100)</f>
        <v>43157</v>
      </c>
      <c r="D6" s="0" t="n">
        <f aca="false">C6*(1+D5/100)</f>
        <v>43588.57</v>
      </c>
      <c r="E6" s="0" t="n">
        <f aca="false">D6*(1+E5/100)</f>
        <v>44460.3414</v>
      </c>
      <c r="F6" s="0" t="n">
        <f aca="false">E6*(1+F5/100)</f>
        <v>45794.151642</v>
      </c>
      <c r="G6" s="0" t="n">
        <f aca="false">F6*(1+G5/100)</f>
        <v>47167.97619126</v>
      </c>
      <c r="H6" s="0" t="n">
        <f aca="false">G6*(1+H5/100)</f>
        <v>48583.0154769978</v>
      </c>
      <c r="I6" s="0" t="n">
        <f aca="false">H6*(1+I5/100)</f>
        <v>50040.5059413077</v>
      </c>
      <c r="J6" s="0" t="n">
        <f aca="false">I6*(1+J5/100)</f>
        <v>51541.721119547</v>
      </c>
      <c r="K6" s="0" t="n">
        <f aca="false">J6*(1+K5/100)</f>
        <v>52830.2641475356</v>
      </c>
      <c r="L6" s="0" t="n">
        <f aca="false">K6*(1+L5/100)</f>
        <v>54151.020751224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13.3</v>
      </c>
      <c r="D7" s="4" t="n">
        <f aca="false">Assumptions!D14</f>
        <v>12.9</v>
      </c>
      <c r="E7" s="4" t="n">
        <f aca="false">Assumptions!E14</f>
        <v>12.6</v>
      </c>
      <c r="F7" s="4" t="n">
        <f aca="false">Assumptions!F14</f>
        <v>12.6</v>
      </c>
      <c r="G7" s="4" t="n">
        <f aca="false">Assumptions!G14</f>
        <v>12.6</v>
      </c>
      <c r="H7" s="4" t="n">
        <f aca="false">Assumptions!H14</f>
        <v>12.6</v>
      </c>
      <c r="I7" s="4" t="n">
        <f aca="false">Assumptions!I14</f>
        <v>12.6</v>
      </c>
      <c r="J7" s="4" t="n">
        <f aca="false">Assumptions!J14</f>
        <v>12.6</v>
      </c>
      <c r="K7" s="4" t="n">
        <f aca="false">Assumptions!K14</f>
        <v>12.6</v>
      </c>
      <c r="L7" s="4" t="n">
        <f aca="false">Assumptions!L14</f>
        <v>12.6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5739.881</v>
      </c>
      <c r="D8" s="0" t="n">
        <f aca="false">D6*D7/100</f>
        <v>5622.92553</v>
      </c>
      <c r="E8" s="0" t="n">
        <f aca="false">E6*E7/100</f>
        <v>5602.0030164</v>
      </c>
      <c r="F8" s="0" t="n">
        <f aca="false">F6*F7/100</f>
        <v>5770.063106892</v>
      </c>
      <c r="G8" s="0" t="n">
        <f aca="false">G6*G7/100</f>
        <v>5943.16500009876</v>
      </c>
      <c r="H8" s="0" t="n">
        <f aca="false">H6*H7/100</f>
        <v>6121.45995010172</v>
      </c>
      <c r="I8" s="0" t="n">
        <f aca="false">I6*I7/100</f>
        <v>6305.10374860478</v>
      </c>
      <c r="J8" s="0" t="n">
        <f aca="false">J6*J7/100</f>
        <v>6494.25686106292</v>
      </c>
      <c r="K8" s="0" t="n">
        <f aca="false">K6*K7/100</f>
        <v>6656.61328258949</v>
      </c>
      <c r="L8" s="0" t="n">
        <f aca="false">L6*L7/100</f>
        <v>6823.02861465423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1.19</v>
      </c>
      <c r="D9" s="4" t="n">
        <f aca="false">Assumptions!D15</f>
        <v>1.19</v>
      </c>
      <c r="E9" s="4" t="n">
        <f aca="false">Assumptions!E15</f>
        <v>1.19</v>
      </c>
      <c r="F9" s="4" t="n">
        <f aca="false">Assumptions!F15</f>
        <v>1.19</v>
      </c>
      <c r="G9" s="4" t="n">
        <f aca="false">Assumptions!G15</f>
        <v>1.19</v>
      </c>
      <c r="H9" s="4" t="n">
        <f aca="false">Assumptions!H15</f>
        <v>1.19</v>
      </c>
      <c r="I9" s="4" t="n">
        <f aca="false">Assumptions!I15</f>
        <v>1.19</v>
      </c>
      <c r="J9" s="4" t="n">
        <f aca="false">Assumptions!J15</f>
        <v>1.19</v>
      </c>
      <c r="K9" s="4" t="n">
        <f aca="false">Assumptions!K15</f>
        <v>1.19</v>
      </c>
      <c r="L9" s="4" t="n">
        <f aca="false">Assumptions!L15</f>
        <v>1.19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-513.5683</v>
      </c>
      <c r="D10" s="0" t="n">
        <f aca="false">-D6*D9/100</f>
        <v>-518.703983</v>
      </c>
      <c r="E10" s="0" t="n">
        <f aca="false">-E6*E9/100</f>
        <v>-529.07806266</v>
      </c>
      <c r="F10" s="0" t="n">
        <f aca="false">-F6*F9/100</f>
        <v>-544.9504045398</v>
      </c>
      <c r="G10" s="0" t="n">
        <f aca="false">-G6*G9/100</f>
        <v>-561.298916675994</v>
      </c>
      <c r="H10" s="0" t="n">
        <f aca="false">-H6*H9/100</f>
        <v>-578.137884176274</v>
      </c>
      <c r="I10" s="0" t="n">
        <f aca="false">-I6*I9/100</f>
        <v>-595.482020701562</v>
      </c>
      <c r="J10" s="0" t="n">
        <f aca="false">-J6*J9/100</f>
        <v>-613.346481322609</v>
      </c>
      <c r="K10" s="0" t="n">
        <f aca="false">-K6*K9/100</f>
        <v>-628.680143355674</v>
      </c>
      <c r="L10" s="0" t="n">
        <f aca="false">-L6*L9/100</f>
        <v>-644.397146939566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5226.3127</v>
      </c>
      <c r="D11" s="0" t="n">
        <f aca="false">D8+D10+D24</f>
        <v>5104.221547</v>
      </c>
      <c r="E11" s="0" t="n">
        <f aca="false">E8+E10+E24</f>
        <v>5072.92495374</v>
      </c>
      <c r="F11" s="0" t="n">
        <f aca="false">F8+F10+F24</f>
        <v>5225.1127023522</v>
      </c>
      <c r="G11" s="0" t="n">
        <f aca="false">G8+G10+G24</f>
        <v>5381.86608342277</v>
      </c>
      <c r="H11" s="0" t="n">
        <f aca="false">H8+H10+H24</f>
        <v>5543.32206592545</v>
      </c>
      <c r="I11" s="0" t="n">
        <f aca="false">I8+I10+I24</f>
        <v>5709.62172790321</v>
      </c>
      <c r="J11" s="0" t="n">
        <f aca="false">J8+J10+J24</f>
        <v>5880.91037974031</v>
      </c>
      <c r="K11" s="0" t="n">
        <f aca="false">K8+K10+K24</f>
        <v>6027.93313923382</v>
      </c>
      <c r="L11" s="0" t="n">
        <f aca="false">L8+L10+L24</f>
        <v>6178.63146771466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5226.3127</v>
      </c>
      <c r="D13" s="0" t="n">
        <f aca="false">D11+D12</f>
        <v>5104.221547</v>
      </c>
      <c r="E13" s="0" t="n">
        <f aca="false">E11+E12</f>
        <v>5072.92495374</v>
      </c>
      <c r="F13" s="0" t="n">
        <f aca="false">F11+F12</f>
        <v>5225.1127023522</v>
      </c>
      <c r="G13" s="0" t="n">
        <f aca="false">G11+G12</f>
        <v>5381.86608342277</v>
      </c>
      <c r="H13" s="0" t="n">
        <f aca="false">H11+H12</f>
        <v>5543.32206592545</v>
      </c>
      <c r="I13" s="0" t="n">
        <f aca="false">I11+I12</f>
        <v>5709.62172790321</v>
      </c>
      <c r="J13" s="0" t="n">
        <f aca="false">J11+J12</f>
        <v>5880.91037974031</v>
      </c>
      <c r="K13" s="0" t="n">
        <f aca="false">K11+K12</f>
        <v>6027.93313923382</v>
      </c>
      <c r="L13" s="0" t="n">
        <f aca="false">L11+L12</f>
        <v>6178.63146771466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4181.05016</v>
      </c>
      <c r="D15" s="0" t="n">
        <f aca="false">D13-MAX(0,D13)*D14/100</f>
        <v>4083.3772376</v>
      </c>
      <c r="E15" s="0" t="n">
        <f aca="false">E13-MAX(0,E13)*E14/100</f>
        <v>4058.339962992</v>
      </c>
      <c r="F15" s="0" t="n">
        <f aca="false">F13-MAX(0,F13)*F14/100</f>
        <v>4180.09016188176</v>
      </c>
      <c r="G15" s="0" t="n">
        <f aca="false">G13-MAX(0,G13)*G14/100</f>
        <v>4305.49286673821</v>
      </c>
      <c r="H15" s="0" t="n">
        <f aca="false">H13-MAX(0,H13)*H14/100</f>
        <v>4434.65765274036</v>
      </c>
      <c r="I15" s="0" t="n">
        <f aca="false">I13-MAX(0,I13)*I14/100</f>
        <v>4567.69738232257</v>
      </c>
      <c r="J15" s="0" t="n">
        <f aca="false">J13-MAX(0,J13)*J14/100</f>
        <v>4704.72830379225</v>
      </c>
      <c r="K15" s="0" t="n">
        <f aca="false">K13-MAX(0,K13)*K14/100</f>
        <v>4822.34651138705</v>
      </c>
      <c r="L15" s="0" t="n">
        <f aca="false">L13-MAX(0,L13)*L14/100</f>
        <v>4942.90517417173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-1510.495</v>
      </c>
      <c r="D17" s="4" t="n">
        <f aca="false">-D6*Assumptions!D18/100</f>
        <v>-1525.59995</v>
      </c>
      <c r="E17" s="4" t="n">
        <f aca="false">-E6*Assumptions!E18/100</f>
        <v>-1556.111949</v>
      </c>
      <c r="F17" s="4" t="n">
        <f aca="false">-F6*Assumptions!F18/100</f>
        <v>-1602.79530747</v>
      </c>
      <c r="G17" s="4" t="n">
        <f aca="false">-G6*Assumptions!G18/100</f>
        <v>-1650.8791666941</v>
      </c>
      <c r="H17" s="4" t="n">
        <f aca="false">-H6*Assumptions!H18/100</f>
        <v>-1700.40554169492</v>
      </c>
      <c r="I17" s="4" t="n">
        <f aca="false">-I6*Assumptions!I18/100</f>
        <v>-1751.41770794577</v>
      </c>
      <c r="J17" s="4" t="n">
        <f aca="false">-J6*Assumptions!J18/100</f>
        <v>-1803.96023918414</v>
      </c>
      <c r="K17" s="4" t="n">
        <f aca="false">-K6*Assumptions!K18/100</f>
        <v>-1849.05924516375</v>
      </c>
      <c r="L17" s="4" t="n">
        <f aca="false">-L6*Assumptions!L18/100</f>
        <v>-1895.28572629284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2670.55516</v>
      </c>
      <c r="D19" s="0" t="n">
        <f aca="false">D15+D16+D17+D18</f>
        <v>2557.7772876</v>
      </c>
      <c r="E19" s="0" t="n">
        <f aca="false">E15+E16+E17+E18</f>
        <v>2502.228013992</v>
      </c>
      <c r="F19" s="0" t="n">
        <f aca="false">F15+F16+F17+F18</f>
        <v>2577.29485441176</v>
      </c>
      <c r="G19" s="0" t="n">
        <f aca="false">G15+G16+G17+G18</f>
        <v>2654.61370004411</v>
      </c>
      <c r="H19" s="0" t="n">
        <f aca="false">H15+H16+H17+H18</f>
        <v>2734.25211104544</v>
      </c>
      <c r="I19" s="0" t="n">
        <f aca="false">I15+I16+I17+I18</f>
        <v>2816.2796743768</v>
      </c>
      <c r="J19" s="0" t="n">
        <f aca="false">J15+J16+J17+J18</f>
        <v>2900.7680646081</v>
      </c>
      <c r="K19" s="0" t="n">
        <f aca="false">K15+K16+K17+K18</f>
        <v>2973.28726622331</v>
      </c>
      <c r="L19" s="0" t="n">
        <f aca="false">L15+L16+L17+L18</f>
        <v>3047.61944787889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2450.05060550459</v>
      </c>
      <c r="D21" s="0" t="n">
        <f aca="false">D19*D20</f>
        <v>2152.82997020453</v>
      </c>
      <c r="E21" s="0" t="n">
        <f aca="false">E19*E20</f>
        <v>1932.17913575063</v>
      </c>
      <c r="F21" s="0" t="n">
        <f aca="false">F19*F20</f>
        <v>1825.8206512139</v>
      </c>
      <c r="G21" s="0" t="n">
        <f aca="false">G19*G20</f>
        <v>1725.31676215625</v>
      </c>
      <c r="H21" s="0" t="n">
        <f aca="false">H19*H20</f>
        <v>1630.34519726692</v>
      </c>
      <c r="I21" s="0" t="n">
        <f aca="false">I19*I20</f>
        <v>1540.6014249403</v>
      </c>
      <c r="J21" s="0" t="n">
        <f aca="false">J19*J20</f>
        <v>1455.79767677844</v>
      </c>
      <c r="K21" s="0" t="n">
        <f aca="false">K19*K20</f>
        <v>1368.98405385129</v>
      </c>
      <c r="L21" s="0" t="n">
        <f aca="false">L19*L20</f>
        <v>1287.34739008951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17369.2728677563</v>
      </c>
    </row>
    <row r="31" customFormat="false" ht="15" hidden="false" customHeight="false" outlineLevel="0" collapsed="false">
      <c r="A31" s="0" t="s">
        <v>132</v>
      </c>
      <c r="B31" s="0" t="n">
        <f aca="false">L19</f>
        <v>3047.61944787889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44408.1690976638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42666.6722703044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42666.6722703044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18022.8634612532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35392.1363290096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35392.1363290096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44.840686803848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-0.429289973223266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3607.10789718902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3966.3475025146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54.4360087263245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23912.0910525882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24.5706024699122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8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41900</v>
      </c>
      <c r="C6" s="0" t="n">
        <f aca="false">B6*(1+C5/100)</f>
        <v>45252</v>
      </c>
      <c r="D6" s="0" t="n">
        <f aca="false">C6*(1+D5/100)</f>
        <v>48419.64</v>
      </c>
      <c r="E6" s="0" t="n">
        <f aca="false">D6*(1+E5/100)</f>
        <v>51566.9166</v>
      </c>
      <c r="F6" s="0" t="n">
        <f aca="false">E6*(1+F5/100)</f>
        <v>54660.931596</v>
      </c>
      <c r="G6" s="0" t="n">
        <f aca="false">F6*(1+G5/100)</f>
        <v>57667.28283378</v>
      </c>
      <c r="H6" s="0" t="n">
        <f aca="false">G6*(1+H5/100)</f>
        <v>60550.646975469</v>
      </c>
      <c r="I6" s="0" t="n">
        <f aca="false">H6*(1+I5/100)</f>
        <v>63275.4260893651</v>
      </c>
      <c r="J6" s="0" t="n">
        <f aca="false">I6*(1+J5/100)</f>
        <v>65806.4431329397</v>
      </c>
      <c r="K6" s="0" t="n">
        <f aca="false">J6*(1+K5/100)</f>
        <v>68109.6686425926</v>
      </c>
      <c r="L6" s="0" t="n">
        <f aca="false">K6*(1+L5/100)</f>
        <v>70152.9587018704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13.64</v>
      </c>
      <c r="D7" s="4" t="n">
        <f aca="false">Assumptions!D28</f>
        <v>13.64</v>
      </c>
      <c r="E7" s="4" t="n">
        <f aca="false">Assumptions!E28</f>
        <v>13.64</v>
      </c>
      <c r="F7" s="4" t="n">
        <f aca="false">Assumptions!F28</f>
        <v>13.64</v>
      </c>
      <c r="G7" s="4" t="n">
        <f aca="false">Assumptions!G28</f>
        <v>13.64</v>
      </c>
      <c r="H7" s="4" t="n">
        <f aca="false">Assumptions!H28</f>
        <v>13.64</v>
      </c>
      <c r="I7" s="4" t="n">
        <f aca="false">Assumptions!I28</f>
        <v>13.64</v>
      </c>
      <c r="J7" s="4" t="n">
        <f aca="false">Assumptions!J28</f>
        <v>13.64</v>
      </c>
      <c r="K7" s="4" t="n">
        <f aca="false">Assumptions!K28</f>
        <v>13.64</v>
      </c>
      <c r="L7" s="4" t="n">
        <f aca="false">Assumptions!L28</f>
        <v>13.64</v>
      </c>
    </row>
    <row r="8" customFormat="false" ht="15" hidden="false" customHeight="false" outlineLevel="0" collapsed="false">
      <c r="A8" s="0" t="s">
        <v>44</v>
      </c>
      <c r="C8" s="0" t="n">
        <f aca="false">C6*C7/100</f>
        <v>6172.3728</v>
      </c>
      <c r="D8" s="0" t="n">
        <f aca="false">D6*D7/100</f>
        <v>6604.438896</v>
      </c>
      <c r="E8" s="0" t="n">
        <f aca="false">E6*E7/100</f>
        <v>7033.72742424</v>
      </c>
      <c r="F8" s="0" t="n">
        <f aca="false">F6*F7/100</f>
        <v>7455.7510696944</v>
      </c>
      <c r="G8" s="0" t="n">
        <f aca="false">G6*G7/100</f>
        <v>7865.81737852759</v>
      </c>
      <c r="H8" s="0" t="n">
        <f aca="false">H6*H7/100</f>
        <v>8259.10824745397</v>
      </c>
      <c r="I8" s="0" t="n">
        <f aca="false">I6*I7/100</f>
        <v>8630.7681185894</v>
      </c>
      <c r="J8" s="0" t="n">
        <f aca="false">J6*J7/100</f>
        <v>8975.99884333298</v>
      </c>
      <c r="K8" s="0" t="n">
        <f aca="false">K6*K7/100</f>
        <v>9290.15880284963</v>
      </c>
      <c r="L8" s="0" t="n">
        <f aca="false">L6*L7/100</f>
        <v>9568.86356693512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1.19</v>
      </c>
      <c r="D9" s="4" t="n">
        <f aca="false">Assumptions!D29</f>
        <v>1.19</v>
      </c>
      <c r="E9" s="4" t="n">
        <f aca="false">Assumptions!E29</f>
        <v>1.19</v>
      </c>
      <c r="F9" s="4" t="n">
        <f aca="false">Assumptions!F29</f>
        <v>1.19</v>
      </c>
      <c r="G9" s="4" t="n">
        <f aca="false">Assumptions!G29</f>
        <v>1.19</v>
      </c>
      <c r="H9" s="4" t="n">
        <f aca="false">Assumptions!H29</f>
        <v>1.19</v>
      </c>
      <c r="I9" s="4" t="n">
        <f aca="false">Assumptions!I29</f>
        <v>1.19</v>
      </c>
      <c r="J9" s="4" t="n">
        <f aca="false">Assumptions!J29</f>
        <v>1.19</v>
      </c>
      <c r="K9" s="4" t="n">
        <f aca="false">Assumptions!K29</f>
        <v>1.19</v>
      </c>
      <c r="L9" s="4" t="n">
        <f aca="false">Assumptions!L29</f>
        <v>1.19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-538.4988</v>
      </c>
      <c r="D10" s="0" t="n">
        <f aca="false">-D6*D9/100</f>
        <v>-576.193716</v>
      </c>
      <c r="E10" s="0" t="n">
        <f aca="false">-E6*E9/100</f>
        <v>-613.64630754</v>
      </c>
      <c r="F10" s="0" t="n">
        <f aca="false">-F6*F9/100</f>
        <v>-650.4650859924</v>
      </c>
      <c r="G10" s="0" t="n">
        <f aca="false">-G6*G9/100</f>
        <v>-686.240665721982</v>
      </c>
      <c r="H10" s="0" t="n">
        <f aca="false">-H6*H9/100</f>
        <v>-720.552699008081</v>
      </c>
      <c r="I10" s="0" t="n">
        <f aca="false">-I6*I9/100</f>
        <v>-752.977570463445</v>
      </c>
      <c r="J10" s="0" t="n">
        <f aca="false">-J6*J9/100</f>
        <v>-783.096673281983</v>
      </c>
      <c r="K10" s="0" t="n">
        <f aca="false">-K6*K9/100</f>
        <v>-810.505056846852</v>
      </c>
      <c r="L10" s="0" t="n">
        <f aca="false">-L6*L9/100</f>
        <v>-834.820208552257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5633.874</v>
      </c>
      <c r="D11" s="0" t="n">
        <f aca="false">D8+D10+D24</f>
        <v>6028.24518</v>
      </c>
      <c r="E11" s="0" t="n">
        <f aca="false">E8+E10+E24</f>
        <v>6420.0811167</v>
      </c>
      <c r="F11" s="0" t="n">
        <f aca="false">F8+F10+F24</f>
        <v>6805.285983702</v>
      </c>
      <c r="G11" s="0" t="n">
        <f aca="false">G8+G10+G24</f>
        <v>7179.57671280561</v>
      </c>
      <c r="H11" s="0" t="n">
        <f aca="false">H8+H10+H24</f>
        <v>7538.55554844589</v>
      </c>
      <c r="I11" s="0" t="n">
        <f aca="false">I8+I10+I24</f>
        <v>7877.79054812596</v>
      </c>
      <c r="J11" s="0" t="n">
        <f aca="false">J8+J10+J24</f>
        <v>8192.902170051</v>
      </c>
      <c r="K11" s="0" t="n">
        <f aca="false">K8+K10+K24</f>
        <v>8479.65374600278</v>
      </c>
      <c r="L11" s="0" t="n">
        <f aca="false">L8+L10+L24</f>
        <v>8734.04335838286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5633.874</v>
      </c>
      <c r="D13" s="0" t="n">
        <f aca="false">D11+D12</f>
        <v>6028.24518</v>
      </c>
      <c r="E13" s="0" t="n">
        <f aca="false">E11+E12</f>
        <v>6420.0811167</v>
      </c>
      <c r="F13" s="0" t="n">
        <f aca="false">F11+F12</f>
        <v>6805.285983702</v>
      </c>
      <c r="G13" s="0" t="n">
        <f aca="false">G11+G12</f>
        <v>7179.57671280561</v>
      </c>
      <c r="H13" s="0" t="n">
        <f aca="false">H11+H12</f>
        <v>7538.55554844589</v>
      </c>
      <c r="I13" s="0" t="n">
        <f aca="false">I11+I12</f>
        <v>7877.79054812596</v>
      </c>
      <c r="J13" s="0" t="n">
        <f aca="false">J11+J12</f>
        <v>8192.902170051</v>
      </c>
      <c r="K13" s="0" t="n">
        <f aca="false">K11+K12</f>
        <v>8479.65374600278</v>
      </c>
      <c r="L13" s="0" t="n">
        <f aca="false">L11+L12</f>
        <v>8734.04335838286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4507.0992</v>
      </c>
      <c r="D15" s="0" t="n">
        <f aca="false">D13-MAX(0,D13)*D14/100</f>
        <v>4822.596144</v>
      </c>
      <c r="E15" s="0" t="n">
        <f aca="false">E13-MAX(0,E13)*E14/100</f>
        <v>5136.06489336</v>
      </c>
      <c r="F15" s="0" t="n">
        <f aca="false">F13-MAX(0,F13)*F14/100</f>
        <v>5444.2287869616</v>
      </c>
      <c r="G15" s="0" t="n">
        <f aca="false">G13-MAX(0,G13)*G14/100</f>
        <v>5743.66137024449</v>
      </c>
      <c r="H15" s="0" t="n">
        <f aca="false">H13-MAX(0,H13)*H14/100</f>
        <v>6030.84443875671</v>
      </c>
      <c r="I15" s="0" t="n">
        <f aca="false">I13-MAX(0,I13)*I14/100</f>
        <v>6302.23243850076</v>
      </c>
      <c r="J15" s="0" t="n">
        <f aca="false">J13-MAX(0,J13)*J14/100</f>
        <v>6554.3217360408</v>
      </c>
      <c r="K15" s="0" t="n">
        <f aca="false">K13-MAX(0,K13)*K14/100</f>
        <v>6783.72299680222</v>
      </c>
      <c r="L15" s="0" t="n">
        <f aca="false">L13-MAX(0,L13)*L14/100</f>
        <v>6987.23468670629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-1353.0348</v>
      </c>
      <c r="D17" s="4" t="n">
        <f aca="false">-D6*Assumptions!D32/100</f>
        <v>-1447.747236</v>
      </c>
      <c r="E17" s="4" t="n">
        <f aca="false">-E6*Assumptions!E32/100</f>
        <v>-1541.85080634</v>
      </c>
      <c r="F17" s="4" t="n">
        <f aca="false">-F6*Assumptions!F32/100</f>
        <v>-1634.3618547204</v>
      </c>
      <c r="G17" s="4" t="n">
        <f aca="false">-G6*Assumptions!G32/100</f>
        <v>-1724.25175673002</v>
      </c>
      <c r="H17" s="4" t="n">
        <f aca="false">-H6*Assumptions!H32/100</f>
        <v>-1810.46434456652</v>
      </c>
      <c r="I17" s="4" t="n">
        <f aca="false">-I6*Assumptions!I32/100</f>
        <v>-1891.93524007202</v>
      </c>
      <c r="J17" s="4" t="n">
        <f aca="false">-J6*Assumptions!J32/100</f>
        <v>-1967.6126496749</v>
      </c>
      <c r="K17" s="4" t="n">
        <f aca="false">-K6*Assumptions!K32/100</f>
        <v>-2036.47909241352</v>
      </c>
      <c r="L17" s="4" t="n">
        <f aca="false">-L6*Assumptions!L32/100</f>
        <v>-2097.57346518592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3154.0644</v>
      </c>
      <c r="D19" s="0" t="n">
        <f aca="false">D15+D16+D17+D18</f>
        <v>3374.848908</v>
      </c>
      <c r="E19" s="0" t="n">
        <f aca="false">E15+E16+E17+E18</f>
        <v>3594.21408702</v>
      </c>
      <c r="F19" s="0" t="n">
        <f aca="false">F15+F16+F17+F18</f>
        <v>3809.8669322412</v>
      </c>
      <c r="G19" s="0" t="n">
        <f aca="false">G15+G16+G17+G18</f>
        <v>4019.40961351447</v>
      </c>
      <c r="H19" s="0" t="n">
        <f aca="false">H15+H16+H17+H18</f>
        <v>4220.38009419019</v>
      </c>
      <c r="I19" s="0" t="n">
        <f aca="false">I15+I16+I17+I18</f>
        <v>4410.29719842875</v>
      </c>
      <c r="J19" s="0" t="n">
        <f aca="false">J15+J16+J17+J18</f>
        <v>4586.7090863659</v>
      </c>
      <c r="K19" s="0" t="n">
        <f aca="false">K15+K16+K17+K18</f>
        <v>4747.24390438871</v>
      </c>
      <c r="L19" s="0" t="n">
        <f aca="false">L15+L16+L17+L18</f>
        <v>4889.66122152037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2893.63706422018</v>
      </c>
      <c r="D21" s="0" t="n">
        <f aca="false">D19*D20</f>
        <v>2840.5428061611</v>
      </c>
      <c r="E21" s="0" t="n">
        <f aca="false">E19*E20</f>
        <v>2775.3927417996</v>
      </c>
      <c r="F21" s="0" t="n">
        <f aca="false">F19*F20</f>
        <v>2699.00578560328</v>
      </c>
      <c r="G21" s="0" t="n">
        <f aca="false">G19*G20</f>
        <v>2612.34046221235</v>
      </c>
      <c r="H21" s="0" t="n">
        <f aca="false">H19*H20</f>
        <v>2516.47475717704</v>
      </c>
      <c r="I21" s="0" t="n">
        <f aca="false">I19*I20</f>
        <v>2412.58359747707</v>
      </c>
      <c r="J21" s="0" t="n">
        <f aca="false">J19*J20</f>
        <v>2301.91462511573</v>
      </c>
      <c r="K21" s="0" t="n">
        <f aca="false">K19*K20</f>
        <v>2185.76296971999</v>
      </c>
      <c r="L21" s="0" t="n">
        <f aca="false">L19*L20</f>
        <v>2065.44574202898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25303.1005515153</v>
      </c>
    </row>
    <row r="31" customFormat="false" ht="15" hidden="false" customHeight="false" outlineLevel="0" collapsed="false">
      <c r="A31" s="0" t="s">
        <v>132</v>
      </c>
      <c r="B31" s="0" t="n">
        <f aca="false">L19</f>
        <v>4889.66122152037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83939.1843027663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78234.5795443259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78234.5795443259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33047.1318724636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58350.232423979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58350.232423979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73.9278486252542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-0.0590830008240524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4320.04155757579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6053.60317074347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87.070919446206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41969.5921513831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37.690747994941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10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41900</v>
      </c>
      <c r="C6" s="0" t="n">
        <f aca="false">B6*(1+C5/100)</f>
        <v>46090</v>
      </c>
      <c r="D6" s="0" t="n">
        <f aca="false">C6*(1+D5/100)</f>
        <v>50699</v>
      </c>
      <c r="E6" s="0" t="n">
        <f aca="false">D6*(1+E5/100)</f>
        <v>55261.91</v>
      </c>
      <c r="F6" s="0" t="n">
        <f aca="false">E6*(1+F5/100)</f>
        <v>59682.8628</v>
      </c>
      <c r="G6" s="0" t="n">
        <f aca="false">F6*(1+G5/100)</f>
        <v>63860.663196</v>
      </c>
      <c r="H6" s="0" t="n">
        <f aca="false">G6*(1+H5/100)</f>
        <v>67692.30298776</v>
      </c>
      <c r="I6" s="0" t="n">
        <f aca="false">H6*(1+I5/100)</f>
        <v>71415.3796520868</v>
      </c>
      <c r="J6" s="0" t="n">
        <f aca="false">I6*(1+J5/100)</f>
        <v>74986.1486346912</v>
      </c>
      <c r="K6" s="0" t="n">
        <f aca="false">J6*(1+K5/100)</f>
        <v>77985.5945800788</v>
      </c>
      <c r="L6" s="0" t="n">
        <f aca="false">K6*(1+L5/100)</f>
        <v>80715.0903903816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13.64</v>
      </c>
      <c r="D7" s="4" t="n">
        <f aca="false">Assumptions!D42</f>
        <v>13.8</v>
      </c>
      <c r="E7" s="4" t="n">
        <f aca="false">Assumptions!E42</f>
        <v>13.95</v>
      </c>
      <c r="F7" s="4" t="n">
        <f aca="false">Assumptions!F42</f>
        <v>14.1</v>
      </c>
      <c r="G7" s="4" t="n">
        <f aca="false">Assumptions!G42</f>
        <v>14.2</v>
      </c>
      <c r="H7" s="4" t="n">
        <f aca="false">Assumptions!H42</f>
        <v>14.2</v>
      </c>
      <c r="I7" s="4" t="n">
        <f aca="false">Assumptions!I42</f>
        <v>14.2</v>
      </c>
      <c r="J7" s="4" t="n">
        <f aca="false">Assumptions!J42</f>
        <v>14.2</v>
      </c>
      <c r="K7" s="4" t="n">
        <f aca="false">Assumptions!K42</f>
        <v>14.2</v>
      </c>
      <c r="L7" s="4" t="n">
        <f aca="false">Assumptions!L42</f>
        <v>14.2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6286.676</v>
      </c>
      <c r="D8" s="0" t="n">
        <f aca="false">D6*D7/100</f>
        <v>6996.462</v>
      </c>
      <c r="E8" s="0" t="n">
        <f aca="false">E6*E7/100</f>
        <v>7709.036445</v>
      </c>
      <c r="F8" s="0" t="n">
        <f aca="false">F6*F7/100</f>
        <v>8415.2836548</v>
      </c>
      <c r="G8" s="0" t="n">
        <f aca="false">G6*G7/100</f>
        <v>9068.214173832</v>
      </c>
      <c r="H8" s="0" t="n">
        <f aca="false">H6*H7/100</f>
        <v>9612.30702426193</v>
      </c>
      <c r="I8" s="0" t="n">
        <f aca="false">I6*I7/100</f>
        <v>10140.9839105963</v>
      </c>
      <c r="J8" s="0" t="n">
        <f aca="false">J6*J7/100</f>
        <v>10648.0331061261</v>
      </c>
      <c r="K8" s="0" t="n">
        <f aca="false">K6*K7/100</f>
        <v>11073.9544303712</v>
      </c>
      <c r="L8" s="0" t="n">
        <f aca="false">L6*L7/100</f>
        <v>11461.5428354342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1.19</v>
      </c>
      <c r="D9" s="4" t="n">
        <f aca="false">Assumptions!D43</f>
        <v>1.19</v>
      </c>
      <c r="E9" s="4" t="n">
        <f aca="false">Assumptions!E43</f>
        <v>1.19</v>
      </c>
      <c r="F9" s="4" t="n">
        <f aca="false">Assumptions!F43</f>
        <v>1.19</v>
      </c>
      <c r="G9" s="4" t="n">
        <f aca="false">Assumptions!G43</f>
        <v>1.19</v>
      </c>
      <c r="H9" s="4" t="n">
        <f aca="false">Assumptions!H43</f>
        <v>1.19</v>
      </c>
      <c r="I9" s="4" t="n">
        <f aca="false">Assumptions!I43</f>
        <v>1.19</v>
      </c>
      <c r="J9" s="4" t="n">
        <f aca="false">Assumptions!J43</f>
        <v>1.19</v>
      </c>
      <c r="K9" s="4" t="n">
        <f aca="false">Assumptions!K43</f>
        <v>1.19</v>
      </c>
      <c r="L9" s="4" t="n">
        <f aca="false">Assumptions!L43</f>
        <v>1.19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-548.471</v>
      </c>
      <c r="D10" s="0" t="n">
        <f aca="false">-D6*D9/100</f>
        <v>-603.3181</v>
      </c>
      <c r="E10" s="0" t="n">
        <f aca="false">-E6*E9/100</f>
        <v>-657.616729</v>
      </c>
      <c r="F10" s="0" t="n">
        <f aca="false">-F6*F9/100</f>
        <v>-710.22606732</v>
      </c>
      <c r="G10" s="0" t="n">
        <f aca="false">-G6*G9/100</f>
        <v>-759.9418920324</v>
      </c>
      <c r="H10" s="0" t="n">
        <f aca="false">-H6*H9/100</f>
        <v>-805.538405554344</v>
      </c>
      <c r="I10" s="0" t="n">
        <f aca="false">-I6*I9/100</f>
        <v>-849.843017859833</v>
      </c>
      <c r="J10" s="0" t="n">
        <f aca="false">-J6*J9/100</f>
        <v>-892.335168752825</v>
      </c>
      <c r="K10" s="0" t="n">
        <f aca="false">-K6*K9/100</f>
        <v>-928.028575502938</v>
      </c>
      <c r="L10" s="0" t="n">
        <f aca="false">-L6*L9/100</f>
        <v>-960.509575645541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5738.205</v>
      </c>
      <c r="D11" s="0" t="n">
        <f aca="false">D8+D10+D24</f>
        <v>6393.1439</v>
      </c>
      <c r="E11" s="0" t="n">
        <f aca="false">E8+E10+E24</f>
        <v>7051.419716</v>
      </c>
      <c r="F11" s="0" t="n">
        <f aca="false">F8+F10+F24</f>
        <v>7705.05758748</v>
      </c>
      <c r="G11" s="0" t="n">
        <f aca="false">G8+G10+G24</f>
        <v>8308.2722817996</v>
      </c>
      <c r="H11" s="0" t="n">
        <f aca="false">H8+H10+H24</f>
        <v>8806.76861870758</v>
      </c>
      <c r="I11" s="0" t="n">
        <f aca="false">I8+I10+I24</f>
        <v>9291.1408927365</v>
      </c>
      <c r="J11" s="0" t="n">
        <f aca="false">J8+J10+J24</f>
        <v>9755.69793737332</v>
      </c>
      <c r="K11" s="0" t="n">
        <f aca="false">K8+K10+K24</f>
        <v>10145.9258548683</v>
      </c>
      <c r="L11" s="0" t="n">
        <f aca="false">L8+L10+L24</f>
        <v>10501.0332597886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5738.205</v>
      </c>
      <c r="D13" s="0" t="n">
        <f aca="false">D11+D12</f>
        <v>6393.1439</v>
      </c>
      <c r="E13" s="0" t="n">
        <f aca="false">E11+E12</f>
        <v>7051.419716</v>
      </c>
      <c r="F13" s="0" t="n">
        <f aca="false">F11+F12</f>
        <v>7705.05758748</v>
      </c>
      <c r="G13" s="0" t="n">
        <f aca="false">G11+G12</f>
        <v>8308.2722817996</v>
      </c>
      <c r="H13" s="0" t="n">
        <f aca="false">H11+H12</f>
        <v>8806.76861870758</v>
      </c>
      <c r="I13" s="0" t="n">
        <f aca="false">I11+I12</f>
        <v>9291.1408927365</v>
      </c>
      <c r="J13" s="0" t="n">
        <f aca="false">J11+J12</f>
        <v>9755.69793737332</v>
      </c>
      <c r="K13" s="0" t="n">
        <f aca="false">K11+K12</f>
        <v>10145.9258548683</v>
      </c>
      <c r="L13" s="0" t="n">
        <f aca="false">L11+L12</f>
        <v>10501.0332597886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4590.564</v>
      </c>
      <c r="D15" s="0" t="n">
        <f aca="false">D13-MAX(0,D13)*D14/100</f>
        <v>5114.51512</v>
      </c>
      <c r="E15" s="0" t="n">
        <f aca="false">E13-MAX(0,E13)*E14/100</f>
        <v>5641.1357728</v>
      </c>
      <c r="F15" s="0" t="n">
        <f aca="false">F13-MAX(0,F13)*F14/100</f>
        <v>6164.046069984</v>
      </c>
      <c r="G15" s="0" t="n">
        <f aca="false">G13-MAX(0,G13)*G14/100</f>
        <v>6646.61782543968</v>
      </c>
      <c r="H15" s="0" t="n">
        <f aca="false">H13-MAX(0,H13)*H14/100</f>
        <v>7045.41489496607</v>
      </c>
      <c r="I15" s="0" t="n">
        <f aca="false">I13-MAX(0,I13)*I14/100</f>
        <v>7432.9127141892</v>
      </c>
      <c r="J15" s="0" t="n">
        <f aca="false">J13-MAX(0,J13)*J14/100</f>
        <v>7804.55834989866</v>
      </c>
      <c r="K15" s="0" t="n">
        <f aca="false">K13-MAX(0,K13)*K14/100</f>
        <v>8116.74068389461</v>
      </c>
      <c r="L15" s="0" t="n">
        <f aca="false">L13-MAX(0,L13)*L14/100</f>
        <v>8400.82660783091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-1198.34</v>
      </c>
      <c r="D17" s="4" t="n">
        <f aca="false">-D6*Assumptions!D46/100</f>
        <v>-1318.174</v>
      </c>
      <c r="E17" s="4" t="n">
        <f aca="false">-E6*Assumptions!E46/100</f>
        <v>-1436.80966</v>
      </c>
      <c r="F17" s="4" t="n">
        <f aca="false">-F6*Assumptions!F46/100</f>
        <v>-1551.7544328</v>
      </c>
      <c r="G17" s="4" t="n">
        <f aca="false">-G6*Assumptions!G46/100</f>
        <v>-1660.377243096</v>
      </c>
      <c r="H17" s="4" t="n">
        <f aca="false">-H6*Assumptions!H46/100</f>
        <v>-1759.99987768176</v>
      </c>
      <c r="I17" s="4" t="n">
        <f aca="false">-I6*Assumptions!I46/100</f>
        <v>-1856.79987095426</v>
      </c>
      <c r="J17" s="4" t="n">
        <f aca="false">-J6*Assumptions!J46/100</f>
        <v>-1949.63986450197</v>
      </c>
      <c r="K17" s="4" t="n">
        <f aca="false">-K6*Assumptions!K46/100</f>
        <v>-2027.62545908205</v>
      </c>
      <c r="L17" s="4" t="n">
        <f aca="false">-L6*Assumptions!L46/100</f>
        <v>-2098.59235014992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3392.224</v>
      </c>
      <c r="D19" s="0" t="n">
        <f aca="false">D15+D16+D17+D18</f>
        <v>3796.34112</v>
      </c>
      <c r="E19" s="0" t="n">
        <f aca="false">E15+E16+E17+E18</f>
        <v>4204.3261128</v>
      </c>
      <c r="F19" s="0" t="n">
        <f aca="false">F15+F16+F17+F18</f>
        <v>4612.291637184</v>
      </c>
      <c r="G19" s="0" t="n">
        <f aca="false">G15+G16+G17+G18</f>
        <v>4986.24058234368</v>
      </c>
      <c r="H19" s="0" t="n">
        <f aca="false">H15+H16+H17+H18</f>
        <v>5285.4150172843</v>
      </c>
      <c r="I19" s="0" t="n">
        <f aca="false">I15+I16+I17+I18</f>
        <v>5576.11284323494</v>
      </c>
      <c r="J19" s="0" t="n">
        <f aca="false">J15+J16+J17+J18</f>
        <v>5854.91848539669</v>
      </c>
      <c r="K19" s="0" t="n">
        <f aca="false">K15+K16+K17+K18</f>
        <v>6089.11522481256</v>
      </c>
      <c r="L19" s="0" t="n">
        <f aca="false">L15+L16+L17+L18</f>
        <v>6302.23425768099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3112.13211009174</v>
      </c>
      <c r="D21" s="0" t="n">
        <f aca="false">D19*D20</f>
        <v>3195.30436831917</v>
      </c>
      <c r="E21" s="0" t="n">
        <f aca="false">E19*E20</f>
        <v>3246.51116909351</v>
      </c>
      <c r="F21" s="0" t="n">
        <f aca="false">F19*F20</f>
        <v>3267.46367656632</v>
      </c>
      <c r="G21" s="0" t="n">
        <f aca="false">G19*G20</f>
        <v>3240.7142540997</v>
      </c>
      <c r="H21" s="0" t="n">
        <f aca="false">H19*H20</f>
        <v>3151.52028380338</v>
      </c>
      <c r="I21" s="0" t="n">
        <f aca="false">I19*I20</f>
        <v>3050.32467836015</v>
      </c>
      <c r="J21" s="0" t="n">
        <f aca="false">J19*J20</f>
        <v>2938.38615805335</v>
      </c>
      <c r="K21" s="0" t="n">
        <f aca="false">K19*K20</f>
        <v>2803.59780217935</v>
      </c>
      <c r="L21" s="0" t="n">
        <f aca="false">L19*L20</f>
        <v>2662.13185803268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30668.0863585993</v>
      </c>
    </row>
    <row r="31" customFormat="false" ht="15" hidden="false" customHeight="false" outlineLevel="0" collapsed="false">
      <c r="A31" s="0" t="s">
        <v>132</v>
      </c>
      <c r="B31" s="0" t="n">
        <f aca="false">L19</f>
        <v>6302.23425768099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118596.590121815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113440.216638258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113440.216638258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47918.3734445883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78586.4598031876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78586.4598031876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99.5664912199592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0.267232928852732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4741.90024927876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7635.09385000454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115.247740603149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56720.1083191289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47.264520234141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44.840686803848</v>
      </c>
      <c r="C4" s="0" t="n">
        <f aca="false">B4/Assumptions!$B$2-1</f>
        <v>-0.429289973223266</v>
      </c>
      <c r="D4" s="4" t="n">
        <f aca="false">Assumptions!$B$24</f>
        <v>0.2</v>
      </c>
      <c r="E4" s="4" t="n">
        <f aca="false">DCF_Bear!$B$43</f>
        <v>54.4360087263245</v>
      </c>
      <c r="F4" s="4" t="n">
        <f aca="false">DCF_Bear!$B$47</f>
        <v>24.5706024699122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73.9278486252542</v>
      </c>
      <c r="C5" s="0" t="n">
        <f aca="false">B5/Assumptions!$B$2-1</f>
        <v>-0.0590830008240524</v>
      </c>
      <c r="D5" s="4" t="n">
        <f aca="false">Assumptions!$B$38</f>
        <v>0.5</v>
      </c>
      <c r="E5" s="4" t="n">
        <f aca="false">DCF_Base!$B$43</f>
        <v>87.070919446206</v>
      </c>
      <c r="F5" s="4" t="n">
        <f aca="false">DCF_Base!$B$47</f>
        <v>37.690747994941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99.5664912199592</v>
      </c>
      <c r="C6" s="0" t="n">
        <f aca="false">B6/Assumptions!$B$2-1</f>
        <v>0.267232928852732</v>
      </c>
      <c r="D6" s="4" t="n">
        <f aca="false">Assumptions!$B$52</f>
        <v>0.3</v>
      </c>
      <c r="E6" s="4" t="n">
        <f aca="false">DCF_Bull!$B$43</f>
        <v>115.247740603149</v>
      </c>
      <c r="F6" s="4" t="n">
        <f aca="false">DCF_Bull!$B$47</f>
        <v>47.264520234141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75.8020090393844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88.9969836493125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-0.036516063303512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20.9776149060028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37.9388505616953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73.9278486252542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65.7270747537899</v>
      </c>
      <c r="C16" s="3" t="n">
        <v>10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57.2973862037661</v>
      </c>
      <c r="C17" s="3" t="n">
        <v>11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50.7498341896131</v>
      </c>
      <c r="C18" s="3" t="n">
        <v>12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37.690747994941</v>
      </c>
      <c r="C19" s="3" t="n">
        <v>15</v>
      </c>
    </row>
    <row r="21" customFormat="false" ht="15" hidden="false" customHeight="false" outlineLevel="0" collapsed="false">
      <c r="A21" s="2" t="s">
        <v>168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85.7335121442496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85.7335121442496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85.7335121442496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85.7335121442496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85.7335121442496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79.5545611121207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79.5545611121207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79.5545611121207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79.5545611121207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79.5545611121207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70.1894877012466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73.3239595529145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73.9278486252542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73.9278486252542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73.9278486252542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61.0354631206154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63.2248818827635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65.7270747537899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68.614220374205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68.7979478227769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53.9337815677114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55.5166543376195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57.2973862037661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59.3155489853989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61.6220207358363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2026-10-04T08:24:45Z</dcterms:created>
  <dc:creator>openpyxl</dc:creator>
  <dc:description/>
  <dc:language>en-NZ</dc:language>
  <cp:lastModifiedBy/>
  <dcterms:modified xsi:type="dcterms:W3CDTF">2026-10-04T08:24:45Z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