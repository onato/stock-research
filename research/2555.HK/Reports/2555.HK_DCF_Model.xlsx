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<sst xmlns="http://schemas.openxmlformats.org/spreadsheetml/2006/main" count="351" uniqueCount="167">
  <si>
    <t xml:space="preserve">Ticker</t>
  </si>
  <si>
    <t xml:space="preserve">2555.HK</t>
  </si>
  <si>
    <t xml:space="preserve">Company</t>
  </si>
  <si>
    <t xml:space="preserve">Sichuan Baicha Baidao Industrial Co., Ltd. (ChaPanda)</t>
  </si>
  <si>
    <t xml:space="preserve">Valuation date</t>
  </si>
  <si>
    <t xml:space="preserve">2026-10-18</t>
  </si>
  <si>
    <t xml:space="preserve">Current price</t>
  </si>
  <si>
    <t xml:space="preserve">Price as of</t>
  </si>
  <si>
    <t xml:space="preserve">2026-10-12T08:08:15Z regular close (HKEX). Yahoo then shows four zero-volume bars (13-16 Oct) at an identical close with regularMarketTime unchanged -- either a data-feed gap or a trading halt; treat the price as POSSIBLY STALE and verify at the next regular close (stockanalysis/aastocks/Google Finance were unreachable from this machine).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</si>
  <si>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</si>
  <si>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</si>
  <si>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</si>
  <si>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</si>
  <si>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</si>
  <si>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</si>
  <si>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</si>
  <si>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</si>
  <si>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</si>
  <si>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</si>
  <si>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</si>
  <si>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</si>
  <si>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</si>
  <si>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2026-10-18T06:29:34Z</t>
  </si>
  <si>
    <t xml:space="preserve">Drivers file</t>
  </si>
  <si>
    <t xml:space="preserve">2555.HK_Drivers.json</t>
  </si>
  <si>
    <t xml:space="preserve">Convention</t>
  </si>
  <si>
    <t xml:space="preserve">Percents stored as percents; formulas divide by 100. Blue = input, green = link, black = formula.</t>
  </si>
  <si>
    <t xml:space="preserve">Methodology</t>
  </si>
  <si>
    <t xml:space="preserve">summary: Owner-FCF DCF in CNY, converted to HKD at the quote date. The value is a cash-rich franchise supplier: at 30-Jun-2026 net cash of RMB2.99bn plus RMB0.44bn of investments is roughly RMB2.3/share (HKD2.7), and the operating business is valued on a component build that resets the margin to ~19% rather than carrying FY2023's 25% or FY2025's working-capital drag forward. Leases are an operating cost (treatment B), NCI and the investment portfolio are bridge items, interest income is excluded from flows and its assets added once. Risk is charged once: a 10% CNY cost of equity including a China country premium, plus a 30% bear weight on a scenario where revenue shrinks and margin falls to 15%. The market at the current quote is paying roughly for the cash alone, so the gap to IV is mostly the market's discount on Chinese small-cap consumer names and on whether the cash is returned -- a judgment on governance and capital access rather than on the operating forecast.
key_risks_to_valuation: Price war persistence beyond 2027 (bear case) -- revenue is tied to franchisee store count and per-store purchases, both of which fell in FY2024; Capital access/governance: the 2024 post-IPO dividend cancellation; a large share of the value is onshore cash whose return to HK-listed holders depends on payouts continuing; Royalty/franchise-fee erosion (-19.5% H1 FY2026) as the leading indicator of franchisee bargaining power; Coffee and overseas remain margin-dilutive longer than modelled; Western Region 15% EIT concession lapse (modelled to 20% base / 25% bear); Stale/halted quote: the last print carried in current_price has four zero-volume bars behind it; the HKD values must be re-read against a live close; FVTOCI listed-equity portfolio has already lost RMB494m since 2024 -- further marks would reduce the bridge</t>
  </si>
  <si>
    <t xml:space="preserve">Data sources</t>
  </si>
  <si>
    <t xml:space="preserve">price: Yahoo Finance chart API at inputs.price_as_of (HKD); 52-week range 3.93-8.03. Four zero-volume bars follow the last trade -- see inputs.price_as_of.
fx: Yahoo CNYHKD=X at 2026-10-16T22:01Z, cross-checked against USDHKD/USDCNY
financials: 2555.HK_Metrics.csv (core_metrics, CNY millions); FY2025 annual report (cash flow statement lines 3556-3627, D&amp;A note 5360-5371, tax note 5305-5331); H1 FY2026 interim report (balance sheet lines 1566-1649, cash flow 1772-1802, EPS note 2093-2112, notes 11-12 lines 2144-2188)
qualitative: 2555.HK_Analysis.json (2026-10-18)</t>
  </si>
  <si>
    <t xml:space="preserve">Scenario narrative: bear</t>
  </si>
  <si>
    <t xml:space="preserve">The China tea-drink price war becomes structural (Mixue scale pricing, Guming/CHAGEE squeezing the middle tier); franchisee exits exceed signups and the network shrinks ~3%/yr for two years; goods sales fall with store count and per-store volume; royalty income keeps eroding; coffee remains a margin give-away; the Western Region 15% tax concession lapses. Margin settles at 15% on a smaller base. The cash pile holds the value floor; the 2024 dividend cancellation is the reminder that it can be withheld.</t>
  </si>
  <si>
    <t xml:space="preserve">Scenario narrative: base</t>
  </si>
  <si>
    <t xml:space="preserve">ChaPanda stays the #3 franchise tea chain with a slowly growing network (8,863 stores, +4-5%/yr fading to ~2-3%), revenue +6% in FY2026 fading to 2.5%, and EBITDA margin resetting to ~19% as coffee profit-sharing dilutes FY2026 before recovering to 19.5%. Royalty revenue keeps shrinking as a share of the mix, so the business is a goods-and-equipment supplier earning ~15% net margins on franchisee purchases. Working capital consumes cash as prepayment balances unwind. The RMB3.0bn net cash is returned (dividends resumed, FY2025 payout &gt;100%) rather than trapped.</t>
  </si>
  <si>
    <t xml:space="preserve">Scenario narrative: bull</t>
  </si>
  <si>
    <t xml:space="preserve">The price war burns out the weaker brands by 2027, ChaPanda's balance sheet lets it hold franchisee economics while rivals cannot, coffee machines in 2,700+ stores become a second daypart lifting per-store purchases, overseas compounds off 72 stores, and royalty concessions end. Growth runs 7-8% for four years and margin returns to 21.5%, with a 60-80% payout.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</si>
  <si>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</si>
  <si>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</si>
  <si>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</si>
  <si>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</si>
  <si>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</si>
  <si>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</si>
  <si>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</si>
  <si>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</si>
  <si>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</si>
  <si>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</si>
  <si>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</si>
  <si>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</si>
  <si>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</si>
  <si>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</si>
  <si>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</si>
  <si>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</si>
  <si>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</si>
  <si>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</si>
  <si>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</si>
  <si>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</si>
  <si>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</si>
  <si>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</si>
  <si>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</si>
  <si>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</si>
  <si>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</si>
  <si>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</si>
  <si>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</si>
  <si>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</si>
  <si>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AdjustedNetProfit</t>
  </si>
  <si>
    <t xml:space="preserve">CashOnly</t>
  </si>
  <si>
    <t xml:space="preserve">EPSBasic</t>
  </si>
  <si>
    <t xml:space="preserve">NetIncomeTotal</t>
  </si>
  <si>
    <t xml:space="preserve">SharesIssuedPeriodEnd</t>
  </si>
  <si>
    <t xml:space="preserve">ShortTermInvestments</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</si>
  <si>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</si>
  <si>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</si>
  <si>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</si>
  <si>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</si>
  <si>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</si>
  <si>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</si>
  <si>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</si>
  <si>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</si>
  <si>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</si>
  <si>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</si>
  <si>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</si>
  <si>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</si>
  <si>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</si>
  <si>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</si>
  <si>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</si>
  <si>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</si>
  <si>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</si>
  <si>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</si>
  <si>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</si>
  <si>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</si>
  <si>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</si>
  <si>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</si>
  <si>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</si>
  <si>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</si>
  <si>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</si>
  <si>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</si>
  <si>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</si>
  <si>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</si>
  <si>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</si>
  <si>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</si>
  <si>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</si>
  <si>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</si>
  <si>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</si>
  <si>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</si>
  <si>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</si>
  <si>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</si>
  <si>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</si>
  <si>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</si>
  <si>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</si>
  <si>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</si>
  <si>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</si>
  <si>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</si>
  <si>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2555.HK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</si>
  <si>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</si>
  <si>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</si>
  <si>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</si>
  <si>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</si>
  <si>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</si>
  <si>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</si>
  <si>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</si>
  <si>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</si>
  <si>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</si>
  <si>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</si>
  <si>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</si>
  <si>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</si>
  <si>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</si>
  <si>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</si>
  <si>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</si>
  <si>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</si>
  <si>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</si>
  <si>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</si>
  <si>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</si>
  <si>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</si>
  <si>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</si>
  <si>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</si>
  <si>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</si>
  <si>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</si>
  <si>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</si>
  <si>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</si>
  <si>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</si>
  <si>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</si>
  <si>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</si>
  <si>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</si>
  <si>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2555.HK owner-FCF component DCF: base case (millions, CNY)</t>
  </si>
  <si>
    <t xml:space="preserve">2555.HK owner-FCF component DCF: bull case (millions, CNY)</t>
  </si>
  <si>
    <t xml:space="preserve">2555.HK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</si>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</sst>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4.035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row>
    <row r="2" customFormat="false" ht="15" hidden="false" customHeight="false" outlineLevel="0" collapsed="false">
      <c r="A2" s="0" t="s">
        <v>71</v>
      </c>
      <c r="B2" s="0" t="n">
        <v>3644.209</v>
      </c>
      <c r="D2" s="0" t="n">
        <v>1301.04</v>
      </c>
      <c r="E2" s="0" t="n">
        <v>35.7</v>
      </c>
      <c r="I2" s="0" t="n">
        <v>755.816</v>
      </c>
      <c r="J2" s="0" t="n">
        <v>20.7</v>
      </c>
      <c r="K2" s="0" t="n">
        <v>0.762</v>
      </c>
      <c r="P2" s="0" t="n">
        <v>1048.34</v>
      </c>
      <c r="Q2" s="0" t="n">
        <v>747.315</v>
      </c>
      <c r="S2" s="0" t="n">
        <v>128.138</v>
      </c>
      <c r="AA2" s="0" t="s">
        <v>18</v>
      </c>
      <c r="AB2" s="0" t="s">
        <v>14</v>
      </c>
      <c r="AD2" s="0" t="n">
        <v>899.585</v>
      </c>
    </row>
    <row r="3" customFormat="false" ht="15" hidden="false" customHeight="false" outlineLevel="0" collapsed="false">
      <c r="A3" s="0" t="s">
        <v>72</v>
      </c>
      <c r="B3" s="0" t="n">
        <v>4231.67</v>
      </c>
      <c r="D3" s="0" t="n">
        <v>1456.189</v>
      </c>
      <c r="E3" s="0" t="n">
        <v>34.4</v>
      </c>
      <c r="I3" s="0" t="n">
        <v>954.316</v>
      </c>
      <c r="J3" s="0" t="n">
        <v>22.6</v>
      </c>
      <c r="K3" s="0" t="n">
        <v>0.954</v>
      </c>
      <c r="O3" s="0" t="n">
        <v>650.615</v>
      </c>
      <c r="P3" s="0" t="n">
        <v>1682.904</v>
      </c>
      <c r="Q3" s="0" t="n">
        <v>1020.288</v>
      </c>
      <c r="S3" s="0" t="n">
        <v>226.031</v>
      </c>
      <c r="AA3" s="0" t="s">
        <v>18</v>
      </c>
      <c r="AB3" s="0" t="s">
        <v>14</v>
      </c>
      <c r="AD3" s="0" t="n">
        <v>966.801</v>
      </c>
    </row>
    <row r="4" customFormat="false" ht="15" hidden="false" customHeight="false" outlineLevel="0" collapsed="false">
      <c r="A4" s="0" t="s">
        <v>73</v>
      </c>
      <c r="B4" s="0" t="n">
        <v>5704.307</v>
      </c>
      <c r="C4" s="0" t="n">
        <v>3740.525</v>
      </c>
      <c r="D4" s="0" t="n">
        <v>1963.782</v>
      </c>
      <c r="E4" s="0" t="n">
        <v>34.4</v>
      </c>
      <c r="F4" s="0" t="n">
        <v>1369.54</v>
      </c>
      <c r="G4" s="0" t="n">
        <v>24</v>
      </c>
      <c r="H4" s="0" t="n">
        <v>1429.59</v>
      </c>
      <c r="I4" s="0" t="n">
        <v>1139.211</v>
      </c>
      <c r="J4" s="0" t="n">
        <v>20</v>
      </c>
      <c r="K4" s="0" t="n">
        <v>0.981</v>
      </c>
      <c r="L4" s="0" t="n">
        <v>1387.965</v>
      </c>
      <c r="M4" s="0" t="n">
        <v>103.528</v>
      </c>
      <c r="N4" s="0" t="n">
        <v>1284.437</v>
      </c>
      <c r="O4" s="0" t="n">
        <v>823.076</v>
      </c>
      <c r="P4" s="0" t="n">
        <v>3085.498</v>
      </c>
      <c r="Q4" s="0" t="n">
        <v>2238.852</v>
      </c>
      <c r="R4" s="0" t="n">
        <v>0</v>
      </c>
      <c r="S4" s="0" t="n">
        <v>2337.551</v>
      </c>
      <c r="T4" s="0" t="n">
        <v>1161.095</v>
      </c>
      <c r="U4" s="0" t="n">
        <v>0</v>
      </c>
      <c r="AA4" s="0" t="s">
        <v>18</v>
      </c>
      <c r="AB4" s="0" t="s">
        <v>14</v>
      </c>
      <c r="AD4" s="0" t="n">
        <v>1257.553</v>
      </c>
      <c r="AE4" s="0" t="n">
        <v>715.989</v>
      </c>
      <c r="AF4" s="0" t="n">
        <v>0.981</v>
      </c>
      <c r="AG4" s="0" t="n">
        <v>1150.78</v>
      </c>
      <c r="AI4" s="0" t="n">
        <v>1621.562</v>
      </c>
    </row>
    <row r="5" customFormat="false" ht="15" hidden="false" customHeight="false" outlineLevel="0" collapsed="false">
      <c r="A5" s="0" t="s">
        <v>74</v>
      </c>
      <c r="B5" s="0" t="n">
        <v>4917.997</v>
      </c>
      <c r="C5" s="0" t="n">
        <v>3383.318</v>
      </c>
      <c r="D5" s="0" t="n">
        <v>1534.679</v>
      </c>
      <c r="E5" s="0" t="n">
        <v>31.2</v>
      </c>
      <c r="F5" s="0" t="n">
        <v>626.14</v>
      </c>
      <c r="G5" s="0" t="n">
        <v>12.7</v>
      </c>
      <c r="H5" s="0" t="n">
        <v>671.76</v>
      </c>
      <c r="I5" s="0" t="n">
        <v>472.184</v>
      </c>
      <c r="J5" s="0" t="n">
        <v>9.6</v>
      </c>
      <c r="K5" s="0" t="n">
        <v>0.335</v>
      </c>
      <c r="L5" s="0" t="n">
        <v>344.023</v>
      </c>
      <c r="M5" s="0" t="n">
        <v>130.931</v>
      </c>
      <c r="N5" s="0" t="n">
        <v>213.092</v>
      </c>
      <c r="O5" s="0" t="n">
        <v>3909.181</v>
      </c>
      <c r="P5" s="0" t="n">
        <v>5493.977</v>
      </c>
      <c r="Q5" s="0" t="n">
        <v>1560.284</v>
      </c>
      <c r="R5" s="0" t="n">
        <v>0</v>
      </c>
      <c r="S5" s="0" t="n">
        <v>3731.382</v>
      </c>
      <c r="T5" s="0" t="n">
        <v>1407.532</v>
      </c>
      <c r="U5" s="0" t="n">
        <v>12.826</v>
      </c>
      <c r="AA5" s="0" t="s">
        <v>18</v>
      </c>
      <c r="AB5" s="0" t="s">
        <v>14</v>
      </c>
      <c r="AC5" s="0" t="n">
        <v>837.004</v>
      </c>
      <c r="AD5" s="0" t="n">
        <v>644.97</v>
      </c>
      <c r="AE5" s="0" t="n">
        <v>3559.917</v>
      </c>
      <c r="AF5" s="0" t="n">
        <v>0.336</v>
      </c>
      <c r="AG5" s="0" t="n">
        <v>479.726</v>
      </c>
      <c r="AH5" s="0" t="n">
        <v>1477.63</v>
      </c>
      <c r="AI5" s="0" t="n">
        <v>171.465</v>
      </c>
    </row>
    <row r="6" customFormat="false" ht="15" hidden="false" customHeight="false" outlineLevel="0" collapsed="false">
      <c r="A6" s="0" t="s">
        <v>75</v>
      </c>
      <c r="B6" s="0" t="n">
        <v>5395.068</v>
      </c>
      <c r="C6" s="0" t="n">
        <v>3641.229</v>
      </c>
      <c r="D6" s="0" t="n">
        <v>1753.839</v>
      </c>
      <c r="E6" s="0" t="n">
        <v>32.5</v>
      </c>
      <c r="F6" s="0" t="n">
        <v>1000.953</v>
      </c>
      <c r="G6" s="0" t="n">
        <v>18.6</v>
      </c>
      <c r="H6" s="0" t="n">
        <v>1067.664</v>
      </c>
      <c r="I6" s="0" t="n">
        <v>804.897</v>
      </c>
      <c r="J6" s="0" t="n">
        <v>14.9</v>
      </c>
      <c r="K6" s="0" t="n">
        <v>0.545</v>
      </c>
      <c r="L6" s="0" t="n">
        <v>680.407</v>
      </c>
      <c r="M6" s="0" t="n">
        <v>85.02</v>
      </c>
      <c r="N6" s="0" t="n">
        <v>595.387</v>
      </c>
      <c r="O6" s="0" t="n">
        <v>3975.696</v>
      </c>
      <c r="P6" s="0" t="n">
        <v>4829.587</v>
      </c>
      <c r="Q6" s="0" t="n">
        <v>810.763</v>
      </c>
      <c r="R6" s="0" t="n">
        <v>0</v>
      </c>
      <c r="S6" s="0" t="n">
        <v>3100.069</v>
      </c>
      <c r="T6" s="0" t="n">
        <v>1476.951</v>
      </c>
      <c r="U6" s="0" t="n">
        <v>11.982</v>
      </c>
      <c r="AA6" s="0" t="s">
        <v>18</v>
      </c>
      <c r="AB6" s="0" t="s">
        <v>14</v>
      </c>
      <c r="AC6" s="0" t="n">
        <v>1079.646</v>
      </c>
      <c r="AD6" s="0" t="n">
        <v>833.337</v>
      </c>
      <c r="AE6" s="0" t="n">
        <v>3071.435</v>
      </c>
      <c r="AF6" s="0" t="n">
        <v>0.547</v>
      </c>
      <c r="AG6" s="0" t="n">
        <v>821.355</v>
      </c>
      <c r="AH6" s="0" t="n">
        <v>1477.63</v>
      </c>
      <c r="AI6" s="0" t="n">
        <v>28.634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4.035</v>
      </c>
    </row>
    <row r="3" customFormat="false" ht="15" hidden="false" customHeight="false" outlineLevel="0" collapsed="false">
      <c r="A3" s="0" t="s">
        <v>79</v>
      </c>
      <c r="B3" s="3" t="n">
        <v>1478.134</v>
      </c>
    </row>
    <row r="4" customFormat="false" ht="15" hidden="false" customHeight="false" outlineLevel="0" collapsed="false">
      <c r="A4" s="0" t="s">
        <v>80</v>
      </c>
      <c r="B4" s="3" t="n">
        <v>-2994.54</v>
      </c>
    </row>
    <row r="5" customFormat="false" ht="15" hidden="false" customHeight="false" outlineLevel="0" collapsed="false">
      <c r="A5" s="0" t="s">
        <v>81</v>
      </c>
      <c r="B5" s="3" t="n">
        <v>442.802</v>
      </c>
    </row>
    <row r="6" customFormat="false" ht="15" hidden="false" customHeight="false" outlineLevel="0" collapsed="false">
      <c r="A6" s="0" t="s">
        <v>82</v>
      </c>
      <c r="B6" s="3" t="n">
        <v>15</v>
      </c>
    </row>
    <row r="7" customFormat="false" ht="15" hidden="false" customHeight="false" outlineLevel="0" collapsed="false">
      <c r="A7" s="0" t="s">
        <v>83</v>
      </c>
      <c r="B7" s="3" t="n">
        <v>5395.068</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1.1724</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3</v>
      </c>
      <c r="D13" s="3" t="n">
        <v>0</v>
      </c>
      <c r="E13" s="3" t="n">
        <v>-3</v>
      </c>
      <c r="F13" s="3" t="n">
        <v>-3</v>
      </c>
      <c r="G13" s="3" t="n">
        <v>-1</v>
      </c>
      <c r="H13" s="3" t="n">
        <v>0</v>
      </c>
      <c r="I13" s="3" t="n">
        <v>1</v>
      </c>
      <c r="J13" s="3" t="n">
        <v>1</v>
      </c>
      <c r="K13" s="3" t="n">
        <v>1.5</v>
      </c>
      <c r="L13" s="3" t="n">
        <v>1.5</v>
      </c>
    </row>
    <row r="14" customFormat="false" ht="15" hidden="false" customHeight="false" outlineLevel="0" collapsed="false">
      <c r="A14" s="0" t="s">
        <v>100</v>
      </c>
      <c r="C14" s="3" t="n">
        <v>17.8</v>
      </c>
      <c r="D14" s="3" t="n">
        <v>16.8</v>
      </c>
      <c r="E14" s="3" t="n">
        <v>15.8</v>
      </c>
      <c r="F14" s="3" t="n">
        <v>15</v>
      </c>
      <c r="G14" s="3" t="n">
        <v>14.8</v>
      </c>
      <c r="H14" s="3" t="n">
        <v>14.8</v>
      </c>
      <c r="I14" s="3" t="n">
        <v>15</v>
      </c>
      <c r="J14" s="3" t="n">
        <v>15</v>
      </c>
      <c r="K14" s="3" t="n">
        <v>15</v>
      </c>
      <c r="L14" s="3" t="n">
        <v>15</v>
      </c>
    </row>
    <row r="15" customFormat="false" ht="15" hidden="false" customHeight="false" outlineLevel="0" collapsed="false">
      <c r="A15" s="0" t="s">
        <v>101</v>
      </c>
      <c r="C15" s="3" t="n">
        <v>0.2</v>
      </c>
      <c r="D15" s="3" t="n">
        <v>0.2</v>
      </c>
      <c r="E15" s="3" t="n">
        <v>0.2</v>
      </c>
      <c r="F15" s="3" t="n">
        <v>0.2</v>
      </c>
      <c r="G15" s="3" t="n">
        <v>0.2</v>
      </c>
      <c r="H15" s="3" t="n">
        <v>0.2</v>
      </c>
      <c r="I15" s="3" t="n">
        <v>0.2</v>
      </c>
      <c r="J15" s="3" t="n">
        <v>0.2</v>
      </c>
      <c r="K15" s="3" t="n">
        <v>0.2</v>
      </c>
      <c r="L15" s="3" t="n">
        <v>0.2</v>
      </c>
    </row>
    <row r="16" customFormat="false" ht="15" hidden="false" customHeight="false" outlineLevel="0" collapsed="false">
      <c r="A16" s="0" t="s">
        <v>102</v>
      </c>
      <c r="C16" s="3" t="n">
        <v>0.9</v>
      </c>
      <c r="D16" s="3" t="n">
        <v>0.9</v>
      </c>
      <c r="E16" s="3" t="n">
        <v>0.9</v>
      </c>
      <c r="F16" s="3" t="n">
        <v>0.9</v>
      </c>
      <c r="G16" s="3" t="n">
        <v>0.9</v>
      </c>
      <c r="H16" s="3" t="n">
        <v>0.9</v>
      </c>
      <c r="I16" s="3" t="n">
        <v>0.9</v>
      </c>
      <c r="J16" s="3" t="n">
        <v>0.9</v>
      </c>
      <c r="K16" s="3" t="n">
        <v>0.9</v>
      </c>
      <c r="L16" s="3" t="n">
        <v>0.9</v>
      </c>
    </row>
    <row r="17" customFormat="false" ht="15" hidden="false" customHeight="false" outlineLevel="0" collapsed="false">
      <c r="A17" s="0" t="s">
        <v>103</v>
      </c>
      <c r="C17" s="3" t="n">
        <v>1.1</v>
      </c>
      <c r="D17" s="3" t="n">
        <v>1.1</v>
      </c>
      <c r="E17" s="3" t="n">
        <v>1.1</v>
      </c>
      <c r="F17" s="3" t="n">
        <v>1.1</v>
      </c>
      <c r="G17" s="3" t="n">
        <v>1.1</v>
      </c>
      <c r="H17" s="3" t="n">
        <v>1.1</v>
      </c>
      <c r="I17" s="3" t="n">
        <v>1.1</v>
      </c>
      <c r="J17" s="3" t="n">
        <v>1.1</v>
      </c>
      <c r="K17" s="3" t="n">
        <v>1.1</v>
      </c>
      <c r="L17" s="3" t="n">
        <v>1.1</v>
      </c>
    </row>
    <row r="18" customFormat="false" ht="15" hidden="false" customHeight="false" outlineLevel="0" collapsed="false">
      <c r="A18" s="0" t="s">
        <v>104</v>
      </c>
      <c r="C18" s="3" t="n">
        <v>1.5</v>
      </c>
      <c r="D18" s="3" t="n">
        <v>1.5</v>
      </c>
      <c r="E18" s="3" t="n">
        <v>1.5</v>
      </c>
      <c r="F18" s="3" t="n">
        <v>1.5</v>
      </c>
      <c r="G18" s="3" t="n">
        <v>1.5</v>
      </c>
      <c r="H18" s="3" t="n">
        <v>1.5</v>
      </c>
      <c r="I18" s="3" t="n">
        <v>1.5</v>
      </c>
      <c r="J18" s="3" t="n">
        <v>1.5</v>
      </c>
      <c r="K18" s="3" t="n">
        <v>1.5</v>
      </c>
      <c r="L18" s="3" t="n">
        <v>1.5</v>
      </c>
    </row>
    <row r="19" customFormat="false" ht="15" hidden="false" customHeight="false" outlineLevel="0" collapsed="false">
      <c r="A19" s="0" t="s">
        <v>105</v>
      </c>
      <c r="C19" s="3" t="n">
        <v>17.5</v>
      </c>
      <c r="D19" s="3" t="n">
        <v>18</v>
      </c>
      <c r="E19" s="3" t="n">
        <v>19</v>
      </c>
      <c r="F19" s="3" t="n">
        <v>20</v>
      </c>
      <c r="G19" s="3" t="n">
        <v>22</v>
      </c>
      <c r="H19" s="3" t="n">
        <v>25</v>
      </c>
      <c r="I19" s="3" t="n">
        <v>25</v>
      </c>
      <c r="J19" s="3" t="n">
        <v>25</v>
      </c>
      <c r="K19" s="3" t="n">
        <v>25</v>
      </c>
      <c r="L19" s="3" t="n">
        <v>25</v>
      </c>
    </row>
    <row r="20" customFormat="false" ht="15" hidden="false" customHeight="false" outlineLevel="0" collapsed="false">
      <c r="A20" s="0" t="s">
        <v>106</v>
      </c>
      <c r="B20" s="3" t="n">
        <v>10</v>
      </c>
    </row>
    <row r="21" customFormat="false" ht="15" hidden="false" customHeight="false" outlineLevel="0" collapsed="false">
      <c r="A21" s="0" t="s">
        <v>107</v>
      </c>
      <c r="B21" s="3" t="n">
        <v>1.5</v>
      </c>
    </row>
    <row r="22" customFormat="false" ht="15" hidden="false" customHeight="false" outlineLevel="0" collapsed="false">
      <c r="A22" s="0" t="s">
        <v>108</v>
      </c>
      <c r="B22" s="3" t="n">
        <v>12</v>
      </c>
    </row>
    <row r="23" customFormat="false" ht="15" hidden="false" customHeight="false" outlineLevel="0" collapsed="false">
      <c r="A23" s="0" t="s">
        <v>109</v>
      </c>
      <c r="B23" s="3" t="n">
        <v>-20</v>
      </c>
    </row>
    <row r="24" customFormat="false" ht="15" hidden="false" customHeight="false" outlineLevel="0" collapsed="false">
      <c r="A24" s="0" t="s">
        <v>110</v>
      </c>
      <c r="B24" s="3" t="n">
        <v>0.3</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6</v>
      </c>
      <c r="D27" s="3" t="n">
        <v>5.5</v>
      </c>
      <c r="E27" s="3" t="n">
        <v>5</v>
      </c>
      <c r="F27" s="3" t="n">
        <v>4.5</v>
      </c>
      <c r="G27" s="3" t="n">
        <v>4</v>
      </c>
      <c r="H27" s="3" t="n">
        <v>3.5</v>
      </c>
      <c r="I27" s="3" t="n">
        <v>3</v>
      </c>
      <c r="J27" s="3" t="n">
        <v>3</v>
      </c>
      <c r="K27" s="3" t="n">
        <v>2.5</v>
      </c>
      <c r="L27" s="3" t="n">
        <v>2.5</v>
      </c>
    </row>
    <row r="28" customFormat="false" ht="15" hidden="false" customHeight="false" outlineLevel="0" collapsed="false">
      <c r="A28" s="0" t="s">
        <v>100</v>
      </c>
      <c r="C28" s="3" t="n">
        <v>18.8</v>
      </c>
      <c r="D28" s="3" t="n">
        <v>19</v>
      </c>
      <c r="E28" s="3" t="n">
        <v>19.2</v>
      </c>
      <c r="F28" s="3" t="n">
        <v>19.3</v>
      </c>
      <c r="G28" s="3" t="n">
        <v>19.4</v>
      </c>
      <c r="H28" s="3" t="n">
        <v>19.5</v>
      </c>
      <c r="I28" s="3" t="n">
        <v>19.5</v>
      </c>
      <c r="J28" s="3" t="n">
        <v>19.5</v>
      </c>
      <c r="K28" s="3" t="n">
        <v>19.5</v>
      </c>
      <c r="L28" s="3" t="n">
        <v>19.5</v>
      </c>
    </row>
    <row r="29" customFormat="false" ht="15" hidden="false" customHeight="false" outlineLevel="0" collapsed="false">
      <c r="A29" s="0" t="s">
        <v>101</v>
      </c>
      <c r="C29" s="3" t="n">
        <v>0.2</v>
      </c>
      <c r="D29" s="3" t="n">
        <v>0.2</v>
      </c>
      <c r="E29" s="3" t="n">
        <v>0.2</v>
      </c>
      <c r="F29" s="3" t="n">
        <v>0.2</v>
      </c>
      <c r="G29" s="3" t="n">
        <v>0.2</v>
      </c>
      <c r="H29" s="3" t="n">
        <v>0.2</v>
      </c>
      <c r="I29" s="3" t="n">
        <v>0.2</v>
      </c>
      <c r="J29" s="3" t="n">
        <v>0.2</v>
      </c>
      <c r="K29" s="3" t="n">
        <v>0.2</v>
      </c>
      <c r="L29" s="3" t="n">
        <v>0.2</v>
      </c>
    </row>
    <row r="30" customFormat="false" ht="15" hidden="false" customHeight="false" outlineLevel="0" collapsed="false">
      <c r="A30" s="0" t="s">
        <v>102</v>
      </c>
      <c r="C30" s="3" t="n">
        <v>0.9</v>
      </c>
      <c r="D30" s="3" t="n">
        <v>0.9</v>
      </c>
      <c r="E30" s="3" t="n">
        <v>0.9</v>
      </c>
      <c r="F30" s="3" t="n">
        <v>0.9</v>
      </c>
      <c r="G30" s="3" t="n">
        <v>0.9</v>
      </c>
      <c r="H30" s="3" t="n">
        <v>0.9</v>
      </c>
      <c r="I30" s="3" t="n">
        <v>0.9</v>
      </c>
      <c r="J30" s="3" t="n">
        <v>0.9</v>
      </c>
      <c r="K30" s="3" t="n">
        <v>0.9</v>
      </c>
      <c r="L30" s="3" t="n">
        <v>0.9</v>
      </c>
    </row>
    <row r="31" customFormat="false" ht="15" hidden="false" customHeight="false" outlineLevel="0" collapsed="false">
      <c r="A31" s="0" t="s">
        <v>103</v>
      </c>
      <c r="C31" s="3" t="n">
        <v>1.1</v>
      </c>
      <c r="D31" s="3" t="n">
        <v>1.1</v>
      </c>
      <c r="E31" s="3" t="n">
        <v>1.1</v>
      </c>
      <c r="F31" s="3" t="n">
        <v>1.1</v>
      </c>
      <c r="G31" s="3" t="n">
        <v>1.1</v>
      </c>
      <c r="H31" s="3" t="n">
        <v>1.1</v>
      </c>
      <c r="I31" s="3" t="n">
        <v>1.1</v>
      </c>
      <c r="J31" s="3" t="n">
        <v>1.1</v>
      </c>
      <c r="K31" s="3" t="n">
        <v>1.1</v>
      </c>
      <c r="L31" s="3" t="n">
        <v>1.1</v>
      </c>
    </row>
    <row r="32" customFormat="false" ht="15" hidden="false" customHeight="false" outlineLevel="0" collapsed="false">
      <c r="A32" s="0" t="s">
        <v>104</v>
      </c>
      <c r="C32" s="3" t="n">
        <v>1.5</v>
      </c>
      <c r="D32" s="3" t="n">
        <v>1.5</v>
      </c>
      <c r="E32" s="3" t="n">
        <v>1.5</v>
      </c>
      <c r="F32" s="3" t="n">
        <v>1.5</v>
      </c>
      <c r="G32" s="3" t="n">
        <v>1.5</v>
      </c>
      <c r="H32" s="3" t="n">
        <v>1.5</v>
      </c>
      <c r="I32" s="3" t="n">
        <v>1.5</v>
      </c>
      <c r="J32" s="3" t="n">
        <v>1.5</v>
      </c>
      <c r="K32" s="3" t="n">
        <v>1.5</v>
      </c>
      <c r="L32" s="3" t="n">
        <v>1.5</v>
      </c>
    </row>
    <row r="33" customFormat="false" ht="15" hidden="false" customHeight="false" outlineLevel="0" collapsed="false">
      <c r="A33" s="0" t="s">
        <v>105</v>
      </c>
      <c r="C33" s="3" t="n">
        <v>17.5</v>
      </c>
      <c r="D33" s="3" t="n">
        <v>17.5</v>
      </c>
      <c r="E33" s="3" t="n">
        <v>18</v>
      </c>
      <c r="F33" s="3" t="n">
        <v>18.5</v>
      </c>
      <c r="G33" s="3" t="n">
        <v>19</v>
      </c>
      <c r="H33" s="3" t="n">
        <v>20</v>
      </c>
      <c r="I33" s="3" t="n">
        <v>20</v>
      </c>
      <c r="J33" s="3" t="n">
        <v>20</v>
      </c>
      <c r="K33" s="3" t="n">
        <v>20</v>
      </c>
      <c r="L33" s="3" t="n">
        <v>20</v>
      </c>
    </row>
    <row r="34" customFormat="false" ht="15" hidden="false" customHeight="false" outlineLevel="0" collapsed="false">
      <c r="A34" s="0" t="s">
        <v>106</v>
      </c>
      <c r="B34" s="3" t="n">
        <v>10</v>
      </c>
    </row>
    <row r="35" customFormat="false" ht="15" hidden="false" customHeight="false" outlineLevel="0" collapsed="false">
      <c r="A35" s="0" t="s">
        <v>107</v>
      </c>
      <c r="B35" s="3" t="n">
        <v>2.5</v>
      </c>
    </row>
    <row r="36" customFormat="false" ht="15" hidden="false" customHeight="false" outlineLevel="0" collapsed="false">
      <c r="A36" s="0" t="s">
        <v>108</v>
      </c>
      <c r="B36" s="3" t="n">
        <v>15</v>
      </c>
    </row>
    <row r="37" customFormat="false" ht="15" hidden="false" customHeight="false" outlineLevel="0" collapsed="false">
      <c r="A37" s="0" t="s">
        <v>109</v>
      </c>
      <c r="B37" s="3" t="n">
        <v>-20</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7.5</v>
      </c>
      <c r="D41" s="3" t="n">
        <v>8</v>
      </c>
      <c r="E41" s="3" t="n">
        <v>7.5</v>
      </c>
      <c r="F41" s="3" t="n">
        <v>7</v>
      </c>
      <c r="G41" s="3" t="n">
        <v>6</v>
      </c>
      <c r="H41" s="3" t="n">
        <v>5</v>
      </c>
      <c r="I41" s="3" t="n">
        <v>4.5</v>
      </c>
      <c r="J41" s="3" t="n">
        <v>4</v>
      </c>
      <c r="K41" s="3" t="n">
        <v>3.5</v>
      </c>
      <c r="L41" s="3" t="n">
        <v>3</v>
      </c>
    </row>
    <row r="42" customFormat="false" ht="15" hidden="false" customHeight="false" outlineLevel="0" collapsed="false">
      <c r="A42" s="0" t="s">
        <v>100</v>
      </c>
      <c r="C42" s="3" t="n">
        <v>19.2</v>
      </c>
      <c r="D42" s="3" t="n">
        <v>19.8</v>
      </c>
      <c r="E42" s="3" t="n">
        <v>20.3</v>
      </c>
      <c r="F42" s="3" t="n">
        <v>20.8</v>
      </c>
      <c r="G42" s="3" t="n">
        <v>21.2</v>
      </c>
      <c r="H42" s="3" t="n">
        <v>21.5</v>
      </c>
      <c r="I42" s="3" t="n">
        <v>21.5</v>
      </c>
      <c r="J42" s="3" t="n">
        <v>21.5</v>
      </c>
      <c r="K42" s="3" t="n">
        <v>21.5</v>
      </c>
      <c r="L42" s="3" t="n">
        <v>21.5</v>
      </c>
    </row>
    <row r="43" customFormat="false" ht="15" hidden="false" customHeight="false" outlineLevel="0" collapsed="false">
      <c r="A43" s="0" t="s">
        <v>101</v>
      </c>
      <c r="C43" s="3" t="n">
        <v>0.2</v>
      </c>
      <c r="D43" s="3" t="n">
        <v>0.2</v>
      </c>
      <c r="E43" s="3" t="n">
        <v>0.2</v>
      </c>
      <c r="F43" s="3" t="n">
        <v>0.2</v>
      </c>
      <c r="G43" s="3" t="n">
        <v>0.2</v>
      </c>
      <c r="H43" s="3" t="n">
        <v>0.2</v>
      </c>
      <c r="I43" s="3" t="n">
        <v>0.2</v>
      </c>
      <c r="J43" s="3" t="n">
        <v>0.2</v>
      </c>
      <c r="K43" s="3" t="n">
        <v>0.2</v>
      </c>
      <c r="L43" s="3" t="n">
        <v>0.2</v>
      </c>
    </row>
    <row r="44" customFormat="false" ht="15" hidden="false" customHeight="false" outlineLevel="0" collapsed="false">
      <c r="A44" s="0" t="s">
        <v>102</v>
      </c>
      <c r="C44" s="3" t="n">
        <v>0.9</v>
      </c>
      <c r="D44" s="3" t="n">
        <v>0.9</v>
      </c>
      <c r="E44" s="3" t="n">
        <v>0.9</v>
      </c>
      <c r="F44" s="3" t="n">
        <v>0.9</v>
      </c>
      <c r="G44" s="3" t="n">
        <v>0.9</v>
      </c>
      <c r="H44" s="3" t="n">
        <v>0.9</v>
      </c>
      <c r="I44" s="3" t="n">
        <v>0.9</v>
      </c>
      <c r="J44" s="3" t="n">
        <v>0.9</v>
      </c>
      <c r="K44" s="3" t="n">
        <v>0.9</v>
      </c>
      <c r="L44" s="3" t="n">
        <v>0.9</v>
      </c>
    </row>
    <row r="45" customFormat="false" ht="15" hidden="false" customHeight="false" outlineLevel="0" collapsed="false">
      <c r="A45" s="0" t="s">
        <v>103</v>
      </c>
      <c r="C45" s="3" t="n">
        <v>1.1</v>
      </c>
      <c r="D45" s="3" t="n">
        <v>1.1</v>
      </c>
      <c r="E45" s="3" t="n">
        <v>1.1</v>
      </c>
      <c r="F45" s="3" t="n">
        <v>1.1</v>
      </c>
      <c r="G45" s="3" t="n">
        <v>1.1</v>
      </c>
      <c r="H45" s="3" t="n">
        <v>1.1</v>
      </c>
      <c r="I45" s="3" t="n">
        <v>1.1</v>
      </c>
      <c r="J45" s="3" t="n">
        <v>1.1</v>
      </c>
      <c r="K45" s="3" t="n">
        <v>1.1</v>
      </c>
      <c r="L45" s="3" t="n">
        <v>1.1</v>
      </c>
    </row>
    <row r="46" customFormat="false" ht="15" hidden="false" customHeight="false" outlineLevel="0" collapsed="false">
      <c r="A46" s="0" t="s">
        <v>104</v>
      </c>
      <c r="C46" s="3" t="n">
        <v>1.5</v>
      </c>
      <c r="D46" s="3" t="n">
        <v>1.5</v>
      </c>
      <c r="E46" s="3" t="n">
        <v>1.5</v>
      </c>
      <c r="F46" s="3" t="n">
        <v>1.5</v>
      </c>
      <c r="G46" s="3" t="n">
        <v>1.5</v>
      </c>
      <c r="H46" s="3" t="n">
        <v>1.5</v>
      </c>
      <c r="I46" s="3" t="n">
        <v>1.5</v>
      </c>
      <c r="J46" s="3" t="n">
        <v>1.5</v>
      </c>
      <c r="K46" s="3" t="n">
        <v>1.5</v>
      </c>
      <c r="L46" s="3" t="n">
        <v>1.5</v>
      </c>
    </row>
    <row r="47" customFormat="false" ht="15" hidden="false" customHeight="false" outlineLevel="0" collapsed="false">
      <c r="A47" s="0" t="s">
        <v>105</v>
      </c>
      <c r="C47" s="3" t="n">
        <v>17.5</v>
      </c>
      <c r="D47" s="3" t="n">
        <v>17.5</v>
      </c>
      <c r="E47" s="3" t="n">
        <v>18</v>
      </c>
      <c r="F47" s="3" t="n">
        <v>18.5</v>
      </c>
      <c r="G47" s="3" t="n">
        <v>19</v>
      </c>
      <c r="H47" s="3" t="n">
        <v>20</v>
      </c>
      <c r="I47" s="3" t="n">
        <v>20</v>
      </c>
      <c r="J47" s="3" t="n">
        <v>20</v>
      </c>
      <c r="K47" s="3" t="n">
        <v>20</v>
      </c>
      <c r="L47" s="3" t="n">
        <v>20</v>
      </c>
    </row>
    <row r="48" customFormat="false" ht="15" hidden="false" customHeight="false" outlineLevel="0" collapsed="false">
      <c r="A48" s="0" t="s">
        <v>106</v>
      </c>
      <c r="B48" s="3" t="n">
        <v>10</v>
      </c>
    </row>
    <row r="49" customFormat="false" ht="15" hidden="false" customHeight="false" outlineLevel="0" collapsed="false">
      <c r="A49" s="0" t="s">
        <v>107</v>
      </c>
      <c r="B49" s="3" t="n">
        <v>3</v>
      </c>
    </row>
    <row r="50" customFormat="false" ht="15" hidden="false" customHeight="false" outlineLevel="0" collapsed="false">
      <c r="A50" s="0" t="s">
        <v>108</v>
      </c>
      <c r="B50" s="3" t="n">
        <v>18</v>
      </c>
    </row>
    <row r="51" customFormat="false" ht="15" hidden="false" customHeight="false" outlineLevel="0" collapsed="false">
      <c r="A51" s="0" t="s">
        <v>109</v>
      </c>
      <c r="B51" s="3" t="n">
        <v>-10</v>
      </c>
    </row>
    <row r="52" customFormat="false" ht="15" hidden="false" customHeight="false" outlineLevel="0" collapsed="false">
      <c r="A52" s="0" t="s">
        <v>110</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3</v>
      </c>
      <c r="D5" s="4" t="n">
        <f aca="false">Assumptions!D13</f>
        <v>0</v>
      </c>
      <c r="E5" s="4" t="n">
        <f aca="false">Assumptions!E13</f>
        <v>-3</v>
      </c>
      <c r="F5" s="4" t="n">
        <f aca="false">Assumptions!F13</f>
        <v>-3</v>
      </c>
      <c r="G5" s="4" t="n">
        <f aca="false">Assumptions!G13</f>
        <v>-1</v>
      </c>
      <c r="H5" s="4" t="n">
        <f aca="false">Assumptions!H13</f>
        <v>0</v>
      </c>
      <c r="I5" s="4" t="n">
        <f aca="false">Assumptions!I13</f>
        <v>1</v>
      </c>
      <c r="J5" s="4" t="n">
        <f aca="false">Assumptions!J13</f>
        <v>1</v>
      </c>
      <c r="K5" s="4" t="n">
        <f aca="false">Assumptions!K13</f>
        <v>1.5</v>
      </c>
      <c r="L5" s="4" t="n">
        <f aca="false">Assumptions!L13</f>
        <v>1.5</v>
      </c>
    </row>
    <row r="6" customFormat="false" ht="15" hidden="false" customHeight="false" outlineLevel="0" collapsed="false">
      <c r="A6" s="0" t="s">
        <v>38</v>
      </c>
      <c r="B6" s="3" t="n">
        <v>5395.068</v>
      </c>
      <c r="C6" s="0" t="n">
        <f aca="false">B6*(1+C5/100)</f>
        <v>5556.92004</v>
      </c>
      <c r="D6" s="0" t="n">
        <f aca="false">C6*(1+D5/100)</f>
        <v>5556.92004</v>
      </c>
      <c r="E6" s="0" t="n">
        <f aca="false">D6*(1+E5/100)</f>
        <v>5390.2124388</v>
      </c>
      <c r="F6" s="0" t="n">
        <f aca="false">E6*(1+F5/100)</f>
        <v>5228.506065636</v>
      </c>
      <c r="G6" s="0" t="n">
        <f aca="false">F6*(1+G5/100)</f>
        <v>5176.22100497964</v>
      </c>
      <c r="H6" s="0" t="n">
        <f aca="false">G6*(1+H5/100)</f>
        <v>5176.22100497964</v>
      </c>
      <c r="I6" s="0" t="n">
        <f aca="false">H6*(1+I5/100)</f>
        <v>5227.98321502944</v>
      </c>
      <c r="J6" s="0" t="n">
        <f aca="false">I6*(1+J5/100)</f>
        <v>5280.26304717973</v>
      </c>
      <c r="K6" s="0" t="n">
        <f aca="false">J6*(1+K5/100)</f>
        <v>5359.46699288743</v>
      </c>
      <c r="L6" s="0" t="n">
        <f aca="false">K6*(1+L5/100)</f>
        <v>5439.85899778074</v>
      </c>
    </row>
    <row r="7" customFormat="false" ht="15" hidden="false" customHeight="false" outlineLevel="0" collapsed="false">
      <c r="A7" s="0" t="s">
        <v>100</v>
      </c>
      <c r="C7" s="4" t="n">
        <f aca="false">Assumptions!C14</f>
        <v>17.8</v>
      </c>
      <c r="D7" s="4" t="n">
        <f aca="false">Assumptions!D14</f>
        <v>16.8</v>
      </c>
      <c r="E7" s="4" t="n">
        <f aca="false">Assumptions!E14</f>
        <v>15.8</v>
      </c>
      <c r="F7" s="4" t="n">
        <f aca="false">Assumptions!F14</f>
        <v>15</v>
      </c>
      <c r="G7" s="4" t="n">
        <f aca="false">Assumptions!G14</f>
        <v>14.8</v>
      </c>
      <c r="H7" s="4" t="n">
        <f aca="false">Assumptions!H14</f>
        <v>14.8</v>
      </c>
      <c r="I7" s="4" t="n">
        <f aca="false">Assumptions!I14</f>
        <v>15</v>
      </c>
      <c r="J7" s="4" t="n">
        <f aca="false">Assumptions!J14</f>
        <v>15</v>
      </c>
      <c r="K7" s="4" t="n">
        <f aca="false">Assumptions!K14</f>
        <v>15</v>
      </c>
      <c r="L7" s="4" t="n">
        <f aca="false">Assumptions!L14</f>
        <v>15</v>
      </c>
    </row>
    <row r="8" customFormat="false" ht="15" hidden="false" customHeight="false" outlineLevel="0" collapsed="false">
      <c r="A8" s="0" t="s">
        <v>44</v>
      </c>
      <c r="C8" s="0" t="n">
        <f aca="false">C6*C7/100</f>
        <v>989.13176712</v>
      </c>
      <c r="D8" s="0" t="n">
        <f aca="false">D6*D7/100</f>
        <v>933.56256672</v>
      </c>
      <c r="E8" s="0" t="n">
        <f aca="false">E6*E7/100</f>
        <v>851.6535653304</v>
      </c>
      <c r="F8" s="0" t="n">
        <f aca="false">F6*F7/100</f>
        <v>784.2759098454</v>
      </c>
      <c r="G8" s="0" t="n">
        <f aca="false">G6*G7/100</f>
        <v>766.080708736987</v>
      </c>
      <c r="H8" s="0" t="n">
        <f aca="false">H6*H7/100</f>
        <v>766.080708736987</v>
      </c>
      <c r="I8" s="0" t="n">
        <f aca="false">I6*I7/100</f>
        <v>784.197482254416</v>
      </c>
      <c r="J8" s="0" t="n">
        <f aca="false">J6*J7/100</f>
        <v>792.03945707696</v>
      </c>
      <c r="K8" s="0" t="n">
        <f aca="false">K6*K7/100</f>
        <v>803.920048933114</v>
      </c>
      <c r="L8" s="0" t="n">
        <f aca="false">L6*L7/100</f>
        <v>815.978849667111</v>
      </c>
    </row>
    <row r="9" customFormat="false" ht="15" hidden="false" customHeight="false" outlineLevel="0" collapsed="false">
      <c r="A9" s="0" t="s">
        <v>101</v>
      </c>
      <c r="C9" s="4" t="n">
        <f aca="false">Assumptions!C15</f>
        <v>0.2</v>
      </c>
      <c r="D9" s="4" t="n">
        <f aca="false">Assumptions!D15</f>
        <v>0.2</v>
      </c>
      <c r="E9" s="4" t="n">
        <f aca="false">Assumptions!E15</f>
        <v>0.2</v>
      </c>
      <c r="F9" s="4" t="n">
        <f aca="false">Assumptions!F15</f>
        <v>0.2</v>
      </c>
      <c r="G9" s="4" t="n">
        <f aca="false">Assumptions!G15</f>
        <v>0.2</v>
      </c>
      <c r="H9" s="4" t="n">
        <f aca="false">Assumptions!H15</f>
        <v>0.2</v>
      </c>
      <c r="I9" s="4" t="n">
        <f aca="false">Assumptions!I15</f>
        <v>0.2</v>
      </c>
      <c r="J9" s="4" t="n">
        <f aca="false">Assumptions!J15</f>
        <v>0.2</v>
      </c>
      <c r="K9" s="4" t="n">
        <f aca="false">Assumptions!K15</f>
        <v>0.2</v>
      </c>
      <c r="L9" s="4" t="n">
        <f aca="false">Assumptions!L15</f>
        <v>0.2</v>
      </c>
    </row>
    <row r="10" customFormat="false" ht="15" hidden="false" customHeight="false" outlineLevel="0" collapsed="false">
      <c r="A10" s="0" t="s">
        <v>116</v>
      </c>
      <c r="C10" s="0" t="n">
        <f aca="false">-C6*C9/100</f>
        <v>-11.11384008</v>
      </c>
      <c r="D10" s="0" t="n">
        <f aca="false">-D6*D9/100</f>
        <v>-11.11384008</v>
      </c>
      <c r="E10" s="0" t="n">
        <f aca="false">-E6*E9/100</f>
        <v>-10.7804248776</v>
      </c>
      <c r="F10" s="0" t="n">
        <f aca="false">-F6*F9/100</f>
        <v>-10.457012131272</v>
      </c>
      <c r="G10" s="0" t="n">
        <f aca="false">-G6*G9/100</f>
        <v>-10.3524420099593</v>
      </c>
      <c r="H10" s="0" t="n">
        <f aca="false">-H6*H9/100</f>
        <v>-10.3524420099593</v>
      </c>
      <c r="I10" s="0" t="n">
        <f aca="false">-I6*I9/100</f>
        <v>-10.4559664300589</v>
      </c>
      <c r="J10" s="0" t="n">
        <f aca="false">-J6*J9/100</f>
        <v>-10.5605260943595</v>
      </c>
      <c r="K10" s="0" t="n">
        <f aca="false">-K6*K9/100</f>
        <v>-10.7189339857749</v>
      </c>
      <c r="L10" s="0" t="n">
        <f aca="false">-L6*L9/100</f>
        <v>-10.8797179955615</v>
      </c>
    </row>
    <row r="11" customFormat="false" ht="15" hidden="false" customHeight="false" outlineLevel="0" collapsed="false">
      <c r="A11" s="0" t="s">
        <v>117</v>
      </c>
      <c r="C11" s="0" t="n">
        <f aca="false">C8+C10+C24</f>
        <v>928.00564668</v>
      </c>
      <c r="D11" s="0" t="n">
        <f aca="false">D8+D10+D24</f>
        <v>872.43644628</v>
      </c>
      <c r="E11" s="0" t="n">
        <f aca="false">E8+E10+E24</f>
        <v>792.3612285036</v>
      </c>
      <c r="F11" s="0" t="n">
        <f aca="false">F8+F10+F24</f>
        <v>726.762343123404</v>
      </c>
      <c r="G11" s="0" t="n">
        <f aca="false">G8+G10+G24</f>
        <v>709.142277682211</v>
      </c>
      <c r="H11" s="0" t="n">
        <f aca="false">H8+H10+H24</f>
        <v>709.142277682211</v>
      </c>
      <c r="I11" s="0" t="n">
        <f aca="false">I8+I10+I24</f>
        <v>726.689666889092</v>
      </c>
      <c r="J11" s="0" t="n">
        <f aca="false">J8+J10+J24</f>
        <v>733.956563557983</v>
      </c>
      <c r="K11" s="0" t="n">
        <f aca="false">K8+K10+K24</f>
        <v>744.965912011352</v>
      </c>
      <c r="L11" s="0" t="n">
        <f aca="false">L8+L10+L24</f>
        <v>756.140400691522</v>
      </c>
    </row>
    <row r="12" customFormat="false" ht="15" hidden="false" customHeight="false" outlineLevel="0" collapsed="false">
      <c r="A12" s="0" t="s">
        <v>118</v>
      </c>
      <c r="C12" s="4" t="n">
        <f aca="false">-C6*Assumptions!C17/100</f>
        <v>-61.12612044</v>
      </c>
      <c r="D12" s="4" t="n">
        <f aca="false">-D6*Assumptions!D17/100</f>
        <v>-61.12612044</v>
      </c>
      <c r="E12" s="4" t="n">
        <f aca="false">-E6*Assumptions!E17/100</f>
        <v>-59.2923368268</v>
      </c>
      <c r="F12" s="4" t="n">
        <f aca="false">-F6*Assumptions!F17/100</f>
        <v>-57.513566721996</v>
      </c>
      <c r="G12" s="4" t="n">
        <f aca="false">-G6*Assumptions!G17/100</f>
        <v>-56.938431054776</v>
      </c>
      <c r="H12" s="4" t="n">
        <f aca="false">-H6*Assumptions!H17/100</f>
        <v>-56.938431054776</v>
      </c>
      <c r="I12" s="4" t="n">
        <f aca="false">-I6*Assumptions!I17/100</f>
        <v>-57.5078153653238</v>
      </c>
      <c r="J12" s="4" t="n">
        <f aca="false">-J6*Assumptions!J17/100</f>
        <v>-58.082893518977</v>
      </c>
      <c r="K12" s="4" t="n">
        <f aca="false">-K6*Assumptions!K17/100</f>
        <v>-58.9541369217617</v>
      </c>
      <c r="L12" s="4" t="n">
        <f aca="false">-L6*Assumptions!L17/100</f>
        <v>-59.8384489755881</v>
      </c>
    </row>
    <row r="13" customFormat="false" ht="15" hidden="false" customHeight="false" outlineLevel="0" collapsed="false">
      <c r="A13" s="0" t="s">
        <v>119</v>
      </c>
      <c r="C13" s="0" t="n">
        <f aca="false">C11+C12</f>
        <v>866.87952624</v>
      </c>
      <c r="D13" s="0" t="n">
        <f aca="false">D11+D12</f>
        <v>811.31032584</v>
      </c>
      <c r="E13" s="0" t="n">
        <f aca="false">E11+E12</f>
        <v>733.0688916768</v>
      </c>
      <c r="F13" s="0" t="n">
        <f aca="false">F11+F12</f>
        <v>669.248776401408</v>
      </c>
      <c r="G13" s="0" t="n">
        <f aca="false">G11+G12</f>
        <v>652.203846627435</v>
      </c>
      <c r="H13" s="0" t="n">
        <f aca="false">H11+H12</f>
        <v>652.203846627435</v>
      </c>
      <c r="I13" s="0" t="n">
        <f aca="false">I11+I12</f>
        <v>669.181851523768</v>
      </c>
      <c r="J13" s="0" t="n">
        <f aca="false">J11+J12</f>
        <v>675.873670039006</v>
      </c>
      <c r="K13" s="0" t="n">
        <f aca="false">K11+K12</f>
        <v>686.011775089591</v>
      </c>
      <c r="L13" s="0" t="n">
        <f aca="false">L11+L12</f>
        <v>696.301951715934</v>
      </c>
    </row>
    <row r="14" customFormat="false" ht="15" hidden="false" customHeight="false" outlineLevel="0" collapsed="false">
      <c r="A14" s="0" t="s">
        <v>105</v>
      </c>
      <c r="C14" s="4" t="n">
        <f aca="false">Assumptions!C19</f>
        <v>17.5</v>
      </c>
      <c r="D14" s="4" t="n">
        <f aca="false">Assumptions!D19</f>
        <v>18</v>
      </c>
      <c r="E14" s="4" t="n">
        <f aca="false">Assumptions!E19</f>
        <v>19</v>
      </c>
      <c r="F14" s="4" t="n">
        <f aca="false">Assumptions!F19</f>
        <v>20</v>
      </c>
      <c r="G14" s="4" t="n">
        <f aca="false">Assumptions!G19</f>
        <v>22</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120</v>
      </c>
      <c r="C15" s="0" t="n">
        <f aca="false">C13-MAX(0,C13)*C14/100</f>
        <v>715.175609148</v>
      </c>
      <c r="D15" s="0" t="n">
        <f aca="false">D13-MAX(0,D13)*D14/100</f>
        <v>665.2744671888</v>
      </c>
      <c r="E15" s="0" t="n">
        <f aca="false">E13-MAX(0,E13)*E14/100</f>
        <v>593.785802258208</v>
      </c>
      <c r="F15" s="0" t="n">
        <f aca="false">F13-MAX(0,F13)*F14/100</f>
        <v>535.399021121127</v>
      </c>
      <c r="G15" s="0" t="n">
        <f aca="false">G13-MAX(0,G13)*G14/100</f>
        <v>508.719000369399</v>
      </c>
      <c r="H15" s="0" t="n">
        <f aca="false">H13-MAX(0,H13)*H14/100</f>
        <v>489.152884970576</v>
      </c>
      <c r="I15" s="0" t="n">
        <f aca="false">I13-MAX(0,I13)*I14/100</f>
        <v>501.886388642826</v>
      </c>
      <c r="J15" s="0" t="n">
        <f aca="false">J13-MAX(0,J13)*J14/100</f>
        <v>506.905252529254</v>
      </c>
      <c r="K15" s="0" t="n">
        <f aca="false">K13-MAX(0,K13)*K14/100</f>
        <v>514.508831317193</v>
      </c>
      <c r="L15" s="0" t="n">
        <f aca="false">L13-MAX(0,L13)*L14/100</f>
        <v>522.226463786951</v>
      </c>
    </row>
    <row r="16" customFormat="false" ht="15" hidden="false" customHeight="false" outlineLevel="0" collapsed="false">
      <c r="A16" s="0" t="s">
        <v>121</v>
      </c>
      <c r="C16" s="0" t="n">
        <f aca="false">-C12</f>
        <v>61.12612044</v>
      </c>
      <c r="D16" s="0" t="n">
        <f aca="false">-D12</f>
        <v>61.12612044</v>
      </c>
      <c r="E16" s="0" t="n">
        <f aca="false">-E12</f>
        <v>59.2923368268</v>
      </c>
      <c r="F16" s="0" t="n">
        <f aca="false">-F12</f>
        <v>57.513566721996</v>
      </c>
      <c r="G16" s="0" t="n">
        <f aca="false">-G12</f>
        <v>56.938431054776</v>
      </c>
      <c r="H16" s="0" t="n">
        <f aca="false">-H12</f>
        <v>56.938431054776</v>
      </c>
      <c r="I16" s="0" t="n">
        <f aca="false">-I12</f>
        <v>57.5078153653238</v>
      </c>
      <c r="J16" s="0" t="n">
        <f aca="false">-J12</f>
        <v>58.082893518977</v>
      </c>
      <c r="K16" s="0" t="n">
        <f aca="false">-K12</f>
        <v>58.9541369217617</v>
      </c>
      <c r="L16" s="0" t="n">
        <f aca="false">-L12</f>
        <v>59.8384489755881</v>
      </c>
    </row>
    <row r="17" customFormat="false" ht="15" hidden="false" customHeight="false" outlineLevel="0" collapsed="false">
      <c r="A17" s="0" t="s">
        <v>122</v>
      </c>
      <c r="C17" s="4" t="n">
        <f aca="false">-C6*Assumptions!C18/100</f>
        <v>-83.3538006</v>
      </c>
      <c r="D17" s="4" t="n">
        <f aca="false">-D6*Assumptions!D18/100</f>
        <v>-83.3538006</v>
      </c>
      <c r="E17" s="4" t="n">
        <f aca="false">-E6*Assumptions!E18/100</f>
        <v>-80.853186582</v>
      </c>
      <c r="F17" s="4" t="n">
        <f aca="false">-F6*Assumptions!F18/100</f>
        <v>-78.42759098454</v>
      </c>
      <c r="G17" s="4" t="n">
        <f aca="false">-G6*Assumptions!G18/100</f>
        <v>-77.6433150746946</v>
      </c>
      <c r="H17" s="4" t="n">
        <f aca="false">-H6*Assumptions!H18/100</f>
        <v>-77.6433150746946</v>
      </c>
      <c r="I17" s="4" t="n">
        <f aca="false">-I6*Assumptions!I18/100</f>
        <v>-78.4197482254416</v>
      </c>
      <c r="J17" s="4" t="n">
        <f aca="false">-J6*Assumptions!J18/100</f>
        <v>-79.203945707696</v>
      </c>
      <c r="K17" s="4" t="n">
        <f aca="false">-K6*Assumptions!K18/100</f>
        <v>-80.3920048933114</v>
      </c>
      <c r="L17" s="4" t="n">
        <f aca="false">-L6*Assumptions!L18/100</f>
        <v>-81.5978849667111</v>
      </c>
    </row>
    <row r="18" customFormat="false" ht="15" hidden="false" customHeight="false" outlineLevel="0" collapsed="false">
      <c r="A18" s="0" t="s">
        <v>123</v>
      </c>
      <c r="C18" s="4" t="n">
        <f aca="false">(C6-B6)*Assumptions!$B$23/100</f>
        <v>-32.370408</v>
      </c>
      <c r="D18" s="4" t="n">
        <f aca="false">(D6-C6)*Assumptions!$B$23/100</f>
        <v>-0</v>
      </c>
      <c r="E18" s="4" t="n">
        <f aca="false">(E6-D6)*Assumptions!$B$23/100</f>
        <v>33.34152024</v>
      </c>
      <c r="F18" s="4" t="n">
        <f aca="false">(F6-E6)*Assumptions!$B$23/100</f>
        <v>32.3412746328</v>
      </c>
      <c r="G18" s="4" t="n">
        <f aca="false">(G6-F6)*Assumptions!$B$23/100</f>
        <v>10.4570121312719</v>
      </c>
      <c r="H18" s="4" t="n">
        <f aca="false">(H6-G6)*Assumptions!$B$23/100</f>
        <v>-0</v>
      </c>
      <c r="I18" s="4" t="n">
        <f aca="false">(I6-H6)*Assumptions!$B$23/100</f>
        <v>-10.3524420099593</v>
      </c>
      <c r="J18" s="4" t="n">
        <f aca="false">(J6-I6)*Assumptions!$B$23/100</f>
        <v>-10.4559664300588</v>
      </c>
      <c r="K18" s="4" t="n">
        <f aca="false">(K6-J6)*Assumptions!$B$23/100</f>
        <v>-15.8407891415391</v>
      </c>
      <c r="L18" s="4" t="n">
        <f aca="false">(L6-K6)*Assumptions!$B$23/100</f>
        <v>-16.0784009786621</v>
      </c>
    </row>
    <row r="19" customFormat="false" ht="15" hidden="false" customHeight="false" outlineLevel="0" collapsed="false">
      <c r="A19" s="0" t="s">
        <v>124</v>
      </c>
      <c r="C19" s="0" t="n">
        <f aca="false">C15+C16+C17+C18</f>
        <v>660.577520988</v>
      </c>
      <c r="D19" s="0" t="n">
        <f aca="false">D15+D16+D17+D18</f>
        <v>643.0467870288</v>
      </c>
      <c r="E19" s="0" t="n">
        <f aca="false">E15+E16+E17+E18</f>
        <v>605.566472743008</v>
      </c>
      <c r="F19" s="0" t="n">
        <f aca="false">F15+F16+F17+F18</f>
        <v>546.826271491383</v>
      </c>
      <c r="G19" s="0" t="n">
        <f aca="false">G15+G16+G17+G18</f>
        <v>498.471128480752</v>
      </c>
      <c r="H19" s="0" t="n">
        <f aca="false">H15+H16+H17+H18</f>
        <v>468.448000950657</v>
      </c>
      <c r="I19" s="0" t="n">
        <f aca="false">I15+I16+I17+I18</f>
        <v>470.622013772749</v>
      </c>
      <c r="J19" s="0" t="n">
        <f aca="false">J15+J16+J17+J18</f>
        <v>475.328233910477</v>
      </c>
      <c r="K19" s="0" t="n">
        <f aca="false">K15+K16+K17+K18</f>
        <v>477.230174204104</v>
      </c>
      <c r="L19" s="0" t="n">
        <f aca="false">L15+L16+L17+L18</f>
        <v>484.388626817166</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600.52501908</v>
      </c>
      <c r="D21" s="0" t="n">
        <f aca="false">D19*D20</f>
        <v>531.443625643636</v>
      </c>
      <c r="E21" s="0" t="n">
        <f aca="false">E19*E20</f>
        <v>454.971053901584</v>
      </c>
      <c r="F21" s="0" t="n">
        <f aca="false">F19*F20</f>
        <v>373.489701175727</v>
      </c>
      <c r="G21" s="0" t="n">
        <f aca="false">G19*G20</f>
        <v>309.511352603059</v>
      </c>
      <c r="H21" s="0" t="n">
        <f aca="false">H19*H20</f>
        <v>264.426684122453</v>
      </c>
      <c r="I21" s="0" t="n">
        <f aca="false">I19*I20</f>
        <v>241.503506985569</v>
      </c>
      <c r="J21" s="0" t="n">
        <f aca="false">J19*J20</f>
        <v>221.744129141296</v>
      </c>
      <c r="K21" s="0" t="n">
        <f aca="false">K19*K20</f>
        <v>202.392180295447</v>
      </c>
      <c r="L21" s="0" t="n">
        <f aca="false">L19*L20</f>
        <v>186.752784545344</v>
      </c>
    </row>
    <row r="23" customFormat="false" ht="15" hidden="false" customHeight="false" outlineLevel="0" collapsed="false">
      <c r="A23" s="0" t="s">
        <v>102</v>
      </c>
      <c r="C23" s="4" t="n">
        <f aca="false">Assumptions!C16</f>
        <v>0.9</v>
      </c>
      <c r="D23" s="4" t="n">
        <f aca="false">Assumptions!D16</f>
        <v>0.9</v>
      </c>
      <c r="E23" s="4" t="n">
        <f aca="false">Assumptions!E16</f>
        <v>0.9</v>
      </c>
      <c r="F23" s="4" t="n">
        <f aca="false">Assumptions!F16</f>
        <v>0.9</v>
      </c>
      <c r="G23" s="4" t="n">
        <f aca="false">Assumptions!G16</f>
        <v>0.9</v>
      </c>
      <c r="H23" s="4" t="n">
        <f aca="false">Assumptions!H16</f>
        <v>0.9</v>
      </c>
      <c r="I23" s="4" t="n">
        <f aca="false">Assumptions!I16</f>
        <v>0.9</v>
      </c>
      <c r="J23" s="4" t="n">
        <f aca="false">Assumptions!J16</f>
        <v>0.9</v>
      </c>
      <c r="K23" s="4" t="n">
        <f aca="false">Assumptions!K16</f>
        <v>0.9</v>
      </c>
      <c r="L23" s="4" t="n">
        <f aca="false">Assumptions!L16</f>
        <v>0.9</v>
      </c>
    </row>
    <row r="24" customFormat="false" ht="15" hidden="false" customHeight="false" outlineLevel="0" collapsed="false">
      <c r="A24" s="0" t="s">
        <v>127</v>
      </c>
      <c r="C24" s="0" t="n">
        <f aca="false">-C6*C23/100</f>
        <v>-50.01228036</v>
      </c>
      <c r="D24" s="0" t="n">
        <f aca="false">-D6*D23/100</f>
        <v>-50.01228036</v>
      </c>
      <c r="E24" s="0" t="n">
        <f aca="false">-E6*E23/100</f>
        <v>-48.5119119492</v>
      </c>
      <c r="F24" s="0" t="n">
        <f aca="false">-F6*F23/100</f>
        <v>-47.056554590724</v>
      </c>
      <c r="G24" s="0" t="n">
        <f aca="false">-G6*G23/100</f>
        <v>-46.5859890448168</v>
      </c>
      <c r="H24" s="0" t="n">
        <f aca="false">-H6*H23/100</f>
        <v>-46.5859890448168</v>
      </c>
      <c r="I24" s="0" t="n">
        <f aca="false">-I6*I23/100</f>
        <v>-47.0518489352649</v>
      </c>
      <c r="J24" s="0" t="n">
        <f aca="false">-J6*J23/100</f>
        <v>-47.5223674246176</v>
      </c>
      <c r="K24" s="0" t="n">
        <f aca="false">-K6*K23/100</f>
        <v>-48.2352029359868</v>
      </c>
      <c r="L24" s="0" t="n">
        <f aca="false">-L6*L23/100</f>
        <v>-48.9587309800266</v>
      </c>
    </row>
    <row r="26" customFormat="false" ht="15" hidden="false" customHeight="false" outlineLevel="0" collapsed="false">
      <c r="A26" s="2" t="s">
        <v>128</v>
      </c>
    </row>
    <row r="27" customFormat="false" ht="15" hidden="false" customHeight="false" outlineLevel="0" collapsed="false">
      <c r="A27" s="0" t="s">
        <v>106</v>
      </c>
      <c r="B27" s="4" t="n">
        <f aca="false">Assumptions!$B$20</f>
        <v>10</v>
      </c>
    </row>
    <row r="28" customFormat="false" ht="15" hidden="false" customHeight="false" outlineLevel="0" collapsed="false">
      <c r="A28" s="0" t="s">
        <v>107</v>
      </c>
      <c r="B28" s="4" t="n">
        <f aca="false">Assumptions!$B$21</f>
        <v>1.5</v>
      </c>
    </row>
    <row r="29" customFormat="false" ht="15" hidden="false" customHeight="false" outlineLevel="0" collapsed="false">
      <c r="A29" s="0" t="s">
        <v>108</v>
      </c>
      <c r="B29" s="4" t="n">
        <f aca="false">Assumptions!$B$22</f>
        <v>12</v>
      </c>
    </row>
    <row r="30" customFormat="false" ht="15" hidden="false" customHeight="false" outlineLevel="0" collapsed="false">
      <c r="A30" s="0" t="s">
        <v>129</v>
      </c>
      <c r="B30" s="0" t="n">
        <f aca="false">SUM(C21:L21)</f>
        <v>3386.76003749411</v>
      </c>
    </row>
    <row r="31" customFormat="false" ht="15" hidden="false" customHeight="false" outlineLevel="0" collapsed="false">
      <c r="A31" s="0" t="s">
        <v>130</v>
      </c>
      <c r="B31" s="0" t="n">
        <f aca="false">L19</f>
        <v>484.388626817166</v>
      </c>
    </row>
    <row r="32" customFormat="false" ht="15" hidden="false" customHeight="false" outlineLevel="0" collapsed="false">
      <c r="A32" s="0" t="s">
        <v>131</v>
      </c>
      <c r="B32" s="0" t="n">
        <f aca="false">IF(B27&gt;B28,B31*(1+B28/100)/((B27-B28)/100),B31*B29)</f>
        <v>5784.17007316968</v>
      </c>
    </row>
    <row r="33" customFormat="false" ht="15" hidden="false" customHeight="false" outlineLevel="0" collapsed="false">
      <c r="A33" s="0" t="s">
        <v>132</v>
      </c>
      <c r="B33" s="0" t="n">
        <f aca="false">B31*B29</f>
        <v>5812.66352180599</v>
      </c>
    </row>
    <row r="34" customFormat="false" ht="15" hidden="false" customHeight="false" outlineLevel="0" collapsed="false">
      <c r="A34" s="0" t="s">
        <v>133</v>
      </c>
      <c r="B34" s="0" t="n">
        <f aca="false">MAX(0,MIN(B32,B33))</f>
        <v>5784.17007316968</v>
      </c>
    </row>
    <row r="35" customFormat="false" ht="15" hidden="false" customHeight="false" outlineLevel="0" collapsed="false">
      <c r="A35" s="0" t="s">
        <v>134</v>
      </c>
      <c r="B35" s="0" t="n">
        <f aca="false">B34/(1+B27/100)^L4</f>
        <v>2230.04795662969</v>
      </c>
    </row>
    <row r="36" customFormat="false" ht="15" hidden="false" customHeight="false" outlineLevel="0" collapsed="false">
      <c r="A36" s="0" t="s">
        <v>135</v>
      </c>
      <c r="B36" s="0" t="n">
        <f aca="false">B30+B35</f>
        <v>5616.80799412381</v>
      </c>
    </row>
    <row r="37" customFormat="false" ht="15" hidden="false" customHeight="false" outlineLevel="0" collapsed="false">
      <c r="A37" s="0" t="s">
        <v>136</v>
      </c>
      <c r="B37" s="0" t="n">
        <f aca="false">B36+Assumptions!$B$5-Assumptions!$B$4</f>
        <v>9054.14999412381</v>
      </c>
    </row>
    <row r="38" customFormat="false" ht="15" hidden="false" customHeight="false" outlineLevel="0" collapsed="false">
      <c r="A38" s="0" t="s">
        <v>137</v>
      </c>
      <c r="B38" s="0" t="n">
        <f aca="false">B37/Assumptions!$B$3*Assumptions!$B$10</f>
        <v>7.18140943453757</v>
      </c>
    </row>
    <row r="39" customFormat="false" ht="15" hidden="false" customHeight="false" outlineLevel="0" collapsed="false">
      <c r="A39" s="0" t="s">
        <v>138</v>
      </c>
      <c r="B39" s="4" t="n">
        <f aca="false">B38/Assumptions!$B$2-1</f>
        <v>0.77977928984822</v>
      </c>
    </row>
    <row r="41" customFormat="false" ht="15" hidden="false" customHeight="false" outlineLevel="0" collapsed="false">
      <c r="A41" s="0" t="s">
        <v>139</v>
      </c>
      <c r="B41" s="0" t="n">
        <f aca="false">SUMPRODUCT(-C10:L10/(1+$B$27/100)^C4:L4)</f>
        <v>65.8345952177088</v>
      </c>
    </row>
    <row r="42" customFormat="false" ht="15" hidden="false" customHeight="false" outlineLevel="0" collapsed="false">
      <c r="A42" s="0" t="s">
        <v>140</v>
      </c>
      <c r="B42" s="0" t="n">
        <f aca="false">IF(B27&gt;B28,-L10*(1+B28/100)/((B27-B28)/100),-L10*20)/(1+B27/100)^L4</f>
        <v>50.0884858592418</v>
      </c>
    </row>
    <row r="43" customFormat="false" ht="15" hidden="false" customHeight="false" outlineLevel="0" collapsed="false">
      <c r="A43" s="0" t="s">
        <v>141</v>
      </c>
      <c r="B43" s="0" t="n">
        <f aca="false">(B37+B41+B42)/Assumptions!$B$3*Assumptions!$B$10</f>
        <v>7.2733552393527</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3641.88486088462</v>
      </c>
    </row>
    <row r="47" customFormat="false" ht="15" hidden="false" customHeight="false" outlineLevel="0" collapsed="false">
      <c r="A47" s="0" t="s">
        <v>143</v>
      </c>
      <c r="B47" s="0" t="n">
        <f aca="false">(SUMPRODUCT(C19:L19/(1+B45/100)^C4:L4)+B46/(1+B45/100)^L4+Assumptions!$B$5-Assumptions!$B$4)/Assumptions!$B$3*Assumptions!$B$10</f>
        <v>5.66879672221828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6</v>
      </c>
      <c r="D5" s="4" t="n">
        <f aca="false">Assumptions!D27</f>
        <v>5.5</v>
      </c>
      <c r="E5" s="4" t="n">
        <f aca="false">Assumptions!E27</f>
        <v>5</v>
      </c>
      <c r="F5" s="4" t="n">
        <f aca="false">Assumptions!F27</f>
        <v>4.5</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5395.068</v>
      </c>
      <c r="C6" s="0" t="n">
        <f aca="false">B6*(1+C5/100)</f>
        <v>5718.77208</v>
      </c>
      <c r="D6" s="0" t="n">
        <f aca="false">C6*(1+D5/100)</f>
        <v>6033.3045444</v>
      </c>
      <c r="E6" s="0" t="n">
        <f aca="false">D6*(1+E5/100)</f>
        <v>6334.96977162</v>
      </c>
      <c r="F6" s="0" t="n">
        <f aca="false">E6*(1+F5/100)</f>
        <v>6620.0434113429</v>
      </c>
      <c r="G6" s="0" t="n">
        <f aca="false">F6*(1+G5/100)</f>
        <v>6884.84514779662</v>
      </c>
      <c r="H6" s="0" t="n">
        <f aca="false">G6*(1+H5/100)</f>
        <v>7125.8147279695</v>
      </c>
      <c r="I6" s="0" t="n">
        <f aca="false">H6*(1+I5/100)</f>
        <v>7339.58916980858</v>
      </c>
      <c r="J6" s="0" t="n">
        <f aca="false">I6*(1+J5/100)</f>
        <v>7559.77684490284</v>
      </c>
      <c r="K6" s="0" t="n">
        <f aca="false">J6*(1+K5/100)</f>
        <v>7748.77126602541</v>
      </c>
      <c r="L6" s="0" t="n">
        <f aca="false">K6*(1+L5/100)</f>
        <v>7942.49054767604</v>
      </c>
    </row>
    <row r="7" customFormat="false" ht="15" hidden="false" customHeight="false" outlineLevel="0" collapsed="false">
      <c r="A7" s="0" t="s">
        <v>100</v>
      </c>
      <c r="C7" s="4" t="n">
        <f aca="false">Assumptions!C28</f>
        <v>18.8</v>
      </c>
      <c r="D7" s="4" t="n">
        <f aca="false">Assumptions!D28</f>
        <v>19</v>
      </c>
      <c r="E7" s="4" t="n">
        <f aca="false">Assumptions!E28</f>
        <v>19.2</v>
      </c>
      <c r="F7" s="4" t="n">
        <f aca="false">Assumptions!F28</f>
        <v>19.3</v>
      </c>
      <c r="G7" s="4" t="n">
        <f aca="false">Assumptions!G28</f>
        <v>19.4</v>
      </c>
      <c r="H7" s="4" t="n">
        <f aca="false">Assumptions!H28</f>
        <v>19.5</v>
      </c>
      <c r="I7" s="4" t="n">
        <f aca="false">Assumptions!I28</f>
        <v>19.5</v>
      </c>
      <c r="J7" s="4" t="n">
        <f aca="false">Assumptions!J28</f>
        <v>19.5</v>
      </c>
      <c r="K7" s="4" t="n">
        <f aca="false">Assumptions!K28</f>
        <v>19.5</v>
      </c>
      <c r="L7" s="4" t="n">
        <f aca="false">Assumptions!L28</f>
        <v>19.5</v>
      </c>
    </row>
    <row r="8" customFormat="false" ht="15" hidden="false" customHeight="false" outlineLevel="0" collapsed="false">
      <c r="A8" s="0" t="s">
        <v>44</v>
      </c>
      <c r="C8" s="0" t="n">
        <f aca="false">C6*C7/100</f>
        <v>1075.12915104</v>
      </c>
      <c r="D8" s="0" t="n">
        <f aca="false">D6*D7/100</f>
        <v>1146.327863436</v>
      </c>
      <c r="E8" s="0" t="n">
        <f aca="false">E6*E7/100</f>
        <v>1216.31419615104</v>
      </c>
      <c r="F8" s="0" t="n">
        <f aca="false">F6*F7/100</f>
        <v>1277.66837838918</v>
      </c>
      <c r="G8" s="0" t="n">
        <f aca="false">G6*G7/100</f>
        <v>1335.65995867254</v>
      </c>
      <c r="H8" s="0" t="n">
        <f aca="false">H6*H7/100</f>
        <v>1389.53387195405</v>
      </c>
      <c r="I8" s="0" t="n">
        <f aca="false">I6*I7/100</f>
        <v>1431.21988811267</v>
      </c>
      <c r="J8" s="0" t="n">
        <f aca="false">J6*J7/100</f>
        <v>1474.15648475605</v>
      </c>
      <c r="K8" s="0" t="n">
        <f aca="false">K6*K7/100</f>
        <v>1511.01039687495</v>
      </c>
      <c r="L8" s="0" t="n">
        <f aca="false">L6*L7/100</f>
        <v>1548.78565679683</v>
      </c>
    </row>
    <row r="9" customFormat="false" ht="15" hidden="false" customHeight="false" outlineLevel="0" collapsed="false">
      <c r="A9" s="0" t="s">
        <v>101</v>
      </c>
      <c r="C9" s="4" t="n">
        <f aca="false">Assumptions!C29</f>
        <v>0.2</v>
      </c>
      <c r="D9" s="4" t="n">
        <f aca="false">Assumptions!D29</f>
        <v>0.2</v>
      </c>
      <c r="E9" s="4" t="n">
        <f aca="false">Assumptions!E29</f>
        <v>0.2</v>
      </c>
      <c r="F9" s="4" t="n">
        <f aca="false">Assumptions!F29</f>
        <v>0.2</v>
      </c>
      <c r="G9" s="4" t="n">
        <f aca="false">Assumptions!G29</f>
        <v>0.2</v>
      </c>
      <c r="H9" s="4" t="n">
        <f aca="false">Assumptions!H29</f>
        <v>0.2</v>
      </c>
      <c r="I9" s="4" t="n">
        <f aca="false">Assumptions!I29</f>
        <v>0.2</v>
      </c>
      <c r="J9" s="4" t="n">
        <f aca="false">Assumptions!J29</f>
        <v>0.2</v>
      </c>
      <c r="K9" s="4" t="n">
        <f aca="false">Assumptions!K29</f>
        <v>0.2</v>
      </c>
      <c r="L9" s="4" t="n">
        <f aca="false">Assumptions!L29</f>
        <v>0.2</v>
      </c>
    </row>
    <row r="10" customFormat="false" ht="15" hidden="false" customHeight="false" outlineLevel="0" collapsed="false">
      <c r="A10" s="0" t="s">
        <v>116</v>
      </c>
      <c r="C10" s="0" t="n">
        <f aca="false">-C6*C9/100</f>
        <v>-11.43754416</v>
      </c>
      <c r="D10" s="0" t="n">
        <f aca="false">-D6*D9/100</f>
        <v>-12.0666090888</v>
      </c>
      <c r="E10" s="0" t="n">
        <f aca="false">-E6*E9/100</f>
        <v>-12.66993954324</v>
      </c>
      <c r="F10" s="0" t="n">
        <f aca="false">-F6*F9/100</f>
        <v>-13.2400868226858</v>
      </c>
      <c r="G10" s="0" t="n">
        <f aca="false">-G6*G9/100</f>
        <v>-13.7696902955932</v>
      </c>
      <c r="H10" s="0" t="n">
        <f aca="false">-H6*H9/100</f>
        <v>-14.251629455939</v>
      </c>
      <c r="I10" s="0" t="n">
        <f aca="false">-I6*I9/100</f>
        <v>-14.6791783396172</v>
      </c>
      <c r="J10" s="0" t="n">
        <f aca="false">-J6*J9/100</f>
        <v>-15.1195536898057</v>
      </c>
      <c r="K10" s="0" t="n">
        <f aca="false">-K6*K9/100</f>
        <v>-15.4975425320508</v>
      </c>
      <c r="L10" s="0" t="n">
        <f aca="false">-L6*L9/100</f>
        <v>-15.8849810953521</v>
      </c>
    </row>
    <row r="11" customFormat="false" ht="15" hidden="false" customHeight="false" outlineLevel="0" collapsed="false">
      <c r="A11" s="0" t="s">
        <v>117</v>
      </c>
      <c r="C11" s="0" t="n">
        <f aca="false">C8+C10+C24</f>
        <v>1012.22265816</v>
      </c>
      <c r="D11" s="0" t="n">
        <f aca="false">D8+D10+D24</f>
        <v>1079.9615134476</v>
      </c>
      <c r="E11" s="0" t="n">
        <f aca="false">E8+E10+E24</f>
        <v>1146.62952866322</v>
      </c>
      <c r="F11" s="0" t="n">
        <f aca="false">F8+F10+F24</f>
        <v>1204.84790086441</v>
      </c>
      <c r="G11" s="0" t="n">
        <f aca="false">G8+G10+G24</f>
        <v>1259.92666204678</v>
      </c>
      <c r="H11" s="0" t="n">
        <f aca="false">H8+H10+H24</f>
        <v>1311.14990994639</v>
      </c>
      <c r="I11" s="0" t="n">
        <f aca="false">I8+I10+I24</f>
        <v>1350.48440724478</v>
      </c>
      <c r="J11" s="0" t="n">
        <f aca="false">J8+J10+J24</f>
        <v>1390.99893946212</v>
      </c>
      <c r="K11" s="0" t="n">
        <f aca="false">K8+K10+K24</f>
        <v>1425.77391294868</v>
      </c>
      <c r="L11" s="0" t="n">
        <f aca="false">L8+L10+L24</f>
        <v>1461.41826077239</v>
      </c>
    </row>
    <row r="12" customFormat="false" ht="15" hidden="false" customHeight="false" outlineLevel="0" collapsed="false">
      <c r="A12" s="0" t="s">
        <v>118</v>
      </c>
      <c r="C12" s="4" t="n">
        <f aca="false">-C6*Assumptions!C31/100</f>
        <v>-62.90649288</v>
      </c>
      <c r="D12" s="4" t="n">
        <f aca="false">-D6*Assumptions!D31/100</f>
        <v>-66.3663499884</v>
      </c>
      <c r="E12" s="4" t="n">
        <f aca="false">-E6*Assumptions!E31/100</f>
        <v>-69.68466748782</v>
      </c>
      <c r="F12" s="4" t="n">
        <f aca="false">-F6*Assumptions!F31/100</f>
        <v>-72.8204775247719</v>
      </c>
      <c r="G12" s="4" t="n">
        <f aca="false">-G6*Assumptions!G31/100</f>
        <v>-75.7332966257628</v>
      </c>
      <c r="H12" s="4" t="n">
        <f aca="false">-H6*Assumptions!H31/100</f>
        <v>-78.3839620076645</v>
      </c>
      <c r="I12" s="4" t="n">
        <f aca="false">-I6*Assumptions!I31/100</f>
        <v>-80.7354808678944</v>
      </c>
      <c r="J12" s="4" t="n">
        <f aca="false">-J6*Assumptions!J31/100</f>
        <v>-83.1575452939312</v>
      </c>
      <c r="K12" s="4" t="n">
        <f aca="false">-K6*Assumptions!K31/100</f>
        <v>-85.2364839262795</v>
      </c>
      <c r="L12" s="4" t="n">
        <f aca="false">-L6*Assumptions!L31/100</f>
        <v>-87.3673960244365</v>
      </c>
    </row>
    <row r="13" customFormat="false" ht="15" hidden="false" customHeight="false" outlineLevel="0" collapsed="false">
      <c r="A13" s="0" t="s">
        <v>119</v>
      </c>
      <c r="C13" s="0" t="n">
        <f aca="false">C11+C12</f>
        <v>949.31616528</v>
      </c>
      <c r="D13" s="0" t="n">
        <f aca="false">D11+D12</f>
        <v>1013.5951634592</v>
      </c>
      <c r="E13" s="0" t="n">
        <f aca="false">E11+E12</f>
        <v>1076.9448611754</v>
      </c>
      <c r="F13" s="0" t="n">
        <f aca="false">F11+F12</f>
        <v>1132.02742333964</v>
      </c>
      <c r="G13" s="0" t="n">
        <f aca="false">G11+G12</f>
        <v>1184.19336542102</v>
      </c>
      <c r="H13" s="0" t="n">
        <f aca="false">H11+H12</f>
        <v>1232.76594793872</v>
      </c>
      <c r="I13" s="0" t="n">
        <f aca="false">I11+I12</f>
        <v>1269.74892637688</v>
      </c>
      <c r="J13" s="0" t="n">
        <f aca="false">J11+J12</f>
        <v>1307.84139416819</v>
      </c>
      <c r="K13" s="0" t="n">
        <f aca="false">K11+K12</f>
        <v>1340.5374290224</v>
      </c>
      <c r="L13" s="0" t="n">
        <f aca="false">L11+L12</f>
        <v>1374.05086474796</v>
      </c>
    </row>
    <row r="14" customFormat="false" ht="15" hidden="false" customHeight="false" outlineLevel="0" collapsed="false">
      <c r="A14" s="0" t="s">
        <v>105</v>
      </c>
      <c r="C14" s="4" t="n">
        <f aca="false">Assumptions!C33</f>
        <v>17.5</v>
      </c>
      <c r="D14" s="4" t="n">
        <f aca="false">Assumptions!D33</f>
        <v>17.5</v>
      </c>
      <c r="E14" s="4" t="n">
        <f aca="false">Assumptions!E33</f>
        <v>18</v>
      </c>
      <c r="F14" s="4" t="n">
        <f aca="false">Assumptions!F33</f>
        <v>18.5</v>
      </c>
      <c r="G14" s="4" t="n">
        <f aca="false">Assumptions!G33</f>
        <v>19</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120</v>
      </c>
      <c r="C15" s="0" t="n">
        <f aca="false">C13-MAX(0,C13)*C14/100</f>
        <v>783.185836356</v>
      </c>
      <c r="D15" s="0" t="n">
        <f aca="false">D13-MAX(0,D13)*D14/100</f>
        <v>836.21600985384</v>
      </c>
      <c r="E15" s="0" t="n">
        <f aca="false">E13-MAX(0,E13)*E14/100</f>
        <v>883.094786163828</v>
      </c>
      <c r="F15" s="0" t="n">
        <f aca="false">F13-MAX(0,F13)*F14/100</f>
        <v>922.602350021803</v>
      </c>
      <c r="G15" s="0" t="n">
        <f aca="false">G13-MAX(0,G13)*G14/100</f>
        <v>959.196625991025</v>
      </c>
      <c r="H15" s="0" t="n">
        <f aca="false">H13-MAX(0,H13)*H14/100</f>
        <v>986.212758350979</v>
      </c>
      <c r="I15" s="0" t="n">
        <f aca="false">I13-MAX(0,I13)*I14/100</f>
        <v>1015.79914110151</v>
      </c>
      <c r="J15" s="0" t="n">
        <f aca="false">J13-MAX(0,J13)*J14/100</f>
        <v>1046.27311533455</v>
      </c>
      <c r="K15" s="0" t="n">
        <f aca="false">K13-MAX(0,K13)*K14/100</f>
        <v>1072.42994321792</v>
      </c>
      <c r="L15" s="0" t="n">
        <f aca="false">L13-MAX(0,L13)*L14/100</f>
        <v>1099.24069179836</v>
      </c>
    </row>
    <row r="16" customFormat="false" ht="15" hidden="false" customHeight="false" outlineLevel="0" collapsed="false">
      <c r="A16" s="0" t="s">
        <v>121</v>
      </c>
      <c r="C16" s="0" t="n">
        <f aca="false">-C12</f>
        <v>62.90649288</v>
      </c>
      <c r="D16" s="0" t="n">
        <f aca="false">-D12</f>
        <v>66.3663499884</v>
      </c>
      <c r="E16" s="0" t="n">
        <f aca="false">-E12</f>
        <v>69.68466748782</v>
      </c>
      <c r="F16" s="0" t="n">
        <f aca="false">-F12</f>
        <v>72.8204775247719</v>
      </c>
      <c r="G16" s="0" t="n">
        <f aca="false">-G12</f>
        <v>75.7332966257628</v>
      </c>
      <c r="H16" s="0" t="n">
        <f aca="false">-H12</f>
        <v>78.3839620076645</v>
      </c>
      <c r="I16" s="0" t="n">
        <f aca="false">-I12</f>
        <v>80.7354808678944</v>
      </c>
      <c r="J16" s="0" t="n">
        <f aca="false">-J12</f>
        <v>83.1575452939312</v>
      </c>
      <c r="K16" s="0" t="n">
        <f aca="false">-K12</f>
        <v>85.2364839262795</v>
      </c>
      <c r="L16" s="0" t="n">
        <f aca="false">-L12</f>
        <v>87.3673960244365</v>
      </c>
    </row>
    <row r="17" customFormat="false" ht="15" hidden="false" customHeight="false" outlineLevel="0" collapsed="false">
      <c r="A17" s="0" t="s">
        <v>122</v>
      </c>
      <c r="C17" s="4" t="n">
        <f aca="false">-C6*Assumptions!C32/100</f>
        <v>-85.7815812</v>
      </c>
      <c r="D17" s="4" t="n">
        <f aca="false">-D6*Assumptions!D32/100</f>
        <v>-90.499568166</v>
      </c>
      <c r="E17" s="4" t="n">
        <f aca="false">-E6*Assumptions!E32/100</f>
        <v>-95.0245465743</v>
      </c>
      <c r="F17" s="4" t="n">
        <f aca="false">-F6*Assumptions!F32/100</f>
        <v>-99.3006511701435</v>
      </c>
      <c r="G17" s="4" t="n">
        <f aca="false">-G6*Assumptions!G32/100</f>
        <v>-103.272677216949</v>
      </c>
      <c r="H17" s="4" t="n">
        <f aca="false">-H6*Assumptions!H32/100</f>
        <v>-106.887220919542</v>
      </c>
      <c r="I17" s="4" t="n">
        <f aca="false">-I6*Assumptions!I32/100</f>
        <v>-110.093837547129</v>
      </c>
      <c r="J17" s="4" t="n">
        <f aca="false">-J6*Assumptions!J32/100</f>
        <v>-113.396652673543</v>
      </c>
      <c r="K17" s="4" t="n">
        <f aca="false">-K6*Assumptions!K32/100</f>
        <v>-116.231568990381</v>
      </c>
      <c r="L17" s="4" t="n">
        <f aca="false">-L6*Assumptions!L32/100</f>
        <v>-119.137358215141</v>
      </c>
    </row>
    <row r="18" customFormat="false" ht="15" hidden="false" customHeight="false" outlineLevel="0" collapsed="false">
      <c r="A18" s="0" t="s">
        <v>123</v>
      </c>
      <c r="C18" s="4" t="n">
        <f aca="false">(C6-B6)*Assumptions!$B$37/100</f>
        <v>-64.7408160000001</v>
      </c>
      <c r="D18" s="4" t="n">
        <f aca="false">(D6-C6)*Assumptions!$B$37/100</f>
        <v>-62.9064928799999</v>
      </c>
      <c r="E18" s="4" t="n">
        <f aca="false">(E6-D6)*Assumptions!$B$37/100</f>
        <v>-60.333045444</v>
      </c>
      <c r="F18" s="4" t="n">
        <f aca="false">(F6-E6)*Assumptions!$B$37/100</f>
        <v>-57.0147279445799</v>
      </c>
      <c r="G18" s="4" t="n">
        <f aca="false">(G6-F6)*Assumptions!$B$37/100</f>
        <v>-52.9603472907433</v>
      </c>
      <c r="H18" s="4" t="n">
        <f aca="false">(H6-G6)*Assumptions!$B$37/100</f>
        <v>-48.1939160345763</v>
      </c>
      <c r="I18" s="4" t="n">
        <f aca="false">(I6-H6)*Assumptions!$B$37/100</f>
        <v>-42.754888367817</v>
      </c>
      <c r="J18" s="4" t="n">
        <f aca="false">(J6-I6)*Assumptions!$B$37/100</f>
        <v>-44.0375350188515</v>
      </c>
      <c r="K18" s="4" t="n">
        <f aca="false">(K6-J6)*Assumptions!$B$37/100</f>
        <v>-37.798884224514</v>
      </c>
      <c r="L18" s="4" t="n">
        <f aca="false">(L6-K6)*Assumptions!$B$37/100</f>
        <v>-38.743856330127</v>
      </c>
    </row>
    <row r="19" customFormat="false" ht="15" hidden="false" customHeight="false" outlineLevel="0" collapsed="false">
      <c r="A19" s="0" t="s">
        <v>124</v>
      </c>
      <c r="C19" s="0" t="n">
        <f aca="false">C15+C16+C17+C18</f>
        <v>695.569932036</v>
      </c>
      <c r="D19" s="0" t="n">
        <f aca="false">D15+D16+D17+D18</f>
        <v>749.17629879624</v>
      </c>
      <c r="E19" s="0" t="n">
        <f aca="false">E15+E16+E17+E18</f>
        <v>797.421861633348</v>
      </c>
      <c r="F19" s="0" t="n">
        <f aca="false">F15+F16+F17+F18</f>
        <v>839.107448431852</v>
      </c>
      <c r="G19" s="0" t="n">
        <f aca="false">G15+G16+G17+G18</f>
        <v>878.696898109095</v>
      </c>
      <c r="H19" s="0" t="n">
        <f aca="false">H15+H16+H17+H18</f>
        <v>909.515583404525</v>
      </c>
      <c r="I19" s="0" t="n">
        <f aca="false">I15+I16+I17+I18</f>
        <v>943.685896054456</v>
      </c>
      <c r="J19" s="0" t="n">
        <f aca="false">J15+J16+J17+J18</f>
        <v>971.99647293609</v>
      </c>
      <c r="K19" s="0" t="n">
        <f aca="false">K15+K16+K17+K18</f>
        <v>1003.6359739293</v>
      </c>
      <c r="L19" s="0" t="n">
        <f aca="false">L15+L16+L17+L18</f>
        <v>1028.72687327753</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632.336301850909</v>
      </c>
      <c r="D21" s="0" t="n">
        <f aca="false">D19*D20</f>
        <v>619.153965947306</v>
      </c>
      <c r="E21" s="0" t="n">
        <f aca="false">E19*E20</f>
        <v>599.114847207624</v>
      </c>
      <c r="F21" s="0" t="n">
        <f aca="false">F19*F20</f>
        <v>573.121677776007</v>
      </c>
      <c r="G21" s="0" t="n">
        <f aca="false">G19*G20</f>
        <v>545.601640541875</v>
      </c>
      <c r="H21" s="0" t="n">
        <f aca="false">H19*H20</f>
        <v>513.397835809506</v>
      </c>
      <c r="I21" s="0" t="n">
        <f aca="false">I19*I20</f>
        <v>484.260078620163</v>
      </c>
      <c r="J21" s="0" t="n">
        <f aca="false">J19*J20</f>
        <v>453.443528162516</v>
      </c>
      <c r="K21" s="0" t="n">
        <f aca="false">K19*K20</f>
        <v>425.639626256365</v>
      </c>
      <c r="L21" s="0" t="n">
        <f aca="false">L19*L20</f>
        <v>396.618742647977</v>
      </c>
    </row>
    <row r="23" customFormat="false" ht="15" hidden="false" customHeight="false" outlineLevel="0" collapsed="false">
      <c r="A23" s="0" t="s">
        <v>102</v>
      </c>
      <c r="C23" s="4" t="n">
        <f aca="false">Assumptions!C30</f>
        <v>0.9</v>
      </c>
      <c r="D23" s="4" t="n">
        <f aca="false">Assumptions!D30</f>
        <v>0.9</v>
      </c>
      <c r="E23" s="4" t="n">
        <f aca="false">Assumptions!E30</f>
        <v>0.9</v>
      </c>
      <c r="F23" s="4" t="n">
        <f aca="false">Assumptions!F30</f>
        <v>0.9</v>
      </c>
      <c r="G23" s="4" t="n">
        <f aca="false">Assumptions!G30</f>
        <v>0.9</v>
      </c>
      <c r="H23" s="4" t="n">
        <f aca="false">Assumptions!H30</f>
        <v>0.9</v>
      </c>
      <c r="I23" s="4" t="n">
        <f aca="false">Assumptions!I30</f>
        <v>0.9</v>
      </c>
      <c r="J23" s="4" t="n">
        <f aca="false">Assumptions!J30</f>
        <v>0.9</v>
      </c>
      <c r="K23" s="4" t="n">
        <f aca="false">Assumptions!K30</f>
        <v>0.9</v>
      </c>
      <c r="L23" s="4" t="n">
        <f aca="false">Assumptions!L30</f>
        <v>0.9</v>
      </c>
    </row>
    <row r="24" customFormat="false" ht="15" hidden="false" customHeight="false" outlineLevel="0" collapsed="false">
      <c r="A24" s="0" t="s">
        <v>127</v>
      </c>
      <c r="C24" s="0" t="n">
        <f aca="false">-C6*C23/100</f>
        <v>-51.46894872</v>
      </c>
      <c r="D24" s="0" t="n">
        <f aca="false">-D6*D23/100</f>
        <v>-54.2997408996</v>
      </c>
      <c r="E24" s="0" t="n">
        <f aca="false">-E6*E23/100</f>
        <v>-57.01472794458</v>
      </c>
      <c r="F24" s="0" t="n">
        <f aca="false">-F6*F23/100</f>
        <v>-59.5803907020861</v>
      </c>
      <c r="G24" s="0" t="n">
        <f aca="false">-G6*G23/100</f>
        <v>-61.9636063301695</v>
      </c>
      <c r="H24" s="0" t="n">
        <f aca="false">-H6*H23/100</f>
        <v>-64.1323325517255</v>
      </c>
      <c r="I24" s="0" t="n">
        <f aca="false">-I6*I23/100</f>
        <v>-66.0563025282772</v>
      </c>
      <c r="J24" s="0" t="n">
        <f aca="false">-J6*J23/100</f>
        <v>-68.0379916041256</v>
      </c>
      <c r="K24" s="0" t="n">
        <f aca="false">-K6*K23/100</f>
        <v>-69.7389413942287</v>
      </c>
      <c r="L24" s="0" t="n">
        <f aca="false">-L6*L23/100</f>
        <v>-71.4824149290844</v>
      </c>
    </row>
    <row r="26" customFormat="false" ht="15" hidden="false" customHeight="false" outlineLevel="0" collapsed="false">
      <c r="A26" s="2" t="s">
        <v>128</v>
      </c>
    </row>
    <row r="27" customFormat="false" ht="15" hidden="false" customHeight="false" outlineLevel="0" collapsed="false">
      <c r="A27" s="0" t="s">
        <v>106</v>
      </c>
      <c r="B27" s="4" t="n">
        <f aca="false">Assumptions!$B$34</f>
        <v>10</v>
      </c>
    </row>
    <row r="28" customFormat="false" ht="15" hidden="false" customHeight="false" outlineLevel="0" collapsed="false">
      <c r="A28" s="0" t="s">
        <v>107</v>
      </c>
      <c r="B28" s="4" t="n">
        <f aca="false">Assumptions!$B$35</f>
        <v>2.5</v>
      </c>
    </row>
    <row r="29" customFormat="false" ht="15" hidden="false" customHeight="false" outlineLevel="0" collapsed="false">
      <c r="A29" s="0" t="s">
        <v>108</v>
      </c>
      <c r="B29" s="4" t="n">
        <f aca="false">Assumptions!$B$36</f>
        <v>15</v>
      </c>
    </row>
    <row r="30" customFormat="false" ht="15" hidden="false" customHeight="false" outlineLevel="0" collapsed="false">
      <c r="A30" s="0" t="s">
        <v>129</v>
      </c>
      <c r="B30" s="0" t="n">
        <f aca="false">SUM(C21:L21)</f>
        <v>5242.68824482025</v>
      </c>
    </row>
    <row r="31" customFormat="false" ht="15" hidden="false" customHeight="false" outlineLevel="0" collapsed="false">
      <c r="A31" s="0" t="s">
        <v>130</v>
      </c>
      <c r="B31" s="0" t="n">
        <f aca="false">L19</f>
        <v>1028.72687327753</v>
      </c>
    </row>
    <row r="32" customFormat="false" ht="15" hidden="false" customHeight="false" outlineLevel="0" collapsed="false">
      <c r="A32" s="0" t="s">
        <v>131</v>
      </c>
      <c r="B32" s="0" t="n">
        <f aca="false">IF(B27&gt;B28,B31*(1+B28/100)/((B27-B28)/100),B31*B29)</f>
        <v>14059.2672681263</v>
      </c>
    </row>
    <row r="33" customFormat="false" ht="15" hidden="false" customHeight="false" outlineLevel="0" collapsed="false">
      <c r="A33" s="0" t="s">
        <v>132</v>
      </c>
      <c r="B33" s="0" t="n">
        <f aca="false">B31*B29</f>
        <v>15430.903099163</v>
      </c>
    </row>
    <row r="34" customFormat="false" ht="15" hidden="false" customHeight="false" outlineLevel="0" collapsed="false">
      <c r="A34" s="0" t="s">
        <v>133</v>
      </c>
      <c r="B34" s="0" t="n">
        <f aca="false">MAX(0,MIN(B32,B33))</f>
        <v>14059.2672681263</v>
      </c>
    </row>
    <row r="35" customFormat="false" ht="15" hidden="false" customHeight="false" outlineLevel="0" collapsed="false">
      <c r="A35" s="0" t="s">
        <v>134</v>
      </c>
      <c r="B35" s="0" t="n">
        <f aca="false">B34/(1+B27/100)^L4</f>
        <v>5420.45614952235</v>
      </c>
    </row>
    <row r="36" customFormat="false" ht="15" hidden="false" customHeight="false" outlineLevel="0" collapsed="false">
      <c r="A36" s="0" t="s">
        <v>135</v>
      </c>
      <c r="B36" s="0" t="n">
        <f aca="false">B30+B35</f>
        <v>10663.1443943426</v>
      </c>
    </row>
    <row r="37" customFormat="false" ht="15" hidden="false" customHeight="false" outlineLevel="0" collapsed="false">
      <c r="A37" s="0" t="s">
        <v>136</v>
      </c>
      <c r="B37" s="0" t="n">
        <f aca="false">B36+Assumptions!$B$5-Assumptions!$B$4</f>
        <v>14100.4863943426</v>
      </c>
    </row>
    <row r="38" customFormat="false" ht="15" hidden="false" customHeight="false" outlineLevel="0" collapsed="false">
      <c r="A38" s="0" t="s">
        <v>137</v>
      </c>
      <c r="B38" s="0" t="n">
        <f aca="false">B37/Assumptions!$B$3*Assumptions!$B$10</f>
        <v>11.1839726633223</v>
      </c>
    </row>
    <row r="39" customFormat="false" ht="15" hidden="false" customHeight="false" outlineLevel="0" collapsed="false">
      <c r="A39" s="0" t="s">
        <v>138</v>
      </c>
      <c r="B39" s="4" t="n">
        <f aca="false">B38/Assumptions!$B$2-1</f>
        <v>1.77174043700677</v>
      </c>
    </row>
    <row r="41" customFormat="false" ht="15" hidden="false" customHeight="false" outlineLevel="0" collapsed="false">
      <c r="A41" s="0" t="s">
        <v>139</v>
      </c>
      <c r="B41" s="0" t="n">
        <f aca="false">SUMPRODUCT(-C10:L10/(1+$B$27/100)^C4:L4)</f>
        <v>82.8099514425804</v>
      </c>
    </row>
    <row r="42" customFormat="false" ht="15" hidden="false" customHeight="false" outlineLevel="0" collapsed="false">
      <c r="A42" s="0" t="s">
        <v>140</v>
      </c>
      <c r="B42" s="0" t="n">
        <f aca="false">IF(B27&gt;B28,-L10*(1+B28/100)/((B27-B28)/100),-L10*20)/(1+B27/100)^L4</f>
        <v>83.6994208083822</v>
      </c>
    </row>
    <row r="43" customFormat="false" ht="15" hidden="false" customHeight="false" outlineLevel="0" collapsed="false">
      <c r="A43" s="0" t="s">
        <v>141</v>
      </c>
      <c r="B43" s="0" t="n">
        <f aca="false">(B37+B41+B42)/Assumptions!$B$3*Assumptions!$B$10</f>
        <v>11.3160416016101</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8435.56036087577</v>
      </c>
    </row>
    <row r="47" customFormat="false" ht="15" hidden="false" customHeight="false" outlineLevel="0" collapsed="false">
      <c r="A47" s="0" t="s">
        <v>143</v>
      </c>
      <c r="B47" s="0" t="n">
        <f aca="false">(SUMPRODUCT(C19:L19/(1+B45/100)^C4:L4)+B46/(1+B45/100)^L4+Assumptions!$B$5-Assumptions!$B$4)/Assumptions!$B$3*Assumptions!$B$10</f>
        <v>7.72545032596162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7.5</v>
      </c>
      <c r="D5" s="4" t="n">
        <f aca="false">Assumptions!D41</f>
        <v>8</v>
      </c>
      <c r="E5" s="4" t="n">
        <f aca="false">Assumptions!E41</f>
        <v>7.5</v>
      </c>
      <c r="F5" s="4" t="n">
        <f aca="false">Assumptions!F41</f>
        <v>7</v>
      </c>
      <c r="G5" s="4" t="n">
        <f aca="false">Assumptions!G41</f>
        <v>6</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38</v>
      </c>
      <c r="B6" s="3" t="n">
        <v>5395.068</v>
      </c>
      <c r="C6" s="0" t="n">
        <f aca="false">B6*(1+C5/100)</f>
        <v>5799.6981</v>
      </c>
      <c r="D6" s="0" t="n">
        <f aca="false">C6*(1+D5/100)</f>
        <v>6263.673948</v>
      </c>
      <c r="E6" s="0" t="n">
        <f aca="false">D6*(1+E5/100)</f>
        <v>6733.4494941</v>
      </c>
      <c r="F6" s="0" t="n">
        <f aca="false">E6*(1+F5/100)</f>
        <v>7204.790958687</v>
      </c>
      <c r="G6" s="0" t="n">
        <f aca="false">F6*(1+G5/100)</f>
        <v>7637.07841620822</v>
      </c>
      <c r="H6" s="0" t="n">
        <f aca="false">G6*(1+H5/100)</f>
        <v>8018.93233701863</v>
      </c>
      <c r="I6" s="0" t="n">
        <f aca="false">H6*(1+I5/100)</f>
        <v>8379.78429218447</v>
      </c>
      <c r="J6" s="0" t="n">
        <f aca="false">I6*(1+J5/100)</f>
        <v>8714.97566387185</v>
      </c>
      <c r="K6" s="0" t="n">
        <f aca="false">J6*(1+K5/100)</f>
        <v>9019.99981210736</v>
      </c>
      <c r="L6" s="0" t="n">
        <f aca="false">K6*(1+L5/100)</f>
        <v>9290.59980647058</v>
      </c>
    </row>
    <row r="7" customFormat="false" ht="15" hidden="false" customHeight="false" outlineLevel="0" collapsed="false">
      <c r="A7" s="0" t="s">
        <v>100</v>
      </c>
      <c r="C7" s="4" t="n">
        <f aca="false">Assumptions!C42</f>
        <v>19.2</v>
      </c>
      <c r="D7" s="4" t="n">
        <f aca="false">Assumptions!D42</f>
        <v>19.8</v>
      </c>
      <c r="E7" s="4" t="n">
        <f aca="false">Assumptions!E42</f>
        <v>20.3</v>
      </c>
      <c r="F7" s="4" t="n">
        <f aca="false">Assumptions!F42</f>
        <v>20.8</v>
      </c>
      <c r="G7" s="4" t="n">
        <f aca="false">Assumptions!G42</f>
        <v>21.2</v>
      </c>
      <c r="H7" s="4" t="n">
        <f aca="false">Assumptions!H42</f>
        <v>21.5</v>
      </c>
      <c r="I7" s="4" t="n">
        <f aca="false">Assumptions!I42</f>
        <v>21.5</v>
      </c>
      <c r="J7" s="4" t="n">
        <f aca="false">Assumptions!J42</f>
        <v>21.5</v>
      </c>
      <c r="K7" s="4" t="n">
        <f aca="false">Assumptions!K42</f>
        <v>21.5</v>
      </c>
      <c r="L7" s="4" t="n">
        <f aca="false">Assumptions!L42</f>
        <v>21.5</v>
      </c>
    </row>
    <row r="8" customFormat="false" ht="15" hidden="false" customHeight="false" outlineLevel="0" collapsed="false">
      <c r="A8" s="0" t="s">
        <v>44</v>
      </c>
      <c r="C8" s="0" t="n">
        <f aca="false">C6*C7/100</f>
        <v>1113.5420352</v>
      </c>
      <c r="D8" s="0" t="n">
        <f aca="false">D6*D7/100</f>
        <v>1240.207441704</v>
      </c>
      <c r="E8" s="0" t="n">
        <f aca="false">E6*E7/100</f>
        <v>1366.8902473023</v>
      </c>
      <c r="F8" s="0" t="n">
        <f aca="false">F6*F7/100</f>
        <v>1498.5965194069</v>
      </c>
      <c r="G8" s="0" t="n">
        <f aca="false">G6*G7/100</f>
        <v>1619.06062423614</v>
      </c>
      <c r="H8" s="0" t="n">
        <f aca="false">H6*H7/100</f>
        <v>1724.07045245901</v>
      </c>
      <c r="I8" s="0" t="n">
        <f aca="false">I6*I7/100</f>
        <v>1801.65362281966</v>
      </c>
      <c r="J8" s="0" t="n">
        <f aca="false">J6*J7/100</f>
        <v>1873.71976773245</v>
      </c>
      <c r="K8" s="0" t="n">
        <f aca="false">K6*K7/100</f>
        <v>1939.29995960308</v>
      </c>
      <c r="L8" s="0" t="n">
        <f aca="false">L6*L7/100</f>
        <v>1997.47895839118</v>
      </c>
    </row>
    <row r="9" customFormat="false" ht="15" hidden="false" customHeight="false" outlineLevel="0" collapsed="false">
      <c r="A9" s="0" t="s">
        <v>101</v>
      </c>
      <c r="C9" s="4" t="n">
        <f aca="false">Assumptions!C43</f>
        <v>0.2</v>
      </c>
      <c r="D9" s="4" t="n">
        <f aca="false">Assumptions!D43</f>
        <v>0.2</v>
      </c>
      <c r="E9" s="4" t="n">
        <f aca="false">Assumptions!E43</f>
        <v>0.2</v>
      </c>
      <c r="F9" s="4" t="n">
        <f aca="false">Assumptions!F43</f>
        <v>0.2</v>
      </c>
      <c r="G9" s="4" t="n">
        <f aca="false">Assumptions!G43</f>
        <v>0.2</v>
      </c>
      <c r="H9" s="4" t="n">
        <f aca="false">Assumptions!H43</f>
        <v>0.2</v>
      </c>
      <c r="I9" s="4" t="n">
        <f aca="false">Assumptions!I43</f>
        <v>0.2</v>
      </c>
      <c r="J9" s="4" t="n">
        <f aca="false">Assumptions!J43</f>
        <v>0.2</v>
      </c>
      <c r="K9" s="4" t="n">
        <f aca="false">Assumptions!K43</f>
        <v>0.2</v>
      </c>
      <c r="L9" s="4" t="n">
        <f aca="false">Assumptions!L43</f>
        <v>0.2</v>
      </c>
    </row>
    <row r="10" customFormat="false" ht="15" hidden="false" customHeight="false" outlineLevel="0" collapsed="false">
      <c r="A10" s="0" t="s">
        <v>116</v>
      </c>
      <c r="C10" s="0" t="n">
        <f aca="false">-C6*C9/100</f>
        <v>-11.5993962</v>
      </c>
      <c r="D10" s="0" t="n">
        <f aca="false">-D6*D9/100</f>
        <v>-12.527347896</v>
      </c>
      <c r="E10" s="0" t="n">
        <f aca="false">-E6*E9/100</f>
        <v>-13.4668989882</v>
      </c>
      <c r="F10" s="0" t="n">
        <f aca="false">-F6*F9/100</f>
        <v>-14.409581917374</v>
      </c>
      <c r="G10" s="0" t="n">
        <f aca="false">-G6*G9/100</f>
        <v>-15.2741568324164</v>
      </c>
      <c r="H10" s="0" t="n">
        <f aca="false">-H6*H9/100</f>
        <v>-16.0378646740373</v>
      </c>
      <c r="I10" s="0" t="n">
        <f aca="false">-I6*I9/100</f>
        <v>-16.7595685843689</v>
      </c>
      <c r="J10" s="0" t="n">
        <f aca="false">-J6*J9/100</f>
        <v>-17.4299513277437</v>
      </c>
      <c r="K10" s="0" t="n">
        <f aca="false">-K6*K9/100</f>
        <v>-18.0399996242147</v>
      </c>
      <c r="L10" s="0" t="n">
        <f aca="false">-L6*L9/100</f>
        <v>-18.5811996129412</v>
      </c>
    </row>
    <row r="11" customFormat="false" ht="15" hidden="false" customHeight="false" outlineLevel="0" collapsed="false">
      <c r="A11" s="0" t="s">
        <v>117</v>
      </c>
      <c r="C11" s="0" t="n">
        <f aca="false">C8+C10+C24</f>
        <v>1049.7453561</v>
      </c>
      <c r="D11" s="0" t="n">
        <f aca="false">D8+D10+D24</f>
        <v>1171.307028276</v>
      </c>
      <c r="E11" s="0" t="n">
        <f aca="false">E8+E10+E24</f>
        <v>1292.8223028672</v>
      </c>
      <c r="F11" s="0" t="n">
        <f aca="false">F8+F10+F24</f>
        <v>1419.34381886134</v>
      </c>
      <c r="G11" s="0" t="n">
        <f aca="false">G8+G10+G24</f>
        <v>1535.05276165785</v>
      </c>
      <c r="H11" s="0" t="n">
        <f aca="false">H8+H10+H24</f>
        <v>1635.8621967518</v>
      </c>
      <c r="I11" s="0" t="n">
        <f aca="false">I8+I10+I24</f>
        <v>1709.47599560563</v>
      </c>
      <c r="J11" s="0" t="n">
        <f aca="false">J8+J10+J24</f>
        <v>1777.85503542986</v>
      </c>
      <c r="K11" s="0" t="n">
        <f aca="false">K8+K10+K24</f>
        <v>1840.0799616699</v>
      </c>
      <c r="L11" s="0" t="n">
        <f aca="false">L8+L10+L24</f>
        <v>1895.28236052</v>
      </c>
    </row>
    <row r="12" customFormat="false" ht="15" hidden="false" customHeight="false" outlineLevel="0" collapsed="false">
      <c r="A12" s="0" t="s">
        <v>118</v>
      </c>
      <c r="C12" s="4" t="n">
        <f aca="false">-C6*Assumptions!C45/100</f>
        <v>-63.7966791</v>
      </c>
      <c r="D12" s="4" t="n">
        <f aca="false">-D6*Assumptions!D45/100</f>
        <v>-68.900413428</v>
      </c>
      <c r="E12" s="4" t="n">
        <f aca="false">-E6*Assumptions!E45/100</f>
        <v>-74.0679444351</v>
      </c>
      <c r="F12" s="4" t="n">
        <f aca="false">-F6*Assumptions!F45/100</f>
        <v>-79.252700545557</v>
      </c>
      <c r="G12" s="4" t="n">
        <f aca="false">-G6*Assumptions!G45/100</f>
        <v>-84.0078625782904</v>
      </c>
      <c r="H12" s="4" t="n">
        <f aca="false">-H6*Assumptions!H45/100</f>
        <v>-88.208255707205</v>
      </c>
      <c r="I12" s="4" t="n">
        <f aca="false">-I6*Assumptions!I45/100</f>
        <v>-92.1776272140292</v>
      </c>
      <c r="J12" s="4" t="n">
        <f aca="false">-J6*Assumptions!J45/100</f>
        <v>-95.8647323025903</v>
      </c>
      <c r="K12" s="4" t="n">
        <f aca="false">-K6*Assumptions!K45/100</f>
        <v>-99.219997933181</v>
      </c>
      <c r="L12" s="4" t="n">
        <f aca="false">-L6*Assumptions!L45/100</f>
        <v>-102.196597871176</v>
      </c>
    </row>
    <row r="13" customFormat="false" ht="15" hidden="false" customHeight="false" outlineLevel="0" collapsed="false">
      <c r="A13" s="0" t="s">
        <v>119</v>
      </c>
      <c r="C13" s="0" t="n">
        <f aca="false">C11+C12</f>
        <v>985.948677</v>
      </c>
      <c r="D13" s="0" t="n">
        <f aca="false">D11+D12</f>
        <v>1102.406614848</v>
      </c>
      <c r="E13" s="0" t="n">
        <f aca="false">E11+E12</f>
        <v>1218.7543584321</v>
      </c>
      <c r="F13" s="0" t="n">
        <f aca="false">F11+F12</f>
        <v>1340.09111831578</v>
      </c>
      <c r="G13" s="0" t="n">
        <f aca="false">G11+G12</f>
        <v>1451.04489907956</v>
      </c>
      <c r="H13" s="0" t="n">
        <f aca="false">H11+H12</f>
        <v>1547.6539410446</v>
      </c>
      <c r="I13" s="0" t="n">
        <f aca="false">I11+I12</f>
        <v>1617.2983683916</v>
      </c>
      <c r="J13" s="0" t="n">
        <f aca="false">J11+J12</f>
        <v>1681.99030312727</v>
      </c>
      <c r="K13" s="0" t="n">
        <f aca="false">K11+K12</f>
        <v>1740.85996373672</v>
      </c>
      <c r="L13" s="0" t="n">
        <f aca="false">L11+L12</f>
        <v>1793.08576264882</v>
      </c>
    </row>
    <row r="14" customFormat="false" ht="15" hidden="false" customHeight="false" outlineLevel="0" collapsed="false">
      <c r="A14" s="0" t="s">
        <v>105</v>
      </c>
      <c r="C14" s="4" t="n">
        <f aca="false">Assumptions!C47</f>
        <v>17.5</v>
      </c>
      <c r="D14" s="4" t="n">
        <f aca="false">Assumptions!D47</f>
        <v>17.5</v>
      </c>
      <c r="E14" s="4" t="n">
        <f aca="false">Assumptions!E47</f>
        <v>18</v>
      </c>
      <c r="F14" s="4" t="n">
        <f aca="false">Assumptions!F47</f>
        <v>18.5</v>
      </c>
      <c r="G14" s="4" t="n">
        <f aca="false">Assumptions!G47</f>
        <v>19</v>
      </c>
      <c r="H14" s="4" t="n">
        <f aca="false">Assumptions!H47</f>
        <v>20</v>
      </c>
      <c r="I14" s="4" t="n">
        <f aca="false">Assumptions!I47</f>
        <v>20</v>
      </c>
      <c r="J14" s="4" t="n">
        <f aca="false">Assumptions!J47</f>
        <v>20</v>
      </c>
      <c r="K14" s="4" t="n">
        <f aca="false">Assumptions!K47</f>
        <v>20</v>
      </c>
      <c r="L14" s="4" t="n">
        <f aca="false">Assumptions!L47</f>
        <v>20</v>
      </c>
    </row>
    <row r="15" customFormat="false" ht="15" hidden="false" customHeight="false" outlineLevel="0" collapsed="false">
      <c r="A15" s="0" t="s">
        <v>120</v>
      </c>
      <c r="C15" s="0" t="n">
        <f aca="false">C13-MAX(0,C13)*C14/100</f>
        <v>813.407658525</v>
      </c>
      <c r="D15" s="0" t="n">
        <f aca="false">D13-MAX(0,D13)*D14/100</f>
        <v>909.4854572496</v>
      </c>
      <c r="E15" s="0" t="n">
        <f aca="false">E13-MAX(0,E13)*E14/100</f>
        <v>999.378573914322</v>
      </c>
      <c r="F15" s="0" t="n">
        <f aca="false">F13-MAX(0,F13)*F14/100</f>
        <v>1092.17426142736</v>
      </c>
      <c r="G15" s="0" t="n">
        <f aca="false">G13-MAX(0,G13)*G14/100</f>
        <v>1175.34636825445</v>
      </c>
      <c r="H15" s="0" t="n">
        <f aca="false">H13-MAX(0,H13)*H14/100</f>
        <v>1238.12315283568</v>
      </c>
      <c r="I15" s="0" t="n">
        <f aca="false">I13-MAX(0,I13)*I14/100</f>
        <v>1293.83869471328</v>
      </c>
      <c r="J15" s="0" t="n">
        <f aca="false">J13-MAX(0,J13)*J14/100</f>
        <v>1345.59224250181</v>
      </c>
      <c r="K15" s="0" t="n">
        <f aca="false">K13-MAX(0,K13)*K14/100</f>
        <v>1392.68797098938</v>
      </c>
      <c r="L15" s="0" t="n">
        <f aca="false">L13-MAX(0,L13)*L14/100</f>
        <v>1434.46861011906</v>
      </c>
    </row>
    <row r="16" customFormat="false" ht="15" hidden="false" customHeight="false" outlineLevel="0" collapsed="false">
      <c r="A16" s="0" t="s">
        <v>121</v>
      </c>
      <c r="C16" s="0" t="n">
        <f aca="false">-C12</f>
        <v>63.7966791</v>
      </c>
      <c r="D16" s="0" t="n">
        <f aca="false">-D12</f>
        <v>68.900413428</v>
      </c>
      <c r="E16" s="0" t="n">
        <f aca="false">-E12</f>
        <v>74.0679444351</v>
      </c>
      <c r="F16" s="0" t="n">
        <f aca="false">-F12</f>
        <v>79.252700545557</v>
      </c>
      <c r="G16" s="0" t="n">
        <f aca="false">-G12</f>
        <v>84.0078625782904</v>
      </c>
      <c r="H16" s="0" t="n">
        <f aca="false">-H12</f>
        <v>88.208255707205</v>
      </c>
      <c r="I16" s="0" t="n">
        <f aca="false">-I12</f>
        <v>92.1776272140292</v>
      </c>
      <c r="J16" s="0" t="n">
        <f aca="false">-J12</f>
        <v>95.8647323025903</v>
      </c>
      <c r="K16" s="0" t="n">
        <f aca="false">-K12</f>
        <v>99.219997933181</v>
      </c>
      <c r="L16" s="0" t="n">
        <f aca="false">-L12</f>
        <v>102.196597871176</v>
      </c>
    </row>
    <row r="17" customFormat="false" ht="15" hidden="false" customHeight="false" outlineLevel="0" collapsed="false">
      <c r="A17" s="0" t="s">
        <v>122</v>
      </c>
      <c r="C17" s="4" t="n">
        <f aca="false">-C6*Assumptions!C46/100</f>
        <v>-86.9954715</v>
      </c>
      <c r="D17" s="4" t="n">
        <f aca="false">-D6*Assumptions!D46/100</f>
        <v>-93.95510922</v>
      </c>
      <c r="E17" s="4" t="n">
        <f aca="false">-E6*Assumptions!E46/100</f>
        <v>-101.0017424115</v>
      </c>
      <c r="F17" s="4" t="n">
        <f aca="false">-F6*Assumptions!F46/100</f>
        <v>-108.071864380305</v>
      </c>
      <c r="G17" s="4" t="n">
        <f aca="false">-G6*Assumptions!G46/100</f>
        <v>-114.556176243123</v>
      </c>
      <c r="H17" s="4" t="n">
        <f aca="false">-H6*Assumptions!H46/100</f>
        <v>-120.283985055279</v>
      </c>
      <c r="I17" s="4" t="n">
        <f aca="false">-I6*Assumptions!I46/100</f>
        <v>-125.696764382767</v>
      </c>
      <c r="J17" s="4" t="n">
        <f aca="false">-J6*Assumptions!J46/100</f>
        <v>-130.724634958078</v>
      </c>
      <c r="K17" s="4" t="n">
        <f aca="false">-K6*Assumptions!K46/100</f>
        <v>-135.29999718161</v>
      </c>
      <c r="L17" s="4" t="n">
        <f aca="false">-L6*Assumptions!L46/100</f>
        <v>-139.358997097059</v>
      </c>
    </row>
    <row r="18" customFormat="false" ht="15" hidden="false" customHeight="false" outlineLevel="0" collapsed="false">
      <c r="A18" s="0" t="s">
        <v>123</v>
      </c>
      <c r="C18" s="4" t="n">
        <f aca="false">(C6-B6)*Assumptions!$B$51/100</f>
        <v>-40.4630099999999</v>
      </c>
      <c r="D18" s="4" t="n">
        <f aca="false">(D6-C6)*Assumptions!$B$51/100</f>
        <v>-46.3975848</v>
      </c>
      <c r="E18" s="4" t="n">
        <f aca="false">(E6-D6)*Assumptions!$B$51/100</f>
        <v>-46.97755461</v>
      </c>
      <c r="F18" s="4" t="n">
        <f aca="false">(F6-E6)*Assumptions!$B$51/100</f>
        <v>-47.1341464587001</v>
      </c>
      <c r="G18" s="4" t="n">
        <f aca="false">(G6-F6)*Assumptions!$B$51/100</f>
        <v>-43.228745752122</v>
      </c>
      <c r="H18" s="4" t="n">
        <f aca="false">(H6-G6)*Assumptions!$B$51/100</f>
        <v>-38.1853920810411</v>
      </c>
      <c r="I18" s="4" t="n">
        <f aca="false">(I6-H6)*Assumptions!$B$51/100</f>
        <v>-36.0851955165838</v>
      </c>
      <c r="J18" s="4" t="n">
        <f aca="false">(J6-I6)*Assumptions!$B$51/100</f>
        <v>-33.5191371687379</v>
      </c>
      <c r="K18" s="4" t="n">
        <f aca="false">(K6-J6)*Assumptions!$B$51/100</f>
        <v>-30.5024148235514</v>
      </c>
      <c r="L18" s="4" t="n">
        <f aca="false">(L6-K6)*Assumptions!$B$51/100</f>
        <v>-27.0599994363221</v>
      </c>
    </row>
    <row r="19" customFormat="false" ht="15" hidden="false" customHeight="false" outlineLevel="0" collapsed="false">
      <c r="A19" s="0" t="s">
        <v>124</v>
      </c>
      <c r="C19" s="0" t="n">
        <f aca="false">C15+C16+C17+C18</f>
        <v>749.745856125</v>
      </c>
      <c r="D19" s="0" t="n">
        <f aca="false">D15+D16+D17+D18</f>
        <v>838.0331766576</v>
      </c>
      <c r="E19" s="0" t="n">
        <f aca="false">E15+E16+E17+E18</f>
        <v>925.467221327922</v>
      </c>
      <c r="F19" s="0" t="n">
        <f aca="false">F15+F16+F17+F18</f>
        <v>1016.22095113391</v>
      </c>
      <c r="G19" s="0" t="n">
        <f aca="false">G15+G16+G17+G18</f>
        <v>1101.56930883749</v>
      </c>
      <c r="H19" s="0" t="n">
        <f aca="false">H15+H16+H17+H18</f>
        <v>1167.86203140656</v>
      </c>
      <c r="I19" s="0" t="n">
        <f aca="false">I15+I16+I17+I18</f>
        <v>1224.23436202796</v>
      </c>
      <c r="J19" s="0" t="n">
        <f aca="false">J15+J16+J17+J18</f>
        <v>1277.21320267759</v>
      </c>
      <c r="K19" s="0" t="n">
        <f aca="false">K15+K16+K17+K18</f>
        <v>1326.1055569174</v>
      </c>
      <c r="L19" s="0" t="n">
        <f aca="false">L15+L16+L17+L18</f>
        <v>1370.24621145685</v>
      </c>
    </row>
    <row r="20" customFormat="false" ht="15" hidden="false" customHeight="false" outlineLevel="0" collapsed="false">
      <c r="A20" s="0" t="s">
        <v>125</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126</v>
      </c>
      <c r="C21" s="0" t="n">
        <f aca="false">C19*C20</f>
        <v>681.587141931818</v>
      </c>
      <c r="D21" s="0" t="n">
        <f aca="false">D19*D20</f>
        <v>692.589402196363</v>
      </c>
      <c r="E21" s="0" t="n">
        <f aca="false">E19*E20</f>
        <v>695.317221132924</v>
      </c>
      <c r="F21" s="0" t="n">
        <f aca="false">F19*F20</f>
        <v>694.092583248353</v>
      </c>
      <c r="G21" s="0" t="n">
        <f aca="false">G19*G20</f>
        <v>683.987872684733</v>
      </c>
      <c r="H21" s="0" t="n">
        <f aca="false">H19*H20</f>
        <v>659.227670628649</v>
      </c>
      <c r="I21" s="0" t="n">
        <f aca="false">I19*I20</f>
        <v>628.225801491638</v>
      </c>
      <c r="J21" s="0" t="n">
        <f aca="false">J19*J20</f>
        <v>595.829385150404</v>
      </c>
      <c r="K21" s="0" t="n">
        <f aca="false">K19*K20</f>
        <v>562.398208399185</v>
      </c>
      <c r="L21" s="0" t="n">
        <f aca="false">L19*L20</f>
        <v>528.289231693429</v>
      </c>
    </row>
    <row r="23" customFormat="false" ht="15" hidden="false" customHeight="false" outlineLevel="0" collapsed="false">
      <c r="A23" s="0" t="s">
        <v>102</v>
      </c>
      <c r="C23" s="4" t="n">
        <f aca="false">Assumptions!C44</f>
        <v>0.9</v>
      </c>
      <c r="D23" s="4" t="n">
        <f aca="false">Assumptions!D44</f>
        <v>0.9</v>
      </c>
      <c r="E23" s="4" t="n">
        <f aca="false">Assumptions!E44</f>
        <v>0.9</v>
      </c>
      <c r="F23" s="4" t="n">
        <f aca="false">Assumptions!F44</f>
        <v>0.9</v>
      </c>
      <c r="G23" s="4" t="n">
        <f aca="false">Assumptions!G44</f>
        <v>0.9</v>
      </c>
      <c r="H23" s="4" t="n">
        <f aca="false">Assumptions!H44</f>
        <v>0.9</v>
      </c>
      <c r="I23" s="4" t="n">
        <f aca="false">Assumptions!I44</f>
        <v>0.9</v>
      </c>
      <c r="J23" s="4" t="n">
        <f aca="false">Assumptions!J44</f>
        <v>0.9</v>
      </c>
      <c r="K23" s="4" t="n">
        <f aca="false">Assumptions!K44</f>
        <v>0.9</v>
      </c>
      <c r="L23" s="4" t="n">
        <f aca="false">Assumptions!L44</f>
        <v>0.9</v>
      </c>
    </row>
    <row r="24" customFormat="false" ht="15" hidden="false" customHeight="false" outlineLevel="0" collapsed="false">
      <c r="A24" s="0" t="s">
        <v>127</v>
      </c>
      <c r="C24" s="0" t="n">
        <f aca="false">-C6*C23/100</f>
        <v>-52.1972829</v>
      </c>
      <c r="D24" s="0" t="n">
        <f aca="false">-D6*D23/100</f>
        <v>-56.373065532</v>
      </c>
      <c r="E24" s="0" t="n">
        <f aca="false">-E6*E23/100</f>
        <v>-60.6010454469</v>
      </c>
      <c r="F24" s="0" t="n">
        <f aca="false">-F6*F23/100</f>
        <v>-64.843118628183</v>
      </c>
      <c r="G24" s="0" t="n">
        <f aca="false">-G6*G23/100</f>
        <v>-68.733705745874</v>
      </c>
      <c r="H24" s="0" t="n">
        <f aca="false">-H6*H23/100</f>
        <v>-72.1703910331677</v>
      </c>
      <c r="I24" s="0" t="n">
        <f aca="false">-I6*I23/100</f>
        <v>-75.4180586296602</v>
      </c>
      <c r="J24" s="0" t="n">
        <f aca="false">-J6*J23/100</f>
        <v>-78.4347809748466</v>
      </c>
      <c r="K24" s="0" t="n">
        <f aca="false">-K6*K23/100</f>
        <v>-81.1799983089663</v>
      </c>
      <c r="L24" s="0" t="n">
        <f aca="false">-L6*L23/100</f>
        <v>-83.6153982582353</v>
      </c>
    </row>
    <row r="26" customFormat="false" ht="15" hidden="false" customHeight="false" outlineLevel="0" collapsed="false">
      <c r="A26" s="2" t="s">
        <v>128</v>
      </c>
    </row>
    <row r="27" customFormat="false" ht="15" hidden="false" customHeight="false" outlineLevel="0" collapsed="false">
      <c r="A27" s="0" t="s">
        <v>106</v>
      </c>
      <c r="B27" s="4" t="n">
        <f aca="false">Assumptions!$B$48</f>
        <v>10</v>
      </c>
    </row>
    <row r="28" customFormat="false" ht="15" hidden="false" customHeight="false" outlineLevel="0" collapsed="false">
      <c r="A28" s="0" t="s">
        <v>107</v>
      </c>
      <c r="B28" s="4" t="n">
        <f aca="false">Assumptions!$B$49</f>
        <v>3</v>
      </c>
    </row>
    <row r="29" customFormat="false" ht="15" hidden="false" customHeight="false" outlineLevel="0" collapsed="false">
      <c r="A29" s="0" t="s">
        <v>108</v>
      </c>
      <c r="B29" s="4" t="n">
        <f aca="false">Assumptions!$B$50</f>
        <v>18</v>
      </c>
    </row>
    <row r="30" customFormat="false" ht="15" hidden="false" customHeight="false" outlineLevel="0" collapsed="false">
      <c r="A30" s="0" t="s">
        <v>129</v>
      </c>
      <c r="B30" s="0" t="n">
        <f aca="false">SUM(C21:L21)</f>
        <v>6421.5445185575</v>
      </c>
    </row>
    <row r="31" customFormat="false" ht="15" hidden="false" customHeight="false" outlineLevel="0" collapsed="false">
      <c r="A31" s="0" t="s">
        <v>130</v>
      </c>
      <c r="B31" s="0" t="n">
        <f aca="false">L19</f>
        <v>1370.24621145685</v>
      </c>
    </row>
    <row r="32" customFormat="false" ht="15" hidden="false" customHeight="false" outlineLevel="0" collapsed="false">
      <c r="A32" s="0" t="s">
        <v>131</v>
      </c>
      <c r="B32" s="0" t="n">
        <f aca="false">IF(B27&gt;B28,B31*(1+B28/100)/((B27-B28)/100),B31*B29)</f>
        <v>20162.1942542937</v>
      </c>
    </row>
    <row r="33" customFormat="false" ht="15" hidden="false" customHeight="false" outlineLevel="0" collapsed="false">
      <c r="A33" s="0" t="s">
        <v>132</v>
      </c>
      <c r="B33" s="0" t="n">
        <f aca="false">B31*B29</f>
        <v>24664.4318062234</v>
      </c>
    </row>
    <row r="34" customFormat="false" ht="15" hidden="false" customHeight="false" outlineLevel="0" collapsed="false">
      <c r="A34" s="0" t="s">
        <v>133</v>
      </c>
      <c r="B34" s="0" t="n">
        <f aca="false">MAX(0,MIN(B32,B33))</f>
        <v>20162.1942542937</v>
      </c>
    </row>
    <row r="35" customFormat="false" ht="15" hidden="false" customHeight="false" outlineLevel="0" collapsed="false">
      <c r="A35" s="0" t="s">
        <v>134</v>
      </c>
      <c r="B35" s="0" t="n">
        <f aca="false">B34/(1+B27/100)^L4</f>
        <v>7773.39869491759</v>
      </c>
    </row>
    <row r="36" customFormat="false" ht="15" hidden="false" customHeight="false" outlineLevel="0" collapsed="false">
      <c r="A36" s="0" t="s">
        <v>135</v>
      </c>
      <c r="B36" s="0" t="n">
        <f aca="false">B30+B35</f>
        <v>14194.9432134751</v>
      </c>
    </row>
    <row r="37" customFormat="false" ht="15" hidden="false" customHeight="false" outlineLevel="0" collapsed="false">
      <c r="A37" s="0" t="s">
        <v>136</v>
      </c>
      <c r="B37" s="0" t="n">
        <f aca="false">B36+Assumptions!$B$5-Assumptions!$B$4</f>
        <v>17632.2852134751</v>
      </c>
    </row>
    <row r="38" customFormat="false" ht="15" hidden="false" customHeight="false" outlineLevel="0" collapsed="false">
      <c r="A38" s="0" t="s">
        <v>137</v>
      </c>
      <c r="B38" s="0" t="n">
        <f aca="false">B37/Assumptions!$B$3*Assumptions!$B$10</f>
        <v>13.9852619480224</v>
      </c>
    </row>
    <row r="39" customFormat="false" ht="15" hidden="false" customHeight="false" outlineLevel="0" collapsed="false">
      <c r="A39" s="0" t="s">
        <v>138</v>
      </c>
      <c r="B39" s="4" t="n">
        <f aca="false">B38/Assumptions!$B$2-1</f>
        <v>2.46598809120754</v>
      </c>
    </row>
    <row r="41" customFormat="false" ht="15" hidden="false" customHeight="false" outlineLevel="0" collapsed="false">
      <c r="A41" s="0" t="s">
        <v>139</v>
      </c>
      <c r="B41" s="0" t="n">
        <f aca="false">SUMPRODUCT(-C10:L10/(1+$B$27/100)^C4:L4)</f>
        <v>90.9409980593489</v>
      </c>
    </row>
    <row r="42" customFormat="false" ht="15" hidden="false" customHeight="false" outlineLevel="0" collapsed="false">
      <c r="A42" s="0" t="s">
        <v>140</v>
      </c>
      <c r="B42" s="0" t="n">
        <f aca="false">IF(B27&gt;B28,-L10*(1+B28/100)/((B27-B28)/100),-L10*20)/(1+B27/100)^L4</f>
        <v>105.411036070424</v>
      </c>
    </row>
    <row r="43" customFormat="false" ht="15" hidden="false" customHeight="false" outlineLevel="0" collapsed="false">
      <c r="A43" s="0" t="s">
        <v>141</v>
      </c>
      <c r="B43" s="0" t="n">
        <f aca="false">(B37+B41+B42)/Assumptions!$B$3*Assumptions!$B$10</f>
        <v>14.1410009573502</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11761.2799816713</v>
      </c>
    </row>
    <row r="47" customFormat="false" ht="15" hidden="false" customHeight="false" outlineLevel="0" collapsed="false">
      <c r="A47" s="0" t="s">
        <v>143</v>
      </c>
      <c r="B47" s="0" t="n">
        <f aca="false">(SUMPRODUCT(C19:L19/(1+B45/100)^C4:L4)+B46/(1+B45/100)^L4+Assumptions!$B$5-Assumptions!$B$4)/Assumptions!$B$3*Assumptions!$B$10</f>
        <v>9.09416929390119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7.18140943453757</v>
      </c>
      <c r="C4" s="0" t="n">
        <f aca="false">B4/Assumptions!$B$2-1</f>
        <v>0.77977928984822</v>
      </c>
      <c r="D4" s="4" t="n">
        <f aca="false">Assumptions!$B$24</f>
        <v>0.3</v>
      </c>
      <c r="E4" s="4" t="n">
        <f aca="false">DCF_Bear!$B$43</f>
        <v>7.2733552393527</v>
      </c>
      <c r="F4" s="4" t="n">
        <f aca="false">DCF_Bear!$B$47</f>
        <v>5.66879672221828</v>
      </c>
    </row>
    <row r="5" customFormat="false" ht="15" hidden="false" customHeight="false" outlineLevel="0" collapsed="false">
      <c r="A5" s="0" t="s">
        <v>152</v>
      </c>
      <c r="B5" s="4" t="n">
        <f aca="false">DCF_Base!$B$38</f>
        <v>11.1839726633223</v>
      </c>
      <c r="C5" s="0" t="n">
        <f aca="false">B5/Assumptions!$B$2-1</f>
        <v>1.77174043700677</v>
      </c>
      <c r="D5" s="4" t="n">
        <f aca="false">Assumptions!$B$38</f>
        <v>0.5</v>
      </c>
      <c r="E5" s="4" t="n">
        <f aca="false">DCF_Base!$B$43</f>
        <v>11.3160416016101</v>
      </c>
      <c r="F5" s="4" t="n">
        <f aca="false">DCF_Base!$B$47</f>
        <v>7.72545032596162</v>
      </c>
    </row>
    <row r="6" customFormat="false" ht="15" hidden="false" customHeight="false" outlineLevel="0" collapsed="false">
      <c r="A6" s="0" t="s">
        <v>153</v>
      </c>
      <c r="B6" s="4" t="n">
        <f aca="false">DCF_Bull!$B$38</f>
        <v>13.9852619480224</v>
      </c>
      <c r="C6" s="0" t="n">
        <f aca="false">B6/Assumptions!$B$2-1</f>
        <v>2.46598809120754</v>
      </c>
      <c r="D6" s="4" t="n">
        <f aca="false">Assumptions!$B$52</f>
        <v>0.2</v>
      </c>
      <c r="E6" s="4" t="n">
        <f aca="false">DCF_Bull!$B$43</f>
        <v>14.1410009573502</v>
      </c>
      <c r="F6" s="4" t="n">
        <f aca="false">DCF_Bull!$B$47</f>
        <v>9.09416929390119</v>
      </c>
    </row>
    <row r="8" customFormat="false" ht="15" hidden="false" customHeight="false" outlineLevel="0" collapsed="false">
      <c r="A8" s="0" t="s">
        <v>154</v>
      </c>
      <c r="B8" s="0" t="n">
        <f aca="false">SUMPRODUCT(B4:B6,D4:D6)</f>
        <v>10.5434615516269</v>
      </c>
    </row>
    <row r="9" customFormat="false" ht="15" hidden="false" customHeight="false" outlineLevel="0" collapsed="false">
      <c r="A9" s="0" t="s">
        <v>155</v>
      </c>
      <c r="B9" s="0" t="n">
        <f aca="false">SUMPRODUCT(E4:E6,D4:D6)</f>
        <v>10.6682275640809</v>
      </c>
    </row>
    <row r="10" customFormat="false" ht="15" hidden="false" customHeight="false" outlineLevel="0" collapsed="false">
      <c r="A10" s="0" t="s">
        <v>156</v>
      </c>
      <c r="B10" s="0" t="n">
        <f aca="false">1-Assumptions!$B$2/B8</f>
        <v>0.617298362568849</v>
      </c>
    </row>
    <row r="11" customFormat="false" ht="15" hidden="false" customHeight="false" outlineLevel="0" collapsed="false">
      <c r="A11" s="0" t="s">
        <v>157</v>
      </c>
      <c r="B11" s="0" t="n">
        <f aca="false">IF(ABS(B9-B8)&gt;0.01*ABS(B8),(Assumptions!$B$2-B8)/(B9-B8)*100,"n/a")</f>
        <v>-5216.5340733541</v>
      </c>
    </row>
    <row r="12" customFormat="false" ht="15" hidden="false" customHeight="false" outlineLevel="0" collapsed="false">
      <c r="A12" s="0" t="s">
        <v>158</v>
      </c>
      <c r="B12" s="0" t="n">
        <f aca="false">SUMPRODUCT(F4:F6,D4:D6)</f>
        <v>7.38219803842653</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12.2531838919145</v>
      </c>
      <c r="C15" s="3" t="n">
        <v>9</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11.1839726633223</v>
      </c>
      <c r="C16" s="3" t="n">
        <v>10</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10.1647387341422</v>
      </c>
      <c r="C17" s="3" t="n">
        <v>11</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9.36104021678897</v>
      </c>
      <c r="C18" s="3" t="n">
        <v>12</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7.72545032596162</v>
      </c>
      <c r="C19" s="3" t="n">
        <v>15</v>
      </c>
    </row>
    <row r="21" customFormat="false" ht="15" hidden="false" customHeight="false" outlineLevel="0" collapsed="false">
      <c r="A21" s="2" t="s">
        <v>166</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12.9654116071534</v>
      </c>
      <c r="C23" s="0" t="n">
        <f aca="false">(SUMPRODUCT(DCF_Base!$C$19:$L$19/(1+$A$23/100)^DCF_Base!$C$4:$L$4)+MAX(0,MIN(IF($A$23&gt;$C$22,DCF_Base!$L$19*(1+$C$22/100)/(($A$23-$C$22)/100),DCF_Base!$L$19*DCF_Base!$B$29),DCF_Base!$L$19*DCF_Base!$B$29))/(1+$A$23/100)^DCF_Base!$L$4+Assumptions!$B$5-Assumptions!$B$4)/Assumptions!$B$3*Assumptions!$B$10</f>
        <v>12.9654116071534</v>
      </c>
      <c r="D23" s="0" t="n">
        <f aca="false">(SUMPRODUCT(DCF_Base!$C$19:$L$19/(1+$A$23/100)^DCF_Base!$C$4:$L$4)+MAX(0,MIN(IF($A$23&gt;$D$22,DCF_Base!$L$19*(1+$D$22/100)/(($A$23-$D$22)/100),DCF_Base!$L$19*DCF_Base!$B$29),DCF_Base!$L$19*DCF_Base!$B$29))/(1+$A$23/100)^DCF_Base!$L$4+Assumptions!$B$5-Assumptions!$B$4)/Assumptions!$B$3*Assumptions!$B$10</f>
        <v>12.9654116071534</v>
      </c>
      <c r="E23" s="0" t="n">
        <f aca="false">(SUMPRODUCT(DCF_Base!$C$19:$L$19/(1+$A$23/100)^DCF_Base!$C$4:$L$4)+MAX(0,MIN(IF($A$23&gt;$E$22,DCF_Base!$L$19*(1+$E$22/100)/(($A$23-$E$22)/100),DCF_Base!$L$19*DCF_Base!$B$29),DCF_Base!$L$19*DCF_Base!$B$29))/(1+$A$23/100)^DCF_Base!$L$4+Assumptions!$B$5-Assumptions!$B$4)/Assumptions!$B$3*Assumptions!$B$10</f>
        <v>12.9654116071534</v>
      </c>
      <c r="F23" s="0" t="n">
        <f aca="false">(SUMPRODUCT(DCF_Base!$C$19:$L$19/(1+$A$23/100)^DCF_Base!$C$4:$L$4)+MAX(0,MIN(IF($A$23&gt;$F$22,DCF_Base!$L$19*(1+$F$22/100)/(($A$23-$F$22)/100),DCF_Base!$L$19*DCF_Base!$B$29),DCF_Base!$L$19*DCF_Base!$B$29))/(1+$A$23/100)^DCF_Base!$L$4+Assumptions!$B$5-Assumptions!$B$4)/Assumptions!$B$3*Assumptions!$B$10</f>
        <v>12.9654116071534</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11.7476753129542</v>
      </c>
      <c r="C24" s="0" t="n">
        <f aca="false">(SUMPRODUCT(DCF_Base!$C$19:$L$19/(1+$A$24/100)^DCF_Base!$C$4:$L$4)+MAX(0,MIN(IF($A$24&gt;$C$22,DCF_Base!$L$19*(1+$C$22/100)/(($A$24-$C$22)/100),DCF_Base!$L$19*DCF_Base!$B$29),DCF_Base!$L$19*DCF_Base!$B$29))/(1+$A$24/100)^DCF_Base!$L$4+Assumptions!$B$5-Assumptions!$B$4)/Assumptions!$B$3*Assumptions!$B$10</f>
        <v>12.1054703461144</v>
      </c>
      <c r="D24" s="0" t="n">
        <f aca="false">(SUMPRODUCT(DCF_Base!$C$19:$L$19/(1+$A$24/100)^DCF_Base!$C$4:$L$4)+MAX(0,MIN(IF($A$24&gt;$D$22,DCF_Base!$L$19*(1+$D$22/100)/(($A$24-$D$22)/100),DCF_Base!$L$19*DCF_Base!$B$29),DCF_Base!$L$19*DCF_Base!$B$29))/(1+$A$24/100)^DCF_Base!$L$4+Assumptions!$B$5-Assumptions!$B$4)/Assumptions!$B$3*Assumptions!$B$10</f>
        <v>12.2531838919145</v>
      </c>
      <c r="E24" s="0" t="n">
        <f aca="false">(SUMPRODUCT(DCF_Base!$C$19:$L$19/(1+$A$24/100)^DCF_Base!$C$4:$L$4)+MAX(0,MIN(IF($A$24&gt;$E$22,DCF_Base!$L$19*(1+$E$22/100)/(($A$24-$E$22)/100),DCF_Base!$L$19*DCF_Base!$B$29),DCF_Base!$L$19*DCF_Base!$B$29))/(1+$A$24/100)^DCF_Base!$L$4+Assumptions!$B$5-Assumptions!$B$4)/Assumptions!$B$3*Assumptions!$B$10</f>
        <v>12.2531838919145</v>
      </c>
      <c r="F24" s="0" t="n">
        <f aca="false">(SUMPRODUCT(DCF_Base!$C$19:$L$19/(1+$A$24/100)^DCF_Base!$C$4:$L$4)+MAX(0,MIN(IF($A$24&gt;$F$22,DCF_Base!$L$19*(1+$F$22/100)/(($A$24-$F$22)/100),DCF_Base!$L$19*DCF_Base!$B$29),DCF_Base!$L$19*DCF_Base!$B$29))/(1+$A$24/100)^DCF_Base!$L$4+Assumptions!$B$5-Assumptions!$B$4)/Assumptions!$B$3*Assumptions!$B$10</f>
        <v>12.2531838919145</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10.6411627975941</v>
      </c>
      <c r="C25" s="0" t="n">
        <f aca="false">(SUMPRODUCT(DCF_Base!$C$19:$L$19/(1+$A$25/100)^DCF_Base!$C$4:$L$4)+MAX(0,MIN(IF($A$25&gt;$C$22,DCF_Base!$L$19*(1+$C$22/100)/(($A$25-$C$22)/100),DCF_Base!$L$19*DCF_Base!$B$29),DCF_Base!$L$19*DCF_Base!$B$29))/(1+$A$25/100)^DCF_Base!$L$4+Assumptions!$B$5-Assumptions!$B$4)/Assumptions!$B$3*Assumptions!$B$10</f>
        <v>10.8956049221542</v>
      </c>
      <c r="D25" s="0" t="n">
        <f aca="false">(SUMPRODUCT(DCF_Base!$C$19:$L$19/(1+$A$25/100)^DCF_Base!$C$4:$L$4)+MAX(0,MIN(IF($A$25&gt;$D$22,DCF_Base!$L$19*(1+$D$22/100)/(($A$25-$D$22)/100),DCF_Base!$L$19*DCF_Base!$B$29),DCF_Base!$L$19*DCF_Base!$B$29))/(1+$A$25/100)^DCF_Base!$L$4+Assumptions!$B$5-Assumptions!$B$4)/Assumptions!$B$3*Assumptions!$B$10</f>
        <v>11.1839726633223</v>
      </c>
      <c r="E25" s="0" t="n">
        <f aca="false">(SUMPRODUCT(DCF_Base!$C$19:$L$19/(1+$A$25/100)^DCF_Base!$C$4:$L$4)+MAX(0,MIN(IF($A$25&gt;$E$22,DCF_Base!$L$19*(1+$E$22/100)/(($A$25-$E$22)/100),DCF_Base!$L$19*DCF_Base!$B$29),DCF_Base!$L$19*DCF_Base!$B$29))/(1+$A$25/100)^DCF_Base!$L$4+Assumptions!$B$5-Assumptions!$B$4)/Assumptions!$B$3*Assumptions!$B$10</f>
        <v>11.5135357960859</v>
      </c>
      <c r="F25" s="0" t="n">
        <f aca="false">(SUMPRODUCT(DCF_Base!$C$19:$L$19/(1+$A$25/100)^DCF_Base!$C$4:$L$4)+MAX(0,MIN(IF($A$25&gt;$F$22,DCF_Base!$L$19*(1+$F$22/100)/(($A$25-$F$22)/100),DCF_Base!$L$19*DCF_Base!$B$29),DCF_Base!$L$19*DCF_Base!$B$29))/(1+$A$25/100)^DCF_Base!$L$4+Assumptions!$B$5-Assumptions!$B$4)/Assumptions!$B$3*Assumptions!$B$10</f>
        <v>11.6034166504759</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9.76972449777994</v>
      </c>
      <c r="C26" s="0" t="n">
        <f aca="false">(SUMPRODUCT(DCF_Base!$C$19:$L$19/(1+$A$26/100)^DCF_Base!$C$4:$L$4)+MAX(0,MIN(IF($A$26&gt;$C$22,DCF_Base!$L$19*(1+$C$22/100)/(($A$26-$C$22)/100),DCF_Base!$L$19*DCF_Base!$B$29),DCF_Base!$L$19*DCF_Base!$B$29))/(1+$A$26/100)^DCF_Base!$L$4+Assumptions!$B$5-Assumptions!$B$4)/Assumptions!$B$3*Assumptions!$B$10</f>
        <v>9.95625899828435</v>
      </c>
      <c r="D26" s="0" t="n">
        <f aca="false">(SUMPRODUCT(DCF_Base!$C$19:$L$19/(1+$A$26/100)^DCF_Base!$C$4:$L$4)+MAX(0,MIN(IF($A$26&gt;$D$22,DCF_Base!$L$19*(1+$D$22/100)/(($A$26-$D$22)/100),DCF_Base!$L$19*DCF_Base!$B$29),DCF_Base!$L$19*DCF_Base!$B$29))/(1+$A$26/100)^DCF_Base!$L$4+Assumptions!$B$5-Assumptions!$B$4)/Assumptions!$B$3*Assumptions!$B$10</f>
        <v>10.1647387341422</v>
      </c>
      <c r="E26" s="0" t="n">
        <f aca="false">(SUMPRODUCT(DCF_Base!$C$19:$L$19/(1+$A$26/100)^DCF_Base!$C$4:$L$4)+MAX(0,MIN(IF($A$26&gt;$E$22,DCF_Base!$L$19*(1+$E$22/100)/(($A$26-$E$22)/100),DCF_Base!$L$19*DCF_Base!$B$29),DCF_Base!$L$19*DCF_Base!$B$29))/(1+$A$26/100)^DCF_Base!$L$4+Assumptions!$B$5-Assumptions!$B$4)/Assumptions!$B$3*Assumptions!$B$10</f>
        <v>10.3992784369823</v>
      </c>
      <c r="F26" s="0" t="n">
        <f aca="false">(SUMPRODUCT(DCF_Base!$C$19:$L$19/(1+$A$26/100)^DCF_Base!$C$4:$L$4)+MAX(0,MIN(IF($A$26&gt;$F$22,DCF_Base!$L$19*(1+$F$22/100)/(($A$26-$F$22)/100),DCF_Base!$L$19*DCF_Base!$B$29),DCF_Base!$L$19*DCF_Base!$B$29))/(1+$A$26/100)^DCF_Base!$L$4+Assumptions!$B$5-Assumptions!$B$4)/Assumptions!$B$3*Assumptions!$B$10</f>
        <v>10.6650901002011</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9.06606401471116</v>
      </c>
      <c r="C27" s="0" t="n">
        <f aca="false">(SUMPRODUCT(DCF_Base!$C$19:$L$19/(1+$A$27/100)^DCF_Base!$C$4:$L$4)+MAX(0,MIN(IF($A$27&gt;$C$22,DCF_Base!$L$19*(1+$C$22/100)/(($A$27-$C$22)/100),DCF_Base!$L$19*DCF_Base!$B$29),DCF_Base!$L$19*DCF_Base!$B$29))/(1+$A$27/100)^DCF_Base!$L$4+Assumptions!$B$5-Assumptions!$B$4)/Assumptions!$B$3*Assumptions!$B$10</f>
        <v>9.20617771069812</v>
      </c>
      <c r="D27" s="0" t="n">
        <f aca="false">(SUMPRODUCT(DCF_Base!$C$19:$L$19/(1+$A$27/100)^DCF_Base!$C$4:$L$4)+MAX(0,MIN(IF($A$27&gt;$D$22,DCF_Base!$L$19*(1+$D$22/100)/(($A$27-$D$22)/100),DCF_Base!$L$19*DCF_Base!$B$29),DCF_Base!$L$19*DCF_Base!$B$29))/(1+$A$27/100)^DCF_Base!$L$4+Assumptions!$B$5-Assumptions!$B$4)/Assumptions!$B$3*Assumptions!$B$10</f>
        <v>9.36104021678897</v>
      </c>
      <c r="E27" s="0" t="n">
        <f aca="false">(SUMPRODUCT(DCF_Base!$C$19:$L$19/(1+$A$27/100)^DCF_Base!$C$4:$L$4)+MAX(0,MIN(IF($A$27&gt;$E$22,DCF_Base!$L$19*(1+$E$22/100)/(($A$27-$E$22)/100),DCF_Base!$L$19*DCF_Base!$B$29),DCF_Base!$L$19*DCF_Base!$B$29))/(1+$A$27/100)^DCF_Base!$L$4+Assumptions!$B$5-Assumptions!$B$4)/Assumptions!$B$3*Assumptions!$B$10</f>
        <v>9.53310966800103</v>
      </c>
      <c r="F27" s="0" t="n">
        <f aca="false">(SUMPRODUCT(DCF_Base!$C$19:$L$19/(1+$A$27/100)^DCF_Base!$C$4:$L$4)+MAX(0,MIN(IF($A$27&gt;$F$22,DCF_Base!$L$19*(1+$F$22/100)/(($A$27-$F$22)/100),DCF_Base!$L$19*DCF_Base!$B$29),DCF_Base!$L$19*DCF_Base!$B$29))/(1+$A$27/100)^DCF_Base!$L$4+Assumptions!$B$5-Assumptions!$B$4)/Assumptions!$B$3*Assumptions!$B$10</f>
        <v>9.72542258406156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2026-10-18T06:29:34Z</dcterms:created>
  <dc:creator>openpyxl</dc:creator>
  <dc:description/>
  <dc:language>en-NZ</dc:language>
  <cp:lastModifiedBy/>
  <dcterms:modified xsi:type="dcterms:W3CDTF">2026-10-18T06:29:34Z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