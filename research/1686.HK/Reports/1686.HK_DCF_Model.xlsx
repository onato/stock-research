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<sst xmlns="http://schemas.openxmlformats.org/spreadsheetml/2006/main" count="361" uniqueCount="166">
  <si>
    <t xml:space="preserve">Ticker</t>
  </si>
  <si>
    <t xml:space="preserve">1686.HK</t>
  </si>
  <si>
    <t xml:space="preserve">Company</t>
  </si>
  <si>
    <t xml:space="preserve">SUNeVision Holdings Limited</t>
  </si>
  <si>
    <t xml:space="preserve">Valuation date</t>
  </si>
  <si>
    <t xml:space="preserve">2026-10-17</t>
  </si>
  <si>
    <t xml:space="preserve">Current price</t>
  </si>
  <si>
    <t xml:space="preserve">Price as of</t>
  </si>
  <si>
    <t xml:space="preserve">2026-10-16T08:08:14Z (HKEX regular close, 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</si>
  <si>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</si>
  <si>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</si>
  <si>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</si>
  <si>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</si>
  <si>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</si>
  <si>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HKD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</si>
  <si>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</si>
  <si>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</si>
  <si>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</si>
  <si>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</si>
  <si>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</si>
  <si>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</si>
  <si>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2026-10-16T15:01:34Z</t>
  </si>
  <si>
    <t xml:space="preserve">Drivers file</t>
  </si>
  <si>
    <t xml:space="preserve">1686.HK_Drivers.json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</si>
  <si>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</si>
  <si>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</si>
  <si>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</si>
  <si>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Unlevered owner-FCF DCF on a 10-year explicit horizon because the FY2027-29 capex supercycle makes any shorter horizon capitalise either a negative FCF year or an immature margin. Value is dominated by the terminal (~70% of EV) and by the capacity step-up that the new build enables; the HK$15.6bn net debt is deducted once. Memo NAV cross-check: the independent valuer's HK$51.5bn fair value for the operating data centres implies equity of HK$40.8bn, or ~HK$9.95 per diluted share, against the DCF base; the market price is ~50% of that appraised NAV. The gap between the DCF base and the appraisal is largely the appraiser's lower discount rate on a stabilised asset versus this model's 7.5% WACC on a business still spending ~HK$8bn of growth capex, and is reported, not used.
key_risks_to_valuation: Lease-up timing and pricing of the ~130MW MEGA IDC Phase 2/3 capacity (RFS 2028): a two-year slip or wholesale rents of HK$12m/MW instead of HK$15-20m takes the base toward the bear case; Capex overrun on the integrated build: each HK$1bn of extra capex is ~HK$0.22/share before any revenue offset; Floating-rate HK$16bn debt: not in the unlevered flows, but a HIBOR spike raises the effective cost of capital and the refinancing dependence on SHKP; Terminal value is ~70% of EV; the 18x cap binds in base (Gordon at 7.5%/2.5% would be 20.5x), so the valuation is sensitive to the exit multiple a buyer pays for a Hong Kong-only asset; Cash tax ramp: if capital allowances keep cash tax near 5% indefinitely the base is understated; if they exhaust faster, overstated; Single-market concentration (100% Hong Kong) and geopolitical/cross-border data-flow risk for Chinese and US hyperscaler tenants</t>
  </si>
  <si>
    <t xml:space="preserve">Data sources</t>
  </si>
  <si>
    <t xml:space="preserve">price: Yahoo Finance chart API, HKEX regular close at inputs.price_as_of; 52-week range 4.24-7.90
financials: research/1686.HK/Reports/1686.HK_Metrics.csv (FY2017-FY2026 annuals, H1 FY2024-FY2026 interims; HKD millions) derived from the extracted annual reports; FY2026 balance sheet, notes 13, 22, 23, 25, 26, 27, 29 and 33 of 1686.HK_Annual_FY2025.txt (year ended 30 June 2026 - filenames run one fiscal year behind content)
qualitative: research/1686.HK/Reports/1686.HK_Analysis.json; FY2026 annual report MD&amp;A (MEGA IDC Phase One occupancy, Phase 2/3 integrated build RFS 2028, 150MW-&gt;280MW, adjusted gearing 26%/38%, independent valuation HK$51.5bn)</t>
  </si>
  <si>
    <t xml:space="preserve">Scenario narrative: bear</t>
  </si>
  <si>
    <t xml:space="preserve">A hyperscaler AI-capex pause coincides with the integrated Phase 2/3 build landing in 2028 alongside peer supply; the capex is spent but utilisation lags, Hong Kong keeps losing subsea-cable share to Singapore, rents soften and margins fall to 70%. Revenue only reaches ~HK$4.4bn by FY2031. The unlevered flows survive but a 15x terminal cap on a 45%-geared single-market asset leaves equity worth a fraction of the base case: the leverage is what makes the bear case bite.</t>
  </si>
  <si>
    <t xml:space="preserve">Scenario narrative: base</t>
  </si>
  <si>
    <t xml:space="preserve">SUNeVision's value turns on two axes: whether the ~130MW MEGA IDC Phase 2/3 build (RFS 2028) leases up at hyperscale wholesale rents, and what it costs to get there. Base assumes Phase One goes from ~30% to ~70%+ on the signed commitment, Phase 2/3 reaches ~70% utilisation by FY2031 at ~HK$15-20m/MW-year, revenue reaches ~HK$5.7bn by FY2031 (FY2026: HK$3.1bn), EBITDA margin holds at 73-74%, and ~HK$7.9bn of capex over FY2027-29 pushes owner FCF to around zero for two years before it rebuilds to ~HK$2.5-3bn/yr. The FY2026 HK$477m contract-liability inflow is treated as a one-off. Net debt of HK$15.6bn (including HK$5bn SHKP loans) is deducted once at the end; the hurdle on an asset that is ~70% terminal value is steep.</t>
  </si>
  <si>
    <t xml:space="preserve">Scenario narrative: bull</t>
  </si>
  <si>
    <t xml:space="preserve">Hong Kong's power and land constraints bind harder on peers than on SUNeVision: Phase One fills with the two additional hyperscale floors, Phase 2/3 is pre-committed before RFS and fills to ~90% by FY2031 at scarcity pricing, MEGA-i's ~15,000 cross-connects and densification retrofits lift margins toward 76%, and upfront prepayments recur. Revenue ~HK$6.6bn by FY2031, ~HK$8.3bn by FY2036; terminal cap 20x for infrastructure-grade cash flows.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</si>
  <si>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</si>
  <si>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</si>
  <si>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</si>
  <si>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</si>
  <si>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</si>
  <si>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</si>
  <si>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</si>
  <si>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</si>
  <si>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</si>
  <si>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</si>
  <si>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</si>
  <si>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</si>
  <si>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</si>
  <si>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</si>
  <si>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</si>
  <si>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</si>
  <si>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</si>
  <si>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</si>
  <si>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</si>
  <si>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</si>
  <si>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</si>
  <si>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</si>
  <si>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</si>
  <si>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</si>
  <si>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</si>
  <si>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</si>
  <si>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</si>
  <si>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InterestPaid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</si>
  <si>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</si>
  <si>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</si>
  <si>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</si>
  <si>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</si>
  <si>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</si>
  <si>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</si>
  <si>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</si>
  <si>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</si>
  <si>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</si>
  <si>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</si>
  <si>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</si>
  <si>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</si>
  <si>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</si>
  <si>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</si>
  <si>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</si>
  <si>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</si>
  <si>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</si>
  <si>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</si>
  <si>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</si>
  <si>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</si>
  <si>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HKD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</si>
  <si>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</si>
  <si>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</si>
  <si>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</si>
  <si>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</si>
  <si>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</si>
  <si>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</si>
  <si>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</si>
  <si>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</si>
  <si>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</si>
  <si>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</si>
  <si>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</si>
  <si>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</si>
  <si>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</si>
  <si>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</si>
  <si>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</si>
  <si>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</si>
  <si>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</si>
  <si>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</si>
  <si>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</si>
  <si>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</si>
  <si>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</si>
  <si>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</si>
  <si>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</si>
  <si>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</si>
  <si>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</si>
  <si>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</si>
  <si>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1686.HK owner-FCF component DCF: bear case (millions, HKD)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</si>
  <si>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</si>
  <si>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</si>
  <si>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</si>
  <si>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</si>
  <si>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</si>
  <si>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</si>
  <si>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</si>
  <si>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</si>
  <si>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</si>
  <si>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</si>
  <si>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</si>
  <si>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</si>
  <si>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</si>
  <si>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</si>
  <si>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</si>
  <si>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</si>
  <si>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</si>
  <si>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</si>
  <si>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</si>
  <si>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</si>
  <si>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</si>
  <si>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</si>
  <si>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</si>
  <si>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</si>
  <si>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</si>
  <si>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</si>
  <si>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</si>
  <si>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</si>
  <si>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</si>
  <si>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</si>
  <si>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1686.HK owner-FCF component DCF: base case (millions, HKD)</t>
  </si>
  <si>
    <t xml:space="preserve">1686.HK owner-FCF component DCF: bull case (millions, HKD)</t>
  </si>
  <si>
    <t xml:space="preserve">1686.HK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</si>
  <si>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</si>
  <si>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</si>
  <si>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</si>
  <si>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</si>
  <si>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</si>
  <si>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</si>
  <si>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</si>
  <si>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</si>
  <si>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</si>
  <si>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</si>
  <si>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</si>
  <si>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</si>
  <si>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</si>
  <si>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</si>
  <si>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7.5%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</si>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</sst>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5.06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</row>
    <row r="2" customFormat="false" ht="15" hidden="false" customHeight="false" outlineLevel="0" collapsed="false">
      <c r="A2" s="0" t="s">
        <v>64</v>
      </c>
      <c r="B2" s="0" t="n">
        <v>1141.757</v>
      </c>
      <c r="C2" s="0" t="n">
        <v>437.626</v>
      </c>
      <c r="D2" s="0" t="n">
        <v>704.131</v>
      </c>
      <c r="E2" s="0" t="n">
        <v>61.7</v>
      </c>
      <c r="F2" s="0" t="n">
        <v>663.034</v>
      </c>
      <c r="G2" s="0" t="n">
        <v>58.1</v>
      </c>
      <c r="H2" s="0" t="n">
        <v>763.915</v>
      </c>
      <c r="I2" s="0" t="n">
        <v>629.801</v>
      </c>
      <c r="J2" s="0" t="n">
        <v>55.2</v>
      </c>
      <c r="K2" s="0" t="n">
        <v>0.1556</v>
      </c>
      <c r="L2" s="0" t="n">
        <v>496.392</v>
      </c>
      <c r="M2" s="0" t="n">
        <v>1068.944</v>
      </c>
      <c r="N2" s="0" t="n">
        <v>-572.552</v>
      </c>
      <c r="O2" s="0" t="n">
        <v>3684.384</v>
      </c>
      <c r="P2" s="0" t="n">
        <v>5633.746</v>
      </c>
      <c r="Q2" s="0" t="n">
        <v>1934.8</v>
      </c>
      <c r="R2" s="0" t="n">
        <v>996.458</v>
      </c>
      <c r="S2" s="0" t="n">
        <v>604.303</v>
      </c>
      <c r="T2" s="0" t="n">
        <v>4047.6</v>
      </c>
      <c r="U2" s="0" t="n">
        <v>2.872</v>
      </c>
      <c r="AA2" s="0" t="s">
        <v>17</v>
      </c>
      <c r="AB2" s="0" t="s">
        <v>14</v>
      </c>
      <c r="AC2" s="0" t="n">
        <v>10.024</v>
      </c>
    </row>
    <row r="3" customFormat="false" ht="15" hidden="false" customHeight="false" outlineLevel="0" collapsed="false">
      <c r="A3" s="0" t="s">
        <v>65</v>
      </c>
      <c r="B3" s="0" t="n">
        <v>1364.768</v>
      </c>
      <c r="C3" s="0" t="n">
        <v>565.736</v>
      </c>
      <c r="D3" s="0" t="n">
        <v>799.032</v>
      </c>
      <c r="E3" s="0" t="n">
        <v>58.5</v>
      </c>
      <c r="F3" s="0" t="n">
        <v>738.698</v>
      </c>
      <c r="G3" s="0" t="n">
        <v>54.1</v>
      </c>
      <c r="H3" s="0" t="n">
        <v>899.037</v>
      </c>
      <c r="I3" s="0" t="n">
        <v>776.373</v>
      </c>
      <c r="J3" s="0" t="n">
        <v>56.9</v>
      </c>
      <c r="K3" s="0" t="n">
        <v>0.1916</v>
      </c>
      <c r="L3" s="0" t="n">
        <v>739.538</v>
      </c>
      <c r="M3" s="0" t="n">
        <v>1454.627</v>
      </c>
      <c r="N3" s="0" t="n">
        <v>-715.089</v>
      </c>
      <c r="O3" s="0" t="n">
        <v>3912.827</v>
      </c>
      <c r="P3" s="0" t="n">
        <v>7093.933</v>
      </c>
      <c r="Q3" s="0" t="n">
        <v>3166.198</v>
      </c>
      <c r="R3" s="0" t="n">
        <v>1983.333</v>
      </c>
      <c r="S3" s="0" t="n">
        <v>465.969</v>
      </c>
      <c r="T3" s="0" t="n">
        <v>4052.1</v>
      </c>
      <c r="U3" s="0" t="n">
        <v>1.095</v>
      </c>
      <c r="AA3" s="0" t="s">
        <v>17</v>
      </c>
      <c r="AB3" s="0" t="s">
        <v>14</v>
      </c>
      <c r="AC3" s="0" t="n">
        <v>20.296</v>
      </c>
    </row>
    <row r="4" customFormat="false" ht="15" hidden="false" customHeight="false" outlineLevel="0" collapsed="false">
      <c r="A4" s="0" t="s">
        <v>66</v>
      </c>
      <c r="B4" s="0" t="n">
        <v>1625.096</v>
      </c>
      <c r="C4" s="0" t="n">
        <v>695.916</v>
      </c>
      <c r="D4" s="0" t="n">
        <v>929.18</v>
      </c>
      <c r="E4" s="0" t="n">
        <v>57.2</v>
      </c>
      <c r="F4" s="0" t="n">
        <v>829.148</v>
      </c>
      <c r="G4" s="0" t="n">
        <v>51</v>
      </c>
      <c r="H4" s="0" t="n">
        <v>1070.199</v>
      </c>
      <c r="I4" s="0" t="n">
        <v>865.194</v>
      </c>
      <c r="J4" s="0" t="n">
        <v>53.2</v>
      </c>
      <c r="K4" s="0" t="n">
        <v>0.2136</v>
      </c>
      <c r="L4" s="0" t="n">
        <v>896.943</v>
      </c>
      <c r="M4" s="0" t="n">
        <v>6328.776</v>
      </c>
      <c r="N4" s="0" t="n">
        <v>-5431.833</v>
      </c>
      <c r="O4" s="0" t="n">
        <v>4176.752</v>
      </c>
      <c r="P4" s="0" t="n">
        <v>13636.503</v>
      </c>
      <c r="Q4" s="0" t="n">
        <v>9445.358</v>
      </c>
      <c r="R4" s="0" t="n">
        <v>8052.701</v>
      </c>
      <c r="S4" s="0" t="n">
        <v>467.81</v>
      </c>
      <c r="T4" s="0" t="n">
        <v>4050.5</v>
      </c>
      <c r="U4" s="0" t="n">
        <v>7.19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67</v>
      </c>
      <c r="B5" s="0" t="n">
        <v>1713.844</v>
      </c>
      <c r="C5" s="0" t="n">
        <v>722.007</v>
      </c>
      <c r="D5" s="0" t="n">
        <v>991.837</v>
      </c>
      <c r="E5" s="0" t="n">
        <v>57.9</v>
      </c>
      <c r="F5" s="0" t="n">
        <v>862.801</v>
      </c>
      <c r="G5" s="0" t="n">
        <v>50.3</v>
      </c>
      <c r="H5" s="0" t="n">
        <v>1192.958</v>
      </c>
      <c r="I5" s="0" t="n">
        <v>783.249</v>
      </c>
      <c r="J5" s="0" t="n">
        <v>45.7</v>
      </c>
      <c r="K5" s="0" t="n">
        <v>0.1933</v>
      </c>
      <c r="L5" s="0" t="n">
        <v>1175.592</v>
      </c>
      <c r="M5" s="0" t="n">
        <v>936.818</v>
      </c>
      <c r="N5" s="0" t="n">
        <v>238.774</v>
      </c>
      <c r="O5" s="0" t="n">
        <v>4311.269</v>
      </c>
      <c r="P5" s="0" t="n">
        <v>15181.752</v>
      </c>
      <c r="Q5" s="0" t="n">
        <v>10856.529</v>
      </c>
      <c r="R5" s="0" t="n">
        <v>9116.494</v>
      </c>
      <c r="S5" s="0" t="n">
        <v>401.951</v>
      </c>
      <c r="T5" s="0" t="n">
        <v>4052</v>
      </c>
      <c r="U5" s="0" t="n">
        <v>12.932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68</v>
      </c>
      <c r="B6" s="0" t="n">
        <v>1873.95</v>
      </c>
      <c r="C6" s="0" t="n">
        <v>769.788</v>
      </c>
      <c r="D6" s="0" t="n">
        <v>1104.162</v>
      </c>
      <c r="E6" s="0" t="n">
        <v>58.9</v>
      </c>
      <c r="F6" s="0" t="n">
        <v>961.221</v>
      </c>
      <c r="G6" s="0" t="n">
        <v>51.3</v>
      </c>
      <c r="H6" s="0" t="n">
        <v>1361.126</v>
      </c>
      <c r="I6" s="0" t="n">
        <v>787.727</v>
      </c>
      <c r="J6" s="0" t="n">
        <v>42</v>
      </c>
      <c r="K6" s="0" t="n">
        <v>0.194</v>
      </c>
      <c r="L6" s="0" t="n">
        <v>1266.489</v>
      </c>
      <c r="M6" s="0" t="n">
        <v>1818.771</v>
      </c>
      <c r="N6" s="0" t="n">
        <v>-552.282</v>
      </c>
      <c r="O6" s="0" t="n">
        <v>4435.223</v>
      </c>
      <c r="P6" s="0" t="n">
        <v>16471.609</v>
      </c>
      <c r="Q6" s="0" t="n">
        <v>12021.277</v>
      </c>
      <c r="R6" s="0" t="n">
        <v>10561.69</v>
      </c>
      <c r="S6" s="0" t="n">
        <v>387.316</v>
      </c>
      <c r="T6" s="0" t="n">
        <v>4060.4</v>
      </c>
      <c r="U6" s="0" t="n">
        <v>18.147</v>
      </c>
      <c r="AA6" s="0" t="s">
        <v>17</v>
      </c>
      <c r="AB6" s="0" t="s">
        <v>14</v>
      </c>
      <c r="AC6" s="0" t="n">
        <v>191.5</v>
      </c>
    </row>
    <row r="7" customFormat="false" ht="15" hidden="false" customHeight="false" outlineLevel="0" collapsed="false">
      <c r="A7" s="0" t="s">
        <v>69</v>
      </c>
      <c r="B7" s="0" t="n">
        <v>2085.845</v>
      </c>
      <c r="C7" s="0" t="n">
        <v>884.415</v>
      </c>
      <c r="D7" s="0" t="n">
        <v>1201.43</v>
      </c>
      <c r="E7" s="0" t="n">
        <v>57.6</v>
      </c>
      <c r="F7" s="0" t="n">
        <v>1042.58</v>
      </c>
      <c r="G7" s="0" t="n">
        <v>50</v>
      </c>
      <c r="H7" s="0" t="n">
        <v>1501.447</v>
      </c>
      <c r="I7" s="0" t="n">
        <v>846.831</v>
      </c>
      <c r="J7" s="0" t="n">
        <v>40.6</v>
      </c>
      <c r="K7" s="0" t="n">
        <v>0.2084</v>
      </c>
      <c r="L7" s="0" t="n">
        <v>1329.358</v>
      </c>
      <c r="M7" s="0" t="n">
        <v>1744.605</v>
      </c>
      <c r="N7" s="0" t="n">
        <v>-415.247</v>
      </c>
      <c r="O7" s="0" t="n">
        <v>4576.77</v>
      </c>
      <c r="P7" s="0" t="n">
        <v>18142.782</v>
      </c>
      <c r="Q7" s="0" t="n">
        <v>13551.246</v>
      </c>
      <c r="R7" s="0" t="n">
        <v>11887.137</v>
      </c>
      <c r="S7" s="0" t="n">
        <v>309.669</v>
      </c>
      <c r="T7" s="0" t="n">
        <v>4063.5</v>
      </c>
      <c r="U7" s="0" t="n">
        <v>25.518</v>
      </c>
      <c r="AA7" s="0" t="s">
        <v>17</v>
      </c>
      <c r="AB7" s="0" t="s">
        <v>14</v>
      </c>
      <c r="AC7" s="0" t="n">
        <v>202.364</v>
      </c>
    </row>
    <row r="8" customFormat="false" ht="15" hidden="false" customHeight="false" outlineLevel="0" collapsed="false">
      <c r="A8" s="0" t="s">
        <v>70</v>
      </c>
      <c r="B8" s="0" t="n">
        <v>2345.903</v>
      </c>
      <c r="C8" s="0" t="n">
        <v>1025.103</v>
      </c>
      <c r="D8" s="0" t="n">
        <v>1320.8</v>
      </c>
      <c r="E8" s="0" t="n">
        <v>56.3</v>
      </c>
      <c r="F8" s="0" t="n">
        <v>1192.466</v>
      </c>
      <c r="G8" s="0" t="n">
        <v>50.8</v>
      </c>
      <c r="H8" s="0" t="n">
        <v>1698.016</v>
      </c>
      <c r="I8" s="0" t="n">
        <v>905.365</v>
      </c>
      <c r="J8" s="0" t="n">
        <v>38.6</v>
      </c>
      <c r="K8" s="0" t="n">
        <v>0.223</v>
      </c>
      <c r="L8" s="0" t="n">
        <v>1473.183</v>
      </c>
      <c r="M8" s="0" t="n">
        <v>1945.518</v>
      </c>
      <c r="N8" s="0" t="n">
        <v>-472.335</v>
      </c>
      <c r="O8" s="0" t="n">
        <v>4653.793</v>
      </c>
      <c r="P8" s="0" t="n">
        <v>20777.612</v>
      </c>
      <c r="Q8" s="0" t="n">
        <v>16121.791</v>
      </c>
      <c r="R8" s="0" t="n">
        <v>13535.5</v>
      </c>
      <c r="S8" s="0" t="n">
        <v>237.279</v>
      </c>
      <c r="T8" s="0" t="n">
        <v>4059.9</v>
      </c>
      <c r="U8" s="0" t="n">
        <v>18.233</v>
      </c>
      <c r="AA8" s="0" t="s">
        <v>17</v>
      </c>
      <c r="AB8" s="0" t="s">
        <v>14</v>
      </c>
      <c r="AC8" s="0" t="n">
        <v>368.122</v>
      </c>
    </row>
    <row r="9" customFormat="false" ht="15" hidden="false" customHeight="false" outlineLevel="0" collapsed="false">
      <c r="A9" s="0" t="s">
        <v>71</v>
      </c>
      <c r="B9" s="0" t="n">
        <v>2673.501</v>
      </c>
      <c r="C9" s="0" t="n">
        <v>1259.145</v>
      </c>
      <c r="D9" s="0" t="n">
        <v>1414.356</v>
      </c>
      <c r="E9" s="0" t="n">
        <v>52.9</v>
      </c>
      <c r="F9" s="0" t="n">
        <v>1279.146</v>
      </c>
      <c r="G9" s="0" t="n">
        <v>47.8</v>
      </c>
      <c r="H9" s="0" t="n">
        <v>1862.621</v>
      </c>
      <c r="I9" s="0" t="n">
        <v>907.188</v>
      </c>
      <c r="J9" s="0" t="n">
        <v>33.9</v>
      </c>
      <c r="K9" s="0" t="n">
        <v>0.2235</v>
      </c>
      <c r="L9" s="0" t="n">
        <v>1589.803</v>
      </c>
      <c r="M9" s="0" t="n">
        <v>2978.498</v>
      </c>
      <c r="N9" s="0" t="n">
        <v>-1388.695</v>
      </c>
      <c r="O9" s="0" t="n">
        <v>5115.925</v>
      </c>
      <c r="P9" s="0" t="n">
        <v>24071.835</v>
      </c>
      <c r="Q9" s="0" t="n">
        <v>18953.882</v>
      </c>
      <c r="R9" s="0" t="n">
        <v>16397.116</v>
      </c>
      <c r="S9" s="0" t="n">
        <v>498.741</v>
      </c>
      <c r="T9" s="0" t="n">
        <v>4059</v>
      </c>
      <c r="U9" s="0" t="n">
        <v>9.56</v>
      </c>
      <c r="AA9" s="0" t="s">
        <v>17</v>
      </c>
      <c r="AB9" s="0" t="s">
        <v>14</v>
      </c>
      <c r="AC9" s="0" t="n">
        <v>723.764</v>
      </c>
    </row>
    <row r="10" customFormat="false" ht="15" hidden="false" customHeight="false" outlineLevel="0" collapsed="false">
      <c r="A10" s="0" t="s">
        <v>72</v>
      </c>
      <c r="B10" s="0" t="n">
        <v>2938.114</v>
      </c>
      <c r="C10" s="0" t="n">
        <v>1273.03</v>
      </c>
      <c r="D10" s="0" t="n">
        <v>1665.084</v>
      </c>
      <c r="E10" s="0" t="n">
        <v>56.7</v>
      </c>
      <c r="F10" s="0" t="n">
        <v>1502.068</v>
      </c>
      <c r="G10" s="0" t="n">
        <v>51.1</v>
      </c>
      <c r="H10" s="0" t="n">
        <v>2140.288</v>
      </c>
      <c r="I10" s="0" t="n">
        <v>979.415</v>
      </c>
      <c r="J10" s="0" t="n">
        <v>33.3</v>
      </c>
      <c r="K10" s="0" t="n">
        <v>0.2409</v>
      </c>
      <c r="L10" s="0" t="n">
        <v>1873.51</v>
      </c>
      <c r="M10" s="0" t="n">
        <v>1195.124</v>
      </c>
      <c r="N10" s="0" t="n">
        <v>678.386</v>
      </c>
      <c r="O10" s="0" t="n">
        <v>5776.403</v>
      </c>
      <c r="P10" s="0" t="n">
        <v>24895.274</v>
      </c>
      <c r="Q10" s="0" t="n">
        <v>19116.843</v>
      </c>
      <c r="R10" s="0" t="n">
        <v>16826.916</v>
      </c>
      <c r="S10" s="0" t="n">
        <v>423.602</v>
      </c>
      <c r="T10" s="0" t="n">
        <v>4065.6</v>
      </c>
      <c r="U10" s="0" t="n">
        <v>8.182</v>
      </c>
      <c r="AA10" s="0" t="s">
        <v>17</v>
      </c>
      <c r="AB10" s="0" t="s">
        <v>14</v>
      </c>
      <c r="AC10" s="0" t="n">
        <v>808.837</v>
      </c>
    </row>
    <row r="11" customFormat="false" ht="15" hidden="false" customHeight="false" outlineLevel="0" collapsed="false">
      <c r="A11" s="0" t="s">
        <v>73</v>
      </c>
      <c r="B11" s="0" t="n">
        <v>3117.174</v>
      </c>
      <c r="C11" s="0" t="n">
        <v>1289.597</v>
      </c>
      <c r="D11" s="0" t="n">
        <v>1827.577</v>
      </c>
      <c r="E11" s="0" t="n">
        <v>58.6</v>
      </c>
      <c r="F11" s="0" t="n">
        <v>1630.67</v>
      </c>
      <c r="G11" s="0" t="n">
        <v>52.3</v>
      </c>
      <c r="H11" s="0" t="n">
        <v>2308.221</v>
      </c>
      <c r="I11" s="0" t="n">
        <v>1145.57</v>
      </c>
      <c r="J11" s="0" t="n">
        <v>36.8</v>
      </c>
      <c r="K11" s="0" t="n">
        <v>0.2805</v>
      </c>
      <c r="L11" s="0" t="n">
        <v>2676.533</v>
      </c>
      <c r="M11" s="0" t="n">
        <v>774.415</v>
      </c>
      <c r="N11" s="0" t="n">
        <v>1902.118</v>
      </c>
      <c r="O11" s="0" t="n">
        <v>6458.873</v>
      </c>
      <c r="P11" s="0" t="n">
        <v>25236.107</v>
      </c>
      <c r="Q11" s="0" t="n">
        <v>18775.206</v>
      </c>
      <c r="R11" s="0" t="n">
        <v>15997.966</v>
      </c>
      <c r="S11" s="0" t="n">
        <v>426.564</v>
      </c>
      <c r="T11" s="0" t="n">
        <v>4084</v>
      </c>
      <c r="U11" s="0" t="n">
        <v>19.433</v>
      </c>
      <c r="AA11" s="0" t="s">
        <v>17</v>
      </c>
      <c r="AB11" s="0" t="s">
        <v>14</v>
      </c>
      <c r="AC11" s="0" t="n">
        <v>548.652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74</v>
      </c>
      <c r="B1" s="2" t="s">
        <v>75</v>
      </c>
    </row>
    <row r="2" customFormat="false" ht="15" hidden="false" customHeight="false" outlineLevel="0" collapsed="false">
      <c r="A2" s="0" t="s">
        <v>76</v>
      </c>
      <c r="B2" s="3" t="n">
        <v>5.06</v>
      </c>
    </row>
    <row r="3" customFormat="false" ht="15" hidden="false" customHeight="false" outlineLevel="0" collapsed="false">
      <c r="A3" s="0" t="s">
        <v>77</v>
      </c>
      <c r="B3" s="3" t="n">
        <v>4100</v>
      </c>
    </row>
    <row r="4" customFormat="false" ht="15" hidden="false" customHeight="false" outlineLevel="0" collapsed="false">
      <c r="A4" s="0" t="s">
        <v>78</v>
      </c>
      <c r="B4" s="3" t="n">
        <v>15571.402</v>
      </c>
    </row>
    <row r="5" customFormat="false" ht="15" hidden="false" customHeight="false" outlineLevel="0" collapsed="false">
      <c r="A5" s="0" t="s">
        <v>79</v>
      </c>
      <c r="B5" s="3" t="n">
        <v>0</v>
      </c>
    </row>
    <row r="6" customFormat="false" ht="15" hidden="false" customHeight="false" outlineLevel="0" collapsed="false">
      <c r="A6" s="0" t="s">
        <v>80</v>
      </c>
      <c r="B6" s="3" t="n">
        <v>15</v>
      </c>
    </row>
    <row r="7" customFormat="false" ht="15" hidden="false" customHeight="false" outlineLevel="0" collapsed="false">
      <c r="A7" s="0" t="s">
        <v>81</v>
      </c>
      <c r="B7" s="3" t="n">
        <v>3117.174</v>
      </c>
    </row>
    <row r="8" customFormat="false" ht="15" hidden="false" customHeight="false" outlineLevel="0" collapsed="false">
      <c r="A8" s="0" t="s">
        <v>82</v>
      </c>
      <c r="B8" s="3" t="s">
        <v>73</v>
      </c>
    </row>
    <row r="9" customFormat="false" ht="15" hidden="false" customHeight="false" outlineLevel="0" collapsed="false">
      <c r="A9" s="0" t="s">
        <v>83</v>
      </c>
      <c r="B9" s="3" t="s">
        <v>84</v>
      </c>
    </row>
    <row r="10" customFormat="false" ht="15" hidden="false" customHeight="false" outlineLevel="0" collapsed="false">
      <c r="A10" s="0" t="s">
        <v>85</v>
      </c>
      <c r="B10" s="3" t="n">
        <v>1</v>
      </c>
    </row>
    <row r="12" customFormat="false" ht="15" hidden="false" customHeight="false" outlineLevel="0" collapsed="false">
      <c r="A12" s="2" t="s">
        <v>86</v>
      </c>
      <c r="C12" s="2" t="s">
        <v>87</v>
      </c>
      <c r="D12" s="2" t="s">
        <v>88</v>
      </c>
      <c r="E12" s="2" t="s">
        <v>89</v>
      </c>
      <c r="F12" s="2" t="s">
        <v>90</v>
      </c>
      <c r="G12" s="2" t="s">
        <v>91</v>
      </c>
      <c r="H12" s="2" t="s">
        <v>92</v>
      </c>
      <c r="I12" s="2" t="s">
        <v>93</v>
      </c>
      <c r="J12" s="2" t="s">
        <v>94</v>
      </c>
      <c r="K12" s="2" t="s">
        <v>95</v>
      </c>
      <c r="L12" s="2" t="s">
        <v>96</v>
      </c>
    </row>
    <row r="13" customFormat="false" ht="15" hidden="false" customHeight="false" outlineLevel="0" collapsed="false">
      <c r="A13" s="0" t="s">
        <v>97</v>
      </c>
      <c r="C13" s="3" t="n">
        <v>5</v>
      </c>
      <c r="D13" s="3" t="n">
        <v>4</v>
      </c>
      <c r="E13" s="3" t="n">
        <v>8</v>
      </c>
      <c r="F13" s="3" t="n">
        <v>10</v>
      </c>
      <c r="G13" s="3" t="n">
        <v>8</v>
      </c>
      <c r="H13" s="3" t="n">
        <v>4</v>
      </c>
      <c r="I13" s="3" t="n">
        <v>3</v>
      </c>
      <c r="J13" s="3" t="n">
        <v>3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98</v>
      </c>
      <c r="C14" s="3" t="n">
        <v>73</v>
      </c>
      <c r="D14" s="3" t="n">
        <v>72</v>
      </c>
      <c r="E14" s="3" t="n">
        <v>71</v>
      </c>
      <c r="F14" s="3" t="n">
        <v>70.5</v>
      </c>
      <c r="G14" s="3" t="n">
        <v>70</v>
      </c>
      <c r="H14" s="3" t="n">
        <v>70</v>
      </c>
      <c r="I14" s="3" t="n">
        <v>70</v>
      </c>
      <c r="J14" s="3" t="n">
        <v>70</v>
      </c>
      <c r="K14" s="3" t="n">
        <v>70</v>
      </c>
      <c r="L14" s="3" t="n">
        <v>70</v>
      </c>
    </row>
    <row r="15" customFormat="false" ht="15" hidden="false" customHeight="false" outlineLevel="0" collapsed="false">
      <c r="A15" s="0" t="s">
        <v>99</v>
      </c>
      <c r="C15" s="3" t="n">
        <v>0.6</v>
      </c>
      <c r="D15" s="3" t="n">
        <v>0.6</v>
      </c>
      <c r="E15" s="3" t="n">
        <v>0.6</v>
      </c>
      <c r="F15" s="3" t="n">
        <v>0.6</v>
      </c>
      <c r="G15" s="3" t="n">
        <v>0.6</v>
      </c>
      <c r="H15" s="3" t="n">
        <v>0.6</v>
      </c>
      <c r="I15" s="3" t="n">
        <v>0.6</v>
      </c>
      <c r="J15" s="3" t="n">
        <v>0.6</v>
      </c>
      <c r="K15" s="3" t="n">
        <v>0.6</v>
      </c>
      <c r="L15" s="3" t="n">
        <v>0.6</v>
      </c>
    </row>
    <row r="16" customFormat="false" ht="15" hidden="false" customHeight="false" outlineLevel="0" collapsed="false">
      <c r="A16" s="0" t="s">
        <v>100</v>
      </c>
      <c r="C16" s="3" t="n">
        <v>0.9</v>
      </c>
      <c r="D16" s="3" t="n">
        <v>0.9</v>
      </c>
      <c r="E16" s="3" t="n">
        <v>0.8</v>
      </c>
      <c r="F16" s="3" t="n">
        <v>0.7</v>
      </c>
      <c r="G16" s="3" t="n">
        <v>0.6</v>
      </c>
      <c r="H16" s="3" t="n">
        <v>0.6</v>
      </c>
      <c r="I16" s="3" t="n">
        <v>0.6</v>
      </c>
      <c r="J16" s="3" t="n">
        <v>0.6</v>
      </c>
      <c r="K16" s="3" t="n">
        <v>0.6</v>
      </c>
      <c r="L16" s="3" t="n">
        <v>0.6</v>
      </c>
    </row>
    <row r="17" customFormat="false" ht="15" hidden="false" customHeight="false" outlineLevel="0" collapsed="false">
      <c r="A17" s="0" t="s">
        <v>101</v>
      </c>
      <c r="C17" s="3" t="n">
        <v>21</v>
      </c>
      <c r="D17" s="3" t="n">
        <v>21</v>
      </c>
      <c r="E17" s="3" t="n">
        <v>21.5</v>
      </c>
      <c r="F17" s="3" t="n">
        <v>22</v>
      </c>
      <c r="G17" s="3" t="n">
        <v>22</v>
      </c>
      <c r="H17" s="3" t="n">
        <v>21.5</v>
      </c>
      <c r="I17" s="3" t="n">
        <v>21</v>
      </c>
      <c r="J17" s="3" t="n">
        <v>21</v>
      </c>
      <c r="K17" s="3" t="n">
        <v>21</v>
      </c>
      <c r="L17" s="3" t="n">
        <v>21</v>
      </c>
    </row>
    <row r="18" customFormat="false" ht="15" hidden="false" customHeight="false" outlineLevel="0" collapsed="false">
      <c r="A18" s="0" t="s">
        <v>102</v>
      </c>
      <c r="C18" s="3" t="n">
        <v>72</v>
      </c>
      <c r="D18" s="3" t="n">
        <v>85</v>
      </c>
      <c r="E18" s="3" t="n">
        <v>55</v>
      </c>
      <c r="F18" s="3" t="n">
        <v>28</v>
      </c>
      <c r="G18" s="3" t="n">
        <v>20</v>
      </c>
      <c r="H18" s="3" t="n">
        <v>18</v>
      </c>
      <c r="I18" s="3" t="n">
        <v>18</v>
      </c>
      <c r="J18" s="3" t="n">
        <v>18</v>
      </c>
      <c r="K18" s="3" t="n">
        <v>18</v>
      </c>
      <c r="L18" s="3" t="n">
        <v>18</v>
      </c>
    </row>
    <row r="19" customFormat="false" ht="15" hidden="false" customHeight="false" outlineLevel="0" collapsed="false">
      <c r="A19" s="0" t="s">
        <v>103</v>
      </c>
      <c r="C19" s="3" t="n">
        <v>6</v>
      </c>
      <c r="D19" s="3" t="n">
        <v>5</v>
      </c>
      <c r="E19" s="3" t="n">
        <v>6</v>
      </c>
      <c r="F19" s="3" t="n">
        <v>8</v>
      </c>
      <c r="G19" s="3" t="n">
        <v>10</v>
      </c>
      <c r="H19" s="3" t="n">
        <v>12</v>
      </c>
      <c r="I19" s="3" t="n">
        <v>14</v>
      </c>
      <c r="J19" s="3" t="n">
        <v>15</v>
      </c>
      <c r="K19" s="3" t="n">
        <v>16</v>
      </c>
      <c r="L19" s="3" t="n">
        <v>16</v>
      </c>
    </row>
    <row r="20" customFormat="false" ht="15" hidden="false" customHeight="false" outlineLevel="0" collapsed="false">
      <c r="A20" s="0" t="s">
        <v>104</v>
      </c>
      <c r="B20" s="3" t="n">
        <v>7.5</v>
      </c>
    </row>
    <row r="21" customFormat="false" ht="15" hidden="false" customHeight="false" outlineLevel="0" collapsed="false">
      <c r="A21" s="0" t="s">
        <v>105</v>
      </c>
      <c r="B21" s="3" t="n">
        <v>2</v>
      </c>
    </row>
    <row r="22" customFormat="false" ht="15" hidden="false" customHeight="false" outlineLevel="0" collapsed="false">
      <c r="A22" s="0" t="s">
        <v>106</v>
      </c>
      <c r="B22" s="3" t="n">
        <v>15</v>
      </c>
    </row>
    <row r="23" customFormat="false" ht="15" hidden="false" customHeight="false" outlineLevel="0" collapsed="false">
      <c r="A23" s="0" t="s">
        <v>107</v>
      </c>
      <c r="B23" s="3" t="n">
        <v>0</v>
      </c>
    </row>
    <row r="24" customFormat="false" ht="15" hidden="false" customHeight="false" outlineLevel="0" collapsed="false">
      <c r="A24" s="0" t="s">
        <v>108</v>
      </c>
      <c r="B24" s="3" t="n">
        <v>0.25</v>
      </c>
    </row>
    <row r="26" customFormat="false" ht="15" hidden="false" customHeight="false" outlineLevel="0" collapsed="false">
      <c r="A26" s="2" t="s">
        <v>109</v>
      </c>
      <c r="C26" s="2" t="s">
        <v>87</v>
      </c>
      <c r="D26" s="2" t="s">
        <v>88</v>
      </c>
      <c r="E26" s="2" t="s">
        <v>89</v>
      </c>
      <c r="F26" s="2" t="s">
        <v>90</v>
      </c>
      <c r="G26" s="2" t="s">
        <v>91</v>
      </c>
      <c r="H26" s="2" t="s">
        <v>92</v>
      </c>
      <c r="I26" s="2" t="s">
        <v>93</v>
      </c>
      <c r="J26" s="2" t="s">
        <v>94</v>
      </c>
      <c r="K26" s="2" t="s">
        <v>95</v>
      </c>
      <c r="L26" s="2" t="s">
        <v>96</v>
      </c>
    </row>
    <row r="27" customFormat="false" ht="15" hidden="false" customHeight="false" outlineLevel="0" collapsed="false">
      <c r="A27" s="0" t="s">
        <v>97</v>
      </c>
      <c r="C27" s="3" t="n">
        <v>8</v>
      </c>
      <c r="D27" s="3" t="n">
        <v>8</v>
      </c>
      <c r="E27" s="3" t="n">
        <v>18</v>
      </c>
      <c r="F27" s="3" t="n">
        <v>18</v>
      </c>
      <c r="G27" s="3" t="n">
        <v>12</v>
      </c>
      <c r="H27" s="3" t="n">
        <v>6</v>
      </c>
      <c r="I27" s="3" t="n">
        <v>5</v>
      </c>
      <c r="J27" s="3" t="n">
        <v>4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98</v>
      </c>
      <c r="C28" s="3" t="n">
        <v>73.5</v>
      </c>
      <c r="D28" s="3" t="n">
        <v>73</v>
      </c>
      <c r="E28" s="3" t="n">
        <v>72.5</v>
      </c>
      <c r="F28" s="3" t="n">
        <v>73</v>
      </c>
      <c r="G28" s="3" t="n">
        <v>73.5</v>
      </c>
      <c r="H28" s="3" t="n">
        <v>74</v>
      </c>
      <c r="I28" s="3" t="n">
        <v>74</v>
      </c>
      <c r="J28" s="3" t="n">
        <v>74</v>
      </c>
      <c r="K28" s="3" t="n">
        <v>74</v>
      </c>
      <c r="L28" s="3" t="n">
        <v>74</v>
      </c>
    </row>
    <row r="29" customFormat="false" ht="15" hidden="false" customHeight="false" outlineLevel="0" collapsed="false">
      <c r="A29" s="0" t="s">
        <v>99</v>
      </c>
      <c r="C29" s="3" t="n">
        <v>0.6</v>
      </c>
      <c r="D29" s="3" t="n">
        <v>0.6</v>
      </c>
      <c r="E29" s="3" t="n">
        <v>0.6</v>
      </c>
      <c r="F29" s="3" t="n">
        <v>0.6</v>
      </c>
      <c r="G29" s="3" t="n">
        <v>0.6</v>
      </c>
      <c r="H29" s="3" t="n">
        <v>0.6</v>
      </c>
      <c r="I29" s="3" t="n">
        <v>0.6</v>
      </c>
      <c r="J29" s="3" t="n">
        <v>0.6</v>
      </c>
      <c r="K29" s="3" t="n">
        <v>0.6</v>
      </c>
      <c r="L29" s="3" t="n">
        <v>0.6</v>
      </c>
    </row>
    <row r="30" customFormat="false" ht="15" hidden="false" customHeight="false" outlineLevel="0" collapsed="false">
      <c r="A30" s="0" t="s">
        <v>100</v>
      </c>
      <c r="C30" s="3" t="n">
        <v>0.9</v>
      </c>
      <c r="D30" s="3" t="n">
        <v>0.9</v>
      </c>
      <c r="E30" s="3" t="n">
        <v>0.8</v>
      </c>
      <c r="F30" s="3" t="n">
        <v>0.7</v>
      </c>
      <c r="G30" s="3" t="n">
        <v>0.6</v>
      </c>
      <c r="H30" s="3" t="n">
        <v>0.6</v>
      </c>
      <c r="I30" s="3" t="n">
        <v>0.6</v>
      </c>
      <c r="J30" s="3" t="n">
        <v>0.6</v>
      </c>
      <c r="K30" s="3" t="n">
        <v>0.6</v>
      </c>
      <c r="L30" s="3" t="n">
        <v>0.6</v>
      </c>
    </row>
    <row r="31" customFormat="false" ht="15" hidden="false" customHeight="false" outlineLevel="0" collapsed="false">
      <c r="A31" s="0" t="s">
        <v>101</v>
      </c>
      <c r="C31" s="3" t="n">
        <v>21</v>
      </c>
      <c r="D31" s="3" t="n">
        <v>21</v>
      </c>
      <c r="E31" s="3" t="n">
        <v>21.5</v>
      </c>
      <c r="F31" s="3" t="n">
        <v>22</v>
      </c>
      <c r="G31" s="3" t="n">
        <v>22</v>
      </c>
      <c r="H31" s="3" t="n">
        <v>21.5</v>
      </c>
      <c r="I31" s="3" t="n">
        <v>21</v>
      </c>
      <c r="J31" s="3" t="n">
        <v>21</v>
      </c>
      <c r="K31" s="3" t="n">
        <v>21</v>
      </c>
      <c r="L31" s="3" t="n">
        <v>21</v>
      </c>
    </row>
    <row r="32" customFormat="false" ht="15" hidden="false" customHeight="false" outlineLevel="0" collapsed="false">
      <c r="A32" s="0" t="s">
        <v>102</v>
      </c>
      <c r="C32" s="3" t="n">
        <v>72</v>
      </c>
      <c r="D32" s="3" t="n">
        <v>85</v>
      </c>
      <c r="E32" s="3" t="n">
        <v>55</v>
      </c>
      <c r="F32" s="3" t="n">
        <v>24</v>
      </c>
      <c r="G32" s="3" t="n">
        <v>18</v>
      </c>
      <c r="H32" s="3" t="n">
        <v>17</v>
      </c>
      <c r="I32" s="3" t="n">
        <v>17</v>
      </c>
      <c r="J32" s="3" t="n">
        <v>17</v>
      </c>
      <c r="K32" s="3" t="n">
        <v>17</v>
      </c>
      <c r="L32" s="3" t="n">
        <v>17</v>
      </c>
    </row>
    <row r="33" customFormat="false" ht="15" hidden="false" customHeight="false" outlineLevel="0" collapsed="false">
      <c r="A33" s="0" t="s">
        <v>103</v>
      </c>
      <c r="C33" s="3" t="n">
        <v>6</v>
      </c>
      <c r="D33" s="3" t="n">
        <v>5</v>
      </c>
      <c r="E33" s="3" t="n">
        <v>5</v>
      </c>
      <c r="F33" s="3" t="n">
        <v>7</v>
      </c>
      <c r="G33" s="3" t="n">
        <v>9</v>
      </c>
      <c r="H33" s="3" t="n">
        <v>11</v>
      </c>
      <c r="I33" s="3" t="n">
        <v>13</v>
      </c>
      <c r="J33" s="3" t="n">
        <v>14</v>
      </c>
      <c r="K33" s="3" t="n">
        <v>15</v>
      </c>
      <c r="L33" s="3" t="n">
        <v>15</v>
      </c>
    </row>
    <row r="34" customFormat="false" ht="15" hidden="false" customHeight="false" outlineLevel="0" collapsed="false">
      <c r="A34" s="0" t="s">
        <v>104</v>
      </c>
      <c r="B34" s="3" t="n">
        <v>7.5</v>
      </c>
    </row>
    <row r="35" customFormat="false" ht="15" hidden="false" customHeight="false" outlineLevel="0" collapsed="false">
      <c r="A35" s="0" t="s">
        <v>105</v>
      </c>
      <c r="B35" s="3" t="n">
        <v>2.5</v>
      </c>
    </row>
    <row r="36" customFormat="false" ht="15" hidden="false" customHeight="false" outlineLevel="0" collapsed="false">
      <c r="A36" s="0" t="s">
        <v>106</v>
      </c>
      <c r="B36" s="3" t="n">
        <v>18</v>
      </c>
    </row>
    <row r="37" customFormat="false" ht="15" hidden="false" customHeight="false" outlineLevel="0" collapsed="false">
      <c r="A37" s="0" t="s">
        <v>107</v>
      </c>
      <c r="B37" s="3" t="n">
        <v>0</v>
      </c>
    </row>
    <row r="38" customFormat="false" ht="15" hidden="false" customHeight="false" outlineLevel="0" collapsed="false">
      <c r="A38" s="0" t="s">
        <v>108</v>
      </c>
      <c r="B38" s="3" t="n">
        <v>0.5</v>
      </c>
    </row>
    <row r="40" customFormat="false" ht="15" hidden="false" customHeight="false" outlineLevel="0" collapsed="false">
      <c r="A40" s="2" t="s">
        <v>110</v>
      </c>
      <c r="C40" s="2" t="s">
        <v>87</v>
      </c>
      <c r="D40" s="2" t="s">
        <v>88</v>
      </c>
      <c r="E40" s="2" t="s">
        <v>89</v>
      </c>
      <c r="F40" s="2" t="s">
        <v>90</v>
      </c>
      <c r="G40" s="2" t="s">
        <v>91</v>
      </c>
      <c r="H40" s="2" t="s">
        <v>92</v>
      </c>
      <c r="I40" s="2" t="s">
        <v>93</v>
      </c>
      <c r="J40" s="2" t="s">
        <v>94</v>
      </c>
      <c r="K40" s="2" t="s">
        <v>95</v>
      </c>
      <c r="L40" s="2" t="s">
        <v>96</v>
      </c>
    </row>
    <row r="41" customFormat="false" ht="15" hidden="false" customHeight="false" outlineLevel="0" collapsed="false">
      <c r="A41" s="0" t="s">
        <v>97</v>
      </c>
      <c r="C41" s="3" t="n">
        <v>10</v>
      </c>
      <c r="D41" s="3" t="n">
        <v>10</v>
      </c>
      <c r="E41" s="3" t="n">
        <v>22</v>
      </c>
      <c r="F41" s="3" t="n">
        <v>22</v>
      </c>
      <c r="G41" s="3" t="n">
        <v>15</v>
      </c>
      <c r="H41" s="3" t="n">
        <v>8</v>
      </c>
      <c r="I41" s="3" t="n">
        <v>6</v>
      </c>
      <c r="J41" s="3" t="n">
        <v>5</v>
      </c>
      <c r="K41" s="3" t="n">
        <v>4</v>
      </c>
      <c r="L41" s="3" t="n">
        <v>3</v>
      </c>
    </row>
    <row r="42" customFormat="false" ht="15" hidden="false" customHeight="false" outlineLevel="0" collapsed="false">
      <c r="A42" s="0" t="s">
        <v>98</v>
      </c>
      <c r="C42" s="3" t="n">
        <v>74</v>
      </c>
      <c r="D42" s="3" t="n">
        <v>74</v>
      </c>
      <c r="E42" s="3" t="n">
        <v>74</v>
      </c>
      <c r="F42" s="3" t="n">
        <v>74.5</v>
      </c>
      <c r="G42" s="3" t="n">
        <v>75</v>
      </c>
      <c r="H42" s="3" t="n">
        <v>75.5</v>
      </c>
      <c r="I42" s="3" t="n">
        <v>76</v>
      </c>
      <c r="J42" s="3" t="n">
        <v>76</v>
      </c>
      <c r="K42" s="3" t="n">
        <v>76</v>
      </c>
      <c r="L42" s="3" t="n">
        <v>76</v>
      </c>
    </row>
    <row r="43" customFormat="false" ht="15" hidden="false" customHeight="false" outlineLevel="0" collapsed="false">
      <c r="A43" s="0" t="s">
        <v>99</v>
      </c>
      <c r="C43" s="3" t="n">
        <v>0.6</v>
      </c>
      <c r="D43" s="3" t="n">
        <v>0.6</v>
      </c>
      <c r="E43" s="3" t="n">
        <v>0.6</v>
      </c>
      <c r="F43" s="3" t="n">
        <v>0.6</v>
      </c>
      <c r="G43" s="3" t="n">
        <v>0.6</v>
      </c>
      <c r="H43" s="3" t="n">
        <v>0.6</v>
      </c>
      <c r="I43" s="3" t="n">
        <v>0.6</v>
      </c>
      <c r="J43" s="3" t="n">
        <v>0.6</v>
      </c>
      <c r="K43" s="3" t="n">
        <v>0.6</v>
      </c>
      <c r="L43" s="3" t="n">
        <v>0.6</v>
      </c>
    </row>
    <row r="44" customFormat="false" ht="15" hidden="false" customHeight="false" outlineLevel="0" collapsed="false">
      <c r="A44" s="0" t="s">
        <v>100</v>
      </c>
      <c r="C44" s="3" t="n">
        <v>0.9</v>
      </c>
      <c r="D44" s="3" t="n">
        <v>0.9</v>
      </c>
      <c r="E44" s="3" t="n">
        <v>0.8</v>
      </c>
      <c r="F44" s="3" t="n">
        <v>0.7</v>
      </c>
      <c r="G44" s="3" t="n">
        <v>0.6</v>
      </c>
      <c r="H44" s="3" t="n">
        <v>0.6</v>
      </c>
      <c r="I44" s="3" t="n">
        <v>0.6</v>
      </c>
      <c r="J44" s="3" t="n">
        <v>0.6</v>
      </c>
      <c r="K44" s="3" t="n">
        <v>0.6</v>
      </c>
      <c r="L44" s="3" t="n">
        <v>0.6</v>
      </c>
    </row>
    <row r="45" customFormat="false" ht="15" hidden="false" customHeight="false" outlineLevel="0" collapsed="false">
      <c r="A45" s="0" t="s">
        <v>101</v>
      </c>
      <c r="C45" s="3" t="n">
        <v>21</v>
      </c>
      <c r="D45" s="3" t="n">
        <v>21</v>
      </c>
      <c r="E45" s="3" t="n">
        <v>21.5</v>
      </c>
      <c r="F45" s="3" t="n">
        <v>22</v>
      </c>
      <c r="G45" s="3" t="n">
        <v>22</v>
      </c>
      <c r="H45" s="3" t="n">
        <v>21.5</v>
      </c>
      <c r="I45" s="3" t="n">
        <v>21</v>
      </c>
      <c r="J45" s="3" t="n">
        <v>21</v>
      </c>
      <c r="K45" s="3" t="n">
        <v>21</v>
      </c>
      <c r="L45" s="3" t="n">
        <v>21</v>
      </c>
    </row>
    <row r="46" customFormat="false" ht="15" hidden="false" customHeight="false" outlineLevel="0" collapsed="false">
      <c r="A46" s="0" t="s">
        <v>102</v>
      </c>
      <c r="C46" s="3" t="n">
        <v>72</v>
      </c>
      <c r="D46" s="3" t="n">
        <v>85</v>
      </c>
      <c r="E46" s="3" t="n">
        <v>50</v>
      </c>
      <c r="F46" s="3" t="n">
        <v>22</v>
      </c>
      <c r="G46" s="3" t="n">
        <v>16</v>
      </c>
      <c r="H46" s="3" t="n">
        <v>15</v>
      </c>
      <c r="I46" s="3" t="n">
        <v>15</v>
      </c>
      <c r="J46" s="3" t="n">
        <v>15</v>
      </c>
      <c r="K46" s="3" t="n">
        <v>15</v>
      </c>
      <c r="L46" s="3" t="n">
        <v>15</v>
      </c>
    </row>
    <row r="47" customFormat="false" ht="15" hidden="false" customHeight="false" outlineLevel="0" collapsed="false">
      <c r="A47" s="0" t="s">
        <v>103</v>
      </c>
      <c r="C47" s="3" t="n">
        <v>6</v>
      </c>
      <c r="D47" s="3" t="n">
        <v>5</v>
      </c>
      <c r="E47" s="3" t="n">
        <v>5</v>
      </c>
      <c r="F47" s="3" t="n">
        <v>7</v>
      </c>
      <c r="G47" s="3" t="n">
        <v>9</v>
      </c>
      <c r="H47" s="3" t="n">
        <v>11</v>
      </c>
      <c r="I47" s="3" t="n">
        <v>13</v>
      </c>
      <c r="J47" s="3" t="n">
        <v>14</v>
      </c>
      <c r="K47" s="3" t="n">
        <v>15</v>
      </c>
      <c r="L47" s="3" t="n">
        <v>15</v>
      </c>
    </row>
    <row r="48" customFormat="false" ht="15" hidden="false" customHeight="false" outlineLevel="0" collapsed="false">
      <c r="A48" s="0" t="s">
        <v>104</v>
      </c>
      <c r="B48" s="3" t="n">
        <v>7.5</v>
      </c>
    </row>
    <row r="49" customFormat="false" ht="15" hidden="false" customHeight="false" outlineLevel="0" collapsed="false">
      <c r="A49" s="0" t="s">
        <v>105</v>
      </c>
      <c r="B49" s="3" t="n">
        <v>3</v>
      </c>
    </row>
    <row r="50" customFormat="false" ht="15" hidden="false" customHeight="false" outlineLevel="0" collapsed="false">
      <c r="A50" s="0" t="s">
        <v>106</v>
      </c>
      <c r="B50" s="3" t="n">
        <v>20</v>
      </c>
    </row>
    <row r="51" customFormat="false" ht="15" hidden="false" customHeight="false" outlineLevel="0" collapsed="false">
      <c r="A51" s="0" t="s">
        <v>107</v>
      </c>
      <c r="B51" s="3" t="n">
        <v>10</v>
      </c>
    </row>
    <row r="52" customFormat="false" ht="15" hidden="false" customHeight="false" outlineLevel="0" collapsed="false">
      <c r="A52" s="0" t="s">
        <v>108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111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Assumptions!C13</f>
        <v>5</v>
      </c>
      <c r="D5" s="4" t="n">
        <f aca="false">Assumptions!D13</f>
        <v>4</v>
      </c>
      <c r="E5" s="4" t="n">
        <f aca="false">Assumptions!E13</f>
        <v>8</v>
      </c>
      <c r="F5" s="4" t="n">
        <f aca="false">Assumptions!F13</f>
        <v>10</v>
      </c>
      <c r="G5" s="4" t="n">
        <f aca="false">Assumptions!G13</f>
        <v>8</v>
      </c>
      <c r="H5" s="4" t="n">
        <f aca="false">Assumptions!H13</f>
        <v>4</v>
      </c>
      <c r="I5" s="4" t="n">
        <f aca="false">Assumptions!I13</f>
        <v>3</v>
      </c>
      <c r="J5" s="4" t="n">
        <f aca="false">Assumptions!J13</f>
        <v>3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3117.174</v>
      </c>
      <c r="C6" s="0" t="n">
        <f aca="false">B6*(1+C5/100)</f>
        <v>3273.0327</v>
      </c>
      <c r="D6" s="0" t="n">
        <f aca="false">C6*(1+D5/100)</f>
        <v>3403.954008</v>
      </c>
      <c r="E6" s="0" t="n">
        <f aca="false">D6*(1+E5/100)</f>
        <v>3676.27032864</v>
      </c>
      <c r="F6" s="0" t="n">
        <f aca="false">E6*(1+F5/100)</f>
        <v>4043.897361504</v>
      </c>
      <c r="G6" s="0" t="n">
        <f aca="false">F6*(1+G5/100)</f>
        <v>4367.40915042432</v>
      </c>
      <c r="H6" s="0" t="n">
        <f aca="false">G6*(1+H5/100)</f>
        <v>4542.1055164413</v>
      </c>
      <c r="I6" s="0" t="n">
        <f aca="false">H6*(1+I5/100)</f>
        <v>4678.36868193453</v>
      </c>
      <c r="J6" s="0" t="n">
        <f aca="false">I6*(1+J5/100)</f>
        <v>4818.71974239257</v>
      </c>
      <c r="K6" s="0" t="n">
        <f aca="false">J6*(1+K5/100)</f>
        <v>4939.18773595238</v>
      </c>
      <c r="L6" s="0" t="n">
        <f aca="false">K6*(1+L5/100)</f>
        <v>5062.66742935119</v>
      </c>
    </row>
    <row r="7" customFormat="false" ht="15" hidden="false" customHeight="false" outlineLevel="0" collapsed="false">
      <c r="A7" s="0" t="s">
        <v>98</v>
      </c>
      <c r="C7" s="4" t="n">
        <f aca="false">Assumptions!C14</f>
        <v>73</v>
      </c>
      <c r="D7" s="4" t="n">
        <f aca="false">Assumptions!D14</f>
        <v>72</v>
      </c>
      <c r="E7" s="4" t="n">
        <f aca="false">Assumptions!E14</f>
        <v>71</v>
      </c>
      <c r="F7" s="4" t="n">
        <f aca="false">Assumptions!F14</f>
        <v>70.5</v>
      </c>
      <c r="G7" s="4" t="n">
        <f aca="false">Assumptions!G14</f>
        <v>70</v>
      </c>
      <c r="H7" s="4" t="n">
        <f aca="false">Assumptions!H14</f>
        <v>70</v>
      </c>
      <c r="I7" s="4" t="n">
        <f aca="false">Assumptions!I14</f>
        <v>70</v>
      </c>
      <c r="J7" s="4" t="n">
        <f aca="false">Assumptions!J14</f>
        <v>70</v>
      </c>
      <c r="K7" s="4" t="n">
        <f aca="false">Assumptions!K14</f>
        <v>70</v>
      </c>
      <c r="L7" s="4" t="n">
        <f aca="false">Assumptions!L14</f>
        <v>70</v>
      </c>
    </row>
    <row r="8" customFormat="false" ht="15" hidden="false" customHeight="false" outlineLevel="0" collapsed="false">
      <c r="A8" s="0" t="s">
        <v>43</v>
      </c>
      <c r="C8" s="0" t="n">
        <f aca="false">C6*C7/100</f>
        <v>2389.313871</v>
      </c>
      <c r="D8" s="0" t="n">
        <f aca="false">D6*D7/100</f>
        <v>2450.84688576</v>
      </c>
      <c r="E8" s="0" t="n">
        <f aca="false">E6*E7/100</f>
        <v>2610.1519333344</v>
      </c>
      <c r="F8" s="0" t="n">
        <f aca="false">F6*F7/100</f>
        <v>2850.94763986032</v>
      </c>
      <c r="G8" s="0" t="n">
        <f aca="false">G6*G7/100</f>
        <v>3057.18640529703</v>
      </c>
      <c r="H8" s="0" t="n">
        <f aca="false">H6*H7/100</f>
        <v>3179.47386150891</v>
      </c>
      <c r="I8" s="0" t="n">
        <f aca="false">I6*I7/100</f>
        <v>3274.85807735417</v>
      </c>
      <c r="J8" s="0" t="n">
        <f aca="false">J6*J7/100</f>
        <v>3373.1038196748</v>
      </c>
      <c r="K8" s="0" t="n">
        <f aca="false">K6*K7/100</f>
        <v>3457.43141516667</v>
      </c>
      <c r="L8" s="0" t="n">
        <f aca="false">L6*L7/100</f>
        <v>3543.86720054584</v>
      </c>
    </row>
    <row r="9" customFormat="false" ht="15" hidden="false" customHeight="false" outlineLevel="0" collapsed="false">
      <c r="A9" s="0" t="s">
        <v>99</v>
      </c>
      <c r="C9" s="4" t="n">
        <f aca="false">Assumptions!C15</f>
        <v>0.6</v>
      </c>
      <c r="D9" s="4" t="n">
        <f aca="false">Assumptions!D15</f>
        <v>0.6</v>
      </c>
      <c r="E9" s="4" t="n">
        <f aca="false">Assumptions!E15</f>
        <v>0.6</v>
      </c>
      <c r="F9" s="4" t="n">
        <f aca="false">Assumptions!F15</f>
        <v>0.6</v>
      </c>
      <c r="G9" s="4" t="n">
        <f aca="false">Assumptions!G15</f>
        <v>0.6</v>
      </c>
      <c r="H9" s="4" t="n">
        <f aca="false">Assumptions!H15</f>
        <v>0.6</v>
      </c>
      <c r="I9" s="4" t="n">
        <f aca="false">Assumptions!I15</f>
        <v>0.6</v>
      </c>
      <c r="J9" s="4" t="n">
        <f aca="false">Assumptions!J15</f>
        <v>0.6</v>
      </c>
      <c r="K9" s="4" t="n">
        <f aca="false">Assumptions!K15</f>
        <v>0.6</v>
      </c>
      <c r="L9" s="4" t="n">
        <f aca="false">Assumptions!L15</f>
        <v>0.6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-19.6381962</v>
      </c>
      <c r="D10" s="0" t="n">
        <f aca="false">-D6*D9/100</f>
        <v>-20.423724048</v>
      </c>
      <c r="E10" s="0" t="n">
        <f aca="false">-E6*E9/100</f>
        <v>-22.05762197184</v>
      </c>
      <c r="F10" s="0" t="n">
        <f aca="false">-F6*F9/100</f>
        <v>-24.263384169024</v>
      </c>
      <c r="G10" s="0" t="n">
        <f aca="false">-G6*G9/100</f>
        <v>-26.2044549025459</v>
      </c>
      <c r="H10" s="0" t="n">
        <f aca="false">-H6*H9/100</f>
        <v>-27.2526330986478</v>
      </c>
      <c r="I10" s="0" t="n">
        <f aca="false">-I6*I9/100</f>
        <v>-28.0702120916072</v>
      </c>
      <c r="J10" s="0" t="n">
        <f aca="false">-J6*J9/100</f>
        <v>-28.9123184543554</v>
      </c>
      <c r="K10" s="0" t="n">
        <f aca="false">-K6*K9/100</f>
        <v>-29.6351264157143</v>
      </c>
      <c r="L10" s="0" t="n">
        <f aca="false">-L6*L9/100</f>
        <v>-30.3760045761072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2340.2183805</v>
      </c>
      <c r="D11" s="0" t="n">
        <f aca="false">D8+D10+D24</f>
        <v>2399.78757564</v>
      </c>
      <c r="E11" s="0" t="n">
        <f aca="false">E8+E10+E24</f>
        <v>2558.68414873344</v>
      </c>
      <c r="F11" s="0" t="n">
        <f aca="false">F8+F10+F24</f>
        <v>2798.37697416077</v>
      </c>
      <c r="G11" s="0" t="n">
        <f aca="false">G8+G10+G24</f>
        <v>3004.77749549193</v>
      </c>
      <c r="H11" s="0" t="n">
        <f aca="false">H8+H10+H24</f>
        <v>3124.96859531161</v>
      </c>
      <c r="I11" s="0" t="n">
        <f aca="false">I8+I10+I24</f>
        <v>3218.71765317096</v>
      </c>
      <c r="J11" s="0" t="n">
        <f aca="false">J8+J10+J24</f>
        <v>3315.27918276609</v>
      </c>
      <c r="K11" s="0" t="n">
        <f aca="false">K8+K10+K24</f>
        <v>3398.16116233524</v>
      </c>
      <c r="L11" s="0" t="n">
        <f aca="false">L8+L10+L24</f>
        <v>3483.11519139362</v>
      </c>
    </row>
    <row r="12" customFormat="false" ht="15" hidden="false" customHeight="false" outlineLevel="0" collapsed="false">
      <c r="A12" s="0" t="s">
        <v>116</v>
      </c>
      <c r="C12" s="4" t="n">
        <f aca="false">-C6*Assumptions!C17/100</f>
        <v>-687.336867</v>
      </c>
      <c r="D12" s="4" t="n">
        <f aca="false">-D6*Assumptions!D17/100</f>
        <v>-714.83034168</v>
      </c>
      <c r="E12" s="4" t="n">
        <f aca="false">-E6*Assumptions!E17/100</f>
        <v>-790.3981206576</v>
      </c>
      <c r="F12" s="4" t="n">
        <f aca="false">-F6*Assumptions!F17/100</f>
        <v>-889.65741953088</v>
      </c>
      <c r="G12" s="4" t="n">
        <f aca="false">-G6*Assumptions!G17/100</f>
        <v>-960.830013093351</v>
      </c>
      <c r="H12" s="4" t="n">
        <f aca="false">-H6*Assumptions!H17/100</f>
        <v>-976.552686034878</v>
      </c>
      <c r="I12" s="4" t="n">
        <f aca="false">-I6*Assumptions!I17/100</f>
        <v>-982.457423206252</v>
      </c>
      <c r="J12" s="4" t="n">
        <f aca="false">-J6*Assumptions!J17/100</f>
        <v>-1011.93114590244</v>
      </c>
      <c r="K12" s="4" t="n">
        <f aca="false">-K6*Assumptions!K17/100</f>
        <v>-1037.22942455</v>
      </c>
      <c r="L12" s="4" t="n">
        <f aca="false">-L6*Assumptions!L17/100</f>
        <v>-1063.16016016375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1652.8815135</v>
      </c>
      <c r="D13" s="0" t="n">
        <f aca="false">D11+D12</f>
        <v>1684.95723396</v>
      </c>
      <c r="E13" s="0" t="n">
        <f aca="false">E11+E12</f>
        <v>1768.28602807584</v>
      </c>
      <c r="F13" s="0" t="n">
        <f aca="false">F11+F12</f>
        <v>1908.71955462989</v>
      </c>
      <c r="G13" s="0" t="n">
        <f aca="false">G11+G12</f>
        <v>2043.94748239858</v>
      </c>
      <c r="H13" s="0" t="n">
        <f aca="false">H11+H12</f>
        <v>2148.41590927673</v>
      </c>
      <c r="I13" s="0" t="n">
        <f aca="false">I11+I12</f>
        <v>2236.26022996471</v>
      </c>
      <c r="J13" s="0" t="n">
        <f aca="false">J11+J12</f>
        <v>2303.34803686365</v>
      </c>
      <c r="K13" s="0" t="n">
        <f aca="false">K11+K12</f>
        <v>2360.93173778524</v>
      </c>
      <c r="L13" s="0" t="n">
        <f aca="false">L11+L12</f>
        <v>2419.95503122987</v>
      </c>
    </row>
    <row r="14" customFormat="false" ht="15" hidden="false" customHeight="false" outlineLevel="0" collapsed="false">
      <c r="A14" s="0" t="s">
        <v>103</v>
      </c>
      <c r="C14" s="4" t="n">
        <f aca="false">Assumptions!C19</f>
        <v>6</v>
      </c>
      <c r="D14" s="4" t="n">
        <f aca="false">Assumptions!D19</f>
        <v>5</v>
      </c>
      <c r="E14" s="4" t="n">
        <f aca="false">Assumptions!E19</f>
        <v>6</v>
      </c>
      <c r="F14" s="4" t="n">
        <f aca="false">Assumptions!F19</f>
        <v>8</v>
      </c>
      <c r="G14" s="4" t="n">
        <f aca="false">Assumptions!G19</f>
        <v>10</v>
      </c>
      <c r="H14" s="4" t="n">
        <f aca="false">Assumptions!H19</f>
        <v>12</v>
      </c>
      <c r="I14" s="4" t="n">
        <f aca="false">Assumptions!I19</f>
        <v>14</v>
      </c>
      <c r="J14" s="4" t="n">
        <f aca="false">Assumptions!J19</f>
        <v>15</v>
      </c>
      <c r="K14" s="4" t="n">
        <f aca="false">Assumptions!K19</f>
        <v>16</v>
      </c>
      <c r="L14" s="4" t="n">
        <f aca="false">Assumptions!L19</f>
        <v>16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1553.70862269</v>
      </c>
      <c r="D15" s="0" t="n">
        <f aca="false">D13-MAX(0,D13)*D14/100</f>
        <v>1600.709372262</v>
      </c>
      <c r="E15" s="0" t="n">
        <f aca="false">E13-MAX(0,E13)*E14/100</f>
        <v>1662.18886639129</v>
      </c>
      <c r="F15" s="0" t="n">
        <f aca="false">F13-MAX(0,F13)*F14/100</f>
        <v>1756.0219902595</v>
      </c>
      <c r="G15" s="0" t="n">
        <f aca="false">G13-MAX(0,G13)*G14/100</f>
        <v>1839.55273415872</v>
      </c>
      <c r="H15" s="0" t="n">
        <f aca="false">H13-MAX(0,H13)*H14/100</f>
        <v>1890.60600016352</v>
      </c>
      <c r="I15" s="0" t="n">
        <f aca="false">I13-MAX(0,I13)*I14/100</f>
        <v>1923.18379776965</v>
      </c>
      <c r="J15" s="0" t="n">
        <f aca="false">J13-MAX(0,J13)*J14/100</f>
        <v>1957.8458313341</v>
      </c>
      <c r="K15" s="0" t="n">
        <f aca="false">K13-MAX(0,K13)*K14/100</f>
        <v>1983.1826597396</v>
      </c>
      <c r="L15" s="0" t="n">
        <f aca="false">L13-MAX(0,L13)*L14/100</f>
        <v>2032.76222623309</v>
      </c>
    </row>
    <row r="16" customFormat="false" ht="15" hidden="false" customHeight="false" outlineLevel="0" collapsed="false">
      <c r="A16" s="0" t="s">
        <v>119</v>
      </c>
      <c r="C16" s="0" t="n">
        <f aca="false">-C12</f>
        <v>687.336867</v>
      </c>
      <c r="D16" s="0" t="n">
        <f aca="false">-D12</f>
        <v>714.83034168</v>
      </c>
      <c r="E16" s="0" t="n">
        <f aca="false">-E12</f>
        <v>790.3981206576</v>
      </c>
      <c r="F16" s="0" t="n">
        <f aca="false">-F12</f>
        <v>889.65741953088</v>
      </c>
      <c r="G16" s="0" t="n">
        <f aca="false">-G12</f>
        <v>960.830013093351</v>
      </c>
      <c r="H16" s="0" t="n">
        <f aca="false">-H12</f>
        <v>976.552686034878</v>
      </c>
      <c r="I16" s="0" t="n">
        <f aca="false">-I12</f>
        <v>982.457423206252</v>
      </c>
      <c r="J16" s="0" t="n">
        <f aca="false">-J12</f>
        <v>1011.93114590244</v>
      </c>
      <c r="K16" s="0" t="n">
        <f aca="false">-K12</f>
        <v>1037.22942455</v>
      </c>
      <c r="L16" s="0" t="n">
        <f aca="false">-L12</f>
        <v>1063.16016016375</v>
      </c>
    </row>
    <row r="17" customFormat="false" ht="15" hidden="false" customHeight="false" outlineLevel="0" collapsed="false">
      <c r="A17" s="0" t="s">
        <v>120</v>
      </c>
      <c r="C17" s="4" t="n">
        <f aca="false">-C6*Assumptions!C18/100</f>
        <v>-2356.583544</v>
      </c>
      <c r="D17" s="4" t="n">
        <f aca="false">-D6*Assumptions!D18/100</f>
        <v>-2893.3609068</v>
      </c>
      <c r="E17" s="4" t="n">
        <f aca="false">-E6*Assumptions!E18/100</f>
        <v>-2021.948680752</v>
      </c>
      <c r="F17" s="4" t="n">
        <f aca="false">-F6*Assumptions!F18/100</f>
        <v>-1132.29126122112</v>
      </c>
      <c r="G17" s="4" t="n">
        <f aca="false">-G6*Assumptions!G18/100</f>
        <v>-873.481830084864</v>
      </c>
      <c r="H17" s="4" t="n">
        <f aca="false">-H6*Assumptions!H18/100</f>
        <v>-817.578992959433</v>
      </c>
      <c r="I17" s="4" t="n">
        <f aca="false">-I6*Assumptions!I18/100</f>
        <v>-842.106362748216</v>
      </c>
      <c r="J17" s="4" t="n">
        <f aca="false">-J6*Assumptions!J18/100</f>
        <v>-867.369553630663</v>
      </c>
      <c r="K17" s="4" t="n">
        <f aca="false">-K6*Assumptions!K18/100</f>
        <v>-889.053792471429</v>
      </c>
      <c r="L17" s="4" t="n">
        <f aca="false">-L6*Assumptions!L18/100</f>
        <v>-911.280137283215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-115.53805431</v>
      </c>
      <c r="D19" s="0" t="n">
        <f aca="false">D15+D16+D17+D18</f>
        <v>-577.821192858</v>
      </c>
      <c r="E19" s="0" t="n">
        <f aca="false">E15+E16+E17+E18</f>
        <v>430.63830629689</v>
      </c>
      <c r="F19" s="0" t="n">
        <f aca="false">F15+F16+F17+F18</f>
        <v>1513.38814856926</v>
      </c>
      <c r="G19" s="0" t="n">
        <f aca="false">G15+G16+G17+G18</f>
        <v>1926.90091716721</v>
      </c>
      <c r="H19" s="0" t="n">
        <f aca="false">H15+H16+H17+H18</f>
        <v>2049.57969323897</v>
      </c>
      <c r="I19" s="0" t="n">
        <f aca="false">I15+I16+I17+I18</f>
        <v>2063.53485822768</v>
      </c>
      <c r="J19" s="0" t="n">
        <f aca="false">J15+J16+J17+J18</f>
        <v>2102.40742360588</v>
      </c>
      <c r="K19" s="0" t="n">
        <f aca="false">K15+K16+K17+K18</f>
        <v>2131.35829181817</v>
      </c>
      <c r="L19" s="0" t="n">
        <f aca="false">L15+L16+L17+L18</f>
        <v>2184.64224911363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-107.477259823255</v>
      </c>
      <c r="D21" s="0" t="n">
        <f aca="false">D19*D20</f>
        <v>-500.007522213521</v>
      </c>
      <c r="E21" s="0" t="n">
        <f aca="false">E19*E20</f>
        <v>346.646856289395</v>
      </c>
      <c r="F21" s="0" t="n">
        <f aca="false">F19*F20</f>
        <v>1133.22584740595</v>
      </c>
      <c r="G21" s="0" t="n">
        <f aca="false">G19*G20</f>
        <v>1342.19946753618</v>
      </c>
      <c r="H21" s="0" t="n">
        <f aca="false">H19*H20</f>
        <v>1328.04877024661</v>
      </c>
      <c r="I21" s="0" t="n">
        <f aca="false">I19*I20</f>
        <v>1243.80574897036</v>
      </c>
      <c r="J21" s="0" t="n">
        <f aca="false">J19*J20</f>
        <v>1178.82453791864</v>
      </c>
      <c r="K21" s="0" t="n">
        <f aca="false">K19*K20</f>
        <v>1111.68125989205</v>
      </c>
      <c r="L21" s="0" t="n">
        <f aca="false">L19*L20</f>
        <v>1059.97515478079</v>
      </c>
    </row>
    <row r="23" customFormat="false" ht="15" hidden="false" customHeight="false" outlineLevel="0" collapsed="false">
      <c r="A23" s="0" t="s">
        <v>100</v>
      </c>
      <c r="C23" s="4" t="n">
        <f aca="false">Assumptions!C16</f>
        <v>0.9</v>
      </c>
      <c r="D23" s="4" t="n">
        <f aca="false">Assumptions!D16</f>
        <v>0.9</v>
      </c>
      <c r="E23" s="4" t="n">
        <f aca="false">Assumptions!E16</f>
        <v>0.8</v>
      </c>
      <c r="F23" s="4" t="n">
        <f aca="false">Assumptions!F16</f>
        <v>0.7</v>
      </c>
      <c r="G23" s="4" t="n">
        <f aca="false">Assumptions!G16</f>
        <v>0.6</v>
      </c>
      <c r="H23" s="4" t="n">
        <f aca="false">Assumptions!H16</f>
        <v>0.6</v>
      </c>
      <c r="I23" s="4" t="n">
        <f aca="false">Assumptions!I16</f>
        <v>0.6</v>
      </c>
      <c r="J23" s="4" t="n">
        <f aca="false">Assumptions!J16</f>
        <v>0.6</v>
      </c>
      <c r="K23" s="4" t="n">
        <f aca="false">Assumptions!K16</f>
        <v>0.6</v>
      </c>
      <c r="L23" s="4" t="n">
        <f aca="false">Assumptions!L16</f>
        <v>0.6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-29.4572943</v>
      </c>
      <c r="D24" s="0" t="n">
        <f aca="false">-D6*D23/100</f>
        <v>-30.635586072</v>
      </c>
      <c r="E24" s="0" t="n">
        <f aca="false">-E6*E23/100</f>
        <v>-29.41016262912</v>
      </c>
      <c r="F24" s="0" t="n">
        <f aca="false">-F6*F23/100</f>
        <v>-28.307281530528</v>
      </c>
      <c r="G24" s="0" t="n">
        <f aca="false">-G6*G23/100</f>
        <v>-26.2044549025459</v>
      </c>
      <c r="H24" s="0" t="n">
        <f aca="false">-H6*H23/100</f>
        <v>-27.2526330986478</v>
      </c>
      <c r="I24" s="0" t="n">
        <f aca="false">-I6*I23/100</f>
        <v>-28.0702120916072</v>
      </c>
      <c r="J24" s="0" t="n">
        <f aca="false">-J6*J23/100</f>
        <v>-28.9123184543554</v>
      </c>
      <c r="K24" s="0" t="n">
        <f aca="false">-K6*K23/100</f>
        <v>-29.6351264157143</v>
      </c>
      <c r="L24" s="0" t="n">
        <f aca="false">-L6*L23/100</f>
        <v>-30.3760045761072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Assumptions!$B$20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106</v>
      </c>
      <c r="B29" s="4" t="n">
        <f aca="false">Assumptions!$B$22</f>
        <v>15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8136.92286100318</v>
      </c>
    </row>
    <row r="31" customFormat="false" ht="15" hidden="false" customHeight="false" outlineLevel="0" collapsed="false">
      <c r="A31" s="0" t="s">
        <v>128</v>
      </c>
      <c r="B31" s="0" t="n">
        <f aca="false">L19</f>
        <v>2184.64224911363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40515.1835290163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32769.6337367044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32769.6337367044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15899.6273217118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24036.550182715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8465.14818271498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2.06467028846707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-0.591962393583583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171.103056207966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273.327600838407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2.17306800969789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17141.0391853531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-1.5293491318413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142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Assumptions!C27</f>
        <v>8</v>
      </c>
      <c r="D5" s="4" t="n">
        <f aca="false">Assumptions!D27</f>
        <v>8</v>
      </c>
      <c r="E5" s="4" t="n">
        <f aca="false">Assumptions!E27</f>
        <v>18</v>
      </c>
      <c r="F5" s="4" t="n">
        <f aca="false">Assumptions!F27</f>
        <v>18</v>
      </c>
      <c r="G5" s="4" t="n">
        <f aca="false">Assumptions!G27</f>
        <v>12</v>
      </c>
      <c r="H5" s="4" t="n">
        <f aca="false">Assumptions!H27</f>
        <v>6</v>
      </c>
      <c r="I5" s="4" t="n">
        <f aca="false">Assumptions!I27</f>
        <v>5</v>
      </c>
      <c r="J5" s="4" t="n">
        <f aca="false">Assumptions!J27</f>
        <v>4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3117.174</v>
      </c>
      <c r="C6" s="0" t="n">
        <f aca="false">B6*(1+C5/100)</f>
        <v>3366.54792</v>
      </c>
      <c r="D6" s="0" t="n">
        <f aca="false">C6*(1+D5/100)</f>
        <v>3635.8717536</v>
      </c>
      <c r="E6" s="0" t="n">
        <f aca="false">D6*(1+E5/100)</f>
        <v>4290.328669248</v>
      </c>
      <c r="F6" s="0" t="n">
        <f aca="false">E6*(1+F5/100)</f>
        <v>5062.58782971264</v>
      </c>
      <c r="G6" s="0" t="n">
        <f aca="false">F6*(1+G5/100)</f>
        <v>5670.09836927816</v>
      </c>
      <c r="H6" s="0" t="n">
        <f aca="false">G6*(1+H5/100)</f>
        <v>6010.30427143485</v>
      </c>
      <c r="I6" s="0" t="n">
        <f aca="false">H6*(1+I5/100)</f>
        <v>6310.81948500659</v>
      </c>
      <c r="J6" s="0" t="n">
        <f aca="false">I6*(1+J5/100)</f>
        <v>6563.25226440685</v>
      </c>
      <c r="K6" s="0" t="n">
        <f aca="false">J6*(1+K5/100)</f>
        <v>6760.14983233906</v>
      </c>
      <c r="L6" s="0" t="n">
        <f aca="false">K6*(1+L5/100)</f>
        <v>6962.95432730923</v>
      </c>
    </row>
    <row r="7" customFormat="false" ht="15" hidden="false" customHeight="false" outlineLevel="0" collapsed="false">
      <c r="A7" s="0" t="s">
        <v>98</v>
      </c>
      <c r="C7" s="4" t="n">
        <f aca="false">Assumptions!C28</f>
        <v>73.5</v>
      </c>
      <c r="D7" s="4" t="n">
        <f aca="false">Assumptions!D28</f>
        <v>73</v>
      </c>
      <c r="E7" s="4" t="n">
        <f aca="false">Assumptions!E28</f>
        <v>72.5</v>
      </c>
      <c r="F7" s="4" t="n">
        <f aca="false">Assumptions!F28</f>
        <v>73</v>
      </c>
      <c r="G7" s="4" t="n">
        <f aca="false">Assumptions!G28</f>
        <v>73.5</v>
      </c>
      <c r="H7" s="4" t="n">
        <f aca="false">Assumptions!H28</f>
        <v>74</v>
      </c>
      <c r="I7" s="4" t="n">
        <f aca="false">Assumptions!I28</f>
        <v>74</v>
      </c>
      <c r="J7" s="4" t="n">
        <f aca="false">Assumptions!J28</f>
        <v>74</v>
      </c>
      <c r="K7" s="4" t="n">
        <f aca="false">Assumptions!K28</f>
        <v>74</v>
      </c>
      <c r="L7" s="4" t="n">
        <f aca="false">Assumptions!L28</f>
        <v>74</v>
      </c>
    </row>
    <row r="8" customFormat="false" ht="15" hidden="false" customHeight="false" outlineLevel="0" collapsed="false">
      <c r="A8" s="0" t="s">
        <v>43</v>
      </c>
      <c r="C8" s="0" t="n">
        <f aca="false">C6*C7/100</f>
        <v>2474.4127212</v>
      </c>
      <c r="D8" s="0" t="n">
        <f aca="false">D6*D7/100</f>
        <v>2654.186380128</v>
      </c>
      <c r="E8" s="0" t="n">
        <f aca="false">E6*E7/100</f>
        <v>3110.4882852048</v>
      </c>
      <c r="F8" s="0" t="n">
        <f aca="false">F6*F7/100</f>
        <v>3695.68911569023</v>
      </c>
      <c r="G8" s="0" t="n">
        <f aca="false">G6*G7/100</f>
        <v>4167.52230141945</v>
      </c>
      <c r="H8" s="0" t="n">
        <f aca="false">H6*H7/100</f>
        <v>4447.62516086179</v>
      </c>
      <c r="I8" s="0" t="n">
        <f aca="false">I6*I7/100</f>
        <v>4670.00641890488</v>
      </c>
      <c r="J8" s="0" t="n">
        <f aca="false">J6*J7/100</f>
        <v>4856.80667566107</v>
      </c>
      <c r="K8" s="0" t="n">
        <f aca="false">K6*K7/100</f>
        <v>5002.5108759309</v>
      </c>
      <c r="L8" s="0" t="n">
        <f aca="false">L6*L7/100</f>
        <v>5152.58620220883</v>
      </c>
    </row>
    <row r="9" customFormat="false" ht="15" hidden="false" customHeight="false" outlineLevel="0" collapsed="false">
      <c r="A9" s="0" t="s">
        <v>99</v>
      </c>
      <c r="C9" s="4" t="n">
        <f aca="false">Assumptions!C29</f>
        <v>0.6</v>
      </c>
      <c r="D9" s="4" t="n">
        <f aca="false">Assumptions!D29</f>
        <v>0.6</v>
      </c>
      <c r="E9" s="4" t="n">
        <f aca="false">Assumptions!E29</f>
        <v>0.6</v>
      </c>
      <c r="F9" s="4" t="n">
        <f aca="false">Assumptions!F29</f>
        <v>0.6</v>
      </c>
      <c r="G9" s="4" t="n">
        <f aca="false">Assumptions!G29</f>
        <v>0.6</v>
      </c>
      <c r="H9" s="4" t="n">
        <f aca="false">Assumptions!H29</f>
        <v>0.6</v>
      </c>
      <c r="I9" s="4" t="n">
        <f aca="false">Assumptions!I29</f>
        <v>0.6</v>
      </c>
      <c r="J9" s="4" t="n">
        <f aca="false">Assumptions!J29</f>
        <v>0.6</v>
      </c>
      <c r="K9" s="4" t="n">
        <f aca="false">Assumptions!K29</f>
        <v>0.6</v>
      </c>
      <c r="L9" s="4" t="n">
        <f aca="false">Assumptions!L29</f>
        <v>0.6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-20.19928752</v>
      </c>
      <c r="D10" s="0" t="n">
        <f aca="false">-D6*D9/100</f>
        <v>-21.8152305216</v>
      </c>
      <c r="E10" s="0" t="n">
        <f aca="false">-E6*E9/100</f>
        <v>-25.741972015488</v>
      </c>
      <c r="F10" s="0" t="n">
        <f aca="false">-F6*F9/100</f>
        <v>-30.3755269782758</v>
      </c>
      <c r="G10" s="0" t="n">
        <f aca="false">-G6*G9/100</f>
        <v>-34.0205902156689</v>
      </c>
      <c r="H10" s="0" t="n">
        <f aca="false">-H6*H9/100</f>
        <v>-36.0618256286091</v>
      </c>
      <c r="I10" s="0" t="n">
        <f aca="false">-I6*I9/100</f>
        <v>-37.8649169100395</v>
      </c>
      <c r="J10" s="0" t="n">
        <f aca="false">-J6*J9/100</f>
        <v>-39.3795135864411</v>
      </c>
      <c r="K10" s="0" t="n">
        <f aca="false">-K6*K9/100</f>
        <v>-40.5608989940344</v>
      </c>
      <c r="L10" s="0" t="n">
        <f aca="false">-L6*L9/100</f>
        <v>-41.7777259638554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2423.9145024</v>
      </c>
      <c r="D11" s="0" t="n">
        <f aca="false">D8+D10+D24</f>
        <v>2599.648303824</v>
      </c>
      <c r="E11" s="0" t="n">
        <f aca="false">E8+E10+E24</f>
        <v>3050.42368383533</v>
      </c>
      <c r="F11" s="0" t="n">
        <f aca="false">F8+F10+F24</f>
        <v>3629.87547390396</v>
      </c>
      <c r="G11" s="0" t="n">
        <f aca="false">G8+G10+G24</f>
        <v>4099.48112098811</v>
      </c>
      <c r="H11" s="0" t="n">
        <f aca="false">H8+H10+H24</f>
        <v>4375.50150960457</v>
      </c>
      <c r="I11" s="0" t="n">
        <f aca="false">I8+I10+I24</f>
        <v>4594.2765850848</v>
      </c>
      <c r="J11" s="0" t="n">
        <f aca="false">J8+J10+J24</f>
        <v>4778.04764848819</v>
      </c>
      <c r="K11" s="0" t="n">
        <f aca="false">K8+K10+K24</f>
        <v>4921.38907794284</v>
      </c>
      <c r="L11" s="0" t="n">
        <f aca="false">L8+L10+L24</f>
        <v>5069.03075028112</v>
      </c>
    </row>
    <row r="12" customFormat="false" ht="15" hidden="false" customHeight="false" outlineLevel="0" collapsed="false">
      <c r="A12" s="0" t="s">
        <v>116</v>
      </c>
      <c r="C12" s="4" t="n">
        <f aca="false">-C6*Assumptions!C31/100</f>
        <v>-706.9750632</v>
      </c>
      <c r="D12" s="4" t="n">
        <f aca="false">-D6*Assumptions!D31/100</f>
        <v>-763.533068256</v>
      </c>
      <c r="E12" s="4" t="n">
        <f aca="false">-E6*Assumptions!E31/100</f>
        <v>-922.42066388832</v>
      </c>
      <c r="F12" s="4" t="n">
        <f aca="false">-F6*Assumptions!F31/100</f>
        <v>-1113.76932253678</v>
      </c>
      <c r="G12" s="4" t="n">
        <f aca="false">-G6*Assumptions!G31/100</f>
        <v>-1247.42164124119</v>
      </c>
      <c r="H12" s="4" t="n">
        <f aca="false">-H6*Assumptions!H31/100</f>
        <v>-1292.21541835849</v>
      </c>
      <c r="I12" s="4" t="n">
        <f aca="false">-I6*Assumptions!I31/100</f>
        <v>-1325.27209185138</v>
      </c>
      <c r="J12" s="4" t="n">
        <f aca="false">-J6*Assumptions!J31/100</f>
        <v>-1378.28297552544</v>
      </c>
      <c r="K12" s="4" t="n">
        <f aca="false">-K6*Assumptions!K31/100</f>
        <v>-1419.6314647912</v>
      </c>
      <c r="L12" s="4" t="n">
        <f aca="false">-L6*Assumptions!L31/100</f>
        <v>-1462.22040873494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1716.9394392</v>
      </c>
      <c r="D13" s="0" t="n">
        <f aca="false">D11+D12</f>
        <v>1836.115235568</v>
      </c>
      <c r="E13" s="0" t="n">
        <f aca="false">E11+E12</f>
        <v>2128.00301994701</v>
      </c>
      <c r="F13" s="0" t="n">
        <f aca="false">F11+F12</f>
        <v>2516.10615136718</v>
      </c>
      <c r="G13" s="0" t="n">
        <f aca="false">G11+G12</f>
        <v>2852.05947974691</v>
      </c>
      <c r="H13" s="0" t="n">
        <f aca="false">H11+H12</f>
        <v>3083.28609124608</v>
      </c>
      <c r="I13" s="0" t="n">
        <f aca="false">I11+I12</f>
        <v>3269.00449323341</v>
      </c>
      <c r="J13" s="0" t="n">
        <f aca="false">J11+J12</f>
        <v>3399.76467296275</v>
      </c>
      <c r="K13" s="0" t="n">
        <f aca="false">K11+K12</f>
        <v>3501.75761315163</v>
      </c>
      <c r="L13" s="0" t="n">
        <f aca="false">L11+L12</f>
        <v>3606.81034154618</v>
      </c>
    </row>
    <row r="14" customFormat="false" ht="15" hidden="false" customHeight="false" outlineLevel="0" collapsed="false">
      <c r="A14" s="0" t="s">
        <v>103</v>
      </c>
      <c r="C14" s="4" t="n">
        <f aca="false">Assumptions!C33</f>
        <v>6</v>
      </c>
      <c r="D14" s="4" t="n">
        <f aca="false">Assumptions!D33</f>
        <v>5</v>
      </c>
      <c r="E14" s="4" t="n">
        <f aca="false">Assumptions!E33</f>
        <v>5</v>
      </c>
      <c r="F14" s="4" t="n">
        <f aca="false">Assumptions!F33</f>
        <v>7</v>
      </c>
      <c r="G14" s="4" t="n">
        <f aca="false">Assumptions!G33</f>
        <v>9</v>
      </c>
      <c r="H14" s="4" t="n">
        <f aca="false">Assumptions!H33</f>
        <v>11</v>
      </c>
      <c r="I14" s="4" t="n">
        <f aca="false">Assumptions!I33</f>
        <v>13</v>
      </c>
      <c r="J14" s="4" t="n">
        <f aca="false">Assumptions!J33</f>
        <v>14</v>
      </c>
      <c r="K14" s="4" t="n">
        <f aca="false">Assumptions!K33</f>
        <v>15</v>
      </c>
      <c r="L14" s="4" t="n">
        <f aca="false">Assumptions!L33</f>
        <v>15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1613.923072848</v>
      </c>
      <c r="D15" s="0" t="n">
        <f aca="false">D13-MAX(0,D13)*D14/100</f>
        <v>1744.3094737896</v>
      </c>
      <c r="E15" s="0" t="n">
        <f aca="false">E13-MAX(0,E13)*E14/100</f>
        <v>2021.60286894966</v>
      </c>
      <c r="F15" s="0" t="n">
        <f aca="false">F13-MAX(0,F13)*F14/100</f>
        <v>2339.97872077148</v>
      </c>
      <c r="G15" s="0" t="n">
        <f aca="false">G13-MAX(0,G13)*G14/100</f>
        <v>2595.37412656969</v>
      </c>
      <c r="H15" s="0" t="n">
        <f aca="false">H13-MAX(0,H13)*H14/100</f>
        <v>2744.12462120901</v>
      </c>
      <c r="I15" s="0" t="n">
        <f aca="false">I13-MAX(0,I13)*I14/100</f>
        <v>2844.03390911307</v>
      </c>
      <c r="J15" s="0" t="n">
        <f aca="false">J13-MAX(0,J13)*J14/100</f>
        <v>2923.79761874797</v>
      </c>
      <c r="K15" s="0" t="n">
        <f aca="false">K13-MAX(0,K13)*K14/100</f>
        <v>2976.49397117889</v>
      </c>
      <c r="L15" s="0" t="n">
        <f aca="false">L13-MAX(0,L13)*L14/100</f>
        <v>3065.78879031426</v>
      </c>
    </row>
    <row r="16" customFormat="false" ht="15" hidden="false" customHeight="false" outlineLevel="0" collapsed="false">
      <c r="A16" s="0" t="s">
        <v>119</v>
      </c>
      <c r="C16" s="0" t="n">
        <f aca="false">-C12</f>
        <v>706.9750632</v>
      </c>
      <c r="D16" s="0" t="n">
        <f aca="false">-D12</f>
        <v>763.533068256</v>
      </c>
      <c r="E16" s="0" t="n">
        <f aca="false">-E12</f>
        <v>922.42066388832</v>
      </c>
      <c r="F16" s="0" t="n">
        <f aca="false">-F12</f>
        <v>1113.76932253678</v>
      </c>
      <c r="G16" s="0" t="n">
        <f aca="false">-G12</f>
        <v>1247.42164124119</v>
      </c>
      <c r="H16" s="0" t="n">
        <f aca="false">-H12</f>
        <v>1292.21541835849</v>
      </c>
      <c r="I16" s="0" t="n">
        <f aca="false">-I12</f>
        <v>1325.27209185138</v>
      </c>
      <c r="J16" s="0" t="n">
        <f aca="false">-J12</f>
        <v>1378.28297552544</v>
      </c>
      <c r="K16" s="0" t="n">
        <f aca="false">-K12</f>
        <v>1419.6314647912</v>
      </c>
      <c r="L16" s="0" t="n">
        <f aca="false">-L12</f>
        <v>1462.22040873494</v>
      </c>
    </row>
    <row r="17" customFormat="false" ht="15" hidden="false" customHeight="false" outlineLevel="0" collapsed="false">
      <c r="A17" s="0" t="s">
        <v>120</v>
      </c>
      <c r="C17" s="4" t="n">
        <f aca="false">-C6*Assumptions!C32/100</f>
        <v>-2423.9145024</v>
      </c>
      <c r="D17" s="4" t="n">
        <f aca="false">-D6*Assumptions!D32/100</f>
        <v>-3090.49099056</v>
      </c>
      <c r="E17" s="4" t="n">
        <f aca="false">-E6*Assumptions!E32/100</f>
        <v>-2359.6807680864</v>
      </c>
      <c r="F17" s="4" t="n">
        <f aca="false">-F6*Assumptions!F32/100</f>
        <v>-1215.02107913103</v>
      </c>
      <c r="G17" s="4" t="n">
        <f aca="false">-G6*Assumptions!G32/100</f>
        <v>-1020.61770647007</v>
      </c>
      <c r="H17" s="4" t="n">
        <f aca="false">-H6*Assumptions!H32/100</f>
        <v>-1021.75172614392</v>
      </c>
      <c r="I17" s="4" t="n">
        <f aca="false">-I6*Assumptions!I32/100</f>
        <v>-1072.83931245112</v>
      </c>
      <c r="J17" s="4" t="n">
        <f aca="false">-J6*Assumptions!J32/100</f>
        <v>-1115.75288494917</v>
      </c>
      <c r="K17" s="4" t="n">
        <f aca="false">-K6*Assumptions!K32/100</f>
        <v>-1149.22547149764</v>
      </c>
      <c r="L17" s="4" t="n">
        <f aca="false">-L6*Assumptions!L32/100</f>
        <v>-1183.70223564257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-103.016366352</v>
      </c>
      <c r="D19" s="0" t="n">
        <f aca="false">D15+D16+D17+D18</f>
        <v>-582.6484485144</v>
      </c>
      <c r="E19" s="0" t="n">
        <f aca="false">E15+E16+E17+E18</f>
        <v>584.342764751577</v>
      </c>
      <c r="F19" s="0" t="n">
        <f aca="false">F15+F16+F17+F18</f>
        <v>2238.72696417723</v>
      </c>
      <c r="G19" s="0" t="n">
        <f aca="false">G15+G16+G17+G18</f>
        <v>2822.17806134082</v>
      </c>
      <c r="H19" s="0" t="n">
        <f aca="false">H15+H16+H17+H18</f>
        <v>3014.58831342358</v>
      </c>
      <c r="I19" s="0" t="n">
        <f aca="false">I15+I16+I17+I18</f>
        <v>3096.46668851333</v>
      </c>
      <c r="J19" s="0" t="n">
        <f aca="false">J15+J16+J17+J18</f>
        <v>3186.32770932424</v>
      </c>
      <c r="K19" s="0" t="n">
        <f aca="false">K15+K16+K17+K18</f>
        <v>3246.89996447245</v>
      </c>
      <c r="L19" s="0" t="n">
        <f aca="false">L15+L16+L17+L18</f>
        <v>3344.30696340662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-95.8291780018602</v>
      </c>
      <c r="D21" s="0" t="n">
        <f aca="false">D19*D20</f>
        <v>-504.184703960541</v>
      </c>
      <c r="E21" s="0" t="n">
        <f aca="false">E19*E20</f>
        <v>470.372884703246</v>
      </c>
      <c r="F21" s="0" t="n">
        <f aca="false">F19*F20</f>
        <v>1676.35993680056</v>
      </c>
      <c r="G21" s="0" t="n">
        <f aca="false">G19*G20</f>
        <v>1965.81249065606</v>
      </c>
      <c r="H21" s="0" t="n">
        <f aca="false">H19*H20</f>
        <v>1953.33722111346</v>
      </c>
      <c r="I21" s="0" t="n">
        <f aca="false">I19*I20</f>
        <v>1866.41047196845</v>
      </c>
      <c r="J21" s="0" t="n">
        <f aca="false">J19*J20</f>
        <v>1786.58106294131</v>
      </c>
      <c r="K21" s="0" t="n">
        <f aca="false">K19*K20</f>
        <v>1693.52935970659</v>
      </c>
      <c r="L21" s="0" t="n">
        <f aca="false">L19*L20</f>
        <v>1622.6374330212</v>
      </c>
    </row>
    <row r="23" customFormat="false" ht="15" hidden="false" customHeight="false" outlineLevel="0" collapsed="false">
      <c r="A23" s="0" t="s">
        <v>100</v>
      </c>
      <c r="C23" s="4" t="n">
        <f aca="false">Assumptions!C30</f>
        <v>0.9</v>
      </c>
      <c r="D23" s="4" t="n">
        <f aca="false">Assumptions!D30</f>
        <v>0.9</v>
      </c>
      <c r="E23" s="4" t="n">
        <f aca="false">Assumptions!E30</f>
        <v>0.8</v>
      </c>
      <c r="F23" s="4" t="n">
        <f aca="false">Assumptions!F30</f>
        <v>0.7</v>
      </c>
      <c r="G23" s="4" t="n">
        <f aca="false">Assumptions!G30</f>
        <v>0.6</v>
      </c>
      <c r="H23" s="4" t="n">
        <f aca="false">Assumptions!H30</f>
        <v>0.6</v>
      </c>
      <c r="I23" s="4" t="n">
        <f aca="false">Assumptions!I30</f>
        <v>0.6</v>
      </c>
      <c r="J23" s="4" t="n">
        <f aca="false">Assumptions!J30</f>
        <v>0.6</v>
      </c>
      <c r="K23" s="4" t="n">
        <f aca="false">Assumptions!K30</f>
        <v>0.6</v>
      </c>
      <c r="L23" s="4" t="n">
        <f aca="false">Assumptions!L30</f>
        <v>0.6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-30.29893128</v>
      </c>
      <c r="D24" s="0" t="n">
        <f aca="false">-D6*D23/100</f>
        <v>-32.7228457824</v>
      </c>
      <c r="E24" s="0" t="n">
        <f aca="false">-E6*E23/100</f>
        <v>-34.322629353984</v>
      </c>
      <c r="F24" s="0" t="n">
        <f aca="false">-F6*F23/100</f>
        <v>-35.4381148079885</v>
      </c>
      <c r="G24" s="0" t="n">
        <f aca="false">-G6*G23/100</f>
        <v>-34.0205902156689</v>
      </c>
      <c r="H24" s="0" t="n">
        <f aca="false">-H6*H23/100</f>
        <v>-36.0618256286091</v>
      </c>
      <c r="I24" s="0" t="n">
        <f aca="false">-I6*I23/100</f>
        <v>-37.8649169100395</v>
      </c>
      <c r="J24" s="0" t="n">
        <f aca="false">-J6*J23/100</f>
        <v>-39.3795135864411</v>
      </c>
      <c r="K24" s="0" t="n">
        <f aca="false">-K6*K23/100</f>
        <v>-40.5608989940344</v>
      </c>
      <c r="L24" s="0" t="n">
        <f aca="false">-L6*L23/100</f>
        <v>-41.7777259638554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Assumptions!$B$34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Assumptions!$B$35</f>
        <v>2.5</v>
      </c>
    </row>
    <row r="29" customFormat="false" ht="15" hidden="false" customHeight="false" outlineLevel="0" collapsed="false">
      <c r="A29" s="0" t="s">
        <v>106</v>
      </c>
      <c r="B29" s="4" t="n">
        <f aca="false">Assumptions!$B$36</f>
        <v>18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12435.0269789485</v>
      </c>
    </row>
    <row r="31" customFormat="false" ht="15" hidden="false" customHeight="false" outlineLevel="0" collapsed="false">
      <c r="A31" s="0" t="s">
        <v>128</v>
      </c>
      <c r="B31" s="0" t="n">
        <f aca="false">L19</f>
        <v>3344.30696340662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68558.2927498358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60197.5253413192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60197.5253413192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29207.4737943816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41642.5007733301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26071.0987733301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6.358804578861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0.256680746810475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214.52759854421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415.541129006054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6.51247987826351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27423.3170999343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-0.243163829387092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143</v>
      </c>
    </row>
    <row r="3" customFormat="false" ht="15" hidden="false" customHeight="false" outlineLevel="0" collapsed="false">
      <c r="A3" s="0" t="s">
        <v>112</v>
      </c>
      <c r="B3" s="0" t="s">
        <v>73</v>
      </c>
      <c r="C3" s="2" t="s">
        <v>87</v>
      </c>
      <c r="D3" s="2" t="s">
        <v>88</v>
      </c>
      <c r="E3" s="2" t="s">
        <v>89</v>
      </c>
      <c r="F3" s="2" t="s">
        <v>90</v>
      </c>
      <c r="G3" s="2" t="s">
        <v>91</v>
      </c>
      <c r="H3" s="2" t="s">
        <v>92</v>
      </c>
      <c r="I3" s="2" t="s">
        <v>93</v>
      </c>
      <c r="J3" s="2" t="s">
        <v>94</v>
      </c>
      <c r="K3" s="2" t="s">
        <v>95</v>
      </c>
      <c r="L3" s="2" t="s">
        <v>96</v>
      </c>
    </row>
    <row r="4" customFormat="false" ht="15" hidden="false" customHeight="false" outlineLevel="0" collapsed="false">
      <c r="A4" s="0" t="s">
        <v>113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97</v>
      </c>
      <c r="C5" s="4" t="n">
        <f aca="false">Assumptions!C41</f>
        <v>10</v>
      </c>
      <c r="D5" s="4" t="n">
        <f aca="false">Assumptions!D41</f>
        <v>10</v>
      </c>
      <c r="E5" s="4" t="n">
        <f aca="false">Assumptions!E41</f>
        <v>22</v>
      </c>
      <c r="F5" s="4" t="n">
        <f aca="false">Assumptions!F41</f>
        <v>22</v>
      </c>
      <c r="G5" s="4" t="n">
        <f aca="false">Assumptions!G41</f>
        <v>15</v>
      </c>
      <c r="H5" s="4" t="n">
        <f aca="false">Assumptions!H41</f>
        <v>8</v>
      </c>
      <c r="I5" s="4" t="n">
        <f aca="false">Assumptions!I41</f>
        <v>6</v>
      </c>
      <c r="J5" s="4" t="n">
        <f aca="false">Assumptions!J41</f>
        <v>5</v>
      </c>
      <c r="K5" s="4" t="n">
        <f aca="false">Assumptions!K41</f>
        <v>4</v>
      </c>
      <c r="L5" s="4" t="n">
        <f aca="false">Assumptions!L41</f>
        <v>3</v>
      </c>
    </row>
    <row r="6" customFormat="false" ht="15" hidden="false" customHeight="false" outlineLevel="0" collapsed="false">
      <c r="A6" s="0" t="s">
        <v>37</v>
      </c>
      <c r="B6" s="3" t="n">
        <v>3117.174</v>
      </c>
      <c r="C6" s="0" t="n">
        <f aca="false">B6*(1+C5/100)</f>
        <v>3428.8914</v>
      </c>
      <c r="D6" s="0" t="n">
        <f aca="false">C6*(1+D5/100)</f>
        <v>3771.78054</v>
      </c>
      <c r="E6" s="0" t="n">
        <f aca="false">D6*(1+E5/100)</f>
        <v>4601.5722588</v>
      </c>
      <c r="F6" s="0" t="n">
        <f aca="false">E6*(1+F5/100)</f>
        <v>5613.918155736</v>
      </c>
      <c r="G6" s="0" t="n">
        <f aca="false">F6*(1+G5/100)</f>
        <v>6456.0058790964</v>
      </c>
      <c r="H6" s="0" t="n">
        <f aca="false">G6*(1+H5/100)</f>
        <v>6972.48634942411</v>
      </c>
      <c r="I6" s="0" t="n">
        <f aca="false">H6*(1+I5/100)</f>
        <v>7390.83553038956</v>
      </c>
      <c r="J6" s="0" t="n">
        <f aca="false">I6*(1+J5/100)</f>
        <v>7760.37730690904</v>
      </c>
      <c r="K6" s="0" t="n">
        <f aca="false">J6*(1+K5/100)</f>
        <v>8070.7923991854</v>
      </c>
      <c r="L6" s="0" t="n">
        <f aca="false">K6*(1+L5/100)</f>
        <v>8312.91617116096</v>
      </c>
    </row>
    <row r="7" customFormat="false" ht="15" hidden="false" customHeight="false" outlineLevel="0" collapsed="false">
      <c r="A7" s="0" t="s">
        <v>98</v>
      </c>
      <c r="C7" s="4" t="n">
        <f aca="false">Assumptions!C42</f>
        <v>74</v>
      </c>
      <c r="D7" s="4" t="n">
        <f aca="false">Assumptions!D42</f>
        <v>74</v>
      </c>
      <c r="E7" s="4" t="n">
        <f aca="false">Assumptions!E42</f>
        <v>74</v>
      </c>
      <c r="F7" s="4" t="n">
        <f aca="false">Assumptions!F42</f>
        <v>74.5</v>
      </c>
      <c r="G7" s="4" t="n">
        <f aca="false">Assumptions!G42</f>
        <v>75</v>
      </c>
      <c r="H7" s="4" t="n">
        <f aca="false">Assumptions!H42</f>
        <v>75.5</v>
      </c>
      <c r="I7" s="4" t="n">
        <f aca="false">Assumptions!I42</f>
        <v>76</v>
      </c>
      <c r="J7" s="4" t="n">
        <f aca="false">Assumptions!J42</f>
        <v>76</v>
      </c>
      <c r="K7" s="4" t="n">
        <f aca="false">Assumptions!K42</f>
        <v>76</v>
      </c>
      <c r="L7" s="4" t="n">
        <f aca="false">Assumptions!L42</f>
        <v>76</v>
      </c>
    </row>
    <row r="8" customFormat="false" ht="15" hidden="false" customHeight="false" outlineLevel="0" collapsed="false">
      <c r="A8" s="0" t="s">
        <v>43</v>
      </c>
      <c r="C8" s="0" t="n">
        <f aca="false">C6*C7/100</f>
        <v>2537.379636</v>
      </c>
      <c r="D8" s="0" t="n">
        <f aca="false">D6*D7/100</f>
        <v>2791.1175996</v>
      </c>
      <c r="E8" s="0" t="n">
        <f aca="false">E6*E7/100</f>
        <v>3405.163471512</v>
      </c>
      <c r="F8" s="0" t="n">
        <f aca="false">F6*F7/100</f>
        <v>4182.36902602332</v>
      </c>
      <c r="G8" s="0" t="n">
        <f aca="false">G6*G7/100</f>
        <v>4842.0044093223</v>
      </c>
      <c r="H8" s="0" t="n">
        <f aca="false">H6*H7/100</f>
        <v>5264.22719381521</v>
      </c>
      <c r="I8" s="0" t="n">
        <f aca="false">I6*I7/100</f>
        <v>5617.03500309607</v>
      </c>
      <c r="J8" s="0" t="n">
        <f aca="false">J6*J7/100</f>
        <v>5897.88675325087</v>
      </c>
      <c r="K8" s="0" t="n">
        <f aca="false">K6*K7/100</f>
        <v>6133.8022233809</v>
      </c>
      <c r="L8" s="0" t="n">
        <f aca="false">L6*L7/100</f>
        <v>6317.81629008233</v>
      </c>
    </row>
    <row r="9" customFormat="false" ht="15" hidden="false" customHeight="false" outlineLevel="0" collapsed="false">
      <c r="A9" s="0" t="s">
        <v>99</v>
      </c>
      <c r="C9" s="4" t="n">
        <f aca="false">Assumptions!C43</f>
        <v>0.6</v>
      </c>
      <c r="D9" s="4" t="n">
        <f aca="false">Assumptions!D43</f>
        <v>0.6</v>
      </c>
      <c r="E9" s="4" t="n">
        <f aca="false">Assumptions!E43</f>
        <v>0.6</v>
      </c>
      <c r="F9" s="4" t="n">
        <f aca="false">Assumptions!F43</f>
        <v>0.6</v>
      </c>
      <c r="G9" s="4" t="n">
        <f aca="false">Assumptions!G43</f>
        <v>0.6</v>
      </c>
      <c r="H9" s="4" t="n">
        <f aca="false">Assumptions!H43</f>
        <v>0.6</v>
      </c>
      <c r="I9" s="4" t="n">
        <f aca="false">Assumptions!I43</f>
        <v>0.6</v>
      </c>
      <c r="J9" s="4" t="n">
        <f aca="false">Assumptions!J43</f>
        <v>0.6</v>
      </c>
      <c r="K9" s="4" t="n">
        <f aca="false">Assumptions!K43</f>
        <v>0.6</v>
      </c>
      <c r="L9" s="4" t="n">
        <f aca="false">Assumptions!L43</f>
        <v>0.6</v>
      </c>
    </row>
    <row r="10" customFormat="false" ht="15" hidden="false" customHeight="false" outlineLevel="0" collapsed="false">
      <c r="A10" s="0" t="s">
        <v>114</v>
      </c>
      <c r="C10" s="0" t="n">
        <f aca="false">-C6*C9/100</f>
        <v>-20.5733484</v>
      </c>
      <c r="D10" s="0" t="n">
        <f aca="false">-D6*D9/100</f>
        <v>-22.63068324</v>
      </c>
      <c r="E10" s="0" t="n">
        <f aca="false">-E6*E9/100</f>
        <v>-27.6094335528</v>
      </c>
      <c r="F10" s="0" t="n">
        <f aca="false">-F6*F9/100</f>
        <v>-33.683508934416</v>
      </c>
      <c r="G10" s="0" t="n">
        <f aca="false">-G6*G9/100</f>
        <v>-38.7360352745784</v>
      </c>
      <c r="H10" s="0" t="n">
        <f aca="false">-H6*H9/100</f>
        <v>-41.8349180965447</v>
      </c>
      <c r="I10" s="0" t="n">
        <f aca="false">-I6*I9/100</f>
        <v>-44.3450131823374</v>
      </c>
      <c r="J10" s="0" t="n">
        <f aca="false">-J6*J9/100</f>
        <v>-46.5622638414542</v>
      </c>
      <c r="K10" s="0" t="n">
        <f aca="false">-K6*K9/100</f>
        <v>-48.4247543951124</v>
      </c>
      <c r="L10" s="0" t="n">
        <f aca="false">-L6*L9/100</f>
        <v>-49.8774970269658</v>
      </c>
    </row>
    <row r="11" customFormat="false" ht="15" hidden="false" customHeight="false" outlineLevel="0" collapsed="false">
      <c r="A11" s="0" t="s">
        <v>115</v>
      </c>
      <c r="C11" s="0" t="n">
        <f aca="false">C8+C10+C24</f>
        <v>2485.946265</v>
      </c>
      <c r="D11" s="0" t="n">
        <f aca="false">D8+D10+D24</f>
        <v>2734.5408915</v>
      </c>
      <c r="E11" s="0" t="n">
        <f aca="false">E8+E10+E24</f>
        <v>3340.7414598888</v>
      </c>
      <c r="F11" s="0" t="n">
        <f aca="false">F8+F10+F24</f>
        <v>4109.38808999875</v>
      </c>
      <c r="G11" s="0" t="n">
        <f aca="false">G8+G10+G24</f>
        <v>4764.53233877314</v>
      </c>
      <c r="H11" s="0" t="n">
        <f aca="false">H8+H10+H24</f>
        <v>5180.55735762212</v>
      </c>
      <c r="I11" s="0" t="n">
        <f aca="false">I8+I10+I24</f>
        <v>5528.34497673139</v>
      </c>
      <c r="J11" s="0" t="n">
        <f aca="false">J8+J10+J24</f>
        <v>5804.76222556796</v>
      </c>
      <c r="K11" s="0" t="n">
        <f aca="false">K8+K10+K24</f>
        <v>6036.95271459068</v>
      </c>
      <c r="L11" s="0" t="n">
        <f aca="false">L8+L10+L24</f>
        <v>6218.0612960284</v>
      </c>
    </row>
    <row r="12" customFormat="false" ht="15" hidden="false" customHeight="false" outlineLevel="0" collapsed="false">
      <c r="A12" s="0" t="s">
        <v>116</v>
      </c>
      <c r="C12" s="4" t="n">
        <f aca="false">-C6*Assumptions!C45/100</f>
        <v>-720.067194</v>
      </c>
      <c r="D12" s="4" t="n">
        <f aca="false">-D6*Assumptions!D45/100</f>
        <v>-792.0739134</v>
      </c>
      <c r="E12" s="4" t="n">
        <f aca="false">-E6*Assumptions!E45/100</f>
        <v>-989.338035642</v>
      </c>
      <c r="F12" s="4" t="n">
        <f aca="false">-F6*Assumptions!F45/100</f>
        <v>-1235.06199426192</v>
      </c>
      <c r="G12" s="4" t="n">
        <f aca="false">-G6*Assumptions!G45/100</f>
        <v>-1420.32129340121</v>
      </c>
      <c r="H12" s="4" t="n">
        <f aca="false">-H6*Assumptions!H45/100</f>
        <v>-1499.08456512618</v>
      </c>
      <c r="I12" s="4" t="n">
        <f aca="false">-I6*Assumptions!I45/100</f>
        <v>-1552.07546138181</v>
      </c>
      <c r="J12" s="4" t="n">
        <f aca="false">-J6*Assumptions!J45/100</f>
        <v>-1629.6792344509</v>
      </c>
      <c r="K12" s="4" t="n">
        <f aca="false">-K6*Assumptions!K45/100</f>
        <v>-1694.86640382893</v>
      </c>
      <c r="L12" s="4" t="n">
        <f aca="false">-L6*Assumptions!L45/100</f>
        <v>-1745.7123959438</v>
      </c>
    </row>
    <row r="13" customFormat="false" ht="15" hidden="false" customHeight="false" outlineLevel="0" collapsed="false">
      <c r="A13" s="0" t="s">
        <v>117</v>
      </c>
      <c r="C13" s="0" t="n">
        <f aca="false">C11+C12</f>
        <v>1765.879071</v>
      </c>
      <c r="D13" s="0" t="n">
        <f aca="false">D11+D12</f>
        <v>1942.4669781</v>
      </c>
      <c r="E13" s="0" t="n">
        <f aca="false">E11+E12</f>
        <v>2351.4034242468</v>
      </c>
      <c r="F13" s="0" t="n">
        <f aca="false">F11+F12</f>
        <v>2874.32609573683</v>
      </c>
      <c r="G13" s="0" t="n">
        <f aca="false">G11+G12</f>
        <v>3344.21104537194</v>
      </c>
      <c r="H13" s="0" t="n">
        <f aca="false">H11+H12</f>
        <v>3681.47279249593</v>
      </c>
      <c r="I13" s="0" t="n">
        <f aca="false">I11+I12</f>
        <v>3976.26951534958</v>
      </c>
      <c r="J13" s="0" t="n">
        <f aca="false">J11+J12</f>
        <v>4175.08299111706</v>
      </c>
      <c r="K13" s="0" t="n">
        <f aca="false">K11+K12</f>
        <v>4342.08631076175</v>
      </c>
      <c r="L13" s="0" t="n">
        <f aca="false">L11+L12</f>
        <v>4472.3489000846</v>
      </c>
    </row>
    <row r="14" customFormat="false" ht="15" hidden="false" customHeight="false" outlineLevel="0" collapsed="false">
      <c r="A14" s="0" t="s">
        <v>103</v>
      </c>
      <c r="C14" s="4" t="n">
        <f aca="false">Assumptions!C47</f>
        <v>6</v>
      </c>
      <c r="D14" s="4" t="n">
        <f aca="false">Assumptions!D47</f>
        <v>5</v>
      </c>
      <c r="E14" s="4" t="n">
        <f aca="false">Assumptions!E47</f>
        <v>5</v>
      </c>
      <c r="F14" s="4" t="n">
        <f aca="false">Assumptions!F47</f>
        <v>7</v>
      </c>
      <c r="G14" s="4" t="n">
        <f aca="false">Assumptions!G47</f>
        <v>9</v>
      </c>
      <c r="H14" s="4" t="n">
        <f aca="false">Assumptions!H47</f>
        <v>11</v>
      </c>
      <c r="I14" s="4" t="n">
        <f aca="false">Assumptions!I47</f>
        <v>13</v>
      </c>
      <c r="J14" s="4" t="n">
        <f aca="false">Assumptions!J47</f>
        <v>14</v>
      </c>
      <c r="K14" s="4" t="n">
        <f aca="false">Assumptions!K47</f>
        <v>15</v>
      </c>
      <c r="L14" s="4" t="n">
        <f aca="false">Assumptions!L47</f>
        <v>15</v>
      </c>
    </row>
    <row r="15" customFormat="false" ht="15" hidden="false" customHeight="false" outlineLevel="0" collapsed="false">
      <c r="A15" s="0" t="s">
        <v>118</v>
      </c>
      <c r="C15" s="0" t="n">
        <f aca="false">C13-MAX(0,C13)*C14/100</f>
        <v>1659.92632674</v>
      </c>
      <c r="D15" s="0" t="n">
        <f aca="false">D13-MAX(0,D13)*D14/100</f>
        <v>1845.343629195</v>
      </c>
      <c r="E15" s="0" t="n">
        <f aca="false">E13-MAX(0,E13)*E14/100</f>
        <v>2233.83325303446</v>
      </c>
      <c r="F15" s="0" t="n">
        <f aca="false">F13-MAX(0,F13)*F14/100</f>
        <v>2673.12326903525</v>
      </c>
      <c r="G15" s="0" t="n">
        <f aca="false">G13-MAX(0,G13)*G14/100</f>
        <v>3043.23205128846</v>
      </c>
      <c r="H15" s="0" t="n">
        <f aca="false">H13-MAX(0,H13)*H14/100</f>
        <v>3276.51078532138</v>
      </c>
      <c r="I15" s="0" t="n">
        <f aca="false">I13-MAX(0,I13)*I14/100</f>
        <v>3459.35447835414</v>
      </c>
      <c r="J15" s="0" t="n">
        <f aca="false">J13-MAX(0,J13)*J14/100</f>
        <v>3590.57137236067</v>
      </c>
      <c r="K15" s="0" t="n">
        <f aca="false">K13-MAX(0,K13)*K14/100</f>
        <v>3690.77336414748</v>
      </c>
      <c r="L15" s="0" t="n">
        <f aca="false">L13-MAX(0,L13)*L14/100</f>
        <v>3801.49656507191</v>
      </c>
    </row>
    <row r="16" customFormat="false" ht="15" hidden="false" customHeight="false" outlineLevel="0" collapsed="false">
      <c r="A16" s="0" t="s">
        <v>119</v>
      </c>
      <c r="C16" s="0" t="n">
        <f aca="false">-C12</f>
        <v>720.067194</v>
      </c>
      <c r="D16" s="0" t="n">
        <f aca="false">-D12</f>
        <v>792.0739134</v>
      </c>
      <c r="E16" s="0" t="n">
        <f aca="false">-E12</f>
        <v>989.338035642</v>
      </c>
      <c r="F16" s="0" t="n">
        <f aca="false">-F12</f>
        <v>1235.06199426192</v>
      </c>
      <c r="G16" s="0" t="n">
        <f aca="false">-G12</f>
        <v>1420.32129340121</v>
      </c>
      <c r="H16" s="0" t="n">
        <f aca="false">-H12</f>
        <v>1499.08456512618</v>
      </c>
      <c r="I16" s="0" t="n">
        <f aca="false">-I12</f>
        <v>1552.07546138181</v>
      </c>
      <c r="J16" s="0" t="n">
        <f aca="false">-J12</f>
        <v>1629.6792344509</v>
      </c>
      <c r="K16" s="0" t="n">
        <f aca="false">-K12</f>
        <v>1694.86640382893</v>
      </c>
      <c r="L16" s="0" t="n">
        <f aca="false">-L12</f>
        <v>1745.7123959438</v>
      </c>
    </row>
    <row r="17" customFormat="false" ht="15" hidden="false" customHeight="false" outlineLevel="0" collapsed="false">
      <c r="A17" s="0" t="s">
        <v>120</v>
      </c>
      <c r="C17" s="4" t="n">
        <f aca="false">-C6*Assumptions!C46/100</f>
        <v>-2468.801808</v>
      </c>
      <c r="D17" s="4" t="n">
        <f aca="false">-D6*Assumptions!D46/100</f>
        <v>-3206.013459</v>
      </c>
      <c r="E17" s="4" t="n">
        <f aca="false">-E6*Assumptions!E46/100</f>
        <v>-2300.7861294</v>
      </c>
      <c r="F17" s="4" t="n">
        <f aca="false">-F6*Assumptions!F46/100</f>
        <v>-1235.06199426192</v>
      </c>
      <c r="G17" s="4" t="n">
        <f aca="false">-G6*Assumptions!G46/100</f>
        <v>-1032.96094065542</v>
      </c>
      <c r="H17" s="4" t="n">
        <f aca="false">-H6*Assumptions!H46/100</f>
        <v>-1045.87295241362</v>
      </c>
      <c r="I17" s="4" t="n">
        <f aca="false">-I6*Assumptions!I46/100</f>
        <v>-1108.62532955843</v>
      </c>
      <c r="J17" s="4" t="n">
        <f aca="false">-J6*Assumptions!J46/100</f>
        <v>-1164.05659603636</v>
      </c>
      <c r="K17" s="4" t="n">
        <f aca="false">-K6*Assumptions!K46/100</f>
        <v>-1210.61885987781</v>
      </c>
      <c r="L17" s="4" t="n">
        <f aca="false">-L6*Assumptions!L46/100</f>
        <v>-1246.93742567414</v>
      </c>
    </row>
    <row r="18" customFormat="false" ht="15" hidden="false" customHeight="false" outlineLevel="0" collapsed="false">
      <c r="A18" s="0" t="s">
        <v>121</v>
      </c>
      <c r="C18" s="4" t="n">
        <f aca="false">(C6-B6)*Assumptions!$B$51/100</f>
        <v>31.17174</v>
      </c>
      <c r="D18" s="4" t="n">
        <f aca="false">(D6-C6)*Assumptions!$B$51/100</f>
        <v>34.288914</v>
      </c>
      <c r="E18" s="4" t="n">
        <f aca="false">(E6-D6)*Assumptions!$B$51/100</f>
        <v>82.97917188</v>
      </c>
      <c r="F18" s="4" t="n">
        <f aca="false">(F6-E6)*Assumptions!$B$51/100</f>
        <v>101.2345896936</v>
      </c>
      <c r="G18" s="4" t="n">
        <f aca="false">(G6-F6)*Assumptions!$B$51/100</f>
        <v>84.20877233604</v>
      </c>
      <c r="H18" s="4" t="n">
        <f aca="false">(H6-G6)*Assumptions!$B$51/100</f>
        <v>51.6480470327712</v>
      </c>
      <c r="I18" s="4" t="n">
        <f aca="false">(I6-H6)*Assumptions!$B$51/100</f>
        <v>41.8349180965447</v>
      </c>
      <c r="J18" s="4" t="n">
        <f aca="false">(J6-I6)*Assumptions!$B$51/100</f>
        <v>36.9541776519478</v>
      </c>
      <c r="K18" s="4" t="n">
        <f aca="false">(K6-J6)*Assumptions!$B$51/100</f>
        <v>31.0415092276362</v>
      </c>
      <c r="L18" s="4" t="n">
        <f aca="false">(L6-K6)*Assumptions!$B$51/100</f>
        <v>24.2123771975562</v>
      </c>
    </row>
    <row r="19" customFormat="false" ht="15" hidden="false" customHeight="false" outlineLevel="0" collapsed="false">
      <c r="A19" s="0" t="s">
        <v>122</v>
      </c>
      <c r="C19" s="0" t="n">
        <f aca="false">C15+C16+C17+C18</f>
        <v>-57.6365472599998</v>
      </c>
      <c r="D19" s="0" t="n">
        <f aca="false">D15+D16+D17+D18</f>
        <v>-534.307002405</v>
      </c>
      <c r="E19" s="0" t="n">
        <f aca="false">E15+E16+E17+E18</f>
        <v>1005.36433115646</v>
      </c>
      <c r="F19" s="0" t="n">
        <f aca="false">F15+F16+F17+F18</f>
        <v>2774.35785872885</v>
      </c>
      <c r="G19" s="0" t="n">
        <f aca="false">G15+G16+G17+G18</f>
        <v>3514.80117637029</v>
      </c>
      <c r="H19" s="0" t="n">
        <f aca="false">H15+H16+H17+H18</f>
        <v>3781.37044506672</v>
      </c>
      <c r="I19" s="0" t="n">
        <f aca="false">I15+I16+I17+I18</f>
        <v>3944.63952827406</v>
      </c>
      <c r="J19" s="0" t="n">
        <f aca="false">J15+J16+J17+J18</f>
        <v>4093.14818842716</v>
      </c>
      <c r="K19" s="0" t="n">
        <f aca="false">K15+K16+K17+K18</f>
        <v>4206.06241732624</v>
      </c>
      <c r="L19" s="0" t="n">
        <f aca="false">L15+L16+L17+L18</f>
        <v>4324.48391253912</v>
      </c>
    </row>
    <row r="20" customFormat="false" ht="15" hidden="false" customHeight="false" outlineLevel="0" collapsed="false">
      <c r="A20" s="0" t="s">
        <v>123</v>
      </c>
      <c r="C20" s="0" t="n">
        <f aca="false">1/(1+$B$27/100)^C4</f>
        <v>0.930232558139535</v>
      </c>
      <c r="D20" s="0" t="n">
        <f aca="false">1/(1+$B$27/100)^D4</f>
        <v>0.865332612222823</v>
      </c>
      <c r="E20" s="0" t="n">
        <f aca="false">1/(1+$B$27/100)^E4</f>
        <v>0.804960569509603</v>
      </c>
      <c r="F20" s="0" t="n">
        <f aca="false">1/(1+$B$27/100)^F4</f>
        <v>0.748800529776375</v>
      </c>
      <c r="G20" s="0" t="n">
        <f aca="false">1/(1+$B$27/100)^G4</f>
        <v>0.696558632350116</v>
      </c>
      <c r="H20" s="0" t="n">
        <f aca="false">1/(1+$B$27/100)^H4</f>
        <v>0.647961518465224</v>
      </c>
      <c r="I20" s="0" t="n">
        <f aca="false">1/(1+$B$27/100)^I4</f>
        <v>0.602754900897883</v>
      </c>
      <c r="J20" s="0" t="n">
        <f aca="false">1/(1+$B$27/100)^J4</f>
        <v>0.56070223339338</v>
      </c>
      <c r="K20" s="0" t="n">
        <f aca="false">1/(1+$B$27/100)^K4</f>
        <v>0.521583472924074</v>
      </c>
      <c r="L20" s="0" t="n">
        <f aca="false">1/(1+$B$27/100)^L4</f>
        <v>0.485193928301464</v>
      </c>
    </row>
    <row r="21" customFormat="false" ht="15" hidden="false" customHeight="false" outlineLevel="0" collapsed="false">
      <c r="A21" s="0" t="s">
        <v>124</v>
      </c>
      <c r="C21" s="0" t="n">
        <f aca="false">C19*C20</f>
        <v>-53.6153927999998</v>
      </c>
      <c r="D21" s="0" t="n">
        <f aca="false">D19*D20</f>
        <v>-462.353274120065</v>
      </c>
      <c r="E21" s="0" t="n">
        <f aca="false">E19*E20</f>
        <v>809.278644572345</v>
      </c>
      <c r="F21" s="0" t="n">
        <f aca="false">F19*F20</f>
        <v>2077.44063440541</v>
      </c>
      <c r="G21" s="0" t="n">
        <f aca="false">G19*G20</f>
        <v>2448.26510039507</v>
      </c>
      <c r="H21" s="0" t="n">
        <f aca="false">H19*H20</f>
        <v>2450.18253546495</v>
      </c>
      <c r="I21" s="0" t="n">
        <f aca="false">I19*I20</f>
        <v>2377.6508079427</v>
      </c>
      <c r="J21" s="0" t="n">
        <f aca="false">J19*J20</f>
        <v>2295.03733086118</v>
      </c>
      <c r="K21" s="0" t="n">
        <f aca="false">K19*K20</f>
        <v>2193.81264296445</v>
      </c>
      <c r="L21" s="0" t="n">
        <f aca="false">L19*L20</f>
        <v>2098.21333740134</v>
      </c>
    </row>
    <row r="23" customFormat="false" ht="15" hidden="false" customHeight="false" outlineLevel="0" collapsed="false">
      <c r="A23" s="0" t="s">
        <v>100</v>
      </c>
      <c r="C23" s="4" t="n">
        <f aca="false">Assumptions!C44</f>
        <v>0.9</v>
      </c>
      <c r="D23" s="4" t="n">
        <f aca="false">Assumptions!D44</f>
        <v>0.9</v>
      </c>
      <c r="E23" s="4" t="n">
        <f aca="false">Assumptions!E44</f>
        <v>0.8</v>
      </c>
      <c r="F23" s="4" t="n">
        <f aca="false">Assumptions!F44</f>
        <v>0.7</v>
      </c>
      <c r="G23" s="4" t="n">
        <f aca="false">Assumptions!G44</f>
        <v>0.6</v>
      </c>
      <c r="H23" s="4" t="n">
        <f aca="false">Assumptions!H44</f>
        <v>0.6</v>
      </c>
      <c r="I23" s="4" t="n">
        <f aca="false">Assumptions!I44</f>
        <v>0.6</v>
      </c>
      <c r="J23" s="4" t="n">
        <f aca="false">Assumptions!J44</f>
        <v>0.6</v>
      </c>
      <c r="K23" s="4" t="n">
        <f aca="false">Assumptions!K44</f>
        <v>0.6</v>
      </c>
      <c r="L23" s="4" t="n">
        <f aca="false">Assumptions!L44</f>
        <v>0.6</v>
      </c>
    </row>
    <row r="24" customFormat="false" ht="15" hidden="false" customHeight="false" outlineLevel="0" collapsed="false">
      <c r="A24" s="0" t="s">
        <v>125</v>
      </c>
      <c r="C24" s="0" t="n">
        <f aca="false">-C6*C23/100</f>
        <v>-30.8600226</v>
      </c>
      <c r="D24" s="0" t="n">
        <f aca="false">-D6*D23/100</f>
        <v>-33.94602486</v>
      </c>
      <c r="E24" s="0" t="n">
        <f aca="false">-E6*E23/100</f>
        <v>-36.8125780704</v>
      </c>
      <c r="F24" s="0" t="n">
        <f aca="false">-F6*F23/100</f>
        <v>-39.297427090152</v>
      </c>
      <c r="G24" s="0" t="n">
        <f aca="false">-G6*G23/100</f>
        <v>-38.7360352745784</v>
      </c>
      <c r="H24" s="0" t="n">
        <f aca="false">-H6*H23/100</f>
        <v>-41.8349180965447</v>
      </c>
      <c r="I24" s="0" t="n">
        <f aca="false">-I6*I23/100</f>
        <v>-44.3450131823374</v>
      </c>
      <c r="J24" s="0" t="n">
        <f aca="false">-J6*J23/100</f>
        <v>-46.5622638414542</v>
      </c>
      <c r="K24" s="0" t="n">
        <f aca="false">-K6*K23/100</f>
        <v>-48.4247543951124</v>
      </c>
      <c r="L24" s="0" t="n">
        <f aca="false">-L6*L23/100</f>
        <v>-49.8774970269658</v>
      </c>
    </row>
    <row r="26" customFormat="false" ht="15" hidden="false" customHeight="false" outlineLevel="0" collapsed="false">
      <c r="A26" s="2" t="s">
        <v>126</v>
      </c>
    </row>
    <row r="27" customFormat="false" ht="15" hidden="false" customHeight="false" outlineLevel="0" collapsed="false">
      <c r="A27" s="0" t="s">
        <v>104</v>
      </c>
      <c r="B27" s="4" t="n">
        <f aca="false">Assumptions!$B$48</f>
        <v>7.5</v>
      </c>
    </row>
    <row r="28" customFormat="false" ht="15" hidden="false" customHeight="false" outlineLevel="0" collapsed="false">
      <c r="A28" s="0" t="s">
        <v>105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106</v>
      </c>
      <c r="B29" s="4" t="n">
        <f aca="false">Assumptions!$B$50</f>
        <v>20</v>
      </c>
    </row>
    <row r="30" customFormat="false" ht="15" hidden="false" customHeight="false" outlineLevel="0" collapsed="false">
      <c r="A30" s="0" t="s">
        <v>127</v>
      </c>
      <c r="B30" s="0" t="n">
        <f aca="false">SUM(C21:L21)</f>
        <v>16233.9123670874</v>
      </c>
    </row>
    <row r="31" customFormat="false" ht="15" hidden="false" customHeight="false" outlineLevel="0" collapsed="false">
      <c r="A31" s="0" t="s">
        <v>128</v>
      </c>
      <c r="B31" s="0" t="n">
        <f aca="false">L19</f>
        <v>4324.48391253912</v>
      </c>
    </row>
    <row r="32" customFormat="false" ht="15" hidden="false" customHeight="false" outlineLevel="0" collapsed="false">
      <c r="A32" s="0" t="s">
        <v>129</v>
      </c>
      <c r="B32" s="0" t="n">
        <f aca="false">IF(B27&gt;B28,B31*(1+B28/100)/((B27-B28)/100),B31*B29)</f>
        <v>98982.6317758955</v>
      </c>
    </row>
    <row r="33" customFormat="false" ht="15" hidden="false" customHeight="false" outlineLevel="0" collapsed="false">
      <c r="A33" s="0" t="s">
        <v>130</v>
      </c>
      <c r="B33" s="0" t="n">
        <f aca="false">B31*B29</f>
        <v>86489.6782507824</v>
      </c>
    </row>
    <row r="34" customFormat="false" ht="15" hidden="false" customHeight="false" outlineLevel="0" collapsed="false">
      <c r="A34" s="0" t="s">
        <v>131</v>
      </c>
      <c r="B34" s="0" t="n">
        <f aca="false">MAX(0,MIN(B32,B33))</f>
        <v>86489.6782507824</v>
      </c>
    </row>
    <row r="35" customFormat="false" ht="15" hidden="false" customHeight="false" outlineLevel="0" collapsed="false">
      <c r="A35" s="0" t="s">
        <v>132</v>
      </c>
      <c r="B35" s="0" t="n">
        <f aca="false">B34/(1+B27/100)^L4</f>
        <v>41964.2667480269</v>
      </c>
    </row>
    <row r="36" customFormat="false" ht="15" hidden="false" customHeight="false" outlineLevel="0" collapsed="false">
      <c r="A36" s="0" t="s">
        <v>133</v>
      </c>
      <c r="B36" s="0" t="n">
        <f aca="false">B30+B35</f>
        <v>58198.1791151142</v>
      </c>
    </row>
    <row r="37" customFormat="false" ht="15" hidden="false" customHeight="false" outlineLevel="0" collapsed="false">
      <c r="A37" s="0" t="s">
        <v>134</v>
      </c>
      <c r="B37" s="0" t="n">
        <f aca="false">B36+Assumptions!$B$5-Assumptions!$B$4</f>
        <v>42626.7771151142</v>
      </c>
    </row>
    <row r="38" customFormat="false" ht="15" hidden="false" customHeight="false" outlineLevel="0" collapsed="false">
      <c r="A38" s="0" t="s">
        <v>135</v>
      </c>
      <c r="B38" s="0" t="n">
        <f aca="false">B37/Assumptions!$B$3*Assumptions!$B$10</f>
        <v>10.3967749061254</v>
      </c>
    </row>
    <row r="39" customFormat="false" ht="15" hidden="false" customHeight="false" outlineLevel="0" collapsed="false">
      <c r="A39" s="0" t="s">
        <v>136</v>
      </c>
      <c r="B39" s="4" t="n">
        <f aca="false">B38/Assumptions!$B$2-1</f>
        <v>1.0546985980485</v>
      </c>
    </row>
    <row r="41" customFormat="false" ht="15" hidden="false" customHeight="false" outlineLevel="0" collapsed="false">
      <c r="A41" s="0" t="s">
        <v>137</v>
      </c>
      <c r="B41" s="0" t="n">
        <f aca="false">SUMPRODUCT(-C10:L10/(1+$B$27/100)^C4:L4)</f>
        <v>242.55168789868</v>
      </c>
    </row>
    <row r="42" customFormat="false" ht="15" hidden="false" customHeight="false" outlineLevel="0" collapsed="false">
      <c r="A42" s="0" t="s">
        <v>138</v>
      </c>
      <c r="B42" s="0" t="n">
        <f aca="false">IF(B27&gt;B28,-L10*(1+B28/100)/((B27-B28)/100),-L10*20)/(1+B27/100)^L4</f>
        <v>553.917032841086</v>
      </c>
    </row>
    <row r="43" customFormat="false" ht="15" hidden="false" customHeight="false" outlineLevel="0" collapsed="false">
      <c r="A43" s="0" t="s">
        <v>139</v>
      </c>
      <c r="B43" s="0" t="n">
        <f aca="false">(B37+B41+B42)/Assumptions!$B$3*Assumptions!$B$10</f>
        <v>10.5910355697205</v>
      </c>
    </row>
    <row r="45" customFormat="false" ht="15" hidden="false" customHeight="false" outlineLevel="0" collapsed="false">
      <c r="A45" s="0" t="s">
        <v>80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140</v>
      </c>
      <c r="B46" s="0" t="n">
        <f aca="false">MAX(0,MIN(IF(B45&gt;B28,B31*(1+B28/100)/((B45-B28)/100),B31*B29),B31*B29))</f>
        <v>37118.4869159608</v>
      </c>
    </row>
    <row r="47" customFormat="false" ht="15" hidden="false" customHeight="false" outlineLevel="0" collapsed="false">
      <c r="A47" s="0" t="s">
        <v>141</v>
      </c>
      <c r="B47" s="0" t="n">
        <f aca="false">(SUMPRODUCT(C19:L19/(1+B45/100)^C4:L4)+B46/(1+B45/100)^L4+Assumptions!$B$5-Assumptions!$B$4)/Assumptions!$B$3*Assumptions!$B$10</f>
        <v>0.942613067437087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144</v>
      </c>
    </row>
    <row r="3" customFormat="false" ht="15" hidden="false" customHeight="false" outlineLevel="0" collapsed="false">
      <c r="A3" s="2" t="s">
        <v>145</v>
      </c>
      <c r="B3" s="2" t="s">
        <v>146</v>
      </c>
      <c r="C3" s="2" t="s">
        <v>136</v>
      </c>
      <c r="D3" s="2" t="s">
        <v>147</v>
      </c>
      <c r="E3" s="2" t="s">
        <v>139</v>
      </c>
      <c r="F3" s="2" t="s">
        <v>148</v>
      </c>
    </row>
    <row r="4" customFormat="false" ht="15" hidden="false" customHeight="false" outlineLevel="0" collapsed="false">
      <c r="A4" s="0" t="s">
        <v>149</v>
      </c>
      <c r="B4" s="4" t="n">
        <f aca="false">DCF_Bear!$B$38</f>
        <v>2.06467028846707</v>
      </c>
      <c r="C4" s="0" t="n">
        <f aca="false">B4/Assumptions!$B$2-1</f>
        <v>-0.591962393583583</v>
      </c>
      <c r="D4" s="4" t="n">
        <f aca="false">Assumptions!$B$24</f>
        <v>0.25</v>
      </c>
      <c r="E4" s="4" t="n">
        <f aca="false">DCF_Bear!$B$43</f>
        <v>2.17306800969789</v>
      </c>
      <c r="F4" s="4" t="n">
        <f aca="false">DCF_Bear!$B$47</f>
        <v>-1.5293491318413</v>
      </c>
    </row>
    <row r="5" customFormat="false" ht="15" hidden="false" customHeight="false" outlineLevel="0" collapsed="false">
      <c r="A5" s="0" t="s">
        <v>150</v>
      </c>
      <c r="B5" s="4" t="n">
        <f aca="false">DCF_Base!$B$38</f>
        <v>6.358804578861</v>
      </c>
      <c r="C5" s="0" t="n">
        <f aca="false">B5/Assumptions!$B$2-1</f>
        <v>0.256680746810475</v>
      </c>
      <c r="D5" s="4" t="n">
        <f aca="false">Assumptions!$B$38</f>
        <v>0.5</v>
      </c>
      <c r="E5" s="4" t="n">
        <f aca="false">DCF_Base!$B$43</f>
        <v>6.51247987826351</v>
      </c>
      <c r="F5" s="4" t="n">
        <f aca="false">DCF_Base!$B$47</f>
        <v>-0.243163829387092</v>
      </c>
    </row>
    <row r="6" customFormat="false" ht="15" hidden="false" customHeight="false" outlineLevel="0" collapsed="false">
      <c r="A6" s="0" t="s">
        <v>151</v>
      </c>
      <c r="B6" s="4" t="n">
        <f aca="false">DCF_Bull!$B$38</f>
        <v>10.3967749061254</v>
      </c>
      <c r="C6" s="0" t="n">
        <f aca="false">B6/Assumptions!$B$2-1</f>
        <v>1.0546985980485</v>
      </c>
      <c r="D6" s="4" t="n">
        <f aca="false">Assumptions!$B$52</f>
        <v>0.25</v>
      </c>
      <c r="E6" s="4" t="n">
        <f aca="false">DCF_Bull!$B$43</f>
        <v>10.5910355697205</v>
      </c>
      <c r="F6" s="4" t="n">
        <f aca="false">DCF_Bull!$B$47</f>
        <v>0.942613067437087</v>
      </c>
    </row>
    <row r="8" customFormat="false" ht="15" hidden="false" customHeight="false" outlineLevel="0" collapsed="false">
      <c r="A8" s="0" t="s">
        <v>152</v>
      </c>
      <c r="B8" s="0" t="n">
        <f aca="false">SUMPRODUCT(B4:B6,D4:D6)</f>
        <v>6.29476358807863</v>
      </c>
    </row>
    <row r="9" customFormat="false" ht="15" hidden="false" customHeight="false" outlineLevel="0" collapsed="false">
      <c r="A9" s="0" t="s">
        <v>153</v>
      </c>
      <c r="B9" s="0" t="n">
        <f aca="false">SUMPRODUCT(E4:E6,D4:D6)</f>
        <v>6.44726583398635</v>
      </c>
    </row>
    <row r="10" customFormat="false" ht="15" hidden="false" customHeight="false" outlineLevel="0" collapsed="false">
      <c r="A10" s="0" t="s">
        <v>154</v>
      </c>
      <c r="B10" s="0" t="n">
        <f aca="false">1-Assumptions!$B$2/B8</f>
        <v>0.196157261635225</v>
      </c>
    </row>
    <row r="11" customFormat="false" ht="15" hidden="false" customHeight="false" outlineLevel="0" collapsed="false">
      <c r="A11" s="0" t="s">
        <v>155</v>
      </c>
      <c r="B11" s="0" t="n">
        <f aca="false">IF(ABS(B9-B8)&gt;0.01*ABS(B8),(Assumptions!$B$2-B8)/(B9-B8)*100,"n/a")</f>
        <v>-809.669117152385</v>
      </c>
    </row>
    <row r="12" customFormat="false" ht="15" hidden="false" customHeight="false" outlineLevel="0" collapsed="false">
      <c r="A12" s="0" t="s">
        <v>156</v>
      </c>
      <c r="B12" s="0" t="n">
        <f aca="false">SUMPRODUCT(F4:F6,D4:D6)</f>
        <v>-0.268265930794601</v>
      </c>
    </row>
    <row r="14" customFormat="false" ht="15" hidden="false" customHeight="false" outlineLevel="0" collapsed="false">
      <c r="A14" s="2" t="s">
        <v>157</v>
      </c>
      <c r="C14" s="0" t="s">
        <v>158</v>
      </c>
    </row>
    <row r="15" customFormat="false" ht="15" hidden="false" customHeight="false" outlineLevel="0" collapsed="false">
      <c r="A15" s="0" t="s">
        <v>159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6.358804578861</v>
      </c>
      <c r="C15" s="3" t="n">
        <v>7.5</v>
      </c>
    </row>
    <row r="16" customFormat="false" ht="15" hidden="false" customHeight="false" outlineLevel="0" collapsed="false">
      <c r="A16" s="0" t="s">
        <v>160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4.38779427909473</v>
      </c>
      <c r="C16" s="3" t="n">
        <v>9</v>
      </c>
    </row>
    <row r="17" customFormat="false" ht="15" hidden="false" customHeight="false" outlineLevel="0" collapsed="false">
      <c r="A17" s="0" t="s">
        <v>161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3.08263220343923</v>
      </c>
      <c r="C17" s="3" t="n">
        <v>10</v>
      </c>
    </row>
    <row r="18" customFormat="false" ht="15" hidden="false" customHeight="false" outlineLevel="0" collapsed="false">
      <c r="A18" s="0" t="s">
        <v>162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2.09162182520351</v>
      </c>
      <c r="C18" s="3" t="n">
        <v>11</v>
      </c>
    </row>
    <row r="19" customFormat="false" ht="15" hidden="false" customHeight="false" outlineLevel="0" collapsed="false">
      <c r="A19" s="0" t="s">
        <v>163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1.3152599164791</v>
      </c>
      <c r="C19" s="3" t="n">
        <v>12</v>
      </c>
    </row>
    <row r="20" customFormat="false" ht="15" hidden="false" customHeight="false" outlineLevel="0" collapsed="false">
      <c r="A20" s="0" t="s">
        <v>164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-0.243163829387092</v>
      </c>
      <c r="C20" s="3" t="n">
        <v>15</v>
      </c>
    </row>
    <row r="22" customFormat="false" ht="15" hidden="false" customHeight="false" outlineLevel="0" collapsed="false">
      <c r="A22" s="2" t="s">
        <v>165</v>
      </c>
    </row>
    <row r="23" customFormat="false" ht="15" hidden="false" customHeight="false" outlineLevel="0" collapsed="false">
      <c r="B23" s="3" t="n">
        <v>1.5</v>
      </c>
      <c r="C23" s="3" t="n">
        <v>2</v>
      </c>
      <c r="D23" s="3" t="n">
        <v>2.5</v>
      </c>
      <c r="E23" s="3" t="n">
        <v>3</v>
      </c>
      <c r="F23" s="3" t="n">
        <v>3.5</v>
      </c>
    </row>
    <row r="24" customFormat="false" ht="15" hidden="false" customHeight="false" outlineLevel="0" collapsed="false">
      <c r="A24" s="3" t="n">
        <v>5.5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8.26035372364394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8.26035372364394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8.26035372364394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8.26035372364394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8.26035372364394</v>
      </c>
    </row>
    <row r="25" customFormat="false" ht="15" hidden="false" customHeight="false" outlineLevel="0" collapsed="false">
      <c r="A25" s="3" t="n">
        <v>6.5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7.26302171394665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7.26302171394665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7.26302171394665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7.26302171394665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7.26302171394665</v>
      </c>
    </row>
    <row r="26" customFormat="false" ht="15" hidden="false" customHeight="false" outlineLevel="0" collapsed="false">
      <c r="A26" s="3" t="n">
        <v>7.5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5.93005891566435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6.358804578861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6.358804578861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6.358804578861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6.358804578861</v>
      </c>
    </row>
    <row r="27" customFormat="false" ht="15" hidden="false" customHeight="false" outlineLevel="0" collapsed="false">
      <c r="A27" s="3" t="n">
        <v>8.5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4.2754460604099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4.70558943745449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5.20742337733985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5.53812500592789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5.53812500592789</v>
      </c>
    </row>
    <row r="28" customFormat="false" ht="15" hidden="false" customHeight="false" outlineLevel="0" collapsed="false">
      <c r="A28" s="3" t="n">
        <v>9.5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3.04391645870351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3.34425699904456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3.6875033308629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4.0835567906533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4.54561916040876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2026-10-16T15:01:34Z</dcterms:created>
  <dc:creator>openpyxl</dc:creator>
  <dc:description/>
  <dc:language>en-NZ</dc:language>
  <cp:lastModifiedBy/>
  <dcterms:modified xsi:type="dcterms:W3CDTF">2026-10-16T15:01:34Z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