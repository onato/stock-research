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<sst xmlns="http://schemas.openxmlformats.org/spreadsheetml/2006/main" count="357" uniqueCount="167">
  <si>
    <t xml:space="preserve">Ticker</t>
  </si>
  <si>
    <t xml:space="preserve">1299.HK</t>
  </si>
  <si>
    <t xml:space="preserve">Company</t>
  </si>
  <si>
    <t xml:space="preserve">AIA Group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</si>
  <si>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</si>
  <si>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</si>
  <si>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</si>
  <si>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</si>
  <si>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2026-10-16T07:58:06Z, HKEX closing session (Yahoo Finance chart API; HKEX closes 08:00Z). Regular-session print, not after-hours.</t>
  </si>
  <si>
    <t xml:space="preserve">Balance sheet date</t>
  </si>
  <si>
    <t xml:space="preserve">2026-06-30</t>
  </si>
  <si>
    <t xml:space="preserve">Model</t>
  </si>
  <si>
    <t xml:space="preserve">Life insurer FCFE (net free surplus generation)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</si>
  <si>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</si>
  <si>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</si>
  <si>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</si>
  <si>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</si>
  <si>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</si>
  <si>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</si>
  <si>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</si>
  <si>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</si>
  <si>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</si>
  <si>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2026-10-16T08:18:30Z</t>
  </si>
  <si>
    <t xml:space="preserve">Drivers file</t>
  </si>
  <si>
    <t xml:space="preserve">1299.HK_Drivers.json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</si>
  <si>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</si>
  <si>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</si>
  <si>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</si>
  <si>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AIA on the free surplus its in-force book actually generates for shareholders (net FSG, the figure that funds the 75% payout policy), discounted at a 10% cost of equity with the MTN capital stack left inside the flows and no credit for the US$10.5bn free-surplus buffer. Earnings are built from OPAT, the operating measure, and the FCFE conversion is set to what AIA has delivered (62-66% of OPAT), so new-business strain is charged in full. Embedded Value (US$8.06/share, HK$63.3) and operating ROEV (16-18%) are the cross-check, not the driver; the FCFE route values the business at roughly 1.0-1.1x EV, below the 1.16x the market pays and well below an appraisal-value approach that capitalises VONB.
key_risks_to_valuation: Hong Kong Mainland Visitor Business: Beijing tax enforcement on participating-policy dividends, capital-outflow controls or cross-border travel disruption would hit the Group's largest growth engine; bear models a stall from FY2027; Interest rates and equity markets: a 50bp rate move is ~0.4-0.8% of EV and a 10% equity move ~3.6%; falling China rates have already forced VONB markdowns; these flow through investment return variances outside net FSG but into free surplus; Regulatory capital: ICS alignment across seven markets, the D-SII designation and ad hoc local reserving changes (Thailand -US$169m in FY2025) can raise required capital and cut conversion; Currency: USD reporting against a basket of HKD, RMB, THB, SGD and MYR earnings; CER and AER growth have diverged by 3-4 points in recent periods; Capital-return pace: the shareholder capital ratio has fallen 236% -&gt; 221% -&gt; 210% in 18 months; if the buffer is rebuilt, payout drops below 75% of net FSG for a period; Free surplus of US$10.5bn is not credited; if it is genuinely surplus the valuation is ~HK$7.9/share too low</t>
  </si>
  <si>
    <t xml:space="preserve">Data sources</t>
  </si>
  <si>
    <t xml:space="preserve">price: Yahoo Finance chart API at inputs.price_as_of; 52-week range 68.00-92.15 HKD. USD/HKD from Yahoo HKD=X at the time in inputs.fx_note; ADR parity via AAGIY (1 ADR = 4 shares).
financials: 1299.HK_Metrics.csv and the 1299.HK.duckdb kpis table (EVEquity, UnderlyingProfitAfterTax, ShareRepurchases, DividendsPaid, BookValuePerShare, InsuranceServiceResult); 1299.HK_Annual_FY2025.txt (free-surplus table line 2561, OPAT/ETR guidance line 1715, borrowings 2196, shares 2120, diluted shares 12770); 1299.HK_HalfYear_H1-2026.txt (financial summary lines 102-146, OPAT and diluted shares 1130-1137, CSM movement 1147-1176, free-surplus table 1790-1806, shares in issue 1515).
qualitative: 1299.HK_Analysis.json (2026-10-16): guidance (9-11% OPAT per share CAGR 2023-26, 75% net FSG payout, 40% new-region VONB CAGR), the August 2026 Mainland tax-enforcement episode, D-SII designation, Thailand co-payment regulation, China Post Life stake.</t>
  </si>
  <si>
    <t xml:space="preserve">Scenario narrative: bear</t>
  </si>
  <si>
    <t xml:space="preserve">Beijing makes Hong Kong policies structurally less attractive to Mainland buyers and the Group's largest growth engine stalls; Thailand and local capital rules trim margin and lift strain. Earnings grow at 2-3% from a FY2026 base that is already banked and the stock settles at a low-growth insurer multiple.</t>
  </si>
  <si>
    <t xml:space="preserve">Scenario narrative: base</t>
  </si>
  <si>
    <t xml:space="preserve">A pan-Asian life insurer whose in-force book (CSM US$67.8bn) releases ~9% a year into operating profit, with new business adding to that stock faster than it runs off. Net free surplus of ~US$5.0bn in FY2026 grows at 7-8% for a few years as Hong Kong Mainland Visitor demand normalises from a 35% spike, then at mid-single digits, with a little more of each dollar of OPAT becoming distributable as the product mix shifts toward participating. Discounted at a 10% cost of equity that is a point above the rate AIA uses on its own in-force book, the result sits close to the price: the market is paying a fair price for the franchise, not a bargain.</t>
  </si>
  <si>
    <t xml:space="preserve">Scenario narrative: bull</t>
  </si>
  <si>
    <t xml:space="preserve">The three China vectors -- Mainland Visitor Business in Hong Kong, AIA China's new-province expansion and the China Post Life stake -- all compound, the healthcare and digital programmes keep taking cost out, and the capital-light product shift lifts conversion to 70%. AIA re-rates from 1.16x EV toward its pre-2022 range.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</si>
  <si>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</si>
  <si>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</si>
  <si>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</si>
  <si>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</si>
  <si>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</si>
  <si>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</si>
  <si>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</si>
  <si>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</si>
  <si>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</si>
  <si>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</si>
  <si>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</si>
  <si>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</si>
  <si>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</si>
  <si>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</si>
  <si>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</si>
  <si>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</si>
  <si>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</si>
  <si>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</si>
  <si>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</si>
  <si>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</si>
  <si>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</si>
  <si>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</si>
  <si>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</si>
  <si>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</si>
  <si>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</si>
  <si>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</si>
  <si>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</si>
  <si>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</si>
  <si>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InsuranceServiceResult</t>
  </si>
  <si>
    <t xml:space="preserve">ShareAwardSettlement</t>
  </si>
  <si>
    <t xml:space="preserve">UnderlyingProfitAfterTax</t>
  </si>
  <si>
    <t xml:space="preserve">FY2017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</si>
  <si>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</si>
  <si>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</si>
  <si>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</si>
  <si>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</si>
  <si>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</si>
  <si>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</si>
  <si>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</si>
  <si>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</si>
  <si>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</si>
  <si>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</si>
  <si>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</si>
  <si>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</si>
  <si>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</si>
  <si>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</si>
  <si>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</si>
  <si>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</si>
  <si>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</si>
  <si>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</si>
  <si>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</si>
  <si>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</si>
  <si>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</si>
  <si>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</si>
  <si>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</si>
  <si>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</si>
  <si>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</si>
  <si>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</si>
  <si>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</si>
  <si>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</si>
  <si>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</si>
  <si>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</si>
  <si>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</si>
  <si>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</si>
  <si>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</si>
  <si>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</si>
  <si>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</si>
  <si>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</si>
  <si>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</si>
  <si>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</si>
  <si>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</si>
  <si>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</si>
  <si>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</si>
  <si>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</si>
  <si>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</si>
  <si>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</si>
  <si>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1299.HK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</si>
  <si>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</si>
  <si>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</si>
  <si>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</si>
  <si>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</si>
  <si>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</si>
  <si>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</si>
  <si>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</si>
  <si>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</si>
  <si>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</si>
  <si>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</si>
  <si>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</si>
  <si>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</si>
  <si>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</si>
  <si>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</si>
  <si>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</si>
  <si>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</si>
  <si>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</si>
  <si>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</si>
  <si>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</si>
  <si>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</si>
  <si>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</si>
  <si>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</si>
  <si>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</si>
  <si>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</si>
  <si>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</si>
  <si>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</si>
  <si>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</si>
  <si>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</si>
  <si>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</si>
  <si>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</si>
  <si>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1299.HK owner-FCF component DCF: base case (millions, USD)</t>
  </si>
  <si>
    <t xml:space="preserve">1299.HK owner-FCF component DCF: bull case (millions, USD)</t>
  </si>
  <si>
    <t xml:space="preserve">1299.HK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</si>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</sst>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73.2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25489</v>
      </c>
      <c r="F2" s="0" t="n">
        <v>4682</v>
      </c>
      <c r="G2" s="0" t="n">
        <v>18.4</v>
      </c>
      <c r="I2" s="0" t="n">
        <v>6120</v>
      </c>
      <c r="J2" s="0" t="n">
        <v>24</v>
      </c>
      <c r="K2" s="0" t="n">
        <v>0.51</v>
      </c>
      <c r="L2" s="0" t="n">
        <v>1451</v>
      </c>
      <c r="M2" s="0" t="n">
        <v>235</v>
      </c>
      <c r="N2" s="0" t="n">
        <v>1216</v>
      </c>
      <c r="O2" s="0" t="n">
        <v>43176</v>
      </c>
      <c r="P2" s="0" t="n">
        <v>218646</v>
      </c>
      <c r="Q2" s="0" t="n">
        <v>175090</v>
      </c>
      <c r="R2" s="0" t="n">
        <v>3958</v>
      </c>
      <c r="S2" s="0" t="n">
        <v>1922</v>
      </c>
      <c r="T2" s="0" t="n">
        <v>12002</v>
      </c>
      <c r="U2" s="0" t="n">
        <v>73</v>
      </c>
      <c r="AA2" s="0" t="s">
        <v>18</v>
      </c>
      <c r="AB2" s="0" t="s">
        <v>14</v>
      </c>
      <c r="AC2" s="0" t="n">
        <v>3.597</v>
      </c>
      <c r="AE2" s="0" t="n">
        <v>10</v>
      </c>
      <c r="AF2" s="0" t="n">
        <v>4682</v>
      </c>
    </row>
    <row r="3" customFormat="false" ht="15" hidden="false" customHeight="false" outlineLevel="0" collapsed="false">
      <c r="A3" s="0" t="s">
        <v>69</v>
      </c>
      <c r="B3" s="0" t="n">
        <v>32611</v>
      </c>
      <c r="F3" s="0" t="n">
        <v>5786</v>
      </c>
      <c r="G3" s="0" t="n">
        <v>17.7</v>
      </c>
      <c r="I3" s="0" t="n">
        <v>6648</v>
      </c>
      <c r="J3" s="0" t="n">
        <v>20.4</v>
      </c>
      <c r="K3" s="0" t="n">
        <v>0.55</v>
      </c>
      <c r="L3" s="0" t="n">
        <v>3337</v>
      </c>
      <c r="M3" s="0" t="n">
        <v>275</v>
      </c>
      <c r="N3" s="0" t="n">
        <v>3062</v>
      </c>
      <c r="O3" s="0" t="n">
        <v>57508</v>
      </c>
      <c r="P3" s="0" t="n">
        <v>284132</v>
      </c>
      <c r="Q3" s="0" t="n">
        <v>226176</v>
      </c>
      <c r="R3" s="0" t="n">
        <v>5757</v>
      </c>
      <c r="S3" s="0" t="n">
        <v>3941</v>
      </c>
      <c r="T3" s="0" t="n">
        <v>12042</v>
      </c>
      <c r="U3" s="0" t="n">
        <v>79</v>
      </c>
      <c r="AA3" s="0" t="s">
        <v>18</v>
      </c>
      <c r="AB3" s="0" t="s">
        <v>14</v>
      </c>
      <c r="AC3" s="0" t="n">
        <v>4.776</v>
      </c>
      <c r="AE3" s="0" t="n">
        <v>21</v>
      </c>
      <c r="AF3" s="0" t="n">
        <v>5786</v>
      </c>
    </row>
    <row r="4" customFormat="false" ht="15" hidden="false" customHeight="false" outlineLevel="0" collapsed="false">
      <c r="A4" s="0" t="s">
        <v>70</v>
      </c>
      <c r="B4" s="0" t="n">
        <v>33328</v>
      </c>
      <c r="F4" s="0" t="n">
        <v>5986</v>
      </c>
      <c r="G4" s="0" t="n">
        <v>18</v>
      </c>
      <c r="I4" s="0" t="n">
        <v>5779</v>
      </c>
      <c r="J4" s="0" t="n">
        <v>17.3</v>
      </c>
      <c r="K4" s="0" t="n">
        <v>0.48</v>
      </c>
      <c r="L4" s="0" t="n">
        <v>2357</v>
      </c>
      <c r="M4" s="0" t="n">
        <v>374</v>
      </c>
      <c r="N4" s="0" t="n">
        <v>1983</v>
      </c>
      <c r="O4" s="0" t="n">
        <v>63200</v>
      </c>
      <c r="P4" s="0" t="n">
        <v>326121</v>
      </c>
      <c r="Q4" s="0" t="n">
        <v>262453</v>
      </c>
      <c r="R4" s="0" t="n">
        <v>8559</v>
      </c>
      <c r="S4" s="0" t="n">
        <v>5619</v>
      </c>
      <c r="T4" s="0" t="n">
        <v>12095</v>
      </c>
      <c r="U4" s="0" t="n">
        <v>72</v>
      </c>
      <c r="AA4" s="0" t="s">
        <v>18</v>
      </c>
      <c r="AB4" s="0" t="s">
        <v>14</v>
      </c>
      <c r="AC4" s="0" t="n">
        <v>5.225</v>
      </c>
      <c r="AE4" s="0" t="n">
        <v>16</v>
      </c>
      <c r="AF4" s="0" t="n">
        <v>5986</v>
      </c>
    </row>
    <row r="5" customFormat="false" ht="15" hidden="false" customHeight="false" outlineLevel="0" collapsed="false">
      <c r="A5" s="0" t="s">
        <v>71</v>
      </c>
      <c r="B5" s="0" t="n">
        <v>34444</v>
      </c>
      <c r="F5" s="0" t="n">
        <v>6455</v>
      </c>
      <c r="G5" s="0" t="n">
        <v>18.7</v>
      </c>
      <c r="I5" s="0" t="n">
        <v>7427</v>
      </c>
      <c r="J5" s="0" t="n">
        <v>21.6</v>
      </c>
      <c r="K5" s="0" t="n">
        <v>0.62</v>
      </c>
      <c r="L5" s="0" t="n">
        <v>3909</v>
      </c>
      <c r="M5" s="0" t="n">
        <v>878</v>
      </c>
      <c r="N5" s="0" t="n">
        <v>3031</v>
      </c>
      <c r="O5" s="0" t="n">
        <v>60467</v>
      </c>
      <c r="P5" s="0" t="n">
        <v>339874</v>
      </c>
      <c r="Q5" s="0" t="n">
        <v>278940</v>
      </c>
      <c r="R5" s="0" t="n">
        <v>9588</v>
      </c>
      <c r="S5" s="0" t="n">
        <v>4989</v>
      </c>
      <c r="T5" s="0" t="n">
        <v>12097</v>
      </c>
      <c r="U5" s="0" t="n">
        <v>80</v>
      </c>
      <c r="AA5" s="0" t="s">
        <v>18</v>
      </c>
      <c r="AB5" s="0" t="s">
        <v>14</v>
      </c>
      <c r="AC5" s="0" t="n">
        <v>4.999</v>
      </c>
      <c r="AE5" s="0" t="n">
        <v>106</v>
      </c>
      <c r="AF5" s="0" t="n">
        <v>6455</v>
      </c>
    </row>
    <row r="6" customFormat="false" ht="15" hidden="false" customHeight="false" outlineLevel="0" collapsed="false">
      <c r="A6" s="0" t="s">
        <v>72</v>
      </c>
      <c r="B6" s="0" t="n">
        <v>16319</v>
      </c>
      <c r="F6" s="0" t="n">
        <v>6454</v>
      </c>
      <c r="G6" s="0" t="n">
        <v>39.5</v>
      </c>
      <c r="I6" s="0" t="n">
        <v>3331</v>
      </c>
      <c r="J6" s="0" t="n">
        <v>20.4</v>
      </c>
      <c r="K6" s="0" t="n">
        <v>0.28</v>
      </c>
      <c r="L6" s="0" t="n">
        <v>9867</v>
      </c>
      <c r="M6" s="0" t="n">
        <v>543</v>
      </c>
      <c r="N6" s="0" t="n">
        <v>9324</v>
      </c>
      <c r="O6" s="0" t="n">
        <v>44672</v>
      </c>
      <c r="P6" s="0" t="n">
        <v>270471</v>
      </c>
      <c r="Q6" s="0" t="n">
        <v>225323</v>
      </c>
      <c r="R6" s="0" t="n">
        <v>11206</v>
      </c>
      <c r="S6" s="0" t="n">
        <v>8969</v>
      </c>
      <c r="T6" s="0" t="n">
        <v>11734</v>
      </c>
      <c r="U6" s="0" t="n">
        <v>66</v>
      </c>
      <c r="AA6" s="0" t="s">
        <v>18</v>
      </c>
      <c r="AB6" s="0" t="s">
        <v>14</v>
      </c>
      <c r="AC6" s="0" t="n">
        <v>3.807</v>
      </c>
      <c r="AD6" s="0" t="n">
        <v>5466</v>
      </c>
      <c r="AE6" s="0" t="n">
        <v>103</v>
      </c>
      <c r="AF6" s="0" t="n">
        <v>6454</v>
      </c>
    </row>
    <row r="7" customFormat="false" ht="15" hidden="false" customHeight="false" outlineLevel="0" collapsed="false">
      <c r="A7" s="0" t="s">
        <v>73</v>
      </c>
      <c r="B7" s="0" t="n">
        <v>17514</v>
      </c>
      <c r="F7" s="0" t="n">
        <v>6228</v>
      </c>
      <c r="G7" s="0" t="n">
        <v>35.6</v>
      </c>
      <c r="I7" s="0" t="n">
        <v>3764</v>
      </c>
      <c r="J7" s="0" t="n">
        <v>21.5</v>
      </c>
      <c r="K7" s="0" t="n">
        <v>0.33</v>
      </c>
      <c r="L7" s="0" t="n">
        <v>10919</v>
      </c>
      <c r="M7" s="0" t="n">
        <v>1746</v>
      </c>
      <c r="N7" s="0" t="n">
        <v>9173</v>
      </c>
      <c r="O7" s="0" t="n">
        <v>41111</v>
      </c>
      <c r="P7" s="0" t="n">
        <v>286319</v>
      </c>
      <c r="Q7" s="0" t="n">
        <v>244725</v>
      </c>
      <c r="R7" s="0" t="n">
        <v>11800</v>
      </c>
      <c r="S7" s="0" t="n">
        <v>11525</v>
      </c>
      <c r="T7" s="0" t="n">
        <v>11362</v>
      </c>
      <c r="U7" s="0" t="n">
        <v>72</v>
      </c>
      <c r="AA7" s="0" t="s">
        <v>18</v>
      </c>
      <c r="AB7" s="0" t="s">
        <v>14</v>
      </c>
      <c r="AC7" s="0" t="n">
        <v>3.618</v>
      </c>
      <c r="AD7" s="0" t="n">
        <v>5091</v>
      </c>
      <c r="AE7" s="0" t="n">
        <v>115</v>
      </c>
      <c r="AF7" s="0" t="n">
        <v>6228</v>
      </c>
    </row>
    <row r="8" customFormat="false" ht="15" hidden="false" customHeight="false" outlineLevel="0" collapsed="false">
      <c r="A8" s="0" t="s">
        <v>74</v>
      </c>
      <c r="B8" s="0" t="n">
        <v>19314</v>
      </c>
      <c r="F8" s="0" t="n">
        <v>6632</v>
      </c>
      <c r="G8" s="0" t="n">
        <v>34.3</v>
      </c>
      <c r="I8" s="0" t="n">
        <v>6836</v>
      </c>
      <c r="J8" s="0" t="n">
        <v>35.4</v>
      </c>
      <c r="K8" s="0" t="n">
        <v>0.62</v>
      </c>
      <c r="L8" s="0" t="n">
        <v>3263</v>
      </c>
      <c r="M8" s="0" t="n">
        <v>849</v>
      </c>
      <c r="N8" s="0" t="n">
        <v>2414</v>
      </c>
      <c r="O8" s="0" t="n">
        <v>40490</v>
      </c>
      <c r="P8" s="0" t="n">
        <v>305454</v>
      </c>
      <c r="Q8" s="0" t="n">
        <v>264641</v>
      </c>
      <c r="R8" s="0" t="n">
        <v>13329</v>
      </c>
      <c r="S8" s="0" t="n">
        <v>8101</v>
      </c>
      <c r="T8" s="0" t="n">
        <v>10793</v>
      </c>
      <c r="U8" s="0" t="n">
        <v>84</v>
      </c>
      <c r="AA8" s="0" t="s">
        <v>18</v>
      </c>
      <c r="AB8" s="0" t="s">
        <v>14</v>
      </c>
      <c r="AC8" s="0" t="n">
        <v>3.752</v>
      </c>
      <c r="AD8" s="0" t="n">
        <v>5769</v>
      </c>
      <c r="AE8" s="0" t="n">
        <v>43</v>
      </c>
      <c r="AF8" s="0" t="n">
        <v>6632</v>
      </c>
    </row>
    <row r="9" customFormat="false" ht="15" hidden="false" customHeight="false" outlineLevel="0" collapsed="false">
      <c r="A9" s="0" t="s">
        <v>75</v>
      </c>
      <c r="B9" s="0" t="n">
        <v>21618</v>
      </c>
      <c r="F9" s="0" t="n">
        <v>7171</v>
      </c>
      <c r="G9" s="0" t="n">
        <v>33.2</v>
      </c>
      <c r="I9" s="0" t="n">
        <v>6234</v>
      </c>
      <c r="J9" s="0" t="n">
        <v>28.8</v>
      </c>
      <c r="K9" s="0" t="n">
        <v>0.59</v>
      </c>
      <c r="L9" s="0" t="n">
        <v>6970</v>
      </c>
      <c r="M9" s="0" t="n">
        <v>449</v>
      </c>
      <c r="N9" s="0" t="n">
        <v>6521</v>
      </c>
      <c r="O9" s="0" t="n">
        <v>43245</v>
      </c>
      <c r="P9" s="0" t="n">
        <v>345423</v>
      </c>
      <c r="Q9" s="0" t="n">
        <v>301815</v>
      </c>
      <c r="R9" s="0" t="n">
        <v>14245</v>
      </c>
      <c r="S9" s="0" t="n">
        <v>9609</v>
      </c>
      <c r="T9" s="0" t="n">
        <v>10507</v>
      </c>
      <c r="U9" s="0" t="n">
        <v>103</v>
      </c>
      <c r="AA9" s="0" t="s">
        <v>18</v>
      </c>
      <c r="AB9" s="0" t="s">
        <v>14</v>
      </c>
      <c r="AC9" s="0" t="n">
        <v>4.116</v>
      </c>
      <c r="AD9" s="0" t="n">
        <v>6910</v>
      </c>
      <c r="AE9" s="0" t="n">
        <v>89</v>
      </c>
      <c r="AF9" s="0" t="n">
        <v>7171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73.2</v>
      </c>
    </row>
    <row r="3" customFormat="false" ht="15" hidden="false" customHeight="false" outlineLevel="0" collapsed="false">
      <c r="A3" s="0" t="s">
        <v>79</v>
      </c>
      <c r="B3" s="3" t="n">
        <v>10365</v>
      </c>
    </row>
    <row r="4" customFormat="false" ht="15" hidden="false" customHeight="false" outlineLevel="0" collapsed="false">
      <c r="A4" s="0" t="s">
        <v>80</v>
      </c>
      <c r="B4" s="3" t="n">
        <v>0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21618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7.8476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8</v>
      </c>
      <c r="D13" s="3" t="n">
        <v>3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100</v>
      </c>
      <c r="C14" s="3" t="n">
        <v>40.5</v>
      </c>
      <c r="D14" s="3" t="n">
        <v>39.5</v>
      </c>
      <c r="E14" s="3" t="n">
        <v>39</v>
      </c>
      <c r="F14" s="3" t="n">
        <v>39</v>
      </c>
      <c r="G14" s="3" t="n">
        <v>39</v>
      </c>
      <c r="H14" s="3" t="n">
        <v>39</v>
      </c>
      <c r="I14" s="3" t="n">
        <v>39</v>
      </c>
      <c r="J14" s="3" t="n">
        <v>39</v>
      </c>
      <c r="K14" s="3" t="n">
        <v>39</v>
      </c>
      <c r="L14" s="3" t="n">
        <v>39</v>
      </c>
    </row>
    <row r="15" customFormat="false" ht="15" hidden="false" customHeight="false" outlineLevel="0" collapsed="false">
      <c r="A15" s="0" t="s">
        <v>101</v>
      </c>
      <c r="C15" s="3" t="n">
        <v>0.48</v>
      </c>
      <c r="D15" s="3" t="n">
        <v>0.48</v>
      </c>
      <c r="E15" s="3" t="n">
        <v>0.48</v>
      </c>
      <c r="F15" s="3" t="n">
        <v>0.48</v>
      </c>
      <c r="G15" s="3" t="n">
        <v>0.48</v>
      </c>
      <c r="H15" s="3" t="n">
        <v>0.48</v>
      </c>
      <c r="I15" s="3" t="n">
        <v>0.48</v>
      </c>
      <c r="J15" s="3" t="n">
        <v>0.48</v>
      </c>
      <c r="K15" s="3" t="n">
        <v>0.48</v>
      </c>
      <c r="L15" s="3" t="n">
        <v>0.48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104</v>
      </c>
      <c r="C18" s="3" t="n">
        <v>13.29</v>
      </c>
      <c r="D18" s="3" t="n">
        <v>12.96</v>
      </c>
      <c r="E18" s="3" t="n">
        <v>12.79</v>
      </c>
      <c r="F18" s="3" t="n">
        <v>12.79</v>
      </c>
      <c r="G18" s="3" t="n">
        <v>12.79</v>
      </c>
      <c r="H18" s="3" t="n">
        <v>12.79</v>
      </c>
      <c r="I18" s="3" t="n">
        <v>12.79</v>
      </c>
      <c r="J18" s="3" t="n">
        <v>12.79</v>
      </c>
      <c r="K18" s="3" t="n">
        <v>12.79</v>
      </c>
      <c r="L18" s="3" t="n">
        <v>12.79</v>
      </c>
    </row>
    <row r="19" customFormat="false" ht="15" hidden="false" customHeight="false" outlineLevel="0" collapsed="false">
      <c r="A19" s="0" t="s">
        <v>105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106</v>
      </c>
      <c r="B20" s="3" t="n">
        <v>10</v>
      </c>
    </row>
    <row r="21" customFormat="false" ht="15" hidden="false" customHeight="false" outlineLevel="0" collapsed="false">
      <c r="A21" s="0" t="s">
        <v>107</v>
      </c>
      <c r="B21" s="3" t="n">
        <v>2.5</v>
      </c>
    </row>
    <row r="22" customFormat="false" ht="15" hidden="false" customHeight="false" outlineLevel="0" collapsed="false">
      <c r="A22" s="0" t="s">
        <v>108</v>
      </c>
      <c r="B22" s="3" t="n">
        <v>13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10</v>
      </c>
      <c r="D27" s="3" t="n">
        <v>8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100</v>
      </c>
      <c r="C28" s="3" t="n">
        <v>41</v>
      </c>
      <c r="D28" s="3" t="n">
        <v>41.2</v>
      </c>
      <c r="E28" s="3" t="n">
        <v>41.4</v>
      </c>
      <c r="F28" s="3" t="n">
        <v>41.5</v>
      </c>
      <c r="G28" s="3" t="n">
        <v>41.5</v>
      </c>
      <c r="H28" s="3" t="n">
        <v>41.5</v>
      </c>
      <c r="I28" s="3" t="n">
        <v>41.5</v>
      </c>
      <c r="J28" s="3" t="n">
        <v>41.5</v>
      </c>
      <c r="K28" s="3" t="n">
        <v>41.5</v>
      </c>
      <c r="L28" s="3" t="n">
        <v>41.5</v>
      </c>
    </row>
    <row r="29" customFormat="false" ht="15" hidden="false" customHeight="false" outlineLevel="0" collapsed="false">
      <c r="A29" s="0" t="s">
        <v>101</v>
      </c>
      <c r="C29" s="3" t="n">
        <v>0.48</v>
      </c>
      <c r="D29" s="3" t="n">
        <v>0.48</v>
      </c>
      <c r="E29" s="3" t="n">
        <v>0.48</v>
      </c>
      <c r="F29" s="3" t="n">
        <v>0.48</v>
      </c>
      <c r="G29" s="3" t="n">
        <v>0.48</v>
      </c>
      <c r="H29" s="3" t="n">
        <v>0.48</v>
      </c>
      <c r="I29" s="3" t="n">
        <v>0.48</v>
      </c>
      <c r="J29" s="3" t="n">
        <v>0.48</v>
      </c>
      <c r="K29" s="3" t="n">
        <v>0.48</v>
      </c>
      <c r="L29" s="3" t="n">
        <v>0.48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104</v>
      </c>
      <c r="C32" s="3" t="n">
        <v>12.61</v>
      </c>
      <c r="D32" s="3" t="n">
        <v>12.51</v>
      </c>
      <c r="E32" s="3" t="n">
        <v>12.4</v>
      </c>
      <c r="F32" s="3" t="n">
        <v>12.26</v>
      </c>
      <c r="G32" s="3" t="n">
        <v>12.09</v>
      </c>
      <c r="H32" s="3" t="n">
        <v>11.92</v>
      </c>
      <c r="I32" s="3" t="n">
        <v>11.92</v>
      </c>
      <c r="J32" s="3" t="n">
        <v>11.92</v>
      </c>
      <c r="K32" s="3" t="n">
        <v>11.92</v>
      </c>
      <c r="L32" s="3" t="n">
        <v>11.92</v>
      </c>
    </row>
    <row r="33" customFormat="false" ht="15" hidden="false" customHeight="false" outlineLevel="0" collapsed="false">
      <c r="A33" s="0" t="s">
        <v>105</v>
      </c>
      <c r="C33" s="3" t="n">
        <v>17</v>
      </c>
      <c r="D33" s="3" t="n">
        <v>17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106</v>
      </c>
      <c r="B34" s="3" t="n">
        <v>10</v>
      </c>
    </row>
    <row r="35" customFormat="false" ht="15" hidden="false" customHeight="false" outlineLevel="0" collapsed="false">
      <c r="A35" s="0" t="s">
        <v>107</v>
      </c>
      <c r="B35" s="3" t="n">
        <v>3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11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100</v>
      </c>
      <c r="C42" s="3" t="n">
        <v>41.2</v>
      </c>
      <c r="D42" s="3" t="n">
        <v>41.6</v>
      </c>
      <c r="E42" s="3" t="n">
        <v>42</v>
      </c>
      <c r="F42" s="3" t="n">
        <v>42.3</v>
      </c>
      <c r="G42" s="3" t="n">
        <v>42.5</v>
      </c>
      <c r="H42" s="3" t="n">
        <v>42.5</v>
      </c>
      <c r="I42" s="3" t="n">
        <v>42.5</v>
      </c>
      <c r="J42" s="3" t="n">
        <v>42.5</v>
      </c>
      <c r="K42" s="3" t="n">
        <v>42.5</v>
      </c>
      <c r="L42" s="3" t="n">
        <v>42.5</v>
      </c>
    </row>
    <row r="43" customFormat="false" ht="15" hidden="false" customHeight="false" outlineLevel="0" collapsed="false">
      <c r="A43" s="0" t="s">
        <v>101</v>
      </c>
      <c r="C43" s="3" t="n">
        <v>0.48</v>
      </c>
      <c r="D43" s="3" t="n">
        <v>0.48</v>
      </c>
      <c r="E43" s="3" t="n">
        <v>0.48</v>
      </c>
      <c r="F43" s="3" t="n">
        <v>0.48</v>
      </c>
      <c r="G43" s="3" t="n">
        <v>0.48</v>
      </c>
      <c r="H43" s="3" t="n">
        <v>0.48</v>
      </c>
      <c r="I43" s="3" t="n">
        <v>0.48</v>
      </c>
      <c r="J43" s="3" t="n">
        <v>0.48</v>
      </c>
      <c r="K43" s="3" t="n">
        <v>0.48</v>
      </c>
      <c r="L43" s="3" t="n">
        <v>0.48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104</v>
      </c>
      <c r="C46" s="3" t="n">
        <v>12.51</v>
      </c>
      <c r="D46" s="3" t="n">
        <v>12.12</v>
      </c>
      <c r="E46" s="3" t="n">
        <v>11.72</v>
      </c>
      <c r="F46" s="3" t="n">
        <v>11.28</v>
      </c>
      <c r="G46" s="3" t="n">
        <v>10.81</v>
      </c>
      <c r="H46" s="3" t="n">
        <v>10.46</v>
      </c>
      <c r="I46" s="3" t="n">
        <v>10.46</v>
      </c>
      <c r="J46" s="3" t="n">
        <v>10.46</v>
      </c>
      <c r="K46" s="3" t="n">
        <v>10.46</v>
      </c>
      <c r="L46" s="3" t="n">
        <v>10.46</v>
      </c>
    </row>
    <row r="47" customFormat="false" ht="15" hidden="false" customHeight="false" outlineLevel="0" collapsed="false">
      <c r="A47" s="0" t="s">
        <v>105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106</v>
      </c>
      <c r="B48" s="3" t="n">
        <v>10</v>
      </c>
    </row>
    <row r="49" customFormat="false" ht="15" hidden="false" customHeight="false" outlineLevel="0" collapsed="false">
      <c r="A49" s="0" t="s">
        <v>107</v>
      </c>
      <c r="B49" s="3" t="n">
        <v>3.5</v>
      </c>
    </row>
    <row r="50" customFormat="false" ht="15" hidden="false" customHeight="false" outlineLevel="0" collapsed="false">
      <c r="A50" s="0" t="s">
        <v>108</v>
      </c>
      <c r="B50" s="3" t="n">
        <v>17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8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21618</v>
      </c>
      <c r="C6" s="0" t="n">
        <f aca="false">B6*(1+C5/100)</f>
        <v>23347.44</v>
      </c>
      <c r="D6" s="0" t="n">
        <f aca="false">C6*(1+D5/100)</f>
        <v>24047.8632</v>
      </c>
      <c r="E6" s="0" t="n">
        <f aca="false">D6*(1+E5/100)</f>
        <v>24528.820464</v>
      </c>
      <c r="F6" s="0" t="n">
        <f aca="false">E6*(1+F5/100)</f>
        <v>25264.68507792</v>
      </c>
      <c r="G6" s="0" t="n">
        <f aca="false">F6*(1+G5/100)</f>
        <v>26022.6256302576</v>
      </c>
      <c r="H6" s="0" t="n">
        <f aca="false">G6*(1+H5/100)</f>
        <v>26803.3043991653</v>
      </c>
      <c r="I6" s="0" t="n">
        <f aca="false">H6*(1+I5/100)</f>
        <v>27607.4035311403</v>
      </c>
      <c r="J6" s="0" t="n">
        <f aca="false">I6*(1+J5/100)</f>
        <v>28435.6256370745</v>
      </c>
      <c r="K6" s="0" t="n">
        <f aca="false">J6*(1+K5/100)</f>
        <v>29146.5162780014</v>
      </c>
      <c r="L6" s="0" t="n">
        <f aca="false">K6*(1+L5/100)</f>
        <v>29875.1791849514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40.5</v>
      </c>
      <c r="D7" s="4" t="n">
        <f aca="false">Assumptions!D14</f>
        <v>39.5</v>
      </c>
      <c r="E7" s="4" t="n">
        <f aca="false">Assumptions!E14</f>
        <v>39</v>
      </c>
      <c r="F7" s="4" t="n">
        <f aca="false">Assumptions!F14</f>
        <v>39</v>
      </c>
      <c r="G7" s="4" t="n">
        <f aca="false">Assumptions!G14</f>
        <v>39</v>
      </c>
      <c r="H7" s="4" t="n">
        <f aca="false">Assumptions!H14</f>
        <v>39</v>
      </c>
      <c r="I7" s="4" t="n">
        <f aca="false">Assumptions!I14</f>
        <v>39</v>
      </c>
      <c r="J7" s="4" t="n">
        <f aca="false">Assumptions!J14</f>
        <v>39</v>
      </c>
      <c r="K7" s="4" t="n">
        <f aca="false">Assumptions!K14</f>
        <v>39</v>
      </c>
      <c r="L7" s="4" t="n">
        <f aca="false">Assumptions!L14</f>
        <v>39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9455.7132</v>
      </c>
      <c r="D8" s="0" t="n">
        <f aca="false">D6*D7/100</f>
        <v>9498.905964</v>
      </c>
      <c r="E8" s="0" t="n">
        <f aca="false">E6*E7/100</f>
        <v>9566.23998096</v>
      </c>
      <c r="F8" s="0" t="n">
        <f aca="false">F6*F7/100</f>
        <v>9853.2271803888</v>
      </c>
      <c r="G8" s="0" t="n">
        <f aca="false">G6*G7/100</f>
        <v>10148.8239958005</v>
      </c>
      <c r="H8" s="0" t="n">
        <f aca="false">H6*H7/100</f>
        <v>10453.2887156745</v>
      </c>
      <c r="I8" s="0" t="n">
        <f aca="false">I6*I7/100</f>
        <v>10766.8873771447</v>
      </c>
      <c r="J8" s="0" t="n">
        <f aca="false">J6*J7/100</f>
        <v>11089.8939984591</v>
      </c>
      <c r="K8" s="0" t="n">
        <f aca="false">K6*K7/100</f>
        <v>11367.1413484205</v>
      </c>
      <c r="L8" s="0" t="n">
        <f aca="false">L6*L7/100</f>
        <v>11651.319882131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0.48</v>
      </c>
      <c r="D9" s="4" t="n">
        <f aca="false">Assumptions!D15</f>
        <v>0.48</v>
      </c>
      <c r="E9" s="4" t="n">
        <f aca="false">Assumptions!E15</f>
        <v>0.48</v>
      </c>
      <c r="F9" s="4" t="n">
        <f aca="false">Assumptions!F15</f>
        <v>0.48</v>
      </c>
      <c r="G9" s="4" t="n">
        <f aca="false">Assumptions!G15</f>
        <v>0.48</v>
      </c>
      <c r="H9" s="4" t="n">
        <f aca="false">Assumptions!H15</f>
        <v>0.48</v>
      </c>
      <c r="I9" s="4" t="n">
        <f aca="false">Assumptions!I15</f>
        <v>0.48</v>
      </c>
      <c r="J9" s="4" t="n">
        <f aca="false">Assumptions!J15</f>
        <v>0.48</v>
      </c>
      <c r="K9" s="4" t="n">
        <f aca="false">Assumptions!K15</f>
        <v>0.48</v>
      </c>
      <c r="L9" s="4" t="n">
        <f aca="false">Assumptions!L15</f>
        <v>0.48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-112.067712</v>
      </c>
      <c r="D10" s="0" t="n">
        <f aca="false">-D6*D9/100</f>
        <v>-115.42974336</v>
      </c>
      <c r="E10" s="0" t="n">
        <f aca="false">-E6*E9/100</f>
        <v>-117.7383382272</v>
      </c>
      <c r="F10" s="0" t="n">
        <f aca="false">-F6*F9/100</f>
        <v>-121.270488374016</v>
      </c>
      <c r="G10" s="0" t="n">
        <f aca="false">-G6*G9/100</f>
        <v>-124.908603025237</v>
      </c>
      <c r="H10" s="0" t="n">
        <f aca="false">-H6*H9/100</f>
        <v>-128.655861115994</v>
      </c>
      <c r="I10" s="0" t="n">
        <f aca="false">-I6*I9/100</f>
        <v>-132.515536949473</v>
      </c>
      <c r="J10" s="0" t="n">
        <f aca="false">-J6*J9/100</f>
        <v>-136.491003057958</v>
      </c>
      <c r="K10" s="0" t="n">
        <f aca="false">-K6*K9/100</f>
        <v>-139.903278134407</v>
      </c>
      <c r="L10" s="0" t="n">
        <f aca="false">-L6*L9/100</f>
        <v>-143.400860087767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9343.645488</v>
      </c>
      <c r="D11" s="0" t="n">
        <f aca="false">D8+D10+D24</f>
        <v>9383.47622064</v>
      </c>
      <c r="E11" s="0" t="n">
        <f aca="false">E8+E10+E24</f>
        <v>9448.5016427328</v>
      </c>
      <c r="F11" s="0" t="n">
        <f aca="false">F8+F10+F24</f>
        <v>9731.95669201479</v>
      </c>
      <c r="G11" s="0" t="n">
        <f aca="false">G8+G10+G24</f>
        <v>10023.9153927752</v>
      </c>
      <c r="H11" s="0" t="n">
        <f aca="false">H8+H10+H24</f>
        <v>10324.6328545585</v>
      </c>
      <c r="I11" s="0" t="n">
        <f aca="false">I8+I10+I24</f>
        <v>10634.3718401952</v>
      </c>
      <c r="J11" s="0" t="n">
        <f aca="false">J8+J10+J24</f>
        <v>10953.4029954011</v>
      </c>
      <c r="K11" s="0" t="n">
        <f aca="false">K8+K10+K24</f>
        <v>11227.2380702861</v>
      </c>
      <c r="L11" s="0" t="n">
        <f aca="false">L8+L10+L24</f>
        <v>11507.9190220433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9343.645488</v>
      </c>
      <c r="D13" s="0" t="n">
        <f aca="false">D11+D12</f>
        <v>9383.47622064</v>
      </c>
      <c r="E13" s="0" t="n">
        <f aca="false">E11+E12</f>
        <v>9448.5016427328</v>
      </c>
      <c r="F13" s="0" t="n">
        <f aca="false">F11+F12</f>
        <v>9731.95669201479</v>
      </c>
      <c r="G13" s="0" t="n">
        <f aca="false">G11+G12</f>
        <v>10023.9153927752</v>
      </c>
      <c r="H13" s="0" t="n">
        <f aca="false">H11+H12</f>
        <v>10324.6328545585</v>
      </c>
      <c r="I13" s="0" t="n">
        <f aca="false">I11+I12</f>
        <v>10634.3718401952</v>
      </c>
      <c r="J13" s="0" t="n">
        <f aca="false">J11+J12</f>
        <v>10953.4029954011</v>
      </c>
      <c r="K13" s="0" t="n">
        <f aca="false">K11+K12</f>
        <v>11227.2380702861</v>
      </c>
      <c r="L13" s="0" t="n">
        <f aca="false">L11+L12</f>
        <v>11507.9190220433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7755.22575504</v>
      </c>
      <c r="D15" s="0" t="n">
        <f aca="false">D13-MAX(0,D13)*D14/100</f>
        <v>7788.2852631312</v>
      </c>
      <c r="E15" s="0" t="n">
        <f aca="false">E13-MAX(0,E13)*E14/100</f>
        <v>7842.25636346823</v>
      </c>
      <c r="F15" s="0" t="n">
        <f aca="false">F13-MAX(0,F13)*F14/100</f>
        <v>8077.52405437227</v>
      </c>
      <c r="G15" s="0" t="n">
        <f aca="false">G13-MAX(0,G13)*G14/100</f>
        <v>8319.84977600344</v>
      </c>
      <c r="H15" s="0" t="n">
        <f aca="false">H13-MAX(0,H13)*H14/100</f>
        <v>8569.44526928354</v>
      </c>
      <c r="I15" s="0" t="n">
        <f aca="false">I13-MAX(0,I13)*I14/100</f>
        <v>8826.52862736205</v>
      </c>
      <c r="J15" s="0" t="n">
        <f aca="false">J13-MAX(0,J13)*J14/100</f>
        <v>9091.32448618291</v>
      </c>
      <c r="K15" s="0" t="n">
        <f aca="false">K13-MAX(0,K13)*K14/100</f>
        <v>9318.60759833748</v>
      </c>
      <c r="L15" s="0" t="n">
        <f aca="false">L13-MAX(0,L13)*L14/100</f>
        <v>9551.57278829592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-3102.874776</v>
      </c>
      <c r="D17" s="4" t="n">
        <f aca="false">-D6*Assumptions!D18/100</f>
        <v>-3116.60307072</v>
      </c>
      <c r="E17" s="4" t="n">
        <f aca="false">-E6*Assumptions!E18/100</f>
        <v>-3137.2361373456</v>
      </c>
      <c r="F17" s="4" t="n">
        <f aca="false">-F6*Assumptions!F18/100</f>
        <v>-3231.35322146597</v>
      </c>
      <c r="G17" s="4" t="n">
        <f aca="false">-G6*Assumptions!G18/100</f>
        <v>-3328.29381810995</v>
      </c>
      <c r="H17" s="4" t="n">
        <f aca="false">-H6*Assumptions!H18/100</f>
        <v>-3428.14263265325</v>
      </c>
      <c r="I17" s="4" t="n">
        <f aca="false">-I6*Assumptions!I18/100</f>
        <v>-3530.98691163284</v>
      </c>
      <c r="J17" s="4" t="n">
        <f aca="false">-J6*Assumptions!J18/100</f>
        <v>-3636.91651898183</v>
      </c>
      <c r="K17" s="4" t="n">
        <f aca="false">-K6*Assumptions!K18/100</f>
        <v>-3727.83943195637</v>
      </c>
      <c r="L17" s="4" t="n">
        <f aca="false">-L6*Assumptions!L18/100</f>
        <v>-3821.03541775528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4652.35097904</v>
      </c>
      <c r="D19" s="0" t="n">
        <f aca="false">D15+D16+D17+D18</f>
        <v>4671.6821924112</v>
      </c>
      <c r="E19" s="0" t="n">
        <f aca="false">E15+E16+E17+E18</f>
        <v>4705.02022612262</v>
      </c>
      <c r="F19" s="0" t="n">
        <f aca="false">F15+F16+F17+F18</f>
        <v>4846.1708329063</v>
      </c>
      <c r="G19" s="0" t="n">
        <f aca="false">G15+G16+G17+G18</f>
        <v>4991.55595789349</v>
      </c>
      <c r="H19" s="0" t="n">
        <f aca="false">H15+H16+H17+H18</f>
        <v>5141.3026366303</v>
      </c>
      <c r="I19" s="0" t="n">
        <f aca="false">I15+I16+I17+I18</f>
        <v>5295.54171572921</v>
      </c>
      <c r="J19" s="0" t="n">
        <f aca="false">J15+J16+J17+J18</f>
        <v>5454.40796720108</v>
      </c>
      <c r="K19" s="0" t="n">
        <f aca="false">K15+K16+K17+K18</f>
        <v>5590.76816638111</v>
      </c>
      <c r="L19" s="0" t="n">
        <f aca="false">L15+L16+L17+L18</f>
        <v>5730.53737054064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4229.40998094546</v>
      </c>
      <c r="D21" s="0" t="n">
        <f aca="false">D19*D20</f>
        <v>3860.89437389355</v>
      </c>
      <c r="E21" s="0" t="n">
        <f aca="false">E19*E20</f>
        <v>3534.95133442721</v>
      </c>
      <c r="F21" s="0" t="n">
        <f aca="false">F19*F20</f>
        <v>3309.99988587276</v>
      </c>
      <c r="G21" s="0" t="n">
        <f aca="false">G19*G20</f>
        <v>3099.36352949904</v>
      </c>
      <c r="H21" s="0" t="n">
        <f aca="false">H19*H20</f>
        <v>2902.13130489455</v>
      </c>
      <c r="I21" s="0" t="n">
        <f aca="false">I19*I20</f>
        <v>2717.45022185581</v>
      </c>
      <c r="J21" s="0" t="n">
        <f aca="false">J19*J20</f>
        <v>2544.52157137407</v>
      </c>
      <c r="K21" s="0" t="n">
        <f aca="false">K19*K20</f>
        <v>2371.03146423493</v>
      </c>
      <c r="L21" s="0" t="n">
        <f aca="false">L19*L20</f>
        <v>2209.37022803709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30779.1238950345</v>
      </c>
    </row>
    <row r="31" customFormat="false" ht="15" hidden="false" customHeight="false" outlineLevel="0" collapsed="false">
      <c r="A31" s="0" t="s">
        <v>130</v>
      </c>
      <c r="B31" s="0" t="n">
        <f aca="false">L19</f>
        <v>5730.53737054064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78317.3440640554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74496.9858170283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74496.9858170283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28721.8129644822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59500.9368595167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59500.9368595167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45.0496432319096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-0.384567715411071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765.040816540473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755.592270505241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46.2009524662463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46990.4064384332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27.6666636314071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10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21618</v>
      </c>
      <c r="C6" s="0" t="n">
        <f aca="false">B6*(1+C5/100)</f>
        <v>23779.8</v>
      </c>
      <c r="D6" s="0" t="n">
        <f aca="false">C6*(1+D5/100)</f>
        <v>25682.184</v>
      </c>
      <c r="E6" s="0" t="n">
        <f aca="false">D6*(1+E5/100)</f>
        <v>27479.93688</v>
      </c>
      <c r="F6" s="0" t="n">
        <f aca="false">E6*(1+F5/100)</f>
        <v>29266.1327772</v>
      </c>
      <c r="G6" s="0" t="n">
        <f aca="false">F6*(1+G5/100)</f>
        <v>31022.100743832</v>
      </c>
      <c r="H6" s="0" t="n">
        <f aca="false">G6*(1+H5/100)</f>
        <v>32728.3162847428</v>
      </c>
      <c r="I6" s="0" t="n">
        <f aca="false">H6*(1+I5/100)</f>
        <v>34364.7320989799</v>
      </c>
      <c r="J6" s="0" t="n">
        <f aca="false">I6*(1+J5/100)</f>
        <v>35911.145043434</v>
      </c>
      <c r="K6" s="0" t="n">
        <f aca="false">J6*(1+K5/100)</f>
        <v>37347.5908451714</v>
      </c>
      <c r="L6" s="0" t="n">
        <f aca="false">K6*(1+L5/100)</f>
        <v>38654.7565247524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41</v>
      </c>
      <c r="D7" s="4" t="n">
        <f aca="false">Assumptions!D28</f>
        <v>41.2</v>
      </c>
      <c r="E7" s="4" t="n">
        <f aca="false">Assumptions!E28</f>
        <v>41.4</v>
      </c>
      <c r="F7" s="4" t="n">
        <f aca="false">Assumptions!F28</f>
        <v>41.5</v>
      </c>
      <c r="G7" s="4" t="n">
        <f aca="false">Assumptions!G28</f>
        <v>41.5</v>
      </c>
      <c r="H7" s="4" t="n">
        <f aca="false">Assumptions!H28</f>
        <v>41.5</v>
      </c>
      <c r="I7" s="4" t="n">
        <f aca="false">Assumptions!I28</f>
        <v>41.5</v>
      </c>
      <c r="J7" s="4" t="n">
        <f aca="false">Assumptions!J28</f>
        <v>41.5</v>
      </c>
      <c r="K7" s="4" t="n">
        <f aca="false">Assumptions!K28</f>
        <v>41.5</v>
      </c>
      <c r="L7" s="4" t="n">
        <f aca="false">Assumptions!L28</f>
        <v>41.5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9749.718</v>
      </c>
      <c r="D8" s="0" t="n">
        <f aca="false">D6*D7/100</f>
        <v>10581.059808</v>
      </c>
      <c r="E8" s="0" t="n">
        <f aca="false">E6*E7/100</f>
        <v>11376.69386832</v>
      </c>
      <c r="F8" s="0" t="n">
        <f aca="false">F6*F7/100</f>
        <v>12145.445102538</v>
      </c>
      <c r="G8" s="0" t="n">
        <f aca="false">G6*G7/100</f>
        <v>12874.1718086903</v>
      </c>
      <c r="H8" s="0" t="n">
        <f aca="false">H6*H7/100</f>
        <v>13582.2512581682</v>
      </c>
      <c r="I8" s="0" t="n">
        <f aca="false">I6*I7/100</f>
        <v>14261.3638210767</v>
      </c>
      <c r="J8" s="0" t="n">
        <f aca="false">J6*J7/100</f>
        <v>14903.1251930251</v>
      </c>
      <c r="K8" s="0" t="n">
        <f aca="false">K6*K7/100</f>
        <v>15499.2502007461</v>
      </c>
      <c r="L8" s="0" t="n">
        <f aca="false">L6*L7/100</f>
        <v>16041.7239577722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0.48</v>
      </c>
      <c r="D9" s="4" t="n">
        <f aca="false">Assumptions!D29</f>
        <v>0.48</v>
      </c>
      <c r="E9" s="4" t="n">
        <f aca="false">Assumptions!E29</f>
        <v>0.48</v>
      </c>
      <c r="F9" s="4" t="n">
        <f aca="false">Assumptions!F29</f>
        <v>0.48</v>
      </c>
      <c r="G9" s="4" t="n">
        <f aca="false">Assumptions!G29</f>
        <v>0.48</v>
      </c>
      <c r="H9" s="4" t="n">
        <f aca="false">Assumptions!H29</f>
        <v>0.48</v>
      </c>
      <c r="I9" s="4" t="n">
        <f aca="false">Assumptions!I29</f>
        <v>0.48</v>
      </c>
      <c r="J9" s="4" t="n">
        <f aca="false">Assumptions!J29</f>
        <v>0.48</v>
      </c>
      <c r="K9" s="4" t="n">
        <f aca="false">Assumptions!K29</f>
        <v>0.48</v>
      </c>
      <c r="L9" s="4" t="n">
        <f aca="false">Assumptions!L29</f>
        <v>0.48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-114.14304</v>
      </c>
      <c r="D10" s="0" t="n">
        <f aca="false">-D6*D9/100</f>
        <v>-123.2744832</v>
      </c>
      <c r="E10" s="0" t="n">
        <f aca="false">-E6*E9/100</f>
        <v>-131.903697024</v>
      </c>
      <c r="F10" s="0" t="n">
        <f aca="false">-F6*F9/100</f>
        <v>-140.47743733056</v>
      </c>
      <c r="G10" s="0" t="n">
        <f aca="false">-G6*G9/100</f>
        <v>-148.906083570394</v>
      </c>
      <c r="H10" s="0" t="n">
        <f aca="false">-H6*H9/100</f>
        <v>-157.095918166765</v>
      </c>
      <c r="I10" s="0" t="n">
        <f aca="false">-I6*I9/100</f>
        <v>-164.950714075104</v>
      </c>
      <c r="J10" s="0" t="n">
        <f aca="false">-J6*J9/100</f>
        <v>-172.373496208483</v>
      </c>
      <c r="K10" s="0" t="n">
        <f aca="false">-K6*K9/100</f>
        <v>-179.268436056823</v>
      </c>
      <c r="L10" s="0" t="n">
        <f aca="false">-L6*L9/100</f>
        <v>-185.542831318811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9635.57496</v>
      </c>
      <c r="D11" s="0" t="n">
        <f aca="false">D8+D10+D24</f>
        <v>10457.7853248</v>
      </c>
      <c r="E11" s="0" t="n">
        <f aca="false">E8+E10+E24</f>
        <v>11244.790171296</v>
      </c>
      <c r="F11" s="0" t="n">
        <f aca="false">F8+F10+F24</f>
        <v>12004.9676652074</v>
      </c>
      <c r="G11" s="0" t="n">
        <f aca="false">G8+G10+G24</f>
        <v>12725.2657251199</v>
      </c>
      <c r="H11" s="0" t="n">
        <f aca="false">H8+H10+H24</f>
        <v>13425.1553400015</v>
      </c>
      <c r="I11" s="0" t="n">
        <f aca="false">I8+I10+I24</f>
        <v>14096.4131070016</v>
      </c>
      <c r="J11" s="0" t="n">
        <f aca="false">J8+J10+J24</f>
        <v>14730.7516968166</v>
      </c>
      <c r="K11" s="0" t="n">
        <f aca="false">K8+K10+K24</f>
        <v>15319.9817646893</v>
      </c>
      <c r="L11" s="0" t="n">
        <f aca="false">L8+L10+L24</f>
        <v>15856.1811264534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9635.57496</v>
      </c>
      <c r="D13" s="0" t="n">
        <f aca="false">D11+D12</f>
        <v>10457.7853248</v>
      </c>
      <c r="E13" s="0" t="n">
        <f aca="false">E11+E12</f>
        <v>11244.790171296</v>
      </c>
      <c r="F13" s="0" t="n">
        <f aca="false">F11+F12</f>
        <v>12004.9676652074</v>
      </c>
      <c r="G13" s="0" t="n">
        <f aca="false">G11+G12</f>
        <v>12725.2657251199</v>
      </c>
      <c r="H13" s="0" t="n">
        <f aca="false">H11+H12</f>
        <v>13425.1553400015</v>
      </c>
      <c r="I13" s="0" t="n">
        <f aca="false">I11+I12</f>
        <v>14096.4131070016</v>
      </c>
      <c r="J13" s="0" t="n">
        <f aca="false">J11+J12</f>
        <v>14730.7516968166</v>
      </c>
      <c r="K13" s="0" t="n">
        <f aca="false">K11+K12</f>
        <v>15319.9817646893</v>
      </c>
      <c r="L13" s="0" t="n">
        <f aca="false">L11+L12</f>
        <v>15856.1811264534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7997.5272168</v>
      </c>
      <c r="D15" s="0" t="n">
        <f aca="false">D13-MAX(0,D13)*D14/100</f>
        <v>8679.961819584</v>
      </c>
      <c r="E15" s="0" t="n">
        <f aca="false">E13-MAX(0,E13)*E14/100</f>
        <v>9333.17584217568</v>
      </c>
      <c r="F15" s="0" t="n">
        <f aca="false">F13-MAX(0,F13)*F14/100</f>
        <v>9964.12316212218</v>
      </c>
      <c r="G15" s="0" t="n">
        <f aca="false">G13-MAX(0,G13)*G14/100</f>
        <v>10561.9705518495</v>
      </c>
      <c r="H15" s="0" t="n">
        <f aca="false">H13-MAX(0,H13)*H14/100</f>
        <v>11142.8789322012</v>
      </c>
      <c r="I15" s="0" t="n">
        <f aca="false">I13-MAX(0,I13)*I14/100</f>
        <v>11700.0228788113</v>
      </c>
      <c r="J15" s="0" t="n">
        <f aca="false">J13-MAX(0,J13)*J14/100</f>
        <v>12226.5239083578</v>
      </c>
      <c r="K15" s="0" t="n">
        <f aca="false">K13-MAX(0,K13)*K14/100</f>
        <v>12715.5848646921</v>
      </c>
      <c r="L15" s="0" t="n">
        <f aca="false">L13-MAX(0,L13)*L14/100</f>
        <v>13160.6303349563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-2998.63278</v>
      </c>
      <c r="D17" s="4" t="n">
        <f aca="false">-D6*Assumptions!D32/100</f>
        <v>-3212.8412184</v>
      </c>
      <c r="E17" s="4" t="n">
        <f aca="false">-E6*Assumptions!E32/100</f>
        <v>-3407.51217312</v>
      </c>
      <c r="F17" s="4" t="n">
        <f aca="false">-F6*Assumptions!F32/100</f>
        <v>-3588.02787848472</v>
      </c>
      <c r="G17" s="4" t="n">
        <f aca="false">-G6*Assumptions!G32/100</f>
        <v>-3750.57197992929</v>
      </c>
      <c r="H17" s="4" t="n">
        <f aca="false">-H6*Assumptions!H32/100</f>
        <v>-3901.21530114134</v>
      </c>
      <c r="I17" s="4" t="n">
        <f aca="false">-I6*Assumptions!I32/100</f>
        <v>-4096.27606619841</v>
      </c>
      <c r="J17" s="4" t="n">
        <f aca="false">-J6*Assumptions!J32/100</f>
        <v>-4280.60848917733</v>
      </c>
      <c r="K17" s="4" t="n">
        <f aca="false">-K6*Assumptions!K32/100</f>
        <v>-4451.83282874443</v>
      </c>
      <c r="L17" s="4" t="n">
        <f aca="false">-L6*Assumptions!L32/100</f>
        <v>-4607.64697775048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4998.8944368</v>
      </c>
      <c r="D19" s="0" t="n">
        <f aca="false">D15+D16+D17+D18</f>
        <v>5467.120601184</v>
      </c>
      <c r="E19" s="0" t="n">
        <f aca="false">E15+E16+E17+E18</f>
        <v>5925.66366905568</v>
      </c>
      <c r="F19" s="0" t="n">
        <f aca="false">F15+F16+F17+F18</f>
        <v>6376.09528363746</v>
      </c>
      <c r="G19" s="0" t="n">
        <f aca="false">G15+G16+G17+G18</f>
        <v>6811.39857192022</v>
      </c>
      <c r="H19" s="0" t="n">
        <f aca="false">H15+H16+H17+H18</f>
        <v>7241.66363105989</v>
      </c>
      <c r="I19" s="0" t="n">
        <f aca="false">I15+I16+I17+I18</f>
        <v>7603.74681261289</v>
      </c>
      <c r="J19" s="0" t="n">
        <f aca="false">J15+J16+J17+J18</f>
        <v>7945.91541918047</v>
      </c>
      <c r="K19" s="0" t="n">
        <f aca="false">K15+K16+K17+K18</f>
        <v>8263.75203594769</v>
      </c>
      <c r="L19" s="0" t="n">
        <f aca="false">L15+L16+L17+L18</f>
        <v>8552.98335720586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4544.449488</v>
      </c>
      <c r="D21" s="0" t="n">
        <f aca="false">D19*D20</f>
        <v>4518.28148858182</v>
      </c>
      <c r="E21" s="0" t="n">
        <f aca="false">E19*E20</f>
        <v>4452.03881972628</v>
      </c>
      <c r="F21" s="0" t="n">
        <f aca="false">F19*F20</f>
        <v>4354.95887141415</v>
      </c>
      <c r="G21" s="0" t="n">
        <f aca="false">G19*G20</f>
        <v>4229.34261315994</v>
      </c>
      <c r="H21" s="0" t="n">
        <f aca="false">H19*H20</f>
        <v>4087.73032995188</v>
      </c>
      <c r="I21" s="0" t="n">
        <f aca="false">I19*I20</f>
        <v>3901.92440586316</v>
      </c>
      <c r="J21" s="0" t="n">
        <f aca="false">J19*J20</f>
        <v>3706.82818557</v>
      </c>
      <c r="K21" s="0" t="n">
        <f aca="false">K19*K20</f>
        <v>3504.63755726618</v>
      </c>
      <c r="L21" s="0" t="n">
        <f aca="false">L19*L20</f>
        <v>3297.54533797318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40597.7370975066</v>
      </c>
    </row>
    <row r="31" customFormat="false" ht="15" hidden="false" customHeight="false" outlineLevel="0" collapsed="false">
      <c r="A31" s="0" t="s">
        <v>130</v>
      </c>
      <c r="B31" s="0" t="n">
        <f aca="false">L19</f>
        <v>8552.98335720586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125851.040827458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128294.750358088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125851.040827458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48521.0242587483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89118.7613562549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89118.7613562549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67.4740368180748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-0.0782235407366826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894.452247133834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1052.5833903175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68.9481860576757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73413.1071493503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38.3148439957159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11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21618</v>
      </c>
      <c r="C6" s="0" t="n">
        <f aca="false">B6*(1+C5/100)</f>
        <v>23995.98</v>
      </c>
      <c r="D6" s="0" t="n">
        <f aca="false">C6*(1+D5/100)</f>
        <v>26395.578</v>
      </c>
      <c r="E6" s="0" t="n">
        <f aca="false">D6*(1+E5/100)</f>
        <v>28771.18002</v>
      </c>
      <c r="F6" s="0" t="n">
        <f aca="false">E6*(1+F5/100)</f>
        <v>31072.8744216</v>
      </c>
      <c r="G6" s="0" t="n">
        <f aca="false">F6*(1+G5/100)</f>
        <v>33247.975631112</v>
      </c>
      <c r="H6" s="0" t="n">
        <f aca="false">G6*(1+H5/100)</f>
        <v>35409.0940471343</v>
      </c>
      <c r="I6" s="0" t="n">
        <f aca="false">H6*(1+I5/100)</f>
        <v>37533.6396899624</v>
      </c>
      <c r="J6" s="0" t="n">
        <f aca="false">I6*(1+J5/100)</f>
        <v>39410.3216744605</v>
      </c>
      <c r="K6" s="0" t="n">
        <f aca="false">J6*(1+K5/100)</f>
        <v>41183.7861498112</v>
      </c>
      <c r="L6" s="0" t="n">
        <f aca="false">K6*(1+L5/100)</f>
        <v>42831.1375958036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41.2</v>
      </c>
      <c r="D7" s="4" t="n">
        <f aca="false">Assumptions!D42</f>
        <v>41.6</v>
      </c>
      <c r="E7" s="4" t="n">
        <f aca="false">Assumptions!E42</f>
        <v>42</v>
      </c>
      <c r="F7" s="4" t="n">
        <f aca="false">Assumptions!F42</f>
        <v>42.3</v>
      </c>
      <c r="G7" s="4" t="n">
        <f aca="false">Assumptions!G42</f>
        <v>42.5</v>
      </c>
      <c r="H7" s="4" t="n">
        <f aca="false">Assumptions!H42</f>
        <v>42.5</v>
      </c>
      <c r="I7" s="4" t="n">
        <f aca="false">Assumptions!I42</f>
        <v>42.5</v>
      </c>
      <c r="J7" s="4" t="n">
        <f aca="false">Assumptions!J42</f>
        <v>42.5</v>
      </c>
      <c r="K7" s="4" t="n">
        <f aca="false">Assumptions!K42</f>
        <v>42.5</v>
      </c>
      <c r="L7" s="4" t="n">
        <f aca="false">Assumptions!L42</f>
        <v>42.5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9886.34376</v>
      </c>
      <c r="D8" s="0" t="n">
        <f aca="false">D6*D7/100</f>
        <v>10980.560448</v>
      </c>
      <c r="E8" s="0" t="n">
        <f aca="false">E6*E7/100</f>
        <v>12083.8956084</v>
      </c>
      <c r="F8" s="0" t="n">
        <f aca="false">F6*F7/100</f>
        <v>13143.8258803368</v>
      </c>
      <c r="G8" s="0" t="n">
        <f aca="false">G6*G7/100</f>
        <v>14130.3896432226</v>
      </c>
      <c r="H8" s="0" t="n">
        <f aca="false">H6*H7/100</f>
        <v>15048.8649700321</v>
      </c>
      <c r="I8" s="0" t="n">
        <f aca="false">I6*I7/100</f>
        <v>15951.796868234</v>
      </c>
      <c r="J8" s="0" t="n">
        <f aca="false">J6*J7/100</f>
        <v>16749.3867116457</v>
      </c>
      <c r="K8" s="0" t="n">
        <f aca="false">K6*K7/100</f>
        <v>17503.1091136698</v>
      </c>
      <c r="L8" s="0" t="n">
        <f aca="false">L6*L7/100</f>
        <v>18203.2334782165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0.48</v>
      </c>
      <c r="D9" s="4" t="n">
        <f aca="false">Assumptions!D43</f>
        <v>0.48</v>
      </c>
      <c r="E9" s="4" t="n">
        <f aca="false">Assumptions!E43</f>
        <v>0.48</v>
      </c>
      <c r="F9" s="4" t="n">
        <f aca="false">Assumptions!F43</f>
        <v>0.48</v>
      </c>
      <c r="G9" s="4" t="n">
        <f aca="false">Assumptions!G43</f>
        <v>0.48</v>
      </c>
      <c r="H9" s="4" t="n">
        <f aca="false">Assumptions!H43</f>
        <v>0.48</v>
      </c>
      <c r="I9" s="4" t="n">
        <f aca="false">Assumptions!I43</f>
        <v>0.48</v>
      </c>
      <c r="J9" s="4" t="n">
        <f aca="false">Assumptions!J43</f>
        <v>0.48</v>
      </c>
      <c r="K9" s="4" t="n">
        <f aca="false">Assumptions!K43</f>
        <v>0.48</v>
      </c>
      <c r="L9" s="4" t="n">
        <f aca="false">Assumptions!L43</f>
        <v>0.48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-115.180704</v>
      </c>
      <c r="D10" s="0" t="n">
        <f aca="false">-D6*D9/100</f>
        <v>-126.6987744</v>
      </c>
      <c r="E10" s="0" t="n">
        <f aca="false">-E6*E9/100</f>
        <v>-138.101664096</v>
      </c>
      <c r="F10" s="0" t="n">
        <f aca="false">-F6*F9/100</f>
        <v>-149.14979722368</v>
      </c>
      <c r="G10" s="0" t="n">
        <f aca="false">-G6*G9/100</f>
        <v>-159.590283029338</v>
      </c>
      <c r="H10" s="0" t="n">
        <f aca="false">-H6*H9/100</f>
        <v>-169.963651426245</v>
      </c>
      <c r="I10" s="0" t="n">
        <f aca="false">-I6*I9/100</f>
        <v>-180.161470511819</v>
      </c>
      <c r="J10" s="0" t="n">
        <f aca="false">-J6*J9/100</f>
        <v>-189.16954403741</v>
      </c>
      <c r="K10" s="0" t="n">
        <f aca="false">-K6*K9/100</f>
        <v>-197.682173519094</v>
      </c>
      <c r="L10" s="0" t="n">
        <f aca="false">-L6*L9/100</f>
        <v>-205.589460459857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9771.163056</v>
      </c>
      <c r="D11" s="0" t="n">
        <f aca="false">D8+D10+D24</f>
        <v>10853.8616736</v>
      </c>
      <c r="E11" s="0" t="n">
        <f aca="false">E8+E10+E24</f>
        <v>11945.793944304</v>
      </c>
      <c r="F11" s="0" t="n">
        <f aca="false">F8+F10+F24</f>
        <v>12994.6760831131</v>
      </c>
      <c r="G11" s="0" t="n">
        <f aca="false">G8+G10+G24</f>
        <v>13970.7993601933</v>
      </c>
      <c r="H11" s="0" t="n">
        <f aca="false">H8+H10+H24</f>
        <v>14878.9013186058</v>
      </c>
      <c r="I11" s="0" t="n">
        <f aca="false">I8+I10+I24</f>
        <v>15771.6353977222</v>
      </c>
      <c r="J11" s="0" t="n">
        <f aca="false">J8+J10+J24</f>
        <v>16560.2171676083</v>
      </c>
      <c r="K11" s="0" t="n">
        <f aca="false">K8+K10+K24</f>
        <v>17305.4269401507</v>
      </c>
      <c r="L11" s="0" t="n">
        <f aca="false">L8+L10+L24</f>
        <v>17997.6440177567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9771.163056</v>
      </c>
      <c r="D13" s="0" t="n">
        <f aca="false">D11+D12</f>
        <v>10853.8616736</v>
      </c>
      <c r="E13" s="0" t="n">
        <f aca="false">E11+E12</f>
        <v>11945.793944304</v>
      </c>
      <c r="F13" s="0" t="n">
        <f aca="false">F11+F12</f>
        <v>12994.6760831131</v>
      </c>
      <c r="G13" s="0" t="n">
        <f aca="false">G11+G12</f>
        <v>13970.7993601933</v>
      </c>
      <c r="H13" s="0" t="n">
        <f aca="false">H11+H12</f>
        <v>14878.9013186058</v>
      </c>
      <c r="I13" s="0" t="n">
        <f aca="false">I11+I12</f>
        <v>15771.6353977222</v>
      </c>
      <c r="J13" s="0" t="n">
        <f aca="false">J11+J12</f>
        <v>16560.2171676083</v>
      </c>
      <c r="K13" s="0" t="n">
        <f aca="false">K11+K12</f>
        <v>17305.4269401507</v>
      </c>
      <c r="L13" s="0" t="n">
        <f aca="false">L11+L12</f>
        <v>17997.6440177567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8110.06533648</v>
      </c>
      <c r="D15" s="0" t="n">
        <f aca="false">D13-MAX(0,D13)*D14/100</f>
        <v>9008.705189088</v>
      </c>
      <c r="E15" s="0" t="n">
        <f aca="false">E13-MAX(0,E13)*E14/100</f>
        <v>9915.00897377232</v>
      </c>
      <c r="F15" s="0" t="n">
        <f aca="false">F13-MAX(0,F13)*F14/100</f>
        <v>10785.5811489839</v>
      </c>
      <c r="G15" s="0" t="n">
        <f aca="false">G13-MAX(0,G13)*G14/100</f>
        <v>11595.7634689604</v>
      </c>
      <c r="H15" s="0" t="n">
        <f aca="false">H13-MAX(0,H13)*H14/100</f>
        <v>12349.4880944428</v>
      </c>
      <c r="I15" s="0" t="n">
        <f aca="false">I13-MAX(0,I13)*I14/100</f>
        <v>13090.4573801094</v>
      </c>
      <c r="J15" s="0" t="n">
        <f aca="false">J13-MAX(0,J13)*J14/100</f>
        <v>13744.9802491149</v>
      </c>
      <c r="K15" s="0" t="n">
        <f aca="false">K13-MAX(0,K13)*K14/100</f>
        <v>14363.5043603251</v>
      </c>
      <c r="L15" s="0" t="n">
        <f aca="false">L13-MAX(0,L13)*L14/100</f>
        <v>14938.0445347381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-3001.897098</v>
      </c>
      <c r="D17" s="4" t="n">
        <f aca="false">-D6*Assumptions!D46/100</f>
        <v>-3199.1440536</v>
      </c>
      <c r="E17" s="4" t="n">
        <f aca="false">-E6*Assumptions!E46/100</f>
        <v>-3371.982298344</v>
      </c>
      <c r="F17" s="4" t="n">
        <f aca="false">-F6*Assumptions!F46/100</f>
        <v>-3505.02023475648</v>
      </c>
      <c r="G17" s="4" t="n">
        <f aca="false">-G6*Assumptions!G46/100</f>
        <v>-3594.10616572321</v>
      </c>
      <c r="H17" s="4" t="n">
        <f aca="false">-H6*Assumptions!H46/100</f>
        <v>-3703.79123733025</v>
      </c>
      <c r="I17" s="4" t="n">
        <f aca="false">-I6*Assumptions!I46/100</f>
        <v>-3926.01871157006</v>
      </c>
      <c r="J17" s="4" t="n">
        <f aca="false">-J6*Assumptions!J46/100</f>
        <v>-4122.31964714857</v>
      </c>
      <c r="K17" s="4" t="n">
        <f aca="false">-K6*Assumptions!K46/100</f>
        <v>-4307.82403127025</v>
      </c>
      <c r="L17" s="4" t="n">
        <f aca="false">-L6*Assumptions!L46/100</f>
        <v>-4480.13699252106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5108.16823848</v>
      </c>
      <c r="D19" s="0" t="n">
        <f aca="false">D15+D16+D17+D18</f>
        <v>5809.561135488</v>
      </c>
      <c r="E19" s="0" t="n">
        <f aca="false">E15+E16+E17+E18</f>
        <v>6543.02667542832</v>
      </c>
      <c r="F19" s="0" t="n">
        <f aca="false">F15+F16+F17+F18</f>
        <v>7280.56091422741</v>
      </c>
      <c r="G19" s="0" t="n">
        <f aca="false">G15+G16+G17+G18</f>
        <v>8001.6573032372</v>
      </c>
      <c r="H19" s="0" t="n">
        <f aca="false">H15+H16+H17+H18</f>
        <v>8645.69685711259</v>
      </c>
      <c r="I19" s="0" t="n">
        <f aca="false">I15+I16+I17+I18</f>
        <v>9164.43866853935</v>
      </c>
      <c r="J19" s="0" t="n">
        <f aca="false">J15+J16+J17+J18</f>
        <v>9622.66060196632</v>
      </c>
      <c r="K19" s="0" t="n">
        <f aca="false">K15+K16+K17+K18</f>
        <v>10055.6803290548</v>
      </c>
      <c r="L19" s="0" t="n">
        <f aca="false">L15+L16+L17+L18</f>
        <v>10457.907542217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4643.78930770909</v>
      </c>
      <c r="D21" s="0" t="n">
        <f aca="false">D19*D20</f>
        <v>4801.29019461818</v>
      </c>
      <c r="E21" s="0" t="n">
        <f aca="false">E19*E20</f>
        <v>4915.87278394314</v>
      </c>
      <c r="F21" s="0" t="n">
        <f aca="false">F19*F20</f>
        <v>4972.72106702234</v>
      </c>
      <c r="G21" s="0" t="n">
        <f aca="false">G19*G20</f>
        <v>4968.39963939199</v>
      </c>
      <c r="H21" s="0" t="n">
        <f aca="false">H19*H20</f>
        <v>4880.27048298794</v>
      </c>
      <c r="I21" s="0" t="n">
        <f aca="false">I19*I20</f>
        <v>4702.80610178837</v>
      </c>
      <c r="J21" s="0" t="n">
        <f aca="false">J19*J20</f>
        <v>4489.04218807072</v>
      </c>
      <c r="K21" s="0" t="n">
        <f aca="false">K19*K20</f>
        <v>4264.59007866718</v>
      </c>
      <c r="L21" s="0" t="n">
        <f aca="false">L19*L20</f>
        <v>4031.97607437624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46670.7579185752</v>
      </c>
    </row>
    <row r="31" customFormat="false" ht="15" hidden="false" customHeight="false" outlineLevel="0" collapsed="false">
      <c r="A31" s="0" t="s">
        <v>130</v>
      </c>
      <c r="B31" s="0" t="n">
        <f aca="false">L19</f>
        <v>10457.907542217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166522.066249147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177784.428217689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166522.066249147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64201.4651842986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110872.223102874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110872.223102874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83.9441252312699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0.146777667093852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953.882149855978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1262.12098688857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85.6219164725547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94121.1678799529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45.6662230205147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45.0496432319096</v>
      </c>
      <c r="C4" s="0" t="n">
        <f aca="false">B4/Assumptions!$B$2-1</f>
        <v>-0.384567715411071</v>
      </c>
      <c r="D4" s="4" t="n">
        <f aca="false">Assumptions!$B$24</f>
        <v>0.25</v>
      </c>
      <c r="E4" s="4" t="n">
        <f aca="false">DCF_Bear!$B$43</f>
        <v>46.2009524662463</v>
      </c>
      <c r="F4" s="4" t="n">
        <f aca="false">DCF_Bear!$B$47</f>
        <v>27.6666636314071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67.4740368180748</v>
      </c>
      <c r="C5" s="0" t="n">
        <f aca="false">B5/Assumptions!$B$2-1</f>
        <v>-0.0782235407366826</v>
      </c>
      <c r="D5" s="4" t="n">
        <f aca="false">Assumptions!$B$38</f>
        <v>0.5</v>
      </c>
      <c r="E5" s="4" t="n">
        <f aca="false">DCF_Base!$B$43</f>
        <v>68.9481860576757</v>
      </c>
      <c r="F5" s="4" t="n">
        <f aca="false">DCF_Base!$B$47</f>
        <v>38.3148439957159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83.9441252312699</v>
      </c>
      <c r="C6" s="0" t="n">
        <f aca="false">B6/Assumptions!$B$2-1</f>
        <v>0.146777667093852</v>
      </c>
      <c r="D6" s="4" t="n">
        <f aca="false">Assumptions!$B$52</f>
        <v>0.25</v>
      </c>
      <c r="E6" s="4" t="n">
        <f aca="false">DCF_Bull!$B$43</f>
        <v>85.6219164725547</v>
      </c>
      <c r="F6" s="4" t="n">
        <f aca="false">DCF_Bull!$B$47</f>
        <v>45.6662230205147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65.9854605248323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67.4298102635381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-0.109335290195522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499.500867541421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37.4906436608384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73.2771430115276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67.4740368180748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58.6946837963624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51.8812590598581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38.3148439957159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78.8592115567902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78.8592115567902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78.8592115567902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78.8592115567902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78.8592115567902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72.1048304613591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73.2771430115276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73.2771430115276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73.2771430115276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73.2771430115276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62.5698953954117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64.8584947259878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67.4740368180748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68.1873664795531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68.1873664795531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55.1787080262248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56.8332848592307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58.6946837963624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60.804269258445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63.2152240722537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49.2865990067033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50.5156485055661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51.8812590598581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53.407529679361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55.1245841263017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2026-10-16T08:18:30Z</dcterms:created>
  <dc:creator>openpyxl</dc:creator>
  <dc:description/>
  <dc:language>en-NZ</dc:language>
  <cp:lastModifiedBy/>
  <dcterms:modified xsi:type="dcterms:W3CDTF">2026-10-16T08:18:30Z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